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HyperCRM\outputs\019f7e7b-2bab-7511-be28-8c8fd48bdb83\shvi_v2\"/>
    </mc:Choice>
  </mc:AlternateContent>
  <xr:revisionPtr revIDLastSave="0" documentId="8_{C210F7D3-151C-4B85-91D0-CD087FDF914E}" xr6:coauthVersionLast="40" xr6:coauthVersionMax="40" xr10:uidLastSave="{00000000-0000-0000-0000-000000000000}"/>
  <bookViews>
    <workbookView xWindow="0" yWindow="0" windowWidth="20055" windowHeight="12990" xr2:uid="{05D16A53-C499-44C8-A619-F4A90EA609C3}"/>
  </bookViews>
  <sheets>
    <sheet name="Динамика" sheetId="5" r:id="rId1"/>
    <sheet name="Дашборд" sheetId="4" r:id="rId2"/>
    <sheet name="Недельная сводка" sheetId="3" r:id="rId3"/>
    <sheet name="Исходник — лиды" sheetId="2" r:id="rId4"/>
    <sheet name="Исходник — Wordstat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8" i="3"/>
  <c r="G20" i="3"/>
  <c r="G32" i="3"/>
  <c r="G44" i="3"/>
  <c r="G56" i="3"/>
  <c r="G68" i="3"/>
  <c r="G80" i="3"/>
  <c r="G92" i="3"/>
  <c r="G104" i="3"/>
  <c r="G116" i="3"/>
  <c r="G128" i="3"/>
  <c r="G140" i="3"/>
  <c r="G152" i="3"/>
  <c r="G164" i="3"/>
  <c r="G176" i="3"/>
  <c r="G188" i="3"/>
  <c r="G200" i="3"/>
  <c r="G212" i="3"/>
  <c r="E5" i="3"/>
  <c r="B11" i="4" s="1"/>
  <c r="E6" i="3"/>
  <c r="G6" i="3" s="1"/>
  <c r="E7" i="3"/>
  <c r="G7" i="3" s="1"/>
  <c r="E8" i="3"/>
  <c r="E9" i="3"/>
  <c r="G9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E21" i="3"/>
  <c r="G21" i="3" s="1"/>
  <c r="E22" i="3"/>
  <c r="G22" i="3" s="1"/>
  <c r="E23" i="3"/>
  <c r="G23" i="3" s="1"/>
  <c r="E24" i="3"/>
  <c r="G24" i="3" s="1"/>
  <c r="E25" i="3"/>
  <c r="G25" i="3" s="1"/>
  <c r="E26" i="3"/>
  <c r="G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E33" i="3"/>
  <c r="G33" i="3" s="1"/>
  <c r="E34" i="3"/>
  <c r="G34" i="3" s="1"/>
  <c r="E35" i="3"/>
  <c r="G35" i="3" s="1"/>
  <c r="E36" i="3"/>
  <c r="G36" i="3" s="1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E45" i="3"/>
  <c r="G45" i="3" s="1"/>
  <c r="E46" i="3"/>
  <c r="G46" i="3" s="1"/>
  <c r="E47" i="3"/>
  <c r="G47" i="3" s="1"/>
  <c r="E48" i="3"/>
  <c r="G48" i="3" s="1"/>
  <c r="E49" i="3"/>
  <c r="G49" i="3" s="1"/>
  <c r="E50" i="3"/>
  <c r="G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E57" i="3"/>
  <c r="G57" i="3" s="1"/>
  <c r="E58" i="3"/>
  <c r="G58" i="3" s="1"/>
  <c r="E59" i="3"/>
  <c r="G59" i="3" s="1"/>
  <c r="E60" i="3"/>
  <c r="G60" i="3" s="1"/>
  <c r="E61" i="3"/>
  <c r="G61" i="3" s="1"/>
  <c r="E62" i="3"/>
  <c r="G62" i="3" s="1"/>
  <c r="E63" i="3"/>
  <c r="G63" i="3" s="1"/>
  <c r="E64" i="3"/>
  <c r="G64" i="3" s="1"/>
  <c r="E65" i="3"/>
  <c r="G65" i="3" s="1"/>
  <c r="E66" i="3"/>
  <c r="G66" i="3" s="1"/>
  <c r="E67" i="3"/>
  <c r="G67" i="3" s="1"/>
  <c r="E68" i="3"/>
  <c r="E69" i="3"/>
  <c r="G69" i="3" s="1"/>
  <c r="E70" i="3"/>
  <c r="G70" i="3" s="1"/>
  <c r="E71" i="3"/>
  <c r="G71" i="3" s="1"/>
  <c r="E72" i="3"/>
  <c r="G72" i="3" s="1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E81" i="3"/>
  <c r="G81" i="3" s="1"/>
  <c r="E82" i="3"/>
  <c r="G82" i="3" s="1"/>
  <c r="E83" i="3"/>
  <c r="G83" i="3" s="1"/>
  <c r="E84" i="3"/>
  <c r="G84" i="3" s="1"/>
  <c r="E85" i="3"/>
  <c r="G85" i="3" s="1"/>
  <c r="E86" i="3"/>
  <c r="G86" i="3" s="1"/>
  <c r="E87" i="3"/>
  <c r="G87" i="3" s="1"/>
  <c r="E88" i="3"/>
  <c r="G88" i="3" s="1"/>
  <c r="E89" i="3"/>
  <c r="G89" i="3" s="1"/>
  <c r="E90" i="3"/>
  <c r="G90" i="3" s="1"/>
  <c r="E91" i="3"/>
  <c r="G91" i="3" s="1"/>
  <c r="E92" i="3"/>
  <c r="E93" i="3"/>
  <c r="G93" i="3" s="1"/>
  <c r="E94" i="3"/>
  <c r="G94" i="3" s="1"/>
  <c r="E95" i="3"/>
  <c r="G95" i="3" s="1"/>
  <c r="E96" i="3"/>
  <c r="G96" i="3" s="1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E105" i="3"/>
  <c r="G105" i="3" s="1"/>
  <c r="E106" i="3"/>
  <c r="G106" i="3" s="1"/>
  <c r="E107" i="3"/>
  <c r="G107" i="3" s="1"/>
  <c r="E108" i="3"/>
  <c r="G108" i="3" s="1"/>
  <c r="E109" i="3"/>
  <c r="G109" i="3" s="1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E117" i="3"/>
  <c r="G117" i="3" s="1"/>
  <c r="E118" i="3"/>
  <c r="G118" i="3" s="1"/>
  <c r="E119" i="3"/>
  <c r="G119" i="3" s="1"/>
  <c r="E120" i="3"/>
  <c r="G120" i="3" s="1"/>
  <c r="E121" i="3"/>
  <c r="G121" i="3" s="1"/>
  <c r="E122" i="3"/>
  <c r="G122" i="3" s="1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E129" i="3"/>
  <c r="G129" i="3" s="1"/>
  <c r="E130" i="3"/>
  <c r="G130" i="3" s="1"/>
  <c r="E131" i="3"/>
  <c r="G131" i="3" s="1"/>
  <c r="E132" i="3"/>
  <c r="G132" i="3" s="1"/>
  <c r="E133" i="3"/>
  <c r="G133" i="3" s="1"/>
  <c r="E134" i="3"/>
  <c r="G134" i="3" s="1"/>
  <c r="E135" i="3"/>
  <c r="G135" i="3" s="1"/>
  <c r="E136" i="3"/>
  <c r="G136" i="3" s="1"/>
  <c r="E137" i="3"/>
  <c r="G137" i="3" s="1"/>
  <c r="E138" i="3"/>
  <c r="G138" i="3" s="1"/>
  <c r="E139" i="3"/>
  <c r="G139" i="3" s="1"/>
  <c r="E140" i="3"/>
  <c r="E141" i="3"/>
  <c r="G141" i="3" s="1"/>
  <c r="E142" i="3"/>
  <c r="G142" i="3" s="1"/>
  <c r="E143" i="3"/>
  <c r="G143" i="3" s="1"/>
  <c r="E144" i="3"/>
  <c r="G144" i="3" s="1"/>
  <c r="E145" i="3"/>
  <c r="G145" i="3" s="1"/>
  <c r="E146" i="3"/>
  <c r="G146" i="3" s="1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E153" i="3"/>
  <c r="G153" i="3" s="1"/>
  <c r="E154" i="3"/>
  <c r="G154" i="3" s="1"/>
  <c r="E155" i="3"/>
  <c r="G155" i="3" s="1"/>
  <c r="E156" i="3"/>
  <c r="G156" i="3" s="1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E165" i="3"/>
  <c r="G165" i="3" s="1"/>
  <c r="E166" i="3"/>
  <c r="G166" i="3" s="1"/>
  <c r="E167" i="3"/>
  <c r="G167" i="3" s="1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175" i="3"/>
  <c r="G175" i="3" s="1"/>
  <c r="E176" i="3"/>
  <c r="E177" i="3"/>
  <c r="G177" i="3" s="1"/>
  <c r="E178" i="3"/>
  <c r="G178" i="3" s="1"/>
  <c r="E179" i="3"/>
  <c r="G179" i="3" s="1"/>
  <c r="E180" i="3"/>
  <c r="G180" i="3" s="1"/>
  <c r="E181" i="3"/>
  <c r="G181" i="3" s="1"/>
  <c r="E182" i="3"/>
  <c r="G182" i="3" s="1"/>
  <c r="E183" i="3"/>
  <c r="G183" i="3" s="1"/>
  <c r="E184" i="3"/>
  <c r="G184" i="3" s="1"/>
  <c r="E185" i="3"/>
  <c r="G185" i="3" s="1"/>
  <c r="E186" i="3"/>
  <c r="G186" i="3" s="1"/>
  <c r="E187" i="3"/>
  <c r="G187" i="3" s="1"/>
  <c r="E188" i="3"/>
  <c r="E189" i="3"/>
  <c r="G189" i="3" s="1"/>
  <c r="E190" i="3"/>
  <c r="G190" i="3" s="1"/>
  <c r="E191" i="3"/>
  <c r="G191" i="3" s="1"/>
  <c r="E192" i="3"/>
  <c r="G192" i="3" s="1"/>
  <c r="E193" i="3"/>
  <c r="G193" i="3" s="1"/>
  <c r="E194" i="3"/>
  <c r="G194" i="3" s="1"/>
  <c r="E195" i="3"/>
  <c r="G195" i="3" s="1"/>
  <c r="E196" i="3"/>
  <c r="G196" i="3" s="1"/>
  <c r="E197" i="3"/>
  <c r="G197" i="3" s="1"/>
  <c r="E198" i="3"/>
  <c r="G198" i="3" s="1"/>
  <c r="E199" i="3"/>
  <c r="G199" i="3" s="1"/>
  <c r="E200" i="3"/>
  <c r="E201" i="3"/>
  <c r="G201" i="3" s="1"/>
  <c r="E202" i="3"/>
  <c r="G202" i="3" s="1"/>
  <c r="E203" i="3"/>
  <c r="G203" i="3" s="1"/>
  <c r="E204" i="3"/>
  <c r="G204" i="3" s="1"/>
  <c r="E205" i="3"/>
  <c r="G205" i="3" s="1"/>
  <c r="E206" i="3"/>
  <c r="G206" i="3" s="1"/>
  <c r="E207" i="3"/>
  <c r="G207" i="3" s="1"/>
  <c r="E208" i="3"/>
  <c r="G208" i="3" s="1"/>
  <c r="E209" i="3"/>
  <c r="G209" i="3" s="1"/>
  <c r="E210" i="3"/>
  <c r="G210" i="3" s="1"/>
  <c r="E211" i="3"/>
  <c r="G211" i="3" s="1"/>
  <c r="E212" i="3"/>
  <c r="E213" i="3"/>
  <c r="G213" i="3" s="1"/>
  <c r="E214" i="3"/>
  <c r="G214" i="3" s="1"/>
  <c r="E215" i="3"/>
  <c r="G215" i="3" s="1"/>
  <c r="E216" i="3"/>
  <c r="G216" i="3" s="1"/>
  <c r="E217" i="3"/>
  <c r="G217" i="3" s="1"/>
  <c r="E218" i="3"/>
  <c r="G218" i="3" s="1"/>
  <c r="E219" i="3"/>
  <c r="G219" i="3" s="1"/>
  <c r="E220" i="3"/>
  <c r="G220" i="3" s="1"/>
  <c r="E221" i="3"/>
  <c r="G221" i="3" s="1"/>
  <c r="E222" i="3"/>
  <c r="G222" i="3" s="1"/>
  <c r="E223" i="3"/>
  <c r="G223" i="3" s="1"/>
  <c r="E224" i="3"/>
  <c r="E225" i="3"/>
  <c r="G225" i="3" s="1"/>
  <c r="E226" i="3"/>
  <c r="G226" i="3" s="1"/>
  <c r="E227" i="3"/>
  <c r="G227" i="3" s="1"/>
  <c r="E228" i="3"/>
  <c r="G228" i="3" s="1"/>
  <c r="E229" i="3"/>
  <c r="G229" i="3" s="1"/>
  <c r="E230" i="3"/>
  <c r="G230" i="3" s="1"/>
  <c r="E231" i="3"/>
  <c r="G231" i="3" s="1"/>
  <c r="E232" i="3"/>
  <c r="G232" i="3" s="1"/>
  <c r="E233" i="3"/>
  <c r="G233" i="3" s="1"/>
  <c r="E234" i="3"/>
  <c r="G234" i="3" s="1"/>
  <c r="E235" i="3"/>
  <c r="G235" i="3" s="1"/>
  <c r="E236" i="3"/>
  <c r="E237" i="3"/>
  <c r="G237" i="3" s="1"/>
  <c r="E238" i="3"/>
  <c r="G238" i="3" s="1"/>
  <c r="E239" i="3"/>
  <c r="G239" i="3" s="1"/>
  <c r="E240" i="3"/>
  <c r="G240" i="3" s="1"/>
  <c r="E241" i="3"/>
  <c r="G241" i="3" s="1"/>
  <c r="D5" i="3"/>
  <c r="B10" i="4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G224" i="3" s="1"/>
  <c r="D225" i="3"/>
  <c r="D226" i="3"/>
  <c r="D227" i="3"/>
  <c r="D228" i="3"/>
  <c r="D229" i="3"/>
  <c r="D230" i="3"/>
  <c r="D231" i="3"/>
  <c r="D232" i="3"/>
  <c r="D233" i="3"/>
  <c r="D234" i="3"/>
  <c r="D235" i="3"/>
  <c r="D236" i="3"/>
  <c r="G236" i="3" s="1"/>
  <c r="D237" i="3"/>
  <c r="D238" i="3"/>
  <c r="D239" i="3"/>
  <c r="D240" i="3"/>
  <c r="D241" i="3"/>
  <c r="G5" i="3" l="1"/>
  <c r="A5" i="4"/>
  <c r="D5" i="4"/>
  <c r="C11" i="4"/>
  <c r="C10" i="4"/>
</calcChain>
</file>

<file path=xl/sharedStrings.xml><?xml version="1.0" encoding="utf-8"?>
<sst xmlns="http://schemas.openxmlformats.org/spreadsheetml/2006/main" count="5439" uniqueCount="1504">
  <si>
    <t>Название лида</t>
  </si>
  <si>
    <t>Источник</t>
  </si>
  <si>
    <t>Стадия</t>
  </si>
  <si>
    <t>Обращение</t>
  </si>
  <si>
    <t>Имя</t>
  </si>
  <si>
    <t>Отчество</t>
  </si>
  <si>
    <t>Фамилия</t>
  </si>
  <si>
    <t>Дата создания</t>
  </si>
  <si>
    <t>Ответственный</t>
  </si>
  <si>
    <t>Путь клиента</t>
  </si>
  <si>
    <t>UTM Source</t>
  </si>
  <si>
    <t>UTM Medium</t>
  </si>
  <si>
    <t>UTM Campaign</t>
  </si>
  <si>
    <t>UTM Content</t>
  </si>
  <si>
    <t>UTM Term</t>
  </si>
  <si>
    <t>ДКТ: client_id</t>
  </si>
  <si>
    <t>ДКТ: client_cid</t>
  </si>
  <si>
    <t>ДКТ: ya_client_id</t>
  </si>
  <si>
    <t>ДКТ: Город</t>
  </si>
  <si>
    <t>ДКТ: Источник</t>
  </si>
  <si>
    <t>ДКТ: Канал</t>
  </si>
  <si>
    <t>ДКТ: Кампания</t>
  </si>
  <si>
    <t>ДКТ: Содержимое</t>
  </si>
  <si>
    <t>ДКТ: Что искал</t>
  </si>
  <si>
    <t>ДКТ: Время на сайте</t>
  </si>
  <si>
    <t>ID</t>
  </si>
  <si>
    <t>Звонок</t>
  </si>
  <si>
    <t>Качественный лид</t>
  </si>
  <si>
    <t>Богдан Клименко</t>
  </si>
  <si>
    <t>Александр Шушкин</t>
  </si>
  <si>
    <t>yandex</t>
  </si>
  <si>
    <t>cpc</t>
  </si>
  <si>
    <t>Самара</t>
  </si>
  <si>
    <t>google</t>
  </si>
  <si>
    <t>organic</t>
  </si>
  <si>
    <t>(none)</t>
  </si>
  <si>
    <t>Веб-сайт</t>
  </si>
  <si>
    <t>levsha-group.ru</t>
  </si>
  <si>
    <t>/</t>
  </si>
  <si>
    <t>В работе</t>
  </si>
  <si>
    <t>Алексей Торгашëв</t>
  </si>
  <si>
    <t>Виктор Худяков</t>
  </si>
  <si>
    <t>Avito - Левша-Сервис открытая линия</t>
  </si>
  <si>
    <t>Игорь</t>
  </si>
  <si>
    <t>Сергей</t>
  </si>
  <si>
    <t>Александр</t>
  </si>
  <si>
    <t>ВКонтакте - Открытая линия Левша</t>
  </si>
  <si>
    <t>Клиенту ответили на вопрос</t>
  </si>
  <si>
    <t>Лида Левша</t>
  </si>
  <si>
    <t>сергей</t>
  </si>
  <si>
    <t>Дмитрий - Авито - Левша-Сервис открытая линия</t>
  </si>
  <si>
    <t>Дмитрий</t>
  </si>
  <si>
    <t>Мария</t>
  </si>
  <si>
    <t>Пользователь</t>
  </si>
  <si>
    <t>tilda</t>
  </si>
  <si>
    <t>Кирилл</t>
  </si>
  <si>
    <t>Владимир</t>
  </si>
  <si>
    <t>Клиент не выходит на связь</t>
  </si>
  <si>
    <t>Иван</t>
  </si>
  <si>
    <t>---autotargeting.mobile.Самара</t>
  </si>
  <si>
    <t>Дубликат</t>
  </si>
  <si>
    <t>Юрий</t>
  </si>
  <si>
    <t>Андрей</t>
  </si>
  <si>
    <t>Антон</t>
  </si>
  <si>
    <t>Владислав</t>
  </si>
  <si>
    <t>Павел</t>
  </si>
  <si>
    <t>Максим</t>
  </si>
  <si>
    <t>Геннадий</t>
  </si>
  <si>
    <t>Артём</t>
  </si>
  <si>
    <t>Валерий</t>
  </si>
  <si>
    <t>Артем</t>
  </si>
  <si>
    <t>игорь</t>
  </si>
  <si>
    <t>Электронная почта</t>
  </si>
  <si>
    <t>Михаил</t>
  </si>
  <si>
    <t>CRM-форма</t>
  </si>
  <si>
    <t>noreply@tilda.ws'</t>
  </si>
  <si>
    <t>Николай</t>
  </si>
  <si>
    <t>Некачественный лид</t>
  </si>
  <si>
    <t>Алексей</t>
  </si>
  <si>
    <t>Никита</t>
  </si>
  <si>
    <t>Денис</t>
  </si>
  <si>
    <t>Евгений</t>
  </si>
  <si>
    <t>poisk_shumka</t>
  </si>
  <si>
    <t>---autotargeting</t>
  </si>
  <si>
    <t>Александр Севостьянов</t>
  </si>
  <si>
    <t>Ян</t>
  </si>
  <si>
    <t>Харитонов</t>
  </si>
  <si>
    <t>Заявка с сайта ЛЕВША - форма Заказать звонок</t>
  </si>
  <si>
    <t>Илья</t>
  </si>
  <si>
    <t>Заполнение CRM-формы "Обратный звонок с номера "Приложение: MANGO OFFICE""</t>
  </si>
  <si>
    <t>Олег</t>
  </si>
  <si>
    <t>Вадим</t>
  </si>
  <si>
    <t>Заявка с сайта ЛЕВША - форма Online-запись</t>
  </si>
  <si>
    <t>Вячеслав</t>
  </si>
  <si>
    <t>Рамиль</t>
  </si>
  <si>
    <t>Роман</t>
  </si>
  <si>
    <t>Калинин</t>
  </si>
  <si>
    <t>7 917 943-71-70 - Входящий звонок</t>
  </si>
  <si>
    <t>Анна</t>
  </si>
  <si>
    <t>Семён</t>
  </si>
  <si>
    <t>brend</t>
  </si>
  <si>
    <t>Серёга</t>
  </si>
  <si>
    <t>Александр Салынский</t>
  </si>
  <si>
    <t>Степан</t>
  </si>
  <si>
    <t>Равиль</t>
  </si>
  <si>
    <t>Иванов</t>
  </si>
  <si>
    <t>Марина</t>
  </si>
  <si>
    <t>Юлия</t>
  </si>
  <si>
    <t>Эдуард</t>
  </si>
  <si>
    <t>Виктор</t>
  </si>
  <si>
    <t>Влад</t>
  </si>
  <si>
    <t>Викторович</t>
  </si>
  <si>
    <t>Виталий</t>
  </si>
  <si>
    <t>Фролов</t>
  </si>
  <si>
    <t>Глеб</t>
  </si>
  <si>
    <t>Шустов</t>
  </si>
  <si>
    <t>Оксана</t>
  </si>
  <si>
    <t>Telegram - Открытая линия Левша</t>
  </si>
  <si>
    <t>Артем Котельников</t>
  </si>
  <si>
    <t>Максим - Открытая линия Левша</t>
  </si>
  <si>
    <t>Владимирович</t>
  </si>
  <si>
    <t>Mikhail</t>
  </si>
  <si>
    <t>Alexander</t>
  </si>
  <si>
    <t>7 927 704-19-07 - Входящий звонок</t>
  </si>
  <si>
    <t>Даниил</t>
  </si>
  <si>
    <t>WAZZUP: WhatsApp - Открытая линия Левша</t>
  </si>
  <si>
    <t>Ринат</t>
  </si>
  <si>
    <t>Denis</t>
  </si>
  <si>
    <t>Deonysius</t>
  </si>
  <si>
    <t>Magnus</t>
  </si>
  <si>
    <t>Алексей - Открытая линия Левша</t>
  </si>
  <si>
    <t>Avito - Открытая линия Левша</t>
  </si>
  <si>
    <t>Сергей Антонов</t>
  </si>
  <si>
    <t>Гость - Открытая линия Левша</t>
  </si>
  <si>
    <t>Гость</t>
  </si>
  <si>
    <t>Сергеевич</t>
  </si>
  <si>
    <t>Nikita</t>
  </si>
  <si>
    <t>Александр Максимов</t>
  </si>
  <si>
    <t>полиуретановая пленка</t>
  </si>
  <si>
    <t>Максим Каранов</t>
  </si>
  <si>
    <t>Viber - Открытая линия Левша</t>
  </si>
  <si>
    <t>Денис - Открытая линия Левша</t>
  </si>
  <si>
    <t>Дмитрий - Открытая линия Левша</t>
  </si>
  <si>
    <t>Нецелевое обращение</t>
  </si>
  <si>
    <t>Руслан</t>
  </si>
  <si>
    <t>установка видеорегистратора /н делаем</t>
  </si>
  <si>
    <t>левша</t>
  </si>
  <si>
    <t>Анатолий</t>
  </si>
  <si>
    <t>Миша</t>
  </si>
  <si>
    <t>Maxim</t>
  </si>
  <si>
    <t>Дмитрий Калашников</t>
  </si>
  <si>
    <t>Дмитрий Лантратов</t>
  </si>
  <si>
    <t>Кирилл Лапшин</t>
  </si>
  <si>
    <t>Алина</t>
  </si>
  <si>
    <t>Kirill</t>
  </si>
  <si>
    <t>Александр - Открытая линия Левша</t>
  </si>
  <si>
    <t>Станислав Ван-Гуй</t>
  </si>
  <si>
    <t>Евгений Репин</t>
  </si>
  <si>
    <t>Игорь - Открытая линия Левша</t>
  </si>
  <si>
    <t>Василий</t>
  </si>
  <si>
    <t>подтвердил запись</t>
  </si>
  <si>
    <t>Alexey</t>
  </si>
  <si>
    <t>Юлия Ефимова</t>
  </si>
  <si>
    <t>Волков</t>
  </si>
  <si>
    <t>FADI</t>
  </si>
  <si>
    <t>7 927 688-42-20 - Входящий звонок</t>
  </si>
  <si>
    <t>Иван Красников</t>
  </si>
  <si>
    <t>Шумоизоляция 65.500 все кроме крыши не комплекс</t>
  </si>
  <si>
    <t>7 996 620-30-91 - Входящий звонок</t>
  </si>
  <si>
    <t>Крайнов</t>
  </si>
  <si>
    <t>79277100906 - Входящий звонок</t>
  </si>
  <si>
    <t>79276077950 - Входящий звонок</t>
  </si>
  <si>
    <t>шумоизоляция</t>
  </si>
  <si>
    <t>Иван - Открытая линия Левша</t>
  </si>
  <si>
    <t>Владимир - Открытая линия Левша</t>
  </si>
  <si>
    <t>Григорий</t>
  </si>
  <si>
    <t>Роман - Открытая линия Левша</t>
  </si>
  <si>
    <t>Илья - Открытая линия Левша</t>
  </si>
  <si>
    <t>детейлинг самара</t>
  </si>
  <si>
    <t>Subscriber</t>
  </si>
  <si>
    <t>Евгений - Открытая линия Левша</t>
  </si>
  <si>
    <t>Надежда</t>
  </si>
  <si>
    <t>Николай - Открытая линия Левша</t>
  </si>
  <si>
    <t>Artem - Открытая линия Левша</t>
  </si>
  <si>
    <t>Artem</t>
  </si>
  <si>
    <t>Павел Ларин</t>
  </si>
  <si>
    <t>79608082323 - Входящий звонок</t>
  </si>
  <si>
    <t>Роман Городков</t>
  </si>
  <si>
    <t>Сергей - Открытая линия Левша</t>
  </si>
  <si>
    <t>Дмитрий Ерофеев</t>
  </si>
  <si>
    <t>Богданов</t>
  </si>
  <si>
    <t>79277762688 - Входящий звонок</t>
  </si>
  <si>
    <t>Петров</t>
  </si>
  <si>
    <t>79370690263 - Входящий звонок</t>
  </si>
  <si>
    <t>79061453652 - Входящий звонок</t>
  </si>
  <si>
    <t>79277167733 - Входящий звонок</t>
  </si>
  <si>
    <t>Мария Шеина</t>
  </si>
  <si>
    <t>79277654272 - Входящий звонок</t>
  </si>
  <si>
    <t>Fadi</t>
  </si>
  <si>
    <t>79297028888 - Входящий звонок</t>
  </si>
  <si>
    <t>Александр Марцев</t>
  </si>
  <si>
    <t>Павел - Открытая линия Левша</t>
  </si>
  <si>
    <t>Никита - Открытая линия Левша</t>
  </si>
  <si>
    <t>Андрей - Открытая линия Левша</t>
  </si>
  <si>
    <t>79370600395 - Входящий звонок</t>
  </si>
  <si>
    <t>Станислав Исаков</t>
  </si>
  <si>
    <t>Майоров</t>
  </si>
  <si>
    <t>Юнес Ильясов</t>
  </si>
  <si>
    <t>Семен</t>
  </si>
  <si>
    <t>Обратный звонок</t>
  </si>
  <si>
    <t>Марат</t>
  </si>
  <si>
    <t>Петр</t>
  </si>
  <si>
    <t>Юрий - Открытая линия Левша</t>
  </si>
  <si>
    <t>Заявка с сайта ЛЕВША - форма Оформление заказа</t>
  </si>
  <si>
    <t>79270120149 - Входящий звонок</t>
  </si>
  <si>
    <t>Заявка с сайта ЛЕВША - форма Задать вопрос</t>
  </si>
  <si>
    <t>Виталий Синяев</t>
  </si>
  <si>
    <t>Андрей Шкода Ети - Открытая линия Левша</t>
  </si>
  <si>
    <t>79277015420 - Входящий звонок</t>
  </si>
  <si>
    <t>Иван Солдаткин</t>
  </si>
  <si>
    <t>Рамиль - Открытая линия Левша</t>
  </si>
  <si>
    <t>Михаил Осипов</t>
  </si>
  <si>
    <t>79279013930 - Входящий звонок</t>
  </si>
  <si>
    <t>Володя</t>
  </si>
  <si>
    <t>Михаил - Открытая линия Левша</t>
  </si>
  <si>
    <t>Заявка с сайта ЛЕВША</t>
  </si>
  <si>
    <t>79871631027 - Входящий звонок</t>
  </si>
  <si>
    <t>Instagram Direct - Открытая линия Левша</t>
  </si>
  <si>
    <t>Владислав - Открытая линия Левша</t>
  </si>
  <si>
    <t>Начало недели</t>
  </si>
  <si>
    <t>Конец недели</t>
  </si>
  <si>
    <t>Период Wordstat</t>
  </si>
  <si>
    <t>Число запросов</t>
  </si>
  <si>
    <t>Доля от всех 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</si>
  <si>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</si>
  <si>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</si>
  <si>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</si>
  <si>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</si>
  <si>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</si>
  <si>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</si>
  <si>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</si>
  <si>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</si>
  <si>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</si>
  <si>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</si>
  <si>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</si>
  <si>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</si>
  <si>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</si>
  <si>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</si>
  <si>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</si>
  <si>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</si>
  <si>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</si>
  <si>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</si>
  <si>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</si>
  <si>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</si>
  <si>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</si>
  <si>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</si>
  <si>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</si>
  <si>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</si>
  <si>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</si>
  <si>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</si>
  <si>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</si>
  <si>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</si>
  <si>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</si>
  <si>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</si>
  <si>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</si>
  <si>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</si>
  <si>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</si>
  <si>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</si>
  <si>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</si>
  <si>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</si>
  <si>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</si>
  <si>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</si>
  <si>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</si>
  <si>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</si>
  <si>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</si>
  <si>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</si>
  <si>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</si>
  <si>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</si>
  <si>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</si>
  <si>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</si>
  <si>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</si>
  <si>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</si>
  <si>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</si>
  <si>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</si>
  <si>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</si>
  <si>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</si>
  <si>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</si>
  <si>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</si>
  <si>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</si>
  <si>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</si>
  <si>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</si>
  <si>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</si>
  <si>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</si>
  <si>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</si>
  <si>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</si>
  <si>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</si>
  <si>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</si>
  <si>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</si>
  <si>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</si>
  <si>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</si>
  <si>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</si>
  <si>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</si>
  <si>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</si>
  <si>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</si>
  <si>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</si>
  <si>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</si>
  <si>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</si>
  <si>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</si>
  <si>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</si>
  <si>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</si>
  <si>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</si>
  <si>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</si>
  <si>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</si>
  <si>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</si>
  <si>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</si>
  <si>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</si>
  <si>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</si>
  <si>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</si>
  <si>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</si>
  <si>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</si>
  <si>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</si>
  <si>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</si>
  <si>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</si>
  <si>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</si>
  <si>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</si>
  <si>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</si>
  <si>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</si>
  <si>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</si>
  <si>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</si>
  <si>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</si>
  <si>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</si>
  <si>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</si>
  <si>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</si>
  <si>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</si>
  <si>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</si>
  <si>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</si>
  <si>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</si>
  <si>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</si>
  <si>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</si>
  <si>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</si>
  <si>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</si>
  <si>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</si>
  <si>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</si>
  <si>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</si>
  <si>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</si>
  <si>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</si>
  <si>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</si>
  <si>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</si>
  <si>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</si>
  <si>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</si>
  <si>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</si>
  <si>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</si>
  <si>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</si>
  <si>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</si>
  <si>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</si>
  <si>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</si>
  <si>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</si>
  <si>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</si>
  <si>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</si>
  <si>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</si>
  <si>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</si>
  <si>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</si>
  <si>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</si>
  <si>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</si>
  <si>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</si>
  <si>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</si>
  <si>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</si>
  <si>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</si>
  <si>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</si>
  <si>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</si>
  <si>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</si>
  <si>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</si>
  <si>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</si>
  <si>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</si>
  <si>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</si>
  <si>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</si>
  <si>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</si>
  <si>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</si>
  <si>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</si>
  <si>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</si>
  <si>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</si>
  <si>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</si>
  <si>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</si>
  <si>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</si>
  <si>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</si>
  <si>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</si>
  <si>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</si>
  <si>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</si>
  <si>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</si>
  <si>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</si>
  <si>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</si>
  <si>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</si>
  <si>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</si>
  <si>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</si>
  <si>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</si>
  <si>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</si>
  <si>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</si>
  <si>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</si>
  <si>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</si>
  <si>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</si>
  <si>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</si>
  <si>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</si>
  <si>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</si>
  <si>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</si>
  <si>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</si>
  <si>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</si>
  <si>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</si>
  <si>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</si>
  <si>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</si>
  <si>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</si>
  <si>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</si>
  <si>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</si>
  <si>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</si>
  <si>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</si>
  <si>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</si>
  <si>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</si>
  <si>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</si>
  <si>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</si>
  <si>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</si>
  <si>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</si>
  <si>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</si>
  <si>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</si>
  <si>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</si>
  <si>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</si>
  <si>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</si>
  <si>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</si>
  <si>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</si>
  <si>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</si>
  <si>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</si>
  <si>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</si>
  <si>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</si>
  <si>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</si>
  <si>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</si>
  <si>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</si>
  <si>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</si>
  <si>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</si>
  <si>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</si>
  <si>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</si>
  <si>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</si>
  <si>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</si>
  <si>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</si>
  <si>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</si>
  <si>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</si>
  <si>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</si>
  <si>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</si>
  <si>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</si>
  <si>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</si>
  <si>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</si>
  <si>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</si>
  <si>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</si>
  <si>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</si>
  <si>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</si>
  <si>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</si>
  <si>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</si>
  <si>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</si>
  <si>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</si>
  <si>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</si>
  <si>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</si>
  <si>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</si>
  <si>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</si>
  <si>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</si>
  <si>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</si>
  <si>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</si>
  <si>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</si>
  <si>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</si>
  <si>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</si>
  <si>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</si>
  <si>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</si>
  <si>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</si>
  <si>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</si>
  <si>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</si>
  <si>
    <t>Периоды заданы выгрузкой Wordstat. Успешный лид = стадия «Качественный лид».</t>
  </si>
  <si>
    <t>Все лиды</t>
  </si>
  <si>
    <t>Качественные лиды</t>
  </si>
  <si>
    <t>Запросы Wordstat</t>
  </si>
  <si>
    <t>Доля качественных</t>
  </si>
  <si>
    <t>Недельная аналитика: 27.12.2021–12.07.2026</t>
  </si>
  <si>
    <t>Всего лидов</t>
  </si>
  <si>
    <t>Качественных лидов</t>
  </si>
  <si>
    <t>Запросов Wordstat</t>
  </si>
  <si>
    <t>Недель в анализе</t>
  </si>
  <si>
    <t>Корреляция Пирсона</t>
  </si>
  <si>
    <t>Показатель</t>
  </si>
  <si>
    <t>Коэффициент r</t>
  </si>
  <si>
    <t>Интерпретация</t>
  </si>
  <si>
    <t>Запросы ↔ все лиды</t>
  </si>
  <si>
    <t>Запросы ↔ качественные лиды</t>
  </si>
  <si>
    <t>Лиды и качественные лиды — левая шкала; запросы Wordstat — правая шкала</t>
  </si>
  <si>
    <t>Шаг данных — 1 неделя. Подписи на оси показаны реже для читаемости; каждая точка линии соответствует отдельной неделе.</t>
  </si>
  <si>
    <t>ШВИ</t>
  </si>
  <si>
    <t>комп ШВИ / не отвечает</t>
  </si>
  <si>
    <t>Добин</t>
  </si>
  <si>
    <t>уплотнение консоли кпп</t>
  </si>
  <si>
    <t>запись на ШВИ камри без номера</t>
  </si>
  <si>
    <t>александр шви гранта передник арок 12500</t>
  </si>
  <si>
    <t>yaU6iSMNLCO7BN7ayoAP</t>
  </si>
  <si>
    <t>cherry tigo 8 pro max корекция по шумке не открывается замок</t>
  </si>
  <si>
    <t>консультация по шви в класс</t>
  </si>
  <si>
    <t>шви консультация в класс</t>
  </si>
  <si>
    <t>вопросы по шумке</t>
  </si>
  <si>
    <t>Шумка Чанган</t>
  </si>
  <si>
    <t>шумоизоляция арок.desktop.Самара</t>
  </si>
  <si>
    <t>uOy5y4JGi8fbkVaD3453</t>
  </si>
  <si>
    <t>шви хонда црв</t>
  </si>
  <si>
    <t>zpfhcW2bVwZW2ACQnW5f</t>
  </si>
  <si>
    <t>Ar - Авито - Левша-Сервис открытая линия</t>
  </si>
  <si>
    <t>Ar</t>
  </si>
  <si>
    <t>Михаил Владимирович</t>
  </si>
  <si>
    <t>Комплексная шумка оценил в максе</t>
  </si>
  <si>
    <t>шумка автомобиля.tablet.Самара</t>
  </si>
  <si>
    <t>Шумоизоляция Гранта универсал / живет в тольятти / не готов планировать работы</t>
  </si>
  <si>
    <t>АЛЕКСАНДР</t>
  </si>
  <si>
    <t>шумоизоляция машины.mobile.Тольятти</t>
  </si>
  <si>
    <t>приора шумка дорого</t>
  </si>
  <si>
    <t>гранта шви дорого</t>
  </si>
  <si>
    <t>шумоизоляция автомобиля.mobile.Смышляевка</t>
  </si>
  <si>
    <t>артем - Авито - Левша-Сервис открытая линия</t>
  </si>
  <si>
    <t>артем</t>
  </si>
  <si>
    <t>ШВИ на 2114 8 года</t>
  </si>
  <si>
    <t>не доступен</t>
  </si>
  <si>
    <t>звукоизоляция машины.mobile.Сельское поселение Лопатино</t>
  </si>
  <si>
    <t>Лид #113430</t>
  </si>
  <si>
    <t>звукоизоляция машины.mobile.Тольятти</t>
  </si>
  <si>
    <t>КОМП ШВИ нива тревел / дорого</t>
  </si>
  <si>
    <t>Changan Uni-S № м587хр763</t>
  </si>
  <si>
    <t>Хочет шумку но со своим материалом</t>
  </si>
  <si>
    <t>Лид #113284</t>
  </si>
  <si>
    <t>шумоизоляция автомобиля.mobile.Тольятти</t>
  </si>
  <si>
    <t>Шумка Хайлендер консультация</t>
  </si>
  <si>
    <t>шви хайлендр локеры и двери</t>
  </si>
  <si>
    <t>шумка белджи +7 (927) 012-57-24</t>
  </si>
  <si>
    <t>шви хавал 79276511092</t>
  </si>
  <si>
    <t>Заявка отправлена с [promo.levsha-group.ru] +7 (999) 171-09-90</t>
  </si>
  <si>
    <t>Заявка отправлена с [promo.levsha-group.ru] 79649664484</t>
  </si>
  <si>
    <t>не активный номер 79013437935</t>
  </si>
  <si>
    <t>Заявка отправлена с [promo.levsha-group.ru] 79083936800</t>
  </si>
  <si>
    <t>18,06 шви</t>
  </si>
  <si>
    <t>не берет +79874431884</t>
  </si>
  <si>
    <t>Евгений Нефедов шумка арок солярис</t>
  </si>
  <si>
    <t>Нефёдов</t>
  </si>
  <si>
    <t>ШВИ арок, дверей, полов теннет т7 / иногородний, не может спланировать визит +79276102674</t>
  </si>
  <si>
    <t>Промо заявка гранта комп ШВИ / дорого 79277252923</t>
  </si>
  <si>
    <t>техническая карта для шумки бмв 1</t>
  </si>
  <si>
    <t>шумка арок</t>
  </si>
  <si>
    <t>7 937 650-28-28 - Входящий звонок</t>
  </si>
  <si>
    <t>антискрип на торпеду</t>
  </si>
  <si>
    <t>по ШВИ</t>
  </si>
  <si>
    <t>Коррекция шумоизоляции санта фе 2,06</t>
  </si>
  <si>
    <t>сверчёк в тачке приедет 26 числа</t>
  </si>
  <si>
    <t>Шумка панели приборов</t>
  </si>
  <si>
    <t>ШВИ пола НИНКА как эта штука называется ? КАК?</t>
  </si>
  <si>
    <t>Хайлендер комп ШВИ / узнает для кого- то</t>
  </si>
  <si>
    <t>Шумка королла 120/ дорого</t>
  </si>
  <si>
    <t>коррекция шумки - позвонить за час</t>
  </si>
  <si>
    <t>Комп ШВИ тугелла / пауза на подумать</t>
  </si>
  <si>
    <t>Антискрип панели</t>
  </si>
  <si>
    <t>ШВИ на крету</t>
  </si>
  <si>
    <t>Шумка дверей</t>
  </si>
  <si>
    <t>Хавал джулион ШВИ Арок / вопрос цены / не в бюджете</t>
  </si>
  <si>
    <t>Шумка комплекс отказался</t>
  </si>
  <si>
    <t>Шуваев</t>
  </si>
  <si>
    <t>7 927 651-39-30 - Входящий звонок</t>
  </si>
  <si>
    <t>ШВИ дверей</t>
  </si>
  <si>
    <t>Каширов</t>
  </si>
  <si>
    <t>Чери8 про Макс ШВИ дверей</t>
  </si>
  <si>
    <t>Паймушкин</t>
  </si>
  <si>
    <t>7 987 163-10-27 - Входящий звонок</t>
  </si>
  <si>
    <t>шумку делал и что то с торпедой</t>
  </si>
  <si>
    <t>ШВИ оптима полы, багажник, арки / сбросил после цены</t>
  </si>
  <si>
    <t>7 964 992-38-77 - Входящий звонок</t>
  </si>
  <si>
    <t>Пленка Белджи х70 08,04 привезет 06,04</t>
  </si>
  <si>
    <t>10,04 Шумка двери потолок Туксон и тонировка</t>
  </si>
  <si>
    <t>Грохот стекол при закрываниии дверей.</t>
  </si>
  <si>
    <t>ШВИ дверей 2-х (ну два дня и нет связи обратной\)</t>
  </si>
  <si>
    <t>киа рио 4, шумка со своим материалом</t>
  </si>
  <si>
    <t>общались по телефону</t>
  </si>
  <si>
    <t>Шумка Х5 23,03</t>
  </si>
  <si>
    <t>ШВИ по Авито (молчит не отвечает)</t>
  </si>
  <si>
    <t>ИП</t>
  </si>
  <si>
    <t>Молчанов</t>
  </si>
  <si>
    <t>шумка арок каен 30000</t>
  </si>
  <si>
    <t>Джили Атлас 2 Арки, двери и багажник</t>
  </si>
  <si>
    <t>шумоизоляция арок Cherry Tiggo 7</t>
  </si>
  <si>
    <t>Мифтахов</t>
  </si>
  <si>
    <t>Белджи 70 ШВИ пола / дорого</t>
  </si>
  <si>
    <t>Andrei Gennadevich M</t>
  </si>
  <si>
    <t>Шумоизоляция полная Чанган Юни-С узнавал цены, планирует только летом</t>
  </si>
  <si>
    <t>Dizel - Авито - Веста шумка</t>
  </si>
  <si>
    <t>Dizel</t>
  </si>
  <si>
    <t>7 902 338-50-00 - Входящий звонок</t>
  </si>
  <si>
    <t>ШВИ Двери Лада веста 30,01</t>
  </si>
  <si>
    <t>Шумка</t>
  </si>
  <si>
    <t>7 995 348-01-38 - Входящий звонок</t>
  </si>
  <si>
    <t>Полная шумка без арок, т.к. антигравий арок есть</t>
  </si>
  <si>
    <t>7 939 627-63-72 - Входящий звонок</t>
  </si>
  <si>
    <t>валерий панусин - Авито - Левша-Сервис открытая линия</t>
  </si>
  <si>
    <t>валерий</t>
  </si>
  <si>
    <t>панусин</t>
  </si>
  <si>
    <t>ШВИ lДверей</t>
  </si>
  <si>
    <t>ШВИ дверей по Авито чат</t>
  </si>
  <si>
    <t>ШВИ гранта</t>
  </si>
  <si>
    <t>Дмитриев</t>
  </si>
  <si>
    <t>шумоизоляция авто в самаре</t>
  </si>
  <si>
    <t>ШВИ Subaru</t>
  </si>
  <si>
    <t>Хавал Ф7</t>
  </si>
  <si>
    <t>26.01 клипсы двери поправить или заменить</t>
  </si>
  <si>
    <t>Киа Рио 2 ШВИ / ЧАТ</t>
  </si>
  <si>
    <t>Русскин</t>
  </si>
  <si>
    <t>ПОлная ШВИ В телеграм скинул, и фото примера</t>
  </si>
  <si>
    <t>шумоизоляция салона</t>
  </si>
  <si>
    <t>ШВИ на VW Polo</t>
  </si>
  <si>
    <t>Узнал цену на шумку арок, но еще надо локеры ему покупать. цену озвучил 30,000</t>
  </si>
  <si>
    <t>7 988 988-63-63 - Входящий звонок</t>
  </si>
  <si>
    <t>Интересовался шумкой , просто узнает</t>
  </si>
  <si>
    <t>ШВИ +плёнка</t>
  </si>
  <si>
    <t>Комплекс ШВИ Омода С5 / ЧАТ</t>
  </si>
  <si>
    <t>иван - Авито - шумка Киа спектра</t>
  </si>
  <si>
    <t>иван</t>
  </si>
  <si>
    <t>7 917 117-08-35 - Входящий звонок</t>
  </si>
  <si>
    <t>Вадим - Авито - Шумка Приоры</t>
  </si>
  <si>
    <t>ШВИ дверей LADA VESTA</t>
  </si>
  <si>
    <t>проблемы после ШВИ Гранта</t>
  </si>
  <si>
    <t>Максим Гражданкин - ВК Шумка</t>
  </si>
  <si>
    <t>Гражданкин</t>
  </si>
  <si>
    <t>скрип в орпеде</t>
  </si>
  <si>
    <t>ШВИ Арок</t>
  </si>
  <si>
    <t>Дмитрий - Авито - Шумка дверей</t>
  </si>
  <si>
    <t>Шумоизоляция арок автомобиля / подарочный серф</t>
  </si>
  <si>
    <t>Кормишенкова</t>
  </si>
  <si>
    <t>шумоизоляция дверей и крышка багажника. На Киа Рио</t>
  </si>
  <si>
    <t>Татаров</t>
  </si>
  <si>
    <t>7 908 857-80-00 - Входящий звонок</t>
  </si>
  <si>
    <t>ШВИ дверей на Tiguan</t>
  </si>
  <si>
    <t>Артемий</t>
  </si>
  <si>
    <t>Шумка 28.11</t>
  </si>
  <si>
    <t>ШВИ рав 4 без арок и потолка на ДЕКАБРЬ</t>
  </si>
  <si>
    <t>Владислав Коновалов - Авито Шумка Рапид</t>
  </si>
  <si>
    <t>Коновалов</t>
  </si>
  <si>
    <t>Лада гранта шумка 2 дверей</t>
  </si>
  <si>
    <t>Шумоизоляция Volvo xc90 и бронь фар</t>
  </si>
  <si>
    <t>ШВИ королла счет составлен и отправлен / ждем запись</t>
  </si>
  <si>
    <t>7 927 694-04-44 - Входящий звонок</t>
  </si>
  <si>
    <t>17,11 ШВИ арок + нк</t>
  </si>
  <si>
    <t>левша самара</t>
  </si>
  <si>
    <t>шумку колёсных арок на Киа. Соренто прайм / ЧАТ</t>
  </si>
  <si>
    <t>Марат - Авито - Левша-Сервис открытая линия</t>
  </si>
  <si>
    <t>ШВИ по чат в Вк</t>
  </si>
  <si>
    <t>Андрей Олегович - Авито - Шумка Арок</t>
  </si>
  <si>
    <t>Олегович</t>
  </si>
  <si>
    <t>хотел сделать шумку на автобусе</t>
  </si>
  <si>
    <t>проклейка арок</t>
  </si>
  <si>
    <t>максимка у которого нет денег на ШМ</t>
  </si>
  <si>
    <t>Максим - Авито - Левша-Сервис открытая линия</t>
  </si>
  <si>
    <t>смыть антикор с арок</t>
  </si>
  <si>
    <t>беспокоит шум в торпеде Kia Rio № к599от763 приглашен на осмотр</t>
  </si>
  <si>
    <t>Шумка комплексная Skoda Octavia a8</t>
  </si>
  <si>
    <t>ШВИ пола</t>
  </si>
  <si>
    <t>ШВИ двух арок</t>
  </si>
  <si>
    <t>Альфред</t>
  </si>
  <si>
    <t>Муллакаев</t>
  </si>
  <si>
    <t>ШВи крыши и багажника / не нужно</t>
  </si>
  <si>
    <t>Ивлиев</t>
  </si>
  <si>
    <t>ШВИ Рав 4 ЧАТ в вотсаппе</t>
  </si>
  <si>
    <t>Шумка Exeed TXL</t>
  </si>
  <si>
    <t>Pdr+ШВИ</t>
  </si>
  <si>
    <t>снять старую шумо вибро изоляцию арок приора</t>
  </si>
  <si>
    <t>шумовиброизоляция 4-х дверей лада веста</t>
  </si>
  <si>
    <t>7 987 956-08-76 - Входящий звонок</t>
  </si>
  <si>
    <t>Иван Капусткин - Авито Шумоизоляция</t>
  </si>
  <si>
    <t>Капусткин</t>
  </si>
  <si>
    <t>Шумка дверей без карт</t>
  </si>
  <si>
    <t>Андрей - Авито - Левша-Сервис открытая линия</t>
  </si>
  <si>
    <t>7 927 200-89-40 - Входящий звонок</t>
  </si>
  <si>
    <t>Ш_В_И_ дверей</t>
  </si>
  <si>
    <t>Шумка дверей Infiniti ex</t>
  </si>
  <si>
    <t>ШВИ дверей +арки</t>
  </si>
  <si>
    <t>Андрей Дмитриев - шумоизоляция уплотнителей</t>
  </si>
  <si>
    <t>ШВИ потолка Атлас / ЧАТ</t>
  </si>
  <si>
    <t>Миронов</t>
  </si>
  <si>
    <t>7 846 228-65-91 - Входящий звонок</t>
  </si>
  <si>
    <t>ШВИ Haval M6</t>
  </si>
  <si>
    <t>Долматов</t>
  </si>
  <si>
    <t>шумоизоляция 4 дверей Changan Uni S /</t>
  </si>
  <si>
    <t>7 939 707-05-60 - Входящий звонок</t>
  </si>
  <si>
    <t>шумоизоляция Лада Веста / ЧАТ</t>
  </si>
  <si>
    <t>Мазда СХ-30 /ШВИ двери, полы, арки / тонер ЗПС / бронь фар</t>
  </si>
  <si>
    <t>Шумка дверей Крузак</t>
  </si>
  <si>
    <t>шумоизоляция на ладу / чат</t>
  </si>
  <si>
    <t>София</t>
  </si>
  <si>
    <t>7 937 655-53-23 - Входящий звонок</t>
  </si>
  <si>
    <t>по вопросу наших работ по ШВИ</t>
  </si>
  <si>
    <t>во внутрь торпеды упали ключи</t>
  </si>
  <si>
    <t>ШВИ потолка и рестоврация дисков</t>
  </si>
  <si>
    <t>ШВИ арок/полы/двери Шкода Карок</t>
  </si>
  <si>
    <t>7 927 000-51-96 - Входящий звонок</t>
  </si>
  <si>
    <t>7 927 600-82-49 - Входящий звонок</t>
  </si>
  <si>
    <t>Тигуан сверчок завелся</t>
  </si>
  <si>
    <t>ШВИ резины</t>
  </si>
  <si>
    <t>скрипит торпеда</t>
  </si>
  <si>
    <t>Grushanin</t>
  </si>
  <si>
    <t>7 927 688-49-49 - Входящий звонок</t>
  </si>
  <si>
    <t>7 937 218-67-77 - Входящий звонок</t>
  </si>
  <si>
    <t>машина черная, жарко летом, крыша с люком так что шумку не сделать</t>
  </si>
  <si>
    <t>ШВИ дверей Uni-S</t>
  </si>
  <si>
    <t>7 939 754-71-80 - Входящий звонок</t>
  </si>
  <si>
    <t>ШВИ +пол+кер</t>
  </si>
  <si>
    <t>ШВИ двери и капот</t>
  </si>
  <si>
    <t>ШВИ Monjaro</t>
  </si>
  <si>
    <t>7 960 829-04-53 - Входящий звонок</t>
  </si>
  <si>
    <t>шви арок, все сложно</t>
  </si>
  <si>
    <t>Илья Сергеевич - Открытая линия Левша</t>
  </si>
  <si>
    <t>Hyundai Lafesta ШВИ без крыши</t>
  </si>
  <si>
    <t>7 905 300-33-35 - Входящий звонок</t>
  </si>
  <si>
    <t>АНТИКОР /ШВИ/КЕРАМ.</t>
  </si>
  <si>
    <t>ШВИ арок хавал джулион / психанул что не смог заехать</t>
  </si>
  <si>
    <t>ШВИ по отзыву на Хонде</t>
  </si>
  <si>
    <t>наталия</t>
  </si>
  <si>
    <t>ШВИ комплекс</t>
  </si>
  <si>
    <t>7 987 912-48-06 - Входящий звонок</t>
  </si>
  <si>
    <t>Антискрип торпеды</t>
  </si>
  <si>
    <t>15,04 на ШВИ</t>
  </si>
  <si>
    <t>ШВИ Двери Чанган cs55</t>
  </si>
  <si>
    <t>ЛК прадо 150 ШМ без арок</t>
  </si>
  <si>
    <t>блудняк приклеить</t>
  </si>
  <si>
    <t>Зверев</t>
  </si>
  <si>
    <t>Александр Тиго 9 Шви</t>
  </si>
  <si>
    <t>Комплекс шумоизоляции для Skoda rapid.</t>
  </si>
  <si>
    <t>7 927 009-36-93 - Входящий звонок</t>
  </si>
  <si>
    <t>Ш_В_И + кор. плёнк.</t>
  </si>
  <si>
    <t>7 987 444-57-67 - Входящий звонок</t>
  </si>
  <si>
    <t>ШВИ арок Аура</t>
  </si>
  <si>
    <t>скрип в передней панели , но лучше не трогать</t>
  </si>
  <si>
    <t>ШВИ Exeed TXL Эксперт позвонить в ПН 24,02</t>
  </si>
  <si>
    <t>ШВИ рио Х</t>
  </si>
  <si>
    <t>Kris</t>
  </si>
  <si>
    <t>7 987 981-61-50 - Входящий звонок</t>
  </si>
  <si>
    <t>ШВИ КОМПЛЕКС</t>
  </si>
  <si>
    <t>+7 927 604-19-54</t>
  </si>
  <si>
    <t>7 987 901-91-94 - Входящий звонок</t>
  </si>
  <si>
    <t>Киа Спортаж ШВИ/Полировка/Пленка 31,01</t>
  </si>
  <si>
    <t>ШВИ авто хавал дарго 20.01</t>
  </si>
  <si>
    <t>Прадо ШВИ / керамика подарочный сертификат</t>
  </si>
  <si>
    <t>7 903 029-99-93 - Входящий звонок</t>
  </si>
  <si>
    <t>Денис - полная шумоизоляция Камри 50</t>
  </si>
  <si>
    <t>Александр - шумоизоляцию на haval dargo</t>
  </si>
  <si>
    <t>ШВИ дверей на ауди а6 связь после январских</t>
  </si>
  <si>
    <t>2011 год!! Mazda CX-7 ШВИ комплекс без арок</t>
  </si>
  <si>
    <t>7 927 689-98-63 - Входящий звонок</t>
  </si>
  <si>
    <t>ШВИ Хавал дарго - двери,полы, багажник</t>
  </si>
  <si>
    <t>ШВИ на ниву</t>
  </si>
  <si>
    <t>ШВИ со своим материалом</t>
  </si>
  <si>
    <t>ШВИ по чату</t>
  </si>
  <si>
    <t>Geely Monjaro № м979ос763</t>
  </si>
  <si>
    <t>7 927 017-68-24 - Входящий звонок</t>
  </si>
  <si>
    <t>Пользователь - Открытая линия Левша</t>
  </si>
  <si>
    <t>Гранта 24г. Интересует шумовиброизоляция.</t>
  </si>
  <si>
    <t>Шерстобитов</t>
  </si>
  <si>
    <t>7 927 689-67-76 - Входящий звонок</t>
  </si>
  <si>
    <t>шви/ нива трэвл/ общаемся в чате. можно сделать все кроме арок</t>
  </si>
  <si>
    <t>Бортников</t>
  </si>
  <si>
    <t>шви/ тугела/ 29.11</t>
  </si>
  <si>
    <t>шви/ тугела / 29.11 к 9:%00/ актуальный</t>
  </si>
  <si>
    <t>Николай - Открытая линия Левша/ шви пола/ хочет только арки. арки сделать невозможно</t>
  </si>
  <si>
    <t>шумоизоляция торпеды / не делаем</t>
  </si>
  <si>
    <t>21,11 Mohav ШВИ</t>
  </si>
  <si>
    <t>Веста ШВИ</t>
  </si>
  <si>
    <t>15,11 Хонда СР-В шумка водительской двери + оклейка проемов</t>
  </si>
  <si>
    <t>скрип передней торпеды. не шумим панель</t>
  </si>
  <si>
    <t>Шумоизоляция Арок</t>
  </si>
  <si>
    <t>Шумка арок</t>
  </si>
  <si>
    <t>7 960 820-84-03 - Входящий звонок</t>
  </si>
  <si>
    <t>Просека антискрип</t>
  </si>
  <si>
    <t>Шумоизоляция RX-8</t>
  </si>
  <si>
    <t>шви ЗЛ двери + пленка под ручки/ хонда CR-V/ 25.10 к 17:00</t>
  </si>
  <si>
    <t>Ян Харитонов/ шви/ двери+кр. багажника / общаемся в чате</t>
  </si>
  <si>
    <t>Шумоизоляция торпеды</t>
  </si>
  <si>
    <t>Шумоизоляция двери</t>
  </si>
  <si>
    <t>делаем шви или нет</t>
  </si>
  <si>
    <t>шви / оптима /27.10 к 9:00</t>
  </si>
  <si>
    <t>ШМ крыша</t>
  </si>
  <si>
    <t>шви двери</t>
  </si>
  <si>
    <t>"ELS" - шумка дверей Гранта</t>
  </si>
  <si>
    <t>&amp;quot;ELS&amp;quot;</t>
  </si>
  <si>
    <t>по пропущенному/ не ответил</t>
  </si>
  <si>
    <t>шви. рио/ / 10.10 к 9:00</t>
  </si>
  <si>
    <t>Шумоизоляция арок и дверей, потолок Солярис хэчбек 14.10 , полировка дефекта бампера</t>
  </si>
  <si>
    <t>Шумка РАф-4 16 года (арки и полы)</t>
  </si>
  <si>
    <t>комплекс Шви 15,10 Чери тиго 4</t>
  </si>
  <si>
    <t>антикор на автомобиль</t>
  </si>
  <si>
    <t>киа рио 795 ШВИ Арок 2,10</t>
  </si>
  <si>
    <t>Павел - ШВИ зашумить двери и крышу 2114/ ответил в чате, жду ответ</t>
  </si>
  <si>
    <t>шумоизоляция багажника в вскр Куга</t>
  </si>
  <si>
    <t>шумка Faw Besturn x80</t>
  </si>
  <si>
    <t>Суслов</t>
  </si>
  <si>
    <t>Евгений Сидоров - Мазда сх7 шумка ДУМАЕТ</t>
  </si>
  <si>
    <t>Сидоров</t>
  </si>
  <si>
    <t>шумоизоляция автомобиля</t>
  </si>
  <si>
    <t>Андрей Миронов - шумоизоляция передних дверей Джили Атлас про 2023 года</t>
  </si>
  <si>
    <t>шви/ дорого</t>
  </si>
  <si>
    <t>Шумка мазда 6</t>
  </si>
  <si>
    <t>eXEED RX ШУМКА С ПАНЕЛЬЮ</t>
  </si>
  <si>
    <t>нужен антикор а не шумка</t>
  </si>
  <si>
    <t>Алексей Туарег - Voyah Free Двери, арки шумка</t>
  </si>
  <si>
    <t>Комплекс ШВИ Лада Веста кросс</t>
  </si>
  <si>
    <t>Владимир Чусовой - х трейл т 32 2021 год сколько будет стоить шумка</t>
  </si>
  <si>
    <t>Чусовой</t>
  </si>
  <si>
    <t>7 999 172-59-39 - Входящий звонок</t>
  </si>
  <si>
    <t>шумка гранта</t>
  </si>
  <si>
    <t>Олег Веста или Гранта новая машины, которую купит клиент</t>
  </si>
  <si>
    <t>Надежда - антискрип пластика на Гранту</t>
  </si>
  <si>
    <t>ШВИ 2112</t>
  </si>
  <si>
    <t>шумоизоляцию 4 дверей поло 2015 год дорест.</t>
  </si>
  <si>
    <t>Шумоизоляция. Самара</t>
  </si>
  <si>
    <t>эдуард / ли7 / шви + пленка и мойка на 11.09 к 9:00</t>
  </si>
  <si>
    <t>ШВИ Поло комплексная</t>
  </si>
  <si>
    <t>ШУМКА - - - Евгений Кириллов - Открытая линия Левша, шумануть полностью Тойоту пробокс 2020 г</t>
  </si>
  <si>
    <t>Кириллов</t>
  </si>
  <si>
    <t>александр/ х-трэйл / сам из бузулука, хочет сделать шви старого ведра, но бабушка не разрешает/ узнавал стоимость</t>
  </si>
  <si>
    <t>Владислав Игоревич - шумоизоляция авто, рапид 2022 года</t>
  </si>
  <si>
    <t>Игоревич</t>
  </si>
  <si>
    <t>Мазда СХ30 скрип в двери</t>
  </si>
  <si>
    <t>машину еще не купил. просто интересуется шви, как купит наберет</t>
  </si>
  <si>
    <t>7 917 112-53-95 - Входящий звонок</t>
  </si>
  <si>
    <t>ШВИ Полов Chery Tiggo в выходной день</t>
  </si>
  <si>
    <t>Валерий шумоизоляция Джейку3</t>
  </si>
  <si>
    <t>Шумоизоляция Arkana</t>
  </si>
  <si>
    <t>7 987 150-50-51 - Входящий звонок</t>
  </si>
  <si>
    <t>Перенести шумку на завтра</t>
  </si>
  <si>
    <t>ваз 2109 хочет проклеить панель не делаем</t>
  </si>
  <si>
    <t>Авито Андрей - шумка арок Астра купе</t>
  </si>
  <si>
    <t>Авито ШВИ дверей Камри 70</t>
  </si>
  <si>
    <t>станислав</t>
  </si>
  <si>
    <t>Авито Гранта комплексная шви</t>
  </si>
  <si>
    <t>Li 7/ шви (пол, двери, арки - 55000 со скидкой) хотел поставить СГУ - не сделаем, пленка: перед фара+проемы 12000 / НК 3500/ 13.08 к 9:00</t>
  </si>
  <si>
    <t>ШВИ / комплекс голдом без арок 55000/ думает</t>
  </si>
  <si>
    <t>София Тойота Аква комплексная шумка</t>
  </si>
  <si>
    <t>шумоизоляция Тойоту Хайс ВС</t>
  </si>
  <si>
    <t>ШВИ и ТОНИРОВКА - Николай Федоренко - Открытая линия Левша</t>
  </si>
  <si>
    <t>Федоренко</t>
  </si>
  <si>
    <t>Лада гранта Шви</t>
  </si>
  <si>
    <t>какой то свечок хочет убрать</t>
  </si>
  <si>
    <t>шумка Kia Srtage</t>
  </si>
  <si>
    <t>шумка торпеды</t>
  </si>
  <si>
    <t>Кирпичев</t>
  </si>
  <si>
    <t>Шумоизоляция Асх</t>
  </si>
  <si>
    <t>У него порш , а сиденье делает Шик Шик представляете?</t>
  </si>
  <si>
    <t>Комплексная ШВИ Хонда Сирайдер</t>
  </si>
  <si>
    <t>шумка крыши Tank 300</t>
  </si>
  <si>
    <t>ШВИ Lancer</t>
  </si>
  <si>
    <t>Лепёшкин</t>
  </si>
  <si>
    <t>вопрос клиента после работ по ШВИ</t>
  </si>
  <si>
    <t>Виктор/ гранта лифтбэк/ 40000/ дорого, сделает в тотти за 40000</t>
  </si>
  <si>
    <t>шумка с торпедой. не делаем</t>
  </si>
  <si>
    <t>шумка рапид</t>
  </si>
  <si>
    <t>шви</t>
  </si>
  <si>
    <t>ШВИ полов Тигго</t>
  </si>
  <si>
    <t>ШВИ на просеку</t>
  </si>
  <si>
    <t>ШВИ Lada SW Cross</t>
  </si>
  <si>
    <t>ШВИ арок Santa FE</t>
  </si>
  <si>
    <t>Митсубиши паджеро спорт шумка дверей</t>
  </si>
  <si>
    <t>Rav4 Шумоизоляция узнает и думает</t>
  </si>
  <si>
    <t>антискрип панели</t>
  </si>
  <si>
    <t>7 917 144-00-02 - Входящий звонок</t>
  </si>
  <si>
    <t>7 937 994-51-11 - Исходящий звонок</t>
  </si>
  <si>
    <t>7 927 745-63-14 - Исходящий звонок</t>
  </si>
  <si>
    <t>шви и тонировка нивы 27,06</t>
  </si>
  <si>
    <t>шви багажника</t>
  </si>
  <si>
    <t>7 917 315-50-07 - Входящий звонок</t>
  </si>
  <si>
    <t>7 917 952-21-80 - Входящий звонок</t>
  </si>
  <si>
    <t>ШВИ арок и полов</t>
  </si>
  <si>
    <t>Карок ШВИ</t>
  </si>
  <si>
    <t>обзвон по стоимости. шумка гранта</t>
  </si>
  <si>
    <t>шви калина узнает цены</t>
  </si>
  <si>
    <t>Сафронов</t>
  </si>
  <si>
    <t>шви арки в субботу</t>
  </si>
  <si>
    <t>трактора 7шт шви атермалка на стекла</t>
  </si>
  <si>
    <t>Александр Сердакаев / ШВИ просека</t>
  </si>
  <si>
    <t>Сердакаев</t>
  </si>
  <si>
    <t>7 986 953-37-39 - Входящий звонок</t>
  </si>
  <si>
    <t>ШВИ мазда сх5 июль</t>
  </si>
  <si>
    <t>Волжский</t>
  </si>
  <si>
    <t>Установка видеорегистратора, ШВИ</t>
  </si>
  <si>
    <t>Установка видеорегистратора, снять обшивку в багажнике</t>
  </si>
  <si>
    <t>СХ-5/035 ШВИ</t>
  </si>
  <si>
    <t>Мазда шумоизоляция 27.05.2024</t>
  </si>
  <si>
    <t>LADA Granta ШВИ авто для жены</t>
  </si>
  <si>
    <t>владимир</t>
  </si>
  <si>
    <t>Шумоизоляция Лада Веста Голд</t>
  </si>
  <si>
    <t>7 927 903-85-70 - Входящий звонок</t>
  </si>
  <si>
    <t>шумоизоляция дверей. 31.05. Сузуки</t>
  </si>
  <si>
    <t>XC90 шви арок 3,06</t>
  </si>
  <si>
    <t>шумоизоляция тигуан</t>
  </si>
  <si>
    <t>Ford Focus шви дверей</t>
  </si>
  <si>
    <t>ШВИ Ильяс - Открытая линия Левша, шумоизоляция 4 дверей и задней двери Тойота секвойя capstone</t>
  </si>
  <si>
    <t>Ильяс</t>
  </si>
  <si>
    <t>ШВИ--------Павел Варшанин - Открытая линия Левша</t>
  </si>
  <si>
    <t>Варшанин</t>
  </si>
  <si>
    <t>шви / паджеро / полы / 30.05</t>
  </si>
  <si>
    <t>ШВИ арок тигуан</t>
  </si>
  <si>
    <t>шумка камри комплекс</t>
  </si>
  <si>
    <t>шумка багажника</t>
  </si>
  <si>
    <t>Камри 70 шумка</t>
  </si>
  <si>
    <t>шумоизоляция и пленка</t>
  </si>
  <si>
    <t>7 922 817-13-01 - Входящий звонок</t>
  </si>
  <si>
    <t>7 903 335-90-89 - Входящий звонок</t>
  </si>
  <si>
    <t>шви/ мазда 6/ 28.05 к 10:00</t>
  </si>
  <si>
    <t>Дмитрий - Открытая линия Левша, полная шумоизоляция + арки на kia sportage 3, атермальная тонировка лобового стекла</t>
  </si>
  <si>
    <t>шумоизоляция в самаре</t>
  </si>
  <si>
    <t>7 927 738-07-82 - Входящий звонок</t>
  </si>
  <si>
    <t>Шумоизоляция Крета</t>
  </si>
  <si>
    <t>ШВИ арок Omoda S5</t>
  </si>
  <si>
    <t>Комплексная шумоизоляция Лада Гранта лифтбек</t>
  </si>
  <si>
    <t>12-16 мая Элантра, ШВИ, Полировка, стекло, антихром</t>
  </si>
  <si>
    <t>ШВИ сандеро</t>
  </si>
  <si>
    <t>шви ROX01 арки</t>
  </si>
  <si>
    <t>шумка</t>
  </si>
  <si>
    <t>7 937 653-73-79 - Входящий звонок</t>
  </si>
  <si>
    <t>химка всех сидений+пол водителя+ шви крыши и дверей/ 15.05 к 9:00</t>
  </si>
  <si>
    <t>Шумка потолка Шевроле Нива</t>
  </si>
  <si>
    <t>7 927 655-14-72 - Входящий звонок</t>
  </si>
  <si>
    <t>Шумоизоляция Солярис 12 года (комплексная). клиент хочет записаться на 6 мая. Объединила с прошлым лидом, чтобы вы знали о чем шла речь.</t>
  </si>
  <si>
    <t>ШВИ просека 06,05</t>
  </si>
  <si>
    <t>Саид</t>
  </si>
  <si>
    <t>Шумка Camry v50</t>
  </si>
  <si>
    <t>ШВИ Omoda C5 мониторит цены</t>
  </si>
  <si>
    <t>ШВИ - - - - - -- - - - - -- - -- - - - - -- - Геннадий Иванов - Открытая линия Левша</t>
  </si>
  <si>
    <t>шумоизоляция авто стоимость</t>
  </si>
  <si>
    <t>ШВИ александр, потолок Тугелла/ чат / сказал, что вопрос актуален, запишется позже. наберу в мае так как на апрель все занято</t>
  </si>
  <si>
    <t>Саша</t>
  </si>
  <si>
    <t>был на шви.сделака есть. вопрос по качеству</t>
  </si>
  <si>
    <t>ШВИ дверей не берет трубку</t>
  </si>
  <si>
    <t>ШВИ - - - -- - - -- - - - - - - --- - - --- - -- - Алексей Фридман - Открытая линия Левша</t>
  </si>
  <si>
    <t>Фридман</t>
  </si>
  <si>
    <t>5 про шумка арок Вольво ХС90</t>
  </si>
  <si>
    <t>шкода етти полов +просушить пол</t>
  </si>
  <si>
    <t>7 927 299-54-55 - Входящий звонок</t>
  </si>
  <si>
    <t>Alik - Открытая линия Левша</t>
  </si>
  <si>
    <t>Alik</t>
  </si>
  <si>
    <t>7 927 018-69-57 - Входящий звонок</t>
  </si>
  <si>
    <t>спортаж на шумку</t>
  </si>
  <si>
    <t>7 937 661-11-16 - Входящий звонок</t>
  </si>
  <si>
    <t>7 960 811-45-95 - Входящий звонок</t>
  </si>
  <si>
    <t>7 917 032-47-77 - Входящий звонок</t>
  </si>
  <si>
    <t>26.04/ тигуан "промстрой" керамика, полировка, шумка</t>
  </si>
  <si>
    <t>денис</t>
  </si>
  <si>
    <t>Шумка Джили Монжаро комплексная (крыша панорама)</t>
  </si>
  <si>
    <t>Джили Тугелла шумка - пол, двери, багажник, ниша под багажник</t>
  </si>
  <si>
    <t>Шумоизоляция Рено Сандеро (крышв, двери, полы, багажник. капот)</t>
  </si>
  <si>
    <t>Заявка с сайта ЛЕВША - форма Заказать звонок, Дарго комплексная шумка</t>
  </si>
  <si>
    <t>ШВИ RAV 4</t>
  </si>
  <si>
    <t>интересовался ШВИ чанган / озвучил стоимость голда 47000 и эксперта 57000. немного скинул с учетом панорамы в авто и арок. Звонил в ПМР ему там озвучили 42000.</t>
  </si>
  <si>
    <t>Александр Депкин - Открытая линия Левша ШВИ</t>
  </si>
  <si>
    <t>Депкин</t>
  </si>
  <si>
    <t>Арки зашумить и днище Джили Кулрей</t>
  </si>
  <si>
    <t>ШВИ Dmitry - Открытая линия Левша, шумоизоляция автомобиля Kia sportage V</t>
  </si>
  <si>
    <t>Dmitry</t>
  </si>
  <si>
    <t>Petrov</t>
  </si>
  <si>
    <t>Киа Рио Х-Лайн комплексная шумо</t>
  </si>
  <si>
    <t>Чанган Уника шумоизоляция комплексная, крышв панорамная, арки пластик</t>
  </si>
  <si>
    <t>Шумоизоляция Мазда СХ5</t>
  </si>
  <si>
    <t>Кодиак шумка дверей</t>
  </si>
  <si>
    <t>алмаз шумка арок форд фокус</t>
  </si>
  <si>
    <t>27,03 Шумка арок Форд Фокус</t>
  </si>
  <si>
    <t>Алмаз</t>
  </si>
  <si>
    <t>ШВИ на Гранта</t>
  </si>
  <si>
    <t>Эдуард - шумка</t>
  </si>
  <si>
    <t>ШВИ дверей/ не делаем с материалом клиента</t>
  </si>
  <si>
    <t>Зеленов</t>
  </si>
  <si>
    <t>Заявка с сайта ЛЕВША - форма Заказать звонок, Антикор и шумоизоляцию арок. Джей Ку</t>
  </si>
  <si>
    <t>Артем - Открытая линия Левша</t>
  </si>
  <si>
    <t>шви Ниссан нот 12,04</t>
  </si>
  <si>
    <t>Дымова</t>
  </si>
  <si>
    <t>хим рио полы думает сделать шви</t>
  </si>
  <si>
    <t>ШВИ рокс 001/ просил ему не звонить. позвонит сам</t>
  </si>
  <si>
    <t>7 917 110-10-60 - Входящий звонок</t>
  </si>
  <si>
    <t>шумка крета думает</t>
  </si>
  <si>
    <t>панель вспучилась на Rio</t>
  </si>
  <si>
    <t>Танк 500 шумоизоляция, антихром, потолок перетянуть в черный внутри салона</t>
  </si>
  <si>
    <t>7 927 712-95-53 - Входящий звонок</t>
  </si>
  <si>
    <t>фабия шумка пола 16,03</t>
  </si>
  <si>
    <t>Владимир - ШВИ на 5-я прос. ЧИкайте</t>
  </si>
  <si>
    <t>чанган юникей / ШВи передних дверей и тонер зад.полусферы</t>
  </si>
  <si>
    <t>ШВИ Заявка с сайта ЛЕВША - форма Online-запись/ 06.03 не взяла трубку</t>
  </si>
  <si>
    <t>Юля</t>
  </si>
  <si>
    <t>Федор</t>
  </si>
  <si>
    <t>шумоизоляция для авто купить</t>
  </si>
  <si>
    <t>Антискрип панели и дверей VW</t>
  </si>
  <si>
    <t>повторный лид</t>
  </si>
  <si>
    <t>шумка чанган ито+ 51500</t>
  </si>
  <si>
    <t>ШУМОИЗОЛЯЦИЯ !!!</t>
  </si>
  <si>
    <t>7 927 705-51-14 - Входящий звонок</t>
  </si>
  <si>
    <t>Форестер - ШВИ, думает что не поможет так как стекла нее двойные перезвонить как вернется с командировки</t>
  </si>
  <si>
    <t>Павел сертификат шумка</t>
  </si>
  <si>
    <t>дастер ШВИ / 75000 / думает</t>
  </si>
  <si>
    <t>ALEXEI -Шумоизоляция комплекс 5-я просека ребята тут бабки!!!!</t>
  </si>
  <si>
    <t>ШВИ Невеста чомплексс 52000</t>
  </si>
  <si>
    <t>Фабия универсал шумка дверей (шумка уже делалась, но выполнена некачественно), багажник тоже полы и крылья</t>
  </si>
  <si>
    <t>Шумоизоляция GLE 65000</t>
  </si>
  <si>
    <t>Монжаро шумка 65000</t>
  </si>
  <si>
    <t>Шумоизоляция</t>
  </si>
  <si>
    <t>ремонт лобового стекла</t>
  </si>
  <si>
    <t>дениса семенова искали для консультации, перевели на 5-ю прос.</t>
  </si>
  <si>
    <t>Шумка Чанган размер как аутлендер двери, багажник и возможно арки 43,5</t>
  </si>
  <si>
    <t>79261687616 - Исходящий звонок</t>
  </si>
  <si>
    <t>Шумоизоляция Mikhail / веста / комплекс 60 000 эксперт / думает</t>
  </si>
  <si>
    <t>Щербаков</t>
  </si>
  <si>
    <t>Мир - Открытая линия Левша</t>
  </si>
  <si>
    <t>Мир</t>
  </si>
  <si>
    <t>79063451309 - Входящий звонок</t>
  </si>
  <si>
    <t>Нива коротыш 2023 (шумка арок, багажника, крыши) комплекс.</t>
  </si>
  <si>
    <t>шумка комплекс на раф4</t>
  </si>
  <si>
    <t>Тюмченков Андрей Михайлович</t>
  </si>
  <si>
    <t>Кирилл - Открытая линия Левша</t>
  </si>
  <si>
    <t>Шумка Нива Легенд 62,500 тонировка зад 6000 бока атермалка 4000 полоса 1000</t>
  </si>
  <si>
    <t>Продать шумку</t>
  </si>
  <si>
    <t>У вас дорого делать шумоизоляцию Нива Тревел</t>
  </si>
  <si>
    <t>по готовности автомобиля</t>
  </si>
  <si>
    <t>Шумоизоляция нивы 63000</t>
  </si>
  <si>
    <t>79879063217 - Входящий звонок</t>
  </si>
  <si>
    <t>Rasul - Открытая линия Левша</t>
  </si>
  <si>
    <t>Rasul</t>
  </si>
  <si>
    <t>Шумка задней стенки Changan Hunter Plus на 7.01</t>
  </si>
  <si>
    <t>Шумка потолка прадо 150</t>
  </si>
  <si>
    <t>Василий - Открытая линия Левша Сколько будет стоить проклеить четыре двери с моим материалом ?</t>
  </si>
  <si>
    <t>Artoym Petkelis - Открытая линия Левша</t>
  </si>
  <si>
    <t>Artoym</t>
  </si>
  <si>
    <t>Petkelis</t>
  </si>
  <si>
    <t>шумка антискрип</t>
  </si>
  <si>
    <t>79276883725 - Входящий звонок</t>
  </si>
  <si>
    <t>79991721564 - Исходящий звонок</t>
  </si>
  <si>
    <t>79270090924 - Входящий звонок</t>
  </si>
  <si>
    <t>сергей лазко гремит в багажнике записан 18,12 просека</t>
  </si>
  <si>
    <t>ШВИ / рапид / 27.09 / 9:00</t>
  </si>
  <si>
    <t>Интересовался шумкой</t>
  </si>
  <si>
    <t>79371716225 - Входящий звонок</t>
  </si>
  <si>
    <t>Электрощит преждложение по шумоизоляции</t>
  </si>
  <si>
    <t>шумка джей ку полы двери арки 50500</t>
  </si>
  <si>
    <t>ШВИ мазда CX5 / 12/12</t>
  </si>
  <si>
    <t>ШВИ арок просека 7.12</t>
  </si>
  <si>
    <t>Nissan X-Trail № е373мс763 шумка</t>
  </si>
  <si>
    <t>шумка ларгус</t>
  </si>
  <si>
    <t>уточнение записи на шумку</t>
  </si>
  <si>
    <t>шумка поло на поло</t>
  </si>
  <si>
    <t>шумка ком предложение</t>
  </si>
  <si>
    <t>Алексей - Открытая линия Левша Интересует шумоизоляция</t>
  </si>
  <si>
    <t>звонил по поводу ШВИ на рено аркана</t>
  </si>
  <si>
    <t>Октавия зашумить 2 двери правые пассажирскую и заднюю (на другой стороне есть изоляция, на этой стороне произошло дтп)</t>
  </si>
  <si>
    <t>оклейка торпеды / не делаем</t>
  </si>
  <si>
    <t>ШВИ 4-х дверей</t>
  </si>
  <si>
    <t>Какая то тесла шумо изоляция приедет покажет свои арки</t>
  </si>
  <si>
    <t>Агасий</t>
  </si>
  <si>
    <t>Хавал новый шумка комплексная</t>
  </si>
  <si>
    <t>79370782955 - Входящий звонок</t>
  </si>
  <si>
    <t>ШВИ Haval</t>
  </si>
  <si>
    <t>Шумоизоляция хавал дарго пол 22000, багажник 14500</t>
  </si>
  <si>
    <t>А4 просека шумка арок и тонировка зад. полусферы</t>
  </si>
  <si>
    <t>скирип в сиденье Mazda 6</t>
  </si>
  <si>
    <t>Faiz - Открытая линия Левша</t>
  </si>
  <si>
    <t>Faiz</t>
  </si>
  <si>
    <t>79270086968 - Входящий звонок</t>
  </si>
  <si>
    <t>Тусан гремит задняя дверь (посмотреть, что шумит)</t>
  </si>
  <si>
    <t>ШВИ на ниву комплекс</t>
  </si>
  <si>
    <t>Шумка Джак 7</t>
  </si>
  <si>
    <t>Шумка Тойота Вокси</t>
  </si>
  <si>
    <t>ШВИ на LADA</t>
  </si>
  <si>
    <t>М</t>
  </si>
  <si>
    <t>Шумка гранты</t>
  </si>
  <si>
    <t>79625683397 - Входящий звонок</t>
  </si>
  <si>
    <t>Шумоизоляция Vesta</t>
  </si>
  <si>
    <t>Николай Кондалов</t>
  </si>
  <si>
    <t>79379929202 - Входящий звонок</t>
  </si>
  <si>
    <t>Шумка дверей Аутлэндер 3</t>
  </si>
  <si>
    <t>Шумка арок на RIO X</t>
  </si>
  <si>
    <t>79179414997 - Входящий звонок</t>
  </si>
  <si>
    <t>79376497373 - Входящий звонок</t>
  </si>
  <si>
    <t>шумоизоляция рено дастер</t>
  </si>
  <si>
    <t>4 двери на Лада Веста Кросс</t>
  </si>
  <si>
    <t>79179509107 - Входящий звонок</t>
  </si>
  <si>
    <t>Шумка приоры 16 год моторного отсека</t>
  </si>
  <si>
    <t>79272083957 - Входящий звонок</t>
  </si>
  <si>
    <t>79061265906 - Входящий звонок</t>
  </si>
  <si>
    <t>79276565178 - Входящий звонок</t>
  </si>
  <si>
    <t>ШВИ на 2114</t>
  </si>
  <si>
    <t>79879019194 - Входящий звонок</t>
  </si>
  <si>
    <t>Женя - Открытая линия Левша</t>
  </si>
  <si>
    <t>Женя</t>
  </si>
  <si>
    <t>шумка грузовика</t>
  </si>
  <si>
    <t>Mikhail Krapivin - Открытая линия Левша</t>
  </si>
  <si>
    <t>Krapivin</t>
  </si>
  <si>
    <t>шумоизоляция авто</t>
  </si>
  <si>
    <t>Андрей / шумка (арки, полы) / 22.09</t>
  </si>
  <si>
    <t>шумка комплекс 38500/ думает, перезвонит</t>
  </si>
  <si>
    <t>антикорозия</t>
  </si>
  <si>
    <t>79379810063 - Входящий звонок</t>
  </si>
  <si>
    <t>ШВИ Гранта</t>
  </si>
  <si>
    <t>3ger</t>
  </si>
  <si>
    <t>Запись на шумку просека 14,09</t>
  </si>
  <si>
    <t>ШВИ паджеро</t>
  </si>
  <si>
    <t>по шумке вопрос</t>
  </si>
  <si>
    <t>ШВИ Kia Optima на 07.09</t>
  </si>
  <si>
    <t>Сегей - Открытая линия Левша</t>
  </si>
  <si>
    <t>Сегей</t>
  </si>
  <si>
    <t>79991702538 - Исходящий звонок</t>
  </si>
  <si>
    <t>79372199912 - Входящий звонок</t>
  </si>
  <si>
    <t>pajero-4 шумка</t>
  </si>
  <si>
    <t>79376503665 - Входящий звонок</t>
  </si>
  <si>
    <t>79874517116 - Входящий звонок</t>
  </si>
  <si>
    <t>sergiu11675 - Открытая линия Левша</t>
  </si>
  <si>
    <t>sergiu11675</t>
  </si>
  <si>
    <t>x7 - шумка дверных карт</t>
  </si>
  <si>
    <t>Mazda - шумка</t>
  </si>
  <si>
    <t>camry ШВИ дверей</t>
  </si>
  <si>
    <t>шумка дверей и антискрип на BMW 5</t>
  </si>
  <si>
    <t>79063420843 - Входящий звонок</t>
  </si>
  <si>
    <t>mordovinstanislav11 - Открытая линия Левша</t>
  </si>
  <si>
    <t>mordovinstanislav11</t>
  </si>
  <si>
    <t>79677630500 - Входящий звонок</t>
  </si>
  <si>
    <t>Я</t>
  </si>
  <si>
    <t>79093292832 - Входящий звонок</t>
  </si>
  <si>
    <t>шви дверей</t>
  </si>
  <si>
    <t>79379909300 - Исходящий звонок</t>
  </si>
  <si>
    <t>78462622873 - Входящий звонок</t>
  </si>
  <si>
    <t>79179550111 - Входящий звонок</t>
  </si>
  <si>
    <t>Алексей Галайдо - Открытая линия Левша</t>
  </si>
  <si>
    <t>Галайдо</t>
  </si>
  <si>
    <t>79198089144 - Входящий звонок</t>
  </si>
  <si>
    <t>Denis Shmelev - Открытая линия Левша</t>
  </si>
  <si>
    <t>Shmelev</t>
  </si>
  <si>
    <t>optima - шумка</t>
  </si>
  <si>
    <t>ШВИ потолка со своим материаллом</t>
  </si>
  <si>
    <t>tiguan527 - просека мойка/шумка/коррекция</t>
  </si>
  <si>
    <t>tiguan598 - стойка скрипит</t>
  </si>
  <si>
    <t>установка двойных стекол и шумоизоляция</t>
  </si>
  <si>
    <t>79276856045 - Входящий звонок</t>
  </si>
  <si>
    <t>+7 937 172-88-70 - Открытая линия Левша</t>
  </si>
  <si>
    <t>+7 937 172-88-70</t>
  </si>
  <si>
    <t>шумоизоляция авто цена</t>
  </si>
  <si>
    <t>Шумка кашкай</t>
  </si>
  <si>
    <t>Шишкин</t>
  </si>
  <si>
    <t>niva шумка</t>
  </si>
  <si>
    <t>79171504956 - Входящий звонок</t>
  </si>
  <si>
    <t>ШВИ, Пленка и керамика</t>
  </si>
  <si>
    <t>ШВИ дверей арки и полы</t>
  </si>
  <si>
    <t>Василевский</t>
  </si>
  <si>
    <t>79107373929 - Входящий звонок</t>
  </si>
  <si>
    <t>79213133449 - Входящий звонок</t>
  </si>
  <si>
    <t>79171647330 - Входящий звонок</t>
  </si>
  <si>
    <t>Шумка машины со своим материалом</t>
  </si>
  <si>
    <t>79292775255 - Входящий звонок</t>
  </si>
  <si>
    <t>79270032277 - Входящий звонок</t>
  </si>
  <si>
    <t>79224561507 - Входящий звонок</t>
  </si>
  <si>
    <t>ШВИ звонок с Авито</t>
  </si>
  <si>
    <t>шумоизоляция самара цена</t>
  </si>
  <si>
    <t>79397074323 - Входящий звонок</t>
  </si>
  <si>
    <t>79198022434 - Входящий звонок</t>
  </si>
  <si>
    <t>Kirill Mullov - Открытая линия Левша</t>
  </si>
  <si>
    <t>Mullov</t>
  </si>
  <si>
    <t>Антон - Открытая линия Левша</t>
  </si>
  <si>
    <t>79277186351 - Входящий звонок</t>
  </si>
  <si>
    <t>Юрнес</t>
  </si>
  <si>
    <t>79276900557 - Входящий звонок</t>
  </si>
  <si>
    <t>79276864148 - Входящий звонок</t>
  </si>
  <si>
    <t>79376451910 - Входящий звонок</t>
  </si>
  <si>
    <t>Skoda Superb шумка</t>
  </si>
  <si>
    <t>ШВИ торпеды</t>
  </si>
  <si>
    <t>79277478271 - Входящий звонок</t>
  </si>
  <si>
    <t>79276598328 - Входящий звонок</t>
  </si>
  <si>
    <t>ШВИ на Гранту</t>
  </si>
  <si>
    <t>Сергей Ткаченко - Открытая линия Левша</t>
  </si>
  <si>
    <t>Ткаченко</t>
  </si>
  <si>
    <t>79276884755 - Входящий звонок</t>
  </si>
  <si>
    <t>79397099093 - Входящий звонок</t>
  </si>
  <si>
    <t>ШВИ на 200р.</t>
  </si>
  <si>
    <t>олнг</t>
  </si>
  <si>
    <t>Трактора Кат нужно зашумить кабины с выездом на Воинскую, 11 (Кряж)</t>
  </si>
  <si>
    <t>Айрат</t>
  </si>
  <si>
    <t>Maxim - Открытая линия Левша</t>
  </si>
  <si>
    <t>Полировка Поверхности</t>
  </si>
  <si>
    <t>79376424620 - Входящий звонок</t>
  </si>
  <si>
    <t>ШВИ на солярис двери</t>
  </si>
  <si>
    <t>Мастеров</t>
  </si>
  <si>
    <t>ШВИ vesta</t>
  </si>
  <si>
    <t>79270161092 - Входящий звонок</t>
  </si>
  <si>
    <t>79277550999 - Входящий звонок</t>
  </si>
  <si>
    <t>79677223222 - Входящий звонок</t>
  </si>
  <si>
    <t>ШВИ на К5</t>
  </si>
  <si>
    <t>79270175095 - Входящий звонок</t>
  </si>
  <si>
    <t>79276008177 - Входящий звонок</t>
  </si>
  <si>
    <t>ШВИ на ГАЗЕЛЬ</t>
  </si>
  <si>
    <t>79270172898 - Входящий звонок</t>
  </si>
  <si>
    <t>79372016918 - Входящий звонок</t>
  </si>
  <si>
    <t>шм</t>
  </si>
  <si>
    <t>79397551617 - Входящий звонок</t>
  </si>
  <si>
    <t>79376555870 - Входящий звонок</t>
  </si>
  <si>
    <t>79372096002 - Входящий звонок</t>
  </si>
  <si>
    <t>Артём Семичев - Открытая линия Левша</t>
  </si>
  <si>
    <t>Семичев</t>
  </si>
  <si>
    <t>шумка звонок с Авито</t>
  </si>
  <si>
    <t>Александр Николаевич</t>
  </si>
  <si>
    <t>79276862195 - Входящий звонок</t>
  </si>
  <si>
    <t>ШВИ на гранту</t>
  </si>
  <si>
    <t>seregakornev2</t>
  </si>
  <si>
    <t>Сергей Тумаев - Открытая линия Левша</t>
  </si>
  <si>
    <t>Тумаев</t>
  </si>
  <si>
    <t>Дим</t>
  </si>
  <si>
    <t>79370666777 - Входящий звонок</t>
  </si>
  <si>
    <t>79363337770 - Исходящий звонок</t>
  </si>
  <si>
    <t>79277562332 - Входящий звонок</t>
  </si>
  <si>
    <t>79277352637 - Входящий звонок</t>
  </si>
  <si>
    <t>ШВИ Солярис Максим</t>
  </si>
  <si>
    <t>ШВИ Lada Vesta</t>
  </si>
  <si>
    <t>ШВИ теслы</t>
  </si>
  <si>
    <t>Максим Аляев - Открытая линия Левша</t>
  </si>
  <si>
    <t>Аляев</t>
  </si>
  <si>
    <t>Александр Логинов - Левша-Сервис открытая линия</t>
  </si>
  <si>
    <t>ВКонтакте - Левша-Сервис открытая линия</t>
  </si>
  <si>
    <t>Логинов</t>
  </si>
  <si>
    <t>79171677952 - Входящий звонок</t>
  </si>
  <si>
    <t>79869578565 - Входящий звонок</t>
  </si>
  <si>
    <t>79122182938 - Входящий звонок</t>
  </si>
  <si>
    <t>79879720202 - Входящий звонок</t>
  </si>
  <si>
    <t>шумка астра опель</t>
  </si>
  <si>
    <t>yur</t>
  </si>
  <si>
    <t>прадо/009 шм</t>
  </si>
  <si>
    <t>ШМ,пленка,антихром и тонировка</t>
  </si>
  <si>
    <t>шви / тонировка</t>
  </si>
  <si>
    <t>79677675757 - Входящий звонок</t>
  </si>
  <si>
    <t>79277710203 - Входящий звонок</t>
  </si>
  <si>
    <t>79278991888 - Входящий звонок</t>
  </si>
  <si>
    <t>79270124717 - Входящий звонок</t>
  </si>
  <si>
    <t>шумка паждеро из Эмиратов</t>
  </si>
  <si>
    <t>комплекс ШВИ на 29 число</t>
  </si>
  <si>
    <t>79608224195 - Входящий звонок</t>
  </si>
  <si>
    <t>79379961742 - Входящий звонок</t>
  </si>
  <si>
    <t>79023790699 - Входящий звонок</t>
  </si>
  <si>
    <t>шумка полы,двеви, потолок</t>
  </si>
  <si>
    <t>ШВИ пер. двери</t>
  </si>
  <si>
    <t>79277111699 - Входящий звонок</t>
  </si>
  <si>
    <t>79179500500 - Входящий звонок</t>
  </si>
  <si>
    <t>79277066582 - Входящий звонок</t>
  </si>
  <si>
    <t>79372007747 - Входящий звонок</t>
  </si>
  <si>
    <t>ШУМКА туксон</t>
  </si>
  <si>
    <t>BOB</t>
  </si>
  <si>
    <t>79871634188 - Входящий звонок</t>
  </si>
  <si>
    <t>ШВИ на POLO</t>
  </si>
  <si>
    <t>ШВИ, тонировка и установка динамиков</t>
  </si>
  <si>
    <t>79033655646 - Входящий звонок</t>
  </si>
  <si>
    <t>шумоизоляция киа</t>
  </si>
  <si>
    <t>найти откуда звук в салоне</t>
  </si>
  <si>
    <t>79270122321 - Входящий звонок</t>
  </si>
  <si>
    <t>79270039394 - Входящий звонок</t>
  </si>
  <si>
    <t>Заполнение CRM-формы "Обратный звонок с номера "Приложение: MANGO OFFICE""+79225383777</t>
  </si>
  <si>
    <t>Динислам</t>
  </si>
  <si>
    <t>78463411537 - Входящий звонок</t>
  </si>
  <si>
    <t>79879227701 - Входящий звонок</t>
  </si>
  <si>
    <t>79171426879 - Исходящий звонок</t>
  </si>
  <si>
    <t>Комплексная ШВИ</t>
  </si>
  <si>
    <t>Mitsubishi Outlander № В184ТА763</t>
  </si>
  <si>
    <t>79372058112 - Входящий звонок</t>
  </si>
  <si>
    <t>79033004974 - Входящий звонок</t>
  </si>
  <si>
    <t>Сергей Моисеенко - Открытая линия Левша</t>
  </si>
  <si>
    <t>Моисеенко</t>
  </si>
  <si>
    <t>шумка на потолок в доме</t>
  </si>
  <si>
    <t>79603980935 - Входящий звонок</t>
  </si>
  <si>
    <t>79608281333 - Входящий звонок</t>
  </si>
  <si>
    <t>Alexey - Открытая линия Левша</t>
  </si>
  <si>
    <t>79371854995 - Входящий звонок</t>
  </si>
  <si>
    <t>шви задней полки бмв 6</t>
  </si>
  <si>
    <t>Агатолий</t>
  </si>
  <si>
    <t>шумоизоляция арок</t>
  </si>
  <si>
    <t>Aleks</t>
  </si>
  <si>
    <t>79272651448 - Входящий звонок</t>
  </si>
  <si>
    <t>79963414463 - Входящий звонок</t>
  </si>
  <si>
    <t>пленка, шумоизоляция</t>
  </si>
  <si>
    <t>Коробский</t>
  </si>
  <si>
    <t>шумка Крузера полностью</t>
  </si>
  <si>
    <t>ШВи</t>
  </si>
  <si>
    <t>Зохид</t>
  </si>
  <si>
    <t>79277448568 - Входящий звонок</t>
  </si>
  <si>
    <t>ШВИ дверей Веста</t>
  </si>
  <si>
    <t>скрипы в багажнике</t>
  </si>
  <si>
    <t>79991096672 - Исходящий звонок</t>
  </si>
  <si>
    <t>Дмитрий Цой - Открытая линия Левша</t>
  </si>
  <si>
    <t>Цой</t>
  </si>
  <si>
    <t>ШВИ на весту две двери</t>
  </si>
  <si>
    <t>Мунир</t>
  </si>
  <si>
    <t>Мойка</t>
  </si>
  <si>
    <t>19.10.2022</t>
  </si>
  <si>
    <t>79172530910 - Входящий звонок</t>
  </si>
  <si>
    <t>79277250961 - Входящий звонок</t>
  </si>
  <si>
    <t>Иннокентий - Открытая линия Левша</t>
  </si>
  <si>
    <t>Иннокентий</t>
  </si>
  <si>
    <t>+7 929 670-08-05</t>
  </si>
  <si>
    <t>шумоизоляция машины</t>
  </si>
  <si>
    <t>79277279347 - Входящий звонок</t>
  </si>
  <si>
    <t>79297001987 - Входящий звонок</t>
  </si>
  <si>
    <t>79370776756 - Входящий звонок</t>
  </si>
  <si>
    <t>79276508636 - Входящий звонок</t>
  </si>
  <si>
    <t>79379944479 - Исходящий звонок</t>
  </si>
  <si>
    <t>79871508440 - Входящий звонок</t>
  </si>
  <si>
    <t>Гуфронов МУБОРАКШОХ - Открытая линия Левша</t>
  </si>
  <si>
    <t>Гуфронов</t>
  </si>
  <si>
    <t>МУБОРАКШОХ</t>
  </si>
  <si>
    <t>79198044214 - Входящий звонок</t>
  </si>
  <si>
    <t>79276022223 - Входящий звонок</t>
  </si>
  <si>
    <t>79277022877 - Входящий звонок</t>
  </si>
  <si>
    <t>79372026542 - Исходящий звонок</t>
  </si>
  <si>
    <t>Авито шумка</t>
  </si>
  <si>
    <t>79171412543 - Входящий звонок</t>
  </si>
  <si>
    <t>ШМ</t>
  </si>
  <si>
    <t>79272006024 - Входящий звонок</t>
  </si>
  <si>
    <t>79272057555 - Входящий звонок</t>
  </si>
  <si>
    <t>Ринат - Открытая линия Левша</t>
  </si>
  <si>
    <t>Хабил - Открытая линия Левша</t>
  </si>
  <si>
    <t>Хабил</t>
  </si>
  <si>
    <t>Роман Жданов - Открытая линия Левша</t>
  </si>
  <si>
    <t>Карок</t>
  </si>
  <si>
    <t>шумоизоляция,скол</t>
  </si>
  <si>
    <t>Nikita Kulichkov</t>
  </si>
  <si>
    <t>78463740066 - Входящий звонок</t>
  </si>
  <si>
    <t>79270001990 - Входящий звонок</t>
  </si>
  <si>
    <t>Жданов</t>
  </si>
  <si>
    <t>есть активная сделка по данной работе</t>
  </si>
  <si>
    <t>79225486700 - Входящий звонок</t>
  </si>
  <si>
    <t>79171469743 - Входящий звонок</t>
  </si>
  <si>
    <t>Виталий Быстряков - Открытая линия Левша</t>
  </si>
  <si>
    <t>Быстряков</t>
  </si>
  <si>
    <t>79966203520 - Входящий звонок</t>
  </si>
  <si>
    <t>79297011181 - Входящий звонок</t>
  </si>
  <si>
    <t>79178141640 - Входящий звонок</t>
  </si>
  <si>
    <t>79179777050 - Входящий звонок</t>
  </si>
  <si>
    <t>78462334155 - Входящий звонок</t>
  </si>
  <si>
    <t>79028276698 - Входящий звонок</t>
  </si>
  <si>
    <t>Виталёс</t>
  </si>
  <si>
    <t>Артем Николаевич - Открытая линия Левша</t>
  </si>
  <si>
    <t>Николаевич</t>
  </si>
  <si>
    <t>79276169150 - Входящий звонок</t>
  </si>
  <si>
    <t>79277310751 - Входящий звонок</t>
  </si>
  <si>
    <t>79277707258 - Входящий звонок</t>
  </si>
  <si>
    <t>79879051658 - Входящий звонок</t>
  </si>
  <si>
    <t>79370742414 - Входящий звонок</t>
  </si>
  <si>
    <t>79879898143 - Входящий звонок</t>
  </si>
  <si>
    <t>Курьер</t>
  </si>
  <si>
    <t>Шумоизоляция гарантийный ремонт</t>
  </si>
  <si>
    <t>79292831000 - Входящий звонок</t>
  </si>
  <si>
    <t>79871630763 - Входящий звонок</t>
  </si>
  <si>
    <t>79277309433 - Входящий звонок</t>
  </si>
  <si>
    <t>79370619799 - Входящий звонок</t>
  </si>
  <si>
    <t>79879267532 - Входящий звонок</t>
  </si>
  <si>
    <t>79019423712 - Входящий звонок</t>
  </si>
  <si>
    <t>Курьер - Открытая линия Левша</t>
  </si>
  <si>
    <t>29.06.2022</t>
  </si>
  <si>
    <t>79198001574 - Входящий звонок</t>
  </si>
  <si>
    <t>79612875238 - Входящий звонок</t>
  </si>
  <si>
    <t>21.06.2022</t>
  </si>
  <si>
    <t>19.06.2022</t>
  </si>
  <si>
    <t>Sangrev</t>
  </si>
  <si>
    <t>13.06.2022</t>
  </si>
  <si>
    <t>Игорь Гавриленков</t>
  </si>
  <si>
    <t>79297059016 - Входящий звонок</t>
  </si>
  <si>
    <t>79879875958 - Входящий звонок</t>
  </si>
  <si>
    <t>Шумоизоляция арок</t>
  </si>
  <si>
    <t>Романович</t>
  </si>
  <si>
    <t>Захаров</t>
  </si>
  <si>
    <t>79370622282 - Входящий звонок</t>
  </si>
  <si>
    <t>79270008117 - Входящий звонок</t>
  </si>
  <si>
    <t>79277100600 - Входящий звонок</t>
  </si>
  <si>
    <t>79277262664 - Входящий звонок</t>
  </si>
  <si>
    <t>STI ШВИ</t>
  </si>
  <si>
    <t>79924091276 - Входящий звонок</t>
  </si>
  <si>
    <t>Николай Богданов - Открытая линия Левша</t>
  </si>
  <si>
    <t>79399990997 - Входящий звонок</t>
  </si>
  <si>
    <t>игорь - Открытая линия Левша</t>
  </si>
  <si>
    <t>79272969377 - Входящий звонок</t>
  </si>
  <si>
    <t>79276500007 - Входящий звонок</t>
  </si>
  <si>
    <t>Сергей Петрунин - Открытая линия Левша</t>
  </si>
  <si>
    <t>Петрунин</t>
  </si>
  <si>
    <t>камри шви капот</t>
  </si>
  <si>
    <t>Ривкат Каримов - Открытая линия Левша</t>
  </si>
  <si>
    <t>Ривкат</t>
  </si>
  <si>
    <t>Каримов</t>
  </si>
  <si>
    <t>79277528182 - Входящий звонок</t>
  </si>
  <si>
    <t>79277299691 - Входящий звонок</t>
  </si>
  <si>
    <t>79371746867 - Входящий звонок</t>
  </si>
  <si>
    <t>79277606910 - Входящий звонок</t>
  </si>
  <si>
    <t>Алексей Шутько - Открытая линия Левша</t>
  </si>
  <si>
    <t>Шутько</t>
  </si>
  <si>
    <t>79370634147 - Входящий звонок</t>
  </si>
  <si>
    <t>79649849648 - Входящий звонок</t>
  </si>
  <si>
    <t>шви задвоен, ведут диалог с отцом</t>
  </si>
  <si>
    <t>79376497959 - Входящий звонок</t>
  </si>
  <si>
    <t>79063460872 - Входящий звонок</t>
  </si>
  <si>
    <t>79276902704 - Входящий звонок</t>
  </si>
  <si>
    <t>Степан Учватов - Открытая линия Левша</t>
  </si>
  <si>
    <t>Учватов</t>
  </si>
  <si>
    <t>Евгений Викторович - Открытая линия Левша</t>
  </si>
  <si>
    <t>79083916974 - Входящий звонок</t>
  </si>
  <si>
    <t>Дмитрий Аннин - Открытая линия Левша</t>
  </si>
  <si>
    <t>Аннин</t>
  </si>
  <si>
    <t>Дмитрии Вилков - Открытая линия Левша</t>
  </si>
  <si>
    <t>Дмитрии</t>
  </si>
  <si>
    <t>Вилков</t>
  </si>
  <si>
    <t>Богдан ШВИ - Открытая линия Левша</t>
  </si>
  <si>
    <t>79276899999 - Входящий звонок</t>
  </si>
  <si>
    <t>Андрей Иванович - Открытая линия Левша</t>
  </si>
  <si>
    <t>Иванович</t>
  </si>
  <si>
    <t>79260007553 - Входящий звонок</t>
  </si>
  <si>
    <t>79277052920 - Входящий звонок</t>
  </si>
  <si>
    <t>79276555155 - Входящий звонок</t>
  </si>
  <si>
    <t>Влад - Открытая линия Левша</t>
  </si>
  <si>
    <t>79869520038 - Входящий звонок</t>
  </si>
  <si>
    <t>Евгений Гревцов - Открытая линия Левша</t>
  </si>
  <si>
    <t>Гревцов</t>
  </si>
  <si>
    <t>79277757366 - Входящий звонок</t>
  </si>
  <si>
    <t>79272634393 - Входящий звонок</t>
  </si>
  <si>
    <t>79277171221 - Входящий звонок</t>
  </si>
  <si>
    <t>79371004055 - Входящий звонок</t>
  </si>
  <si>
    <t>оптима шумка 2х дверей</t>
  </si>
  <si>
    <t>rio шумка 2 двери и арки</t>
  </si>
  <si>
    <t>79277236201 - Входящий звонок</t>
  </si>
  <si>
    <t>79370666984 - Входящий звонок</t>
  </si>
  <si>
    <t>79372094745 - Входящий звонок</t>
  </si>
  <si>
    <t>+7 939 757-23-59 - Открытая линия Левша</t>
  </si>
  <si>
    <t>+7 939 757-23-59</t>
  </si>
  <si>
    <t>79171570422 - Входящий звонок</t>
  </si>
  <si>
    <t>ВА - Открытая линия Левша</t>
  </si>
  <si>
    <t>ВА</t>
  </si>
  <si>
    <t>79033003141 - Входящий звонок</t>
  </si>
  <si>
    <t>+7 937 988-62-01 - Открытая линия Левша</t>
  </si>
  <si>
    <t>+7 937 988-62-01</t>
  </si>
  <si>
    <t>79277177514 - Входящий звонок</t>
  </si>
  <si>
    <t>Василий - Открытая линия Левша</t>
  </si>
  <si>
    <t>Денис Печёнкин - Открытая линия Левша</t>
  </si>
  <si>
    <t>Печёнкин</t>
  </si>
  <si>
    <t>79613809279 - Входящий звонок</t>
  </si>
  <si>
    <t>Анвар Ниссан</t>
  </si>
  <si>
    <t>Андрей LC200</t>
  </si>
  <si>
    <t>Марат - Открытая линия Левша</t>
  </si>
  <si>
    <t>Саранский Борис Сергеевич Рено логан 14 года выпус</t>
  </si>
  <si>
    <t>Анастасия Lada priora</t>
  </si>
  <si>
    <t>79879742638 - Входящий звонок</t>
  </si>
  <si>
    <t>Ильшат Тигуан</t>
  </si>
  <si>
    <t>79277645031 - Входящий звонок</t>
  </si>
  <si>
    <t>78462150010 - Входящий звонок</t>
  </si>
  <si>
    <t>Николай Матвеев рено дастер</t>
  </si>
  <si>
    <t>78463720069 - Входящий звонок</t>
  </si>
  <si>
    <t>79613872983 - Входящий звонок</t>
  </si>
  <si>
    <t>Subscriber - Открытая линия Левша</t>
  </si>
  <si>
    <t>79277572507 - Входящий звонок</t>
  </si>
  <si>
    <t>Анушервон - Открытая линия Левша</t>
  </si>
  <si>
    <t>Анушервон</t>
  </si>
  <si>
    <t>79379855423 - Входящий звонок</t>
  </si>
  <si>
    <t>poisk_antigrav</t>
  </si>
  <si>
    <t>text_a</t>
  </si>
  <si>
    <t>пленка авто самара</t>
  </si>
  <si>
    <t>79198087282 - Входящий звонок</t>
  </si>
  <si>
    <t>Евгений Renault Duster</t>
  </si>
  <si>
    <t>poisk_shumoizolyaciya</t>
  </si>
  <si>
    <t>Шумоизоляция. Самараutm_content</t>
  </si>
  <si>
    <t>Андрей Skoda Yeti</t>
  </si>
  <si>
    <t>79277415520 - Входящий звонок</t>
  </si>
  <si>
    <t>79277255529 - Входящий звонок</t>
  </si>
  <si>
    <t>79061253113 - Входящий звонок</t>
  </si>
  <si>
    <t>79171581914 - Входящий звонок</t>
  </si>
  <si>
    <t>Олег KIa rio 3</t>
  </si>
  <si>
    <t>Дамир Калина хетчбэк 1</t>
  </si>
  <si>
    <t>Роман Субару форестер</t>
  </si>
  <si>
    <t>вова филиппов - Открытая линия Левша</t>
  </si>
  <si>
    <t>вова</t>
  </si>
  <si>
    <t>филиппов</t>
  </si>
  <si>
    <t>79276531128 - Входящий звонок</t>
  </si>
  <si>
    <t>campaign_id</t>
  </si>
  <si>
    <t>ad_id</t>
  </si>
  <si>
    <t>+сделать +шумоизоляцию +автомобиля</t>
  </si>
  <si>
    <t>79276158888 - Входящий звонок</t>
  </si>
  <si>
    <t>Артём Лада 1117</t>
  </si>
  <si>
    <t>79171410947 - Входящий звонок</t>
  </si>
  <si>
    <t>79372017855 - Входящий звонок</t>
  </si>
  <si>
    <t>Nikita Nikitin - Открытая линия Левша</t>
  </si>
  <si>
    <t>Nikitin</t>
  </si>
  <si>
    <t>79277089952 - Входящий звонок</t>
  </si>
  <si>
    <t>Денис Renault Espace V</t>
  </si>
  <si>
    <t>Катерина Рамзаева - Открытая линия Левша</t>
  </si>
  <si>
    <t>Катерина</t>
  </si>
  <si>
    <t>Рамзаева</t>
  </si>
  <si>
    <t>79277211888 - Входящий звонок</t>
  </si>
  <si>
    <t>приклеить уплотнители дверей на приору</t>
  </si>
  <si>
    <t>Сергей Фольцваген каравелла</t>
  </si>
  <si>
    <t>Vl@d - Открытая линия Левша</t>
  </si>
  <si>
    <t>Vl@d</t>
  </si>
  <si>
    <t>79277295518 - Входящий звонок</t>
  </si>
  <si>
    <t>79878975840 - Входящий звонок</t>
  </si>
  <si>
    <t>79277111844 - Входящий звонок</t>
  </si>
  <si>
    <t>79277774115 - Входящий звонок</t>
  </si>
  <si>
    <t>Дмитрий Ваз 2115</t>
  </si>
  <si>
    <t>Арарат - Открытая линия Левша</t>
  </si>
  <si>
    <t>Арарат</t>
  </si>
  <si>
    <t>79277778029 - Входящий звонок</t>
  </si>
  <si>
    <t>79171637217 - Входящий звонок</t>
  </si>
  <si>
    <t>79171125270 - Входящий звонок</t>
  </si>
  <si>
    <t>Левша — Шумо-виброизоляция: лиды и спрос Wordstat по неделям</t>
  </si>
  <si>
    <t>Левша — Шумо-виброизоляция: спрос и лиды</t>
  </si>
  <si>
    <t>Примечание: лиды после 12.07.2026 исключены, так как соответствующего периода нет в выгрузке Wordstat.</t>
  </si>
  <si>
    <t>Шумо-виброизоляция — недельная динамика спроса и лидов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</si>
</sst>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6" formatCode="0.0%"/>
    <numFmt numFmtId="167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rgb="FFFFFFFF"/>
      <name val="Calibri"/>
      <family val="2"/>
      <charset val="204"/>
      <scheme val="minor"/>
    </font>
    <font>
      <sz val="11"/>
      <color rgb="FF535353"/>
      <name val="Calibri"/>
      <family val="2"/>
      <charset val="204"/>
      <scheme val="minor"/>
    </font>
    <font>
      <b/>
      <sz val="18"/>
      <color rgb="FFFFFFFF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32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164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0" fillId="0" borderId="1" xfId="0" applyBorder="1"/>
    <xf numFmtId="167" fontId="0" fillId="0" borderId="1" xfId="0" applyNumberFormat="1" applyBorder="1"/>
    <xf numFmtId="0" fontId="1" fillId="3" borderId="1" xfId="0" applyFont="1" applyFill="1" applyBorder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wrapText="1"/>
    </xf>
    <xf numFmtId="0" fontId="5" fillId="2" borderId="0" xfId="0" applyFont="1" applyFill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11" fontId="0" fillId="0" borderId="0" xfId="0" applyNumberFormat="1"/>
  </cellXfs>
  <cellStyles count="1">
    <cellStyle name="Обычный" xfId="0" builtinId="0"/>
  </cellStyles>
  <dxfs count="6">
    <dxf>
      <numFmt numFmtId="166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Шумо-виброизоляция: лиды, качественные лиды и запросы </a:t>
            </a:r>
            <a:r>
              <a:rPr lang="en-US"/>
              <a:t>Wordstat </a:t>
            </a:r>
            <a:r>
              <a:rPr lang="ru-RU"/>
              <a:t>по неделям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Лиды</c:v>
          </c:tx>
          <c:spPr>
            <a:ln w="22225">
              <a:solidFill>
                <a:srgbClr val="CC3299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12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9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6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9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5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6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11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7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3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3</c:v>
                </c:pt>
                <c:pt idx="114">
                  <c:v>11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11</c:v>
                </c:pt>
                <c:pt idx="125">
                  <c:v>11</c:v>
                </c:pt>
                <c:pt idx="126">
                  <c:v>7</c:v>
                </c:pt>
                <c:pt idx="127">
                  <c:v>8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4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3</c:v>
                </c:pt>
                <c:pt idx="147">
                  <c:v>4</c:v>
                </c:pt>
                <c:pt idx="148">
                  <c:v>2</c:v>
                </c:pt>
                <c:pt idx="149">
                  <c:v>3</c:v>
                </c:pt>
                <c:pt idx="150">
                  <c:v>2</c:v>
                </c:pt>
                <c:pt idx="151">
                  <c:v>1</c:v>
                </c:pt>
                <c:pt idx="152">
                  <c:v>9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2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8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4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6</c:v>
                </c:pt>
                <c:pt idx="232">
                  <c:v>7</c:v>
                </c:pt>
                <c:pt idx="233">
                  <c:v>7</c:v>
                </c:pt>
                <c:pt idx="234">
                  <c:v>11</c:v>
                </c:pt>
                <c:pt idx="235">
                  <c:v>3</c:v>
                </c:pt>
                <c:pt idx="23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5-4F61-B4DB-9E482D1F9DE4}"/>
            </c:ext>
          </c:extLst>
        </c:ser>
        <c:ser>
          <c:idx val="1"/>
          <c:order val="1"/>
          <c:tx>
            <c:v>Качественные лиды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9</c:v>
                </c:pt>
                <c:pt idx="12">
                  <c:v>9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4</c:v>
                </c:pt>
                <c:pt idx="20">
                  <c:v>8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7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10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2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2</c:v>
                </c:pt>
                <c:pt idx="114">
                  <c:v>10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10</c:v>
                </c:pt>
                <c:pt idx="125">
                  <c:v>11</c:v>
                </c:pt>
                <c:pt idx="126">
                  <c:v>7</c:v>
                </c:pt>
                <c:pt idx="127">
                  <c:v>7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8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7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5</c:v>
                </c:pt>
                <c:pt idx="232">
                  <c:v>5</c:v>
                </c:pt>
                <c:pt idx="233">
                  <c:v>6</c:v>
                </c:pt>
                <c:pt idx="234">
                  <c:v>10</c:v>
                </c:pt>
                <c:pt idx="235">
                  <c:v>3</c:v>
                </c:pt>
                <c:pt idx="2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93136"/>
        <c:axId val="673314048"/>
      </c:lineChart>
      <c:lineChart>
        <c:grouping val="standard"/>
        <c:varyColors val="0"/>
        <c:ser>
          <c:idx val="2"/>
          <c:order val="2"/>
          <c:tx>
            <c:v>Запросы Wordstat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сводка'!$F$5:$F$241</c:f>
              <c:numCache>
                <c:formatCode>General</c:formatCode>
                <c:ptCount val="237"/>
                <c:pt idx="0">
                  <c:v>673</c:v>
                </c:pt>
                <c:pt idx="1">
                  <c:v>954</c:v>
                </c:pt>
                <c:pt idx="2">
                  <c:v>1160</c:v>
                </c:pt>
                <c:pt idx="3">
                  <c:v>1177</c:v>
                </c:pt>
                <c:pt idx="4">
                  <c:v>1216</c:v>
                </c:pt>
                <c:pt idx="5">
                  <c:v>1021</c:v>
                </c:pt>
                <c:pt idx="6">
                  <c:v>1067</c:v>
                </c:pt>
                <c:pt idx="7">
                  <c:v>1029</c:v>
                </c:pt>
                <c:pt idx="8">
                  <c:v>914</c:v>
                </c:pt>
                <c:pt idx="9">
                  <c:v>810</c:v>
                </c:pt>
                <c:pt idx="10">
                  <c:v>935</c:v>
                </c:pt>
                <c:pt idx="11">
                  <c:v>988</c:v>
                </c:pt>
                <c:pt idx="12">
                  <c:v>934</c:v>
                </c:pt>
                <c:pt idx="13">
                  <c:v>1129</c:v>
                </c:pt>
                <c:pt idx="14">
                  <c:v>1309</c:v>
                </c:pt>
                <c:pt idx="15">
                  <c:v>1299</c:v>
                </c:pt>
                <c:pt idx="16">
                  <c:v>1267</c:v>
                </c:pt>
                <c:pt idx="17">
                  <c:v>1007</c:v>
                </c:pt>
                <c:pt idx="18">
                  <c:v>982</c:v>
                </c:pt>
                <c:pt idx="19">
                  <c:v>979</c:v>
                </c:pt>
                <c:pt idx="20">
                  <c:v>1177</c:v>
                </c:pt>
                <c:pt idx="21">
                  <c:v>1111</c:v>
                </c:pt>
                <c:pt idx="22">
                  <c:v>1028</c:v>
                </c:pt>
                <c:pt idx="23">
                  <c:v>932</c:v>
                </c:pt>
                <c:pt idx="24">
                  <c:v>852</c:v>
                </c:pt>
                <c:pt idx="25">
                  <c:v>903</c:v>
                </c:pt>
                <c:pt idx="26">
                  <c:v>848</c:v>
                </c:pt>
                <c:pt idx="27">
                  <c:v>829</c:v>
                </c:pt>
                <c:pt idx="28">
                  <c:v>744</c:v>
                </c:pt>
                <c:pt idx="29">
                  <c:v>706</c:v>
                </c:pt>
                <c:pt idx="30">
                  <c:v>722</c:v>
                </c:pt>
                <c:pt idx="31">
                  <c:v>775</c:v>
                </c:pt>
                <c:pt idx="32">
                  <c:v>712</c:v>
                </c:pt>
                <c:pt idx="33">
                  <c:v>790</c:v>
                </c:pt>
                <c:pt idx="34">
                  <c:v>773</c:v>
                </c:pt>
                <c:pt idx="35">
                  <c:v>850</c:v>
                </c:pt>
                <c:pt idx="36">
                  <c:v>809</c:v>
                </c:pt>
                <c:pt idx="37">
                  <c:v>742</c:v>
                </c:pt>
                <c:pt idx="38">
                  <c:v>649</c:v>
                </c:pt>
                <c:pt idx="39">
                  <c:v>630</c:v>
                </c:pt>
                <c:pt idx="40">
                  <c:v>861</c:v>
                </c:pt>
                <c:pt idx="41">
                  <c:v>833</c:v>
                </c:pt>
                <c:pt idx="42">
                  <c:v>990</c:v>
                </c:pt>
                <c:pt idx="43">
                  <c:v>901</c:v>
                </c:pt>
                <c:pt idx="44">
                  <c:v>970</c:v>
                </c:pt>
                <c:pt idx="45">
                  <c:v>1032</c:v>
                </c:pt>
                <c:pt idx="46">
                  <c:v>972</c:v>
                </c:pt>
                <c:pt idx="47">
                  <c:v>870</c:v>
                </c:pt>
                <c:pt idx="48">
                  <c:v>887</c:v>
                </c:pt>
                <c:pt idx="49">
                  <c:v>1067</c:v>
                </c:pt>
                <c:pt idx="50">
                  <c:v>748</c:v>
                </c:pt>
                <c:pt idx="51">
                  <c:v>832</c:v>
                </c:pt>
                <c:pt idx="52">
                  <c:v>593</c:v>
                </c:pt>
                <c:pt idx="53">
                  <c:v>687</c:v>
                </c:pt>
                <c:pt idx="54">
                  <c:v>955</c:v>
                </c:pt>
                <c:pt idx="55">
                  <c:v>939</c:v>
                </c:pt>
                <c:pt idx="56">
                  <c:v>1025</c:v>
                </c:pt>
                <c:pt idx="57">
                  <c:v>1055</c:v>
                </c:pt>
                <c:pt idx="58">
                  <c:v>925</c:v>
                </c:pt>
                <c:pt idx="59">
                  <c:v>1007</c:v>
                </c:pt>
                <c:pt idx="60">
                  <c:v>884</c:v>
                </c:pt>
                <c:pt idx="61">
                  <c:v>938</c:v>
                </c:pt>
                <c:pt idx="62">
                  <c:v>927</c:v>
                </c:pt>
                <c:pt idx="63">
                  <c:v>1022</c:v>
                </c:pt>
                <c:pt idx="64">
                  <c:v>1095</c:v>
                </c:pt>
                <c:pt idx="65">
                  <c:v>1223</c:v>
                </c:pt>
                <c:pt idx="66">
                  <c:v>1044</c:v>
                </c:pt>
                <c:pt idx="67">
                  <c:v>1041</c:v>
                </c:pt>
                <c:pt idx="68">
                  <c:v>1081</c:v>
                </c:pt>
                <c:pt idx="69">
                  <c:v>830</c:v>
                </c:pt>
                <c:pt idx="70">
                  <c:v>1010</c:v>
                </c:pt>
                <c:pt idx="71">
                  <c:v>1051</c:v>
                </c:pt>
                <c:pt idx="72">
                  <c:v>977</c:v>
                </c:pt>
                <c:pt idx="73">
                  <c:v>1049</c:v>
                </c:pt>
                <c:pt idx="74">
                  <c:v>885</c:v>
                </c:pt>
                <c:pt idx="75">
                  <c:v>782</c:v>
                </c:pt>
                <c:pt idx="76">
                  <c:v>825</c:v>
                </c:pt>
                <c:pt idx="77">
                  <c:v>1034</c:v>
                </c:pt>
                <c:pt idx="78">
                  <c:v>963</c:v>
                </c:pt>
                <c:pt idx="79">
                  <c:v>953</c:v>
                </c:pt>
                <c:pt idx="80">
                  <c:v>942</c:v>
                </c:pt>
                <c:pt idx="81">
                  <c:v>957</c:v>
                </c:pt>
                <c:pt idx="82">
                  <c:v>818</c:v>
                </c:pt>
                <c:pt idx="83">
                  <c:v>745</c:v>
                </c:pt>
                <c:pt idx="84">
                  <c:v>798</c:v>
                </c:pt>
                <c:pt idx="85">
                  <c:v>763</c:v>
                </c:pt>
                <c:pt idx="86">
                  <c:v>767</c:v>
                </c:pt>
                <c:pt idx="87">
                  <c:v>811</c:v>
                </c:pt>
                <c:pt idx="88">
                  <c:v>871</c:v>
                </c:pt>
                <c:pt idx="89">
                  <c:v>801</c:v>
                </c:pt>
                <c:pt idx="90">
                  <c:v>908</c:v>
                </c:pt>
                <c:pt idx="91">
                  <c:v>827</c:v>
                </c:pt>
                <c:pt idx="92">
                  <c:v>961</c:v>
                </c:pt>
                <c:pt idx="93">
                  <c:v>952</c:v>
                </c:pt>
                <c:pt idx="94">
                  <c:v>1005</c:v>
                </c:pt>
                <c:pt idx="95">
                  <c:v>996</c:v>
                </c:pt>
                <c:pt idx="96">
                  <c:v>954</c:v>
                </c:pt>
                <c:pt idx="97">
                  <c:v>967</c:v>
                </c:pt>
                <c:pt idx="98">
                  <c:v>1026</c:v>
                </c:pt>
                <c:pt idx="99">
                  <c:v>881</c:v>
                </c:pt>
                <c:pt idx="100">
                  <c:v>1012</c:v>
                </c:pt>
                <c:pt idx="101">
                  <c:v>903</c:v>
                </c:pt>
                <c:pt idx="102">
                  <c:v>862</c:v>
                </c:pt>
                <c:pt idx="103">
                  <c:v>834</c:v>
                </c:pt>
                <c:pt idx="104">
                  <c:v>551</c:v>
                </c:pt>
                <c:pt idx="105">
                  <c:v>558</c:v>
                </c:pt>
                <c:pt idx="106">
                  <c:v>874</c:v>
                </c:pt>
                <c:pt idx="107">
                  <c:v>1036</c:v>
                </c:pt>
                <c:pt idx="108">
                  <c:v>873</c:v>
                </c:pt>
                <c:pt idx="109">
                  <c:v>932</c:v>
                </c:pt>
                <c:pt idx="110">
                  <c:v>856</c:v>
                </c:pt>
                <c:pt idx="111">
                  <c:v>976</c:v>
                </c:pt>
                <c:pt idx="112">
                  <c:v>898</c:v>
                </c:pt>
                <c:pt idx="113">
                  <c:v>1147</c:v>
                </c:pt>
                <c:pt idx="114">
                  <c:v>1044</c:v>
                </c:pt>
                <c:pt idx="115">
                  <c:v>1100</c:v>
                </c:pt>
                <c:pt idx="116">
                  <c:v>1008</c:v>
                </c:pt>
                <c:pt idx="117">
                  <c:v>1177</c:v>
                </c:pt>
                <c:pt idx="118">
                  <c:v>1067</c:v>
                </c:pt>
                <c:pt idx="119">
                  <c:v>1093</c:v>
                </c:pt>
                <c:pt idx="120">
                  <c:v>1027</c:v>
                </c:pt>
                <c:pt idx="121">
                  <c:v>1032</c:v>
                </c:pt>
                <c:pt idx="122">
                  <c:v>963</c:v>
                </c:pt>
                <c:pt idx="123">
                  <c:v>1090</c:v>
                </c:pt>
                <c:pt idx="124">
                  <c:v>1138</c:v>
                </c:pt>
                <c:pt idx="125">
                  <c:v>1171</c:v>
                </c:pt>
                <c:pt idx="126">
                  <c:v>920</c:v>
                </c:pt>
                <c:pt idx="127">
                  <c:v>793</c:v>
                </c:pt>
                <c:pt idx="128">
                  <c:v>751</c:v>
                </c:pt>
                <c:pt idx="129">
                  <c:v>820</c:v>
                </c:pt>
                <c:pt idx="130">
                  <c:v>757</c:v>
                </c:pt>
                <c:pt idx="131">
                  <c:v>659</c:v>
                </c:pt>
                <c:pt idx="132">
                  <c:v>689</c:v>
                </c:pt>
                <c:pt idx="133">
                  <c:v>765</c:v>
                </c:pt>
                <c:pt idx="134">
                  <c:v>726</c:v>
                </c:pt>
                <c:pt idx="135">
                  <c:v>770</c:v>
                </c:pt>
                <c:pt idx="136">
                  <c:v>789</c:v>
                </c:pt>
                <c:pt idx="137">
                  <c:v>899</c:v>
                </c:pt>
                <c:pt idx="138">
                  <c:v>787</c:v>
                </c:pt>
                <c:pt idx="139">
                  <c:v>778</c:v>
                </c:pt>
                <c:pt idx="140">
                  <c:v>677</c:v>
                </c:pt>
                <c:pt idx="141">
                  <c:v>862</c:v>
                </c:pt>
                <c:pt idx="142">
                  <c:v>877</c:v>
                </c:pt>
                <c:pt idx="143">
                  <c:v>967</c:v>
                </c:pt>
                <c:pt idx="144">
                  <c:v>979</c:v>
                </c:pt>
                <c:pt idx="145">
                  <c:v>893</c:v>
                </c:pt>
                <c:pt idx="146">
                  <c:v>836</c:v>
                </c:pt>
                <c:pt idx="147">
                  <c:v>986</c:v>
                </c:pt>
                <c:pt idx="148">
                  <c:v>869</c:v>
                </c:pt>
                <c:pt idx="149">
                  <c:v>973</c:v>
                </c:pt>
                <c:pt idx="150">
                  <c:v>986</c:v>
                </c:pt>
                <c:pt idx="151">
                  <c:v>929</c:v>
                </c:pt>
                <c:pt idx="152">
                  <c:v>933</c:v>
                </c:pt>
                <c:pt idx="153">
                  <c:v>887</c:v>
                </c:pt>
                <c:pt idx="154">
                  <c:v>881</c:v>
                </c:pt>
                <c:pt idx="155">
                  <c:v>851</c:v>
                </c:pt>
                <c:pt idx="156">
                  <c:v>779</c:v>
                </c:pt>
                <c:pt idx="157">
                  <c:v>712</c:v>
                </c:pt>
                <c:pt idx="158">
                  <c:v>909</c:v>
                </c:pt>
                <c:pt idx="159">
                  <c:v>1007</c:v>
                </c:pt>
                <c:pt idx="160">
                  <c:v>981</c:v>
                </c:pt>
                <c:pt idx="161">
                  <c:v>1200</c:v>
                </c:pt>
                <c:pt idx="162">
                  <c:v>1160</c:v>
                </c:pt>
                <c:pt idx="163">
                  <c:v>855</c:v>
                </c:pt>
                <c:pt idx="164">
                  <c:v>884</c:v>
                </c:pt>
                <c:pt idx="165">
                  <c:v>843</c:v>
                </c:pt>
                <c:pt idx="166">
                  <c:v>741</c:v>
                </c:pt>
                <c:pt idx="167">
                  <c:v>991</c:v>
                </c:pt>
                <c:pt idx="168">
                  <c:v>992</c:v>
                </c:pt>
                <c:pt idx="169">
                  <c:v>1011</c:v>
                </c:pt>
                <c:pt idx="170">
                  <c:v>966</c:v>
                </c:pt>
                <c:pt idx="171">
                  <c:v>1078</c:v>
                </c:pt>
                <c:pt idx="172">
                  <c:v>878</c:v>
                </c:pt>
                <c:pt idx="173">
                  <c:v>924</c:v>
                </c:pt>
                <c:pt idx="174">
                  <c:v>932</c:v>
                </c:pt>
                <c:pt idx="175">
                  <c:v>845</c:v>
                </c:pt>
                <c:pt idx="176">
                  <c:v>1013</c:v>
                </c:pt>
                <c:pt idx="177">
                  <c:v>863</c:v>
                </c:pt>
                <c:pt idx="178">
                  <c:v>711</c:v>
                </c:pt>
                <c:pt idx="179">
                  <c:v>810</c:v>
                </c:pt>
                <c:pt idx="180">
                  <c:v>609</c:v>
                </c:pt>
                <c:pt idx="181">
                  <c:v>831</c:v>
                </c:pt>
                <c:pt idx="182">
                  <c:v>930</c:v>
                </c:pt>
                <c:pt idx="183">
                  <c:v>954</c:v>
                </c:pt>
                <c:pt idx="184">
                  <c:v>926</c:v>
                </c:pt>
                <c:pt idx="185">
                  <c:v>776</c:v>
                </c:pt>
                <c:pt idx="186">
                  <c:v>823</c:v>
                </c:pt>
                <c:pt idx="187">
                  <c:v>760</c:v>
                </c:pt>
                <c:pt idx="188">
                  <c:v>736</c:v>
                </c:pt>
                <c:pt idx="189">
                  <c:v>796</c:v>
                </c:pt>
                <c:pt idx="190">
                  <c:v>818</c:v>
                </c:pt>
                <c:pt idx="191">
                  <c:v>737</c:v>
                </c:pt>
                <c:pt idx="192">
                  <c:v>774</c:v>
                </c:pt>
                <c:pt idx="193">
                  <c:v>894</c:v>
                </c:pt>
                <c:pt idx="194">
                  <c:v>811</c:v>
                </c:pt>
                <c:pt idx="195">
                  <c:v>907</c:v>
                </c:pt>
                <c:pt idx="196">
                  <c:v>900</c:v>
                </c:pt>
                <c:pt idx="197">
                  <c:v>905</c:v>
                </c:pt>
                <c:pt idx="198">
                  <c:v>997</c:v>
                </c:pt>
                <c:pt idx="199">
                  <c:v>1050</c:v>
                </c:pt>
                <c:pt idx="200">
                  <c:v>910</c:v>
                </c:pt>
                <c:pt idx="201">
                  <c:v>1068</c:v>
                </c:pt>
                <c:pt idx="202">
                  <c:v>1035</c:v>
                </c:pt>
                <c:pt idx="203">
                  <c:v>994</c:v>
                </c:pt>
                <c:pt idx="204">
                  <c:v>949</c:v>
                </c:pt>
                <c:pt idx="205">
                  <c:v>927</c:v>
                </c:pt>
                <c:pt idx="206">
                  <c:v>957</c:v>
                </c:pt>
                <c:pt idx="207">
                  <c:v>811</c:v>
                </c:pt>
                <c:pt idx="208">
                  <c:v>632</c:v>
                </c:pt>
                <c:pt idx="209">
                  <c:v>466</c:v>
                </c:pt>
                <c:pt idx="210">
                  <c:v>699</c:v>
                </c:pt>
                <c:pt idx="211">
                  <c:v>920</c:v>
                </c:pt>
                <c:pt idx="212">
                  <c:v>891</c:v>
                </c:pt>
                <c:pt idx="213">
                  <c:v>807</c:v>
                </c:pt>
                <c:pt idx="214">
                  <c:v>854</c:v>
                </c:pt>
                <c:pt idx="215">
                  <c:v>843</c:v>
                </c:pt>
                <c:pt idx="216">
                  <c:v>809</c:v>
                </c:pt>
                <c:pt idx="217">
                  <c:v>754</c:v>
                </c:pt>
                <c:pt idx="218">
                  <c:v>672</c:v>
                </c:pt>
                <c:pt idx="219">
                  <c:v>907</c:v>
                </c:pt>
                <c:pt idx="220">
                  <c:v>905</c:v>
                </c:pt>
                <c:pt idx="221">
                  <c:v>966</c:v>
                </c:pt>
                <c:pt idx="222">
                  <c:v>853</c:v>
                </c:pt>
                <c:pt idx="223">
                  <c:v>865</c:v>
                </c:pt>
                <c:pt idx="224">
                  <c:v>954</c:v>
                </c:pt>
                <c:pt idx="225">
                  <c:v>1044</c:v>
                </c:pt>
                <c:pt idx="226">
                  <c:v>979</c:v>
                </c:pt>
                <c:pt idx="227">
                  <c:v>799</c:v>
                </c:pt>
                <c:pt idx="228">
                  <c:v>1062</c:v>
                </c:pt>
                <c:pt idx="229">
                  <c:v>869</c:v>
                </c:pt>
                <c:pt idx="230">
                  <c:v>792</c:v>
                </c:pt>
                <c:pt idx="231">
                  <c:v>927</c:v>
                </c:pt>
                <c:pt idx="232">
                  <c:v>1015</c:v>
                </c:pt>
                <c:pt idx="233">
                  <c:v>952</c:v>
                </c:pt>
                <c:pt idx="234">
                  <c:v>961</c:v>
                </c:pt>
                <c:pt idx="235">
                  <c:v>902</c:v>
                </c:pt>
                <c:pt idx="236">
                  <c:v>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203536"/>
        <c:axId val="673314880"/>
      </c:lineChart>
      <c:dateAx>
        <c:axId val="5721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Неделя</a:t>
                </a:r>
              </a:p>
            </c:rich>
          </c:tx>
          <c:overlay val="0"/>
        </c:title>
        <c:numFmt formatCode="mmm\ yy" sourceLinked="0"/>
        <c:majorTickMark val="out"/>
        <c:minorTickMark val="none"/>
        <c:tickLblPos val="nextTo"/>
        <c:crossAx val="673314048"/>
        <c:crosses val="autoZero"/>
        <c:auto val="1"/>
        <c:lblOffset val="100"/>
        <c:baseTimeUnit val="days"/>
      </c:dateAx>
      <c:valAx>
        <c:axId val="67331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193136"/>
        <c:crosses val="autoZero"/>
        <c:crossBetween val="between"/>
      </c:valAx>
      <c:valAx>
        <c:axId val="67331488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203536"/>
        <c:crosses val="max"/>
        <c:crossBetween val="between"/>
      </c:valAx>
      <c:dateAx>
        <c:axId val="5722035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3314880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Корреляция недельного спроса Шумо-виброизоляция и лидов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Все лиды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3299"/>
              </a:solidFill>
              <a:ln>
                <a:solidFill>
                  <a:srgbClr val="CC3299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673</c:v>
                </c:pt>
                <c:pt idx="1">
                  <c:v>954</c:v>
                </c:pt>
                <c:pt idx="2">
                  <c:v>1160</c:v>
                </c:pt>
                <c:pt idx="3">
                  <c:v>1177</c:v>
                </c:pt>
                <c:pt idx="4">
                  <c:v>1216</c:v>
                </c:pt>
                <c:pt idx="5">
                  <c:v>1021</c:v>
                </c:pt>
                <c:pt idx="6">
                  <c:v>1067</c:v>
                </c:pt>
                <c:pt idx="7">
                  <c:v>1029</c:v>
                </c:pt>
                <c:pt idx="8">
                  <c:v>914</c:v>
                </c:pt>
                <c:pt idx="9">
                  <c:v>810</c:v>
                </c:pt>
                <c:pt idx="10">
                  <c:v>935</c:v>
                </c:pt>
                <c:pt idx="11">
                  <c:v>988</c:v>
                </c:pt>
                <c:pt idx="12">
                  <c:v>934</c:v>
                </c:pt>
                <c:pt idx="13">
                  <c:v>1129</c:v>
                </c:pt>
                <c:pt idx="14">
                  <c:v>1309</c:v>
                </c:pt>
                <c:pt idx="15">
                  <c:v>1299</c:v>
                </c:pt>
                <c:pt idx="16">
                  <c:v>1267</c:v>
                </c:pt>
                <c:pt idx="17">
                  <c:v>1007</c:v>
                </c:pt>
                <c:pt idx="18">
                  <c:v>982</c:v>
                </c:pt>
                <c:pt idx="19">
                  <c:v>979</c:v>
                </c:pt>
                <c:pt idx="20">
                  <c:v>1177</c:v>
                </c:pt>
                <c:pt idx="21">
                  <c:v>1111</c:v>
                </c:pt>
                <c:pt idx="22">
                  <c:v>1028</c:v>
                </c:pt>
                <c:pt idx="23">
                  <c:v>932</c:v>
                </c:pt>
                <c:pt idx="24">
                  <c:v>852</c:v>
                </c:pt>
                <c:pt idx="25">
                  <c:v>903</c:v>
                </c:pt>
                <c:pt idx="26">
                  <c:v>848</c:v>
                </c:pt>
                <c:pt idx="27">
                  <c:v>829</c:v>
                </c:pt>
                <c:pt idx="28">
                  <c:v>744</c:v>
                </c:pt>
                <c:pt idx="29">
                  <c:v>706</c:v>
                </c:pt>
                <c:pt idx="30">
                  <c:v>722</c:v>
                </c:pt>
                <c:pt idx="31">
                  <c:v>775</c:v>
                </c:pt>
                <c:pt idx="32">
                  <c:v>712</c:v>
                </c:pt>
                <c:pt idx="33">
                  <c:v>790</c:v>
                </c:pt>
                <c:pt idx="34">
                  <c:v>773</c:v>
                </c:pt>
                <c:pt idx="35">
                  <c:v>850</c:v>
                </c:pt>
                <c:pt idx="36">
                  <c:v>809</c:v>
                </c:pt>
                <c:pt idx="37">
                  <c:v>742</c:v>
                </c:pt>
                <c:pt idx="38">
                  <c:v>649</c:v>
                </c:pt>
                <c:pt idx="39">
                  <c:v>630</c:v>
                </c:pt>
                <c:pt idx="40">
                  <c:v>861</c:v>
                </c:pt>
                <c:pt idx="41">
                  <c:v>833</c:v>
                </c:pt>
                <c:pt idx="42">
                  <c:v>990</c:v>
                </c:pt>
                <c:pt idx="43">
                  <c:v>901</c:v>
                </c:pt>
                <c:pt idx="44">
                  <c:v>970</c:v>
                </c:pt>
                <c:pt idx="45">
                  <c:v>1032</c:v>
                </c:pt>
                <c:pt idx="46">
                  <c:v>972</c:v>
                </c:pt>
                <c:pt idx="47">
                  <c:v>870</c:v>
                </c:pt>
                <c:pt idx="48">
                  <c:v>887</c:v>
                </c:pt>
                <c:pt idx="49">
                  <c:v>1067</c:v>
                </c:pt>
                <c:pt idx="50">
                  <c:v>748</c:v>
                </c:pt>
                <c:pt idx="51">
                  <c:v>832</c:v>
                </c:pt>
                <c:pt idx="52">
                  <c:v>593</c:v>
                </c:pt>
                <c:pt idx="53">
                  <c:v>687</c:v>
                </c:pt>
                <c:pt idx="54">
                  <c:v>955</c:v>
                </c:pt>
                <c:pt idx="55">
                  <c:v>939</c:v>
                </c:pt>
                <c:pt idx="56">
                  <c:v>1025</c:v>
                </c:pt>
                <c:pt idx="57">
                  <c:v>1055</c:v>
                </c:pt>
                <c:pt idx="58">
                  <c:v>925</c:v>
                </c:pt>
                <c:pt idx="59">
                  <c:v>1007</c:v>
                </c:pt>
                <c:pt idx="60">
                  <c:v>884</c:v>
                </c:pt>
                <c:pt idx="61">
                  <c:v>938</c:v>
                </c:pt>
                <c:pt idx="62">
                  <c:v>927</c:v>
                </c:pt>
                <c:pt idx="63">
                  <c:v>1022</c:v>
                </c:pt>
                <c:pt idx="64">
                  <c:v>1095</c:v>
                </c:pt>
                <c:pt idx="65">
                  <c:v>1223</c:v>
                </c:pt>
                <c:pt idx="66">
                  <c:v>1044</c:v>
                </c:pt>
                <c:pt idx="67">
                  <c:v>1041</c:v>
                </c:pt>
                <c:pt idx="68">
                  <c:v>1081</c:v>
                </c:pt>
                <c:pt idx="69">
                  <c:v>830</c:v>
                </c:pt>
                <c:pt idx="70">
                  <c:v>1010</c:v>
                </c:pt>
                <c:pt idx="71">
                  <c:v>1051</c:v>
                </c:pt>
                <c:pt idx="72">
                  <c:v>977</c:v>
                </c:pt>
                <c:pt idx="73">
                  <c:v>1049</c:v>
                </c:pt>
                <c:pt idx="74">
                  <c:v>885</c:v>
                </c:pt>
                <c:pt idx="75">
                  <c:v>782</c:v>
                </c:pt>
                <c:pt idx="76">
                  <c:v>825</c:v>
                </c:pt>
                <c:pt idx="77">
                  <c:v>1034</c:v>
                </c:pt>
                <c:pt idx="78">
                  <c:v>963</c:v>
                </c:pt>
                <c:pt idx="79">
                  <c:v>953</c:v>
                </c:pt>
                <c:pt idx="80">
                  <c:v>942</c:v>
                </c:pt>
                <c:pt idx="81">
                  <c:v>957</c:v>
                </c:pt>
                <c:pt idx="82">
                  <c:v>818</c:v>
                </c:pt>
                <c:pt idx="83">
                  <c:v>745</c:v>
                </c:pt>
                <c:pt idx="84">
                  <c:v>798</c:v>
                </c:pt>
                <c:pt idx="85">
                  <c:v>763</c:v>
                </c:pt>
                <c:pt idx="86">
                  <c:v>767</c:v>
                </c:pt>
                <c:pt idx="87">
                  <c:v>811</c:v>
                </c:pt>
                <c:pt idx="88">
                  <c:v>871</c:v>
                </c:pt>
                <c:pt idx="89">
                  <c:v>801</c:v>
                </c:pt>
                <c:pt idx="90">
                  <c:v>908</c:v>
                </c:pt>
                <c:pt idx="91">
                  <c:v>827</c:v>
                </c:pt>
                <c:pt idx="92">
                  <c:v>961</c:v>
                </c:pt>
                <c:pt idx="93">
                  <c:v>952</c:v>
                </c:pt>
                <c:pt idx="94">
                  <c:v>1005</c:v>
                </c:pt>
                <c:pt idx="95">
                  <c:v>996</c:v>
                </c:pt>
                <c:pt idx="96">
                  <c:v>954</c:v>
                </c:pt>
                <c:pt idx="97">
                  <c:v>967</c:v>
                </c:pt>
                <c:pt idx="98">
                  <c:v>1026</c:v>
                </c:pt>
                <c:pt idx="99">
                  <c:v>881</c:v>
                </c:pt>
                <c:pt idx="100">
                  <c:v>1012</c:v>
                </c:pt>
                <c:pt idx="101">
                  <c:v>903</c:v>
                </c:pt>
                <c:pt idx="102">
                  <c:v>862</c:v>
                </c:pt>
                <c:pt idx="103">
                  <c:v>834</c:v>
                </c:pt>
                <c:pt idx="104">
                  <c:v>551</c:v>
                </c:pt>
                <c:pt idx="105">
                  <c:v>558</c:v>
                </c:pt>
                <c:pt idx="106">
                  <c:v>874</c:v>
                </c:pt>
                <c:pt idx="107">
                  <c:v>1036</c:v>
                </c:pt>
                <c:pt idx="108">
                  <c:v>873</c:v>
                </c:pt>
                <c:pt idx="109">
                  <c:v>932</c:v>
                </c:pt>
                <c:pt idx="110">
                  <c:v>856</c:v>
                </c:pt>
                <c:pt idx="111">
                  <c:v>976</c:v>
                </c:pt>
                <c:pt idx="112">
                  <c:v>898</c:v>
                </c:pt>
                <c:pt idx="113">
                  <c:v>1147</c:v>
                </c:pt>
                <c:pt idx="114">
                  <c:v>1044</c:v>
                </c:pt>
                <c:pt idx="115">
                  <c:v>1100</c:v>
                </c:pt>
                <c:pt idx="116">
                  <c:v>1008</c:v>
                </c:pt>
                <c:pt idx="117">
                  <c:v>1177</c:v>
                </c:pt>
                <c:pt idx="118">
                  <c:v>1067</c:v>
                </c:pt>
                <c:pt idx="119">
                  <c:v>1093</c:v>
                </c:pt>
                <c:pt idx="120">
                  <c:v>1027</c:v>
                </c:pt>
                <c:pt idx="121">
                  <c:v>1032</c:v>
                </c:pt>
                <c:pt idx="122">
                  <c:v>963</c:v>
                </c:pt>
                <c:pt idx="123">
                  <c:v>1090</c:v>
                </c:pt>
                <c:pt idx="124">
                  <c:v>1138</c:v>
                </c:pt>
                <c:pt idx="125">
                  <c:v>1171</c:v>
                </c:pt>
                <c:pt idx="126">
                  <c:v>920</c:v>
                </c:pt>
                <c:pt idx="127">
                  <c:v>793</c:v>
                </c:pt>
                <c:pt idx="128">
                  <c:v>751</c:v>
                </c:pt>
                <c:pt idx="129">
                  <c:v>820</c:v>
                </c:pt>
                <c:pt idx="130">
                  <c:v>757</c:v>
                </c:pt>
                <c:pt idx="131">
                  <c:v>659</c:v>
                </c:pt>
                <c:pt idx="132">
                  <c:v>689</c:v>
                </c:pt>
                <c:pt idx="133">
                  <c:v>765</c:v>
                </c:pt>
                <c:pt idx="134">
                  <c:v>726</c:v>
                </c:pt>
                <c:pt idx="135">
                  <c:v>770</c:v>
                </c:pt>
                <c:pt idx="136">
                  <c:v>789</c:v>
                </c:pt>
                <c:pt idx="137">
                  <c:v>899</c:v>
                </c:pt>
                <c:pt idx="138">
                  <c:v>787</c:v>
                </c:pt>
                <c:pt idx="139">
                  <c:v>778</c:v>
                </c:pt>
                <c:pt idx="140">
                  <c:v>677</c:v>
                </c:pt>
                <c:pt idx="141">
                  <c:v>862</c:v>
                </c:pt>
                <c:pt idx="142">
                  <c:v>877</c:v>
                </c:pt>
                <c:pt idx="143">
                  <c:v>967</c:v>
                </c:pt>
                <c:pt idx="144">
                  <c:v>979</c:v>
                </c:pt>
                <c:pt idx="145">
                  <c:v>893</c:v>
                </c:pt>
                <c:pt idx="146">
                  <c:v>836</c:v>
                </c:pt>
                <c:pt idx="147">
                  <c:v>986</c:v>
                </c:pt>
                <c:pt idx="148">
                  <c:v>869</c:v>
                </c:pt>
                <c:pt idx="149">
                  <c:v>973</c:v>
                </c:pt>
                <c:pt idx="150">
                  <c:v>986</c:v>
                </c:pt>
                <c:pt idx="151">
                  <c:v>929</c:v>
                </c:pt>
                <c:pt idx="152">
                  <c:v>933</c:v>
                </c:pt>
                <c:pt idx="153">
                  <c:v>887</c:v>
                </c:pt>
                <c:pt idx="154">
                  <c:v>881</c:v>
                </c:pt>
                <c:pt idx="155">
                  <c:v>851</c:v>
                </c:pt>
                <c:pt idx="156">
                  <c:v>779</c:v>
                </c:pt>
                <c:pt idx="157">
                  <c:v>712</c:v>
                </c:pt>
                <c:pt idx="158">
                  <c:v>909</c:v>
                </c:pt>
                <c:pt idx="159">
                  <c:v>1007</c:v>
                </c:pt>
                <c:pt idx="160">
                  <c:v>981</c:v>
                </c:pt>
                <c:pt idx="161">
                  <c:v>1200</c:v>
                </c:pt>
                <c:pt idx="162">
                  <c:v>1160</c:v>
                </c:pt>
                <c:pt idx="163">
                  <c:v>855</c:v>
                </c:pt>
                <c:pt idx="164">
                  <c:v>884</c:v>
                </c:pt>
                <c:pt idx="165">
                  <c:v>843</c:v>
                </c:pt>
                <c:pt idx="166">
                  <c:v>741</c:v>
                </c:pt>
                <c:pt idx="167">
                  <c:v>991</c:v>
                </c:pt>
                <c:pt idx="168">
                  <c:v>992</c:v>
                </c:pt>
                <c:pt idx="169">
                  <c:v>1011</c:v>
                </c:pt>
                <c:pt idx="170">
                  <c:v>966</c:v>
                </c:pt>
                <c:pt idx="171">
                  <c:v>1078</c:v>
                </c:pt>
                <c:pt idx="172">
                  <c:v>878</c:v>
                </c:pt>
                <c:pt idx="173">
                  <c:v>924</c:v>
                </c:pt>
                <c:pt idx="174">
                  <c:v>932</c:v>
                </c:pt>
                <c:pt idx="175">
                  <c:v>845</c:v>
                </c:pt>
                <c:pt idx="176">
                  <c:v>1013</c:v>
                </c:pt>
                <c:pt idx="177">
                  <c:v>863</c:v>
                </c:pt>
                <c:pt idx="178">
                  <c:v>711</c:v>
                </c:pt>
                <c:pt idx="179">
                  <c:v>810</c:v>
                </c:pt>
                <c:pt idx="180">
                  <c:v>609</c:v>
                </c:pt>
                <c:pt idx="181">
                  <c:v>831</c:v>
                </c:pt>
                <c:pt idx="182">
                  <c:v>930</c:v>
                </c:pt>
                <c:pt idx="183">
                  <c:v>954</c:v>
                </c:pt>
                <c:pt idx="184">
                  <c:v>926</c:v>
                </c:pt>
                <c:pt idx="185">
                  <c:v>776</c:v>
                </c:pt>
                <c:pt idx="186">
                  <c:v>823</c:v>
                </c:pt>
                <c:pt idx="187">
                  <c:v>760</c:v>
                </c:pt>
                <c:pt idx="188">
                  <c:v>736</c:v>
                </c:pt>
                <c:pt idx="189">
                  <c:v>796</c:v>
                </c:pt>
                <c:pt idx="190">
                  <c:v>818</c:v>
                </c:pt>
                <c:pt idx="191">
                  <c:v>737</c:v>
                </c:pt>
                <c:pt idx="192">
                  <c:v>774</c:v>
                </c:pt>
                <c:pt idx="193">
                  <c:v>894</c:v>
                </c:pt>
                <c:pt idx="194">
                  <c:v>811</c:v>
                </c:pt>
                <c:pt idx="195">
                  <c:v>907</c:v>
                </c:pt>
                <c:pt idx="196">
                  <c:v>900</c:v>
                </c:pt>
                <c:pt idx="197">
                  <c:v>905</c:v>
                </c:pt>
                <c:pt idx="198">
                  <c:v>997</c:v>
                </c:pt>
                <c:pt idx="199">
                  <c:v>1050</c:v>
                </c:pt>
                <c:pt idx="200">
                  <c:v>910</c:v>
                </c:pt>
                <c:pt idx="201">
                  <c:v>1068</c:v>
                </c:pt>
                <c:pt idx="202">
                  <c:v>1035</c:v>
                </c:pt>
                <c:pt idx="203">
                  <c:v>994</c:v>
                </c:pt>
                <c:pt idx="204">
                  <c:v>949</c:v>
                </c:pt>
                <c:pt idx="205">
                  <c:v>927</c:v>
                </c:pt>
                <c:pt idx="206">
                  <c:v>957</c:v>
                </c:pt>
                <c:pt idx="207">
                  <c:v>811</c:v>
                </c:pt>
                <c:pt idx="208">
                  <c:v>632</c:v>
                </c:pt>
                <c:pt idx="209">
                  <c:v>466</c:v>
                </c:pt>
                <c:pt idx="210">
                  <c:v>699</c:v>
                </c:pt>
                <c:pt idx="211">
                  <c:v>920</c:v>
                </c:pt>
                <c:pt idx="212">
                  <c:v>891</c:v>
                </c:pt>
                <c:pt idx="213">
                  <c:v>807</c:v>
                </c:pt>
                <c:pt idx="214">
                  <c:v>854</c:v>
                </c:pt>
                <c:pt idx="215">
                  <c:v>843</c:v>
                </c:pt>
                <c:pt idx="216">
                  <c:v>809</c:v>
                </c:pt>
                <c:pt idx="217">
                  <c:v>754</c:v>
                </c:pt>
                <c:pt idx="218">
                  <c:v>672</c:v>
                </c:pt>
                <c:pt idx="219">
                  <c:v>907</c:v>
                </c:pt>
                <c:pt idx="220">
                  <c:v>905</c:v>
                </c:pt>
                <c:pt idx="221">
                  <c:v>966</c:v>
                </c:pt>
                <c:pt idx="222">
                  <c:v>853</c:v>
                </c:pt>
                <c:pt idx="223">
                  <c:v>865</c:v>
                </c:pt>
                <c:pt idx="224">
                  <c:v>954</c:v>
                </c:pt>
                <c:pt idx="225">
                  <c:v>1044</c:v>
                </c:pt>
                <c:pt idx="226">
                  <c:v>979</c:v>
                </c:pt>
                <c:pt idx="227">
                  <c:v>799</c:v>
                </c:pt>
                <c:pt idx="228">
                  <c:v>1062</c:v>
                </c:pt>
                <c:pt idx="229">
                  <c:v>869</c:v>
                </c:pt>
                <c:pt idx="230">
                  <c:v>792</c:v>
                </c:pt>
                <c:pt idx="231">
                  <c:v>927</c:v>
                </c:pt>
                <c:pt idx="232">
                  <c:v>1015</c:v>
                </c:pt>
                <c:pt idx="233">
                  <c:v>952</c:v>
                </c:pt>
                <c:pt idx="234">
                  <c:v>961</c:v>
                </c:pt>
                <c:pt idx="235">
                  <c:v>902</c:v>
                </c:pt>
                <c:pt idx="236">
                  <c:v>786</c:v>
                </c:pt>
              </c:numCache>
            </c:numRef>
          </c:xVal>
          <c:y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12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9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6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9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5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6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11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7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3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3</c:v>
                </c:pt>
                <c:pt idx="114">
                  <c:v>11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11</c:v>
                </c:pt>
                <c:pt idx="125">
                  <c:v>11</c:v>
                </c:pt>
                <c:pt idx="126">
                  <c:v>7</c:v>
                </c:pt>
                <c:pt idx="127">
                  <c:v>8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4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3</c:v>
                </c:pt>
                <c:pt idx="147">
                  <c:v>4</c:v>
                </c:pt>
                <c:pt idx="148">
                  <c:v>2</c:v>
                </c:pt>
                <c:pt idx="149">
                  <c:v>3</c:v>
                </c:pt>
                <c:pt idx="150">
                  <c:v>2</c:v>
                </c:pt>
                <c:pt idx="151">
                  <c:v>1</c:v>
                </c:pt>
                <c:pt idx="152">
                  <c:v>9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2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8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4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6</c:v>
                </c:pt>
                <c:pt idx="232">
                  <c:v>7</c:v>
                </c:pt>
                <c:pt idx="233">
                  <c:v>7</c:v>
                </c:pt>
                <c:pt idx="234">
                  <c:v>11</c:v>
                </c:pt>
                <c:pt idx="235">
                  <c:v>3</c:v>
                </c:pt>
                <c:pt idx="23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D-431E-8427-D41EAEF88840}"/>
            </c:ext>
          </c:extLst>
        </c:ser>
        <c:ser>
          <c:idx val="1"/>
          <c:order val="1"/>
          <c:tx>
            <c:v>Качественные лиды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673</c:v>
                </c:pt>
                <c:pt idx="1">
                  <c:v>954</c:v>
                </c:pt>
                <c:pt idx="2">
                  <c:v>1160</c:v>
                </c:pt>
                <c:pt idx="3">
                  <c:v>1177</c:v>
                </c:pt>
                <c:pt idx="4">
                  <c:v>1216</c:v>
                </c:pt>
                <c:pt idx="5">
                  <c:v>1021</c:v>
                </c:pt>
                <c:pt idx="6">
                  <c:v>1067</c:v>
                </c:pt>
                <c:pt idx="7">
                  <c:v>1029</c:v>
                </c:pt>
                <c:pt idx="8">
                  <c:v>914</c:v>
                </c:pt>
                <c:pt idx="9">
                  <c:v>810</c:v>
                </c:pt>
                <c:pt idx="10">
                  <c:v>935</c:v>
                </c:pt>
                <c:pt idx="11">
                  <c:v>988</c:v>
                </c:pt>
                <c:pt idx="12">
                  <c:v>934</c:v>
                </c:pt>
                <c:pt idx="13">
                  <c:v>1129</c:v>
                </c:pt>
                <c:pt idx="14">
                  <c:v>1309</c:v>
                </c:pt>
                <c:pt idx="15">
                  <c:v>1299</c:v>
                </c:pt>
                <c:pt idx="16">
                  <c:v>1267</c:v>
                </c:pt>
                <c:pt idx="17">
                  <c:v>1007</c:v>
                </c:pt>
                <c:pt idx="18">
                  <c:v>982</c:v>
                </c:pt>
                <c:pt idx="19">
                  <c:v>979</c:v>
                </c:pt>
                <c:pt idx="20">
                  <c:v>1177</c:v>
                </c:pt>
                <c:pt idx="21">
                  <c:v>1111</c:v>
                </c:pt>
                <c:pt idx="22">
                  <c:v>1028</c:v>
                </c:pt>
                <c:pt idx="23">
                  <c:v>932</c:v>
                </c:pt>
                <c:pt idx="24">
                  <c:v>852</c:v>
                </c:pt>
                <c:pt idx="25">
                  <c:v>903</c:v>
                </c:pt>
                <c:pt idx="26">
                  <c:v>848</c:v>
                </c:pt>
                <c:pt idx="27">
                  <c:v>829</c:v>
                </c:pt>
                <c:pt idx="28">
                  <c:v>744</c:v>
                </c:pt>
                <c:pt idx="29">
                  <c:v>706</c:v>
                </c:pt>
                <c:pt idx="30">
                  <c:v>722</c:v>
                </c:pt>
                <c:pt idx="31">
                  <c:v>775</c:v>
                </c:pt>
                <c:pt idx="32">
                  <c:v>712</c:v>
                </c:pt>
                <c:pt idx="33">
                  <c:v>790</c:v>
                </c:pt>
                <c:pt idx="34">
                  <c:v>773</c:v>
                </c:pt>
                <c:pt idx="35">
                  <c:v>850</c:v>
                </c:pt>
                <c:pt idx="36">
                  <c:v>809</c:v>
                </c:pt>
                <c:pt idx="37">
                  <c:v>742</c:v>
                </c:pt>
                <c:pt idx="38">
                  <c:v>649</c:v>
                </c:pt>
                <c:pt idx="39">
                  <c:v>630</c:v>
                </c:pt>
                <c:pt idx="40">
                  <c:v>861</c:v>
                </c:pt>
                <c:pt idx="41">
                  <c:v>833</c:v>
                </c:pt>
                <c:pt idx="42">
                  <c:v>990</c:v>
                </c:pt>
                <c:pt idx="43">
                  <c:v>901</c:v>
                </c:pt>
                <c:pt idx="44">
                  <c:v>970</c:v>
                </c:pt>
                <c:pt idx="45">
                  <c:v>1032</c:v>
                </c:pt>
                <c:pt idx="46">
                  <c:v>972</c:v>
                </c:pt>
                <c:pt idx="47">
                  <c:v>870</c:v>
                </c:pt>
                <c:pt idx="48">
                  <c:v>887</c:v>
                </c:pt>
                <c:pt idx="49">
                  <c:v>1067</c:v>
                </c:pt>
                <c:pt idx="50">
                  <c:v>748</c:v>
                </c:pt>
                <c:pt idx="51">
                  <c:v>832</c:v>
                </c:pt>
                <c:pt idx="52">
                  <c:v>593</c:v>
                </c:pt>
                <c:pt idx="53">
                  <c:v>687</c:v>
                </c:pt>
                <c:pt idx="54">
                  <c:v>955</c:v>
                </c:pt>
                <c:pt idx="55">
                  <c:v>939</c:v>
                </c:pt>
                <c:pt idx="56">
                  <c:v>1025</c:v>
                </c:pt>
                <c:pt idx="57">
                  <c:v>1055</c:v>
                </c:pt>
                <c:pt idx="58">
                  <c:v>925</c:v>
                </c:pt>
                <c:pt idx="59">
                  <c:v>1007</c:v>
                </c:pt>
                <c:pt idx="60">
                  <c:v>884</c:v>
                </c:pt>
                <c:pt idx="61">
                  <c:v>938</c:v>
                </c:pt>
                <c:pt idx="62">
                  <c:v>927</c:v>
                </c:pt>
                <c:pt idx="63">
                  <c:v>1022</c:v>
                </c:pt>
                <c:pt idx="64">
                  <c:v>1095</c:v>
                </c:pt>
                <c:pt idx="65">
                  <c:v>1223</c:v>
                </c:pt>
                <c:pt idx="66">
                  <c:v>1044</c:v>
                </c:pt>
                <c:pt idx="67">
                  <c:v>1041</c:v>
                </c:pt>
                <c:pt idx="68">
                  <c:v>1081</c:v>
                </c:pt>
                <c:pt idx="69">
                  <c:v>830</c:v>
                </c:pt>
                <c:pt idx="70">
                  <c:v>1010</c:v>
                </c:pt>
                <c:pt idx="71">
                  <c:v>1051</c:v>
                </c:pt>
                <c:pt idx="72">
                  <c:v>977</c:v>
                </c:pt>
                <c:pt idx="73">
                  <c:v>1049</c:v>
                </c:pt>
                <c:pt idx="74">
                  <c:v>885</c:v>
                </c:pt>
                <c:pt idx="75">
                  <c:v>782</c:v>
                </c:pt>
                <c:pt idx="76">
                  <c:v>825</c:v>
                </c:pt>
                <c:pt idx="77">
                  <c:v>1034</c:v>
                </c:pt>
                <c:pt idx="78">
                  <c:v>963</c:v>
                </c:pt>
                <c:pt idx="79">
                  <c:v>953</c:v>
                </c:pt>
                <c:pt idx="80">
                  <c:v>942</c:v>
                </c:pt>
                <c:pt idx="81">
                  <c:v>957</c:v>
                </c:pt>
                <c:pt idx="82">
                  <c:v>818</c:v>
                </c:pt>
                <c:pt idx="83">
                  <c:v>745</c:v>
                </c:pt>
                <c:pt idx="84">
                  <c:v>798</c:v>
                </c:pt>
                <c:pt idx="85">
                  <c:v>763</c:v>
                </c:pt>
                <c:pt idx="86">
                  <c:v>767</c:v>
                </c:pt>
                <c:pt idx="87">
                  <c:v>811</c:v>
                </c:pt>
                <c:pt idx="88">
                  <c:v>871</c:v>
                </c:pt>
                <c:pt idx="89">
                  <c:v>801</c:v>
                </c:pt>
                <c:pt idx="90">
                  <c:v>908</c:v>
                </c:pt>
                <c:pt idx="91">
                  <c:v>827</c:v>
                </c:pt>
                <c:pt idx="92">
                  <c:v>961</c:v>
                </c:pt>
                <c:pt idx="93">
                  <c:v>952</c:v>
                </c:pt>
                <c:pt idx="94">
                  <c:v>1005</c:v>
                </c:pt>
                <c:pt idx="95">
                  <c:v>996</c:v>
                </c:pt>
                <c:pt idx="96">
                  <c:v>954</c:v>
                </c:pt>
                <c:pt idx="97">
                  <c:v>967</c:v>
                </c:pt>
                <c:pt idx="98">
                  <c:v>1026</c:v>
                </c:pt>
                <c:pt idx="99">
                  <c:v>881</c:v>
                </c:pt>
                <c:pt idx="100">
                  <c:v>1012</c:v>
                </c:pt>
                <c:pt idx="101">
                  <c:v>903</c:v>
                </c:pt>
                <c:pt idx="102">
                  <c:v>862</c:v>
                </c:pt>
                <c:pt idx="103">
                  <c:v>834</c:v>
                </c:pt>
                <c:pt idx="104">
                  <c:v>551</c:v>
                </c:pt>
                <c:pt idx="105">
                  <c:v>558</c:v>
                </c:pt>
                <c:pt idx="106">
                  <c:v>874</c:v>
                </c:pt>
                <c:pt idx="107">
                  <c:v>1036</c:v>
                </c:pt>
                <c:pt idx="108">
                  <c:v>873</c:v>
                </c:pt>
                <c:pt idx="109">
                  <c:v>932</c:v>
                </c:pt>
                <c:pt idx="110">
                  <c:v>856</c:v>
                </c:pt>
                <c:pt idx="111">
                  <c:v>976</c:v>
                </c:pt>
                <c:pt idx="112">
                  <c:v>898</c:v>
                </c:pt>
                <c:pt idx="113">
                  <c:v>1147</c:v>
                </c:pt>
                <c:pt idx="114">
                  <c:v>1044</c:v>
                </c:pt>
                <c:pt idx="115">
                  <c:v>1100</c:v>
                </c:pt>
                <c:pt idx="116">
                  <c:v>1008</c:v>
                </c:pt>
                <c:pt idx="117">
                  <c:v>1177</c:v>
                </c:pt>
                <c:pt idx="118">
                  <c:v>1067</c:v>
                </c:pt>
                <c:pt idx="119">
                  <c:v>1093</c:v>
                </c:pt>
                <c:pt idx="120">
                  <c:v>1027</c:v>
                </c:pt>
                <c:pt idx="121">
                  <c:v>1032</c:v>
                </c:pt>
                <c:pt idx="122">
                  <c:v>963</c:v>
                </c:pt>
                <c:pt idx="123">
                  <c:v>1090</c:v>
                </c:pt>
                <c:pt idx="124">
                  <c:v>1138</c:v>
                </c:pt>
                <c:pt idx="125">
                  <c:v>1171</c:v>
                </c:pt>
                <c:pt idx="126">
                  <c:v>920</c:v>
                </c:pt>
                <c:pt idx="127">
                  <c:v>793</c:v>
                </c:pt>
                <c:pt idx="128">
                  <c:v>751</c:v>
                </c:pt>
                <c:pt idx="129">
                  <c:v>820</c:v>
                </c:pt>
                <c:pt idx="130">
                  <c:v>757</c:v>
                </c:pt>
                <c:pt idx="131">
                  <c:v>659</c:v>
                </c:pt>
                <c:pt idx="132">
                  <c:v>689</c:v>
                </c:pt>
                <c:pt idx="133">
                  <c:v>765</c:v>
                </c:pt>
                <c:pt idx="134">
                  <c:v>726</c:v>
                </c:pt>
                <c:pt idx="135">
                  <c:v>770</c:v>
                </c:pt>
                <c:pt idx="136">
                  <c:v>789</c:v>
                </c:pt>
                <c:pt idx="137">
                  <c:v>899</c:v>
                </c:pt>
                <c:pt idx="138">
                  <c:v>787</c:v>
                </c:pt>
                <c:pt idx="139">
                  <c:v>778</c:v>
                </c:pt>
                <c:pt idx="140">
                  <c:v>677</c:v>
                </c:pt>
                <c:pt idx="141">
                  <c:v>862</c:v>
                </c:pt>
                <c:pt idx="142">
                  <c:v>877</c:v>
                </c:pt>
                <c:pt idx="143">
                  <c:v>967</c:v>
                </c:pt>
                <c:pt idx="144">
                  <c:v>979</c:v>
                </c:pt>
                <c:pt idx="145">
                  <c:v>893</c:v>
                </c:pt>
                <c:pt idx="146">
                  <c:v>836</c:v>
                </c:pt>
                <c:pt idx="147">
                  <c:v>986</c:v>
                </c:pt>
                <c:pt idx="148">
                  <c:v>869</c:v>
                </c:pt>
                <c:pt idx="149">
                  <c:v>973</c:v>
                </c:pt>
                <c:pt idx="150">
                  <c:v>986</c:v>
                </c:pt>
                <c:pt idx="151">
                  <c:v>929</c:v>
                </c:pt>
                <c:pt idx="152">
                  <c:v>933</c:v>
                </c:pt>
                <c:pt idx="153">
                  <c:v>887</c:v>
                </c:pt>
                <c:pt idx="154">
                  <c:v>881</c:v>
                </c:pt>
                <c:pt idx="155">
                  <c:v>851</c:v>
                </c:pt>
                <c:pt idx="156">
                  <c:v>779</c:v>
                </c:pt>
                <c:pt idx="157">
                  <c:v>712</c:v>
                </c:pt>
                <c:pt idx="158">
                  <c:v>909</c:v>
                </c:pt>
                <c:pt idx="159">
                  <c:v>1007</c:v>
                </c:pt>
                <c:pt idx="160">
                  <c:v>981</c:v>
                </c:pt>
                <c:pt idx="161">
                  <c:v>1200</c:v>
                </c:pt>
                <c:pt idx="162">
                  <c:v>1160</c:v>
                </c:pt>
                <c:pt idx="163">
                  <c:v>855</c:v>
                </c:pt>
                <c:pt idx="164">
                  <c:v>884</c:v>
                </c:pt>
                <c:pt idx="165">
                  <c:v>843</c:v>
                </c:pt>
                <c:pt idx="166">
                  <c:v>741</c:v>
                </c:pt>
                <c:pt idx="167">
                  <c:v>991</c:v>
                </c:pt>
                <c:pt idx="168">
                  <c:v>992</c:v>
                </c:pt>
                <c:pt idx="169">
                  <c:v>1011</c:v>
                </c:pt>
                <c:pt idx="170">
                  <c:v>966</c:v>
                </c:pt>
                <c:pt idx="171">
                  <c:v>1078</c:v>
                </c:pt>
                <c:pt idx="172">
                  <c:v>878</c:v>
                </c:pt>
                <c:pt idx="173">
                  <c:v>924</c:v>
                </c:pt>
                <c:pt idx="174">
                  <c:v>932</c:v>
                </c:pt>
                <c:pt idx="175">
                  <c:v>845</c:v>
                </c:pt>
                <c:pt idx="176">
                  <c:v>1013</c:v>
                </c:pt>
                <c:pt idx="177">
                  <c:v>863</c:v>
                </c:pt>
                <c:pt idx="178">
                  <c:v>711</c:v>
                </c:pt>
                <c:pt idx="179">
                  <c:v>810</c:v>
                </c:pt>
                <c:pt idx="180">
                  <c:v>609</c:v>
                </c:pt>
                <c:pt idx="181">
                  <c:v>831</c:v>
                </c:pt>
                <c:pt idx="182">
                  <c:v>930</c:v>
                </c:pt>
                <c:pt idx="183">
                  <c:v>954</c:v>
                </c:pt>
                <c:pt idx="184">
                  <c:v>926</c:v>
                </c:pt>
                <c:pt idx="185">
                  <c:v>776</c:v>
                </c:pt>
                <c:pt idx="186">
                  <c:v>823</c:v>
                </c:pt>
                <c:pt idx="187">
                  <c:v>760</c:v>
                </c:pt>
                <c:pt idx="188">
                  <c:v>736</c:v>
                </c:pt>
                <c:pt idx="189">
                  <c:v>796</c:v>
                </c:pt>
                <c:pt idx="190">
                  <c:v>818</c:v>
                </c:pt>
                <c:pt idx="191">
                  <c:v>737</c:v>
                </c:pt>
                <c:pt idx="192">
                  <c:v>774</c:v>
                </c:pt>
                <c:pt idx="193">
                  <c:v>894</c:v>
                </c:pt>
                <c:pt idx="194">
                  <c:v>811</c:v>
                </c:pt>
                <c:pt idx="195">
                  <c:v>907</c:v>
                </c:pt>
                <c:pt idx="196">
                  <c:v>900</c:v>
                </c:pt>
                <c:pt idx="197">
                  <c:v>905</c:v>
                </c:pt>
                <c:pt idx="198">
                  <c:v>997</c:v>
                </c:pt>
                <c:pt idx="199">
                  <c:v>1050</c:v>
                </c:pt>
                <c:pt idx="200">
                  <c:v>910</c:v>
                </c:pt>
                <c:pt idx="201">
                  <c:v>1068</c:v>
                </c:pt>
                <c:pt idx="202">
                  <c:v>1035</c:v>
                </c:pt>
                <c:pt idx="203">
                  <c:v>994</c:v>
                </c:pt>
                <c:pt idx="204">
                  <c:v>949</c:v>
                </c:pt>
                <c:pt idx="205">
                  <c:v>927</c:v>
                </c:pt>
                <c:pt idx="206">
                  <c:v>957</c:v>
                </c:pt>
                <c:pt idx="207">
                  <c:v>811</c:v>
                </c:pt>
                <c:pt idx="208">
                  <c:v>632</c:v>
                </c:pt>
                <c:pt idx="209">
                  <c:v>466</c:v>
                </c:pt>
                <c:pt idx="210">
                  <c:v>699</c:v>
                </c:pt>
                <c:pt idx="211">
                  <c:v>920</c:v>
                </c:pt>
                <c:pt idx="212">
                  <c:v>891</c:v>
                </c:pt>
                <c:pt idx="213">
                  <c:v>807</c:v>
                </c:pt>
                <c:pt idx="214">
                  <c:v>854</c:v>
                </c:pt>
                <c:pt idx="215">
                  <c:v>843</c:v>
                </c:pt>
                <c:pt idx="216">
                  <c:v>809</c:v>
                </c:pt>
                <c:pt idx="217">
                  <c:v>754</c:v>
                </c:pt>
                <c:pt idx="218">
                  <c:v>672</c:v>
                </c:pt>
                <c:pt idx="219">
                  <c:v>907</c:v>
                </c:pt>
                <c:pt idx="220">
                  <c:v>905</c:v>
                </c:pt>
                <c:pt idx="221">
                  <c:v>966</c:v>
                </c:pt>
                <c:pt idx="222">
                  <c:v>853</c:v>
                </c:pt>
                <c:pt idx="223">
                  <c:v>865</c:v>
                </c:pt>
                <c:pt idx="224">
                  <c:v>954</c:v>
                </c:pt>
                <c:pt idx="225">
                  <c:v>1044</c:v>
                </c:pt>
                <c:pt idx="226">
                  <c:v>979</c:v>
                </c:pt>
                <c:pt idx="227">
                  <c:v>799</c:v>
                </c:pt>
                <c:pt idx="228">
                  <c:v>1062</c:v>
                </c:pt>
                <c:pt idx="229">
                  <c:v>869</c:v>
                </c:pt>
                <c:pt idx="230">
                  <c:v>792</c:v>
                </c:pt>
                <c:pt idx="231">
                  <c:v>927</c:v>
                </c:pt>
                <c:pt idx="232">
                  <c:v>1015</c:v>
                </c:pt>
                <c:pt idx="233">
                  <c:v>952</c:v>
                </c:pt>
                <c:pt idx="234">
                  <c:v>961</c:v>
                </c:pt>
                <c:pt idx="235">
                  <c:v>902</c:v>
                </c:pt>
                <c:pt idx="236">
                  <c:v>786</c:v>
                </c:pt>
              </c:numCache>
            </c:numRef>
          </c:xVal>
          <c:y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9</c:v>
                </c:pt>
                <c:pt idx="12">
                  <c:v>9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4</c:v>
                </c:pt>
                <c:pt idx="20">
                  <c:v>8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7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10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2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2</c:v>
                </c:pt>
                <c:pt idx="114">
                  <c:v>10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10</c:v>
                </c:pt>
                <c:pt idx="125">
                  <c:v>11</c:v>
                </c:pt>
                <c:pt idx="126">
                  <c:v>7</c:v>
                </c:pt>
                <c:pt idx="127">
                  <c:v>7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8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7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5</c:v>
                </c:pt>
                <c:pt idx="232">
                  <c:v>5</c:v>
                </c:pt>
                <c:pt idx="233">
                  <c:v>6</c:v>
                </c:pt>
                <c:pt idx="234">
                  <c:v>10</c:v>
                </c:pt>
                <c:pt idx="235">
                  <c:v>3</c:v>
                </c:pt>
                <c:pt idx="2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D-431E-8427-D41EAEF8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00304"/>
        <c:axId val="1344439376"/>
      </c:scatterChart>
      <c:valAx>
        <c:axId val="13459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 </a:t>
                </a:r>
                <a:r>
                  <a:rPr lang="ru-RU"/>
                  <a:t>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439376"/>
        <c:crosses val="autoZero"/>
        <c:crossBetween val="midCat"/>
      </c:valAx>
      <c:valAx>
        <c:axId val="134443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 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900304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139700</xdr:rowOff>
    </xdr:from>
    <xdr:to>
      <xdr:col>19</xdr:col>
      <xdr:colOff>495300</xdr:colOff>
      <xdr:row>41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33276D-90C1-4B22-8037-D29EAACA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149225</xdr:rowOff>
    </xdr:from>
    <xdr:to>
      <xdr:col>18</xdr:col>
      <xdr:colOff>76200</xdr:colOff>
      <xdr:row>44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0D1A80-650C-4718-8605-C174E78E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F84CAE-FEE9-4B57-A4FF-3C49D119C9EC}" name="tblPdrWeekly" displayName="tblPdrWeekly" ref="A4:G241" totalsRowShown="0">
  <autoFilter ref="A4:G241" xr:uid="{2EBA7144-C238-4E48-94FF-87E980F5CDA2}"/>
  <tableColumns count="7">
    <tableColumn id="1" xr3:uid="{FC8BDE8B-5741-4ABD-8078-BC73B8FA7E73}" name="Начало недели" dataDxfId="2"/>
    <tableColumn id="2" xr3:uid="{56EE0D03-4CCB-444A-9FEA-55E5EE4FDCC4}" name="Конец недели" dataDxfId="1"/>
    <tableColumn id="3" xr3:uid="{DF90001C-5D4F-4F46-BF48-D93BA505FAF5}" name="Период Wordstat"/>
    <tableColumn id="4" xr3:uid="{B729579F-5A2E-4F93-99C2-1416CDDADDCB}" name="Все лиды">
      <calculatedColumnFormula>COUNTIFS('Исходник — лиды'!$H$2:$H$1037,"&gt;="&amp;A5,'Исходник — лиды'!$H$2:$H$1037,"&lt;"&amp;B5+1)</calculatedColumnFormula>
    </tableColumn>
    <tableColumn id="5" xr3:uid="{8363F72B-405E-4957-B316-4AB9C328290C}" name="Качественные лиды">
      <calculatedColumnFormula>COUNTIFS('Исходник — лиды'!$H$2:$H$1037,"&gt;="&amp;A5,'Исходник — лиды'!$H$2:$H$1037,"&lt;"&amp;B5+1,'Исходник — лиды'!$C$2:$C$1037,"Качественный лид")</calculatedColumnFormula>
    </tableColumn>
    <tableColumn id="6" xr3:uid="{821952A3-3889-420C-9FD1-568A5D06B882}" name="Запросы Wordstat"/>
    <tableColumn id="7" xr3:uid="{2C0AA993-D9FF-44F8-929F-9CD0EFAD7604}" name="Доля качественных" dataDxfId="0">
      <calculatedColumnFormula>IFERROR(E5/D5,0)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70D3F-D44B-4527-A541-CE01899670FE}" name="tblPdrLeads" displayName="tblPdrLeads" ref="A1:Z1037" totalsRowShown="0">
  <autoFilter ref="A1:Z1037" xr:uid="{5AB88922-EC68-4CF5-BCD1-33B8F8E00BF7}"/>
  <tableColumns count="26">
    <tableColumn id="1" xr3:uid="{3091741D-029C-4A8D-8C86-DD5CB4587798}" name="Название лида"/>
    <tableColumn id="2" xr3:uid="{0B695544-D8A3-4551-B9BA-496BFE9097D5}" name="Источник"/>
    <tableColumn id="3" xr3:uid="{0E637243-4895-4334-85D5-AED374686526}" name="Стадия"/>
    <tableColumn id="4" xr3:uid="{E8D2D529-CEA1-4C2E-A78D-4DAE839D0F66}" name="Обращение"/>
    <tableColumn id="5" xr3:uid="{56B3CB53-3B81-4072-8521-82F47F8F5E69}" name="Имя"/>
    <tableColumn id="6" xr3:uid="{F5D4F38F-B880-4963-B63A-C6D2EB912905}" name="Отчество"/>
    <tableColumn id="7" xr3:uid="{B365A639-881E-4C50-ACF4-92B24B9FBF17}" name="Фамилия"/>
    <tableColumn id="8" xr3:uid="{9A8121A4-9364-4748-B377-D696542D2728}" name="Дата создания" dataDxfId="5"/>
    <tableColumn id="9" xr3:uid="{6CBD02ED-A1D8-4E74-86E7-2CE7F4498F03}" name="Ответственный"/>
    <tableColumn id="10" xr3:uid="{0F56BEB5-B122-4E41-B054-E694D4BC0CAB}" name="Путь клиента"/>
    <tableColumn id="11" xr3:uid="{4BC4B72E-2EBF-4607-AC33-BAAB68DD6822}" name="UTM Source"/>
    <tableColumn id="12" xr3:uid="{27CB0F0F-2050-48E6-AA13-12959FC94A33}" name="UTM Medium"/>
    <tableColumn id="13" xr3:uid="{45C51D7F-EA04-4B8C-9DA9-13956002FF6E}" name="UTM Campaign"/>
    <tableColumn id="14" xr3:uid="{C47D5560-E744-4E26-A222-9371F3A62C5A}" name="UTM Content"/>
    <tableColumn id="15" xr3:uid="{B76B7C54-3B41-45EE-9451-857FF1792E2A}" name="UTM Term"/>
    <tableColumn id="16" xr3:uid="{094093CE-A51A-4E0B-B316-152328E1FC7B}" name="ДКТ: client_id"/>
    <tableColumn id="17" xr3:uid="{FE264141-50D6-4A45-95C4-D3049089E458}" name="ДКТ: client_cid"/>
    <tableColumn id="18" xr3:uid="{33445177-7131-456F-8B3F-A6C3A0CB45F2}" name="ДКТ: ya_client_id"/>
    <tableColumn id="19" xr3:uid="{A06C285E-2FD5-4BBF-9FF6-C6E43E09ACF8}" name="ДКТ: Город"/>
    <tableColumn id="20" xr3:uid="{E8C53E11-9FD2-45F6-B1A0-C05FF7B5F988}" name="ДКТ: Источник"/>
    <tableColumn id="21" xr3:uid="{517E395C-02DB-4E69-89FF-DAB4B9808879}" name="ДКТ: Канал"/>
    <tableColumn id="22" xr3:uid="{3A2CD77A-DFB6-4D85-BE14-71F39B3494E9}" name="ДКТ: Кампания"/>
    <tableColumn id="23" xr3:uid="{23C22050-8500-4D18-92F6-7EAE1456CCDA}" name="ДКТ: Содержимое"/>
    <tableColumn id="24" xr3:uid="{ADB937CD-E415-4556-9AA5-31AE51F23778}" name="ДКТ: Что искал"/>
    <tableColumn id="25" xr3:uid="{53350743-E14C-443B-B26F-73F64736DF99}" name="ДКТ: Время на сайте"/>
    <tableColumn id="26" xr3:uid="{8EF7BD67-9811-4A16-A83F-903025995091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1D4087-277B-40BB-9A75-742AEA734EBD}" name="tblPdrWordstat" displayName="tblPdrWordstat" ref="A1:E238" totalsRowShown="0">
  <autoFilter ref="A1:E238" xr:uid="{26E0E668-710A-46A1-8470-40ADEB92B7DA}"/>
  <tableColumns count="5">
    <tableColumn id="1" xr3:uid="{4FDB8F5A-D2B1-40BD-8EE0-22B41A3341F6}" name="Начало недели" dataDxfId="4"/>
    <tableColumn id="2" xr3:uid="{CDA1FA40-EA83-48F8-8EEB-D35ACB43CF1B}" name="Конец недели" dataDxfId="3"/>
    <tableColumn id="3" xr3:uid="{072B406F-09A8-40B2-9BBA-6564A58988B3}" name="Период Wordstat"/>
    <tableColumn id="4" xr3:uid="{E87CA387-23ED-4B76-A8E7-4237C02E819A}" name="Число запросов"/>
    <tableColumn id="5" xr3:uid="{8AB4859A-D80D-4D3A-B0D8-B9524F04C64B}" name="Доля от всех запросов,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2505-2519-4A15-A770-00C4DFC3903B}">
  <dimension ref="A1:N36"/>
  <sheetViews>
    <sheetView showGridLines="0" tabSelected="1" zoomScale="85" zoomScaleNormal="85" workbookViewId="0">
      <selection sqref="A1:N1"/>
    </sheetView>
  </sheetViews>
  <sheetFormatPr defaultRowHeight="15" x14ac:dyDescent="0.25"/>
  <cols>
    <col min="1" max="14" width="11.7109375" customWidth="1"/>
  </cols>
  <sheetData>
    <row r="1" spans="1:14" ht="30" customHeight="1" x14ac:dyDescent="0.35">
      <c r="A1" s="8" t="s">
        <v>1503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" customHeight="1" x14ac:dyDescent="0.25">
      <c r="A2" s="9" t="s">
        <v>487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5" spans="1:14" x14ac:dyDescent="0.25">
      <c r="A35" s="10" t="s">
        <v>488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</sheetData>
  <mergeCells count="3">
    <mergeCell ref="A1:N1"/>
    <mergeCell ref="A2:N2"/>
    <mergeCell ref="A35:N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F3F-3B9F-42B5-B1BA-00418A71F897}">
  <dimension ref="A1:L14"/>
  <sheetViews>
    <sheetView showGridLines="0" zoomScale="90" zoomScaleNormal="90" workbookViewId="0">
      <pane ySplit="1" topLeftCell="A2" activePane="bottomLeft" state="frozenSplit"/>
      <selection pane="bottomLeft" sqref="A1:L1"/>
    </sheetView>
  </sheetViews>
  <sheetFormatPr defaultRowHeight="15" x14ac:dyDescent="0.25"/>
  <cols>
    <col min="1" max="1" width="25.7109375" customWidth="1"/>
    <col min="2" max="2" width="13.7109375" customWidth="1"/>
    <col min="3" max="3" width="18.7109375" customWidth="1"/>
    <col min="4" max="12" width="13.7109375" customWidth="1"/>
  </cols>
  <sheetData>
    <row r="1" spans="1:12" ht="27" customHeight="1" x14ac:dyDescent="0.35">
      <c r="A1" s="11" t="s">
        <v>1501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7" customHeight="1" x14ac:dyDescent="0.25">
      <c r="A2" s="12" t="s">
        <v>476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25">
      <c r="A4" s="13" t="s">
        <v>477</v>
      </c>
      <c r="B4" s="13"/>
      <c r="D4" s="13" t="s">
        <v>478</v>
      </c>
      <c r="E4" s="13"/>
      <c r="G4" s="13" t="s">
        <v>479</v>
      </c>
      <c r="H4" s="13"/>
      <c r="J4" s="13" t="s">
        <v>480</v>
      </c>
      <c r="K4" s="13"/>
    </row>
    <row r="5" spans="1:12" x14ac:dyDescent="0.25">
      <c r="A5" s="14">
        <f>SUM('Недельная сводка'!D5:D241)</f>
        <v>1032</v>
      </c>
      <c r="B5" s="14"/>
      <c r="D5" s="14">
        <f>SUM('Недельная сводка'!E5:E241)</f>
        <v>990</v>
      </c>
      <c r="E5" s="14"/>
      <c r="G5" s="14">
        <f>SUM('Недельная сводка'!F5:F241)</f>
        <v>215011</v>
      </c>
      <c r="H5" s="14"/>
      <c r="J5" s="14">
        <v>237</v>
      </c>
      <c r="K5" s="14"/>
    </row>
    <row r="6" spans="1:12" x14ac:dyDescent="0.25">
      <c r="A6" s="14"/>
      <c r="B6" s="14"/>
      <c r="D6" s="14"/>
      <c r="E6" s="14"/>
      <c r="G6" s="14"/>
      <c r="H6" s="14"/>
      <c r="J6" s="14"/>
      <c r="K6" s="14"/>
    </row>
    <row r="8" spans="1:12" x14ac:dyDescent="0.25">
      <c r="A8" s="15" t="s">
        <v>481</v>
      </c>
      <c r="B8" s="15"/>
      <c r="C8" s="15"/>
      <c r="D8" s="15"/>
    </row>
    <row r="9" spans="1:12" x14ac:dyDescent="0.25">
      <c r="A9" s="7" t="s">
        <v>482</v>
      </c>
      <c r="B9" s="7" t="s">
        <v>483</v>
      </c>
      <c r="C9" s="7" t="s">
        <v>484</v>
      </c>
    </row>
    <row r="10" spans="1:12" x14ac:dyDescent="0.25">
      <c r="A10" s="5" t="s">
        <v>485</v>
      </c>
      <c r="B10" s="6">
        <f>CORREL('Недельная сводка'!F5:F241,'Недельная сводка'!D5:D241)</f>
        <v>0.36107586877162473</v>
      </c>
      <c r="C10" s="5" t="str">
        <f>IF(ABS(B10)&lt;0.3,"Слабая",IF(ABS(B10)&lt;0.7,"Умеренная","Сильная"))</f>
        <v>Умеренная</v>
      </c>
    </row>
    <row r="11" spans="1:12" x14ac:dyDescent="0.25">
      <c r="A11" s="5" t="s">
        <v>486</v>
      </c>
      <c r="B11" s="6">
        <f>CORREL('Недельная сводка'!F5:F241,'Недельная сводка'!E5:E241)</f>
        <v>0.35170289866758098</v>
      </c>
      <c r="C11" s="5" t="str">
        <f>IF(ABS(B11)&lt;0.3,"Слабая",IF(ABS(B11)&lt;0.7,"Умеренная","Сильная"))</f>
        <v>Умеренная</v>
      </c>
    </row>
    <row r="13" spans="1:12" x14ac:dyDescent="0.25">
      <c r="A13" s="10" t="s">
        <v>1502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mergeCells count="12">
    <mergeCell ref="A13:L14"/>
    <mergeCell ref="A1:L1"/>
    <mergeCell ref="A2:L2"/>
    <mergeCell ref="A4:B4"/>
    <mergeCell ref="D4:E4"/>
    <mergeCell ref="G4:H4"/>
    <mergeCell ref="J4:K4"/>
    <mergeCell ref="A5:B6"/>
    <mergeCell ref="D5:E6"/>
    <mergeCell ref="G5:H6"/>
    <mergeCell ref="J5:K6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AEC-34BC-4177-B9AF-D89F213D38A6}">
  <dimension ref="A1:G241"/>
  <sheetViews>
    <sheetView zoomScale="85" zoomScaleNormal="85" workbookViewId="0">
      <pane ySplit="4" topLeftCell="A5" activePane="bottomLeft" state="frozenSplit"/>
      <selection pane="bottomLeft" sqref="A1:G1"/>
    </sheetView>
  </sheetViews>
  <sheetFormatPr defaultRowHeight="15" x14ac:dyDescent="0.25"/>
  <cols>
    <col min="1" max="1" width="16.5703125" customWidth="1"/>
    <col min="2" max="2" width="15.85546875" customWidth="1"/>
    <col min="3" max="3" width="36.7109375" customWidth="1"/>
    <col min="4" max="4" width="18.7109375" customWidth="1"/>
    <col min="5" max="5" width="21.28515625" customWidth="1"/>
    <col min="6" max="6" width="18.85546875" customWidth="1"/>
    <col min="7" max="7" width="20.7109375" customWidth="1"/>
  </cols>
  <sheetData>
    <row r="1" spans="1:7" ht="27.95" customHeight="1" x14ac:dyDescent="0.35">
      <c r="A1" s="16" t="s">
        <v>1500</v>
      </c>
      <c r="B1" s="16"/>
      <c r="C1" s="16"/>
      <c r="D1" s="16"/>
      <c r="E1" s="16"/>
      <c r="F1" s="16"/>
      <c r="G1" s="16"/>
    </row>
    <row r="2" spans="1:7" ht="24" customHeight="1" x14ac:dyDescent="0.25">
      <c r="A2" s="12" t="s">
        <v>471</v>
      </c>
      <c r="B2" s="12"/>
      <c r="C2" s="12"/>
      <c r="D2" s="12"/>
      <c r="E2" s="12"/>
      <c r="F2" s="12"/>
      <c r="G2" s="12"/>
    </row>
    <row r="4" spans="1:7" x14ac:dyDescent="0.25">
      <c r="A4" t="s">
        <v>229</v>
      </c>
      <c r="B4" t="s">
        <v>230</v>
      </c>
      <c r="C4" t="s">
        <v>231</v>
      </c>
      <c r="D4" t="s">
        <v>472</v>
      </c>
      <c r="E4" t="s">
        <v>473</v>
      </c>
      <c r="F4" t="s">
        <v>474</v>
      </c>
      <c r="G4" t="s">
        <v>475</v>
      </c>
    </row>
    <row r="5" spans="1:7" x14ac:dyDescent="0.25">
      <c r="A5" s="3">
        <v>44557</v>
      </c>
      <c r="B5" s="3">
        <v>44563</v>
      </c>
      <c r="C5" t="s">
        <v>234</v>
      </c>
      <c r="D5">
        <f>COUNTIFS('Исходник — лиды'!$H$2:$H$1037,"&gt;="&amp;A5,'Исходник — лиды'!$H$2:$H$1037,"&lt;"&amp;B5+1)</f>
        <v>0</v>
      </c>
      <c r="E5">
        <f>COUNTIFS('Исходник — лиды'!$H$2:$H$1037,"&gt;="&amp;A5,'Исходник — лиды'!$H$2:$H$1037,"&lt;"&amp;B5+1,'Исходник — лиды'!$C$2:$C$1037,"Качественный лид")</f>
        <v>0</v>
      </c>
      <c r="F5">
        <v>673</v>
      </c>
      <c r="G5" s="4">
        <f t="shared" ref="G5:G68" si="0">IFERROR(E5/D5,0)</f>
        <v>0</v>
      </c>
    </row>
    <row r="6" spans="1:7" x14ac:dyDescent="0.25">
      <c r="A6" s="3">
        <v>44564</v>
      </c>
      <c r="B6" s="3">
        <v>44570</v>
      </c>
      <c r="C6" t="s">
        <v>235</v>
      </c>
      <c r="D6">
        <f>COUNTIFS('Исходник — лиды'!$H$2:$H$1037,"&gt;="&amp;A6,'Исходник — лиды'!$H$2:$H$1037,"&lt;"&amp;B6+1)</f>
        <v>6</v>
      </c>
      <c r="E6">
        <f>COUNTIFS('Исходник — лиды'!$H$2:$H$1037,"&gt;="&amp;A6,'Исходник — лиды'!$H$2:$H$1037,"&lt;"&amp;B6+1,'Исходник — лиды'!$C$2:$C$1037,"Качественный лид")</f>
        <v>6</v>
      </c>
      <c r="F6">
        <v>954</v>
      </c>
      <c r="G6" s="4">
        <f t="shared" si="0"/>
        <v>1</v>
      </c>
    </row>
    <row r="7" spans="1:7" x14ac:dyDescent="0.25">
      <c r="A7" s="3">
        <v>44571</v>
      </c>
      <c r="B7" s="3">
        <v>44577</v>
      </c>
      <c r="C7" t="s">
        <v>236</v>
      </c>
      <c r="D7">
        <f>COUNTIFS('Исходник — лиды'!$H$2:$H$1037,"&gt;="&amp;A7,'Исходник — лиды'!$H$2:$H$1037,"&lt;"&amp;B7+1)</f>
        <v>7</v>
      </c>
      <c r="E7">
        <f>COUNTIFS('Исходник — лиды'!$H$2:$H$1037,"&gt;="&amp;A7,'Исходник — лиды'!$H$2:$H$1037,"&lt;"&amp;B7+1,'Исходник — лиды'!$C$2:$C$1037,"Качественный лид")</f>
        <v>5</v>
      </c>
      <c r="F7">
        <v>1160</v>
      </c>
      <c r="G7" s="4">
        <f t="shared" si="0"/>
        <v>0.7142857142857143</v>
      </c>
    </row>
    <row r="8" spans="1:7" x14ac:dyDescent="0.25">
      <c r="A8" s="3">
        <v>44578</v>
      </c>
      <c r="B8" s="3">
        <v>44584</v>
      </c>
      <c r="C8" t="s">
        <v>237</v>
      </c>
      <c r="D8">
        <f>COUNTIFS('Исходник — лиды'!$H$2:$H$1037,"&gt;="&amp;A8,'Исходник — лиды'!$H$2:$H$1037,"&lt;"&amp;B8+1)</f>
        <v>8</v>
      </c>
      <c r="E8">
        <f>COUNTIFS('Исходник — лиды'!$H$2:$H$1037,"&gt;="&amp;A8,'Исходник — лиды'!$H$2:$H$1037,"&lt;"&amp;B8+1,'Исходник — лиды'!$C$2:$C$1037,"Качественный лид")</f>
        <v>7</v>
      </c>
      <c r="F8">
        <v>1177</v>
      </c>
      <c r="G8" s="4">
        <f t="shared" si="0"/>
        <v>0.875</v>
      </c>
    </row>
    <row r="9" spans="1:7" x14ac:dyDescent="0.25">
      <c r="A9" s="3">
        <v>44585</v>
      </c>
      <c r="B9" s="3">
        <v>44591</v>
      </c>
      <c r="C9" t="s">
        <v>238</v>
      </c>
      <c r="D9">
        <f>COUNTIFS('Исходник — лиды'!$H$2:$H$1037,"&gt;="&amp;A9,'Исходник — лиды'!$H$2:$H$1037,"&lt;"&amp;B9+1)</f>
        <v>6</v>
      </c>
      <c r="E9">
        <f>COUNTIFS('Исходник — лиды'!$H$2:$H$1037,"&gt;="&amp;A9,'Исходник — лиды'!$H$2:$H$1037,"&lt;"&amp;B9+1,'Исходник — лиды'!$C$2:$C$1037,"Качественный лид")</f>
        <v>5</v>
      </c>
      <c r="F9">
        <v>1216</v>
      </c>
      <c r="G9" s="4">
        <f t="shared" si="0"/>
        <v>0.83333333333333337</v>
      </c>
    </row>
    <row r="10" spans="1:7" x14ac:dyDescent="0.25">
      <c r="A10" s="3">
        <v>44592</v>
      </c>
      <c r="B10" s="3">
        <v>44598</v>
      </c>
      <c r="C10" t="s">
        <v>239</v>
      </c>
      <c r="D10">
        <f>COUNTIFS('Исходник — лиды'!$H$2:$H$1037,"&gt;="&amp;A10,'Исходник — лиды'!$H$2:$H$1037,"&lt;"&amp;B10+1)</f>
        <v>12</v>
      </c>
      <c r="E10">
        <f>COUNTIFS('Исходник — лиды'!$H$2:$H$1037,"&gt;="&amp;A10,'Исходник — лиды'!$H$2:$H$1037,"&lt;"&amp;B10+1,'Исходник — лиды'!$C$2:$C$1037,"Качественный лид")</f>
        <v>11</v>
      </c>
      <c r="F10">
        <v>1021</v>
      </c>
      <c r="G10" s="4">
        <f t="shared" si="0"/>
        <v>0.91666666666666663</v>
      </c>
    </row>
    <row r="11" spans="1:7" x14ac:dyDescent="0.25">
      <c r="A11" s="3">
        <v>44599</v>
      </c>
      <c r="B11" s="3">
        <v>44605</v>
      </c>
      <c r="C11" t="s">
        <v>240</v>
      </c>
      <c r="D11">
        <f>COUNTIFS('Исходник — лиды'!$H$2:$H$1037,"&gt;="&amp;A11,'Исходник — лиды'!$H$2:$H$1037,"&lt;"&amp;B11+1)</f>
        <v>5</v>
      </c>
      <c r="E11">
        <f>COUNTIFS('Исходник — лиды'!$H$2:$H$1037,"&gt;="&amp;A11,'Исходник — лиды'!$H$2:$H$1037,"&lt;"&amp;B11+1,'Исходник — лиды'!$C$2:$C$1037,"Качественный лид")</f>
        <v>5</v>
      </c>
      <c r="F11">
        <v>1067</v>
      </c>
      <c r="G11" s="4">
        <f t="shared" si="0"/>
        <v>1</v>
      </c>
    </row>
    <row r="12" spans="1:7" x14ac:dyDescent="0.25">
      <c r="A12" s="3">
        <v>44606</v>
      </c>
      <c r="B12" s="3">
        <v>44612</v>
      </c>
      <c r="C12" t="s">
        <v>241</v>
      </c>
      <c r="D12">
        <f>COUNTIFS('Исходник — лиды'!$H$2:$H$1037,"&gt;="&amp;A12,'Исходник — лиды'!$H$2:$H$1037,"&lt;"&amp;B12+1)</f>
        <v>1</v>
      </c>
      <c r="E12">
        <f>COUNTIFS('Исходник — лиды'!$H$2:$H$1037,"&gt;="&amp;A12,'Исходник — лиды'!$H$2:$H$1037,"&lt;"&amp;B12+1,'Исходник — лиды'!$C$2:$C$1037,"Качественный лид")</f>
        <v>1</v>
      </c>
      <c r="F12">
        <v>1029</v>
      </c>
      <c r="G12" s="4">
        <f t="shared" si="0"/>
        <v>1</v>
      </c>
    </row>
    <row r="13" spans="1:7" x14ac:dyDescent="0.25">
      <c r="A13" s="3">
        <v>44613</v>
      </c>
      <c r="B13" s="3">
        <v>44619</v>
      </c>
      <c r="C13" t="s">
        <v>242</v>
      </c>
      <c r="D13">
        <f>COUNTIFS('Исходник — лиды'!$H$2:$H$1037,"&gt;="&amp;A13,'Исходник — лиды'!$H$2:$H$1037,"&lt;"&amp;B13+1)</f>
        <v>5</v>
      </c>
      <c r="E13">
        <f>COUNTIFS('Исходник — лиды'!$H$2:$H$1037,"&gt;="&amp;A13,'Исходник — лиды'!$H$2:$H$1037,"&lt;"&amp;B13+1,'Исходник — лиды'!$C$2:$C$1037,"Качественный лид")</f>
        <v>4</v>
      </c>
      <c r="F13">
        <v>914</v>
      </c>
      <c r="G13" s="4">
        <f t="shared" si="0"/>
        <v>0.8</v>
      </c>
    </row>
    <row r="14" spans="1:7" x14ac:dyDescent="0.25">
      <c r="A14" s="3">
        <v>44620</v>
      </c>
      <c r="B14" s="3">
        <v>44626</v>
      </c>
      <c r="C14" t="s">
        <v>243</v>
      </c>
      <c r="D14">
        <f>COUNTIFS('Исходник — лиды'!$H$2:$H$1037,"&gt;="&amp;A14,'Исходник — лиды'!$H$2:$H$1037,"&lt;"&amp;B14+1)</f>
        <v>2</v>
      </c>
      <c r="E14">
        <f>COUNTIFS('Исходник — лиды'!$H$2:$H$1037,"&gt;="&amp;A14,'Исходник — лиды'!$H$2:$H$1037,"&lt;"&amp;B14+1,'Исходник — лиды'!$C$2:$C$1037,"Качественный лид")</f>
        <v>2</v>
      </c>
      <c r="F14">
        <v>810</v>
      </c>
      <c r="G14" s="4">
        <f t="shared" si="0"/>
        <v>1</v>
      </c>
    </row>
    <row r="15" spans="1:7" x14ac:dyDescent="0.25">
      <c r="A15" s="3">
        <v>44627</v>
      </c>
      <c r="B15" s="3">
        <v>44633</v>
      </c>
      <c r="C15" t="s">
        <v>244</v>
      </c>
      <c r="D15">
        <f>COUNTIFS('Исходник — лиды'!$H$2:$H$1037,"&gt;="&amp;A15,'Исходник — лиды'!$H$2:$H$1037,"&lt;"&amp;B15+1)</f>
        <v>3</v>
      </c>
      <c r="E15">
        <f>COUNTIFS('Исходник — лиды'!$H$2:$H$1037,"&gt;="&amp;A15,'Исходник — лиды'!$H$2:$H$1037,"&lt;"&amp;B15+1,'Исходник — лиды'!$C$2:$C$1037,"Качественный лид")</f>
        <v>3</v>
      </c>
      <c r="F15">
        <v>935</v>
      </c>
      <c r="G15" s="4">
        <f t="shared" si="0"/>
        <v>1</v>
      </c>
    </row>
    <row r="16" spans="1:7" x14ac:dyDescent="0.25">
      <c r="A16" s="3">
        <v>44634</v>
      </c>
      <c r="B16" s="3">
        <v>44640</v>
      </c>
      <c r="C16" t="s">
        <v>245</v>
      </c>
      <c r="D16">
        <f>COUNTIFS('Исходник — лиды'!$H$2:$H$1037,"&gt;="&amp;A16,'Исходник — лиды'!$H$2:$H$1037,"&lt;"&amp;B16+1)</f>
        <v>10</v>
      </c>
      <c r="E16">
        <f>COUNTIFS('Исходник — лиды'!$H$2:$H$1037,"&gt;="&amp;A16,'Исходник — лиды'!$H$2:$H$1037,"&lt;"&amp;B16+1,'Исходник — лиды'!$C$2:$C$1037,"Качественный лид")</f>
        <v>9</v>
      </c>
      <c r="F16">
        <v>988</v>
      </c>
      <c r="G16" s="4">
        <f t="shared" si="0"/>
        <v>0.9</v>
      </c>
    </row>
    <row r="17" spans="1:7" x14ac:dyDescent="0.25">
      <c r="A17" s="3">
        <v>44641</v>
      </c>
      <c r="B17" s="3">
        <v>44647</v>
      </c>
      <c r="C17" t="s">
        <v>246</v>
      </c>
      <c r="D17">
        <f>COUNTIFS('Исходник — лиды'!$H$2:$H$1037,"&gt;="&amp;A17,'Исходник — лиды'!$H$2:$H$1037,"&lt;"&amp;B17+1)</f>
        <v>9</v>
      </c>
      <c r="E17">
        <f>COUNTIFS('Исходник — лиды'!$H$2:$H$1037,"&gt;="&amp;A17,'Исходник — лиды'!$H$2:$H$1037,"&lt;"&amp;B17+1,'Исходник — лиды'!$C$2:$C$1037,"Качественный лид")</f>
        <v>9</v>
      </c>
      <c r="F17">
        <v>934</v>
      </c>
      <c r="G17" s="4">
        <f t="shared" si="0"/>
        <v>1</v>
      </c>
    </row>
    <row r="18" spans="1:7" x14ac:dyDescent="0.25">
      <c r="A18" s="3">
        <v>44648</v>
      </c>
      <c r="B18" s="3">
        <v>44654</v>
      </c>
      <c r="C18" t="s">
        <v>247</v>
      </c>
      <c r="D18">
        <f>COUNTIFS('Исходник — лиды'!$H$2:$H$1037,"&gt;="&amp;A18,'Исходник — лиды'!$H$2:$H$1037,"&lt;"&amp;B18+1)</f>
        <v>4</v>
      </c>
      <c r="E18">
        <f>COUNTIFS('Исходник — лиды'!$H$2:$H$1037,"&gt;="&amp;A18,'Исходник — лиды'!$H$2:$H$1037,"&lt;"&amp;B18+1,'Исходник — лиды'!$C$2:$C$1037,"Качественный лид")</f>
        <v>4</v>
      </c>
      <c r="F18">
        <v>1129</v>
      </c>
      <c r="G18" s="4">
        <f t="shared" si="0"/>
        <v>1</v>
      </c>
    </row>
    <row r="19" spans="1:7" x14ac:dyDescent="0.25">
      <c r="A19" s="3">
        <v>44655</v>
      </c>
      <c r="B19" s="3">
        <v>44661</v>
      </c>
      <c r="C19" t="s">
        <v>248</v>
      </c>
      <c r="D19">
        <f>COUNTIFS('Исходник — лиды'!$H$2:$H$1037,"&gt;="&amp;A19,'Исходник — лиды'!$H$2:$H$1037,"&lt;"&amp;B19+1)</f>
        <v>9</v>
      </c>
      <c r="E19">
        <f>COUNTIFS('Исходник — лиды'!$H$2:$H$1037,"&gt;="&amp;A19,'Исходник — лиды'!$H$2:$H$1037,"&lt;"&amp;B19+1,'Исходник — лиды'!$C$2:$C$1037,"Качественный лид")</f>
        <v>8</v>
      </c>
      <c r="F19">
        <v>1309</v>
      </c>
      <c r="G19" s="4">
        <f t="shared" si="0"/>
        <v>0.88888888888888884</v>
      </c>
    </row>
    <row r="20" spans="1:7" x14ac:dyDescent="0.25">
      <c r="A20" s="3">
        <v>44662</v>
      </c>
      <c r="B20" s="3">
        <v>44668</v>
      </c>
      <c r="C20" t="s">
        <v>249</v>
      </c>
      <c r="D20">
        <f>COUNTIFS('Исходник — лиды'!$H$2:$H$1037,"&gt;="&amp;A20,'Исходник — лиды'!$H$2:$H$1037,"&lt;"&amp;B20+1)</f>
        <v>8</v>
      </c>
      <c r="E20">
        <f>COUNTIFS('Исходник — лиды'!$H$2:$H$1037,"&gt;="&amp;A20,'Исходник — лиды'!$H$2:$H$1037,"&lt;"&amp;B20+1,'Исходник — лиды'!$C$2:$C$1037,"Качественный лид")</f>
        <v>8</v>
      </c>
      <c r="F20">
        <v>1299</v>
      </c>
      <c r="G20" s="4">
        <f t="shared" si="0"/>
        <v>1</v>
      </c>
    </row>
    <row r="21" spans="1:7" x14ac:dyDescent="0.25">
      <c r="A21" s="3">
        <v>44669</v>
      </c>
      <c r="B21" s="3">
        <v>44675</v>
      </c>
      <c r="C21" t="s">
        <v>250</v>
      </c>
      <c r="D21">
        <f>COUNTIFS('Исходник — лиды'!$H$2:$H$1037,"&gt;="&amp;A21,'Исходник — лиды'!$H$2:$H$1037,"&lt;"&amp;B21+1)</f>
        <v>8</v>
      </c>
      <c r="E21">
        <f>COUNTIFS('Исходник — лиды'!$H$2:$H$1037,"&gt;="&amp;A21,'Исходник — лиды'!$H$2:$H$1037,"&lt;"&amp;B21+1,'Исходник — лиды'!$C$2:$C$1037,"Качественный лид")</f>
        <v>8</v>
      </c>
      <c r="F21">
        <v>1267</v>
      </c>
      <c r="G21" s="4">
        <f t="shared" si="0"/>
        <v>1</v>
      </c>
    </row>
    <row r="22" spans="1:7" x14ac:dyDescent="0.25">
      <c r="A22" s="3">
        <v>44676</v>
      </c>
      <c r="B22" s="3">
        <v>44682</v>
      </c>
      <c r="C22" t="s">
        <v>251</v>
      </c>
      <c r="D22">
        <f>COUNTIFS('Исходник — лиды'!$H$2:$H$1037,"&gt;="&amp;A22,'Исходник — лиды'!$H$2:$H$1037,"&lt;"&amp;B22+1)</f>
        <v>10</v>
      </c>
      <c r="E22">
        <f>COUNTIFS('Исходник — лиды'!$H$2:$H$1037,"&gt;="&amp;A22,'Исходник — лиды'!$H$2:$H$1037,"&lt;"&amp;B22+1,'Исходник — лиды'!$C$2:$C$1037,"Качественный лид")</f>
        <v>10</v>
      </c>
      <c r="F22">
        <v>1007</v>
      </c>
      <c r="G22" s="4">
        <f t="shared" si="0"/>
        <v>1</v>
      </c>
    </row>
    <row r="23" spans="1:7" x14ac:dyDescent="0.25">
      <c r="A23" s="3">
        <v>44683</v>
      </c>
      <c r="B23" s="3">
        <v>44689</v>
      </c>
      <c r="C23" t="s">
        <v>252</v>
      </c>
      <c r="D23">
        <f>COUNTIFS('Исходник — лиды'!$H$2:$H$1037,"&gt;="&amp;A23,'Исходник — лиды'!$H$2:$H$1037,"&lt;"&amp;B23+1)</f>
        <v>10</v>
      </c>
      <c r="E23">
        <f>COUNTIFS('Исходник — лиды'!$H$2:$H$1037,"&gt;="&amp;A23,'Исходник — лиды'!$H$2:$H$1037,"&lt;"&amp;B23+1,'Исходник — лиды'!$C$2:$C$1037,"Качественный лид")</f>
        <v>10</v>
      </c>
      <c r="F23">
        <v>982</v>
      </c>
      <c r="G23" s="4">
        <f t="shared" si="0"/>
        <v>1</v>
      </c>
    </row>
    <row r="24" spans="1:7" x14ac:dyDescent="0.25">
      <c r="A24" s="3">
        <v>44690</v>
      </c>
      <c r="B24" s="3">
        <v>44696</v>
      </c>
      <c r="C24" t="s">
        <v>253</v>
      </c>
      <c r="D24">
        <f>COUNTIFS('Исходник — лиды'!$H$2:$H$1037,"&gt;="&amp;A24,'Исходник — лиды'!$H$2:$H$1037,"&lt;"&amp;B24+1)</f>
        <v>5</v>
      </c>
      <c r="E24">
        <f>COUNTIFS('Исходник — лиды'!$H$2:$H$1037,"&gt;="&amp;A24,'Исходник — лиды'!$H$2:$H$1037,"&lt;"&amp;B24+1,'Исходник — лиды'!$C$2:$C$1037,"Качественный лид")</f>
        <v>4</v>
      </c>
      <c r="F24">
        <v>979</v>
      </c>
      <c r="G24" s="4">
        <f t="shared" si="0"/>
        <v>0.8</v>
      </c>
    </row>
    <row r="25" spans="1:7" x14ac:dyDescent="0.25">
      <c r="A25" s="3">
        <v>44697</v>
      </c>
      <c r="B25" s="3">
        <v>44703</v>
      </c>
      <c r="C25" t="s">
        <v>254</v>
      </c>
      <c r="D25">
        <f>COUNTIFS('Исходник — лиды'!$H$2:$H$1037,"&gt;="&amp;A25,'Исходник — лиды'!$H$2:$H$1037,"&lt;"&amp;B25+1)</f>
        <v>8</v>
      </c>
      <c r="E25">
        <f>COUNTIFS('Исходник — лиды'!$H$2:$H$1037,"&gt;="&amp;A25,'Исходник — лиды'!$H$2:$H$1037,"&lt;"&amp;B25+1,'Исходник — лиды'!$C$2:$C$1037,"Качественный лид")</f>
        <v>8</v>
      </c>
      <c r="F25">
        <v>1177</v>
      </c>
      <c r="G25" s="4">
        <f t="shared" si="0"/>
        <v>1</v>
      </c>
    </row>
    <row r="26" spans="1:7" x14ac:dyDescent="0.25">
      <c r="A26" s="3">
        <v>44704</v>
      </c>
      <c r="B26" s="3">
        <v>44710</v>
      </c>
      <c r="C26" t="s">
        <v>255</v>
      </c>
      <c r="D26">
        <f>COUNTIFS('Исходник — лиды'!$H$2:$H$1037,"&gt;="&amp;A26,'Исходник — лиды'!$H$2:$H$1037,"&lt;"&amp;B26+1)</f>
        <v>9</v>
      </c>
      <c r="E26">
        <f>COUNTIFS('Исходник — лиды'!$H$2:$H$1037,"&gt;="&amp;A26,'Исходник — лиды'!$H$2:$H$1037,"&lt;"&amp;B26+1,'Исходник — лиды'!$C$2:$C$1037,"Качественный лид")</f>
        <v>8</v>
      </c>
      <c r="F26">
        <v>1111</v>
      </c>
      <c r="G26" s="4">
        <f t="shared" si="0"/>
        <v>0.88888888888888884</v>
      </c>
    </row>
    <row r="27" spans="1:7" x14ac:dyDescent="0.25">
      <c r="A27" s="3">
        <v>44711</v>
      </c>
      <c r="B27" s="3">
        <v>44717</v>
      </c>
      <c r="C27" t="s">
        <v>256</v>
      </c>
      <c r="D27">
        <f>COUNTIFS('Исходник — лиды'!$H$2:$H$1037,"&gt;="&amp;A27,'Исходник — лиды'!$H$2:$H$1037,"&lt;"&amp;B27+1)</f>
        <v>6</v>
      </c>
      <c r="E27">
        <f>COUNTIFS('Исходник — лиды'!$H$2:$H$1037,"&gt;="&amp;A27,'Исходник — лиды'!$H$2:$H$1037,"&lt;"&amp;B27+1,'Исходник — лиды'!$C$2:$C$1037,"Качественный лид")</f>
        <v>6</v>
      </c>
      <c r="F27">
        <v>1028</v>
      </c>
      <c r="G27" s="4">
        <f t="shared" si="0"/>
        <v>1</v>
      </c>
    </row>
    <row r="28" spans="1:7" x14ac:dyDescent="0.25">
      <c r="A28" s="3">
        <v>44718</v>
      </c>
      <c r="B28" s="3">
        <v>44724</v>
      </c>
      <c r="C28" t="s">
        <v>257</v>
      </c>
      <c r="D28">
        <f>COUNTIFS('Исходник — лиды'!$H$2:$H$1037,"&gt;="&amp;A28,'Исходник — лиды'!$H$2:$H$1037,"&lt;"&amp;B28+1)</f>
        <v>7</v>
      </c>
      <c r="E28">
        <f>COUNTIFS('Исходник — лиды'!$H$2:$H$1037,"&gt;="&amp;A28,'Исходник — лиды'!$H$2:$H$1037,"&lt;"&amp;B28+1,'Исходник — лиды'!$C$2:$C$1037,"Качественный лид")</f>
        <v>7</v>
      </c>
      <c r="F28">
        <v>932</v>
      </c>
      <c r="G28" s="4">
        <f t="shared" si="0"/>
        <v>1</v>
      </c>
    </row>
    <row r="29" spans="1:7" x14ac:dyDescent="0.25">
      <c r="A29" s="3">
        <v>44725</v>
      </c>
      <c r="B29" s="3">
        <v>44731</v>
      </c>
      <c r="C29" t="s">
        <v>258</v>
      </c>
      <c r="D29">
        <f>COUNTIFS('Исходник — лиды'!$H$2:$H$1037,"&gt;="&amp;A29,'Исходник — лиды'!$H$2:$H$1037,"&lt;"&amp;B29+1)</f>
        <v>4</v>
      </c>
      <c r="E29">
        <f>COUNTIFS('Исходник — лиды'!$H$2:$H$1037,"&gt;="&amp;A29,'Исходник — лиды'!$H$2:$H$1037,"&lt;"&amp;B29+1,'Исходник — лиды'!$C$2:$C$1037,"Качественный лид")</f>
        <v>4</v>
      </c>
      <c r="F29">
        <v>852</v>
      </c>
      <c r="G29" s="4">
        <f t="shared" si="0"/>
        <v>1</v>
      </c>
    </row>
    <row r="30" spans="1:7" x14ac:dyDescent="0.25">
      <c r="A30" s="3">
        <v>44732</v>
      </c>
      <c r="B30" s="3">
        <v>44738</v>
      </c>
      <c r="C30" t="s">
        <v>259</v>
      </c>
      <c r="D30">
        <f>COUNTIFS('Исходник — лиды'!$H$2:$H$1037,"&gt;="&amp;A30,'Исходник — лиды'!$H$2:$H$1037,"&lt;"&amp;B30+1)</f>
        <v>5</v>
      </c>
      <c r="E30">
        <f>COUNTIFS('Исходник — лиды'!$H$2:$H$1037,"&gt;="&amp;A30,'Исходник — лиды'!$H$2:$H$1037,"&lt;"&amp;B30+1,'Исходник — лиды'!$C$2:$C$1037,"Качественный лид")</f>
        <v>5</v>
      </c>
      <c r="F30">
        <v>903</v>
      </c>
      <c r="G30" s="4">
        <f t="shared" si="0"/>
        <v>1</v>
      </c>
    </row>
    <row r="31" spans="1:7" x14ac:dyDescent="0.25">
      <c r="A31" s="3">
        <v>44739</v>
      </c>
      <c r="B31" s="3">
        <v>44745</v>
      </c>
      <c r="C31" t="s">
        <v>260</v>
      </c>
      <c r="D31">
        <f>COUNTIFS('Исходник — лиды'!$H$2:$H$1037,"&gt;="&amp;A31,'Исходник — лиды'!$H$2:$H$1037,"&lt;"&amp;B31+1)</f>
        <v>4</v>
      </c>
      <c r="E31">
        <f>COUNTIFS('Исходник — лиды'!$H$2:$H$1037,"&gt;="&amp;A31,'Исходник — лиды'!$H$2:$H$1037,"&lt;"&amp;B31+1,'Исходник — лиды'!$C$2:$C$1037,"Качественный лид")</f>
        <v>4</v>
      </c>
      <c r="F31">
        <v>848</v>
      </c>
      <c r="G31" s="4">
        <f t="shared" si="0"/>
        <v>1</v>
      </c>
    </row>
    <row r="32" spans="1:7" x14ac:dyDescent="0.25">
      <c r="A32" s="3">
        <v>44746</v>
      </c>
      <c r="B32" s="3">
        <v>44752</v>
      </c>
      <c r="C32" t="s">
        <v>261</v>
      </c>
      <c r="D32">
        <f>COUNTIFS('Исходник — лиды'!$H$2:$H$1037,"&gt;="&amp;A32,'Исходник — лиды'!$H$2:$H$1037,"&lt;"&amp;B32+1)</f>
        <v>4</v>
      </c>
      <c r="E32">
        <f>COUNTIFS('Исходник — лиды'!$H$2:$H$1037,"&gt;="&amp;A32,'Исходник — лиды'!$H$2:$H$1037,"&lt;"&amp;B32+1,'Исходник — лиды'!$C$2:$C$1037,"Качественный лид")</f>
        <v>4</v>
      </c>
      <c r="F32">
        <v>829</v>
      </c>
      <c r="G32" s="4">
        <f t="shared" si="0"/>
        <v>1</v>
      </c>
    </row>
    <row r="33" spans="1:7" x14ac:dyDescent="0.25">
      <c r="A33" s="3">
        <v>44753</v>
      </c>
      <c r="B33" s="3">
        <v>44759</v>
      </c>
      <c r="C33" t="s">
        <v>262</v>
      </c>
      <c r="D33">
        <f>COUNTIFS('Исходник — лиды'!$H$2:$H$1037,"&gt;="&amp;A33,'Исходник — лиды'!$H$2:$H$1037,"&lt;"&amp;B33+1)</f>
        <v>2</v>
      </c>
      <c r="E33">
        <f>COUNTIFS('Исходник — лиды'!$H$2:$H$1037,"&gt;="&amp;A33,'Исходник — лиды'!$H$2:$H$1037,"&lt;"&amp;B33+1,'Исходник — лиды'!$C$2:$C$1037,"Качественный лид")</f>
        <v>2</v>
      </c>
      <c r="F33">
        <v>744</v>
      </c>
      <c r="G33" s="4">
        <f t="shared" si="0"/>
        <v>1</v>
      </c>
    </row>
    <row r="34" spans="1:7" x14ac:dyDescent="0.25">
      <c r="A34" s="3">
        <v>44760</v>
      </c>
      <c r="B34" s="3">
        <v>44766</v>
      </c>
      <c r="C34" t="s">
        <v>263</v>
      </c>
      <c r="D34">
        <f>COUNTIFS('Исходник — лиды'!$H$2:$H$1037,"&gt;="&amp;A34,'Исходник — лиды'!$H$2:$H$1037,"&lt;"&amp;B34+1)</f>
        <v>8</v>
      </c>
      <c r="E34">
        <f>COUNTIFS('Исходник — лиды'!$H$2:$H$1037,"&gt;="&amp;A34,'Исходник — лиды'!$H$2:$H$1037,"&lt;"&amp;B34+1,'Исходник — лиды'!$C$2:$C$1037,"Качественный лид")</f>
        <v>8</v>
      </c>
      <c r="F34">
        <v>706</v>
      </c>
      <c r="G34" s="4">
        <f t="shared" si="0"/>
        <v>1</v>
      </c>
    </row>
    <row r="35" spans="1:7" x14ac:dyDescent="0.25">
      <c r="A35" s="3">
        <v>44767</v>
      </c>
      <c r="B35" s="3">
        <v>44773</v>
      </c>
      <c r="C35" t="s">
        <v>264</v>
      </c>
      <c r="D35">
        <f>COUNTIFS('Исходник — лиды'!$H$2:$H$1037,"&gt;="&amp;A35,'Исходник — лиды'!$H$2:$H$1037,"&lt;"&amp;B35+1)</f>
        <v>6</v>
      </c>
      <c r="E35">
        <f>COUNTIFS('Исходник — лиды'!$H$2:$H$1037,"&gt;="&amp;A35,'Исходник — лиды'!$H$2:$H$1037,"&lt;"&amp;B35+1,'Исходник — лиды'!$C$2:$C$1037,"Качественный лид")</f>
        <v>5</v>
      </c>
      <c r="F35">
        <v>722</v>
      </c>
      <c r="G35" s="4">
        <f t="shared" si="0"/>
        <v>0.83333333333333337</v>
      </c>
    </row>
    <row r="36" spans="1:7" x14ac:dyDescent="0.25">
      <c r="A36" s="3">
        <v>44774</v>
      </c>
      <c r="B36" s="3">
        <v>44780</v>
      </c>
      <c r="C36" t="s">
        <v>265</v>
      </c>
      <c r="D36">
        <f>COUNTIFS('Исходник — лиды'!$H$2:$H$1037,"&gt;="&amp;A36,'Исходник — лиды'!$H$2:$H$1037,"&lt;"&amp;B36+1)</f>
        <v>3</v>
      </c>
      <c r="E36">
        <f>COUNTIFS('Исходник — лиды'!$H$2:$H$1037,"&gt;="&amp;A36,'Исходник — лиды'!$H$2:$H$1037,"&lt;"&amp;B36+1,'Исходник — лиды'!$C$2:$C$1037,"Качественный лид")</f>
        <v>3</v>
      </c>
      <c r="F36">
        <v>775</v>
      </c>
      <c r="G36" s="4">
        <f t="shared" si="0"/>
        <v>1</v>
      </c>
    </row>
    <row r="37" spans="1:7" x14ac:dyDescent="0.25">
      <c r="A37" s="3">
        <v>44781</v>
      </c>
      <c r="B37" s="3">
        <v>44787</v>
      </c>
      <c r="C37" t="s">
        <v>266</v>
      </c>
      <c r="D37">
        <f>COUNTIFS('Исходник — лиды'!$H$2:$H$1037,"&gt;="&amp;A37,'Исходник — лиды'!$H$2:$H$1037,"&lt;"&amp;B37+1)</f>
        <v>3</v>
      </c>
      <c r="E37">
        <f>COUNTIFS('Исходник — лиды'!$H$2:$H$1037,"&gt;="&amp;A37,'Исходник — лиды'!$H$2:$H$1037,"&lt;"&amp;B37+1,'Исходник — лиды'!$C$2:$C$1037,"Качественный лид")</f>
        <v>3</v>
      </c>
      <c r="F37">
        <v>712</v>
      </c>
      <c r="G37" s="4">
        <f t="shared" si="0"/>
        <v>1</v>
      </c>
    </row>
    <row r="38" spans="1:7" x14ac:dyDescent="0.25">
      <c r="A38" s="3">
        <v>44788</v>
      </c>
      <c r="B38" s="3">
        <v>44794</v>
      </c>
      <c r="C38" t="s">
        <v>267</v>
      </c>
      <c r="D38">
        <f>COUNTIFS('Исходник — лиды'!$H$2:$H$1037,"&gt;="&amp;A38,'Исходник — лиды'!$H$2:$H$1037,"&lt;"&amp;B38+1)</f>
        <v>3</v>
      </c>
      <c r="E38">
        <f>COUNTIFS('Исходник — лиды'!$H$2:$H$1037,"&gt;="&amp;A38,'Исходник — лиды'!$H$2:$H$1037,"&lt;"&amp;B38+1,'Исходник — лиды'!$C$2:$C$1037,"Качественный лид")</f>
        <v>3</v>
      </c>
      <c r="F38">
        <v>790</v>
      </c>
      <c r="G38" s="4">
        <f t="shared" si="0"/>
        <v>1</v>
      </c>
    </row>
    <row r="39" spans="1:7" x14ac:dyDescent="0.25">
      <c r="A39" s="3">
        <v>44795</v>
      </c>
      <c r="B39" s="3">
        <v>44801</v>
      </c>
      <c r="C39" t="s">
        <v>268</v>
      </c>
      <c r="D39">
        <f>COUNTIFS('Исходник — лиды'!$H$2:$H$1037,"&gt;="&amp;A39,'Исходник — лиды'!$H$2:$H$1037,"&lt;"&amp;B39+1)</f>
        <v>2</v>
      </c>
      <c r="E39">
        <f>COUNTIFS('Исходник — лиды'!$H$2:$H$1037,"&gt;="&amp;A39,'Исходник — лиды'!$H$2:$H$1037,"&lt;"&amp;B39+1,'Исходник — лиды'!$C$2:$C$1037,"Качественный лид")</f>
        <v>2</v>
      </c>
      <c r="F39">
        <v>773</v>
      </c>
      <c r="G39" s="4">
        <f t="shared" si="0"/>
        <v>1</v>
      </c>
    </row>
    <row r="40" spans="1:7" x14ac:dyDescent="0.25">
      <c r="A40" s="3">
        <v>44802</v>
      </c>
      <c r="B40" s="3">
        <v>44808</v>
      </c>
      <c r="C40" t="s">
        <v>269</v>
      </c>
      <c r="D40">
        <f>COUNTIFS('Исходник — лиды'!$H$2:$H$1037,"&gt;="&amp;A40,'Исходник — лиды'!$H$2:$H$1037,"&lt;"&amp;B40+1)</f>
        <v>2</v>
      </c>
      <c r="E40">
        <f>COUNTIFS('Исходник — лиды'!$H$2:$H$1037,"&gt;="&amp;A40,'Исходник — лиды'!$H$2:$H$1037,"&lt;"&amp;B40+1,'Исходник — лиды'!$C$2:$C$1037,"Качественный лид")</f>
        <v>2</v>
      </c>
      <c r="F40">
        <v>850</v>
      </c>
      <c r="G40" s="4">
        <f t="shared" si="0"/>
        <v>1</v>
      </c>
    </row>
    <row r="41" spans="1:7" x14ac:dyDescent="0.25">
      <c r="A41" s="3">
        <v>44809</v>
      </c>
      <c r="B41" s="3">
        <v>44815</v>
      </c>
      <c r="C41" t="s">
        <v>270</v>
      </c>
      <c r="D41">
        <f>COUNTIFS('Исходник — лиды'!$H$2:$H$1037,"&gt;="&amp;A41,'Исходник — лиды'!$H$2:$H$1037,"&lt;"&amp;B41+1)</f>
        <v>3</v>
      </c>
      <c r="E41">
        <f>COUNTIFS('Исходник — лиды'!$H$2:$H$1037,"&gt;="&amp;A41,'Исходник — лиды'!$H$2:$H$1037,"&lt;"&amp;B41+1,'Исходник — лиды'!$C$2:$C$1037,"Качественный лид")</f>
        <v>3</v>
      </c>
      <c r="F41">
        <v>809</v>
      </c>
      <c r="G41" s="4">
        <f t="shared" si="0"/>
        <v>1</v>
      </c>
    </row>
    <row r="42" spans="1:7" x14ac:dyDescent="0.25">
      <c r="A42" s="3">
        <v>44816</v>
      </c>
      <c r="B42" s="3">
        <v>44822</v>
      </c>
      <c r="C42" t="s">
        <v>271</v>
      </c>
      <c r="D42">
        <f>COUNTIFS('Исходник — лиды'!$H$2:$H$1037,"&gt;="&amp;A42,'Исходник — лиды'!$H$2:$H$1037,"&lt;"&amp;B42+1)</f>
        <v>4</v>
      </c>
      <c r="E42">
        <f>COUNTIFS('Исходник — лиды'!$H$2:$H$1037,"&gt;="&amp;A42,'Исходник — лиды'!$H$2:$H$1037,"&lt;"&amp;B42+1,'Исходник — лиды'!$C$2:$C$1037,"Качественный лид")</f>
        <v>4</v>
      </c>
      <c r="F42">
        <v>742</v>
      </c>
      <c r="G42" s="4">
        <f t="shared" si="0"/>
        <v>1</v>
      </c>
    </row>
    <row r="43" spans="1:7" x14ac:dyDescent="0.25">
      <c r="A43" s="3">
        <v>44823</v>
      </c>
      <c r="B43" s="3">
        <v>44829</v>
      </c>
      <c r="C43" t="s">
        <v>272</v>
      </c>
      <c r="D43">
        <f>COUNTIFS('Исходник — лиды'!$H$2:$H$1037,"&gt;="&amp;A43,'Исходник — лиды'!$H$2:$H$1037,"&lt;"&amp;B43+1)</f>
        <v>7</v>
      </c>
      <c r="E43">
        <f>COUNTIFS('Исходник — лиды'!$H$2:$H$1037,"&gt;="&amp;A43,'Исходник — лиды'!$H$2:$H$1037,"&lt;"&amp;B43+1,'Исходник — лиды'!$C$2:$C$1037,"Качественный лид")</f>
        <v>7</v>
      </c>
      <c r="F43">
        <v>649</v>
      </c>
      <c r="G43" s="4">
        <f t="shared" si="0"/>
        <v>1</v>
      </c>
    </row>
    <row r="44" spans="1:7" x14ac:dyDescent="0.25">
      <c r="A44" s="3">
        <v>44830</v>
      </c>
      <c r="B44" s="3">
        <v>44836</v>
      </c>
      <c r="C44" t="s">
        <v>273</v>
      </c>
      <c r="D44">
        <f>COUNTIFS('Исходник — лиды'!$H$2:$H$1037,"&gt;="&amp;A44,'Исходник — лиды'!$H$2:$H$1037,"&lt;"&amp;B44+1)</f>
        <v>9</v>
      </c>
      <c r="E44">
        <f>COUNTIFS('Исходник — лиды'!$H$2:$H$1037,"&gt;="&amp;A44,'Исходник — лиды'!$H$2:$H$1037,"&lt;"&amp;B44+1,'Исходник — лиды'!$C$2:$C$1037,"Качественный лид")</f>
        <v>7</v>
      </c>
      <c r="F44">
        <v>630</v>
      </c>
      <c r="G44" s="4">
        <f t="shared" si="0"/>
        <v>0.77777777777777779</v>
      </c>
    </row>
    <row r="45" spans="1:7" x14ac:dyDescent="0.25">
      <c r="A45" s="3">
        <v>44837</v>
      </c>
      <c r="B45" s="3">
        <v>44843</v>
      </c>
      <c r="C45" t="s">
        <v>274</v>
      </c>
      <c r="D45">
        <f>COUNTIFS('Исходник — лиды'!$H$2:$H$1037,"&gt;="&amp;A45,'Исходник — лиды'!$H$2:$H$1037,"&lt;"&amp;B45+1)</f>
        <v>3</v>
      </c>
      <c r="E45">
        <f>COUNTIFS('Исходник — лиды'!$H$2:$H$1037,"&gt;="&amp;A45,'Исходник — лиды'!$H$2:$H$1037,"&lt;"&amp;B45+1,'Исходник — лиды'!$C$2:$C$1037,"Качественный лид")</f>
        <v>3</v>
      </c>
      <c r="F45">
        <v>861</v>
      </c>
      <c r="G45" s="4">
        <f t="shared" si="0"/>
        <v>1</v>
      </c>
    </row>
    <row r="46" spans="1:7" x14ac:dyDescent="0.25">
      <c r="A46" s="3">
        <v>44844</v>
      </c>
      <c r="B46" s="3">
        <v>44850</v>
      </c>
      <c r="C46" t="s">
        <v>275</v>
      </c>
      <c r="D46">
        <f>COUNTIFS('Исходник — лиды'!$H$2:$H$1037,"&gt;="&amp;A46,'Исходник — лиды'!$H$2:$H$1037,"&lt;"&amp;B46+1)</f>
        <v>1</v>
      </c>
      <c r="E46">
        <f>COUNTIFS('Исходник — лиды'!$H$2:$H$1037,"&gt;="&amp;A46,'Исходник — лиды'!$H$2:$H$1037,"&lt;"&amp;B46+1,'Исходник — лиды'!$C$2:$C$1037,"Качественный лид")</f>
        <v>1</v>
      </c>
      <c r="F46">
        <v>833</v>
      </c>
      <c r="G46" s="4">
        <f t="shared" si="0"/>
        <v>1</v>
      </c>
    </row>
    <row r="47" spans="1:7" x14ac:dyDescent="0.25">
      <c r="A47" s="3">
        <v>44851</v>
      </c>
      <c r="B47" s="3">
        <v>44857</v>
      </c>
      <c r="C47" t="s">
        <v>276</v>
      </c>
      <c r="D47">
        <f>COUNTIFS('Исходник — лиды'!$H$2:$H$1037,"&gt;="&amp;A47,'Исходник — лиды'!$H$2:$H$1037,"&lt;"&amp;B47+1)</f>
        <v>1</v>
      </c>
      <c r="E47">
        <f>COUNTIFS('Исходник — лиды'!$H$2:$H$1037,"&gt;="&amp;A47,'Исходник — лиды'!$H$2:$H$1037,"&lt;"&amp;B47+1,'Исходник — лиды'!$C$2:$C$1037,"Качественный лид")</f>
        <v>1</v>
      </c>
      <c r="F47">
        <v>990</v>
      </c>
      <c r="G47" s="4">
        <f t="shared" si="0"/>
        <v>1</v>
      </c>
    </row>
    <row r="48" spans="1:7" x14ac:dyDescent="0.25">
      <c r="A48" s="3">
        <v>44858</v>
      </c>
      <c r="B48" s="3">
        <v>44864</v>
      </c>
      <c r="C48" t="s">
        <v>277</v>
      </c>
      <c r="D48">
        <f>COUNTIFS('Исходник — лиды'!$H$2:$H$1037,"&gt;="&amp;A48,'Исходник — лиды'!$H$2:$H$1037,"&lt;"&amp;B48+1)</f>
        <v>10</v>
      </c>
      <c r="E48">
        <f>COUNTIFS('Исходник — лиды'!$H$2:$H$1037,"&gt;="&amp;A48,'Исходник — лиды'!$H$2:$H$1037,"&lt;"&amp;B48+1,'Исходник — лиды'!$C$2:$C$1037,"Качественный лид")</f>
        <v>10</v>
      </c>
      <c r="F48">
        <v>901</v>
      </c>
      <c r="G48" s="4">
        <f t="shared" si="0"/>
        <v>1</v>
      </c>
    </row>
    <row r="49" spans="1:7" x14ac:dyDescent="0.25">
      <c r="A49" s="3">
        <v>44865</v>
      </c>
      <c r="B49" s="3">
        <v>44871</v>
      </c>
      <c r="C49" t="s">
        <v>278</v>
      </c>
      <c r="D49">
        <f>COUNTIFS('Исходник — лиды'!$H$2:$H$1037,"&gt;="&amp;A49,'Исходник — лиды'!$H$2:$H$1037,"&lt;"&amp;B49+1)</f>
        <v>5</v>
      </c>
      <c r="E49">
        <f>COUNTIFS('Исходник — лиды'!$H$2:$H$1037,"&gt;="&amp;A49,'Исходник — лиды'!$H$2:$H$1037,"&lt;"&amp;B49+1,'Исходник — лиды'!$C$2:$C$1037,"Качественный лид")</f>
        <v>4</v>
      </c>
      <c r="F49">
        <v>970</v>
      </c>
      <c r="G49" s="4">
        <f t="shared" si="0"/>
        <v>0.8</v>
      </c>
    </row>
    <row r="50" spans="1:7" x14ac:dyDescent="0.25">
      <c r="A50" s="3">
        <v>44872</v>
      </c>
      <c r="B50" s="3">
        <v>44878</v>
      </c>
      <c r="C50" t="s">
        <v>279</v>
      </c>
      <c r="D50">
        <f>COUNTIFS('Исходник — лиды'!$H$2:$H$1037,"&gt;="&amp;A50,'Исходник — лиды'!$H$2:$H$1037,"&lt;"&amp;B50+1)</f>
        <v>6</v>
      </c>
      <c r="E50">
        <f>COUNTIFS('Исходник — лиды'!$H$2:$H$1037,"&gt;="&amp;A50,'Исходник — лиды'!$H$2:$H$1037,"&lt;"&amp;B50+1,'Исходник — лиды'!$C$2:$C$1037,"Качественный лид")</f>
        <v>6</v>
      </c>
      <c r="F50">
        <v>1032</v>
      </c>
      <c r="G50" s="4">
        <f t="shared" si="0"/>
        <v>1</v>
      </c>
    </row>
    <row r="51" spans="1:7" x14ac:dyDescent="0.25">
      <c r="A51" s="3">
        <v>44879</v>
      </c>
      <c r="B51" s="3">
        <v>44885</v>
      </c>
      <c r="C51" t="s">
        <v>280</v>
      </c>
      <c r="D51">
        <f>COUNTIFS('Исходник — лиды'!$H$2:$H$1037,"&gt;="&amp;A51,'Исходник — лиды'!$H$2:$H$1037,"&lt;"&amp;B51+1)</f>
        <v>1</v>
      </c>
      <c r="E51">
        <f>COUNTIFS('Исходник — лиды'!$H$2:$H$1037,"&gt;="&amp;A51,'Исходник — лиды'!$H$2:$H$1037,"&lt;"&amp;B51+1,'Исходник — лиды'!$C$2:$C$1037,"Качественный лид")</f>
        <v>1</v>
      </c>
      <c r="F51">
        <v>972</v>
      </c>
      <c r="G51" s="4">
        <f t="shared" si="0"/>
        <v>1</v>
      </c>
    </row>
    <row r="52" spans="1:7" x14ac:dyDescent="0.25">
      <c r="A52" s="3">
        <v>44886</v>
      </c>
      <c r="B52" s="3">
        <v>44892</v>
      </c>
      <c r="C52" t="s">
        <v>281</v>
      </c>
      <c r="D52">
        <f>COUNTIFS('Исходник — лиды'!$H$2:$H$1037,"&gt;="&amp;A52,'Исходник — лиды'!$H$2:$H$1037,"&lt;"&amp;B52+1)</f>
        <v>3</v>
      </c>
      <c r="E52">
        <f>COUNTIFS('Исходник — лиды'!$H$2:$H$1037,"&gt;="&amp;A52,'Исходник — лиды'!$H$2:$H$1037,"&lt;"&amp;B52+1,'Исходник — лиды'!$C$2:$C$1037,"Качественный лид")</f>
        <v>3</v>
      </c>
      <c r="F52">
        <v>870</v>
      </c>
      <c r="G52" s="4">
        <f t="shared" si="0"/>
        <v>1</v>
      </c>
    </row>
    <row r="53" spans="1:7" x14ac:dyDescent="0.25">
      <c r="A53" s="3">
        <v>44893</v>
      </c>
      <c r="B53" s="3">
        <v>44899</v>
      </c>
      <c r="C53" t="s">
        <v>282</v>
      </c>
      <c r="D53">
        <f>COUNTIFS('Исходник — лиды'!$H$2:$H$1037,"&gt;="&amp;A53,'Исходник — лиды'!$H$2:$H$1037,"&lt;"&amp;B53+1)</f>
        <v>5</v>
      </c>
      <c r="E53">
        <f>COUNTIFS('Исходник — лиды'!$H$2:$H$1037,"&gt;="&amp;A53,'Исходник — лиды'!$H$2:$H$1037,"&lt;"&amp;B53+1,'Исходник — лиды'!$C$2:$C$1037,"Качественный лид")</f>
        <v>5</v>
      </c>
      <c r="F53">
        <v>887</v>
      </c>
      <c r="G53" s="4">
        <f t="shared" si="0"/>
        <v>1</v>
      </c>
    </row>
    <row r="54" spans="1:7" x14ac:dyDescent="0.25">
      <c r="A54" s="3">
        <v>44900</v>
      </c>
      <c r="B54" s="3">
        <v>44906</v>
      </c>
      <c r="C54" t="s">
        <v>283</v>
      </c>
      <c r="D54">
        <f>COUNTIFS('Исходник — лиды'!$H$2:$H$1037,"&gt;="&amp;A54,'Исходник — лиды'!$H$2:$H$1037,"&lt;"&amp;B54+1)</f>
        <v>4</v>
      </c>
      <c r="E54">
        <f>COUNTIFS('Исходник — лиды'!$H$2:$H$1037,"&gt;="&amp;A54,'Исходник — лиды'!$H$2:$H$1037,"&lt;"&amp;B54+1,'Исходник — лиды'!$C$2:$C$1037,"Качественный лид")</f>
        <v>4</v>
      </c>
      <c r="F54">
        <v>1067</v>
      </c>
      <c r="G54" s="4">
        <f t="shared" si="0"/>
        <v>1</v>
      </c>
    </row>
    <row r="55" spans="1:7" x14ac:dyDescent="0.25">
      <c r="A55" s="3">
        <v>44907</v>
      </c>
      <c r="B55" s="3">
        <v>44913</v>
      </c>
      <c r="C55" t="s">
        <v>284</v>
      </c>
      <c r="D55">
        <f>COUNTIFS('Исходник — лиды'!$H$2:$H$1037,"&gt;="&amp;A55,'Исходник — лиды'!$H$2:$H$1037,"&lt;"&amp;B55+1)</f>
        <v>9</v>
      </c>
      <c r="E55">
        <f>COUNTIFS('Исходник — лиды'!$H$2:$H$1037,"&gt;="&amp;A55,'Исходник — лиды'!$H$2:$H$1037,"&lt;"&amp;B55+1,'Исходник — лиды'!$C$2:$C$1037,"Качественный лид")</f>
        <v>9</v>
      </c>
      <c r="F55">
        <v>748</v>
      </c>
      <c r="G55" s="4">
        <f t="shared" si="0"/>
        <v>1</v>
      </c>
    </row>
    <row r="56" spans="1:7" x14ac:dyDescent="0.25">
      <c r="A56" s="3">
        <v>44914</v>
      </c>
      <c r="B56" s="3">
        <v>44920</v>
      </c>
      <c r="C56" t="s">
        <v>285</v>
      </c>
      <c r="D56">
        <f>COUNTIFS('Исходник — лиды'!$H$2:$H$1037,"&gt;="&amp;A56,'Исходник — лиды'!$H$2:$H$1037,"&lt;"&amp;B56+1)</f>
        <v>3</v>
      </c>
      <c r="E56">
        <f>COUNTIFS('Исходник — лиды'!$H$2:$H$1037,"&gt;="&amp;A56,'Исходник — лиды'!$H$2:$H$1037,"&lt;"&amp;B56+1,'Исходник — лиды'!$C$2:$C$1037,"Качественный лид")</f>
        <v>3</v>
      </c>
      <c r="F56">
        <v>832</v>
      </c>
      <c r="G56" s="4">
        <f t="shared" si="0"/>
        <v>1</v>
      </c>
    </row>
    <row r="57" spans="1:7" x14ac:dyDescent="0.25">
      <c r="A57" s="3">
        <v>44921</v>
      </c>
      <c r="B57" s="3">
        <v>44927</v>
      </c>
      <c r="C57" t="s">
        <v>286</v>
      </c>
      <c r="D57">
        <f>COUNTIFS('Исходник — лиды'!$H$2:$H$1037,"&gt;="&amp;A57,'Исходник — лиды'!$H$2:$H$1037,"&lt;"&amp;B57+1)</f>
        <v>3</v>
      </c>
      <c r="E57">
        <f>COUNTIFS('Исходник — лиды'!$H$2:$H$1037,"&gt;="&amp;A57,'Исходник — лиды'!$H$2:$H$1037,"&lt;"&amp;B57+1,'Исходник — лиды'!$C$2:$C$1037,"Качественный лид")</f>
        <v>3</v>
      </c>
      <c r="F57">
        <v>593</v>
      </c>
      <c r="G57" s="4">
        <f t="shared" si="0"/>
        <v>1</v>
      </c>
    </row>
    <row r="58" spans="1:7" x14ac:dyDescent="0.25">
      <c r="A58" s="3">
        <v>44928</v>
      </c>
      <c r="B58" s="3">
        <v>44934</v>
      </c>
      <c r="C58" t="s">
        <v>287</v>
      </c>
      <c r="D58">
        <f>COUNTIFS('Исходник — лиды'!$H$2:$H$1037,"&gt;="&amp;A58,'Исходник — лиды'!$H$2:$H$1037,"&lt;"&amp;B58+1)</f>
        <v>5</v>
      </c>
      <c r="E58">
        <f>COUNTIFS('Исходник — лиды'!$H$2:$H$1037,"&gt;="&amp;A58,'Исходник — лиды'!$H$2:$H$1037,"&lt;"&amp;B58+1,'Исходник — лиды'!$C$2:$C$1037,"Качественный лид")</f>
        <v>5</v>
      </c>
      <c r="F58">
        <v>687</v>
      </c>
      <c r="G58" s="4">
        <f t="shared" si="0"/>
        <v>1</v>
      </c>
    </row>
    <row r="59" spans="1:7" x14ac:dyDescent="0.25">
      <c r="A59" s="3">
        <v>44935</v>
      </c>
      <c r="B59" s="3">
        <v>44941</v>
      </c>
      <c r="C59" t="s">
        <v>288</v>
      </c>
      <c r="D59">
        <f>COUNTIFS('Исходник — лиды'!$H$2:$H$1037,"&gt;="&amp;A59,'Исходник — лиды'!$H$2:$H$1037,"&lt;"&amp;B59+1)</f>
        <v>9</v>
      </c>
      <c r="E59">
        <f>COUNTIFS('Исходник — лиды'!$H$2:$H$1037,"&gt;="&amp;A59,'Исходник — лиды'!$H$2:$H$1037,"&lt;"&amp;B59+1,'Исходник — лиды'!$C$2:$C$1037,"Качественный лид")</f>
        <v>9</v>
      </c>
      <c r="F59">
        <v>955</v>
      </c>
      <c r="G59" s="4">
        <f t="shared" si="0"/>
        <v>1</v>
      </c>
    </row>
    <row r="60" spans="1:7" x14ac:dyDescent="0.25">
      <c r="A60" s="3">
        <v>44942</v>
      </c>
      <c r="B60" s="3">
        <v>44948</v>
      </c>
      <c r="C60" t="s">
        <v>289</v>
      </c>
      <c r="D60">
        <f>COUNTIFS('Исходник — лиды'!$H$2:$H$1037,"&gt;="&amp;A60,'Исходник — лиды'!$H$2:$H$1037,"&lt;"&amp;B60+1)</f>
        <v>1</v>
      </c>
      <c r="E60">
        <f>COUNTIFS('Исходник — лиды'!$H$2:$H$1037,"&gt;="&amp;A60,'Исходник — лиды'!$H$2:$H$1037,"&lt;"&amp;B60+1,'Исходник — лиды'!$C$2:$C$1037,"Качественный лид")</f>
        <v>1</v>
      </c>
      <c r="F60">
        <v>939</v>
      </c>
      <c r="G60" s="4">
        <f t="shared" si="0"/>
        <v>1</v>
      </c>
    </row>
    <row r="61" spans="1:7" x14ac:dyDescent="0.25">
      <c r="A61" s="3">
        <v>44949</v>
      </c>
      <c r="B61" s="3">
        <v>44955</v>
      </c>
      <c r="C61" t="s">
        <v>290</v>
      </c>
      <c r="D61">
        <f>COUNTIFS('Исходник — лиды'!$H$2:$H$1037,"&gt;="&amp;A61,'Исходник — лиды'!$H$2:$H$1037,"&lt;"&amp;B61+1)</f>
        <v>6</v>
      </c>
      <c r="E61">
        <f>COUNTIFS('Исходник — лиды'!$H$2:$H$1037,"&gt;="&amp;A61,'Исходник — лиды'!$H$2:$H$1037,"&lt;"&amp;B61+1,'Исходник — лиды'!$C$2:$C$1037,"Качественный лид")</f>
        <v>6</v>
      </c>
      <c r="F61">
        <v>1025</v>
      </c>
      <c r="G61" s="4">
        <f t="shared" si="0"/>
        <v>1</v>
      </c>
    </row>
    <row r="62" spans="1:7" x14ac:dyDescent="0.25">
      <c r="A62" s="3">
        <v>44956</v>
      </c>
      <c r="B62" s="3">
        <v>44962</v>
      </c>
      <c r="C62" t="s">
        <v>291</v>
      </c>
      <c r="D62">
        <f>COUNTIFS('Исходник — лиды'!$H$2:$H$1037,"&gt;="&amp;A62,'Исходник — лиды'!$H$2:$H$1037,"&lt;"&amp;B62+1)</f>
        <v>5</v>
      </c>
      <c r="E62">
        <f>COUNTIFS('Исходник — лиды'!$H$2:$H$1037,"&gt;="&amp;A62,'Исходник — лиды'!$H$2:$H$1037,"&lt;"&amp;B62+1,'Исходник — лиды'!$C$2:$C$1037,"Качественный лид")</f>
        <v>5</v>
      </c>
      <c r="F62">
        <v>1055</v>
      </c>
      <c r="G62" s="4">
        <f t="shared" si="0"/>
        <v>1</v>
      </c>
    </row>
    <row r="63" spans="1:7" x14ac:dyDescent="0.25">
      <c r="A63" s="3">
        <v>44963</v>
      </c>
      <c r="B63" s="3">
        <v>44969</v>
      </c>
      <c r="C63" t="s">
        <v>292</v>
      </c>
      <c r="D63">
        <f>COUNTIFS('Исходник — лиды'!$H$2:$H$1037,"&gt;="&amp;A63,'Исходник — лиды'!$H$2:$H$1037,"&lt;"&amp;B63+1)</f>
        <v>5</v>
      </c>
      <c r="E63">
        <f>COUNTIFS('Исходник — лиды'!$H$2:$H$1037,"&gt;="&amp;A63,'Исходник — лиды'!$H$2:$H$1037,"&lt;"&amp;B63+1,'Исходник — лиды'!$C$2:$C$1037,"Качественный лид")</f>
        <v>5</v>
      </c>
      <c r="F63">
        <v>925</v>
      </c>
      <c r="G63" s="4">
        <f t="shared" si="0"/>
        <v>1</v>
      </c>
    </row>
    <row r="64" spans="1:7" x14ac:dyDescent="0.25">
      <c r="A64" s="3">
        <v>44970</v>
      </c>
      <c r="B64" s="3">
        <v>44976</v>
      </c>
      <c r="C64" t="s">
        <v>293</v>
      </c>
      <c r="D64">
        <f>COUNTIFS('Исходник — лиды'!$H$2:$H$1037,"&gt;="&amp;A64,'Исходник — лиды'!$H$2:$H$1037,"&lt;"&amp;B64+1)</f>
        <v>3</v>
      </c>
      <c r="E64">
        <f>COUNTIFS('Исходник — лиды'!$H$2:$H$1037,"&gt;="&amp;A64,'Исходник — лиды'!$H$2:$H$1037,"&lt;"&amp;B64+1,'Исходник — лиды'!$C$2:$C$1037,"Качественный лид")</f>
        <v>3</v>
      </c>
      <c r="F64">
        <v>1007</v>
      </c>
      <c r="G64" s="4">
        <f t="shared" si="0"/>
        <v>1</v>
      </c>
    </row>
    <row r="65" spans="1:7" x14ac:dyDescent="0.25">
      <c r="A65" s="3">
        <v>44977</v>
      </c>
      <c r="B65" s="3">
        <v>44983</v>
      </c>
      <c r="C65" t="s">
        <v>294</v>
      </c>
      <c r="D65">
        <f>COUNTIFS('Исходник — лиды'!$H$2:$H$1037,"&gt;="&amp;A65,'Исходник — лиды'!$H$2:$H$1037,"&lt;"&amp;B65+1)</f>
        <v>1</v>
      </c>
      <c r="E65">
        <f>COUNTIFS('Исходник — лиды'!$H$2:$H$1037,"&gt;="&amp;A65,'Исходник — лиды'!$H$2:$H$1037,"&lt;"&amp;B65+1,'Исходник — лиды'!$C$2:$C$1037,"Качественный лид")</f>
        <v>1</v>
      </c>
      <c r="F65">
        <v>884</v>
      </c>
      <c r="G65" s="4">
        <f t="shared" si="0"/>
        <v>1</v>
      </c>
    </row>
    <row r="66" spans="1:7" x14ac:dyDescent="0.25">
      <c r="A66" s="3">
        <v>44984</v>
      </c>
      <c r="B66" s="3">
        <v>44990</v>
      </c>
      <c r="C66" t="s">
        <v>295</v>
      </c>
      <c r="D66">
        <f>COUNTIFS('Исходник — лиды'!$H$2:$H$1037,"&gt;="&amp;A66,'Исходник — лиды'!$H$2:$H$1037,"&lt;"&amp;B66+1)</f>
        <v>3</v>
      </c>
      <c r="E66">
        <f>COUNTIFS('Исходник — лиды'!$H$2:$H$1037,"&gt;="&amp;A66,'Исходник — лиды'!$H$2:$H$1037,"&lt;"&amp;B66+1,'Исходник — лиды'!$C$2:$C$1037,"Качественный лид")</f>
        <v>3</v>
      </c>
      <c r="F66">
        <v>938</v>
      </c>
      <c r="G66" s="4">
        <f t="shared" si="0"/>
        <v>1</v>
      </c>
    </row>
    <row r="67" spans="1:7" x14ac:dyDescent="0.25">
      <c r="A67" s="3">
        <v>44991</v>
      </c>
      <c r="B67" s="3">
        <v>44997</v>
      </c>
      <c r="C67" t="s">
        <v>296</v>
      </c>
      <c r="D67">
        <f>COUNTIFS('Исходник — лиды'!$H$2:$H$1037,"&gt;="&amp;A67,'Исходник — лиды'!$H$2:$H$1037,"&lt;"&amp;B67+1)</f>
        <v>5</v>
      </c>
      <c r="E67">
        <f>COUNTIFS('Исходник — лиды'!$H$2:$H$1037,"&gt;="&amp;A67,'Исходник — лиды'!$H$2:$H$1037,"&lt;"&amp;B67+1,'Исходник — лиды'!$C$2:$C$1037,"Качественный лид")</f>
        <v>5</v>
      </c>
      <c r="F67">
        <v>927</v>
      </c>
      <c r="G67" s="4">
        <f t="shared" si="0"/>
        <v>1</v>
      </c>
    </row>
    <row r="68" spans="1:7" x14ac:dyDescent="0.25">
      <c r="A68" s="3">
        <v>44998</v>
      </c>
      <c r="B68" s="3">
        <v>45004</v>
      </c>
      <c r="C68" t="s">
        <v>297</v>
      </c>
      <c r="D68">
        <f>COUNTIFS('Исходник — лиды'!$H$2:$H$1037,"&gt;="&amp;A68,'Исходник — лиды'!$H$2:$H$1037,"&lt;"&amp;B68+1)</f>
        <v>8</v>
      </c>
      <c r="E68">
        <f>COUNTIFS('Исходник — лиды'!$H$2:$H$1037,"&gt;="&amp;A68,'Исходник — лиды'!$H$2:$H$1037,"&lt;"&amp;B68+1,'Исходник — лиды'!$C$2:$C$1037,"Качественный лид")</f>
        <v>8</v>
      </c>
      <c r="F68">
        <v>1022</v>
      </c>
      <c r="G68" s="4">
        <f t="shared" si="0"/>
        <v>1</v>
      </c>
    </row>
    <row r="69" spans="1:7" x14ac:dyDescent="0.25">
      <c r="A69" s="3">
        <v>45005</v>
      </c>
      <c r="B69" s="3">
        <v>45011</v>
      </c>
      <c r="C69" t="s">
        <v>298</v>
      </c>
      <c r="D69">
        <f>COUNTIFS('Исходник — лиды'!$H$2:$H$1037,"&gt;="&amp;A69,'Исходник — лиды'!$H$2:$H$1037,"&lt;"&amp;B69+1)</f>
        <v>8</v>
      </c>
      <c r="E69">
        <f>COUNTIFS('Исходник — лиды'!$H$2:$H$1037,"&gt;="&amp;A69,'Исходник — лиды'!$H$2:$H$1037,"&lt;"&amp;B69+1,'Исходник — лиды'!$C$2:$C$1037,"Качественный лид")</f>
        <v>8</v>
      </c>
      <c r="F69">
        <v>1095</v>
      </c>
      <c r="G69" s="4">
        <f t="shared" ref="G69:G132" si="1">IFERROR(E69/D69,0)</f>
        <v>1</v>
      </c>
    </row>
    <row r="70" spans="1:7" x14ac:dyDescent="0.25">
      <c r="A70" s="3">
        <v>45012</v>
      </c>
      <c r="B70" s="3">
        <v>45018</v>
      </c>
      <c r="C70" t="s">
        <v>299</v>
      </c>
      <c r="D70">
        <f>COUNTIFS('Исходник — лиды'!$H$2:$H$1037,"&gt;="&amp;A70,'Исходник — лиды'!$H$2:$H$1037,"&lt;"&amp;B70+1)</f>
        <v>7</v>
      </c>
      <c r="E70">
        <f>COUNTIFS('Исходник — лиды'!$H$2:$H$1037,"&gt;="&amp;A70,'Исходник — лиды'!$H$2:$H$1037,"&lt;"&amp;B70+1,'Исходник — лиды'!$C$2:$C$1037,"Качественный лид")</f>
        <v>7</v>
      </c>
      <c r="F70">
        <v>1223</v>
      </c>
      <c r="G70" s="4">
        <f t="shared" si="1"/>
        <v>1</v>
      </c>
    </row>
    <row r="71" spans="1:7" x14ac:dyDescent="0.25">
      <c r="A71" s="3">
        <v>45019</v>
      </c>
      <c r="B71" s="3">
        <v>45025</v>
      </c>
      <c r="C71" t="s">
        <v>300</v>
      </c>
      <c r="D71">
        <f>COUNTIFS('Исходник — лиды'!$H$2:$H$1037,"&gt;="&amp;A71,'Исходник — лиды'!$H$2:$H$1037,"&lt;"&amp;B71+1)</f>
        <v>4</v>
      </c>
      <c r="E71">
        <f>COUNTIFS('Исходник — лиды'!$H$2:$H$1037,"&gt;="&amp;A71,'Исходник — лиды'!$H$2:$H$1037,"&lt;"&amp;B71+1,'Исходник — лиды'!$C$2:$C$1037,"Качественный лид")</f>
        <v>4</v>
      </c>
      <c r="F71">
        <v>1044</v>
      </c>
      <c r="G71" s="4">
        <f t="shared" si="1"/>
        <v>1</v>
      </c>
    </row>
    <row r="72" spans="1:7" x14ac:dyDescent="0.25">
      <c r="A72" s="3">
        <v>45026</v>
      </c>
      <c r="B72" s="3">
        <v>45032</v>
      </c>
      <c r="C72" t="s">
        <v>301</v>
      </c>
      <c r="D72">
        <f>COUNTIFS('Исходник — лиды'!$H$2:$H$1037,"&gt;="&amp;A72,'Исходник — лиды'!$H$2:$H$1037,"&lt;"&amp;B72+1)</f>
        <v>6</v>
      </c>
      <c r="E72">
        <f>COUNTIFS('Исходник — лиды'!$H$2:$H$1037,"&gt;="&amp;A72,'Исходник — лиды'!$H$2:$H$1037,"&lt;"&amp;B72+1,'Исходник — лиды'!$C$2:$C$1037,"Качественный лид")</f>
        <v>5</v>
      </c>
      <c r="F72">
        <v>1041</v>
      </c>
      <c r="G72" s="4">
        <f t="shared" si="1"/>
        <v>0.83333333333333337</v>
      </c>
    </row>
    <row r="73" spans="1:7" x14ac:dyDescent="0.25">
      <c r="A73" s="3">
        <v>45033</v>
      </c>
      <c r="B73" s="3">
        <v>45039</v>
      </c>
      <c r="C73" t="s">
        <v>302</v>
      </c>
      <c r="D73">
        <f>COUNTIFS('Исходник — лиды'!$H$2:$H$1037,"&gt;="&amp;A73,'Исходник — лиды'!$H$2:$H$1037,"&lt;"&amp;B73+1)</f>
        <v>6</v>
      </c>
      <c r="E73">
        <f>COUNTIFS('Исходник — лиды'!$H$2:$H$1037,"&gt;="&amp;A73,'Исходник — лиды'!$H$2:$H$1037,"&lt;"&amp;B73+1,'Исходник — лиды'!$C$2:$C$1037,"Качественный лид")</f>
        <v>6</v>
      </c>
      <c r="F73">
        <v>1081</v>
      </c>
      <c r="G73" s="4">
        <f t="shared" si="1"/>
        <v>1</v>
      </c>
    </row>
    <row r="74" spans="1:7" x14ac:dyDescent="0.25">
      <c r="A74" s="3">
        <v>45040</v>
      </c>
      <c r="B74" s="3">
        <v>45046</v>
      </c>
      <c r="C74" t="s">
        <v>303</v>
      </c>
      <c r="D74">
        <f>COUNTIFS('Исходник — лиды'!$H$2:$H$1037,"&gt;="&amp;A74,'Исходник — лиды'!$H$2:$H$1037,"&lt;"&amp;B74+1)</f>
        <v>10</v>
      </c>
      <c r="E74">
        <f>COUNTIFS('Исходник — лиды'!$H$2:$H$1037,"&gt;="&amp;A74,'Исходник — лиды'!$H$2:$H$1037,"&lt;"&amp;B74+1,'Исходник — лиды'!$C$2:$C$1037,"Качественный лид")</f>
        <v>10</v>
      </c>
      <c r="F74">
        <v>830</v>
      </c>
      <c r="G74" s="4">
        <f t="shared" si="1"/>
        <v>1</v>
      </c>
    </row>
    <row r="75" spans="1:7" x14ac:dyDescent="0.25">
      <c r="A75" s="3">
        <v>45047</v>
      </c>
      <c r="B75" s="3">
        <v>45053</v>
      </c>
      <c r="C75" t="s">
        <v>304</v>
      </c>
      <c r="D75">
        <f>COUNTIFS('Исходник — лиды'!$H$2:$H$1037,"&gt;="&amp;A75,'Исходник — лиды'!$H$2:$H$1037,"&lt;"&amp;B75+1)</f>
        <v>3</v>
      </c>
      <c r="E75">
        <f>COUNTIFS('Исходник — лиды'!$H$2:$H$1037,"&gt;="&amp;A75,'Исходник — лиды'!$H$2:$H$1037,"&lt;"&amp;B75+1,'Исходник — лиды'!$C$2:$C$1037,"Качественный лид")</f>
        <v>3</v>
      </c>
      <c r="F75">
        <v>1010</v>
      </c>
      <c r="G75" s="4">
        <f t="shared" si="1"/>
        <v>1</v>
      </c>
    </row>
    <row r="76" spans="1:7" x14ac:dyDescent="0.25">
      <c r="A76" s="3">
        <v>45054</v>
      </c>
      <c r="B76" s="3">
        <v>45060</v>
      </c>
      <c r="C76" t="s">
        <v>305</v>
      </c>
      <c r="D76">
        <f>COUNTIFS('Исходник — лиды'!$H$2:$H$1037,"&gt;="&amp;A76,'Исходник — лиды'!$H$2:$H$1037,"&lt;"&amp;B76+1)</f>
        <v>11</v>
      </c>
      <c r="E76">
        <f>COUNTIFS('Исходник — лиды'!$H$2:$H$1037,"&gt;="&amp;A76,'Исходник — лиды'!$H$2:$H$1037,"&lt;"&amp;B76+1,'Исходник — лиды'!$C$2:$C$1037,"Качественный лид")</f>
        <v>11</v>
      </c>
      <c r="F76">
        <v>1051</v>
      </c>
      <c r="G76" s="4">
        <f t="shared" si="1"/>
        <v>1</v>
      </c>
    </row>
    <row r="77" spans="1:7" x14ac:dyDescent="0.25">
      <c r="A77" s="3">
        <v>45061</v>
      </c>
      <c r="B77" s="3">
        <v>45067</v>
      </c>
      <c r="C77" t="s">
        <v>306</v>
      </c>
      <c r="D77">
        <f>COUNTIFS('Исходник — лиды'!$H$2:$H$1037,"&gt;="&amp;A77,'Исходник — лиды'!$H$2:$H$1037,"&lt;"&amp;B77+1)</f>
        <v>8</v>
      </c>
      <c r="E77">
        <f>COUNTIFS('Исходник — лиды'!$H$2:$H$1037,"&gt;="&amp;A77,'Исходник — лиды'!$H$2:$H$1037,"&lt;"&amp;B77+1,'Исходник — лиды'!$C$2:$C$1037,"Качественный лид")</f>
        <v>8</v>
      </c>
      <c r="F77">
        <v>977</v>
      </c>
      <c r="G77" s="4">
        <f t="shared" si="1"/>
        <v>1</v>
      </c>
    </row>
    <row r="78" spans="1:7" x14ac:dyDescent="0.25">
      <c r="A78" s="3">
        <v>45068</v>
      </c>
      <c r="B78" s="3">
        <v>45074</v>
      </c>
      <c r="C78" t="s">
        <v>307</v>
      </c>
      <c r="D78">
        <f>COUNTIFS('Исходник — лиды'!$H$2:$H$1037,"&gt;="&amp;A78,'Исходник — лиды'!$H$2:$H$1037,"&lt;"&amp;B78+1)</f>
        <v>11</v>
      </c>
      <c r="E78">
        <f>COUNTIFS('Исходник — лиды'!$H$2:$H$1037,"&gt;="&amp;A78,'Исходник — лиды'!$H$2:$H$1037,"&lt;"&amp;B78+1,'Исходник — лиды'!$C$2:$C$1037,"Качественный лид")</f>
        <v>10</v>
      </c>
      <c r="F78">
        <v>1049</v>
      </c>
      <c r="G78" s="4">
        <f t="shared" si="1"/>
        <v>0.90909090909090906</v>
      </c>
    </row>
    <row r="79" spans="1:7" x14ac:dyDescent="0.25">
      <c r="A79" s="3">
        <v>45075</v>
      </c>
      <c r="B79" s="3">
        <v>45081</v>
      </c>
      <c r="C79" t="s">
        <v>308</v>
      </c>
      <c r="D79">
        <f>COUNTIFS('Исходник — лиды'!$H$2:$H$1037,"&gt;="&amp;A79,'Исходник — лиды'!$H$2:$H$1037,"&lt;"&amp;B79+1)</f>
        <v>8</v>
      </c>
      <c r="E79">
        <f>COUNTIFS('Исходник — лиды'!$H$2:$H$1037,"&gt;="&amp;A79,'Исходник — лиды'!$H$2:$H$1037,"&lt;"&amp;B79+1,'Исходник — лиды'!$C$2:$C$1037,"Качественный лид")</f>
        <v>8</v>
      </c>
      <c r="F79">
        <v>885</v>
      </c>
      <c r="G79" s="4">
        <f t="shared" si="1"/>
        <v>1</v>
      </c>
    </row>
    <row r="80" spans="1:7" x14ac:dyDescent="0.25">
      <c r="A80" s="3">
        <v>45082</v>
      </c>
      <c r="B80" s="3">
        <v>45088</v>
      </c>
      <c r="C80" t="s">
        <v>309</v>
      </c>
      <c r="D80">
        <f>COUNTIFS('Исходник — лиды'!$H$2:$H$1037,"&gt;="&amp;A80,'Исходник — лиды'!$H$2:$H$1037,"&lt;"&amp;B80+1)</f>
        <v>7</v>
      </c>
      <c r="E80">
        <f>COUNTIFS('Исходник — лиды'!$H$2:$H$1037,"&gt;="&amp;A80,'Исходник — лиды'!$H$2:$H$1037,"&lt;"&amp;B80+1,'Исходник — лиды'!$C$2:$C$1037,"Качественный лид")</f>
        <v>7</v>
      </c>
      <c r="F80">
        <v>782</v>
      </c>
      <c r="G80" s="4">
        <f t="shared" si="1"/>
        <v>1</v>
      </c>
    </row>
    <row r="81" spans="1:7" x14ac:dyDescent="0.25">
      <c r="A81" s="3">
        <v>45089</v>
      </c>
      <c r="B81" s="3">
        <v>45095</v>
      </c>
      <c r="C81" t="s">
        <v>310</v>
      </c>
      <c r="D81">
        <f>COUNTIFS('Исходник — лиды'!$H$2:$H$1037,"&gt;="&amp;A81,'Исходник — лиды'!$H$2:$H$1037,"&lt;"&amp;B81+1)</f>
        <v>6</v>
      </c>
      <c r="E81">
        <f>COUNTIFS('Исходник — лиды'!$H$2:$H$1037,"&gt;="&amp;A81,'Исходник — лиды'!$H$2:$H$1037,"&lt;"&amp;B81+1,'Исходник — лиды'!$C$2:$C$1037,"Качественный лид")</f>
        <v>6</v>
      </c>
      <c r="F81">
        <v>825</v>
      </c>
      <c r="G81" s="4">
        <f t="shared" si="1"/>
        <v>1</v>
      </c>
    </row>
    <row r="82" spans="1:7" x14ac:dyDescent="0.25">
      <c r="A82" s="3">
        <v>45096</v>
      </c>
      <c r="B82" s="3">
        <v>45102</v>
      </c>
      <c r="C82" t="s">
        <v>311</v>
      </c>
      <c r="D82">
        <f>COUNTIFS('Исходник — лиды'!$H$2:$H$1037,"&gt;="&amp;A82,'Исходник — лиды'!$H$2:$H$1037,"&lt;"&amp;B82+1)</f>
        <v>2</v>
      </c>
      <c r="E82">
        <f>COUNTIFS('Исходник — лиды'!$H$2:$H$1037,"&gt;="&amp;A82,'Исходник — лиды'!$H$2:$H$1037,"&lt;"&amp;B82+1,'Исходник — лиды'!$C$2:$C$1037,"Качественный лид")</f>
        <v>2</v>
      </c>
      <c r="F82">
        <v>1034</v>
      </c>
      <c r="G82" s="4">
        <f t="shared" si="1"/>
        <v>1</v>
      </c>
    </row>
    <row r="83" spans="1:7" x14ac:dyDescent="0.25">
      <c r="A83" s="3">
        <v>45103</v>
      </c>
      <c r="B83" s="3">
        <v>45109</v>
      </c>
      <c r="C83" t="s">
        <v>312</v>
      </c>
      <c r="D83">
        <f>COUNTIFS('Исходник — лиды'!$H$2:$H$1037,"&gt;="&amp;A83,'Исходник — лиды'!$H$2:$H$1037,"&lt;"&amp;B83+1)</f>
        <v>4</v>
      </c>
      <c r="E83">
        <f>COUNTIFS('Исходник — лиды'!$H$2:$H$1037,"&gt;="&amp;A83,'Исходник — лиды'!$H$2:$H$1037,"&lt;"&amp;B83+1,'Исходник — лиды'!$C$2:$C$1037,"Качественный лид")</f>
        <v>4</v>
      </c>
      <c r="F83">
        <v>963</v>
      </c>
      <c r="G83" s="4">
        <f t="shared" si="1"/>
        <v>1</v>
      </c>
    </row>
    <row r="84" spans="1:7" x14ac:dyDescent="0.25">
      <c r="A84" s="3">
        <v>45110</v>
      </c>
      <c r="B84" s="3">
        <v>45116</v>
      </c>
      <c r="C84" t="s">
        <v>313</v>
      </c>
      <c r="D84">
        <f>COUNTIFS('Исходник — лиды'!$H$2:$H$1037,"&gt;="&amp;A84,'Исходник — лиды'!$H$2:$H$1037,"&lt;"&amp;B84+1)</f>
        <v>5</v>
      </c>
      <c r="E84">
        <f>COUNTIFS('Исходник — лиды'!$H$2:$H$1037,"&gt;="&amp;A84,'Исходник — лиды'!$H$2:$H$1037,"&lt;"&amp;B84+1,'Исходник — лиды'!$C$2:$C$1037,"Качественный лид")</f>
        <v>5</v>
      </c>
      <c r="F84">
        <v>953</v>
      </c>
      <c r="G84" s="4">
        <f t="shared" si="1"/>
        <v>1</v>
      </c>
    </row>
    <row r="85" spans="1:7" x14ac:dyDescent="0.25">
      <c r="A85" s="3">
        <v>45117</v>
      </c>
      <c r="B85" s="3">
        <v>45123</v>
      </c>
      <c r="C85" t="s">
        <v>314</v>
      </c>
      <c r="D85">
        <f>COUNTIFS('Исходник — лиды'!$H$2:$H$1037,"&gt;="&amp;A85,'Исходник — лиды'!$H$2:$H$1037,"&lt;"&amp;B85+1)</f>
        <v>5</v>
      </c>
      <c r="E85">
        <f>COUNTIFS('Исходник — лиды'!$H$2:$H$1037,"&gt;="&amp;A85,'Исходник — лиды'!$H$2:$H$1037,"&lt;"&amp;B85+1,'Исходник — лиды'!$C$2:$C$1037,"Качественный лид")</f>
        <v>5</v>
      </c>
      <c r="F85">
        <v>942</v>
      </c>
      <c r="G85" s="4">
        <f t="shared" si="1"/>
        <v>1</v>
      </c>
    </row>
    <row r="86" spans="1:7" x14ac:dyDescent="0.25">
      <c r="A86" s="3">
        <v>45124</v>
      </c>
      <c r="B86" s="3">
        <v>45130</v>
      </c>
      <c r="C86" t="s">
        <v>315</v>
      </c>
      <c r="D86">
        <f>COUNTIFS('Исходник — лиды'!$H$2:$H$1037,"&gt;="&amp;A86,'Исходник — лиды'!$H$2:$H$1037,"&lt;"&amp;B86+1)</f>
        <v>4</v>
      </c>
      <c r="E86">
        <f>COUNTIFS('Исходник — лиды'!$H$2:$H$1037,"&gt;="&amp;A86,'Исходник — лиды'!$H$2:$H$1037,"&lt;"&amp;B86+1,'Исходник — лиды'!$C$2:$C$1037,"Качественный лид")</f>
        <v>4</v>
      </c>
      <c r="F86">
        <v>957</v>
      </c>
      <c r="G86" s="4">
        <f t="shared" si="1"/>
        <v>1</v>
      </c>
    </row>
    <row r="87" spans="1:7" x14ac:dyDescent="0.25">
      <c r="A87" s="3">
        <v>45131</v>
      </c>
      <c r="B87" s="3">
        <v>45137</v>
      </c>
      <c r="C87" t="s">
        <v>316</v>
      </c>
      <c r="D87">
        <f>COUNTIFS('Исходник — лиды'!$H$2:$H$1037,"&gt;="&amp;A87,'Исходник — лиды'!$H$2:$H$1037,"&lt;"&amp;B87+1)</f>
        <v>7</v>
      </c>
      <c r="E87">
        <f>COUNTIFS('Исходник — лиды'!$H$2:$H$1037,"&gt;="&amp;A87,'Исходник — лиды'!$H$2:$H$1037,"&lt;"&amp;B87+1,'Исходник — лиды'!$C$2:$C$1037,"Качественный лид")</f>
        <v>7</v>
      </c>
      <c r="F87">
        <v>818</v>
      </c>
      <c r="G87" s="4">
        <f t="shared" si="1"/>
        <v>1</v>
      </c>
    </row>
    <row r="88" spans="1:7" x14ac:dyDescent="0.25">
      <c r="A88" s="3">
        <v>45138</v>
      </c>
      <c r="B88" s="3">
        <v>45144</v>
      </c>
      <c r="C88" t="s">
        <v>317</v>
      </c>
      <c r="D88">
        <f>COUNTIFS('Исходник — лиды'!$H$2:$H$1037,"&gt;="&amp;A88,'Исходник — лиды'!$H$2:$H$1037,"&lt;"&amp;B88+1)</f>
        <v>5</v>
      </c>
      <c r="E88">
        <f>COUNTIFS('Исходник — лиды'!$H$2:$H$1037,"&gt;="&amp;A88,'Исходник — лиды'!$H$2:$H$1037,"&lt;"&amp;B88+1,'Исходник — лиды'!$C$2:$C$1037,"Качественный лид")</f>
        <v>5</v>
      </c>
      <c r="F88">
        <v>745</v>
      </c>
      <c r="G88" s="4">
        <f t="shared" si="1"/>
        <v>1</v>
      </c>
    </row>
    <row r="89" spans="1:7" x14ac:dyDescent="0.25">
      <c r="A89" s="3">
        <v>45145</v>
      </c>
      <c r="B89" s="3">
        <v>45151</v>
      </c>
      <c r="C89" t="s">
        <v>318</v>
      </c>
      <c r="D89">
        <f>COUNTIFS('Исходник — лиды'!$H$2:$H$1037,"&gt;="&amp;A89,'Исходник — лиды'!$H$2:$H$1037,"&lt;"&amp;B89+1)</f>
        <v>2</v>
      </c>
      <c r="E89">
        <f>COUNTIFS('Исходник — лиды'!$H$2:$H$1037,"&gt;="&amp;A89,'Исходник — лиды'!$H$2:$H$1037,"&lt;"&amp;B89+1,'Исходник — лиды'!$C$2:$C$1037,"Качественный лид")</f>
        <v>2</v>
      </c>
      <c r="F89">
        <v>798</v>
      </c>
      <c r="G89" s="4">
        <f t="shared" si="1"/>
        <v>1</v>
      </c>
    </row>
    <row r="90" spans="1:7" x14ac:dyDescent="0.25">
      <c r="A90" s="3">
        <v>45152</v>
      </c>
      <c r="B90" s="3">
        <v>45158</v>
      </c>
      <c r="C90" t="s">
        <v>319</v>
      </c>
      <c r="D90">
        <f>COUNTIFS('Исходник — лиды'!$H$2:$H$1037,"&gt;="&amp;A90,'Исходник — лиды'!$H$2:$H$1037,"&lt;"&amp;B90+1)</f>
        <v>2</v>
      </c>
      <c r="E90">
        <f>COUNTIFS('Исходник — лиды'!$H$2:$H$1037,"&gt;="&amp;A90,'Исходник — лиды'!$H$2:$H$1037,"&lt;"&amp;B90+1,'Исходник — лиды'!$C$2:$C$1037,"Качественный лид")</f>
        <v>2</v>
      </c>
      <c r="F90">
        <v>763</v>
      </c>
      <c r="G90" s="4">
        <f t="shared" si="1"/>
        <v>1</v>
      </c>
    </row>
    <row r="91" spans="1:7" x14ac:dyDescent="0.25">
      <c r="A91" s="3">
        <v>45159</v>
      </c>
      <c r="B91" s="3">
        <v>45165</v>
      </c>
      <c r="C91" t="s">
        <v>320</v>
      </c>
      <c r="D91">
        <f>COUNTIFS('Исходник — лиды'!$H$2:$H$1037,"&gt;="&amp;A91,'Исходник — лиды'!$H$2:$H$1037,"&lt;"&amp;B91+1)</f>
        <v>1</v>
      </c>
      <c r="E91">
        <f>COUNTIFS('Исходник — лиды'!$H$2:$H$1037,"&gt;="&amp;A91,'Исходник — лиды'!$H$2:$H$1037,"&lt;"&amp;B91+1,'Исходник — лиды'!$C$2:$C$1037,"Качественный лид")</f>
        <v>1</v>
      </c>
      <c r="F91">
        <v>767</v>
      </c>
      <c r="G91" s="4">
        <f t="shared" si="1"/>
        <v>1</v>
      </c>
    </row>
    <row r="92" spans="1:7" x14ac:dyDescent="0.25">
      <c r="A92" s="3">
        <v>45166</v>
      </c>
      <c r="B92" s="3">
        <v>45172</v>
      </c>
      <c r="C92" t="s">
        <v>321</v>
      </c>
      <c r="D92">
        <f>COUNTIFS('Исходник — лиды'!$H$2:$H$1037,"&gt;="&amp;A92,'Исходник — лиды'!$H$2:$H$1037,"&lt;"&amp;B92+1)</f>
        <v>6</v>
      </c>
      <c r="E92">
        <f>COUNTIFS('Исходник — лиды'!$H$2:$H$1037,"&gt;="&amp;A92,'Исходник — лиды'!$H$2:$H$1037,"&lt;"&amp;B92+1,'Исходник — лиды'!$C$2:$C$1037,"Качественный лид")</f>
        <v>6</v>
      </c>
      <c r="F92">
        <v>811</v>
      </c>
      <c r="G92" s="4">
        <f t="shared" si="1"/>
        <v>1</v>
      </c>
    </row>
    <row r="93" spans="1:7" x14ac:dyDescent="0.25">
      <c r="A93" s="3">
        <v>45173</v>
      </c>
      <c r="B93" s="3">
        <v>45179</v>
      </c>
      <c r="C93" t="s">
        <v>322</v>
      </c>
      <c r="D93">
        <f>COUNTIFS('Исходник — лиды'!$H$2:$H$1037,"&gt;="&amp;A93,'Исходник — лиды'!$H$2:$H$1037,"&lt;"&amp;B93+1)</f>
        <v>2</v>
      </c>
      <c r="E93">
        <f>COUNTIFS('Исходник — лиды'!$H$2:$H$1037,"&gt;="&amp;A93,'Исходник — лиды'!$H$2:$H$1037,"&lt;"&amp;B93+1,'Исходник — лиды'!$C$2:$C$1037,"Качественный лид")</f>
        <v>2</v>
      </c>
      <c r="F93">
        <v>871</v>
      </c>
      <c r="G93" s="4">
        <f t="shared" si="1"/>
        <v>1</v>
      </c>
    </row>
    <row r="94" spans="1:7" x14ac:dyDescent="0.25">
      <c r="A94" s="3">
        <v>45180</v>
      </c>
      <c r="B94" s="3">
        <v>45186</v>
      </c>
      <c r="C94" t="s">
        <v>323</v>
      </c>
      <c r="D94">
        <f>COUNTIFS('Исходник — лиды'!$H$2:$H$1037,"&gt;="&amp;A94,'Исходник — лиды'!$H$2:$H$1037,"&lt;"&amp;B94+1)</f>
        <v>3</v>
      </c>
      <c r="E94">
        <f>COUNTIFS('Исходник — лиды'!$H$2:$H$1037,"&gt;="&amp;A94,'Исходник — лиды'!$H$2:$H$1037,"&lt;"&amp;B94+1,'Исходник — лиды'!$C$2:$C$1037,"Качественный лид")</f>
        <v>3</v>
      </c>
      <c r="F94">
        <v>801</v>
      </c>
      <c r="G94" s="4">
        <f t="shared" si="1"/>
        <v>1</v>
      </c>
    </row>
    <row r="95" spans="1:7" x14ac:dyDescent="0.25">
      <c r="A95" s="3">
        <v>45187</v>
      </c>
      <c r="B95" s="3">
        <v>45193</v>
      </c>
      <c r="C95" t="s">
        <v>324</v>
      </c>
      <c r="D95">
        <f>COUNTIFS('Исходник — лиды'!$H$2:$H$1037,"&gt;="&amp;A95,'Исходник — лиды'!$H$2:$H$1037,"&lt;"&amp;B95+1)</f>
        <v>12</v>
      </c>
      <c r="E95">
        <f>COUNTIFS('Исходник — лиды'!$H$2:$H$1037,"&gt;="&amp;A95,'Исходник — лиды'!$H$2:$H$1037,"&lt;"&amp;B95+1,'Исходник — лиды'!$C$2:$C$1037,"Качественный лид")</f>
        <v>12</v>
      </c>
      <c r="F95">
        <v>908</v>
      </c>
      <c r="G95" s="4">
        <f t="shared" si="1"/>
        <v>1</v>
      </c>
    </row>
    <row r="96" spans="1:7" x14ac:dyDescent="0.25">
      <c r="A96" s="3">
        <v>45194</v>
      </c>
      <c r="B96" s="3">
        <v>45200</v>
      </c>
      <c r="C96" t="s">
        <v>325</v>
      </c>
      <c r="D96">
        <f>COUNTIFS('Исходник — лиды'!$H$2:$H$1037,"&gt;="&amp;A96,'Исходник — лиды'!$H$2:$H$1037,"&lt;"&amp;B96+1)</f>
        <v>4</v>
      </c>
      <c r="E96">
        <f>COUNTIFS('Исходник — лиды'!$H$2:$H$1037,"&gt;="&amp;A96,'Исходник — лиды'!$H$2:$H$1037,"&lt;"&amp;B96+1,'Исходник — лиды'!$C$2:$C$1037,"Качественный лид")</f>
        <v>4</v>
      </c>
      <c r="F96">
        <v>827</v>
      </c>
      <c r="G96" s="4">
        <f t="shared" si="1"/>
        <v>1</v>
      </c>
    </row>
    <row r="97" spans="1:7" x14ac:dyDescent="0.25">
      <c r="A97" s="3">
        <v>45201</v>
      </c>
      <c r="B97" s="3">
        <v>45207</v>
      </c>
      <c r="C97" t="s">
        <v>326</v>
      </c>
      <c r="D97">
        <f>COUNTIFS('Исходник — лиды'!$H$2:$H$1037,"&gt;="&amp;A97,'Исходник — лиды'!$H$2:$H$1037,"&lt;"&amp;B97+1)</f>
        <v>5</v>
      </c>
      <c r="E97">
        <f>COUNTIFS('Исходник — лиды'!$H$2:$H$1037,"&gt;="&amp;A97,'Исходник — лиды'!$H$2:$H$1037,"&lt;"&amp;B97+1,'Исходник — лиды'!$C$2:$C$1037,"Качественный лид")</f>
        <v>5</v>
      </c>
      <c r="F97">
        <v>961</v>
      </c>
      <c r="G97" s="4">
        <f t="shared" si="1"/>
        <v>1</v>
      </c>
    </row>
    <row r="98" spans="1:7" x14ac:dyDescent="0.25">
      <c r="A98" s="3">
        <v>45208</v>
      </c>
      <c r="B98" s="3">
        <v>45214</v>
      </c>
      <c r="C98" t="s">
        <v>327</v>
      </c>
      <c r="D98">
        <f>COUNTIFS('Исходник — лиды'!$H$2:$H$1037,"&gt;="&amp;A98,'Исходник — лиды'!$H$2:$H$1037,"&lt;"&amp;B98+1)</f>
        <v>7</v>
      </c>
      <c r="E98">
        <f>COUNTIFS('Исходник — лиды'!$H$2:$H$1037,"&gt;="&amp;A98,'Исходник — лиды'!$H$2:$H$1037,"&lt;"&amp;B98+1,'Исходник — лиды'!$C$2:$C$1037,"Качественный лид")</f>
        <v>6</v>
      </c>
      <c r="F98">
        <v>952</v>
      </c>
      <c r="G98" s="4">
        <f t="shared" si="1"/>
        <v>0.8571428571428571</v>
      </c>
    </row>
    <row r="99" spans="1:7" x14ac:dyDescent="0.25">
      <c r="A99" s="3">
        <v>45215</v>
      </c>
      <c r="B99" s="3">
        <v>45221</v>
      </c>
      <c r="C99" t="s">
        <v>328</v>
      </c>
      <c r="D99">
        <f>COUNTIFS('Исходник — лиды'!$H$2:$H$1037,"&gt;="&amp;A99,'Исходник — лиды'!$H$2:$H$1037,"&lt;"&amp;B99+1)</f>
        <v>3</v>
      </c>
      <c r="E99">
        <f>COUNTIFS('Исходник — лиды'!$H$2:$H$1037,"&gt;="&amp;A99,'Исходник — лиды'!$H$2:$H$1037,"&lt;"&amp;B99+1,'Исходник — лиды'!$C$2:$C$1037,"Качественный лид")</f>
        <v>3</v>
      </c>
      <c r="F99">
        <v>1005</v>
      </c>
      <c r="G99" s="4">
        <f t="shared" si="1"/>
        <v>1</v>
      </c>
    </row>
    <row r="100" spans="1:7" x14ac:dyDescent="0.25">
      <c r="A100" s="3">
        <v>45222</v>
      </c>
      <c r="B100" s="3">
        <v>45228</v>
      </c>
      <c r="C100" t="s">
        <v>329</v>
      </c>
      <c r="D100">
        <f>COUNTIFS('Исходник — лиды'!$H$2:$H$1037,"&gt;="&amp;A100,'Исходник — лиды'!$H$2:$H$1037,"&lt;"&amp;B100+1)</f>
        <v>3</v>
      </c>
      <c r="E100">
        <f>COUNTIFS('Исходник — лиды'!$H$2:$H$1037,"&gt;="&amp;A100,'Исходник — лиды'!$H$2:$H$1037,"&lt;"&amp;B100+1,'Исходник — лиды'!$C$2:$C$1037,"Качественный лид")</f>
        <v>3</v>
      </c>
      <c r="F100">
        <v>996</v>
      </c>
      <c r="G100" s="4">
        <f t="shared" si="1"/>
        <v>1</v>
      </c>
    </row>
    <row r="101" spans="1:7" x14ac:dyDescent="0.25">
      <c r="A101" s="3">
        <v>45229</v>
      </c>
      <c r="B101" s="3">
        <v>45235</v>
      </c>
      <c r="C101" t="s">
        <v>330</v>
      </c>
      <c r="D101">
        <f>COUNTIFS('Исходник — лиды'!$H$2:$H$1037,"&gt;="&amp;A101,'Исходник — лиды'!$H$2:$H$1037,"&lt;"&amp;B101+1)</f>
        <v>6</v>
      </c>
      <c r="E101">
        <f>COUNTIFS('Исходник — лиды'!$H$2:$H$1037,"&gt;="&amp;A101,'Исходник — лиды'!$H$2:$H$1037,"&lt;"&amp;B101+1,'Исходник — лиды'!$C$2:$C$1037,"Качественный лид")</f>
        <v>6</v>
      </c>
      <c r="F101">
        <v>954</v>
      </c>
      <c r="G101" s="4">
        <f t="shared" si="1"/>
        <v>1</v>
      </c>
    </row>
    <row r="102" spans="1:7" x14ac:dyDescent="0.25">
      <c r="A102" s="3">
        <v>45236</v>
      </c>
      <c r="B102" s="3">
        <v>45242</v>
      </c>
      <c r="C102" t="s">
        <v>331</v>
      </c>
      <c r="D102">
        <f>COUNTIFS('Исходник — лиды'!$H$2:$H$1037,"&gt;="&amp;A102,'Исходник — лиды'!$H$2:$H$1037,"&lt;"&amp;B102+1)</f>
        <v>4</v>
      </c>
      <c r="E102">
        <f>COUNTIFS('Исходник — лиды'!$H$2:$H$1037,"&gt;="&amp;A102,'Исходник — лиды'!$H$2:$H$1037,"&lt;"&amp;B102+1,'Исходник — лиды'!$C$2:$C$1037,"Качественный лид")</f>
        <v>4</v>
      </c>
      <c r="F102">
        <v>967</v>
      </c>
      <c r="G102" s="4">
        <f t="shared" si="1"/>
        <v>1</v>
      </c>
    </row>
    <row r="103" spans="1:7" x14ac:dyDescent="0.25">
      <c r="A103" s="3">
        <v>45243</v>
      </c>
      <c r="B103" s="3">
        <v>45249</v>
      </c>
      <c r="C103" t="s">
        <v>332</v>
      </c>
      <c r="D103">
        <f>COUNTIFS('Исходник — лиды'!$H$2:$H$1037,"&gt;="&amp;A103,'Исходник — лиды'!$H$2:$H$1037,"&lt;"&amp;B103+1)</f>
        <v>7</v>
      </c>
      <c r="E103">
        <f>COUNTIFS('Исходник — лиды'!$H$2:$H$1037,"&gt;="&amp;A103,'Исходник — лиды'!$H$2:$H$1037,"&lt;"&amp;B103+1,'Исходник — лиды'!$C$2:$C$1037,"Качественный лид")</f>
        <v>7</v>
      </c>
      <c r="F103">
        <v>1026</v>
      </c>
      <c r="G103" s="4">
        <f t="shared" si="1"/>
        <v>1</v>
      </c>
    </row>
    <row r="104" spans="1:7" x14ac:dyDescent="0.25">
      <c r="A104" s="3">
        <v>45250</v>
      </c>
      <c r="B104" s="3">
        <v>45256</v>
      </c>
      <c r="C104" t="s">
        <v>333</v>
      </c>
      <c r="D104">
        <f>COUNTIFS('Исходник — лиды'!$H$2:$H$1037,"&gt;="&amp;A104,'Исходник — лиды'!$H$2:$H$1037,"&lt;"&amp;B104+1)</f>
        <v>3</v>
      </c>
      <c r="E104">
        <f>COUNTIFS('Исходник — лиды'!$H$2:$H$1037,"&gt;="&amp;A104,'Исходник — лиды'!$H$2:$H$1037,"&lt;"&amp;B104+1,'Исходник — лиды'!$C$2:$C$1037,"Качественный лид")</f>
        <v>3</v>
      </c>
      <c r="F104">
        <v>881</v>
      </c>
      <c r="G104" s="4">
        <f t="shared" si="1"/>
        <v>1</v>
      </c>
    </row>
    <row r="105" spans="1:7" x14ac:dyDescent="0.25">
      <c r="A105" s="3">
        <v>45257</v>
      </c>
      <c r="B105" s="3">
        <v>45263</v>
      </c>
      <c r="C105" t="s">
        <v>334</v>
      </c>
      <c r="D105">
        <f>COUNTIFS('Исходник — лиды'!$H$2:$H$1037,"&gt;="&amp;A105,'Исходник — лиды'!$H$2:$H$1037,"&lt;"&amp;B105+1)</f>
        <v>6</v>
      </c>
      <c r="E105">
        <f>COUNTIFS('Исходник — лиды'!$H$2:$H$1037,"&gt;="&amp;A105,'Исходник — лиды'!$H$2:$H$1037,"&lt;"&amp;B105+1,'Исходник — лиды'!$C$2:$C$1037,"Качественный лид")</f>
        <v>6</v>
      </c>
      <c r="F105">
        <v>1012</v>
      </c>
      <c r="G105" s="4">
        <f t="shared" si="1"/>
        <v>1</v>
      </c>
    </row>
    <row r="106" spans="1:7" x14ac:dyDescent="0.25">
      <c r="A106" s="3">
        <v>45264</v>
      </c>
      <c r="B106" s="3">
        <v>45270</v>
      </c>
      <c r="C106" t="s">
        <v>335</v>
      </c>
      <c r="D106">
        <f>COUNTIFS('Исходник — лиды'!$H$2:$H$1037,"&gt;="&amp;A106,'Исходник — лиды'!$H$2:$H$1037,"&lt;"&amp;B106+1)</f>
        <v>3</v>
      </c>
      <c r="E106">
        <f>COUNTIFS('Исходник — лиды'!$H$2:$H$1037,"&gt;="&amp;A106,'Исходник — лиды'!$H$2:$H$1037,"&lt;"&amp;B106+1,'Исходник — лиды'!$C$2:$C$1037,"Качественный лид")</f>
        <v>2</v>
      </c>
      <c r="F106">
        <v>903</v>
      </c>
      <c r="G106" s="4">
        <f t="shared" si="1"/>
        <v>0.66666666666666663</v>
      </c>
    </row>
    <row r="107" spans="1:7" x14ac:dyDescent="0.25">
      <c r="A107" s="3">
        <v>45271</v>
      </c>
      <c r="B107" s="3">
        <v>45277</v>
      </c>
      <c r="C107" t="s">
        <v>336</v>
      </c>
      <c r="D107">
        <f>COUNTIFS('Исходник — лиды'!$H$2:$H$1037,"&gt;="&amp;A107,'Исходник — лиды'!$H$2:$H$1037,"&lt;"&amp;B107+1)</f>
        <v>4</v>
      </c>
      <c r="E107">
        <f>COUNTIFS('Исходник — лиды'!$H$2:$H$1037,"&gt;="&amp;A107,'Исходник — лиды'!$H$2:$H$1037,"&lt;"&amp;B107+1,'Исходник — лиды'!$C$2:$C$1037,"Качественный лид")</f>
        <v>4</v>
      </c>
      <c r="F107">
        <v>862</v>
      </c>
      <c r="G107" s="4">
        <f t="shared" si="1"/>
        <v>1</v>
      </c>
    </row>
    <row r="108" spans="1:7" x14ac:dyDescent="0.25">
      <c r="A108" s="3">
        <v>45278</v>
      </c>
      <c r="B108" s="3">
        <v>45284</v>
      </c>
      <c r="C108" t="s">
        <v>337</v>
      </c>
      <c r="D108">
        <f>COUNTIFS('Исходник — лиды'!$H$2:$H$1037,"&gt;="&amp;A108,'Исходник — лиды'!$H$2:$H$1037,"&lt;"&amp;B108+1)</f>
        <v>6</v>
      </c>
      <c r="E108">
        <f>COUNTIFS('Исходник — лиды'!$H$2:$H$1037,"&gt;="&amp;A108,'Исходник — лиды'!$H$2:$H$1037,"&lt;"&amp;B108+1,'Исходник — лиды'!$C$2:$C$1037,"Качественный лид")</f>
        <v>6</v>
      </c>
      <c r="F108">
        <v>834</v>
      </c>
      <c r="G108" s="4">
        <f t="shared" si="1"/>
        <v>1</v>
      </c>
    </row>
    <row r="109" spans="1:7" x14ac:dyDescent="0.25">
      <c r="A109" s="3">
        <v>45285</v>
      </c>
      <c r="B109" s="3">
        <v>45291</v>
      </c>
      <c r="C109" t="s">
        <v>338</v>
      </c>
      <c r="D109">
        <f>COUNTIFS('Исходник — лиды'!$H$2:$H$1037,"&gt;="&amp;A109,'Исходник — лиды'!$H$2:$H$1037,"&lt;"&amp;B109+1)</f>
        <v>2</v>
      </c>
      <c r="E109">
        <f>COUNTIFS('Исходник — лиды'!$H$2:$H$1037,"&gt;="&amp;A109,'Исходник — лиды'!$H$2:$H$1037,"&lt;"&amp;B109+1,'Исходник — лиды'!$C$2:$C$1037,"Качественный лид")</f>
        <v>2</v>
      </c>
      <c r="F109">
        <v>551</v>
      </c>
      <c r="G109" s="4">
        <f t="shared" si="1"/>
        <v>1</v>
      </c>
    </row>
    <row r="110" spans="1:7" x14ac:dyDescent="0.25">
      <c r="A110" s="3">
        <v>45292</v>
      </c>
      <c r="B110" s="3">
        <v>45298</v>
      </c>
      <c r="C110" t="s">
        <v>339</v>
      </c>
      <c r="D110">
        <f>COUNTIFS('Исходник — лиды'!$H$2:$H$1037,"&gt;="&amp;A110,'Исходник — лиды'!$H$2:$H$1037,"&lt;"&amp;B110+1)</f>
        <v>3</v>
      </c>
      <c r="E110">
        <f>COUNTIFS('Исходник — лиды'!$H$2:$H$1037,"&gt;="&amp;A110,'Исходник — лиды'!$H$2:$H$1037,"&lt;"&amp;B110+1,'Исходник — лиды'!$C$2:$C$1037,"Качественный лид")</f>
        <v>3</v>
      </c>
      <c r="F110">
        <v>558</v>
      </c>
      <c r="G110" s="4">
        <f t="shared" si="1"/>
        <v>1</v>
      </c>
    </row>
    <row r="111" spans="1:7" x14ac:dyDescent="0.25">
      <c r="A111" s="3">
        <v>45299</v>
      </c>
      <c r="B111" s="3">
        <v>45305</v>
      </c>
      <c r="C111" t="s">
        <v>340</v>
      </c>
      <c r="D111">
        <f>COUNTIFS('Исходник — лиды'!$H$2:$H$1037,"&gt;="&amp;A111,'Исходник — лиды'!$H$2:$H$1037,"&lt;"&amp;B111+1)</f>
        <v>0</v>
      </c>
      <c r="E111">
        <f>COUNTIFS('Исходник — лиды'!$H$2:$H$1037,"&gt;="&amp;A111,'Исходник — лиды'!$H$2:$H$1037,"&lt;"&amp;B111+1,'Исходник — лиды'!$C$2:$C$1037,"Качественный лид")</f>
        <v>0</v>
      </c>
      <c r="F111">
        <v>874</v>
      </c>
      <c r="G111" s="4">
        <f t="shared" si="1"/>
        <v>0</v>
      </c>
    </row>
    <row r="112" spans="1:7" x14ac:dyDescent="0.25">
      <c r="A112" s="3">
        <v>45306</v>
      </c>
      <c r="B112" s="3">
        <v>45312</v>
      </c>
      <c r="C112" t="s">
        <v>341</v>
      </c>
      <c r="D112">
        <f>COUNTIFS('Исходник — лиды'!$H$2:$H$1037,"&gt;="&amp;A112,'Исходник — лиды'!$H$2:$H$1037,"&lt;"&amp;B112+1)</f>
        <v>7</v>
      </c>
      <c r="E112">
        <f>COUNTIFS('Исходник — лиды'!$H$2:$H$1037,"&gt;="&amp;A112,'Исходник — лиды'!$H$2:$H$1037,"&lt;"&amp;B112+1,'Исходник — лиды'!$C$2:$C$1037,"Качественный лид")</f>
        <v>7</v>
      </c>
      <c r="F112">
        <v>1036</v>
      </c>
      <c r="G112" s="4">
        <f t="shared" si="1"/>
        <v>1</v>
      </c>
    </row>
    <row r="113" spans="1:7" x14ac:dyDescent="0.25">
      <c r="A113" s="3">
        <v>45313</v>
      </c>
      <c r="B113" s="3">
        <v>45319</v>
      </c>
      <c r="C113" t="s">
        <v>342</v>
      </c>
      <c r="D113">
        <f>COUNTIFS('Исходник — лиды'!$H$2:$H$1037,"&gt;="&amp;A113,'Исходник — лиды'!$H$2:$H$1037,"&lt;"&amp;B113+1)</f>
        <v>4</v>
      </c>
      <c r="E113">
        <f>COUNTIFS('Исходник — лиды'!$H$2:$H$1037,"&gt;="&amp;A113,'Исходник — лиды'!$H$2:$H$1037,"&lt;"&amp;B113+1,'Исходник — лиды'!$C$2:$C$1037,"Качественный лид")</f>
        <v>4</v>
      </c>
      <c r="F113">
        <v>873</v>
      </c>
      <c r="G113" s="4">
        <f t="shared" si="1"/>
        <v>1</v>
      </c>
    </row>
    <row r="114" spans="1:7" x14ac:dyDescent="0.25">
      <c r="A114" s="3">
        <v>45320</v>
      </c>
      <c r="B114" s="3">
        <v>45326</v>
      </c>
      <c r="C114" t="s">
        <v>343</v>
      </c>
      <c r="D114">
        <f>COUNTIFS('Исходник — лиды'!$H$2:$H$1037,"&gt;="&amp;A114,'Исходник — лиды'!$H$2:$H$1037,"&lt;"&amp;B114+1)</f>
        <v>4</v>
      </c>
      <c r="E114">
        <f>COUNTIFS('Исходник — лиды'!$H$2:$H$1037,"&gt;="&amp;A114,'Исходник — лиды'!$H$2:$H$1037,"&lt;"&amp;B114+1,'Исходник — лиды'!$C$2:$C$1037,"Качественный лид")</f>
        <v>4</v>
      </c>
      <c r="F114">
        <v>932</v>
      </c>
      <c r="G114" s="4">
        <f t="shared" si="1"/>
        <v>1</v>
      </c>
    </row>
    <row r="115" spans="1:7" x14ac:dyDescent="0.25">
      <c r="A115" s="3">
        <v>45327</v>
      </c>
      <c r="B115" s="3">
        <v>45333</v>
      </c>
      <c r="C115" t="s">
        <v>344</v>
      </c>
      <c r="D115">
        <f>COUNTIFS('Исходник — лиды'!$H$2:$H$1037,"&gt;="&amp;A115,'Исходник — лиды'!$H$2:$H$1037,"&lt;"&amp;B115+1)</f>
        <v>5</v>
      </c>
      <c r="E115">
        <f>COUNTIFS('Исходник — лиды'!$H$2:$H$1037,"&gt;="&amp;A115,'Исходник — лиды'!$H$2:$H$1037,"&lt;"&amp;B115+1,'Исходник — лиды'!$C$2:$C$1037,"Качественный лид")</f>
        <v>5</v>
      </c>
      <c r="F115">
        <v>856</v>
      </c>
      <c r="G115" s="4">
        <f t="shared" si="1"/>
        <v>1</v>
      </c>
    </row>
    <row r="116" spans="1:7" x14ac:dyDescent="0.25">
      <c r="A116" s="3">
        <v>45334</v>
      </c>
      <c r="B116" s="3">
        <v>45340</v>
      </c>
      <c r="C116" t="s">
        <v>345</v>
      </c>
      <c r="D116">
        <f>COUNTIFS('Исходник — лиды'!$H$2:$H$1037,"&gt;="&amp;A116,'Исходник — лиды'!$H$2:$H$1037,"&lt;"&amp;B116+1)</f>
        <v>2</v>
      </c>
      <c r="E116">
        <f>COUNTIFS('Исходник — лиды'!$H$2:$H$1037,"&gt;="&amp;A116,'Исходник — лиды'!$H$2:$H$1037,"&lt;"&amp;B116+1,'Исходник — лиды'!$C$2:$C$1037,"Качественный лид")</f>
        <v>2</v>
      </c>
      <c r="F116">
        <v>976</v>
      </c>
      <c r="G116" s="4">
        <f t="shared" si="1"/>
        <v>1</v>
      </c>
    </row>
    <row r="117" spans="1:7" x14ac:dyDescent="0.25">
      <c r="A117" s="3">
        <v>45341</v>
      </c>
      <c r="B117" s="3">
        <v>45347</v>
      </c>
      <c r="C117" t="s">
        <v>346</v>
      </c>
      <c r="D117">
        <f>COUNTIFS('Исходник — лиды'!$H$2:$H$1037,"&gt;="&amp;A117,'Исходник — лиды'!$H$2:$H$1037,"&lt;"&amp;B117+1)</f>
        <v>4</v>
      </c>
      <c r="E117">
        <f>COUNTIFS('Исходник — лиды'!$H$2:$H$1037,"&gt;="&amp;A117,'Исходник — лиды'!$H$2:$H$1037,"&lt;"&amp;B117+1,'Исходник — лиды'!$C$2:$C$1037,"Качественный лид")</f>
        <v>4</v>
      </c>
      <c r="F117">
        <v>898</v>
      </c>
      <c r="G117" s="4">
        <f t="shared" si="1"/>
        <v>1</v>
      </c>
    </row>
    <row r="118" spans="1:7" x14ac:dyDescent="0.25">
      <c r="A118" s="3">
        <v>45348</v>
      </c>
      <c r="B118" s="3">
        <v>45354</v>
      </c>
      <c r="C118" t="s">
        <v>347</v>
      </c>
      <c r="D118">
        <f>COUNTIFS('Исходник — лиды'!$H$2:$H$1037,"&gt;="&amp;A118,'Исходник — лиды'!$H$2:$H$1037,"&lt;"&amp;B118+1)</f>
        <v>3</v>
      </c>
      <c r="E118">
        <f>COUNTIFS('Исходник — лиды'!$H$2:$H$1037,"&gt;="&amp;A118,'Исходник — лиды'!$H$2:$H$1037,"&lt;"&amp;B118+1,'Исходник — лиды'!$C$2:$C$1037,"Качественный лид")</f>
        <v>2</v>
      </c>
      <c r="F118">
        <v>1147</v>
      </c>
      <c r="G118" s="4">
        <f t="shared" si="1"/>
        <v>0.66666666666666663</v>
      </c>
    </row>
    <row r="119" spans="1:7" x14ac:dyDescent="0.25">
      <c r="A119" s="3">
        <v>45355</v>
      </c>
      <c r="B119" s="3">
        <v>45361</v>
      </c>
      <c r="C119" t="s">
        <v>348</v>
      </c>
      <c r="D119">
        <f>COUNTIFS('Исходник — лиды'!$H$2:$H$1037,"&gt;="&amp;A119,'Исходник — лиды'!$H$2:$H$1037,"&lt;"&amp;B119+1)</f>
        <v>11</v>
      </c>
      <c r="E119">
        <f>COUNTIFS('Исходник — лиды'!$H$2:$H$1037,"&gt;="&amp;A119,'Исходник — лиды'!$H$2:$H$1037,"&lt;"&amp;B119+1,'Исходник — лиды'!$C$2:$C$1037,"Качественный лид")</f>
        <v>10</v>
      </c>
      <c r="F119">
        <v>1044</v>
      </c>
      <c r="G119" s="4">
        <f t="shared" si="1"/>
        <v>0.90909090909090906</v>
      </c>
    </row>
    <row r="120" spans="1:7" x14ac:dyDescent="0.25">
      <c r="A120" s="3">
        <v>45362</v>
      </c>
      <c r="B120" s="3">
        <v>45368</v>
      </c>
      <c r="C120" t="s">
        <v>349</v>
      </c>
      <c r="D120">
        <f>COUNTIFS('Исходник — лиды'!$H$2:$H$1037,"&gt;="&amp;A120,'Исходник — лиды'!$H$2:$H$1037,"&lt;"&amp;B120+1)</f>
        <v>8</v>
      </c>
      <c r="E120">
        <f>COUNTIFS('Исходник — лиды'!$H$2:$H$1037,"&gt;="&amp;A120,'Исходник — лиды'!$H$2:$H$1037,"&lt;"&amp;B120+1,'Исходник — лиды'!$C$2:$C$1037,"Качественный лид")</f>
        <v>8</v>
      </c>
      <c r="F120">
        <v>1100</v>
      </c>
      <c r="G120" s="4">
        <f t="shared" si="1"/>
        <v>1</v>
      </c>
    </row>
    <row r="121" spans="1:7" x14ac:dyDescent="0.25">
      <c r="A121" s="3">
        <v>45369</v>
      </c>
      <c r="B121" s="3">
        <v>45375</v>
      </c>
      <c r="C121" t="s">
        <v>350</v>
      </c>
      <c r="D121">
        <f>COUNTIFS('Исходник — лиды'!$H$2:$H$1037,"&gt;="&amp;A121,'Исходник — лиды'!$H$2:$H$1037,"&lt;"&amp;B121+1)</f>
        <v>7</v>
      </c>
      <c r="E121">
        <f>COUNTIFS('Исходник — лиды'!$H$2:$H$1037,"&gt;="&amp;A121,'Исходник — лиды'!$H$2:$H$1037,"&lt;"&amp;B121+1,'Исходник — лиды'!$C$2:$C$1037,"Качественный лид")</f>
        <v>7</v>
      </c>
      <c r="F121">
        <v>1008</v>
      </c>
      <c r="G121" s="4">
        <f t="shared" si="1"/>
        <v>1</v>
      </c>
    </row>
    <row r="122" spans="1:7" x14ac:dyDescent="0.25">
      <c r="A122" s="3">
        <v>45376</v>
      </c>
      <c r="B122" s="3">
        <v>45382</v>
      </c>
      <c r="C122" t="s">
        <v>351</v>
      </c>
      <c r="D122">
        <f>COUNTIFS('Исходник — лиды'!$H$2:$H$1037,"&gt;="&amp;A122,'Исходник — лиды'!$H$2:$H$1037,"&lt;"&amp;B122+1)</f>
        <v>6</v>
      </c>
      <c r="E122">
        <f>COUNTIFS('Исходник — лиды'!$H$2:$H$1037,"&gt;="&amp;A122,'Исходник — лиды'!$H$2:$H$1037,"&lt;"&amp;B122+1,'Исходник — лиды'!$C$2:$C$1037,"Качественный лид")</f>
        <v>6</v>
      </c>
      <c r="F122">
        <v>1177</v>
      </c>
      <c r="G122" s="4">
        <f t="shared" si="1"/>
        <v>1</v>
      </c>
    </row>
    <row r="123" spans="1:7" x14ac:dyDescent="0.25">
      <c r="A123" s="3">
        <v>45383</v>
      </c>
      <c r="B123" s="3">
        <v>45389</v>
      </c>
      <c r="C123" t="s">
        <v>352</v>
      </c>
      <c r="D123">
        <f>COUNTIFS('Исходник — лиды'!$H$2:$H$1037,"&gt;="&amp;A123,'Исходник — лиды'!$H$2:$H$1037,"&lt;"&amp;B123+1)</f>
        <v>8</v>
      </c>
      <c r="E123">
        <f>COUNTIFS('Исходник — лиды'!$H$2:$H$1037,"&gt;="&amp;A123,'Исходник — лиды'!$H$2:$H$1037,"&lt;"&amp;B123+1,'Исходник — лиды'!$C$2:$C$1037,"Качественный лид")</f>
        <v>8</v>
      </c>
      <c r="F123">
        <v>1067</v>
      </c>
      <c r="G123" s="4">
        <f t="shared" si="1"/>
        <v>1</v>
      </c>
    </row>
    <row r="124" spans="1:7" x14ac:dyDescent="0.25">
      <c r="A124" s="3">
        <v>45390</v>
      </c>
      <c r="B124" s="3">
        <v>45396</v>
      </c>
      <c r="C124" t="s">
        <v>353</v>
      </c>
      <c r="D124">
        <f>COUNTIFS('Исходник — лиды'!$H$2:$H$1037,"&gt;="&amp;A124,'Исходник — лиды'!$H$2:$H$1037,"&lt;"&amp;B124+1)</f>
        <v>9</v>
      </c>
      <c r="E124">
        <f>COUNTIFS('Исходник — лиды'!$H$2:$H$1037,"&gt;="&amp;A124,'Исходник — лиды'!$H$2:$H$1037,"&lt;"&amp;B124+1,'Исходник — лиды'!$C$2:$C$1037,"Качественный лид")</f>
        <v>9</v>
      </c>
      <c r="F124">
        <v>1093</v>
      </c>
      <c r="G124" s="4">
        <f t="shared" si="1"/>
        <v>1</v>
      </c>
    </row>
    <row r="125" spans="1:7" x14ac:dyDescent="0.25">
      <c r="A125" s="3">
        <v>45397</v>
      </c>
      <c r="B125" s="3">
        <v>45403</v>
      </c>
      <c r="C125" t="s">
        <v>354</v>
      </c>
      <c r="D125">
        <f>COUNTIFS('Исходник — лиды'!$H$2:$H$1037,"&gt;="&amp;A125,'Исходник — лиды'!$H$2:$H$1037,"&lt;"&amp;B125+1)</f>
        <v>6</v>
      </c>
      <c r="E125">
        <f>COUNTIFS('Исходник — лиды'!$H$2:$H$1037,"&gt;="&amp;A125,'Исходник — лиды'!$H$2:$H$1037,"&lt;"&amp;B125+1,'Исходник — лиды'!$C$2:$C$1037,"Качественный лид")</f>
        <v>4</v>
      </c>
      <c r="F125">
        <v>1027</v>
      </c>
      <c r="G125" s="4">
        <f t="shared" si="1"/>
        <v>0.66666666666666663</v>
      </c>
    </row>
    <row r="126" spans="1:7" x14ac:dyDescent="0.25">
      <c r="A126" s="3">
        <v>45404</v>
      </c>
      <c r="B126" s="3">
        <v>45410</v>
      </c>
      <c r="C126" t="s">
        <v>355</v>
      </c>
      <c r="D126">
        <f>COUNTIFS('Исходник — лиды'!$H$2:$H$1037,"&gt;="&amp;A126,'Исходник — лиды'!$H$2:$H$1037,"&lt;"&amp;B126+1)</f>
        <v>5</v>
      </c>
      <c r="E126">
        <f>COUNTIFS('Исходник — лиды'!$H$2:$H$1037,"&gt;="&amp;A126,'Исходник — лиды'!$H$2:$H$1037,"&lt;"&amp;B126+1,'Исходник — лиды'!$C$2:$C$1037,"Качественный лид")</f>
        <v>5</v>
      </c>
      <c r="F126">
        <v>1032</v>
      </c>
      <c r="G126" s="4">
        <f t="shared" si="1"/>
        <v>1</v>
      </c>
    </row>
    <row r="127" spans="1:7" x14ac:dyDescent="0.25">
      <c r="A127" s="3">
        <v>45411</v>
      </c>
      <c r="B127" s="3">
        <v>45417</v>
      </c>
      <c r="C127" t="s">
        <v>356</v>
      </c>
      <c r="D127">
        <f>COUNTIFS('Исходник — лиды'!$H$2:$H$1037,"&gt;="&amp;A127,'Исходник — лиды'!$H$2:$H$1037,"&lt;"&amp;B127+1)</f>
        <v>6</v>
      </c>
      <c r="E127">
        <f>COUNTIFS('Исходник — лиды'!$H$2:$H$1037,"&gt;="&amp;A127,'Исходник — лиды'!$H$2:$H$1037,"&lt;"&amp;B127+1,'Исходник — лиды'!$C$2:$C$1037,"Качественный лид")</f>
        <v>6</v>
      </c>
      <c r="F127">
        <v>963</v>
      </c>
      <c r="G127" s="4">
        <f t="shared" si="1"/>
        <v>1</v>
      </c>
    </row>
    <row r="128" spans="1:7" x14ac:dyDescent="0.25">
      <c r="A128" s="3">
        <v>45418</v>
      </c>
      <c r="B128" s="3">
        <v>45424</v>
      </c>
      <c r="C128" t="s">
        <v>357</v>
      </c>
      <c r="D128">
        <f>COUNTIFS('Исходник — лиды'!$H$2:$H$1037,"&gt;="&amp;A128,'Исходник — лиды'!$H$2:$H$1037,"&lt;"&amp;B128+1)</f>
        <v>6</v>
      </c>
      <c r="E128">
        <f>COUNTIFS('Исходник — лиды'!$H$2:$H$1037,"&gt;="&amp;A128,'Исходник — лиды'!$H$2:$H$1037,"&lt;"&amp;B128+1,'Исходник — лиды'!$C$2:$C$1037,"Качественный лид")</f>
        <v>6</v>
      </c>
      <c r="F128">
        <v>1090</v>
      </c>
      <c r="G128" s="4">
        <f t="shared" si="1"/>
        <v>1</v>
      </c>
    </row>
    <row r="129" spans="1:7" x14ac:dyDescent="0.25">
      <c r="A129" s="3">
        <v>45425</v>
      </c>
      <c r="B129" s="3">
        <v>45431</v>
      </c>
      <c r="C129" t="s">
        <v>358</v>
      </c>
      <c r="D129">
        <f>COUNTIFS('Исходник — лиды'!$H$2:$H$1037,"&gt;="&amp;A129,'Исходник — лиды'!$H$2:$H$1037,"&lt;"&amp;B129+1)</f>
        <v>11</v>
      </c>
      <c r="E129">
        <f>COUNTIFS('Исходник — лиды'!$H$2:$H$1037,"&gt;="&amp;A129,'Исходник — лиды'!$H$2:$H$1037,"&lt;"&amp;B129+1,'Исходник — лиды'!$C$2:$C$1037,"Качественный лид")</f>
        <v>10</v>
      </c>
      <c r="F129">
        <v>1138</v>
      </c>
      <c r="G129" s="4">
        <f t="shared" si="1"/>
        <v>0.90909090909090906</v>
      </c>
    </row>
    <row r="130" spans="1:7" x14ac:dyDescent="0.25">
      <c r="A130" s="3">
        <v>45432</v>
      </c>
      <c r="B130" s="3">
        <v>45438</v>
      </c>
      <c r="C130" t="s">
        <v>359</v>
      </c>
      <c r="D130">
        <f>COUNTIFS('Исходник — лиды'!$H$2:$H$1037,"&gt;="&amp;A130,'Исходник — лиды'!$H$2:$H$1037,"&lt;"&amp;B130+1)</f>
        <v>11</v>
      </c>
      <c r="E130">
        <f>COUNTIFS('Исходник — лиды'!$H$2:$H$1037,"&gt;="&amp;A130,'Исходник — лиды'!$H$2:$H$1037,"&lt;"&amp;B130+1,'Исходник — лиды'!$C$2:$C$1037,"Качественный лид")</f>
        <v>11</v>
      </c>
      <c r="F130">
        <v>1171</v>
      </c>
      <c r="G130" s="4">
        <f t="shared" si="1"/>
        <v>1</v>
      </c>
    </row>
    <row r="131" spans="1:7" x14ac:dyDescent="0.25">
      <c r="A131" s="3">
        <v>45439</v>
      </c>
      <c r="B131" s="3">
        <v>45445</v>
      </c>
      <c r="C131" t="s">
        <v>360</v>
      </c>
      <c r="D131">
        <f>COUNTIFS('Исходник — лиды'!$H$2:$H$1037,"&gt;="&amp;A131,'Исходник — лиды'!$H$2:$H$1037,"&lt;"&amp;B131+1)</f>
        <v>7</v>
      </c>
      <c r="E131">
        <f>COUNTIFS('Исходник — лиды'!$H$2:$H$1037,"&gt;="&amp;A131,'Исходник — лиды'!$H$2:$H$1037,"&lt;"&amp;B131+1,'Исходник — лиды'!$C$2:$C$1037,"Качественный лид")</f>
        <v>7</v>
      </c>
      <c r="F131">
        <v>920</v>
      </c>
      <c r="G131" s="4">
        <f t="shared" si="1"/>
        <v>1</v>
      </c>
    </row>
    <row r="132" spans="1:7" x14ac:dyDescent="0.25">
      <c r="A132" s="3">
        <v>45446</v>
      </c>
      <c r="B132" s="3">
        <v>45452</v>
      </c>
      <c r="C132" t="s">
        <v>361</v>
      </c>
      <c r="D132">
        <f>COUNTIFS('Исходник — лиды'!$H$2:$H$1037,"&gt;="&amp;A132,'Исходник — лиды'!$H$2:$H$1037,"&lt;"&amp;B132+1)</f>
        <v>8</v>
      </c>
      <c r="E132">
        <f>COUNTIFS('Исходник — лиды'!$H$2:$H$1037,"&gt;="&amp;A132,'Исходник — лиды'!$H$2:$H$1037,"&lt;"&amp;B132+1,'Исходник — лиды'!$C$2:$C$1037,"Качественный лид")</f>
        <v>7</v>
      </c>
      <c r="F132">
        <v>793</v>
      </c>
      <c r="G132" s="4">
        <f t="shared" si="1"/>
        <v>0.875</v>
      </c>
    </row>
    <row r="133" spans="1:7" x14ac:dyDescent="0.25">
      <c r="A133" s="3">
        <v>45453</v>
      </c>
      <c r="B133" s="3">
        <v>45459</v>
      </c>
      <c r="C133" t="s">
        <v>362</v>
      </c>
      <c r="D133">
        <f>COUNTIFS('Исходник — лиды'!$H$2:$H$1037,"&gt;="&amp;A133,'Исходник — лиды'!$H$2:$H$1037,"&lt;"&amp;B133+1)</f>
        <v>3</v>
      </c>
      <c r="E133">
        <f>COUNTIFS('Исходник — лиды'!$H$2:$H$1037,"&gt;="&amp;A133,'Исходник — лиды'!$H$2:$H$1037,"&lt;"&amp;B133+1,'Исходник — лиды'!$C$2:$C$1037,"Качественный лид")</f>
        <v>3</v>
      </c>
      <c r="F133">
        <v>751</v>
      </c>
      <c r="G133" s="4">
        <f t="shared" ref="G133:G196" si="2">IFERROR(E133/D133,0)</f>
        <v>1</v>
      </c>
    </row>
    <row r="134" spans="1:7" x14ac:dyDescent="0.25">
      <c r="A134" s="3">
        <v>45460</v>
      </c>
      <c r="B134" s="3">
        <v>45466</v>
      </c>
      <c r="C134" t="s">
        <v>363</v>
      </c>
      <c r="D134">
        <f>COUNTIFS('Исходник — лиды'!$H$2:$H$1037,"&gt;="&amp;A134,'Исходник — лиды'!$H$2:$H$1037,"&lt;"&amp;B134+1)</f>
        <v>2</v>
      </c>
      <c r="E134">
        <f>COUNTIFS('Исходник — лиды'!$H$2:$H$1037,"&gt;="&amp;A134,'Исходник — лиды'!$H$2:$H$1037,"&lt;"&amp;B134+1,'Исходник — лиды'!$C$2:$C$1037,"Качественный лид")</f>
        <v>2</v>
      </c>
      <c r="F134">
        <v>820</v>
      </c>
      <c r="G134" s="4">
        <f t="shared" si="2"/>
        <v>1</v>
      </c>
    </row>
    <row r="135" spans="1:7" x14ac:dyDescent="0.25">
      <c r="A135" s="3">
        <v>45467</v>
      </c>
      <c r="B135" s="3">
        <v>45473</v>
      </c>
      <c r="C135" t="s">
        <v>364</v>
      </c>
      <c r="D135">
        <f>COUNTIFS('Исходник — лиды'!$H$2:$H$1037,"&gt;="&amp;A135,'Исходник — лиды'!$H$2:$H$1037,"&lt;"&amp;B135+1)</f>
        <v>6</v>
      </c>
      <c r="E135">
        <f>COUNTIFS('Исходник — лиды'!$H$2:$H$1037,"&gt;="&amp;A135,'Исходник — лиды'!$H$2:$H$1037,"&lt;"&amp;B135+1,'Исходник — лиды'!$C$2:$C$1037,"Качественный лид")</f>
        <v>6</v>
      </c>
      <c r="F135">
        <v>757</v>
      </c>
      <c r="G135" s="4">
        <f t="shared" si="2"/>
        <v>1</v>
      </c>
    </row>
    <row r="136" spans="1:7" x14ac:dyDescent="0.25">
      <c r="A136" s="3">
        <v>45474</v>
      </c>
      <c r="B136" s="3">
        <v>45480</v>
      </c>
      <c r="C136" t="s">
        <v>365</v>
      </c>
      <c r="D136">
        <f>COUNTIFS('Исходник — лиды'!$H$2:$H$1037,"&gt;="&amp;A136,'Исходник — лиды'!$H$2:$H$1037,"&lt;"&amp;B136+1)</f>
        <v>4</v>
      </c>
      <c r="E136">
        <f>COUNTIFS('Исходник — лиды'!$H$2:$H$1037,"&gt;="&amp;A136,'Исходник — лиды'!$H$2:$H$1037,"&lt;"&amp;B136+1,'Исходник — лиды'!$C$2:$C$1037,"Качественный лид")</f>
        <v>4</v>
      </c>
      <c r="F136">
        <v>659</v>
      </c>
      <c r="G136" s="4">
        <f t="shared" si="2"/>
        <v>1</v>
      </c>
    </row>
    <row r="137" spans="1:7" x14ac:dyDescent="0.25">
      <c r="A137" s="3">
        <v>45481</v>
      </c>
      <c r="B137" s="3">
        <v>45487</v>
      </c>
      <c r="C137" t="s">
        <v>366</v>
      </c>
      <c r="D137">
        <f>COUNTIFS('Исходник — лиды'!$H$2:$H$1037,"&gt;="&amp;A137,'Исходник — лиды'!$H$2:$H$1037,"&lt;"&amp;B137+1)</f>
        <v>3</v>
      </c>
      <c r="E137">
        <f>COUNTIFS('Исходник — лиды'!$H$2:$H$1037,"&gt;="&amp;A137,'Исходник — лиды'!$H$2:$H$1037,"&lt;"&amp;B137+1,'Исходник — лиды'!$C$2:$C$1037,"Качественный лид")</f>
        <v>3</v>
      </c>
      <c r="F137">
        <v>689</v>
      </c>
      <c r="G137" s="4">
        <f t="shared" si="2"/>
        <v>1</v>
      </c>
    </row>
    <row r="138" spans="1:7" x14ac:dyDescent="0.25">
      <c r="A138" s="3">
        <v>45488</v>
      </c>
      <c r="B138" s="3">
        <v>45494</v>
      </c>
      <c r="C138" t="s">
        <v>367</v>
      </c>
      <c r="D138">
        <f>COUNTIFS('Исходник — лиды'!$H$2:$H$1037,"&gt;="&amp;A138,'Исходник — лиды'!$H$2:$H$1037,"&lt;"&amp;B138+1)</f>
        <v>4</v>
      </c>
      <c r="E138">
        <f>COUNTIFS('Исходник — лиды'!$H$2:$H$1037,"&gt;="&amp;A138,'Исходник — лиды'!$H$2:$H$1037,"&lt;"&amp;B138+1,'Исходник — лиды'!$C$2:$C$1037,"Качественный лид")</f>
        <v>3</v>
      </c>
      <c r="F138">
        <v>765</v>
      </c>
      <c r="G138" s="4">
        <f t="shared" si="2"/>
        <v>0.75</v>
      </c>
    </row>
    <row r="139" spans="1:7" x14ac:dyDescent="0.25">
      <c r="A139" s="3">
        <v>45495</v>
      </c>
      <c r="B139" s="3">
        <v>45501</v>
      </c>
      <c r="C139" t="s">
        <v>368</v>
      </c>
      <c r="D139">
        <f>COUNTIFS('Исходник — лиды'!$H$2:$H$1037,"&gt;="&amp;A139,'Исходник — лиды'!$H$2:$H$1037,"&lt;"&amp;B139+1)</f>
        <v>5</v>
      </c>
      <c r="E139">
        <f>COUNTIFS('Исходник — лиды'!$H$2:$H$1037,"&gt;="&amp;A139,'Исходник — лиды'!$H$2:$H$1037,"&lt;"&amp;B139+1,'Исходник — лиды'!$C$2:$C$1037,"Качественный лид")</f>
        <v>5</v>
      </c>
      <c r="F139">
        <v>726</v>
      </c>
      <c r="G139" s="4">
        <f t="shared" si="2"/>
        <v>1</v>
      </c>
    </row>
    <row r="140" spans="1:7" x14ac:dyDescent="0.25">
      <c r="A140" s="3">
        <v>45502</v>
      </c>
      <c r="B140" s="3">
        <v>45508</v>
      </c>
      <c r="C140" t="s">
        <v>369</v>
      </c>
      <c r="D140">
        <f>COUNTIFS('Исходник — лиды'!$H$2:$H$1037,"&gt;="&amp;A140,'Исходник — лиды'!$H$2:$H$1037,"&lt;"&amp;B140+1)</f>
        <v>1</v>
      </c>
      <c r="E140">
        <f>COUNTIFS('Исходник — лиды'!$H$2:$H$1037,"&gt;="&amp;A140,'Исходник — лиды'!$H$2:$H$1037,"&lt;"&amp;B140+1,'Исходник — лиды'!$C$2:$C$1037,"Качественный лид")</f>
        <v>1</v>
      </c>
      <c r="F140">
        <v>770</v>
      </c>
      <c r="G140" s="4">
        <f t="shared" si="2"/>
        <v>1</v>
      </c>
    </row>
    <row r="141" spans="1:7" x14ac:dyDescent="0.25">
      <c r="A141" s="3">
        <v>45509</v>
      </c>
      <c r="B141" s="3">
        <v>45515</v>
      </c>
      <c r="C141" t="s">
        <v>370</v>
      </c>
      <c r="D141">
        <f>COUNTIFS('Исходник — лиды'!$H$2:$H$1037,"&gt;="&amp;A141,'Исходник — лиды'!$H$2:$H$1037,"&lt;"&amp;B141+1)</f>
        <v>5</v>
      </c>
      <c r="E141">
        <f>COUNTIFS('Исходник — лиды'!$H$2:$H$1037,"&gt;="&amp;A141,'Исходник — лиды'!$H$2:$H$1037,"&lt;"&amp;B141+1,'Исходник — лиды'!$C$2:$C$1037,"Качественный лид")</f>
        <v>5</v>
      </c>
      <c r="F141">
        <v>789</v>
      </c>
      <c r="G141" s="4">
        <f t="shared" si="2"/>
        <v>1</v>
      </c>
    </row>
    <row r="142" spans="1:7" x14ac:dyDescent="0.25">
      <c r="A142" s="3">
        <v>45516</v>
      </c>
      <c r="B142" s="3">
        <v>45522</v>
      </c>
      <c r="C142" t="s">
        <v>371</v>
      </c>
      <c r="D142">
        <f>COUNTIFS('Исходник — лиды'!$H$2:$H$1037,"&gt;="&amp;A142,'Исходник — лиды'!$H$2:$H$1037,"&lt;"&amp;B142+1)</f>
        <v>2</v>
      </c>
      <c r="E142">
        <f>COUNTIFS('Исходник — лиды'!$H$2:$H$1037,"&gt;="&amp;A142,'Исходник — лиды'!$H$2:$H$1037,"&lt;"&amp;B142+1,'Исходник — лиды'!$C$2:$C$1037,"Качественный лид")</f>
        <v>2</v>
      </c>
      <c r="F142">
        <v>899</v>
      </c>
      <c r="G142" s="4">
        <f t="shared" si="2"/>
        <v>1</v>
      </c>
    </row>
    <row r="143" spans="1:7" x14ac:dyDescent="0.25">
      <c r="A143" s="3">
        <v>45523</v>
      </c>
      <c r="B143" s="3">
        <v>45529</v>
      </c>
      <c r="C143" t="s">
        <v>372</v>
      </c>
      <c r="D143">
        <f>COUNTIFS('Исходник — лиды'!$H$2:$H$1037,"&gt;="&amp;A143,'Исходник — лиды'!$H$2:$H$1037,"&lt;"&amp;B143+1)</f>
        <v>5</v>
      </c>
      <c r="E143">
        <f>COUNTIFS('Исходник — лиды'!$H$2:$H$1037,"&gt;="&amp;A143,'Исходник — лиды'!$H$2:$H$1037,"&lt;"&amp;B143+1,'Исходник — лиды'!$C$2:$C$1037,"Качественный лид")</f>
        <v>5</v>
      </c>
      <c r="F143">
        <v>787</v>
      </c>
      <c r="G143" s="4">
        <f t="shared" si="2"/>
        <v>1</v>
      </c>
    </row>
    <row r="144" spans="1:7" x14ac:dyDescent="0.25">
      <c r="A144" s="3">
        <v>45530</v>
      </c>
      <c r="B144" s="3">
        <v>45536</v>
      </c>
      <c r="C144" t="s">
        <v>373</v>
      </c>
      <c r="D144">
        <f>COUNTIFS('Исходник — лиды'!$H$2:$H$1037,"&gt;="&amp;A144,'Исходник — лиды'!$H$2:$H$1037,"&lt;"&amp;B144+1)</f>
        <v>9</v>
      </c>
      <c r="E144">
        <f>COUNTIFS('Исходник — лиды'!$H$2:$H$1037,"&gt;="&amp;A144,'Исходник — лиды'!$H$2:$H$1037,"&lt;"&amp;B144+1,'Исходник — лиды'!$C$2:$C$1037,"Качественный лид")</f>
        <v>9</v>
      </c>
      <c r="F144">
        <v>778</v>
      </c>
      <c r="G144" s="4">
        <f t="shared" si="2"/>
        <v>1</v>
      </c>
    </row>
    <row r="145" spans="1:7" x14ac:dyDescent="0.25">
      <c r="A145" s="3">
        <v>45537</v>
      </c>
      <c r="B145" s="3">
        <v>45543</v>
      </c>
      <c r="C145" t="s">
        <v>374</v>
      </c>
      <c r="D145">
        <f>COUNTIFS('Исходник — лиды'!$H$2:$H$1037,"&gt;="&amp;A145,'Исходник — лиды'!$H$2:$H$1037,"&lt;"&amp;B145+1)</f>
        <v>4</v>
      </c>
      <c r="E145">
        <f>COUNTIFS('Исходник — лиды'!$H$2:$H$1037,"&gt;="&amp;A145,'Исходник — лиды'!$H$2:$H$1037,"&lt;"&amp;B145+1,'Исходник — лиды'!$C$2:$C$1037,"Качественный лид")</f>
        <v>4</v>
      </c>
      <c r="F145">
        <v>677</v>
      </c>
      <c r="G145" s="4">
        <f t="shared" si="2"/>
        <v>1</v>
      </c>
    </row>
    <row r="146" spans="1:7" x14ac:dyDescent="0.25">
      <c r="A146" s="3">
        <v>45544</v>
      </c>
      <c r="B146" s="3">
        <v>45550</v>
      </c>
      <c r="C146" t="s">
        <v>375</v>
      </c>
      <c r="D146">
        <f>COUNTIFS('Исходник — лиды'!$H$2:$H$1037,"&gt;="&amp;A146,'Исходник — лиды'!$H$2:$H$1037,"&lt;"&amp;B146+1)</f>
        <v>6</v>
      </c>
      <c r="E146">
        <f>COUNTIFS('Исходник — лиды'!$H$2:$H$1037,"&gt;="&amp;A146,'Исходник — лиды'!$H$2:$H$1037,"&lt;"&amp;B146+1,'Исходник — лиды'!$C$2:$C$1037,"Качественный лид")</f>
        <v>6</v>
      </c>
      <c r="F146">
        <v>862</v>
      </c>
      <c r="G146" s="4">
        <f t="shared" si="2"/>
        <v>1</v>
      </c>
    </row>
    <row r="147" spans="1:7" x14ac:dyDescent="0.25">
      <c r="A147" s="3">
        <v>45551</v>
      </c>
      <c r="B147" s="3">
        <v>45557</v>
      </c>
      <c r="C147" t="s">
        <v>376</v>
      </c>
      <c r="D147">
        <f>COUNTIFS('Исходник — лиды'!$H$2:$H$1037,"&gt;="&amp;A147,'Исходник — лиды'!$H$2:$H$1037,"&lt;"&amp;B147+1)</f>
        <v>5</v>
      </c>
      <c r="E147">
        <f>COUNTIFS('Исходник — лиды'!$H$2:$H$1037,"&gt;="&amp;A147,'Исходник — лиды'!$H$2:$H$1037,"&lt;"&amp;B147+1,'Исходник — лиды'!$C$2:$C$1037,"Качественный лид")</f>
        <v>5</v>
      </c>
      <c r="F147">
        <v>877</v>
      </c>
      <c r="G147" s="4">
        <f t="shared" si="2"/>
        <v>1</v>
      </c>
    </row>
    <row r="148" spans="1:7" x14ac:dyDescent="0.25">
      <c r="A148" s="3">
        <v>45558</v>
      </c>
      <c r="B148" s="3">
        <v>45564</v>
      </c>
      <c r="C148" t="s">
        <v>377</v>
      </c>
      <c r="D148">
        <f>COUNTIFS('Исходник — лиды'!$H$2:$H$1037,"&gt;="&amp;A148,'Исходник — лиды'!$H$2:$H$1037,"&lt;"&amp;B148+1)</f>
        <v>6</v>
      </c>
      <c r="E148">
        <f>COUNTIFS('Исходник — лиды'!$H$2:$H$1037,"&gt;="&amp;A148,'Исходник — лиды'!$H$2:$H$1037,"&lt;"&amp;B148+1,'Исходник — лиды'!$C$2:$C$1037,"Качественный лид")</f>
        <v>5</v>
      </c>
      <c r="F148">
        <v>967</v>
      </c>
      <c r="G148" s="4">
        <f t="shared" si="2"/>
        <v>0.83333333333333337</v>
      </c>
    </row>
    <row r="149" spans="1:7" x14ac:dyDescent="0.25">
      <c r="A149" s="3">
        <v>45565</v>
      </c>
      <c r="B149" s="3">
        <v>45571</v>
      </c>
      <c r="C149" t="s">
        <v>378</v>
      </c>
      <c r="D149">
        <f>COUNTIFS('Исходник — лиды'!$H$2:$H$1037,"&gt;="&amp;A149,'Исходник — лиды'!$H$2:$H$1037,"&lt;"&amp;B149+1)</f>
        <v>5</v>
      </c>
      <c r="E149">
        <f>COUNTIFS('Исходник — лиды'!$H$2:$H$1037,"&gt;="&amp;A149,'Исходник — лиды'!$H$2:$H$1037,"&lt;"&amp;B149+1,'Исходник — лиды'!$C$2:$C$1037,"Качественный лид")</f>
        <v>5</v>
      </c>
      <c r="F149">
        <v>979</v>
      </c>
      <c r="G149" s="4">
        <f t="shared" si="2"/>
        <v>1</v>
      </c>
    </row>
    <row r="150" spans="1:7" x14ac:dyDescent="0.25">
      <c r="A150" s="3">
        <v>45572</v>
      </c>
      <c r="B150" s="3">
        <v>45578</v>
      </c>
      <c r="C150" t="s">
        <v>379</v>
      </c>
      <c r="D150">
        <f>COUNTIFS('Исходник — лиды'!$H$2:$H$1037,"&gt;="&amp;A150,'Исходник — лиды'!$H$2:$H$1037,"&lt;"&amp;B150+1)</f>
        <v>5</v>
      </c>
      <c r="E150">
        <f>COUNTIFS('Исходник — лиды'!$H$2:$H$1037,"&gt;="&amp;A150,'Исходник — лиды'!$H$2:$H$1037,"&lt;"&amp;B150+1,'Исходник — лиды'!$C$2:$C$1037,"Качественный лид")</f>
        <v>3</v>
      </c>
      <c r="F150">
        <v>893</v>
      </c>
      <c r="G150" s="4">
        <f t="shared" si="2"/>
        <v>0.6</v>
      </c>
    </row>
    <row r="151" spans="1:7" x14ac:dyDescent="0.25">
      <c r="A151" s="3">
        <v>45579</v>
      </c>
      <c r="B151" s="3">
        <v>45585</v>
      </c>
      <c r="C151" t="s">
        <v>380</v>
      </c>
      <c r="D151">
        <f>COUNTIFS('Исходник — лиды'!$H$2:$H$1037,"&gt;="&amp;A151,'Исходник — лиды'!$H$2:$H$1037,"&lt;"&amp;B151+1)</f>
        <v>3</v>
      </c>
      <c r="E151">
        <f>COUNTIFS('Исходник — лиды'!$H$2:$H$1037,"&gt;="&amp;A151,'Исходник — лиды'!$H$2:$H$1037,"&lt;"&amp;B151+1,'Исходник — лиды'!$C$2:$C$1037,"Качественный лид")</f>
        <v>2</v>
      </c>
      <c r="F151">
        <v>836</v>
      </c>
      <c r="G151" s="4">
        <f t="shared" si="2"/>
        <v>0.66666666666666663</v>
      </c>
    </row>
    <row r="152" spans="1:7" x14ac:dyDescent="0.25">
      <c r="A152" s="3">
        <v>45586</v>
      </c>
      <c r="B152" s="3">
        <v>45592</v>
      </c>
      <c r="C152" t="s">
        <v>381</v>
      </c>
      <c r="D152">
        <f>COUNTIFS('Исходник — лиды'!$H$2:$H$1037,"&gt;="&amp;A152,'Исходник — лиды'!$H$2:$H$1037,"&lt;"&amp;B152+1)</f>
        <v>4</v>
      </c>
      <c r="E152">
        <f>COUNTIFS('Исходник — лиды'!$H$2:$H$1037,"&gt;="&amp;A152,'Исходник — лиды'!$H$2:$H$1037,"&lt;"&amp;B152+1,'Исходник — лиды'!$C$2:$C$1037,"Качественный лид")</f>
        <v>3</v>
      </c>
      <c r="F152">
        <v>986</v>
      </c>
      <c r="G152" s="4">
        <f t="shared" si="2"/>
        <v>0.75</v>
      </c>
    </row>
    <row r="153" spans="1:7" x14ac:dyDescent="0.25">
      <c r="A153" s="3">
        <v>45593</v>
      </c>
      <c r="B153" s="3">
        <v>45599</v>
      </c>
      <c r="C153" t="s">
        <v>382</v>
      </c>
      <c r="D153">
        <f>COUNTIFS('Исходник — лиды'!$H$2:$H$1037,"&gt;="&amp;A153,'Исходник — лиды'!$H$2:$H$1037,"&lt;"&amp;B153+1)</f>
        <v>2</v>
      </c>
      <c r="E153">
        <f>COUNTIFS('Исходник — лиды'!$H$2:$H$1037,"&gt;="&amp;A153,'Исходник — лиды'!$H$2:$H$1037,"&lt;"&amp;B153+1,'Исходник — лиды'!$C$2:$C$1037,"Качественный лид")</f>
        <v>2</v>
      </c>
      <c r="F153">
        <v>869</v>
      </c>
      <c r="G153" s="4">
        <f t="shared" si="2"/>
        <v>1</v>
      </c>
    </row>
    <row r="154" spans="1:7" x14ac:dyDescent="0.25">
      <c r="A154" s="3">
        <v>45600</v>
      </c>
      <c r="B154" s="3">
        <v>45606</v>
      </c>
      <c r="C154" t="s">
        <v>383</v>
      </c>
      <c r="D154">
        <f>COUNTIFS('Исходник — лиды'!$H$2:$H$1037,"&gt;="&amp;A154,'Исходник — лиды'!$H$2:$H$1037,"&lt;"&amp;B154+1)</f>
        <v>3</v>
      </c>
      <c r="E154">
        <f>COUNTIFS('Исходник — лиды'!$H$2:$H$1037,"&gt;="&amp;A154,'Исходник — лиды'!$H$2:$H$1037,"&lt;"&amp;B154+1,'Исходник — лиды'!$C$2:$C$1037,"Качественный лид")</f>
        <v>2</v>
      </c>
      <c r="F154">
        <v>973</v>
      </c>
      <c r="G154" s="4">
        <f t="shared" si="2"/>
        <v>0.66666666666666663</v>
      </c>
    </row>
    <row r="155" spans="1:7" x14ac:dyDescent="0.25">
      <c r="A155" s="3">
        <v>45607</v>
      </c>
      <c r="B155" s="3">
        <v>45613</v>
      </c>
      <c r="C155" t="s">
        <v>384</v>
      </c>
      <c r="D155">
        <f>COUNTIFS('Исходник — лиды'!$H$2:$H$1037,"&gt;="&amp;A155,'Исходник — лиды'!$H$2:$H$1037,"&lt;"&amp;B155+1)</f>
        <v>2</v>
      </c>
      <c r="E155">
        <f>COUNTIFS('Исходник — лиды'!$H$2:$H$1037,"&gt;="&amp;A155,'Исходник — лиды'!$H$2:$H$1037,"&lt;"&amp;B155+1,'Исходник — лиды'!$C$2:$C$1037,"Качественный лид")</f>
        <v>2</v>
      </c>
      <c r="F155">
        <v>986</v>
      </c>
      <c r="G155" s="4">
        <f t="shared" si="2"/>
        <v>1</v>
      </c>
    </row>
    <row r="156" spans="1:7" x14ac:dyDescent="0.25">
      <c r="A156" s="3">
        <v>45614</v>
      </c>
      <c r="B156" s="3">
        <v>45620</v>
      </c>
      <c r="C156" t="s">
        <v>385</v>
      </c>
      <c r="D156">
        <f>COUNTIFS('Исходник — лиды'!$H$2:$H$1037,"&gt;="&amp;A156,'Исходник — лиды'!$H$2:$H$1037,"&lt;"&amp;B156+1)</f>
        <v>1</v>
      </c>
      <c r="E156">
        <f>COUNTIFS('Исходник — лиды'!$H$2:$H$1037,"&gt;="&amp;A156,'Исходник — лиды'!$H$2:$H$1037,"&lt;"&amp;B156+1,'Исходник — лиды'!$C$2:$C$1037,"Качественный лид")</f>
        <v>1</v>
      </c>
      <c r="F156">
        <v>929</v>
      </c>
      <c r="G156" s="4">
        <f t="shared" si="2"/>
        <v>1</v>
      </c>
    </row>
    <row r="157" spans="1:7" x14ac:dyDescent="0.25">
      <c r="A157" s="3">
        <v>45621</v>
      </c>
      <c r="B157" s="3">
        <v>45627</v>
      </c>
      <c r="C157" t="s">
        <v>386</v>
      </c>
      <c r="D157">
        <f>COUNTIFS('Исходник — лиды'!$H$2:$H$1037,"&gt;="&amp;A157,'Исходник — лиды'!$H$2:$H$1037,"&lt;"&amp;B157+1)</f>
        <v>9</v>
      </c>
      <c r="E157">
        <f>COUNTIFS('Исходник — лиды'!$H$2:$H$1037,"&gt;="&amp;A157,'Исходник — лиды'!$H$2:$H$1037,"&lt;"&amp;B157+1,'Исходник — лиды'!$C$2:$C$1037,"Качественный лид")</f>
        <v>8</v>
      </c>
      <c r="F157">
        <v>933</v>
      </c>
      <c r="G157" s="4">
        <f t="shared" si="2"/>
        <v>0.88888888888888884</v>
      </c>
    </row>
    <row r="158" spans="1:7" x14ac:dyDescent="0.25">
      <c r="A158" s="3">
        <v>45628</v>
      </c>
      <c r="B158" s="3">
        <v>45634</v>
      </c>
      <c r="C158" t="s">
        <v>387</v>
      </c>
      <c r="D158">
        <f>COUNTIFS('Исходник — лиды'!$H$2:$H$1037,"&gt;="&amp;A158,'Исходник — лиды'!$H$2:$H$1037,"&lt;"&amp;B158+1)</f>
        <v>4</v>
      </c>
      <c r="E158">
        <f>COUNTIFS('Исходник — лиды'!$H$2:$H$1037,"&gt;="&amp;A158,'Исходник — лиды'!$H$2:$H$1037,"&lt;"&amp;B158+1,'Исходник — лиды'!$C$2:$C$1037,"Качественный лид")</f>
        <v>4</v>
      </c>
      <c r="F158">
        <v>887</v>
      </c>
      <c r="G158" s="4">
        <f t="shared" si="2"/>
        <v>1</v>
      </c>
    </row>
    <row r="159" spans="1:7" x14ac:dyDescent="0.25">
      <c r="A159" s="3">
        <v>45635</v>
      </c>
      <c r="B159" s="3">
        <v>45641</v>
      </c>
      <c r="C159" t="s">
        <v>388</v>
      </c>
      <c r="D159">
        <f>COUNTIFS('Исходник — лиды'!$H$2:$H$1037,"&gt;="&amp;A159,'Исходник — лиды'!$H$2:$H$1037,"&lt;"&amp;B159+1)</f>
        <v>1</v>
      </c>
      <c r="E159">
        <f>COUNTIFS('Исходник — лиды'!$H$2:$H$1037,"&gt;="&amp;A159,'Исходник — лиды'!$H$2:$H$1037,"&lt;"&amp;B159+1,'Исходник — лиды'!$C$2:$C$1037,"Качественный лид")</f>
        <v>1</v>
      </c>
      <c r="F159">
        <v>881</v>
      </c>
      <c r="G159" s="4">
        <f t="shared" si="2"/>
        <v>1</v>
      </c>
    </row>
    <row r="160" spans="1:7" x14ac:dyDescent="0.25">
      <c r="A160" s="3">
        <v>45642</v>
      </c>
      <c r="B160" s="3">
        <v>45648</v>
      </c>
      <c r="C160" t="s">
        <v>389</v>
      </c>
      <c r="D160">
        <f>COUNTIFS('Исходник — лиды'!$H$2:$H$1037,"&gt;="&amp;A160,'Исходник — лиды'!$H$2:$H$1037,"&lt;"&amp;B160+1)</f>
        <v>4</v>
      </c>
      <c r="E160">
        <f>COUNTIFS('Исходник — лиды'!$H$2:$H$1037,"&gt;="&amp;A160,'Исходник — лиды'!$H$2:$H$1037,"&lt;"&amp;B160+1,'Исходник — лиды'!$C$2:$C$1037,"Качественный лид")</f>
        <v>4</v>
      </c>
      <c r="F160">
        <v>851</v>
      </c>
      <c r="G160" s="4">
        <f t="shared" si="2"/>
        <v>1</v>
      </c>
    </row>
    <row r="161" spans="1:7" x14ac:dyDescent="0.25">
      <c r="A161" s="3">
        <v>45649</v>
      </c>
      <c r="B161" s="3">
        <v>45655</v>
      </c>
      <c r="C161" t="s">
        <v>390</v>
      </c>
      <c r="D161">
        <f>COUNTIFS('Исходник — лиды'!$H$2:$H$1037,"&gt;="&amp;A161,'Исходник — лиды'!$H$2:$H$1037,"&lt;"&amp;B161+1)</f>
        <v>2</v>
      </c>
      <c r="E161">
        <f>COUNTIFS('Исходник — лиды'!$H$2:$H$1037,"&gt;="&amp;A161,'Исходник — лиды'!$H$2:$H$1037,"&lt;"&amp;B161+1,'Исходник — лиды'!$C$2:$C$1037,"Качественный лид")</f>
        <v>2</v>
      </c>
      <c r="F161">
        <v>779</v>
      </c>
      <c r="G161" s="4">
        <f t="shared" si="2"/>
        <v>1</v>
      </c>
    </row>
    <row r="162" spans="1:7" x14ac:dyDescent="0.25">
      <c r="A162" s="3">
        <v>45656</v>
      </c>
      <c r="B162" s="3">
        <v>45662</v>
      </c>
      <c r="C162" t="s">
        <v>391</v>
      </c>
      <c r="D162">
        <f>COUNTIFS('Исходник — лиды'!$H$2:$H$1037,"&gt;="&amp;A162,'Исходник — лиды'!$H$2:$H$1037,"&lt;"&amp;B162+1)</f>
        <v>1</v>
      </c>
      <c r="E162">
        <f>COUNTIFS('Исходник — лиды'!$H$2:$H$1037,"&gt;="&amp;A162,'Исходник — лиды'!$H$2:$H$1037,"&lt;"&amp;B162+1,'Исходник — лиды'!$C$2:$C$1037,"Качественный лид")</f>
        <v>1</v>
      </c>
      <c r="F162">
        <v>712</v>
      </c>
      <c r="G162" s="4">
        <f t="shared" si="2"/>
        <v>1</v>
      </c>
    </row>
    <row r="163" spans="1:7" x14ac:dyDescent="0.25">
      <c r="A163" s="3">
        <v>45663</v>
      </c>
      <c r="B163" s="3">
        <v>45669</v>
      </c>
      <c r="C163" t="s">
        <v>392</v>
      </c>
      <c r="D163">
        <f>COUNTIFS('Исходник — лиды'!$H$2:$H$1037,"&gt;="&amp;A163,'Исходник — лиды'!$H$2:$H$1037,"&lt;"&amp;B163+1)</f>
        <v>1</v>
      </c>
      <c r="E163">
        <f>COUNTIFS('Исходник — лиды'!$H$2:$H$1037,"&gt;="&amp;A163,'Исходник — лиды'!$H$2:$H$1037,"&lt;"&amp;B163+1,'Исходник — лиды'!$C$2:$C$1037,"Качественный лид")</f>
        <v>1</v>
      </c>
      <c r="F163">
        <v>909</v>
      </c>
      <c r="G163" s="4">
        <f t="shared" si="2"/>
        <v>1</v>
      </c>
    </row>
    <row r="164" spans="1:7" x14ac:dyDescent="0.25">
      <c r="A164" s="3">
        <v>45670</v>
      </c>
      <c r="B164" s="3">
        <v>45676</v>
      </c>
      <c r="C164" t="s">
        <v>393</v>
      </c>
      <c r="D164">
        <f>COUNTIFS('Исходник — лиды'!$H$2:$H$1037,"&gt;="&amp;A164,'Исходник — лиды'!$H$2:$H$1037,"&lt;"&amp;B164+1)</f>
        <v>6</v>
      </c>
      <c r="E164">
        <f>COUNTIFS('Исходник — лиды'!$H$2:$H$1037,"&gt;="&amp;A164,'Исходник — лиды'!$H$2:$H$1037,"&lt;"&amp;B164+1,'Исходник — лиды'!$C$2:$C$1037,"Качественный лид")</f>
        <v>6</v>
      </c>
      <c r="F164">
        <v>1007</v>
      </c>
      <c r="G164" s="4">
        <f t="shared" si="2"/>
        <v>1</v>
      </c>
    </row>
    <row r="165" spans="1:7" x14ac:dyDescent="0.25">
      <c r="A165" s="3">
        <v>45677</v>
      </c>
      <c r="B165" s="3">
        <v>45683</v>
      </c>
      <c r="C165" t="s">
        <v>394</v>
      </c>
      <c r="D165">
        <f>COUNTIFS('Исходник — лиды'!$H$2:$H$1037,"&gt;="&amp;A165,'Исходник — лиды'!$H$2:$H$1037,"&lt;"&amp;B165+1)</f>
        <v>0</v>
      </c>
      <c r="E165">
        <f>COUNTIFS('Исходник — лиды'!$H$2:$H$1037,"&gt;="&amp;A165,'Исходник — лиды'!$H$2:$H$1037,"&lt;"&amp;B165+1,'Исходник — лиды'!$C$2:$C$1037,"Качественный лид")</f>
        <v>0</v>
      </c>
      <c r="F165">
        <v>981</v>
      </c>
      <c r="G165" s="4">
        <f t="shared" si="2"/>
        <v>0</v>
      </c>
    </row>
    <row r="166" spans="1:7" x14ac:dyDescent="0.25">
      <c r="A166" s="3">
        <v>45684</v>
      </c>
      <c r="B166" s="3">
        <v>45690</v>
      </c>
      <c r="C166" t="s">
        <v>395</v>
      </c>
      <c r="D166">
        <f>COUNTIFS('Исходник — лиды'!$H$2:$H$1037,"&gt;="&amp;A166,'Исходник — лиды'!$H$2:$H$1037,"&lt;"&amp;B166+1)</f>
        <v>3</v>
      </c>
      <c r="E166">
        <f>COUNTIFS('Исходник — лиды'!$H$2:$H$1037,"&gt;="&amp;A166,'Исходник — лиды'!$H$2:$H$1037,"&lt;"&amp;B166+1,'Исходник — лиды'!$C$2:$C$1037,"Качественный лид")</f>
        <v>3</v>
      </c>
      <c r="F166">
        <v>1200</v>
      </c>
      <c r="G166" s="4">
        <f t="shared" si="2"/>
        <v>1</v>
      </c>
    </row>
    <row r="167" spans="1:7" x14ac:dyDescent="0.25">
      <c r="A167" s="3">
        <v>45691</v>
      </c>
      <c r="B167" s="3">
        <v>45697</v>
      </c>
      <c r="C167" t="s">
        <v>396</v>
      </c>
      <c r="D167">
        <f>COUNTIFS('Исходник — лиды'!$H$2:$H$1037,"&gt;="&amp;A167,'Исходник — лиды'!$H$2:$H$1037,"&lt;"&amp;B167+1)</f>
        <v>1</v>
      </c>
      <c r="E167">
        <f>COUNTIFS('Исходник — лиды'!$H$2:$H$1037,"&gt;="&amp;A167,'Исходник — лиды'!$H$2:$H$1037,"&lt;"&amp;B167+1,'Исходник — лиды'!$C$2:$C$1037,"Качественный лид")</f>
        <v>1</v>
      </c>
      <c r="F167">
        <v>1160</v>
      </c>
      <c r="G167" s="4">
        <f t="shared" si="2"/>
        <v>1</v>
      </c>
    </row>
    <row r="168" spans="1:7" x14ac:dyDescent="0.25">
      <c r="A168" s="3">
        <v>45698</v>
      </c>
      <c r="B168" s="3">
        <v>45704</v>
      </c>
      <c r="C168" t="s">
        <v>397</v>
      </c>
      <c r="D168">
        <f>COUNTIFS('Исходник — лиды'!$H$2:$H$1037,"&gt;="&amp;A168,'Исходник — лиды'!$H$2:$H$1037,"&lt;"&amp;B168+1)</f>
        <v>1</v>
      </c>
      <c r="E168">
        <f>COUNTIFS('Исходник — лиды'!$H$2:$H$1037,"&gt;="&amp;A168,'Исходник — лиды'!$H$2:$H$1037,"&lt;"&amp;B168+1,'Исходник — лиды'!$C$2:$C$1037,"Качественный лид")</f>
        <v>1</v>
      </c>
      <c r="F168">
        <v>855</v>
      </c>
      <c r="G168" s="4">
        <f t="shared" si="2"/>
        <v>1</v>
      </c>
    </row>
    <row r="169" spans="1:7" x14ac:dyDescent="0.25">
      <c r="A169" s="3">
        <v>45705</v>
      </c>
      <c r="B169" s="3">
        <v>45711</v>
      </c>
      <c r="C169" t="s">
        <v>398</v>
      </c>
      <c r="D169">
        <f>COUNTIFS('Исходник — лиды'!$H$2:$H$1037,"&gt;="&amp;A169,'Исходник — лиды'!$H$2:$H$1037,"&lt;"&amp;B169+1)</f>
        <v>4</v>
      </c>
      <c r="E169">
        <f>COUNTIFS('Исходник — лиды'!$H$2:$H$1037,"&gt;="&amp;A169,'Исходник — лиды'!$H$2:$H$1037,"&lt;"&amp;B169+1,'Исходник — лиды'!$C$2:$C$1037,"Качественный лид")</f>
        <v>4</v>
      </c>
      <c r="F169">
        <v>884</v>
      </c>
      <c r="G169" s="4">
        <f t="shared" si="2"/>
        <v>1</v>
      </c>
    </row>
    <row r="170" spans="1:7" x14ac:dyDescent="0.25">
      <c r="A170" s="3">
        <v>45712</v>
      </c>
      <c r="B170" s="3">
        <v>45718</v>
      </c>
      <c r="C170" t="s">
        <v>399</v>
      </c>
      <c r="D170">
        <f>COUNTIFS('Исходник — лиды'!$H$2:$H$1037,"&gt;="&amp;A170,'Исходник — лиды'!$H$2:$H$1037,"&lt;"&amp;B170+1)</f>
        <v>2</v>
      </c>
      <c r="E170">
        <f>COUNTIFS('Исходник — лиды'!$H$2:$H$1037,"&gt;="&amp;A170,'Исходник — лиды'!$H$2:$H$1037,"&lt;"&amp;B170+1,'Исходник — лиды'!$C$2:$C$1037,"Качественный лид")</f>
        <v>2</v>
      </c>
      <c r="F170">
        <v>843</v>
      </c>
      <c r="G170" s="4">
        <f t="shared" si="2"/>
        <v>1</v>
      </c>
    </row>
    <row r="171" spans="1:7" x14ac:dyDescent="0.25">
      <c r="A171" s="3">
        <v>45719</v>
      </c>
      <c r="B171" s="3">
        <v>45725</v>
      </c>
      <c r="C171" t="s">
        <v>400</v>
      </c>
      <c r="D171">
        <f>COUNTIFS('Исходник — лиды'!$H$2:$H$1037,"&gt;="&amp;A171,'Исходник — лиды'!$H$2:$H$1037,"&lt;"&amp;B171+1)</f>
        <v>2</v>
      </c>
      <c r="E171">
        <f>COUNTIFS('Исходник — лиды'!$H$2:$H$1037,"&gt;="&amp;A171,'Исходник — лиды'!$H$2:$H$1037,"&lt;"&amp;B171+1,'Исходник — лиды'!$C$2:$C$1037,"Качественный лид")</f>
        <v>2</v>
      </c>
      <c r="F171">
        <v>741</v>
      </c>
      <c r="G171" s="4">
        <f t="shared" si="2"/>
        <v>1</v>
      </c>
    </row>
    <row r="172" spans="1:7" x14ac:dyDescent="0.25">
      <c r="A172" s="3">
        <v>45726</v>
      </c>
      <c r="B172" s="3">
        <v>45732</v>
      </c>
      <c r="C172" t="s">
        <v>401</v>
      </c>
      <c r="D172">
        <f>COUNTIFS('Исходник — лиды'!$H$2:$H$1037,"&gt;="&amp;A172,'Исходник — лиды'!$H$2:$H$1037,"&lt;"&amp;B172+1)</f>
        <v>2</v>
      </c>
      <c r="E172">
        <f>COUNTIFS('Исходник — лиды'!$H$2:$H$1037,"&gt;="&amp;A172,'Исходник — лиды'!$H$2:$H$1037,"&lt;"&amp;B172+1,'Исходник — лиды'!$C$2:$C$1037,"Качественный лид")</f>
        <v>2</v>
      </c>
      <c r="F172">
        <v>991</v>
      </c>
      <c r="G172" s="4">
        <f t="shared" si="2"/>
        <v>1</v>
      </c>
    </row>
    <row r="173" spans="1:7" x14ac:dyDescent="0.25">
      <c r="A173" s="3">
        <v>45733</v>
      </c>
      <c r="B173" s="3">
        <v>45739</v>
      </c>
      <c r="C173" t="s">
        <v>402</v>
      </c>
      <c r="D173">
        <f>COUNTIFS('Исходник — лиды'!$H$2:$H$1037,"&gt;="&amp;A173,'Исходник — лиды'!$H$2:$H$1037,"&lt;"&amp;B173+1)</f>
        <v>1</v>
      </c>
      <c r="E173">
        <f>COUNTIFS('Исходник — лиды'!$H$2:$H$1037,"&gt;="&amp;A173,'Исходник — лиды'!$H$2:$H$1037,"&lt;"&amp;B173+1,'Исходник — лиды'!$C$2:$C$1037,"Качественный лид")</f>
        <v>1</v>
      </c>
      <c r="F173">
        <v>992</v>
      </c>
      <c r="G173" s="4">
        <f t="shared" si="2"/>
        <v>1</v>
      </c>
    </row>
    <row r="174" spans="1:7" x14ac:dyDescent="0.25">
      <c r="A174" s="3">
        <v>45740</v>
      </c>
      <c r="B174" s="3">
        <v>45746</v>
      </c>
      <c r="C174" t="s">
        <v>403</v>
      </c>
      <c r="D174">
        <f>COUNTIFS('Исходник — лиды'!$H$2:$H$1037,"&gt;="&amp;A174,'Исходник — лиды'!$H$2:$H$1037,"&lt;"&amp;B174+1)</f>
        <v>4</v>
      </c>
      <c r="E174">
        <f>COUNTIFS('Исходник — лиды'!$H$2:$H$1037,"&gt;="&amp;A174,'Исходник — лиды'!$H$2:$H$1037,"&lt;"&amp;B174+1,'Исходник — лиды'!$C$2:$C$1037,"Качественный лид")</f>
        <v>4</v>
      </c>
      <c r="F174">
        <v>1011</v>
      </c>
      <c r="G174" s="4">
        <f t="shared" si="2"/>
        <v>1</v>
      </c>
    </row>
    <row r="175" spans="1:7" x14ac:dyDescent="0.25">
      <c r="A175" s="3">
        <v>45747</v>
      </c>
      <c r="B175" s="3">
        <v>45753</v>
      </c>
      <c r="C175" t="s">
        <v>404</v>
      </c>
      <c r="D175">
        <f>COUNTIFS('Исходник — лиды'!$H$2:$H$1037,"&gt;="&amp;A175,'Исходник — лиды'!$H$2:$H$1037,"&lt;"&amp;B175+1)</f>
        <v>2</v>
      </c>
      <c r="E175">
        <f>COUNTIFS('Исходник — лиды'!$H$2:$H$1037,"&gt;="&amp;A175,'Исходник — лиды'!$H$2:$H$1037,"&lt;"&amp;B175+1,'Исходник — лиды'!$C$2:$C$1037,"Качественный лид")</f>
        <v>2</v>
      </c>
      <c r="F175">
        <v>966</v>
      </c>
      <c r="G175" s="4">
        <f t="shared" si="2"/>
        <v>1</v>
      </c>
    </row>
    <row r="176" spans="1:7" x14ac:dyDescent="0.25">
      <c r="A176" s="3">
        <v>45754</v>
      </c>
      <c r="B176" s="3">
        <v>45760</v>
      </c>
      <c r="C176" t="s">
        <v>405</v>
      </c>
      <c r="D176">
        <f>COUNTIFS('Исходник — лиды'!$H$2:$H$1037,"&gt;="&amp;A176,'Исходник — лиды'!$H$2:$H$1037,"&lt;"&amp;B176+1)</f>
        <v>2</v>
      </c>
      <c r="E176">
        <f>COUNTIFS('Исходник — лиды'!$H$2:$H$1037,"&gt;="&amp;A176,'Исходник — лиды'!$H$2:$H$1037,"&lt;"&amp;B176+1,'Исходник — лиды'!$C$2:$C$1037,"Качественный лид")</f>
        <v>2</v>
      </c>
      <c r="F176">
        <v>1078</v>
      </c>
      <c r="G176" s="4">
        <f t="shared" si="2"/>
        <v>1</v>
      </c>
    </row>
    <row r="177" spans="1:7" x14ac:dyDescent="0.25">
      <c r="A177" s="3">
        <v>45761</v>
      </c>
      <c r="B177" s="3">
        <v>45767</v>
      </c>
      <c r="C177" t="s">
        <v>406</v>
      </c>
      <c r="D177">
        <f>COUNTIFS('Исходник — лиды'!$H$2:$H$1037,"&gt;="&amp;A177,'Исходник — лиды'!$H$2:$H$1037,"&lt;"&amp;B177+1)</f>
        <v>3</v>
      </c>
      <c r="E177">
        <f>COUNTIFS('Исходник — лиды'!$H$2:$H$1037,"&gt;="&amp;A177,'Исходник — лиды'!$H$2:$H$1037,"&lt;"&amp;B177+1,'Исходник — лиды'!$C$2:$C$1037,"Качественный лид")</f>
        <v>3</v>
      </c>
      <c r="F177">
        <v>878</v>
      </c>
      <c r="G177" s="4">
        <f t="shared" si="2"/>
        <v>1</v>
      </c>
    </row>
    <row r="178" spans="1:7" x14ac:dyDescent="0.25">
      <c r="A178" s="3">
        <v>45768</v>
      </c>
      <c r="B178" s="3">
        <v>45774</v>
      </c>
      <c r="C178" t="s">
        <v>407</v>
      </c>
      <c r="D178">
        <f>COUNTIFS('Исходник — лиды'!$H$2:$H$1037,"&gt;="&amp;A178,'Исходник — лиды'!$H$2:$H$1037,"&lt;"&amp;B178+1)</f>
        <v>3</v>
      </c>
      <c r="E178">
        <f>COUNTIFS('Исходник — лиды'!$H$2:$H$1037,"&gt;="&amp;A178,'Исходник — лиды'!$H$2:$H$1037,"&lt;"&amp;B178+1,'Исходник — лиды'!$C$2:$C$1037,"Качественный лид")</f>
        <v>3</v>
      </c>
      <c r="F178">
        <v>924</v>
      </c>
      <c r="G178" s="4">
        <f t="shared" si="2"/>
        <v>1</v>
      </c>
    </row>
    <row r="179" spans="1:7" x14ac:dyDescent="0.25">
      <c r="A179" s="3">
        <v>45775</v>
      </c>
      <c r="B179" s="3">
        <v>45781</v>
      </c>
      <c r="C179" t="s">
        <v>408</v>
      </c>
      <c r="D179">
        <f>COUNTIFS('Исходник — лиды'!$H$2:$H$1037,"&gt;="&amp;A179,'Исходник — лиды'!$H$2:$H$1037,"&lt;"&amp;B179+1)</f>
        <v>3</v>
      </c>
      <c r="E179">
        <f>COUNTIFS('Исходник — лиды'!$H$2:$H$1037,"&gt;="&amp;A179,'Исходник — лиды'!$H$2:$H$1037,"&lt;"&amp;B179+1,'Исходник — лиды'!$C$2:$C$1037,"Качественный лид")</f>
        <v>3</v>
      </c>
      <c r="F179">
        <v>932</v>
      </c>
      <c r="G179" s="4">
        <f t="shared" si="2"/>
        <v>1</v>
      </c>
    </row>
    <row r="180" spans="1:7" x14ac:dyDescent="0.25">
      <c r="A180" s="3">
        <v>45782</v>
      </c>
      <c r="B180" s="3">
        <v>45788</v>
      </c>
      <c r="C180" t="s">
        <v>409</v>
      </c>
      <c r="D180">
        <f>COUNTIFS('Исходник — лиды'!$H$2:$H$1037,"&gt;="&amp;A180,'Исходник — лиды'!$H$2:$H$1037,"&lt;"&amp;B180+1)</f>
        <v>2</v>
      </c>
      <c r="E180">
        <f>COUNTIFS('Исходник — лиды'!$H$2:$H$1037,"&gt;="&amp;A180,'Исходник — лиды'!$H$2:$H$1037,"&lt;"&amp;B180+1,'Исходник — лиды'!$C$2:$C$1037,"Качественный лид")</f>
        <v>2</v>
      </c>
      <c r="F180">
        <v>845</v>
      </c>
      <c r="G180" s="4">
        <f t="shared" si="2"/>
        <v>1</v>
      </c>
    </row>
    <row r="181" spans="1:7" x14ac:dyDescent="0.25">
      <c r="A181" s="3">
        <v>45789</v>
      </c>
      <c r="B181" s="3">
        <v>45795</v>
      </c>
      <c r="C181" t="s">
        <v>410</v>
      </c>
      <c r="D181">
        <f>COUNTIFS('Исходник — лиды'!$H$2:$H$1037,"&gt;="&amp;A181,'Исходник — лиды'!$H$2:$H$1037,"&lt;"&amp;B181+1)</f>
        <v>5</v>
      </c>
      <c r="E181">
        <f>COUNTIFS('Исходник — лиды'!$H$2:$H$1037,"&gt;="&amp;A181,'Исходник — лиды'!$H$2:$H$1037,"&lt;"&amp;B181+1,'Исходник — лиды'!$C$2:$C$1037,"Качественный лид")</f>
        <v>5</v>
      </c>
      <c r="F181">
        <v>1013</v>
      </c>
      <c r="G181" s="4">
        <f t="shared" si="2"/>
        <v>1</v>
      </c>
    </row>
    <row r="182" spans="1:7" x14ac:dyDescent="0.25">
      <c r="A182" s="3">
        <v>45796</v>
      </c>
      <c r="B182" s="3">
        <v>45802</v>
      </c>
      <c r="C182" t="s">
        <v>411</v>
      </c>
      <c r="D182">
        <f>COUNTIFS('Исходник — лиды'!$H$2:$H$1037,"&gt;="&amp;A182,'Исходник — лиды'!$H$2:$H$1037,"&lt;"&amp;B182+1)</f>
        <v>1</v>
      </c>
      <c r="E182">
        <f>COUNTIFS('Исходник — лиды'!$H$2:$H$1037,"&gt;="&amp;A182,'Исходник — лиды'!$H$2:$H$1037,"&lt;"&amp;B182+1,'Исходник — лиды'!$C$2:$C$1037,"Качественный лид")</f>
        <v>1</v>
      </c>
      <c r="F182">
        <v>863</v>
      </c>
      <c r="G182" s="4">
        <f t="shared" si="2"/>
        <v>1</v>
      </c>
    </row>
    <row r="183" spans="1:7" x14ac:dyDescent="0.25">
      <c r="A183" s="3">
        <v>45803</v>
      </c>
      <c r="B183" s="3">
        <v>45809</v>
      </c>
      <c r="C183" t="s">
        <v>412</v>
      </c>
      <c r="D183">
        <f>COUNTIFS('Исходник — лиды'!$H$2:$H$1037,"&gt;="&amp;A183,'Исходник — лиды'!$H$2:$H$1037,"&lt;"&amp;B183+1)</f>
        <v>1</v>
      </c>
      <c r="E183">
        <f>COUNTIFS('Исходник — лиды'!$H$2:$H$1037,"&gt;="&amp;A183,'Исходник — лиды'!$H$2:$H$1037,"&lt;"&amp;B183+1,'Исходник — лиды'!$C$2:$C$1037,"Качественный лид")</f>
        <v>1</v>
      </c>
      <c r="F183">
        <v>711</v>
      </c>
      <c r="G183" s="4">
        <f t="shared" si="2"/>
        <v>1</v>
      </c>
    </row>
    <row r="184" spans="1:7" x14ac:dyDescent="0.25">
      <c r="A184" s="3">
        <v>45810</v>
      </c>
      <c r="B184" s="3">
        <v>45816</v>
      </c>
      <c r="C184" t="s">
        <v>413</v>
      </c>
      <c r="D184">
        <f>COUNTIFS('Исходник — лиды'!$H$2:$H$1037,"&gt;="&amp;A184,'Исходник — лиды'!$H$2:$H$1037,"&lt;"&amp;B184+1)</f>
        <v>1</v>
      </c>
      <c r="E184">
        <f>COUNTIFS('Исходник — лиды'!$H$2:$H$1037,"&gt;="&amp;A184,'Исходник — лиды'!$H$2:$H$1037,"&lt;"&amp;B184+1,'Исходник — лиды'!$C$2:$C$1037,"Качественный лид")</f>
        <v>1</v>
      </c>
      <c r="F184">
        <v>810</v>
      </c>
      <c r="G184" s="4">
        <f t="shared" si="2"/>
        <v>1</v>
      </c>
    </row>
    <row r="185" spans="1:7" x14ac:dyDescent="0.25">
      <c r="A185" s="3">
        <v>45817</v>
      </c>
      <c r="B185" s="3">
        <v>45823</v>
      </c>
      <c r="C185" t="s">
        <v>414</v>
      </c>
      <c r="D185">
        <f>COUNTIFS('Исходник — лиды'!$H$2:$H$1037,"&gt;="&amp;A185,'Исходник — лиды'!$H$2:$H$1037,"&lt;"&amp;B185+1)</f>
        <v>0</v>
      </c>
      <c r="E185">
        <f>COUNTIFS('Исходник — лиды'!$H$2:$H$1037,"&gt;="&amp;A185,'Исходник — лиды'!$H$2:$H$1037,"&lt;"&amp;B185+1,'Исходник — лиды'!$C$2:$C$1037,"Качественный лид")</f>
        <v>0</v>
      </c>
      <c r="F185">
        <v>609</v>
      </c>
      <c r="G185" s="4">
        <f t="shared" si="2"/>
        <v>0</v>
      </c>
    </row>
    <row r="186" spans="1:7" x14ac:dyDescent="0.25">
      <c r="A186" s="3">
        <v>45824</v>
      </c>
      <c r="B186" s="3">
        <v>45830</v>
      </c>
      <c r="C186" t="s">
        <v>415</v>
      </c>
      <c r="D186">
        <f>COUNTIFS('Исходник — лиды'!$H$2:$H$1037,"&gt;="&amp;A186,'Исходник — лиды'!$H$2:$H$1037,"&lt;"&amp;B186+1)</f>
        <v>2</v>
      </c>
      <c r="E186">
        <f>COUNTIFS('Исходник — лиды'!$H$2:$H$1037,"&gt;="&amp;A186,'Исходник — лиды'!$H$2:$H$1037,"&lt;"&amp;B186+1,'Исходник — лиды'!$C$2:$C$1037,"Качественный лид")</f>
        <v>2</v>
      </c>
      <c r="F186">
        <v>831</v>
      </c>
      <c r="G186" s="4">
        <f t="shared" si="2"/>
        <v>1</v>
      </c>
    </row>
    <row r="187" spans="1:7" x14ac:dyDescent="0.25">
      <c r="A187" s="3">
        <v>45831</v>
      </c>
      <c r="B187" s="3">
        <v>45837</v>
      </c>
      <c r="C187" t="s">
        <v>416</v>
      </c>
      <c r="D187">
        <f>COUNTIFS('Исходник — лиды'!$H$2:$H$1037,"&gt;="&amp;A187,'Исходник — лиды'!$H$2:$H$1037,"&lt;"&amp;B187+1)</f>
        <v>3</v>
      </c>
      <c r="E187">
        <f>COUNTIFS('Исходник — лиды'!$H$2:$H$1037,"&gt;="&amp;A187,'Исходник — лиды'!$H$2:$H$1037,"&lt;"&amp;B187+1,'Исходник — лиды'!$C$2:$C$1037,"Качественный лид")</f>
        <v>3</v>
      </c>
      <c r="F187">
        <v>930</v>
      </c>
      <c r="G187" s="4">
        <f t="shared" si="2"/>
        <v>1</v>
      </c>
    </row>
    <row r="188" spans="1:7" x14ac:dyDescent="0.25">
      <c r="A188" s="3">
        <v>45838</v>
      </c>
      <c r="B188" s="3">
        <v>45844</v>
      </c>
      <c r="C188" t="s">
        <v>417</v>
      </c>
      <c r="D188">
        <f>COUNTIFS('Исходник — лиды'!$H$2:$H$1037,"&gt;="&amp;A188,'Исходник — лиды'!$H$2:$H$1037,"&lt;"&amp;B188+1)</f>
        <v>2</v>
      </c>
      <c r="E188">
        <f>COUNTIFS('Исходник — лиды'!$H$2:$H$1037,"&gt;="&amp;A188,'Исходник — лиды'!$H$2:$H$1037,"&lt;"&amp;B188+1,'Исходник — лиды'!$C$2:$C$1037,"Качественный лид")</f>
        <v>2</v>
      </c>
      <c r="F188">
        <v>954</v>
      </c>
      <c r="G188" s="4">
        <f t="shared" si="2"/>
        <v>1</v>
      </c>
    </row>
    <row r="189" spans="1:7" x14ac:dyDescent="0.25">
      <c r="A189" s="3">
        <v>45845</v>
      </c>
      <c r="B189" s="3">
        <v>45851</v>
      </c>
      <c r="C189" t="s">
        <v>418</v>
      </c>
      <c r="D189">
        <f>COUNTIFS('Исходник — лиды'!$H$2:$H$1037,"&gt;="&amp;A189,'Исходник — лиды'!$H$2:$H$1037,"&lt;"&amp;B189+1)</f>
        <v>1</v>
      </c>
      <c r="E189">
        <f>COUNTIFS('Исходник — лиды'!$H$2:$H$1037,"&gt;="&amp;A189,'Исходник — лиды'!$H$2:$H$1037,"&lt;"&amp;B189+1,'Исходник — лиды'!$C$2:$C$1037,"Качественный лид")</f>
        <v>1</v>
      </c>
      <c r="F189">
        <v>926</v>
      </c>
      <c r="G189" s="4">
        <f t="shared" si="2"/>
        <v>1</v>
      </c>
    </row>
    <row r="190" spans="1:7" x14ac:dyDescent="0.25">
      <c r="A190" s="3">
        <v>45852</v>
      </c>
      <c r="B190" s="3">
        <v>45858</v>
      </c>
      <c r="C190" t="s">
        <v>419</v>
      </c>
      <c r="D190">
        <f>COUNTIFS('Исходник — лиды'!$H$2:$H$1037,"&gt;="&amp;A190,'Исходник — лиды'!$H$2:$H$1037,"&lt;"&amp;B190+1)</f>
        <v>2</v>
      </c>
      <c r="E190">
        <f>COUNTIFS('Исходник — лиды'!$H$2:$H$1037,"&gt;="&amp;A190,'Исходник — лиды'!$H$2:$H$1037,"&lt;"&amp;B190+1,'Исходник — лиды'!$C$2:$C$1037,"Качественный лид")</f>
        <v>2</v>
      </c>
      <c r="F190">
        <v>776</v>
      </c>
      <c r="G190" s="4">
        <f t="shared" si="2"/>
        <v>1</v>
      </c>
    </row>
    <row r="191" spans="1:7" x14ac:dyDescent="0.25">
      <c r="A191" s="3">
        <v>45859</v>
      </c>
      <c r="B191" s="3">
        <v>45865</v>
      </c>
      <c r="C191" t="s">
        <v>420</v>
      </c>
      <c r="D191">
        <f>COUNTIFS('Исходник — лиды'!$H$2:$H$1037,"&gt;="&amp;A191,'Исходник — лиды'!$H$2:$H$1037,"&lt;"&amp;B191+1)</f>
        <v>0</v>
      </c>
      <c r="E191">
        <f>COUNTIFS('Исходник — лиды'!$H$2:$H$1037,"&gt;="&amp;A191,'Исходник — лиды'!$H$2:$H$1037,"&lt;"&amp;B191+1,'Исходник — лиды'!$C$2:$C$1037,"Качественный лид")</f>
        <v>0</v>
      </c>
      <c r="F191">
        <v>823</v>
      </c>
      <c r="G191" s="4">
        <f t="shared" si="2"/>
        <v>0</v>
      </c>
    </row>
    <row r="192" spans="1:7" x14ac:dyDescent="0.25">
      <c r="A192" s="3">
        <v>45866</v>
      </c>
      <c r="B192" s="3">
        <v>45872</v>
      </c>
      <c r="C192" t="s">
        <v>421</v>
      </c>
      <c r="D192">
        <f>COUNTIFS('Исходник — лиды'!$H$2:$H$1037,"&gt;="&amp;A192,'Исходник — лиды'!$H$2:$H$1037,"&lt;"&amp;B192+1)</f>
        <v>1</v>
      </c>
      <c r="E192">
        <f>COUNTIFS('Исходник — лиды'!$H$2:$H$1037,"&gt;="&amp;A192,'Исходник — лиды'!$H$2:$H$1037,"&lt;"&amp;B192+1,'Исходник — лиды'!$C$2:$C$1037,"Качественный лид")</f>
        <v>1</v>
      </c>
      <c r="F192">
        <v>760</v>
      </c>
      <c r="G192" s="4">
        <f t="shared" si="2"/>
        <v>1</v>
      </c>
    </row>
    <row r="193" spans="1:7" x14ac:dyDescent="0.25">
      <c r="A193" s="3">
        <v>45873</v>
      </c>
      <c r="B193" s="3">
        <v>45879</v>
      </c>
      <c r="C193" t="s">
        <v>422</v>
      </c>
      <c r="D193">
        <f>COUNTIFS('Исходник — лиды'!$H$2:$H$1037,"&gt;="&amp;A193,'Исходник — лиды'!$H$2:$H$1037,"&lt;"&amp;B193+1)</f>
        <v>2</v>
      </c>
      <c r="E193">
        <f>COUNTIFS('Исходник — лиды'!$H$2:$H$1037,"&gt;="&amp;A193,'Исходник — лиды'!$H$2:$H$1037,"&lt;"&amp;B193+1,'Исходник — лиды'!$C$2:$C$1037,"Качественный лид")</f>
        <v>2</v>
      </c>
      <c r="F193">
        <v>736</v>
      </c>
      <c r="G193" s="4">
        <f t="shared" si="2"/>
        <v>1</v>
      </c>
    </row>
    <row r="194" spans="1:7" x14ac:dyDescent="0.25">
      <c r="A194" s="3">
        <v>45880</v>
      </c>
      <c r="B194" s="3">
        <v>45886</v>
      </c>
      <c r="C194" t="s">
        <v>423</v>
      </c>
      <c r="D194">
        <f>COUNTIFS('Исходник — лиды'!$H$2:$H$1037,"&gt;="&amp;A194,'Исходник — лиды'!$H$2:$H$1037,"&lt;"&amp;B194+1)</f>
        <v>1</v>
      </c>
      <c r="E194">
        <f>COUNTIFS('Исходник — лиды'!$H$2:$H$1037,"&gt;="&amp;A194,'Исходник — лиды'!$H$2:$H$1037,"&lt;"&amp;B194+1,'Исходник — лиды'!$C$2:$C$1037,"Качественный лид")</f>
        <v>1</v>
      </c>
      <c r="F194">
        <v>796</v>
      </c>
      <c r="G194" s="4">
        <f t="shared" si="2"/>
        <v>1</v>
      </c>
    </row>
    <row r="195" spans="1:7" x14ac:dyDescent="0.25">
      <c r="A195" s="3">
        <v>45887</v>
      </c>
      <c r="B195" s="3">
        <v>45893</v>
      </c>
      <c r="C195" t="s">
        <v>424</v>
      </c>
      <c r="D195">
        <f>COUNTIFS('Исходник — лиды'!$H$2:$H$1037,"&gt;="&amp;A195,'Исходник — лиды'!$H$2:$H$1037,"&lt;"&amp;B195+1)</f>
        <v>0</v>
      </c>
      <c r="E195">
        <f>COUNTIFS('Исходник — лиды'!$H$2:$H$1037,"&gt;="&amp;A195,'Исходник — лиды'!$H$2:$H$1037,"&lt;"&amp;B195+1,'Исходник — лиды'!$C$2:$C$1037,"Качественный лид")</f>
        <v>0</v>
      </c>
      <c r="F195">
        <v>818</v>
      </c>
      <c r="G195" s="4">
        <f t="shared" si="2"/>
        <v>0</v>
      </c>
    </row>
    <row r="196" spans="1:7" x14ac:dyDescent="0.25">
      <c r="A196" s="3">
        <v>45894</v>
      </c>
      <c r="B196" s="3">
        <v>45900</v>
      </c>
      <c r="C196" t="s">
        <v>425</v>
      </c>
      <c r="D196">
        <f>COUNTIFS('Исходник — лиды'!$H$2:$H$1037,"&gt;="&amp;A196,'Исходник — лиды'!$H$2:$H$1037,"&lt;"&amp;B196+1)</f>
        <v>2</v>
      </c>
      <c r="E196">
        <f>COUNTIFS('Исходник — лиды'!$H$2:$H$1037,"&gt;="&amp;A196,'Исходник — лиды'!$H$2:$H$1037,"&lt;"&amp;B196+1,'Исходник — лиды'!$C$2:$C$1037,"Качественный лид")</f>
        <v>1</v>
      </c>
      <c r="F196">
        <v>737</v>
      </c>
      <c r="G196" s="4">
        <f t="shared" si="2"/>
        <v>0.5</v>
      </c>
    </row>
    <row r="197" spans="1:7" x14ac:dyDescent="0.25">
      <c r="A197" s="3">
        <v>45901</v>
      </c>
      <c r="B197" s="3">
        <v>45907</v>
      </c>
      <c r="C197" t="s">
        <v>426</v>
      </c>
      <c r="D197">
        <f>COUNTIFS('Исходник — лиды'!$H$2:$H$1037,"&gt;="&amp;A197,'Исходник — лиды'!$H$2:$H$1037,"&lt;"&amp;B197+1)</f>
        <v>3</v>
      </c>
      <c r="E197">
        <f>COUNTIFS('Исходник — лиды'!$H$2:$H$1037,"&gt;="&amp;A197,'Исходник — лиды'!$H$2:$H$1037,"&lt;"&amp;B197+1,'Исходник — лиды'!$C$2:$C$1037,"Качественный лид")</f>
        <v>3</v>
      </c>
      <c r="F197">
        <v>774</v>
      </c>
      <c r="G197" s="4">
        <f t="shared" ref="G197:G241" si="3">IFERROR(E197/D197,0)</f>
        <v>1</v>
      </c>
    </row>
    <row r="198" spans="1:7" x14ac:dyDescent="0.25">
      <c r="A198" s="3">
        <v>45908</v>
      </c>
      <c r="B198" s="3">
        <v>45914</v>
      </c>
      <c r="C198" t="s">
        <v>427</v>
      </c>
      <c r="D198">
        <f>COUNTIFS('Исходник — лиды'!$H$2:$H$1037,"&gt;="&amp;A198,'Исходник — лиды'!$H$2:$H$1037,"&lt;"&amp;B198+1)</f>
        <v>1</v>
      </c>
      <c r="E198">
        <f>COUNTIFS('Исходник — лиды'!$H$2:$H$1037,"&gt;="&amp;A198,'Исходник — лиды'!$H$2:$H$1037,"&lt;"&amp;B198+1,'Исходник — лиды'!$C$2:$C$1037,"Качественный лид")</f>
        <v>1</v>
      </c>
      <c r="F198">
        <v>894</v>
      </c>
      <c r="G198" s="4">
        <f t="shared" si="3"/>
        <v>1</v>
      </c>
    </row>
    <row r="199" spans="1:7" x14ac:dyDescent="0.25">
      <c r="A199" s="3">
        <v>45915</v>
      </c>
      <c r="B199" s="3">
        <v>45921</v>
      </c>
      <c r="C199" t="s">
        <v>428</v>
      </c>
      <c r="D199">
        <f>COUNTIFS('Исходник — лиды'!$H$2:$H$1037,"&gt;="&amp;A199,'Исходник — лиды'!$H$2:$H$1037,"&lt;"&amp;B199+1)</f>
        <v>3</v>
      </c>
      <c r="E199">
        <f>COUNTIFS('Исходник — лиды'!$H$2:$H$1037,"&gt;="&amp;A199,'Исходник — лиды'!$H$2:$H$1037,"&lt;"&amp;B199+1,'Исходник — лиды'!$C$2:$C$1037,"Качественный лид")</f>
        <v>3</v>
      </c>
      <c r="F199">
        <v>811</v>
      </c>
      <c r="G199" s="4">
        <f t="shared" si="3"/>
        <v>1</v>
      </c>
    </row>
    <row r="200" spans="1:7" x14ac:dyDescent="0.25">
      <c r="A200" s="3">
        <v>45922</v>
      </c>
      <c r="B200" s="3">
        <v>45928</v>
      </c>
      <c r="C200" t="s">
        <v>429</v>
      </c>
      <c r="D200">
        <f>COUNTIFS('Исходник — лиды'!$H$2:$H$1037,"&gt;="&amp;A200,'Исходник — лиды'!$H$2:$H$1037,"&lt;"&amp;B200+1)</f>
        <v>4</v>
      </c>
      <c r="E200">
        <f>COUNTIFS('Исходник — лиды'!$H$2:$H$1037,"&gt;="&amp;A200,'Исходник — лиды'!$H$2:$H$1037,"&lt;"&amp;B200+1,'Исходник — лиды'!$C$2:$C$1037,"Качественный лид")</f>
        <v>4</v>
      </c>
      <c r="F200">
        <v>907</v>
      </c>
      <c r="G200" s="4">
        <f t="shared" si="3"/>
        <v>1</v>
      </c>
    </row>
    <row r="201" spans="1:7" x14ac:dyDescent="0.25">
      <c r="A201" s="3">
        <v>45929</v>
      </c>
      <c r="B201" s="3">
        <v>45935</v>
      </c>
      <c r="C201" t="s">
        <v>430</v>
      </c>
      <c r="D201">
        <f>COUNTIFS('Исходник — лиды'!$H$2:$H$1037,"&gt;="&amp;A201,'Исходник — лиды'!$H$2:$H$1037,"&lt;"&amp;B201+1)</f>
        <v>3</v>
      </c>
      <c r="E201">
        <f>COUNTIFS('Исходник — лиды'!$H$2:$H$1037,"&gt;="&amp;A201,'Исходник — лиды'!$H$2:$H$1037,"&lt;"&amp;B201+1,'Исходник — лиды'!$C$2:$C$1037,"Качественный лид")</f>
        <v>3</v>
      </c>
      <c r="F201">
        <v>900</v>
      </c>
      <c r="G201" s="4">
        <f t="shared" si="3"/>
        <v>1</v>
      </c>
    </row>
    <row r="202" spans="1:7" x14ac:dyDescent="0.25">
      <c r="A202" s="3">
        <v>45936</v>
      </c>
      <c r="B202" s="3">
        <v>45942</v>
      </c>
      <c r="C202" t="s">
        <v>431</v>
      </c>
      <c r="D202">
        <f>COUNTIFS('Исходник — лиды'!$H$2:$H$1037,"&gt;="&amp;A202,'Исходник — лиды'!$H$2:$H$1037,"&lt;"&amp;B202+1)</f>
        <v>6</v>
      </c>
      <c r="E202">
        <f>COUNTIFS('Исходник — лиды'!$H$2:$H$1037,"&gt;="&amp;A202,'Исходник — лиды'!$H$2:$H$1037,"&lt;"&amp;B202+1,'Исходник — лиды'!$C$2:$C$1037,"Качественный лид")</f>
        <v>6</v>
      </c>
      <c r="F202">
        <v>905</v>
      </c>
      <c r="G202" s="4">
        <f t="shared" si="3"/>
        <v>1</v>
      </c>
    </row>
    <row r="203" spans="1:7" x14ac:dyDescent="0.25">
      <c r="A203" s="3">
        <v>45943</v>
      </c>
      <c r="B203" s="3">
        <v>45949</v>
      </c>
      <c r="C203" t="s">
        <v>432</v>
      </c>
      <c r="D203">
        <f>COUNTIFS('Исходник — лиды'!$H$2:$H$1037,"&gt;="&amp;A203,'Исходник — лиды'!$H$2:$H$1037,"&lt;"&amp;B203+1)</f>
        <v>6</v>
      </c>
      <c r="E203">
        <f>COUNTIFS('Исходник — лиды'!$H$2:$H$1037,"&gt;="&amp;A203,'Исходник — лиды'!$H$2:$H$1037,"&lt;"&amp;B203+1,'Исходник — лиды'!$C$2:$C$1037,"Качественный лид")</f>
        <v>6</v>
      </c>
      <c r="F203">
        <v>997</v>
      </c>
      <c r="G203" s="4">
        <f t="shared" si="3"/>
        <v>1</v>
      </c>
    </row>
    <row r="204" spans="1:7" x14ac:dyDescent="0.25">
      <c r="A204" s="3">
        <v>45950</v>
      </c>
      <c r="B204" s="3">
        <v>45956</v>
      </c>
      <c r="C204" t="s">
        <v>433</v>
      </c>
      <c r="D204">
        <f>COUNTIFS('Исходник — лиды'!$H$2:$H$1037,"&gt;="&amp;A204,'Исходник — лиды'!$H$2:$H$1037,"&lt;"&amp;B204+1)</f>
        <v>6</v>
      </c>
      <c r="E204">
        <f>COUNTIFS('Исходник — лиды'!$H$2:$H$1037,"&gt;="&amp;A204,'Исходник — лиды'!$H$2:$H$1037,"&lt;"&amp;B204+1,'Исходник — лиды'!$C$2:$C$1037,"Качественный лид")</f>
        <v>6</v>
      </c>
      <c r="F204">
        <v>1050</v>
      </c>
      <c r="G204" s="4">
        <f t="shared" si="3"/>
        <v>1</v>
      </c>
    </row>
    <row r="205" spans="1:7" x14ac:dyDescent="0.25">
      <c r="A205" s="3">
        <v>45957</v>
      </c>
      <c r="B205" s="3">
        <v>45963</v>
      </c>
      <c r="C205" t="s">
        <v>434</v>
      </c>
      <c r="D205">
        <f>COUNTIFS('Исходник — лиды'!$H$2:$H$1037,"&gt;="&amp;A205,'Исходник — лиды'!$H$2:$H$1037,"&lt;"&amp;B205+1)</f>
        <v>2</v>
      </c>
      <c r="E205">
        <f>COUNTIFS('Исходник — лиды'!$H$2:$H$1037,"&gt;="&amp;A205,'Исходник — лиды'!$H$2:$H$1037,"&lt;"&amp;B205+1,'Исходник — лиды'!$C$2:$C$1037,"Качественный лид")</f>
        <v>2</v>
      </c>
      <c r="F205">
        <v>910</v>
      </c>
      <c r="G205" s="4">
        <f t="shared" si="3"/>
        <v>1</v>
      </c>
    </row>
    <row r="206" spans="1:7" x14ac:dyDescent="0.25">
      <c r="A206" s="3">
        <v>45964</v>
      </c>
      <c r="B206" s="3">
        <v>45970</v>
      </c>
      <c r="C206" t="s">
        <v>435</v>
      </c>
      <c r="D206">
        <f>COUNTIFS('Исходник — лиды'!$H$2:$H$1037,"&gt;="&amp;A206,'Исходник — лиды'!$H$2:$H$1037,"&lt;"&amp;B206+1)</f>
        <v>4</v>
      </c>
      <c r="E206">
        <f>COUNTIFS('Исходник — лиды'!$H$2:$H$1037,"&gt;="&amp;A206,'Исходник — лиды'!$H$2:$H$1037,"&lt;"&amp;B206+1,'Исходник — лиды'!$C$2:$C$1037,"Качественный лид")</f>
        <v>4</v>
      </c>
      <c r="F206">
        <v>1068</v>
      </c>
      <c r="G206" s="4">
        <f t="shared" si="3"/>
        <v>1</v>
      </c>
    </row>
    <row r="207" spans="1:7" x14ac:dyDescent="0.25">
      <c r="A207" s="3">
        <v>45971</v>
      </c>
      <c r="B207" s="3">
        <v>45977</v>
      </c>
      <c r="C207" t="s">
        <v>436</v>
      </c>
      <c r="D207">
        <f>COUNTIFS('Исходник — лиды'!$H$2:$H$1037,"&gt;="&amp;A207,'Исходник — лиды'!$H$2:$H$1037,"&lt;"&amp;B207+1)</f>
        <v>3</v>
      </c>
      <c r="E207">
        <f>COUNTIFS('Исходник — лиды'!$H$2:$H$1037,"&gt;="&amp;A207,'Исходник — лиды'!$H$2:$H$1037,"&lt;"&amp;B207+1,'Исходник — лиды'!$C$2:$C$1037,"Качественный лид")</f>
        <v>3</v>
      </c>
      <c r="F207">
        <v>1035</v>
      </c>
      <c r="G207" s="4">
        <f t="shared" si="3"/>
        <v>1</v>
      </c>
    </row>
    <row r="208" spans="1:7" x14ac:dyDescent="0.25">
      <c r="A208" s="3">
        <v>45978</v>
      </c>
      <c r="B208" s="3">
        <v>45984</v>
      </c>
      <c r="C208" t="s">
        <v>437</v>
      </c>
      <c r="D208">
        <f>COUNTIFS('Исходник — лиды'!$H$2:$H$1037,"&gt;="&amp;A208,'Исходник — лиды'!$H$2:$H$1037,"&lt;"&amp;B208+1)</f>
        <v>3</v>
      </c>
      <c r="E208">
        <f>COUNTIFS('Исходник — лиды'!$H$2:$H$1037,"&gt;="&amp;A208,'Исходник — лиды'!$H$2:$H$1037,"&lt;"&amp;B208+1,'Исходник — лиды'!$C$2:$C$1037,"Качественный лид")</f>
        <v>3</v>
      </c>
      <c r="F208">
        <v>994</v>
      </c>
      <c r="G208" s="4">
        <f t="shared" si="3"/>
        <v>1</v>
      </c>
    </row>
    <row r="209" spans="1:7" x14ac:dyDescent="0.25">
      <c r="A209" s="3">
        <v>45985</v>
      </c>
      <c r="B209" s="3">
        <v>45991</v>
      </c>
      <c r="C209" t="s">
        <v>438</v>
      </c>
      <c r="D209">
        <f>COUNTIFS('Исходник — лиды'!$H$2:$H$1037,"&gt;="&amp;A209,'Исходник — лиды'!$H$2:$H$1037,"&lt;"&amp;B209+1)</f>
        <v>8</v>
      </c>
      <c r="E209">
        <f>COUNTIFS('Исходник — лиды'!$H$2:$H$1037,"&gt;="&amp;A209,'Исходник — лиды'!$H$2:$H$1037,"&lt;"&amp;B209+1,'Исходник — лиды'!$C$2:$C$1037,"Качественный лид")</f>
        <v>7</v>
      </c>
      <c r="F209">
        <v>949</v>
      </c>
      <c r="G209" s="4">
        <f t="shared" si="3"/>
        <v>0.875</v>
      </c>
    </row>
    <row r="210" spans="1:7" x14ac:dyDescent="0.25">
      <c r="A210" s="3">
        <v>45992</v>
      </c>
      <c r="B210" s="3">
        <v>45998</v>
      </c>
      <c r="C210" t="s">
        <v>439</v>
      </c>
      <c r="D210">
        <f>COUNTIFS('Исходник — лиды'!$H$2:$H$1037,"&gt;="&amp;A210,'Исходник — лиды'!$H$2:$H$1037,"&lt;"&amp;B210+1)</f>
        <v>1</v>
      </c>
      <c r="E210">
        <f>COUNTIFS('Исходник — лиды'!$H$2:$H$1037,"&gt;="&amp;A210,'Исходник — лиды'!$H$2:$H$1037,"&lt;"&amp;B210+1,'Исходник — лиды'!$C$2:$C$1037,"Качественный лид")</f>
        <v>1</v>
      </c>
      <c r="F210">
        <v>927</v>
      </c>
      <c r="G210" s="4">
        <f t="shared" si="3"/>
        <v>1</v>
      </c>
    </row>
    <row r="211" spans="1:7" x14ac:dyDescent="0.25">
      <c r="A211" s="3">
        <v>45999</v>
      </c>
      <c r="B211" s="3">
        <v>46005</v>
      </c>
      <c r="C211" t="s">
        <v>440</v>
      </c>
      <c r="D211">
        <f>COUNTIFS('Исходник — лиды'!$H$2:$H$1037,"&gt;="&amp;A211,'Исходник — лиды'!$H$2:$H$1037,"&lt;"&amp;B211+1)</f>
        <v>5</v>
      </c>
      <c r="E211">
        <f>COUNTIFS('Исходник — лиды'!$H$2:$H$1037,"&gt;="&amp;A211,'Исходник — лиды'!$H$2:$H$1037,"&lt;"&amp;B211+1,'Исходник — лиды'!$C$2:$C$1037,"Качественный лид")</f>
        <v>5</v>
      </c>
      <c r="F211">
        <v>957</v>
      </c>
      <c r="G211" s="4">
        <f t="shared" si="3"/>
        <v>1</v>
      </c>
    </row>
    <row r="212" spans="1:7" x14ac:dyDescent="0.25">
      <c r="A212" s="3">
        <v>46006</v>
      </c>
      <c r="B212" s="3">
        <v>46012</v>
      </c>
      <c r="C212" t="s">
        <v>441</v>
      </c>
      <c r="D212">
        <f>COUNTIFS('Исходник — лиды'!$H$2:$H$1037,"&gt;="&amp;A212,'Исходник — лиды'!$H$2:$H$1037,"&lt;"&amp;B212+1)</f>
        <v>1</v>
      </c>
      <c r="E212">
        <f>COUNTIFS('Исходник — лиды'!$H$2:$H$1037,"&gt;="&amp;A212,'Исходник — лиды'!$H$2:$H$1037,"&lt;"&amp;B212+1,'Исходник — лиды'!$C$2:$C$1037,"Качественный лид")</f>
        <v>1</v>
      </c>
      <c r="F212">
        <v>811</v>
      </c>
      <c r="G212" s="4">
        <f t="shared" si="3"/>
        <v>1</v>
      </c>
    </row>
    <row r="213" spans="1:7" x14ac:dyDescent="0.25">
      <c r="A213" s="3">
        <v>46013</v>
      </c>
      <c r="B213" s="3">
        <v>46019</v>
      </c>
      <c r="C213" t="s">
        <v>442</v>
      </c>
      <c r="D213">
        <f>COUNTIFS('Исходник — лиды'!$H$2:$H$1037,"&gt;="&amp;A213,'Исходник — лиды'!$H$2:$H$1037,"&lt;"&amp;B213+1)</f>
        <v>4</v>
      </c>
      <c r="E213">
        <f>COUNTIFS('Исходник — лиды'!$H$2:$H$1037,"&gt;="&amp;A213,'Исходник — лиды'!$H$2:$H$1037,"&lt;"&amp;B213+1,'Исходник — лиды'!$C$2:$C$1037,"Качественный лид")</f>
        <v>4</v>
      </c>
      <c r="F213">
        <v>632</v>
      </c>
      <c r="G213" s="4">
        <f t="shared" si="3"/>
        <v>1</v>
      </c>
    </row>
    <row r="214" spans="1:7" x14ac:dyDescent="0.25">
      <c r="A214" s="3">
        <v>46020</v>
      </c>
      <c r="B214" s="3">
        <v>46026</v>
      </c>
      <c r="C214" t="s">
        <v>443</v>
      </c>
      <c r="D214">
        <f>COUNTIFS('Исходник — лиды'!$H$2:$H$1037,"&gt;="&amp;A214,'Исходник — лиды'!$H$2:$H$1037,"&lt;"&amp;B214+1)</f>
        <v>1</v>
      </c>
      <c r="E214">
        <f>COUNTIFS('Исходник — лиды'!$H$2:$H$1037,"&gt;="&amp;A214,'Исходник — лиды'!$H$2:$H$1037,"&lt;"&amp;B214+1,'Исходник — лиды'!$C$2:$C$1037,"Качественный лид")</f>
        <v>1</v>
      </c>
      <c r="F214">
        <v>466</v>
      </c>
      <c r="G214" s="4">
        <f t="shared" si="3"/>
        <v>1</v>
      </c>
    </row>
    <row r="215" spans="1:7" x14ac:dyDescent="0.25">
      <c r="A215" s="3">
        <v>46027</v>
      </c>
      <c r="B215" s="3">
        <v>46033</v>
      </c>
      <c r="C215" t="s">
        <v>444</v>
      </c>
      <c r="D215">
        <f>COUNTIFS('Исходник — лиды'!$H$2:$H$1037,"&gt;="&amp;A215,'Исходник — лиды'!$H$2:$H$1037,"&lt;"&amp;B215+1)</f>
        <v>2</v>
      </c>
      <c r="E215">
        <f>COUNTIFS('Исходник — лиды'!$H$2:$H$1037,"&gt;="&amp;A215,'Исходник — лиды'!$H$2:$H$1037,"&lt;"&amp;B215+1,'Исходник — лиды'!$C$2:$C$1037,"Качественный лид")</f>
        <v>2</v>
      </c>
      <c r="F215">
        <v>699</v>
      </c>
      <c r="G215" s="4">
        <f t="shared" si="3"/>
        <v>1</v>
      </c>
    </row>
    <row r="216" spans="1:7" x14ac:dyDescent="0.25">
      <c r="A216" s="3">
        <v>46034</v>
      </c>
      <c r="B216" s="3">
        <v>46040</v>
      </c>
      <c r="C216" t="s">
        <v>445</v>
      </c>
      <c r="D216">
        <f>COUNTIFS('Исходник — лиды'!$H$2:$H$1037,"&gt;="&amp;A216,'Исходник — лиды'!$H$2:$H$1037,"&lt;"&amp;B216+1)</f>
        <v>5</v>
      </c>
      <c r="E216">
        <f>COUNTIFS('Исходник — лиды'!$H$2:$H$1037,"&gt;="&amp;A216,'Исходник — лиды'!$H$2:$H$1037,"&lt;"&amp;B216+1,'Исходник — лиды'!$C$2:$C$1037,"Качественный лид")</f>
        <v>5</v>
      </c>
      <c r="F216">
        <v>920</v>
      </c>
      <c r="G216" s="4">
        <f t="shared" si="3"/>
        <v>1</v>
      </c>
    </row>
    <row r="217" spans="1:7" x14ac:dyDescent="0.25">
      <c r="A217" s="3">
        <v>46041</v>
      </c>
      <c r="B217" s="3">
        <v>46047</v>
      </c>
      <c r="C217" t="s">
        <v>446</v>
      </c>
      <c r="D217">
        <f>COUNTIFS('Исходник — лиды'!$H$2:$H$1037,"&gt;="&amp;A217,'Исходник — лиды'!$H$2:$H$1037,"&lt;"&amp;B217+1)</f>
        <v>7</v>
      </c>
      <c r="E217">
        <f>COUNTIFS('Исходник — лиды'!$H$2:$H$1037,"&gt;="&amp;A217,'Исходник — лиды'!$H$2:$H$1037,"&lt;"&amp;B217+1,'Исходник — лиды'!$C$2:$C$1037,"Качественный лид")</f>
        <v>7</v>
      </c>
      <c r="F217">
        <v>891</v>
      </c>
      <c r="G217" s="4">
        <f t="shared" si="3"/>
        <v>1</v>
      </c>
    </row>
    <row r="218" spans="1:7" x14ac:dyDescent="0.25">
      <c r="A218" s="3">
        <v>46048</v>
      </c>
      <c r="B218" s="3">
        <v>46054</v>
      </c>
      <c r="C218" t="s">
        <v>447</v>
      </c>
      <c r="D218">
        <f>COUNTIFS('Исходник — лиды'!$H$2:$H$1037,"&gt;="&amp;A218,'Исходник — лиды'!$H$2:$H$1037,"&lt;"&amp;B218+1)</f>
        <v>6</v>
      </c>
      <c r="E218">
        <f>COUNTIFS('Исходник — лиды'!$H$2:$H$1037,"&gt;="&amp;A218,'Исходник — лиды'!$H$2:$H$1037,"&lt;"&amp;B218+1,'Исходник — лиды'!$C$2:$C$1037,"Качественный лид")</f>
        <v>6</v>
      </c>
      <c r="F218">
        <v>807</v>
      </c>
      <c r="G218" s="4">
        <f t="shared" si="3"/>
        <v>1</v>
      </c>
    </row>
    <row r="219" spans="1:7" x14ac:dyDescent="0.25">
      <c r="A219" s="3">
        <v>46055</v>
      </c>
      <c r="B219" s="3">
        <v>46061</v>
      </c>
      <c r="C219" t="s">
        <v>448</v>
      </c>
      <c r="D219">
        <f>COUNTIFS('Исходник — лиды'!$H$2:$H$1037,"&gt;="&amp;A219,'Исходник — лиды'!$H$2:$H$1037,"&lt;"&amp;B219+1)</f>
        <v>0</v>
      </c>
      <c r="E219">
        <f>COUNTIFS('Исходник — лиды'!$H$2:$H$1037,"&gt;="&amp;A219,'Исходник — лиды'!$H$2:$H$1037,"&lt;"&amp;B219+1,'Исходник — лиды'!$C$2:$C$1037,"Качественный лид")</f>
        <v>0</v>
      </c>
      <c r="F219">
        <v>854</v>
      </c>
      <c r="G219" s="4">
        <f t="shared" si="3"/>
        <v>0</v>
      </c>
    </row>
    <row r="220" spans="1:7" x14ac:dyDescent="0.25">
      <c r="A220" s="3">
        <v>46062</v>
      </c>
      <c r="B220" s="3">
        <v>46068</v>
      </c>
      <c r="C220" t="s">
        <v>449</v>
      </c>
      <c r="D220">
        <f>COUNTIFS('Исходник — лиды'!$H$2:$H$1037,"&gt;="&amp;A220,'Исходник — лиды'!$H$2:$H$1037,"&lt;"&amp;B220+1)</f>
        <v>1</v>
      </c>
      <c r="E220">
        <f>COUNTIFS('Исходник — лиды'!$H$2:$H$1037,"&gt;="&amp;A220,'Исходник — лиды'!$H$2:$H$1037,"&lt;"&amp;B220+1,'Исходник — лиды'!$C$2:$C$1037,"Качественный лид")</f>
        <v>1</v>
      </c>
      <c r="F220">
        <v>843</v>
      </c>
      <c r="G220" s="4">
        <f t="shared" si="3"/>
        <v>1</v>
      </c>
    </row>
    <row r="221" spans="1:7" x14ac:dyDescent="0.25">
      <c r="A221" s="3">
        <v>46069</v>
      </c>
      <c r="B221" s="3">
        <v>46075</v>
      </c>
      <c r="C221" t="s">
        <v>450</v>
      </c>
      <c r="D221">
        <f>COUNTIFS('Исходник — лиды'!$H$2:$H$1037,"&gt;="&amp;A221,'Исходник — лиды'!$H$2:$H$1037,"&lt;"&amp;B221+1)</f>
        <v>1</v>
      </c>
      <c r="E221">
        <f>COUNTIFS('Исходник — лиды'!$H$2:$H$1037,"&gt;="&amp;A221,'Исходник — лиды'!$H$2:$H$1037,"&lt;"&amp;B221+1,'Исходник — лиды'!$C$2:$C$1037,"Качественный лид")</f>
        <v>1</v>
      </c>
      <c r="F221">
        <v>809</v>
      </c>
      <c r="G221" s="4">
        <f t="shared" si="3"/>
        <v>1</v>
      </c>
    </row>
    <row r="222" spans="1:7" x14ac:dyDescent="0.25">
      <c r="A222" s="3">
        <v>46076</v>
      </c>
      <c r="B222" s="3">
        <v>46082</v>
      </c>
      <c r="C222" t="s">
        <v>451</v>
      </c>
      <c r="D222">
        <f>COUNTIFS('Исходник — лиды'!$H$2:$H$1037,"&gt;="&amp;A222,'Исходник — лиды'!$H$2:$H$1037,"&lt;"&amp;B222+1)</f>
        <v>2</v>
      </c>
      <c r="E222">
        <f>COUNTIFS('Исходник — лиды'!$H$2:$H$1037,"&gt;="&amp;A222,'Исходник — лиды'!$H$2:$H$1037,"&lt;"&amp;B222+1,'Исходник — лиды'!$C$2:$C$1037,"Качественный лид")</f>
        <v>2</v>
      </c>
      <c r="F222">
        <v>754</v>
      </c>
      <c r="G222" s="4">
        <f t="shared" si="3"/>
        <v>1</v>
      </c>
    </row>
    <row r="223" spans="1:7" x14ac:dyDescent="0.25">
      <c r="A223" s="3">
        <v>46083</v>
      </c>
      <c r="B223" s="3">
        <v>46089</v>
      </c>
      <c r="C223" t="s">
        <v>452</v>
      </c>
      <c r="D223">
        <f>COUNTIFS('Исходник — лиды'!$H$2:$H$1037,"&gt;="&amp;A223,'Исходник — лиды'!$H$2:$H$1037,"&lt;"&amp;B223+1)</f>
        <v>5</v>
      </c>
      <c r="E223">
        <f>COUNTIFS('Исходник — лиды'!$H$2:$H$1037,"&gt;="&amp;A223,'Исходник — лиды'!$H$2:$H$1037,"&lt;"&amp;B223+1,'Исходник — лиды'!$C$2:$C$1037,"Качественный лид")</f>
        <v>5</v>
      </c>
      <c r="F223">
        <v>672</v>
      </c>
      <c r="G223" s="4">
        <f t="shared" si="3"/>
        <v>1</v>
      </c>
    </row>
    <row r="224" spans="1:7" x14ac:dyDescent="0.25">
      <c r="A224" s="3">
        <v>46090</v>
      </c>
      <c r="B224" s="3">
        <v>46096</v>
      </c>
      <c r="C224" t="s">
        <v>453</v>
      </c>
      <c r="D224">
        <f>COUNTIFS('Исходник — лиды'!$H$2:$H$1037,"&gt;="&amp;A224,'Исходник — лиды'!$H$2:$H$1037,"&lt;"&amp;B224+1)</f>
        <v>3</v>
      </c>
      <c r="E224">
        <f>COUNTIFS('Исходник — лиды'!$H$2:$H$1037,"&gt;="&amp;A224,'Исходник — лиды'!$H$2:$H$1037,"&lt;"&amp;B224+1,'Исходник — лиды'!$C$2:$C$1037,"Качественный лид")</f>
        <v>3</v>
      </c>
      <c r="F224">
        <v>907</v>
      </c>
      <c r="G224" s="4">
        <f t="shared" si="3"/>
        <v>1</v>
      </c>
    </row>
    <row r="225" spans="1:7" x14ac:dyDescent="0.25">
      <c r="A225" s="3">
        <v>46097</v>
      </c>
      <c r="B225" s="3">
        <v>46103</v>
      </c>
      <c r="C225" t="s">
        <v>454</v>
      </c>
      <c r="D225">
        <f>COUNTIFS('Исходник — лиды'!$H$2:$H$1037,"&gt;="&amp;A225,'Исходник — лиды'!$H$2:$H$1037,"&lt;"&amp;B225+1)</f>
        <v>0</v>
      </c>
      <c r="E225">
        <f>COUNTIFS('Исходник — лиды'!$H$2:$H$1037,"&gt;="&amp;A225,'Исходник — лиды'!$H$2:$H$1037,"&lt;"&amp;B225+1,'Исходник — лиды'!$C$2:$C$1037,"Качественный лид")</f>
        <v>0</v>
      </c>
      <c r="F225">
        <v>905</v>
      </c>
      <c r="G225" s="4">
        <f t="shared" si="3"/>
        <v>0</v>
      </c>
    </row>
    <row r="226" spans="1:7" x14ac:dyDescent="0.25">
      <c r="A226" s="3">
        <v>46104</v>
      </c>
      <c r="B226" s="3">
        <v>46110</v>
      </c>
      <c r="C226" t="s">
        <v>455</v>
      </c>
      <c r="D226">
        <f>COUNTIFS('Исходник — лиды'!$H$2:$H$1037,"&gt;="&amp;A226,'Исходник — лиды'!$H$2:$H$1037,"&lt;"&amp;B226+1)</f>
        <v>1</v>
      </c>
      <c r="E226">
        <f>COUNTIFS('Исходник — лиды'!$H$2:$H$1037,"&gt;="&amp;A226,'Исходник — лиды'!$H$2:$H$1037,"&lt;"&amp;B226+1,'Исходник — лиды'!$C$2:$C$1037,"Качественный лид")</f>
        <v>1</v>
      </c>
      <c r="F226">
        <v>966</v>
      </c>
      <c r="G226" s="4">
        <f t="shared" si="3"/>
        <v>1</v>
      </c>
    </row>
    <row r="227" spans="1:7" x14ac:dyDescent="0.25">
      <c r="A227" s="3">
        <v>46111</v>
      </c>
      <c r="B227" s="3">
        <v>46117</v>
      </c>
      <c r="C227" t="s">
        <v>456</v>
      </c>
      <c r="D227">
        <f>COUNTIFS('Исходник — лиды'!$H$2:$H$1037,"&gt;="&amp;A227,'Исходник — лиды'!$H$2:$H$1037,"&lt;"&amp;B227+1)</f>
        <v>3</v>
      </c>
      <c r="E227">
        <f>COUNTIFS('Исходник — лиды'!$H$2:$H$1037,"&gt;="&amp;A227,'Исходник — лиды'!$H$2:$H$1037,"&lt;"&amp;B227+1,'Исходник — лиды'!$C$2:$C$1037,"Качественный лид")</f>
        <v>3</v>
      </c>
      <c r="F227">
        <v>853</v>
      </c>
      <c r="G227" s="4">
        <f t="shared" si="3"/>
        <v>1</v>
      </c>
    </row>
    <row r="228" spans="1:7" x14ac:dyDescent="0.25">
      <c r="A228" s="3">
        <v>46118</v>
      </c>
      <c r="B228" s="3">
        <v>46124</v>
      </c>
      <c r="C228" t="s">
        <v>457</v>
      </c>
      <c r="D228">
        <f>COUNTIFS('Исходник — лиды'!$H$2:$H$1037,"&gt;="&amp;A228,'Исходник — лиды'!$H$2:$H$1037,"&lt;"&amp;B228+1)</f>
        <v>4</v>
      </c>
      <c r="E228">
        <f>COUNTIFS('Исходник — лиды'!$H$2:$H$1037,"&gt;="&amp;A228,'Исходник — лиды'!$H$2:$H$1037,"&lt;"&amp;B228+1,'Исходник — лиды'!$C$2:$C$1037,"Качественный лид")</f>
        <v>4</v>
      </c>
      <c r="F228">
        <v>865</v>
      </c>
      <c r="G228" s="4">
        <f t="shared" si="3"/>
        <v>1</v>
      </c>
    </row>
    <row r="229" spans="1:7" x14ac:dyDescent="0.25">
      <c r="A229" s="3">
        <v>46125</v>
      </c>
      <c r="B229" s="3">
        <v>46131</v>
      </c>
      <c r="C229" t="s">
        <v>458</v>
      </c>
      <c r="D229">
        <f>COUNTIFS('Исходник — лиды'!$H$2:$H$1037,"&gt;="&amp;A229,'Исходник — лиды'!$H$2:$H$1037,"&lt;"&amp;B229+1)</f>
        <v>1</v>
      </c>
      <c r="E229">
        <f>COUNTIFS('Исходник — лиды'!$H$2:$H$1037,"&gt;="&amp;A229,'Исходник — лиды'!$H$2:$H$1037,"&lt;"&amp;B229+1,'Исходник — лиды'!$C$2:$C$1037,"Качественный лид")</f>
        <v>1</v>
      </c>
      <c r="F229">
        <v>954</v>
      </c>
      <c r="G229" s="4">
        <f t="shared" si="3"/>
        <v>1</v>
      </c>
    </row>
    <row r="230" spans="1:7" x14ac:dyDescent="0.25">
      <c r="A230" s="3">
        <v>46132</v>
      </c>
      <c r="B230" s="3">
        <v>46138</v>
      </c>
      <c r="C230" t="s">
        <v>459</v>
      </c>
      <c r="D230">
        <f>COUNTIFS('Исходник — лиды'!$H$2:$H$1037,"&gt;="&amp;A230,'Исходник — лиды'!$H$2:$H$1037,"&lt;"&amp;B230+1)</f>
        <v>3</v>
      </c>
      <c r="E230">
        <f>COUNTIFS('Исходник — лиды'!$H$2:$H$1037,"&gt;="&amp;A230,'Исходник — лиды'!$H$2:$H$1037,"&lt;"&amp;B230+1,'Исходник — лиды'!$C$2:$C$1037,"Качественный лид")</f>
        <v>3</v>
      </c>
      <c r="F230">
        <v>1044</v>
      </c>
      <c r="G230" s="4">
        <f t="shared" si="3"/>
        <v>1</v>
      </c>
    </row>
    <row r="231" spans="1:7" x14ac:dyDescent="0.25">
      <c r="A231" s="3">
        <v>46139</v>
      </c>
      <c r="B231" s="3">
        <v>46145</v>
      </c>
      <c r="C231" t="s">
        <v>460</v>
      </c>
      <c r="D231">
        <f>COUNTIFS('Исходник — лиды'!$H$2:$H$1037,"&gt;="&amp;A231,'Исходник — лиды'!$H$2:$H$1037,"&lt;"&amp;B231+1)</f>
        <v>0</v>
      </c>
      <c r="E231">
        <f>COUNTIFS('Исходник — лиды'!$H$2:$H$1037,"&gt;="&amp;A231,'Исходник — лиды'!$H$2:$H$1037,"&lt;"&amp;B231+1,'Исходник — лиды'!$C$2:$C$1037,"Качественный лид")</f>
        <v>0</v>
      </c>
      <c r="F231">
        <v>979</v>
      </c>
      <c r="G231" s="4">
        <f t="shared" si="3"/>
        <v>0</v>
      </c>
    </row>
    <row r="232" spans="1:7" x14ac:dyDescent="0.25">
      <c r="A232" s="3">
        <v>46146</v>
      </c>
      <c r="B232" s="3">
        <v>46152</v>
      </c>
      <c r="C232" t="s">
        <v>461</v>
      </c>
      <c r="D232">
        <f>COUNTIFS('Исходник — лиды'!$H$2:$H$1037,"&gt;="&amp;A232,'Исходник — лиды'!$H$2:$H$1037,"&lt;"&amp;B232+1)</f>
        <v>4</v>
      </c>
      <c r="E232">
        <f>COUNTIFS('Исходник — лиды'!$H$2:$H$1037,"&gt;="&amp;A232,'Исходник — лиды'!$H$2:$H$1037,"&lt;"&amp;B232+1,'Исходник — лиды'!$C$2:$C$1037,"Качественный лид")</f>
        <v>3</v>
      </c>
      <c r="F232">
        <v>799</v>
      </c>
      <c r="G232" s="4">
        <f t="shared" si="3"/>
        <v>0.75</v>
      </c>
    </row>
    <row r="233" spans="1:7" x14ac:dyDescent="0.25">
      <c r="A233" s="3">
        <v>46153</v>
      </c>
      <c r="B233" s="3">
        <v>46159</v>
      </c>
      <c r="C233" t="s">
        <v>462</v>
      </c>
      <c r="D233">
        <f>COUNTIFS('Исходник — лиды'!$H$2:$H$1037,"&gt;="&amp;A233,'Исходник — лиды'!$H$2:$H$1037,"&lt;"&amp;B233+1)</f>
        <v>4</v>
      </c>
      <c r="E233">
        <f>COUNTIFS('Исходник — лиды'!$H$2:$H$1037,"&gt;="&amp;A233,'Исходник — лиды'!$H$2:$H$1037,"&lt;"&amp;B233+1,'Исходник — лиды'!$C$2:$C$1037,"Качественный лид")</f>
        <v>4</v>
      </c>
      <c r="F233">
        <v>1062</v>
      </c>
      <c r="G233" s="4">
        <f t="shared" si="3"/>
        <v>1</v>
      </c>
    </row>
    <row r="234" spans="1:7" x14ac:dyDescent="0.25">
      <c r="A234" s="3">
        <v>46160</v>
      </c>
      <c r="B234" s="3">
        <v>46166</v>
      </c>
      <c r="C234" t="s">
        <v>463</v>
      </c>
      <c r="D234">
        <f>COUNTIFS('Исходник — лиды'!$H$2:$H$1037,"&gt;="&amp;A234,'Исходник — лиды'!$H$2:$H$1037,"&lt;"&amp;B234+1)</f>
        <v>2</v>
      </c>
      <c r="E234">
        <f>COUNTIFS('Исходник — лиды'!$H$2:$H$1037,"&gt;="&amp;A234,'Исходник — лиды'!$H$2:$H$1037,"&lt;"&amp;B234+1,'Исходник — лиды'!$C$2:$C$1037,"Качественный лид")</f>
        <v>2</v>
      </c>
      <c r="F234">
        <v>869</v>
      </c>
      <c r="G234" s="4">
        <f t="shared" si="3"/>
        <v>1</v>
      </c>
    </row>
    <row r="235" spans="1:7" x14ac:dyDescent="0.25">
      <c r="A235" s="3">
        <v>46167</v>
      </c>
      <c r="B235" s="3">
        <v>46173</v>
      </c>
      <c r="C235" t="s">
        <v>464</v>
      </c>
      <c r="D235">
        <f>COUNTIFS('Исходник — лиды'!$H$2:$H$1037,"&gt;="&amp;A235,'Исходник — лиды'!$H$2:$H$1037,"&lt;"&amp;B235+1)</f>
        <v>2</v>
      </c>
      <c r="E235">
        <f>COUNTIFS('Исходник — лиды'!$H$2:$H$1037,"&gt;="&amp;A235,'Исходник — лиды'!$H$2:$H$1037,"&lt;"&amp;B235+1,'Исходник — лиды'!$C$2:$C$1037,"Качественный лид")</f>
        <v>2</v>
      </c>
      <c r="F235">
        <v>792</v>
      </c>
      <c r="G235" s="4">
        <f t="shared" si="3"/>
        <v>1</v>
      </c>
    </row>
    <row r="236" spans="1:7" x14ac:dyDescent="0.25">
      <c r="A236" s="3">
        <v>46174</v>
      </c>
      <c r="B236" s="3">
        <v>46180</v>
      </c>
      <c r="C236" t="s">
        <v>465</v>
      </c>
      <c r="D236">
        <f>COUNTIFS('Исходник — лиды'!$H$2:$H$1037,"&gt;="&amp;A236,'Исходник — лиды'!$H$2:$H$1037,"&lt;"&amp;B236+1)</f>
        <v>6</v>
      </c>
      <c r="E236">
        <f>COUNTIFS('Исходник — лиды'!$H$2:$H$1037,"&gt;="&amp;A236,'Исходник — лиды'!$H$2:$H$1037,"&lt;"&amp;B236+1,'Исходник — лиды'!$C$2:$C$1037,"Качественный лид")</f>
        <v>5</v>
      </c>
      <c r="F236">
        <v>927</v>
      </c>
      <c r="G236" s="4">
        <f t="shared" si="3"/>
        <v>0.83333333333333337</v>
      </c>
    </row>
    <row r="237" spans="1:7" x14ac:dyDescent="0.25">
      <c r="A237" s="3">
        <v>46181</v>
      </c>
      <c r="B237" s="3">
        <v>46187</v>
      </c>
      <c r="C237" t="s">
        <v>466</v>
      </c>
      <c r="D237">
        <f>COUNTIFS('Исходник — лиды'!$H$2:$H$1037,"&gt;="&amp;A237,'Исходник — лиды'!$H$2:$H$1037,"&lt;"&amp;B237+1)</f>
        <v>7</v>
      </c>
      <c r="E237">
        <f>COUNTIFS('Исходник — лиды'!$H$2:$H$1037,"&gt;="&amp;A237,'Исходник — лиды'!$H$2:$H$1037,"&lt;"&amp;B237+1,'Исходник — лиды'!$C$2:$C$1037,"Качественный лид")</f>
        <v>5</v>
      </c>
      <c r="F237">
        <v>1015</v>
      </c>
      <c r="G237" s="4">
        <f t="shared" si="3"/>
        <v>0.7142857142857143</v>
      </c>
    </row>
    <row r="238" spans="1:7" x14ac:dyDescent="0.25">
      <c r="A238" s="3">
        <v>46188</v>
      </c>
      <c r="B238" s="3">
        <v>46194</v>
      </c>
      <c r="C238" t="s">
        <v>467</v>
      </c>
      <c r="D238">
        <f>COUNTIFS('Исходник — лиды'!$H$2:$H$1037,"&gt;="&amp;A238,'Исходник — лиды'!$H$2:$H$1037,"&lt;"&amp;B238+1)</f>
        <v>7</v>
      </c>
      <c r="E238">
        <f>COUNTIFS('Исходник — лиды'!$H$2:$H$1037,"&gt;="&amp;A238,'Исходник — лиды'!$H$2:$H$1037,"&lt;"&amp;B238+1,'Исходник — лиды'!$C$2:$C$1037,"Качественный лид")</f>
        <v>6</v>
      </c>
      <c r="F238">
        <v>952</v>
      </c>
      <c r="G238" s="4">
        <f t="shared" si="3"/>
        <v>0.8571428571428571</v>
      </c>
    </row>
    <row r="239" spans="1:7" x14ac:dyDescent="0.25">
      <c r="A239" s="3">
        <v>46195</v>
      </c>
      <c r="B239" s="3">
        <v>46201</v>
      </c>
      <c r="C239" t="s">
        <v>468</v>
      </c>
      <c r="D239">
        <f>COUNTIFS('Исходник — лиды'!$H$2:$H$1037,"&gt;="&amp;A239,'Исходник — лиды'!$H$2:$H$1037,"&lt;"&amp;B239+1)</f>
        <v>11</v>
      </c>
      <c r="E239">
        <f>COUNTIFS('Исходник — лиды'!$H$2:$H$1037,"&gt;="&amp;A239,'Исходник — лиды'!$H$2:$H$1037,"&lt;"&amp;B239+1,'Исходник — лиды'!$C$2:$C$1037,"Качественный лид")</f>
        <v>10</v>
      </c>
      <c r="F239">
        <v>961</v>
      </c>
      <c r="G239" s="4">
        <f t="shared" si="3"/>
        <v>0.90909090909090906</v>
      </c>
    </row>
    <row r="240" spans="1:7" x14ac:dyDescent="0.25">
      <c r="A240" s="3">
        <v>46202</v>
      </c>
      <c r="B240" s="3">
        <v>46208</v>
      </c>
      <c r="C240" t="s">
        <v>469</v>
      </c>
      <c r="D240">
        <f>COUNTIFS('Исходник — лиды'!$H$2:$H$1037,"&gt;="&amp;A240,'Исходник — лиды'!$H$2:$H$1037,"&lt;"&amp;B240+1)</f>
        <v>3</v>
      </c>
      <c r="E240">
        <f>COUNTIFS('Исходник — лиды'!$H$2:$H$1037,"&gt;="&amp;A240,'Исходник — лиды'!$H$2:$H$1037,"&lt;"&amp;B240+1,'Исходник — лиды'!$C$2:$C$1037,"Качественный лид")</f>
        <v>3</v>
      </c>
      <c r="F240">
        <v>902</v>
      </c>
      <c r="G240" s="4">
        <f t="shared" si="3"/>
        <v>1</v>
      </c>
    </row>
    <row r="241" spans="1:7" x14ac:dyDescent="0.25">
      <c r="A241" s="3">
        <v>46209</v>
      </c>
      <c r="B241" s="3">
        <v>46215</v>
      </c>
      <c r="C241" t="s">
        <v>470</v>
      </c>
      <c r="D241">
        <f>COUNTIFS('Исходник — лиды'!$H$2:$H$1037,"&gt;="&amp;A241,'Исходник — лиды'!$H$2:$H$1037,"&lt;"&amp;B241+1)</f>
        <v>5</v>
      </c>
      <c r="E241">
        <f>COUNTIFS('Исходник — лиды'!$H$2:$H$1037,"&gt;="&amp;A241,'Исходник — лиды'!$H$2:$H$1037,"&lt;"&amp;B241+1,'Исходник — лиды'!$C$2:$C$1037,"Качественный лид")</f>
        <v>3</v>
      </c>
      <c r="F241">
        <v>786</v>
      </c>
      <c r="G241" s="4">
        <f t="shared" si="3"/>
        <v>0.6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685-E17C-4D97-A73C-7E2DEAAA45EC}">
  <dimension ref="A1:Z1037"/>
  <sheetViews>
    <sheetView workbookViewId="0"/>
  </sheetViews>
  <sheetFormatPr defaultRowHeight="15" x14ac:dyDescent="0.25"/>
  <cols>
    <col min="1" max="2" width="28.7109375" customWidth="1"/>
    <col min="3" max="3" width="27.42578125" bestFit="1" customWidth="1"/>
    <col min="4" max="4" width="14.28515625" bestFit="1" customWidth="1"/>
    <col min="5" max="5" width="28.7109375" customWidth="1"/>
    <col min="6" max="6" width="11.5703125" bestFit="1" customWidth="1"/>
    <col min="7" max="7" width="15.140625" bestFit="1" customWidth="1"/>
    <col min="8" max="8" width="16.5703125" bestFit="1" customWidth="1"/>
    <col min="9" max="9" width="23.140625" bestFit="1" customWidth="1"/>
    <col min="10" max="10" width="15.42578125" bestFit="1" customWidth="1"/>
    <col min="11" max="11" width="15.140625" bestFit="1" customWidth="1"/>
    <col min="12" max="12" width="15.7109375" bestFit="1" customWidth="1"/>
    <col min="13" max="13" width="21.7109375" bestFit="1" customWidth="1"/>
    <col min="14" max="14" width="15.140625" bestFit="1" customWidth="1"/>
    <col min="15" max="15" width="28.7109375" customWidth="1"/>
    <col min="16" max="16" width="25.5703125" bestFit="1" customWidth="1"/>
    <col min="17" max="17" width="16.5703125" bestFit="1" customWidth="1"/>
    <col min="18" max="18" width="18.7109375" bestFit="1" customWidth="1"/>
    <col min="19" max="19" width="13.42578125" bestFit="1" customWidth="1"/>
    <col min="20" max="20" width="16.5703125" bestFit="1" customWidth="1"/>
    <col min="21" max="21" width="13.28515625" bestFit="1" customWidth="1"/>
    <col min="22" max="22" width="17.140625" bestFit="1" customWidth="1"/>
    <col min="23" max="23" width="20.5703125" bestFit="1" customWidth="1"/>
    <col min="24" max="24" width="28.7109375" customWidth="1"/>
    <col min="25" max="25" width="22.140625" bestFit="1" customWidth="1"/>
    <col min="26" max="26" width="7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489</v>
      </c>
      <c r="B2" t="s">
        <v>26</v>
      </c>
      <c r="C2" t="s">
        <v>27</v>
      </c>
      <c r="H2" s="2">
        <v>46221.525694444441</v>
      </c>
      <c r="I2" t="s">
        <v>29</v>
      </c>
      <c r="Z2">
        <v>114207</v>
      </c>
    </row>
    <row r="3" spans="1:26" x14ac:dyDescent="0.25">
      <c r="A3" t="s">
        <v>490</v>
      </c>
      <c r="B3" t="s">
        <v>42</v>
      </c>
      <c r="C3" t="s">
        <v>27</v>
      </c>
      <c r="E3" t="s">
        <v>148</v>
      </c>
      <c r="G3" t="s">
        <v>491</v>
      </c>
      <c r="H3" s="2">
        <v>46220.44027777778</v>
      </c>
      <c r="I3" t="s">
        <v>40</v>
      </c>
      <c r="Z3">
        <v>114169</v>
      </c>
    </row>
    <row r="4" spans="1:26" x14ac:dyDescent="0.25">
      <c r="A4" t="s">
        <v>492</v>
      </c>
      <c r="B4" t="s">
        <v>26</v>
      </c>
      <c r="C4" t="s">
        <v>27</v>
      </c>
      <c r="H4" s="2">
        <v>46218.429861111108</v>
      </c>
      <c r="I4" t="s">
        <v>28</v>
      </c>
      <c r="Z4">
        <v>114078</v>
      </c>
    </row>
    <row r="5" spans="1:26" x14ac:dyDescent="0.25">
      <c r="A5" t="s">
        <v>493</v>
      </c>
      <c r="B5" t="s">
        <v>72</v>
      </c>
      <c r="C5" t="s">
        <v>27</v>
      </c>
      <c r="E5" s="1" t="s">
        <v>75</v>
      </c>
      <c r="H5" s="2">
        <v>46217.709722222222</v>
      </c>
      <c r="I5" t="s">
        <v>28</v>
      </c>
      <c r="Z5">
        <v>114059</v>
      </c>
    </row>
    <row r="6" spans="1:26" x14ac:dyDescent="0.25">
      <c r="A6" t="s">
        <v>494</v>
      </c>
      <c r="B6" t="s">
        <v>26</v>
      </c>
      <c r="C6" t="s">
        <v>27</v>
      </c>
      <c r="H6" s="2">
        <v>46211.75</v>
      </c>
      <c r="I6" t="s">
        <v>28</v>
      </c>
      <c r="K6" t="s">
        <v>30</v>
      </c>
      <c r="L6" t="s">
        <v>34</v>
      </c>
      <c r="M6" t="s">
        <v>35</v>
      </c>
      <c r="N6" t="s">
        <v>38</v>
      </c>
      <c r="O6" t="s">
        <v>35</v>
      </c>
      <c r="P6" t="s">
        <v>495</v>
      </c>
      <c r="R6" s="17">
        <v>1.7821000000000001E+22</v>
      </c>
      <c r="S6" t="s">
        <v>32</v>
      </c>
      <c r="T6" t="s">
        <v>30</v>
      </c>
      <c r="U6" t="s">
        <v>34</v>
      </c>
      <c r="V6" t="s">
        <v>35</v>
      </c>
      <c r="W6" t="s">
        <v>38</v>
      </c>
      <c r="X6" t="s">
        <v>35</v>
      </c>
      <c r="Y6">
        <v>3</v>
      </c>
      <c r="Z6">
        <v>113889</v>
      </c>
    </row>
    <row r="7" spans="1:26" x14ac:dyDescent="0.25">
      <c r="A7" t="s">
        <v>496</v>
      </c>
      <c r="B7" t="s">
        <v>26</v>
      </c>
      <c r="C7" t="s">
        <v>27</v>
      </c>
      <c r="H7" s="2">
        <v>46210.863888888889</v>
      </c>
      <c r="I7" t="s">
        <v>28</v>
      </c>
      <c r="Z7">
        <v>113865</v>
      </c>
    </row>
    <row r="8" spans="1:26" x14ac:dyDescent="0.25">
      <c r="A8" t="s">
        <v>497</v>
      </c>
      <c r="B8" t="s">
        <v>26</v>
      </c>
      <c r="C8" t="s">
        <v>47</v>
      </c>
      <c r="H8" s="2">
        <v>46210.663194444445</v>
      </c>
      <c r="I8" t="s">
        <v>28</v>
      </c>
      <c r="Z8">
        <v>113849</v>
      </c>
    </row>
    <row r="9" spans="1:26" x14ac:dyDescent="0.25">
      <c r="A9" t="s">
        <v>498</v>
      </c>
      <c r="B9" t="s">
        <v>26</v>
      </c>
      <c r="C9" t="s">
        <v>47</v>
      </c>
      <c r="H9" s="2">
        <v>46210.659722222219</v>
      </c>
      <c r="I9" t="s">
        <v>28</v>
      </c>
      <c r="Z9">
        <v>113848</v>
      </c>
    </row>
    <row r="10" spans="1:26" x14ac:dyDescent="0.25">
      <c r="A10" t="s">
        <v>499</v>
      </c>
      <c r="B10" t="s">
        <v>36</v>
      </c>
      <c r="C10" t="s">
        <v>27</v>
      </c>
      <c r="E10" t="s">
        <v>91</v>
      </c>
      <c r="H10" s="2">
        <v>46210.333333333336</v>
      </c>
      <c r="I10" t="s">
        <v>29</v>
      </c>
      <c r="K10" t="s">
        <v>37</v>
      </c>
      <c r="Z10">
        <v>113823</v>
      </c>
    </row>
    <row r="11" spans="1:26" x14ac:dyDescent="0.25">
      <c r="A11" t="s">
        <v>500</v>
      </c>
      <c r="B11" t="s">
        <v>26</v>
      </c>
      <c r="C11" t="s">
        <v>27</v>
      </c>
      <c r="H11" s="2">
        <v>46206.477777777778</v>
      </c>
      <c r="I11" t="s">
        <v>41</v>
      </c>
      <c r="K11" t="s">
        <v>30</v>
      </c>
      <c r="L11" t="s">
        <v>31</v>
      </c>
      <c r="M11">
        <v>710489513</v>
      </c>
      <c r="N11">
        <v>17738174274</v>
      </c>
      <c r="O11" t="s">
        <v>501</v>
      </c>
      <c r="P11" t="s">
        <v>502</v>
      </c>
      <c r="R11" s="17">
        <v>1.7830599999999999E+23</v>
      </c>
      <c r="S11" t="s">
        <v>32</v>
      </c>
      <c r="T11" t="s">
        <v>30</v>
      </c>
      <c r="U11" t="s">
        <v>31</v>
      </c>
      <c r="V11">
        <v>710489513</v>
      </c>
      <c r="W11">
        <v>17738174274</v>
      </c>
      <c r="X11" t="s">
        <v>501</v>
      </c>
      <c r="Y11">
        <v>4</v>
      </c>
      <c r="Z11">
        <v>113701</v>
      </c>
    </row>
    <row r="12" spans="1:26" x14ac:dyDescent="0.25">
      <c r="A12" t="s">
        <v>503</v>
      </c>
      <c r="B12" t="s">
        <v>26</v>
      </c>
      <c r="C12" t="s">
        <v>27</v>
      </c>
      <c r="H12" s="2">
        <v>46206.456250000003</v>
      </c>
      <c r="I12" t="s">
        <v>28</v>
      </c>
      <c r="K12" t="s">
        <v>33</v>
      </c>
      <c r="L12" t="s">
        <v>34</v>
      </c>
      <c r="M12" t="s">
        <v>35</v>
      </c>
      <c r="N12" t="s">
        <v>35</v>
      </c>
      <c r="O12" t="s">
        <v>35</v>
      </c>
      <c r="P12" t="s">
        <v>504</v>
      </c>
      <c r="R12" s="17">
        <v>1.7830599999999999E+23</v>
      </c>
      <c r="S12" t="s">
        <v>32</v>
      </c>
      <c r="T12" t="s">
        <v>33</v>
      </c>
      <c r="U12" t="s">
        <v>34</v>
      </c>
      <c r="V12" t="s">
        <v>35</v>
      </c>
      <c r="W12" t="s">
        <v>35</v>
      </c>
      <c r="X12" t="s">
        <v>35</v>
      </c>
      <c r="Y12">
        <v>1419</v>
      </c>
      <c r="Z12">
        <v>113699</v>
      </c>
    </row>
    <row r="13" spans="1:26" x14ac:dyDescent="0.25">
      <c r="A13" t="s">
        <v>505</v>
      </c>
      <c r="B13" t="s">
        <v>42</v>
      </c>
      <c r="C13" t="s">
        <v>27</v>
      </c>
      <c r="E13" t="s">
        <v>506</v>
      </c>
      <c r="H13" s="2">
        <v>46204.760416666664</v>
      </c>
      <c r="I13" t="s">
        <v>28</v>
      </c>
      <c r="Z13">
        <v>113655</v>
      </c>
    </row>
    <row r="14" spans="1:26" x14ac:dyDescent="0.25">
      <c r="A14" t="s">
        <v>489</v>
      </c>
      <c r="C14" t="s">
        <v>27</v>
      </c>
      <c r="E14" t="s">
        <v>507</v>
      </c>
      <c r="H14" s="2">
        <v>46201.978472222225</v>
      </c>
      <c r="I14" t="s">
        <v>41</v>
      </c>
      <c r="K14" t="s">
        <v>54</v>
      </c>
      <c r="L14" t="s">
        <v>31</v>
      </c>
      <c r="M14">
        <v>710489513</v>
      </c>
      <c r="N14">
        <v>17738174274</v>
      </c>
      <c r="O14" t="s">
        <v>59</v>
      </c>
      <c r="Z14">
        <v>113555</v>
      </c>
    </row>
    <row r="15" spans="1:26" x14ac:dyDescent="0.25">
      <c r="A15" t="s">
        <v>508</v>
      </c>
      <c r="C15" t="s">
        <v>27</v>
      </c>
      <c r="E15" t="s">
        <v>159</v>
      </c>
      <c r="H15" s="2">
        <v>46201.768750000003</v>
      </c>
      <c r="I15" t="s">
        <v>41</v>
      </c>
      <c r="K15" t="s">
        <v>54</v>
      </c>
      <c r="L15" t="s">
        <v>31</v>
      </c>
      <c r="M15">
        <v>710489513</v>
      </c>
      <c r="N15">
        <v>17738174274</v>
      </c>
      <c r="O15" t="s">
        <v>509</v>
      </c>
      <c r="Z15">
        <v>113552</v>
      </c>
    </row>
    <row r="16" spans="1:26" x14ac:dyDescent="0.25">
      <c r="A16" t="s">
        <v>510</v>
      </c>
      <c r="C16" t="s">
        <v>27</v>
      </c>
      <c r="E16" t="s">
        <v>511</v>
      </c>
      <c r="H16" s="2">
        <v>46201.656944444447</v>
      </c>
      <c r="I16" t="s">
        <v>40</v>
      </c>
      <c r="K16" t="s">
        <v>54</v>
      </c>
      <c r="L16" t="s">
        <v>31</v>
      </c>
      <c r="M16">
        <v>710489513</v>
      </c>
      <c r="N16">
        <v>17738174274</v>
      </c>
      <c r="O16" t="s">
        <v>512</v>
      </c>
      <c r="Z16">
        <v>113550</v>
      </c>
    </row>
    <row r="17" spans="1:26" x14ac:dyDescent="0.25">
      <c r="A17" t="s">
        <v>513</v>
      </c>
      <c r="B17" t="s">
        <v>26</v>
      </c>
      <c r="C17" t="s">
        <v>27</v>
      </c>
      <c r="H17" s="2">
        <v>46198.580555555556</v>
      </c>
      <c r="I17" t="s">
        <v>48</v>
      </c>
      <c r="Z17">
        <v>113460</v>
      </c>
    </row>
    <row r="18" spans="1:26" x14ac:dyDescent="0.25">
      <c r="A18" t="s">
        <v>514</v>
      </c>
      <c r="C18" t="s">
        <v>27</v>
      </c>
      <c r="E18" t="s">
        <v>88</v>
      </c>
      <c r="H18" s="2">
        <v>46198.397916666669</v>
      </c>
      <c r="I18" t="s">
        <v>48</v>
      </c>
      <c r="K18" t="s">
        <v>54</v>
      </c>
      <c r="L18" t="s">
        <v>31</v>
      </c>
      <c r="M18">
        <v>710489513</v>
      </c>
      <c r="N18">
        <v>17738174274</v>
      </c>
      <c r="O18" t="s">
        <v>515</v>
      </c>
      <c r="Z18">
        <v>113446</v>
      </c>
    </row>
    <row r="19" spans="1:26" x14ac:dyDescent="0.25">
      <c r="A19" t="s">
        <v>516</v>
      </c>
      <c r="B19" t="s">
        <v>42</v>
      </c>
      <c r="C19" t="s">
        <v>27</v>
      </c>
      <c r="E19" t="s">
        <v>517</v>
      </c>
      <c r="H19" s="2">
        <v>46197.869444444441</v>
      </c>
      <c r="I19" t="s">
        <v>29</v>
      </c>
      <c r="Z19">
        <v>113443</v>
      </c>
    </row>
    <row r="20" spans="1:26" x14ac:dyDescent="0.25">
      <c r="A20" t="s">
        <v>518</v>
      </c>
      <c r="B20" t="s">
        <v>42</v>
      </c>
      <c r="C20" t="s">
        <v>27</v>
      </c>
      <c r="E20" t="s">
        <v>153</v>
      </c>
      <c r="H20" s="2">
        <v>46197.850694444445</v>
      </c>
      <c r="I20" t="s">
        <v>29</v>
      </c>
      <c r="Z20">
        <v>113442</v>
      </c>
    </row>
    <row r="21" spans="1:26" x14ac:dyDescent="0.25">
      <c r="A21" t="s">
        <v>519</v>
      </c>
      <c r="C21" t="s">
        <v>57</v>
      </c>
      <c r="E21" t="s">
        <v>124</v>
      </c>
      <c r="H21" s="2">
        <v>46197.736805555556</v>
      </c>
      <c r="I21" t="s">
        <v>48</v>
      </c>
      <c r="K21" t="s">
        <v>54</v>
      </c>
      <c r="L21" t="s">
        <v>31</v>
      </c>
      <c r="M21">
        <v>710489513</v>
      </c>
      <c r="N21">
        <v>17738174274</v>
      </c>
      <c r="O21" t="s">
        <v>520</v>
      </c>
      <c r="Z21">
        <v>113432</v>
      </c>
    </row>
    <row r="22" spans="1:26" x14ac:dyDescent="0.25">
      <c r="A22" t="s">
        <v>521</v>
      </c>
      <c r="C22" t="s">
        <v>27</v>
      </c>
      <c r="E22" t="s">
        <v>51</v>
      </c>
      <c r="H22" s="2">
        <v>46197.71597222222</v>
      </c>
      <c r="I22" t="s">
        <v>48</v>
      </c>
      <c r="K22" t="s">
        <v>54</v>
      </c>
      <c r="L22" t="s">
        <v>31</v>
      </c>
      <c r="M22">
        <v>710489513</v>
      </c>
      <c r="N22">
        <v>17738174274</v>
      </c>
      <c r="O22" t="s">
        <v>522</v>
      </c>
      <c r="Z22">
        <v>113430</v>
      </c>
    </row>
    <row r="23" spans="1:26" x14ac:dyDescent="0.25">
      <c r="A23" t="s">
        <v>523</v>
      </c>
      <c r="B23" t="s">
        <v>26</v>
      </c>
      <c r="C23" t="s">
        <v>27</v>
      </c>
      <c r="H23" s="2">
        <v>46196.670138888891</v>
      </c>
      <c r="I23" t="s">
        <v>40</v>
      </c>
      <c r="Z23">
        <v>113389</v>
      </c>
    </row>
    <row r="24" spans="1:26" x14ac:dyDescent="0.25">
      <c r="A24" t="s">
        <v>524</v>
      </c>
      <c r="B24" t="s">
        <v>26</v>
      </c>
      <c r="C24" t="s">
        <v>27</v>
      </c>
      <c r="H24" s="2">
        <v>46196.381944444445</v>
      </c>
      <c r="I24" t="s">
        <v>40</v>
      </c>
      <c r="Z24">
        <v>113369</v>
      </c>
    </row>
    <row r="25" spans="1:26" x14ac:dyDescent="0.25">
      <c r="A25" t="s">
        <v>525</v>
      </c>
      <c r="B25" t="s">
        <v>26</v>
      </c>
      <c r="C25" t="s">
        <v>27</v>
      </c>
      <c r="H25" s="2">
        <v>46193.856249999997</v>
      </c>
      <c r="I25" t="s">
        <v>41</v>
      </c>
      <c r="Z25">
        <v>113316</v>
      </c>
    </row>
    <row r="26" spans="1:26" x14ac:dyDescent="0.25">
      <c r="A26" t="s">
        <v>526</v>
      </c>
      <c r="C26" t="s">
        <v>27</v>
      </c>
      <c r="E26" t="s">
        <v>58</v>
      </c>
      <c r="H26" s="2">
        <v>46192.743750000001</v>
      </c>
      <c r="I26" t="s">
        <v>48</v>
      </c>
      <c r="K26" t="s">
        <v>54</v>
      </c>
      <c r="L26" t="s">
        <v>31</v>
      </c>
      <c r="M26">
        <v>710489513</v>
      </c>
      <c r="N26">
        <v>17738174274</v>
      </c>
      <c r="O26" t="s">
        <v>527</v>
      </c>
      <c r="Z26">
        <v>113284</v>
      </c>
    </row>
    <row r="27" spans="1:26" x14ac:dyDescent="0.25">
      <c r="A27" t="s">
        <v>528</v>
      </c>
      <c r="B27" t="s">
        <v>26</v>
      </c>
      <c r="C27" t="s">
        <v>27</v>
      </c>
      <c r="H27" s="2">
        <v>46188.65</v>
      </c>
      <c r="I27" t="s">
        <v>29</v>
      </c>
      <c r="Z27">
        <v>113129</v>
      </c>
    </row>
    <row r="28" spans="1:26" x14ac:dyDescent="0.25">
      <c r="A28" t="s">
        <v>529</v>
      </c>
      <c r="B28" t="s">
        <v>72</v>
      </c>
      <c r="C28" t="s">
        <v>27</v>
      </c>
      <c r="E28" s="1" t="s">
        <v>75</v>
      </c>
      <c r="H28" s="2">
        <v>46188.636111111111</v>
      </c>
      <c r="I28" t="s">
        <v>29</v>
      </c>
      <c r="Z28">
        <v>113126</v>
      </c>
    </row>
    <row r="29" spans="1:26" x14ac:dyDescent="0.25">
      <c r="A29" t="s">
        <v>530</v>
      </c>
      <c r="B29" t="s">
        <v>72</v>
      </c>
      <c r="C29" t="s">
        <v>27</v>
      </c>
      <c r="E29" s="1" t="s">
        <v>75</v>
      </c>
      <c r="H29" s="2">
        <v>46188.565972222219</v>
      </c>
      <c r="I29" t="s">
        <v>29</v>
      </c>
      <c r="Z29">
        <v>113115</v>
      </c>
    </row>
    <row r="30" spans="1:26" x14ac:dyDescent="0.25">
      <c r="A30" t="s">
        <v>531</v>
      </c>
      <c r="B30" t="s">
        <v>72</v>
      </c>
      <c r="C30" t="s">
        <v>27</v>
      </c>
      <c r="E30" s="1" t="s">
        <v>75</v>
      </c>
      <c r="H30" s="2">
        <v>46188.500694444447</v>
      </c>
      <c r="I30" t="s">
        <v>29</v>
      </c>
      <c r="Z30">
        <v>113104</v>
      </c>
    </row>
    <row r="31" spans="1:26" x14ac:dyDescent="0.25">
      <c r="A31" t="s">
        <v>532</v>
      </c>
      <c r="B31" t="s">
        <v>72</v>
      </c>
      <c r="C31" t="s">
        <v>77</v>
      </c>
      <c r="E31" s="1" t="s">
        <v>75</v>
      </c>
      <c r="H31" s="2">
        <v>46188.500694444447</v>
      </c>
      <c r="I31" t="s">
        <v>29</v>
      </c>
      <c r="Z31">
        <v>113101</v>
      </c>
    </row>
    <row r="32" spans="1:26" x14ac:dyDescent="0.25">
      <c r="A32" t="s">
        <v>533</v>
      </c>
      <c r="B32" t="s">
        <v>72</v>
      </c>
      <c r="C32" t="s">
        <v>27</v>
      </c>
      <c r="E32" s="1" t="s">
        <v>75</v>
      </c>
      <c r="H32" s="2">
        <v>46186.65625</v>
      </c>
      <c r="I32" t="s">
        <v>29</v>
      </c>
      <c r="Z32">
        <v>113063</v>
      </c>
    </row>
    <row r="33" spans="1:26" x14ac:dyDescent="0.25">
      <c r="A33" t="s">
        <v>534</v>
      </c>
      <c r="B33" t="s">
        <v>72</v>
      </c>
      <c r="C33" t="s">
        <v>77</v>
      </c>
      <c r="E33" s="1" t="s">
        <v>75</v>
      </c>
      <c r="H33" s="2">
        <v>46186.65625</v>
      </c>
      <c r="I33" t="s">
        <v>29</v>
      </c>
      <c r="Z33">
        <v>113062</v>
      </c>
    </row>
    <row r="34" spans="1:26" x14ac:dyDescent="0.25">
      <c r="A34" t="s">
        <v>535</v>
      </c>
      <c r="B34" t="s">
        <v>72</v>
      </c>
      <c r="C34" t="s">
        <v>27</v>
      </c>
      <c r="E34" s="1" t="s">
        <v>75</v>
      </c>
      <c r="H34" s="2">
        <v>46186.65625</v>
      </c>
      <c r="I34" t="s">
        <v>29</v>
      </c>
      <c r="Z34">
        <v>113061</v>
      </c>
    </row>
    <row r="35" spans="1:26" x14ac:dyDescent="0.25">
      <c r="A35" t="s">
        <v>536</v>
      </c>
      <c r="B35" t="s">
        <v>26</v>
      </c>
      <c r="C35" t="s">
        <v>27</v>
      </c>
      <c r="H35" s="2">
        <v>46185.833333333336</v>
      </c>
      <c r="I35" t="s">
        <v>48</v>
      </c>
      <c r="Z35">
        <v>113044</v>
      </c>
    </row>
    <row r="36" spans="1:26" x14ac:dyDescent="0.25">
      <c r="A36" t="s">
        <v>489</v>
      </c>
      <c r="B36" t="s">
        <v>26</v>
      </c>
      <c r="C36" t="s">
        <v>27</v>
      </c>
      <c r="H36" s="2">
        <v>46181.734722222223</v>
      </c>
      <c r="I36" t="s">
        <v>29</v>
      </c>
      <c r="Z36">
        <v>112910</v>
      </c>
    </row>
    <row r="37" spans="1:26" x14ac:dyDescent="0.25">
      <c r="A37" t="s">
        <v>537</v>
      </c>
      <c r="B37" t="s">
        <v>72</v>
      </c>
      <c r="C37" t="s">
        <v>57</v>
      </c>
      <c r="E37" s="1" t="s">
        <v>75</v>
      </c>
      <c r="H37" s="2">
        <v>46181.462500000001</v>
      </c>
      <c r="I37" t="s">
        <v>29</v>
      </c>
      <c r="Z37">
        <v>112881</v>
      </c>
    </row>
    <row r="38" spans="1:26" x14ac:dyDescent="0.25">
      <c r="A38" t="s">
        <v>538</v>
      </c>
      <c r="B38" t="s">
        <v>46</v>
      </c>
      <c r="C38" t="s">
        <v>27</v>
      </c>
      <c r="E38" t="s">
        <v>81</v>
      </c>
      <c r="G38" t="s">
        <v>539</v>
      </c>
      <c r="H38" s="2">
        <v>46181.402083333334</v>
      </c>
      <c r="I38" t="s">
        <v>29</v>
      </c>
      <c r="Z38">
        <v>112879</v>
      </c>
    </row>
    <row r="39" spans="1:26" x14ac:dyDescent="0.25">
      <c r="A39" t="s">
        <v>540</v>
      </c>
      <c r="B39" t="s">
        <v>72</v>
      </c>
      <c r="C39" t="s">
        <v>27</v>
      </c>
      <c r="E39" s="1" t="s">
        <v>75</v>
      </c>
      <c r="H39" s="2">
        <v>46180.695138888892</v>
      </c>
      <c r="I39" t="s">
        <v>40</v>
      </c>
      <c r="Z39">
        <v>112862</v>
      </c>
    </row>
    <row r="40" spans="1:26" x14ac:dyDescent="0.25">
      <c r="A40" t="s">
        <v>541</v>
      </c>
      <c r="B40" t="s">
        <v>72</v>
      </c>
      <c r="C40" t="s">
        <v>27</v>
      </c>
      <c r="E40" s="1" t="s">
        <v>75</v>
      </c>
      <c r="H40" s="2">
        <v>46180.695138888892</v>
      </c>
      <c r="I40" t="s">
        <v>40</v>
      </c>
      <c r="Z40">
        <v>112861</v>
      </c>
    </row>
    <row r="41" spans="1:26" x14ac:dyDescent="0.25">
      <c r="A41" t="s">
        <v>542</v>
      </c>
      <c r="B41" t="s">
        <v>26</v>
      </c>
      <c r="C41" t="s">
        <v>27</v>
      </c>
      <c r="H41" s="2">
        <v>46177.706250000003</v>
      </c>
      <c r="I41" t="s">
        <v>40</v>
      </c>
      <c r="Z41">
        <v>112779</v>
      </c>
    </row>
    <row r="42" spans="1:26" x14ac:dyDescent="0.25">
      <c r="A42" t="s">
        <v>543</v>
      </c>
      <c r="B42" t="s">
        <v>26</v>
      </c>
      <c r="C42" t="s">
        <v>27</v>
      </c>
      <c r="H42" s="2">
        <v>46176.506944444445</v>
      </c>
      <c r="I42" t="s">
        <v>41</v>
      </c>
      <c r="Z42">
        <v>112727</v>
      </c>
    </row>
    <row r="43" spans="1:26" x14ac:dyDescent="0.25">
      <c r="A43" t="s">
        <v>544</v>
      </c>
      <c r="B43" t="s">
        <v>26</v>
      </c>
      <c r="C43" t="s">
        <v>27</v>
      </c>
      <c r="H43" s="2">
        <v>46175.640972222223</v>
      </c>
      <c r="I43" t="s">
        <v>29</v>
      </c>
      <c r="Z43">
        <v>112696</v>
      </c>
    </row>
    <row r="44" spans="1:26" x14ac:dyDescent="0.25">
      <c r="A44" t="s">
        <v>545</v>
      </c>
      <c r="B44" t="s">
        <v>26</v>
      </c>
      <c r="C44" t="s">
        <v>143</v>
      </c>
      <c r="H44" s="2">
        <v>46175.55</v>
      </c>
      <c r="I44" t="s">
        <v>29</v>
      </c>
      <c r="Z44">
        <v>112685</v>
      </c>
    </row>
    <row r="45" spans="1:26" x14ac:dyDescent="0.25">
      <c r="A45" t="s">
        <v>546</v>
      </c>
      <c r="B45" t="s">
        <v>26</v>
      </c>
      <c r="C45" t="s">
        <v>27</v>
      </c>
      <c r="H45" s="2">
        <v>46173.646527777775</v>
      </c>
      <c r="I45" t="s">
        <v>29</v>
      </c>
      <c r="Z45">
        <v>112625</v>
      </c>
    </row>
    <row r="46" spans="1:26" x14ac:dyDescent="0.25">
      <c r="A46" t="s">
        <v>547</v>
      </c>
      <c r="B46" t="s">
        <v>26</v>
      </c>
      <c r="C46" t="s">
        <v>27</v>
      </c>
      <c r="H46" s="2">
        <v>46173.613888888889</v>
      </c>
      <c r="I46" t="s">
        <v>40</v>
      </c>
      <c r="Z46">
        <v>112621</v>
      </c>
    </row>
    <row r="47" spans="1:26" x14ac:dyDescent="0.25">
      <c r="A47" t="s">
        <v>548</v>
      </c>
      <c r="B47" t="s">
        <v>26</v>
      </c>
      <c r="C47" t="s">
        <v>27</v>
      </c>
      <c r="H47" s="2">
        <v>46164.754861111112</v>
      </c>
      <c r="I47" t="s">
        <v>29</v>
      </c>
      <c r="Z47">
        <v>112392</v>
      </c>
    </row>
    <row r="48" spans="1:26" x14ac:dyDescent="0.25">
      <c r="A48" t="s">
        <v>549</v>
      </c>
      <c r="B48" t="s">
        <v>26</v>
      </c>
      <c r="C48" t="s">
        <v>27</v>
      </c>
      <c r="H48" s="2">
        <v>46160.522916666669</v>
      </c>
      <c r="I48" t="s">
        <v>41</v>
      </c>
      <c r="Z48">
        <v>112206</v>
      </c>
    </row>
    <row r="49" spans="1:26" x14ac:dyDescent="0.25">
      <c r="A49" t="s">
        <v>550</v>
      </c>
      <c r="B49" t="s">
        <v>26</v>
      </c>
      <c r="C49" t="s">
        <v>27</v>
      </c>
      <c r="H49" s="2">
        <v>46158.761111111111</v>
      </c>
      <c r="I49" t="s">
        <v>29</v>
      </c>
      <c r="Z49">
        <v>112160</v>
      </c>
    </row>
    <row r="50" spans="1:26" x14ac:dyDescent="0.25">
      <c r="A50" t="s">
        <v>551</v>
      </c>
      <c r="B50" t="s">
        <v>26</v>
      </c>
      <c r="C50" t="s">
        <v>27</v>
      </c>
      <c r="H50" s="2">
        <v>46155.640972222223</v>
      </c>
      <c r="I50" t="s">
        <v>40</v>
      </c>
      <c r="Z50">
        <v>112031</v>
      </c>
    </row>
    <row r="51" spans="1:26" x14ac:dyDescent="0.25">
      <c r="A51" t="s">
        <v>552</v>
      </c>
      <c r="B51" t="s">
        <v>26</v>
      </c>
      <c r="C51" t="s">
        <v>27</v>
      </c>
      <c r="H51" s="2">
        <v>46154.533333333333</v>
      </c>
      <c r="I51" t="s">
        <v>40</v>
      </c>
      <c r="Z51">
        <v>111978</v>
      </c>
    </row>
    <row r="52" spans="1:26" x14ac:dyDescent="0.25">
      <c r="A52" t="s">
        <v>553</v>
      </c>
      <c r="B52" t="s">
        <v>26</v>
      </c>
      <c r="C52" t="s">
        <v>27</v>
      </c>
      <c r="H52" s="2">
        <v>46153.605555555558</v>
      </c>
      <c r="I52" t="s">
        <v>40</v>
      </c>
      <c r="Z52">
        <v>111954</v>
      </c>
    </row>
    <row r="53" spans="1:26" x14ac:dyDescent="0.25">
      <c r="A53" t="s">
        <v>554</v>
      </c>
      <c r="B53" t="s">
        <v>26</v>
      </c>
      <c r="C53" t="s">
        <v>39</v>
      </c>
      <c r="H53" s="2">
        <v>46149.893750000003</v>
      </c>
      <c r="I53" t="s">
        <v>40</v>
      </c>
      <c r="Z53">
        <v>111857</v>
      </c>
    </row>
    <row r="54" spans="1:26" x14ac:dyDescent="0.25">
      <c r="A54" t="s">
        <v>555</v>
      </c>
      <c r="B54" t="s">
        <v>26</v>
      </c>
      <c r="C54" t="s">
        <v>27</v>
      </c>
      <c r="H54" s="2">
        <v>46148.617361111108</v>
      </c>
      <c r="I54" t="s">
        <v>41</v>
      </c>
      <c r="Z54">
        <v>111815</v>
      </c>
    </row>
    <row r="55" spans="1:26" x14ac:dyDescent="0.25">
      <c r="A55" t="s">
        <v>556</v>
      </c>
      <c r="B55" t="s">
        <v>26</v>
      </c>
      <c r="C55" t="s">
        <v>27</v>
      </c>
      <c r="H55" s="2">
        <v>46146.711111111108</v>
      </c>
      <c r="I55" t="s">
        <v>29</v>
      </c>
      <c r="Z55">
        <v>111734</v>
      </c>
    </row>
    <row r="56" spans="1:26" x14ac:dyDescent="0.25">
      <c r="A56" t="s">
        <v>557</v>
      </c>
      <c r="B56" t="s">
        <v>26</v>
      </c>
      <c r="C56" t="s">
        <v>27</v>
      </c>
      <c r="H56" s="2">
        <v>46146.651388888888</v>
      </c>
      <c r="I56" t="s">
        <v>41</v>
      </c>
      <c r="Z56">
        <v>111727</v>
      </c>
    </row>
    <row r="57" spans="1:26" x14ac:dyDescent="0.25">
      <c r="A57" t="s">
        <v>558</v>
      </c>
      <c r="B57" t="s">
        <v>26</v>
      </c>
      <c r="C57" t="s">
        <v>27</v>
      </c>
      <c r="H57" s="2">
        <v>46137.78125</v>
      </c>
      <c r="I57" t="s">
        <v>40</v>
      </c>
      <c r="Z57">
        <v>111434</v>
      </c>
    </row>
    <row r="58" spans="1:26" x14ac:dyDescent="0.25">
      <c r="A58" t="s">
        <v>559</v>
      </c>
      <c r="B58" t="s">
        <v>46</v>
      </c>
      <c r="C58" t="s">
        <v>27</v>
      </c>
      <c r="E58" t="s">
        <v>76</v>
      </c>
      <c r="G58" t="s">
        <v>560</v>
      </c>
      <c r="H58" s="2">
        <v>46134.654166666667</v>
      </c>
      <c r="I58" t="s">
        <v>41</v>
      </c>
      <c r="Z58">
        <v>111341</v>
      </c>
    </row>
    <row r="59" spans="1:26" x14ac:dyDescent="0.25">
      <c r="A59" t="s">
        <v>561</v>
      </c>
      <c r="B59" t="s">
        <v>26</v>
      </c>
      <c r="C59" t="s">
        <v>27</v>
      </c>
      <c r="H59" s="2">
        <v>46132.679861111108</v>
      </c>
      <c r="I59" t="s">
        <v>84</v>
      </c>
      <c r="Z59">
        <v>111285</v>
      </c>
    </row>
    <row r="60" spans="1:26" x14ac:dyDescent="0.25">
      <c r="A60" t="s">
        <v>562</v>
      </c>
      <c r="B60" t="s">
        <v>46</v>
      </c>
      <c r="C60" t="s">
        <v>27</v>
      </c>
      <c r="E60" t="s">
        <v>51</v>
      </c>
      <c r="G60" t="s">
        <v>563</v>
      </c>
      <c r="H60" s="2">
        <v>46125.388194444444</v>
      </c>
      <c r="I60" t="s">
        <v>29</v>
      </c>
      <c r="Z60">
        <v>111005</v>
      </c>
    </row>
    <row r="61" spans="1:26" x14ac:dyDescent="0.25">
      <c r="A61" t="s">
        <v>564</v>
      </c>
      <c r="B61" t="s">
        <v>46</v>
      </c>
      <c r="C61" t="s">
        <v>27</v>
      </c>
      <c r="E61" t="s">
        <v>62</v>
      </c>
      <c r="G61" t="s">
        <v>565</v>
      </c>
      <c r="H61" s="2">
        <v>46123.947222222225</v>
      </c>
      <c r="I61" t="s">
        <v>40</v>
      </c>
      <c r="Z61">
        <v>110982</v>
      </c>
    </row>
    <row r="62" spans="1:26" x14ac:dyDescent="0.25">
      <c r="A62" t="s">
        <v>566</v>
      </c>
      <c r="B62" t="s">
        <v>26</v>
      </c>
      <c r="C62" t="s">
        <v>27</v>
      </c>
      <c r="H62" s="2">
        <v>46120.758333333331</v>
      </c>
      <c r="I62" t="s">
        <v>84</v>
      </c>
      <c r="Z62">
        <v>110863</v>
      </c>
    </row>
    <row r="63" spans="1:26" x14ac:dyDescent="0.25">
      <c r="A63" t="s">
        <v>567</v>
      </c>
      <c r="B63" t="s">
        <v>26</v>
      </c>
      <c r="C63" t="s">
        <v>27</v>
      </c>
      <c r="H63" s="2">
        <v>46120.600694444445</v>
      </c>
      <c r="I63" t="s">
        <v>29</v>
      </c>
      <c r="Z63">
        <v>110852</v>
      </c>
    </row>
    <row r="64" spans="1:26" x14ac:dyDescent="0.25">
      <c r="A64" t="s">
        <v>568</v>
      </c>
      <c r="B64" t="s">
        <v>26</v>
      </c>
      <c r="C64" t="s">
        <v>27</v>
      </c>
      <c r="H64" s="2">
        <v>46119.693749999999</v>
      </c>
      <c r="I64" t="s">
        <v>40</v>
      </c>
      <c r="Z64">
        <v>110804</v>
      </c>
    </row>
    <row r="65" spans="1:26" x14ac:dyDescent="0.25">
      <c r="A65" t="s">
        <v>569</v>
      </c>
      <c r="B65" t="s">
        <v>26</v>
      </c>
      <c r="C65" t="s">
        <v>27</v>
      </c>
      <c r="H65" s="2">
        <v>46116.547222222223</v>
      </c>
      <c r="I65" t="s">
        <v>84</v>
      </c>
      <c r="Z65">
        <v>110684</v>
      </c>
    </row>
    <row r="66" spans="1:26" x14ac:dyDescent="0.25">
      <c r="A66" t="s">
        <v>570</v>
      </c>
      <c r="B66" t="s">
        <v>26</v>
      </c>
      <c r="C66" t="s">
        <v>27</v>
      </c>
      <c r="H66" s="2">
        <v>46112.472916666666</v>
      </c>
      <c r="I66" t="s">
        <v>41</v>
      </c>
      <c r="Z66">
        <v>110473</v>
      </c>
    </row>
    <row r="67" spans="1:26" x14ac:dyDescent="0.25">
      <c r="A67" t="s">
        <v>571</v>
      </c>
      <c r="B67" t="s">
        <v>26</v>
      </c>
      <c r="C67" t="s">
        <v>27</v>
      </c>
      <c r="H67" s="2">
        <v>46111.383333333331</v>
      </c>
      <c r="I67" t="s">
        <v>41</v>
      </c>
      <c r="Z67">
        <v>110385</v>
      </c>
    </row>
    <row r="68" spans="1:26" x14ac:dyDescent="0.25">
      <c r="A68" t="s">
        <v>572</v>
      </c>
      <c r="B68" t="s">
        <v>26</v>
      </c>
      <c r="C68" t="s">
        <v>27</v>
      </c>
      <c r="H68" s="2">
        <v>46110.611111111109</v>
      </c>
      <c r="I68" t="s">
        <v>41</v>
      </c>
      <c r="Z68">
        <v>110355</v>
      </c>
    </row>
    <row r="69" spans="1:26" x14ac:dyDescent="0.25">
      <c r="A69" t="s">
        <v>562</v>
      </c>
      <c r="B69" t="s">
        <v>46</v>
      </c>
      <c r="C69" t="s">
        <v>27</v>
      </c>
      <c r="E69" t="s">
        <v>223</v>
      </c>
      <c r="G69" t="s">
        <v>223</v>
      </c>
      <c r="H69" s="2">
        <v>46095.726388888892</v>
      </c>
      <c r="I69" t="s">
        <v>29</v>
      </c>
      <c r="Z69">
        <v>109699</v>
      </c>
    </row>
    <row r="70" spans="1:26" x14ac:dyDescent="0.25">
      <c r="A70" t="s">
        <v>573</v>
      </c>
      <c r="B70" t="s">
        <v>42</v>
      </c>
      <c r="C70" t="s">
        <v>27</v>
      </c>
      <c r="E70" t="s">
        <v>66</v>
      </c>
      <c r="H70" s="2">
        <v>46095.469444444447</v>
      </c>
      <c r="I70" t="s">
        <v>29</v>
      </c>
      <c r="Z70">
        <v>109681</v>
      </c>
    </row>
    <row r="71" spans="1:26" x14ac:dyDescent="0.25">
      <c r="A71" t="s">
        <v>489</v>
      </c>
      <c r="B71" t="s">
        <v>26</v>
      </c>
      <c r="C71" t="s">
        <v>27</v>
      </c>
      <c r="H71" s="2">
        <v>46091.698611111111</v>
      </c>
      <c r="I71" t="s">
        <v>29</v>
      </c>
      <c r="Z71">
        <v>109595</v>
      </c>
    </row>
    <row r="72" spans="1:26" x14ac:dyDescent="0.25">
      <c r="A72" t="s">
        <v>574</v>
      </c>
      <c r="B72" t="s">
        <v>26</v>
      </c>
      <c r="C72" t="s">
        <v>27</v>
      </c>
      <c r="H72" s="2">
        <v>46089.844444444447</v>
      </c>
      <c r="I72" t="s">
        <v>40</v>
      </c>
      <c r="Z72">
        <v>109537</v>
      </c>
    </row>
    <row r="73" spans="1:26" x14ac:dyDescent="0.25">
      <c r="A73" t="s">
        <v>575</v>
      </c>
      <c r="B73" t="s">
        <v>42</v>
      </c>
      <c r="C73" t="s">
        <v>27</v>
      </c>
      <c r="E73" t="s">
        <v>116</v>
      </c>
      <c r="H73" s="2">
        <v>46089.840277777781</v>
      </c>
      <c r="I73" t="s">
        <v>29</v>
      </c>
      <c r="Z73">
        <v>109536</v>
      </c>
    </row>
    <row r="74" spans="1:26" x14ac:dyDescent="0.25">
      <c r="A74" t="s">
        <v>576</v>
      </c>
      <c r="B74" t="s">
        <v>26</v>
      </c>
      <c r="C74" t="s">
        <v>27</v>
      </c>
      <c r="H74" s="2">
        <v>46087.525000000001</v>
      </c>
      <c r="I74" t="s">
        <v>41</v>
      </c>
      <c r="Z74">
        <v>109474</v>
      </c>
    </row>
    <row r="75" spans="1:26" x14ac:dyDescent="0.25">
      <c r="A75" t="s">
        <v>577</v>
      </c>
      <c r="B75" t="s">
        <v>42</v>
      </c>
      <c r="C75" t="s">
        <v>27</v>
      </c>
      <c r="E75" t="s">
        <v>578</v>
      </c>
      <c r="G75" t="s">
        <v>579</v>
      </c>
      <c r="H75" s="2">
        <v>46085.588194444441</v>
      </c>
      <c r="I75" t="s">
        <v>29</v>
      </c>
      <c r="Z75">
        <v>109421</v>
      </c>
    </row>
    <row r="76" spans="1:26" x14ac:dyDescent="0.25">
      <c r="A76" t="s">
        <v>562</v>
      </c>
      <c r="B76" t="s">
        <v>26</v>
      </c>
      <c r="C76" t="s">
        <v>27</v>
      </c>
      <c r="H76" s="2">
        <v>46083.513194444444</v>
      </c>
      <c r="I76" t="s">
        <v>29</v>
      </c>
      <c r="Z76">
        <v>109377</v>
      </c>
    </row>
    <row r="77" spans="1:26" x14ac:dyDescent="0.25">
      <c r="A77" t="s">
        <v>580</v>
      </c>
      <c r="B77" t="s">
        <v>26</v>
      </c>
      <c r="C77" t="s">
        <v>27</v>
      </c>
      <c r="H77" s="2">
        <v>46081.424305555556</v>
      </c>
      <c r="I77" t="s">
        <v>41</v>
      </c>
      <c r="Z77">
        <v>109341</v>
      </c>
    </row>
    <row r="78" spans="1:26" x14ac:dyDescent="0.25">
      <c r="A78" t="s">
        <v>581</v>
      </c>
      <c r="B78" t="s">
        <v>42</v>
      </c>
      <c r="C78" t="s">
        <v>27</v>
      </c>
      <c r="E78" t="s">
        <v>109</v>
      </c>
      <c r="H78" s="2">
        <v>46076.830555555556</v>
      </c>
      <c r="I78" t="s">
        <v>40</v>
      </c>
      <c r="Z78">
        <v>109220</v>
      </c>
    </row>
    <row r="79" spans="1:26" x14ac:dyDescent="0.25">
      <c r="A79" t="s">
        <v>582</v>
      </c>
      <c r="B79" t="s">
        <v>42</v>
      </c>
      <c r="C79" t="s">
        <v>27</v>
      </c>
      <c r="E79" t="s">
        <v>104</v>
      </c>
      <c r="G79" t="s">
        <v>583</v>
      </c>
      <c r="H79" s="2">
        <v>46075.897222222222</v>
      </c>
      <c r="I79" t="s">
        <v>40</v>
      </c>
      <c r="Z79">
        <v>109187</v>
      </c>
    </row>
    <row r="80" spans="1:26" x14ac:dyDescent="0.25">
      <c r="A80" t="s">
        <v>584</v>
      </c>
      <c r="B80" t="s">
        <v>42</v>
      </c>
      <c r="C80" t="s">
        <v>27</v>
      </c>
      <c r="E80" t="s">
        <v>585</v>
      </c>
      <c r="H80" s="2">
        <v>46065.747916666667</v>
      </c>
      <c r="I80" t="s">
        <v>40</v>
      </c>
      <c r="Z80">
        <v>108958</v>
      </c>
    </row>
    <row r="81" spans="1:26" x14ac:dyDescent="0.25">
      <c r="A81" t="s">
        <v>586</v>
      </c>
      <c r="B81" t="s">
        <v>26</v>
      </c>
      <c r="C81" t="s">
        <v>27</v>
      </c>
      <c r="H81" s="2">
        <v>46051.492361111108</v>
      </c>
      <c r="I81" t="s">
        <v>40</v>
      </c>
      <c r="Z81">
        <v>108612</v>
      </c>
    </row>
    <row r="82" spans="1:26" x14ac:dyDescent="0.25">
      <c r="A82" t="s">
        <v>587</v>
      </c>
      <c r="B82" t="s">
        <v>42</v>
      </c>
      <c r="C82" t="s">
        <v>27</v>
      </c>
      <c r="E82" t="s">
        <v>588</v>
      </c>
      <c r="H82" s="2">
        <v>46050.888194444444</v>
      </c>
      <c r="I82" t="s">
        <v>41</v>
      </c>
      <c r="Z82">
        <v>108606</v>
      </c>
    </row>
    <row r="83" spans="1:26" x14ac:dyDescent="0.25">
      <c r="A83" t="s">
        <v>589</v>
      </c>
      <c r="B83" t="s">
        <v>26</v>
      </c>
      <c r="C83" t="s">
        <v>27</v>
      </c>
      <c r="H83" s="2">
        <v>46050.642361111109</v>
      </c>
      <c r="I83" t="s">
        <v>84</v>
      </c>
      <c r="Z83">
        <v>108592</v>
      </c>
    </row>
    <row r="84" spans="1:26" x14ac:dyDescent="0.25">
      <c r="A84" t="s">
        <v>590</v>
      </c>
      <c r="B84" t="s">
        <v>26</v>
      </c>
      <c r="C84" t="s">
        <v>27</v>
      </c>
      <c r="H84" s="2">
        <v>46050.558333333334</v>
      </c>
      <c r="I84" t="s">
        <v>41</v>
      </c>
      <c r="Z84">
        <v>108588</v>
      </c>
    </row>
    <row r="85" spans="1:26" x14ac:dyDescent="0.25">
      <c r="A85" t="s">
        <v>591</v>
      </c>
      <c r="B85" t="s">
        <v>42</v>
      </c>
      <c r="C85" t="s">
        <v>27</v>
      </c>
      <c r="E85" t="s">
        <v>80</v>
      </c>
      <c r="H85" s="2">
        <v>46050.556250000001</v>
      </c>
      <c r="I85" t="s">
        <v>41</v>
      </c>
      <c r="Z85">
        <v>108587</v>
      </c>
    </row>
    <row r="86" spans="1:26" x14ac:dyDescent="0.25">
      <c r="A86" t="s">
        <v>592</v>
      </c>
      <c r="B86" t="s">
        <v>26</v>
      </c>
      <c r="C86" t="s">
        <v>27</v>
      </c>
      <c r="H86" s="2">
        <v>46050.425694444442</v>
      </c>
      <c r="I86" t="s">
        <v>84</v>
      </c>
      <c r="Z86">
        <v>108571</v>
      </c>
    </row>
    <row r="87" spans="1:26" x14ac:dyDescent="0.25">
      <c r="A87" t="s">
        <v>593</v>
      </c>
      <c r="B87" t="s">
        <v>26</v>
      </c>
      <c r="C87" t="s">
        <v>27</v>
      </c>
      <c r="H87" s="2">
        <v>46045.561111111114</v>
      </c>
      <c r="I87" t="s">
        <v>41</v>
      </c>
      <c r="Z87">
        <v>108456</v>
      </c>
    </row>
    <row r="88" spans="1:26" x14ac:dyDescent="0.25">
      <c r="A88" t="s">
        <v>594</v>
      </c>
      <c r="B88" t="s">
        <v>26</v>
      </c>
      <c r="C88" t="s">
        <v>27</v>
      </c>
      <c r="H88" s="2">
        <v>46043.654861111114</v>
      </c>
      <c r="I88" t="s">
        <v>84</v>
      </c>
      <c r="Z88">
        <v>108398</v>
      </c>
    </row>
    <row r="89" spans="1:26" x14ac:dyDescent="0.25">
      <c r="A89" t="s">
        <v>595</v>
      </c>
      <c r="B89" t="s">
        <v>42</v>
      </c>
      <c r="C89" t="s">
        <v>27</v>
      </c>
      <c r="E89" t="s">
        <v>596</v>
      </c>
      <c r="G89" t="s">
        <v>597</v>
      </c>
      <c r="H89" s="2">
        <v>46043.65347222222</v>
      </c>
      <c r="I89" t="s">
        <v>84</v>
      </c>
      <c r="Z89">
        <v>108397</v>
      </c>
    </row>
    <row r="90" spans="1:26" x14ac:dyDescent="0.25">
      <c r="A90" t="s">
        <v>598</v>
      </c>
      <c r="B90" t="s">
        <v>42</v>
      </c>
      <c r="C90" t="s">
        <v>27</v>
      </c>
      <c r="E90" t="s">
        <v>80</v>
      </c>
      <c r="H90" s="2">
        <v>46043.481944444444</v>
      </c>
      <c r="I90" t="s">
        <v>29</v>
      </c>
      <c r="Z90">
        <v>108384</v>
      </c>
    </row>
    <row r="91" spans="1:26" x14ac:dyDescent="0.25">
      <c r="A91" t="s">
        <v>599</v>
      </c>
      <c r="B91" t="s">
        <v>42</v>
      </c>
      <c r="C91" t="s">
        <v>27</v>
      </c>
      <c r="E91" t="s">
        <v>80</v>
      </c>
      <c r="H91" s="2">
        <v>46041.949305555558</v>
      </c>
      <c r="I91" t="s">
        <v>29</v>
      </c>
      <c r="Z91">
        <v>108349</v>
      </c>
    </row>
    <row r="92" spans="1:26" x14ac:dyDescent="0.25">
      <c r="A92" t="s">
        <v>600</v>
      </c>
      <c r="B92" t="s">
        <v>46</v>
      </c>
      <c r="C92" t="s">
        <v>27</v>
      </c>
      <c r="E92" t="s">
        <v>45</v>
      </c>
      <c r="G92" t="s">
        <v>601</v>
      </c>
      <c r="H92" s="2">
        <v>46041.731944444444</v>
      </c>
      <c r="I92" t="s">
        <v>29</v>
      </c>
      <c r="K92" t="s">
        <v>30</v>
      </c>
      <c r="L92" t="s">
        <v>31</v>
      </c>
      <c r="M92" t="s">
        <v>82</v>
      </c>
      <c r="N92">
        <v>17138766914</v>
      </c>
      <c r="O92" t="s">
        <v>602</v>
      </c>
      <c r="Z92">
        <v>108343</v>
      </c>
    </row>
    <row r="93" spans="1:26" x14ac:dyDescent="0.25">
      <c r="A93" t="s">
        <v>603</v>
      </c>
      <c r="B93" t="s">
        <v>42</v>
      </c>
      <c r="C93" t="s">
        <v>27</v>
      </c>
      <c r="E93" t="s">
        <v>81</v>
      </c>
      <c r="H93" s="2">
        <v>46041.48541666667</v>
      </c>
      <c r="I93" t="s">
        <v>29</v>
      </c>
      <c r="Z93">
        <v>108328</v>
      </c>
    </row>
    <row r="94" spans="1:26" x14ac:dyDescent="0.25">
      <c r="A94" t="s">
        <v>604</v>
      </c>
      <c r="B94" t="s">
        <v>26</v>
      </c>
      <c r="C94" t="s">
        <v>27</v>
      </c>
      <c r="H94" s="2">
        <v>46040.60833333333</v>
      </c>
      <c r="I94" t="s">
        <v>41</v>
      </c>
      <c r="Z94">
        <v>108296</v>
      </c>
    </row>
    <row r="95" spans="1:26" x14ac:dyDescent="0.25">
      <c r="A95" t="s">
        <v>605</v>
      </c>
      <c r="B95" t="s">
        <v>26</v>
      </c>
      <c r="C95" t="s">
        <v>27</v>
      </c>
      <c r="H95" s="2">
        <v>46039.792361111111</v>
      </c>
      <c r="I95" t="s">
        <v>41</v>
      </c>
      <c r="Z95">
        <v>108279</v>
      </c>
    </row>
    <row r="96" spans="1:26" x14ac:dyDescent="0.25">
      <c r="A96" t="s">
        <v>606</v>
      </c>
      <c r="B96" t="s">
        <v>46</v>
      </c>
      <c r="C96" t="s">
        <v>27</v>
      </c>
      <c r="E96" t="s">
        <v>44</v>
      </c>
      <c r="G96" t="s">
        <v>607</v>
      </c>
      <c r="H96" s="2">
        <v>46039.315972222219</v>
      </c>
      <c r="I96" t="s">
        <v>40</v>
      </c>
      <c r="Z96">
        <v>108241</v>
      </c>
    </row>
    <row r="97" spans="1:26" x14ac:dyDescent="0.25">
      <c r="A97" t="s">
        <v>608</v>
      </c>
      <c r="B97" t="s">
        <v>74</v>
      </c>
      <c r="C97" t="s">
        <v>27</v>
      </c>
      <c r="E97" t="s">
        <v>78</v>
      </c>
      <c r="H97" s="2">
        <v>46038.781944444447</v>
      </c>
      <c r="I97" t="s">
        <v>41</v>
      </c>
      <c r="K97" t="s">
        <v>30</v>
      </c>
      <c r="L97" t="s">
        <v>31</v>
      </c>
      <c r="M97" t="s">
        <v>82</v>
      </c>
      <c r="N97">
        <v>17138766948</v>
      </c>
      <c r="O97" t="s">
        <v>609</v>
      </c>
      <c r="Z97">
        <v>108231</v>
      </c>
    </row>
    <row r="98" spans="1:26" x14ac:dyDescent="0.25">
      <c r="A98" t="s">
        <v>610</v>
      </c>
      <c r="B98" t="s">
        <v>26</v>
      </c>
      <c r="C98" t="s">
        <v>27</v>
      </c>
      <c r="H98" s="2">
        <v>46036.498611111114</v>
      </c>
      <c r="I98" t="s">
        <v>29</v>
      </c>
      <c r="Z98">
        <v>108116</v>
      </c>
    </row>
    <row r="99" spans="1:26" x14ac:dyDescent="0.25">
      <c r="A99" t="s">
        <v>611</v>
      </c>
      <c r="B99" t="s">
        <v>26</v>
      </c>
      <c r="C99" t="s">
        <v>27</v>
      </c>
      <c r="H99" s="2">
        <v>46033.429166666669</v>
      </c>
      <c r="I99" t="s">
        <v>41</v>
      </c>
      <c r="Z99">
        <v>108027</v>
      </c>
    </row>
    <row r="100" spans="1:26" x14ac:dyDescent="0.25">
      <c r="A100" t="s">
        <v>612</v>
      </c>
      <c r="B100" t="s">
        <v>26</v>
      </c>
      <c r="C100" t="s">
        <v>27</v>
      </c>
      <c r="H100" s="2">
        <v>46030.693055555559</v>
      </c>
      <c r="I100" t="s">
        <v>84</v>
      </c>
      <c r="Z100">
        <v>107975</v>
      </c>
    </row>
    <row r="101" spans="1:26" x14ac:dyDescent="0.25">
      <c r="A101" t="s">
        <v>613</v>
      </c>
      <c r="B101" t="s">
        <v>26</v>
      </c>
      <c r="C101" t="s">
        <v>27</v>
      </c>
      <c r="H101" s="2">
        <v>46021.55</v>
      </c>
      <c r="I101" t="s">
        <v>41</v>
      </c>
      <c r="Z101">
        <v>107846</v>
      </c>
    </row>
    <row r="102" spans="1:26" x14ac:dyDescent="0.25">
      <c r="A102" t="s">
        <v>614</v>
      </c>
      <c r="B102" t="s">
        <v>26</v>
      </c>
      <c r="C102" t="s">
        <v>27</v>
      </c>
      <c r="H102" s="2">
        <v>46018.661111111112</v>
      </c>
      <c r="I102" t="s">
        <v>29</v>
      </c>
      <c r="Z102">
        <v>107771</v>
      </c>
    </row>
    <row r="103" spans="1:26" x14ac:dyDescent="0.25">
      <c r="A103" t="s">
        <v>615</v>
      </c>
      <c r="B103" t="s">
        <v>42</v>
      </c>
      <c r="C103" t="s">
        <v>27</v>
      </c>
      <c r="E103" t="s">
        <v>144</v>
      </c>
      <c r="H103" s="2">
        <v>46016.864583333336</v>
      </c>
      <c r="I103" t="s">
        <v>40</v>
      </c>
      <c r="Z103">
        <v>107709</v>
      </c>
    </row>
    <row r="104" spans="1:26" x14ac:dyDescent="0.25">
      <c r="A104" t="s">
        <v>616</v>
      </c>
      <c r="B104" t="s">
        <v>42</v>
      </c>
      <c r="C104" t="s">
        <v>27</v>
      </c>
      <c r="E104" t="s">
        <v>617</v>
      </c>
      <c r="H104" s="2">
        <v>46015.436805555553</v>
      </c>
      <c r="I104" t="s">
        <v>41</v>
      </c>
      <c r="Z104">
        <v>107639</v>
      </c>
    </row>
    <row r="105" spans="1:26" x14ac:dyDescent="0.25">
      <c r="A105" t="s">
        <v>618</v>
      </c>
      <c r="B105" t="s">
        <v>26</v>
      </c>
      <c r="C105" t="s">
        <v>27</v>
      </c>
      <c r="H105" s="2">
        <v>46013.521527777775</v>
      </c>
      <c r="I105" t="s">
        <v>84</v>
      </c>
      <c r="Z105">
        <v>107577</v>
      </c>
    </row>
    <row r="106" spans="1:26" x14ac:dyDescent="0.25">
      <c r="A106" t="s">
        <v>619</v>
      </c>
      <c r="B106" t="s">
        <v>42</v>
      </c>
      <c r="C106" t="s">
        <v>27</v>
      </c>
      <c r="E106" t="s">
        <v>91</v>
      </c>
      <c r="H106" s="2">
        <v>46008.370833333334</v>
      </c>
      <c r="I106" t="s">
        <v>41</v>
      </c>
      <c r="Z106">
        <v>107447</v>
      </c>
    </row>
    <row r="107" spans="1:26" x14ac:dyDescent="0.25">
      <c r="A107" t="s">
        <v>620</v>
      </c>
      <c r="B107" t="s">
        <v>42</v>
      </c>
      <c r="C107" t="s">
        <v>27</v>
      </c>
      <c r="E107" t="s">
        <v>76</v>
      </c>
      <c r="H107" s="2">
        <v>46005.904861111114</v>
      </c>
      <c r="I107" t="s">
        <v>29</v>
      </c>
      <c r="Z107">
        <v>107372</v>
      </c>
    </row>
    <row r="108" spans="1:26" x14ac:dyDescent="0.25">
      <c r="A108" t="s">
        <v>621</v>
      </c>
      <c r="B108" t="s">
        <v>26</v>
      </c>
      <c r="C108" t="s">
        <v>27</v>
      </c>
      <c r="H108" s="2">
        <v>46004.74722222222</v>
      </c>
      <c r="I108" t="s">
        <v>40</v>
      </c>
      <c r="Z108">
        <v>107343</v>
      </c>
    </row>
    <row r="109" spans="1:26" x14ac:dyDescent="0.25">
      <c r="A109" t="s">
        <v>622</v>
      </c>
      <c r="B109" t="s">
        <v>46</v>
      </c>
      <c r="C109" t="s">
        <v>27</v>
      </c>
      <c r="E109" t="s">
        <v>66</v>
      </c>
      <c r="G109" t="s">
        <v>623</v>
      </c>
      <c r="H109" s="2">
        <v>46002.449305555558</v>
      </c>
      <c r="I109" t="s">
        <v>41</v>
      </c>
      <c r="Z109">
        <v>107275</v>
      </c>
    </row>
    <row r="110" spans="1:26" x14ac:dyDescent="0.25">
      <c r="A110" t="s">
        <v>624</v>
      </c>
      <c r="B110" t="s">
        <v>26</v>
      </c>
      <c r="C110" t="s">
        <v>27</v>
      </c>
      <c r="H110" s="2">
        <v>46001.843055555553</v>
      </c>
      <c r="I110" t="s">
        <v>29</v>
      </c>
      <c r="Z110">
        <v>107267</v>
      </c>
    </row>
    <row r="111" spans="1:26" x14ac:dyDescent="0.25">
      <c r="A111" t="s">
        <v>625</v>
      </c>
      <c r="B111" t="s">
        <v>26</v>
      </c>
      <c r="C111" t="s">
        <v>27</v>
      </c>
      <c r="H111" s="2">
        <v>46001.458333333336</v>
      </c>
      <c r="I111" t="s">
        <v>29</v>
      </c>
      <c r="Z111">
        <v>107232</v>
      </c>
    </row>
    <row r="112" spans="1:26" x14ac:dyDescent="0.25">
      <c r="A112" t="s">
        <v>626</v>
      </c>
      <c r="B112" t="s">
        <v>42</v>
      </c>
      <c r="C112" t="s">
        <v>27</v>
      </c>
      <c r="E112" t="s">
        <v>51</v>
      </c>
      <c r="H112" s="2">
        <v>45995.899305555555</v>
      </c>
      <c r="I112" t="s">
        <v>41</v>
      </c>
      <c r="Z112">
        <v>107047</v>
      </c>
    </row>
    <row r="113" spans="1:26" x14ac:dyDescent="0.25">
      <c r="A113" t="s">
        <v>627</v>
      </c>
      <c r="B113" t="s">
        <v>46</v>
      </c>
      <c r="C113" t="s">
        <v>57</v>
      </c>
      <c r="E113" t="s">
        <v>52</v>
      </c>
      <c r="G113" t="s">
        <v>628</v>
      </c>
      <c r="H113" s="2">
        <v>45991.524305555555</v>
      </c>
      <c r="I113" t="s">
        <v>40</v>
      </c>
      <c r="Z113">
        <v>106903</v>
      </c>
    </row>
    <row r="114" spans="1:26" x14ac:dyDescent="0.25">
      <c r="A114" t="s">
        <v>629</v>
      </c>
      <c r="B114" t="s">
        <v>42</v>
      </c>
      <c r="C114" t="s">
        <v>27</v>
      </c>
      <c r="E114" t="s">
        <v>51</v>
      </c>
      <c r="G114" t="s">
        <v>630</v>
      </c>
      <c r="H114" s="2">
        <v>45991.498611111114</v>
      </c>
      <c r="I114" t="s">
        <v>40</v>
      </c>
      <c r="Z114">
        <v>106901</v>
      </c>
    </row>
    <row r="115" spans="1:26" x14ac:dyDescent="0.25">
      <c r="A115" t="s">
        <v>631</v>
      </c>
      <c r="B115" t="s">
        <v>26</v>
      </c>
      <c r="C115" t="s">
        <v>27</v>
      </c>
      <c r="H115" s="2">
        <v>45989.593055555553</v>
      </c>
      <c r="I115" t="s">
        <v>84</v>
      </c>
      <c r="Z115">
        <v>106862</v>
      </c>
    </row>
    <row r="116" spans="1:26" x14ac:dyDescent="0.25">
      <c r="A116" t="s">
        <v>87</v>
      </c>
      <c r="B116" t="s">
        <v>36</v>
      </c>
      <c r="C116" t="s">
        <v>27</v>
      </c>
      <c r="E116" t="s">
        <v>51</v>
      </c>
      <c r="H116" s="2">
        <v>45989.59097222222</v>
      </c>
      <c r="I116" t="s">
        <v>84</v>
      </c>
      <c r="K116" t="s">
        <v>37</v>
      </c>
      <c r="Z116">
        <v>106860</v>
      </c>
    </row>
    <row r="117" spans="1:26" x14ac:dyDescent="0.25">
      <c r="A117" t="s">
        <v>632</v>
      </c>
      <c r="B117" t="s">
        <v>42</v>
      </c>
      <c r="C117" t="s">
        <v>27</v>
      </c>
      <c r="E117" t="s">
        <v>633</v>
      </c>
      <c r="H117" s="2">
        <v>45988.786805555559</v>
      </c>
      <c r="I117" t="s">
        <v>29</v>
      </c>
      <c r="Z117">
        <v>106840</v>
      </c>
    </row>
    <row r="118" spans="1:26" x14ac:dyDescent="0.25">
      <c r="A118" t="s">
        <v>634</v>
      </c>
      <c r="B118" t="s">
        <v>26</v>
      </c>
      <c r="C118" t="s">
        <v>27</v>
      </c>
      <c r="H118" s="2">
        <v>45986.425000000003</v>
      </c>
      <c r="I118" t="s">
        <v>41</v>
      </c>
      <c r="Z118">
        <v>106742</v>
      </c>
    </row>
    <row r="119" spans="1:26" x14ac:dyDescent="0.25">
      <c r="A119" t="s">
        <v>635</v>
      </c>
      <c r="B119" t="s">
        <v>26</v>
      </c>
      <c r="C119" t="s">
        <v>27</v>
      </c>
      <c r="H119" s="2">
        <v>45985.837500000001</v>
      </c>
      <c r="I119" t="s">
        <v>40</v>
      </c>
      <c r="Z119">
        <v>106737</v>
      </c>
    </row>
    <row r="120" spans="1:26" x14ac:dyDescent="0.25">
      <c r="A120" t="s">
        <v>636</v>
      </c>
      <c r="B120" t="s">
        <v>42</v>
      </c>
      <c r="C120" t="s">
        <v>27</v>
      </c>
      <c r="E120" t="s">
        <v>64</v>
      </c>
      <c r="G120" t="s">
        <v>637</v>
      </c>
      <c r="H120" s="2">
        <v>45985.70208333333</v>
      </c>
      <c r="I120" t="s">
        <v>41</v>
      </c>
      <c r="Z120">
        <v>106731</v>
      </c>
    </row>
    <row r="121" spans="1:26" x14ac:dyDescent="0.25">
      <c r="A121" t="s">
        <v>638</v>
      </c>
      <c r="B121" t="s">
        <v>26</v>
      </c>
      <c r="C121" t="s">
        <v>27</v>
      </c>
      <c r="H121" s="2">
        <v>45984.489583333336</v>
      </c>
      <c r="I121" t="s">
        <v>41</v>
      </c>
      <c r="Z121">
        <v>106683</v>
      </c>
    </row>
    <row r="122" spans="1:26" x14ac:dyDescent="0.25">
      <c r="A122" t="s">
        <v>639</v>
      </c>
      <c r="B122" t="s">
        <v>26</v>
      </c>
      <c r="C122" t="s">
        <v>27</v>
      </c>
      <c r="H122" s="2">
        <v>45978.430555555555</v>
      </c>
      <c r="I122" t="s">
        <v>41</v>
      </c>
      <c r="Z122">
        <v>106446</v>
      </c>
    </row>
    <row r="123" spans="1:26" x14ac:dyDescent="0.25">
      <c r="A123" t="s">
        <v>92</v>
      </c>
      <c r="B123" t="s">
        <v>36</v>
      </c>
      <c r="C123" t="s">
        <v>27</v>
      </c>
      <c r="E123" t="s">
        <v>98</v>
      </c>
      <c r="H123" s="2">
        <v>45978.397222222222</v>
      </c>
      <c r="I123" t="s">
        <v>84</v>
      </c>
      <c r="K123" t="s">
        <v>37</v>
      </c>
      <c r="Z123">
        <v>106443</v>
      </c>
    </row>
    <row r="124" spans="1:26" x14ac:dyDescent="0.25">
      <c r="A124" t="s">
        <v>640</v>
      </c>
      <c r="B124" t="s">
        <v>26</v>
      </c>
      <c r="C124" t="s">
        <v>27</v>
      </c>
      <c r="H124" s="2">
        <v>45974.647222222222</v>
      </c>
      <c r="I124" t="s">
        <v>40</v>
      </c>
      <c r="Z124">
        <v>106319</v>
      </c>
    </row>
    <row r="125" spans="1:26" x14ac:dyDescent="0.25">
      <c r="A125" t="s">
        <v>641</v>
      </c>
      <c r="B125" t="s">
        <v>26</v>
      </c>
      <c r="C125" t="s">
        <v>27</v>
      </c>
      <c r="H125" s="2">
        <v>45972.758333333331</v>
      </c>
      <c r="I125" t="s">
        <v>84</v>
      </c>
      <c r="Z125">
        <v>106257</v>
      </c>
    </row>
    <row r="126" spans="1:26" x14ac:dyDescent="0.25">
      <c r="A126" t="s">
        <v>642</v>
      </c>
      <c r="B126" t="s">
        <v>36</v>
      </c>
      <c r="C126" t="s">
        <v>27</v>
      </c>
      <c r="E126" t="s">
        <v>61</v>
      </c>
      <c r="H126" s="2">
        <v>45971.38958333333</v>
      </c>
      <c r="I126" t="s">
        <v>29</v>
      </c>
      <c r="K126" t="s">
        <v>30</v>
      </c>
      <c r="L126" t="s">
        <v>31</v>
      </c>
      <c r="M126" t="s">
        <v>100</v>
      </c>
      <c r="N126">
        <v>16990012916</v>
      </c>
      <c r="O126" t="s">
        <v>643</v>
      </c>
      <c r="Z126">
        <v>106199</v>
      </c>
    </row>
    <row r="127" spans="1:26" x14ac:dyDescent="0.25">
      <c r="A127" t="s">
        <v>489</v>
      </c>
      <c r="B127" t="s">
        <v>26</v>
      </c>
      <c r="C127" t="s">
        <v>27</v>
      </c>
      <c r="H127" s="2">
        <v>45970.704861111109</v>
      </c>
      <c r="I127" t="s">
        <v>29</v>
      </c>
      <c r="Z127">
        <v>106191</v>
      </c>
    </row>
    <row r="128" spans="1:26" x14ac:dyDescent="0.25">
      <c r="A128" t="s">
        <v>644</v>
      </c>
      <c r="B128" t="s">
        <v>42</v>
      </c>
      <c r="C128" t="s">
        <v>27</v>
      </c>
      <c r="E128" t="s">
        <v>78</v>
      </c>
      <c r="H128" s="2">
        <v>45967.861111111109</v>
      </c>
      <c r="I128" t="s">
        <v>40</v>
      </c>
      <c r="Z128">
        <v>106122</v>
      </c>
    </row>
    <row r="129" spans="1:26" x14ac:dyDescent="0.25">
      <c r="A129" t="s">
        <v>645</v>
      </c>
      <c r="B129" t="s">
        <v>42</v>
      </c>
      <c r="C129" t="s">
        <v>27</v>
      </c>
      <c r="E129" t="s">
        <v>210</v>
      </c>
      <c r="H129" s="2">
        <v>45965.590277777781</v>
      </c>
      <c r="I129" t="s">
        <v>29</v>
      </c>
      <c r="Z129">
        <v>106023</v>
      </c>
    </row>
    <row r="130" spans="1:26" x14ac:dyDescent="0.25">
      <c r="A130" t="s">
        <v>646</v>
      </c>
      <c r="B130" t="s">
        <v>42</v>
      </c>
      <c r="C130" t="s">
        <v>27</v>
      </c>
      <c r="E130" t="s">
        <v>45</v>
      </c>
      <c r="H130" s="2">
        <v>45964.530555555553</v>
      </c>
      <c r="I130" t="s">
        <v>29</v>
      </c>
      <c r="Z130">
        <v>105985</v>
      </c>
    </row>
    <row r="131" spans="1:26" x14ac:dyDescent="0.25">
      <c r="A131" t="s">
        <v>647</v>
      </c>
      <c r="B131" t="s">
        <v>42</v>
      </c>
      <c r="C131" t="s">
        <v>27</v>
      </c>
      <c r="E131" t="s">
        <v>62</v>
      </c>
      <c r="G131" t="s">
        <v>648</v>
      </c>
      <c r="H131" s="2">
        <v>45961.857638888891</v>
      </c>
      <c r="I131" t="s">
        <v>41</v>
      </c>
      <c r="Z131">
        <v>105927</v>
      </c>
    </row>
    <row r="132" spans="1:26" x14ac:dyDescent="0.25">
      <c r="A132" t="s">
        <v>649</v>
      </c>
      <c r="B132" t="s">
        <v>26</v>
      </c>
      <c r="C132" t="s">
        <v>27</v>
      </c>
      <c r="H132" s="2">
        <v>45958.501388888886</v>
      </c>
      <c r="I132" t="s">
        <v>29</v>
      </c>
      <c r="Z132">
        <v>105800</v>
      </c>
    </row>
    <row r="133" spans="1:26" x14ac:dyDescent="0.25">
      <c r="A133" t="s">
        <v>650</v>
      </c>
      <c r="B133" t="s">
        <v>42</v>
      </c>
      <c r="C133" t="s">
        <v>27</v>
      </c>
      <c r="E133" t="s">
        <v>109</v>
      </c>
      <c r="G133" t="s">
        <v>105</v>
      </c>
      <c r="H133" s="2">
        <v>45956.875694444447</v>
      </c>
      <c r="I133" t="s">
        <v>40</v>
      </c>
      <c r="Z133">
        <v>105745</v>
      </c>
    </row>
    <row r="134" spans="1:26" x14ac:dyDescent="0.25">
      <c r="A134" t="s">
        <v>651</v>
      </c>
      <c r="B134" t="s">
        <v>42</v>
      </c>
      <c r="C134" t="s">
        <v>27</v>
      </c>
      <c r="E134" t="s">
        <v>66</v>
      </c>
      <c r="H134" s="2">
        <v>45952.785416666666</v>
      </c>
      <c r="I134" t="s">
        <v>29</v>
      </c>
      <c r="Z134">
        <v>105632</v>
      </c>
    </row>
    <row r="135" spans="1:26" x14ac:dyDescent="0.25">
      <c r="A135" t="s">
        <v>50</v>
      </c>
      <c r="B135" t="s">
        <v>42</v>
      </c>
      <c r="C135" t="s">
        <v>27</v>
      </c>
      <c r="E135" t="s">
        <v>51</v>
      </c>
      <c r="H135" s="2">
        <v>45952.680555555555</v>
      </c>
      <c r="I135" t="s">
        <v>84</v>
      </c>
      <c r="Z135">
        <v>105620</v>
      </c>
    </row>
    <row r="136" spans="1:26" x14ac:dyDescent="0.25">
      <c r="A136" t="s">
        <v>652</v>
      </c>
      <c r="B136" t="s">
        <v>42</v>
      </c>
      <c r="C136" t="s">
        <v>27</v>
      </c>
      <c r="E136" t="s">
        <v>66</v>
      </c>
      <c r="H136" s="2">
        <v>45952.531944444447</v>
      </c>
      <c r="I136" t="s">
        <v>84</v>
      </c>
      <c r="Z136">
        <v>105607</v>
      </c>
    </row>
    <row r="137" spans="1:26" x14ac:dyDescent="0.25">
      <c r="A137" t="s">
        <v>653</v>
      </c>
      <c r="B137" t="s">
        <v>26</v>
      </c>
      <c r="C137" t="s">
        <v>27</v>
      </c>
      <c r="H137" s="2">
        <v>45951.435416666667</v>
      </c>
      <c r="I137" t="s">
        <v>40</v>
      </c>
      <c r="Z137">
        <v>105564</v>
      </c>
    </row>
    <row r="138" spans="1:26" x14ac:dyDescent="0.25">
      <c r="A138" t="s">
        <v>654</v>
      </c>
      <c r="B138" t="s">
        <v>26</v>
      </c>
      <c r="C138" t="s">
        <v>27</v>
      </c>
      <c r="H138" s="2">
        <v>45950.482638888891</v>
      </c>
      <c r="I138" t="s">
        <v>40</v>
      </c>
      <c r="Z138">
        <v>105531</v>
      </c>
    </row>
    <row r="139" spans="1:26" x14ac:dyDescent="0.25">
      <c r="A139" t="s">
        <v>655</v>
      </c>
      <c r="B139" t="s">
        <v>42</v>
      </c>
      <c r="C139" t="s">
        <v>27</v>
      </c>
      <c r="E139" t="s">
        <v>80</v>
      </c>
      <c r="H139" s="2">
        <v>45948.345138888886</v>
      </c>
      <c r="I139" t="s">
        <v>41</v>
      </c>
      <c r="Z139">
        <v>105470</v>
      </c>
    </row>
    <row r="140" spans="1:26" x14ac:dyDescent="0.25">
      <c r="A140" t="s">
        <v>656</v>
      </c>
      <c r="B140" t="s">
        <v>26</v>
      </c>
      <c r="C140" t="s">
        <v>27</v>
      </c>
      <c r="H140" s="2">
        <v>45946.619444444441</v>
      </c>
      <c r="I140" t="s">
        <v>29</v>
      </c>
      <c r="Z140">
        <v>105432</v>
      </c>
    </row>
    <row r="141" spans="1:26" x14ac:dyDescent="0.25">
      <c r="A141" t="s">
        <v>657</v>
      </c>
      <c r="B141" t="s">
        <v>42</v>
      </c>
      <c r="C141" t="s">
        <v>27</v>
      </c>
      <c r="E141" t="s">
        <v>658</v>
      </c>
      <c r="G141" t="s">
        <v>659</v>
      </c>
      <c r="H141" s="2">
        <v>45945.713888888888</v>
      </c>
      <c r="I141" t="s">
        <v>29</v>
      </c>
      <c r="Z141">
        <v>105414</v>
      </c>
    </row>
    <row r="142" spans="1:26" x14ac:dyDescent="0.25">
      <c r="A142" t="s">
        <v>660</v>
      </c>
      <c r="B142" t="s">
        <v>42</v>
      </c>
      <c r="C142" t="s">
        <v>27</v>
      </c>
      <c r="E142" t="s">
        <v>73</v>
      </c>
      <c r="G142" t="s">
        <v>661</v>
      </c>
      <c r="H142" s="2">
        <v>45944.418749999997</v>
      </c>
      <c r="I142" t="s">
        <v>40</v>
      </c>
      <c r="Z142">
        <v>105357</v>
      </c>
    </row>
    <row r="143" spans="1:26" x14ac:dyDescent="0.25">
      <c r="A143" t="s">
        <v>662</v>
      </c>
      <c r="B143" t="s">
        <v>26</v>
      </c>
      <c r="C143" t="s">
        <v>27</v>
      </c>
      <c r="H143" s="2">
        <v>45943.797222222223</v>
      </c>
      <c r="I143" t="s">
        <v>40</v>
      </c>
      <c r="Z143">
        <v>105349</v>
      </c>
    </row>
    <row r="144" spans="1:26" x14ac:dyDescent="0.25">
      <c r="A144" t="s">
        <v>663</v>
      </c>
      <c r="B144" t="s">
        <v>26</v>
      </c>
      <c r="C144" t="s">
        <v>27</v>
      </c>
      <c r="H144" s="2">
        <v>45943.55</v>
      </c>
      <c r="I144" t="s">
        <v>41</v>
      </c>
      <c r="Z144">
        <v>105334</v>
      </c>
    </row>
    <row r="145" spans="1:26" x14ac:dyDescent="0.25">
      <c r="A145" t="s">
        <v>664</v>
      </c>
      <c r="B145" t="s">
        <v>46</v>
      </c>
      <c r="C145" t="s">
        <v>27</v>
      </c>
      <c r="E145" t="s">
        <v>43</v>
      </c>
      <c r="G145" t="s">
        <v>163</v>
      </c>
      <c r="H145" s="2">
        <v>45941.319444444445</v>
      </c>
      <c r="I145" t="s">
        <v>29</v>
      </c>
      <c r="Z145">
        <v>105283</v>
      </c>
    </row>
    <row r="146" spans="1:26" x14ac:dyDescent="0.25">
      <c r="A146" t="s">
        <v>665</v>
      </c>
      <c r="B146" t="s">
        <v>42</v>
      </c>
      <c r="C146" t="s">
        <v>27</v>
      </c>
      <c r="E146" t="s">
        <v>58</v>
      </c>
      <c r="H146" s="2">
        <v>45939.645833333336</v>
      </c>
      <c r="I146" t="s">
        <v>40</v>
      </c>
      <c r="Z146">
        <v>105250</v>
      </c>
    </row>
    <row r="147" spans="1:26" x14ac:dyDescent="0.25">
      <c r="A147" t="s">
        <v>612</v>
      </c>
      <c r="B147" t="s">
        <v>26</v>
      </c>
      <c r="C147" t="s">
        <v>27</v>
      </c>
      <c r="H147" s="2">
        <v>45937.700694444444</v>
      </c>
      <c r="I147" t="s">
        <v>41</v>
      </c>
      <c r="Z147">
        <v>105197</v>
      </c>
    </row>
    <row r="148" spans="1:26" x14ac:dyDescent="0.25">
      <c r="A148" t="s">
        <v>666</v>
      </c>
      <c r="B148" t="s">
        <v>46</v>
      </c>
      <c r="C148" t="s">
        <v>27</v>
      </c>
      <c r="E148" t="s">
        <v>128</v>
      </c>
      <c r="G148" t="s">
        <v>129</v>
      </c>
      <c r="H148" s="2">
        <v>45937.328472222223</v>
      </c>
      <c r="I148" t="s">
        <v>40</v>
      </c>
      <c r="Z148">
        <v>105165</v>
      </c>
    </row>
    <row r="149" spans="1:26" x14ac:dyDescent="0.25">
      <c r="A149" t="s">
        <v>667</v>
      </c>
      <c r="B149" t="s">
        <v>26</v>
      </c>
      <c r="C149" t="s">
        <v>27</v>
      </c>
      <c r="H149" s="2">
        <v>45936.536111111112</v>
      </c>
      <c r="I149" t="s">
        <v>84</v>
      </c>
      <c r="Z149">
        <v>105142</v>
      </c>
    </row>
    <row r="150" spans="1:26" x14ac:dyDescent="0.25">
      <c r="A150" t="s">
        <v>668</v>
      </c>
      <c r="B150" t="s">
        <v>42</v>
      </c>
      <c r="C150" t="s">
        <v>27</v>
      </c>
      <c r="E150" t="s">
        <v>58</v>
      </c>
      <c r="G150" t="s">
        <v>669</v>
      </c>
      <c r="H150" s="2">
        <v>45936.227083333331</v>
      </c>
      <c r="I150" t="s">
        <v>41</v>
      </c>
      <c r="Z150">
        <v>105126</v>
      </c>
    </row>
    <row r="151" spans="1:26" x14ac:dyDescent="0.25">
      <c r="A151" t="s">
        <v>670</v>
      </c>
      <c r="B151" t="s">
        <v>26</v>
      </c>
      <c r="C151" t="s">
        <v>27</v>
      </c>
      <c r="H151" s="2">
        <v>45932.553472222222</v>
      </c>
      <c r="I151" t="s">
        <v>41</v>
      </c>
      <c r="Z151">
        <v>105028</v>
      </c>
    </row>
    <row r="152" spans="1:26" x14ac:dyDescent="0.25">
      <c r="A152" t="s">
        <v>671</v>
      </c>
      <c r="B152" t="s">
        <v>42</v>
      </c>
      <c r="C152" t="s">
        <v>27</v>
      </c>
      <c r="E152" t="s">
        <v>62</v>
      </c>
      <c r="H152" s="2">
        <v>45930.690972222219</v>
      </c>
      <c r="I152" t="s">
        <v>84</v>
      </c>
      <c r="Z152">
        <v>104967</v>
      </c>
    </row>
    <row r="153" spans="1:26" x14ac:dyDescent="0.25">
      <c r="A153" t="s">
        <v>672</v>
      </c>
      <c r="B153" t="s">
        <v>26</v>
      </c>
      <c r="C153" t="s">
        <v>27</v>
      </c>
      <c r="H153" s="2">
        <v>45930.44027777778</v>
      </c>
      <c r="I153" t="s">
        <v>84</v>
      </c>
      <c r="Z153">
        <v>104939</v>
      </c>
    </row>
    <row r="154" spans="1:26" x14ac:dyDescent="0.25">
      <c r="A154" t="s">
        <v>673</v>
      </c>
      <c r="B154" t="s">
        <v>42</v>
      </c>
      <c r="C154" t="s">
        <v>27</v>
      </c>
      <c r="E154" t="s">
        <v>73</v>
      </c>
      <c r="H154" s="2">
        <v>45927.928472222222</v>
      </c>
      <c r="I154" t="s">
        <v>29</v>
      </c>
      <c r="Z154">
        <v>104881</v>
      </c>
    </row>
    <row r="155" spans="1:26" x14ac:dyDescent="0.25">
      <c r="A155" t="s">
        <v>674</v>
      </c>
      <c r="B155" t="s">
        <v>26</v>
      </c>
      <c r="C155" t="s">
        <v>27</v>
      </c>
      <c r="H155" s="2">
        <v>45927.78402777778</v>
      </c>
      <c r="I155" t="s">
        <v>41</v>
      </c>
      <c r="Z155">
        <v>104879</v>
      </c>
    </row>
    <row r="156" spans="1:26" x14ac:dyDescent="0.25">
      <c r="A156" t="s">
        <v>675</v>
      </c>
      <c r="B156" t="s">
        <v>42</v>
      </c>
      <c r="C156" t="s">
        <v>27</v>
      </c>
      <c r="E156" t="s">
        <v>62</v>
      </c>
      <c r="H156" s="2">
        <v>45926.984027777777</v>
      </c>
      <c r="I156" t="s">
        <v>29</v>
      </c>
      <c r="Z156">
        <v>104863</v>
      </c>
    </row>
    <row r="157" spans="1:26" x14ac:dyDescent="0.25">
      <c r="A157" t="s">
        <v>676</v>
      </c>
      <c r="B157" t="s">
        <v>46</v>
      </c>
      <c r="C157" t="s">
        <v>27</v>
      </c>
      <c r="E157" t="s">
        <v>62</v>
      </c>
      <c r="G157" t="s">
        <v>601</v>
      </c>
      <c r="H157" s="2">
        <v>45926.31527777778</v>
      </c>
      <c r="I157" t="s">
        <v>41</v>
      </c>
      <c r="Z157">
        <v>104844</v>
      </c>
    </row>
    <row r="158" spans="1:26" x14ac:dyDescent="0.25">
      <c r="A158" t="s">
        <v>677</v>
      </c>
      <c r="B158" t="s">
        <v>42</v>
      </c>
      <c r="C158" t="s">
        <v>27</v>
      </c>
      <c r="E158" t="s">
        <v>62</v>
      </c>
      <c r="G158" t="s">
        <v>678</v>
      </c>
      <c r="H158" s="2">
        <v>45921.417361111111</v>
      </c>
      <c r="I158" t="s">
        <v>40</v>
      </c>
      <c r="Z158">
        <v>104679</v>
      </c>
    </row>
    <row r="159" spans="1:26" x14ac:dyDescent="0.25">
      <c r="A159" t="s">
        <v>679</v>
      </c>
      <c r="B159" t="s">
        <v>26</v>
      </c>
      <c r="C159" t="s">
        <v>27</v>
      </c>
      <c r="H159" s="2">
        <v>45918.429166666669</v>
      </c>
      <c r="I159" t="s">
        <v>84</v>
      </c>
      <c r="Z159">
        <v>104587</v>
      </c>
    </row>
    <row r="160" spans="1:26" x14ac:dyDescent="0.25">
      <c r="A160" t="s">
        <v>680</v>
      </c>
      <c r="B160" t="s">
        <v>46</v>
      </c>
      <c r="C160" t="s">
        <v>27</v>
      </c>
      <c r="E160" t="s">
        <v>78</v>
      </c>
      <c r="G160" t="s">
        <v>681</v>
      </c>
      <c r="H160" s="2">
        <v>45916.381249999999</v>
      </c>
      <c r="I160" t="s">
        <v>29</v>
      </c>
      <c r="Z160">
        <v>104511</v>
      </c>
    </row>
    <row r="161" spans="1:26" x14ac:dyDescent="0.25">
      <c r="A161" t="s">
        <v>682</v>
      </c>
      <c r="B161" t="s">
        <v>42</v>
      </c>
      <c r="C161" t="s">
        <v>27</v>
      </c>
      <c r="E161" t="s">
        <v>62</v>
      </c>
      <c r="H161" s="2">
        <v>45913.693055555559</v>
      </c>
      <c r="I161" t="s">
        <v>40</v>
      </c>
      <c r="Z161">
        <v>104486</v>
      </c>
    </row>
    <row r="162" spans="1:26" x14ac:dyDescent="0.25">
      <c r="A162" t="s">
        <v>683</v>
      </c>
      <c r="B162" t="s">
        <v>26</v>
      </c>
      <c r="C162" t="s">
        <v>27</v>
      </c>
      <c r="H162" s="2">
        <v>45907.499305555553</v>
      </c>
      <c r="I162" t="s">
        <v>84</v>
      </c>
      <c r="Z162">
        <v>104319</v>
      </c>
    </row>
    <row r="163" spans="1:26" x14ac:dyDescent="0.25">
      <c r="A163" t="s">
        <v>684</v>
      </c>
      <c r="B163" t="s">
        <v>42</v>
      </c>
      <c r="C163" t="s">
        <v>27</v>
      </c>
      <c r="E163" t="s">
        <v>62</v>
      </c>
      <c r="G163" t="s">
        <v>163</v>
      </c>
      <c r="H163" s="2">
        <v>45904.598611111112</v>
      </c>
      <c r="I163" t="s">
        <v>40</v>
      </c>
      <c r="Z163">
        <v>104263</v>
      </c>
    </row>
    <row r="164" spans="1:26" x14ac:dyDescent="0.25">
      <c r="A164" t="s">
        <v>685</v>
      </c>
      <c r="B164" t="s">
        <v>26</v>
      </c>
      <c r="C164" t="s">
        <v>27</v>
      </c>
      <c r="H164" s="2">
        <v>45901.431250000001</v>
      </c>
      <c r="I164" t="s">
        <v>40</v>
      </c>
      <c r="Z164">
        <v>104160</v>
      </c>
    </row>
    <row r="165" spans="1:26" x14ac:dyDescent="0.25">
      <c r="A165" t="s">
        <v>686</v>
      </c>
      <c r="B165" t="s">
        <v>26</v>
      </c>
      <c r="C165" t="s">
        <v>27</v>
      </c>
      <c r="H165" s="2">
        <v>45898.38958333333</v>
      </c>
      <c r="I165" t="s">
        <v>40</v>
      </c>
      <c r="Z165">
        <v>104062</v>
      </c>
    </row>
    <row r="166" spans="1:26" x14ac:dyDescent="0.25">
      <c r="A166" t="s">
        <v>687</v>
      </c>
      <c r="B166" t="s">
        <v>42</v>
      </c>
      <c r="C166" t="s">
        <v>57</v>
      </c>
      <c r="E166" t="s">
        <v>688</v>
      </c>
      <c r="H166" s="2">
        <v>45897.647916666669</v>
      </c>
      <c r="I166" t="s">
        <v>40</v>
      </c>
      <c r="Z166">
        <v>104047</v>
      </c>
    </row>
    <row r="167" spans="1:26" x14ac:dyDescent="0.25">
      <c r="A167" t="s">
        <v>489</v>
      </c>
      <c r="B167" t="s">
        <v>26</v>
      </c>
      <c r="C167" t="s">
        <v>27</v>
      </c>
      <c r="H167" s="2">
        <v>45882.647916666669</v>
      </c>
      <c r="I167" t="s">
        <v>29</v>
      </c>
      <c r="Z167">
        <v>103589</v>
      </c>
    </row>
    <row r="168" spans="1:26" x14ac:dyDescent="0.25">
      <c r="A168" t="s">
        <v>689</v>
      </c>
      <c r="B168" t="s">
        <v>26</v>
      </c>
      <c r="C168" t="s">
        <v>27</v>
      </c>
      <c r="H168" s="2">
        <v>45877.565972222219</v>
      </c>
      <c r="I168" t="s">
        <v>84</v>
      </c>
      <c r="Z168">
        <v>103465</v>
      </c>
    </row>
    <row r="169" spans="1:26" x14ac:dyDescent="0.25">
      <c r="A169" t="s">
        <v>690</v>
      </c>
      <c r="B169" t="s">
        <v>117</v>
      </c>
      <c r="C169" t="s">
        <v>27</v>
      </c>
      <c r="E169" t="s">
        <v>81</v>
      </c>
      <c r="H169" s="2">
        <v>45875.477777777778</v>
      </c>
      <c r="I169" t="s">
        <v>29</v>
      </c>
      <c r="Z169">
        <v>103377</v>
      </c>
    </row>
    <row r="170" spans="1:26" x14ac:dyDescent="0.25">
      <c r="A170" t="s">
        <v>691</v>
      </c>
      <c r="B170" t="s">
        <v>26</v>
      </c>
      <c r="C170" t="s">
        <v>27</v>
      </c>
      <c r="H170" s="2">
        <v>45870.697916666664</v>
      </c>
      <c r="I170" t="s">
        <v>29</v>
      </c>
      <c r="Z170">
        <v>103234</v>
      </c>
    </row>
    <row r="171" spans="1:26" x14ac:dyDescent="0.25">
      <c r="A171" t="s">
        <v>692</v>
      </c>
      <c r="B171" t="s">
        <v>26</v>
      </c>
      <c r="C171" t="s">
        <v>27</v>
      </c>
      <c r="H171" s="2">
        <v>45856.831250000003</v>
      </c>
      <c r="I171" t="s">
        <v>29</v>
      </c>
      <c r="Z171">
        <v>102760</v>
      </c>
    </row>
    <row r="172" spans="1:26" x14ac:dyDescent="0.25">
      <c r="A172" t="s">
        <v>693</v>
      </c>
      <c r="B172" t="s">
        <v>26</v>
      </c>
      <c r="C172" t="s">
        <v>27</v>
      </c>
      <c r="H172" s="2">
        <v>45855.90625</v>
      </c>
      <c r="I172" t="s">
        <v>40</v>
      </c>
      <c r="Z172">
        <v>102720</v>
      </c>
    </row>
    <row r="173" spans="1:26" x14ac:dyDescent="0.25">
      <c r="A173" t="s">
        <v>694</v>
      </c>
      <c r="B173" t="s">
        <v>26</v>
      </c>
      <c r="C173" t="s">
        <v>27</v>
      </c>
      <c r="H173" s="2">
        <v>45851.572222222225</v>
      </c>
      <c r="I173" t="s">
        <v>84</v>
      </c>
      <c r="Z173">
        <v>102540</v>
      </c>
    </row>
    <row r="174" spans="1:26" x14ac:dyDescent="0.25">
      <c r="A174" t="s">
        <v>695</v>
      </c>
      <c r="B174" t="s">
        <v>26</v>
      </c>
      <c r="C174" t="s">
        <v>27</v>
      </c>
      <c r="H174" s="2">
        <v>45841.482638888891</v>
      </c>
      <c r="I174" t="s">
        <v>118</v>
      </c>
      <c r="Z174">
        <v>102144</v>
      </c>
    </row>
    <row r="175" spans="1:26" x14ac:dyDescent="0.25">
      <c r="A175" t="s">
        <v>696</v>
      </c>
      <c r="B175" t="s">
        <v>26</v>
      </c>
      <c r="C175" t="s">
        <v>27</v>
      </c>
      <c r="H175" s="2">
        <v>45838.76458333333</v>
      </c>
      <c r="I175" t="s">
        <v>40</v>
      </c>
      <c r="Z175">
        <v>102054</v>
      </c>
    </row>
    <row r="176" spans="1:26" x14ac:dyDescent="0.25">
      <c r="A176" t="s">
        <v>697</v>
      </c>
      <c r="B176" t="s">
        <v>26</v>
      </c>
      <c r="C176" t="s">
        <v>27</v>
      </c>
      <c r="H176" s="2">
        <v>45836.560416666667</v>
      </c>
      <c r="I176" t="s">
        <v>29</v>
      </c>
      <c r="Z176">
        <v>101982</v>
      </c>
    </row>
    <row r="177" spans="1:26" x14ac:dyDescent="0.25">
      <c r="A177" t="s">
        <v>698</v>
      </c>
      <c r="B177" t="s">
        <v>26</v>
      </c>
      <c r="C177" t="s">
        <v>27</v>
      </c>
      <c r="H177" s="2">
        <v>45833.52847222222</v>
      </c>
      <c r="I177" t="s">
        <v>29</v>
      </c>
      <c r="Z177">
        <v>101899</v>
      </c>
    </row>
    <row r="178" spans="1:26" x14ac:dyDescent="0.25">
      <c r="A178" t="s">
        <v>562</v>
      </c>
      <c r="B178" t="s">
        <v>117</v>
      </c>
      <c r="C178" t="s">
        <v>27</v>
      </c>
      <c r="E178" t="s">
        <v>122</v>
      </c>
      <c r="G178" t="s">
        <v>699</v>
      </c>
      <c r="H178" s="2">
        <v>45831.368750000001</v>
      </c>
      <c r="I178" t="s">
        <v>29</v>
      </c>
      <c r="Z178">
        <v>101788</v>
      </c>
    </row>
    <row r="179" spans="1:26" x14ac:dyDescent="0.25">
      <c r="A179" t="s">
        <v>123</v>
      </c>
      <c r="B179" t="s">
        <v>26</v>
      </c>
      <c r="C179" t="s">
        <v>27</v>
      </c>
      <c r="H179" s="2">
        <v>45830.813194444447</v>
      </c>
      <c r="I179" t="s">
        <v>118</v>
      </c>
      <c r="Z179">
        <v>101782</v>
      </c>
    </row>
    <row r="180" spans="1:26" x14ac:dyDescent="0.25">
      <c r="A180" t="s">
        <v>700</v>
      </c>
      <c r="B180" t="s">
        <v>26</v>
      </c>
      <c r="C180" t="s">
        <v>27</v>
      </c>
      <c r="H180" s="2">
        <v>45824.484027777777</v>
      </c>
      <c r="I180" t="s">
        <v>118</v>
      </c>
      <c r="Z180">
        <v>101535</v>
      </c>
    </row>
    <row r="181" spans="1:26" x14ac:dyDescent="0.25">
      <c r="A181" t="s">
        <v>701</v>
      </c>
      <c r="B181" t="s">
        <v>26</v>
      </c>
      <c r="C181" t="s">
        <v>27</v>
      </c>
      <c r="H181" s="2">
        <v>45812.664583333331</v>
      </c>
      <c r="I181" t="s">
        <v>118</v>
      </c>
      <c r="Z181">
        <v>101142</v>
      </c>
    </row>
    <row r="182" spans="1:26" x14ac:dyDescent="0.25">
      <c r="A182" t="s">
        <v>702</v>
      </c>
      <c r="B182" t="s">
        <v>26</v>
      </c>
      <c r="C182" t="s">
        <v>27</v>
      </c>
      <c r="H182" s="2">
        <v>45806.400694444441</v>
      </c>
      <c r="I182" t="s">
        <v>40</v>
      </c>
      <c r="Z182">
        <v>100908</v>
      </c>
    </row>
    <row r="183" spans="1:26" x14ac:dyDescent="0.25">
      <c r="A183" t="s">
        <v>694</v>
      </c>
      <c r="B183" t="s">
        <v>26</v>
      </c>
      <c r="C183" t="s">
        <v>27</v>
      </c>
      <c r="H183" s="2">
        <v>45799.526388888888</v>
      </c>
      <c r="I183" t="s">
        <v>118</v>
      </c>
      <c r="Z183">
        <v>100636</v>
      </c>
    </row>
    <row r="184" spans="1:26" x14ac:dyDescent="0.25">
      <c r="A184" t="s">
        <v>703</v>
      </c>
      <c r="B184" t="s">
        <v>26</v>
      </c>
      <c r="C184" t="s">
        <v>27</v>
      </c>
      <c r="H184" s="2">
        <v>45793.793055555558</v>
      </c>
      <c r="I184" t="s">
        <v>40</v>
      </c>
      <c r="Z184">
        <v>100447</v>
      </c>
    </row>
    <row r="185" spans="1:26" x14ac:dyDescent="0.25">
      <c r="A185" t="s">
        <v>704</v>
      </c>
      <c r="B185" t="s">
        <v>26</v>
      </c>
      <c r="C185" t="s">
        <v>27</v>
      </c>
      <c r="H185" s="2">
        <v>45793.568749999999</v>
      </c>
      <c r="I185" t="s">
        <v>118</v>
      </c>
      <c r="Z185">
        <v>100431</v>
      </c>
    </row>
    <row r="186" spans="1:26" x14ac:dyDescent="0.25">
      <c r="A186" t="s">
        <v>705</v>
      </c>
      <c r="B186" t="s">
        <v>26</v>
      </c>
      <c r="C186" t="s">
        <v>27</v>
      </c>
      <c r="H186" s="2">
        <v>45790.75</v>
      </c>
      <c r="I186" t="s">
        <v>29</v>
      </c>
      <c r="Z186">
        <v>100344</v>
      </c>
    </row>
    <row r="187" spans="1:26" x14ac:dyDescent="0.25">
      <c r="A187" t="s">
        <v>706</v>
      </c>
      <c r="B187" t="s">
        <v>26</v>
      </c>
      <c r="C187" t="s">
        <v>27</v>
      </c>
      <c r="H187" s="2">
        <v>45790.676388888889</v>
      </c>
      <c r="I187" t="s">
        <v>29</v>
      </c>
      <c r="Z187">
        <v>100336</v>
      </c>
    </row>
    <row r="188" spans="1:26" x14ac:dyDescent="0.25">
      <c r="A188" t="s">
        <v>707</v>
      </c>
      <c r="B188" t="s">
        <v>26</v>
      </c>
      <c r="C188" t="s">
        <v>27</v>
      </c>
      <c r="H188" s="2">
        <v>45790.576388888891</v>
      </c>
      <c r="I188" t="s">
        <v>29</v>
      </c>
      <c r="Z188">
        <v>100329</v>
      </c>
    </row>
    <row r="189" spans="1:26" x14ac:dyDescent="0.25">
      <c r="A189" t="s">
        <v>708</v>
      </c>
      <c r="B189" t="s">
        <v>26</v>
      </c>
      <c r="C189" t="s">
        <v>27</v>
      </c>
      <c r="H189" s="2">
        <v>45784.457638888889</v>
      </c>
      <c r="I189" t="s">
        <v>84</v>
      </c>
      <c r="Z189">
        <v>100134</v>
      </c>
    </row>
    <row r="190" spans="1:26" x14ac:dyDescent="0.25">
      <c r="A190" t="s">
        <v>709</v>
      </c>
      <c r="B190" t="s">
        <v>26</v>
      </c>
      <c r="C190" t="s">
        <v>27</v>
      </c>
      <c r="H190" s="2">
        <v>45782.573611111111</v>
      </c>
      <c r="I190" t="s">
        <v>118</v>
      </c>
      <c r="Z190">
        <v>100050</v>
      </c>
    </row>
    <row r="191" spans="1:26" x14ac:dyDescent="0.25">
      <c r="A191" t="s">
        <v>710</v>
      </c>
      <c r="B191" t="s">
        <v>125</v>
      </c>
      <c r="C191" t="s">
        <v>27</v>
      </c>
      <c r="E191" t="s">
        <v>88</v>
      </c>
      <c r="G191" t="s">
        <v>135</v>
      </c>
      <c r="H191" s="2">
        <v>45779.818055555559</v>
      </c>
      <c r="I191" t="s">
        <v>118</v>
      </c>
      <c r="Z191">
        <v>99969</v>
      </c>
    </row>
    <row r="192" spans="1:26" x14ac:dyDescent="0.25">
      <c r="A192" t="s">
        <v>711</v>
      </c>
      <c r="B192" t="s">
        <v>26</v>
      </c>
      <c r="C192" t="s">
        <v>27</v>
      </c>
      <c r="H192" s="2">
        <v>45776.677777777775</v>
      </c>
      <c r="I192" t="s">
        <v>40</v>
      </c>
      <c r="Z192">
        <v>99875</v>
      </c>
    </row>
    <row r="193" spans="1:26" x14ac:dyDescent="0.25">
      <c r="A193" t="s">
        <v>712</v>
      </c>
      <c r="B193" t="s">
        <v>26</v>
      </c>
      <c r="C193" t="s">
        <v>27</v>
      </c>
      <c r="H193" s="2">
        <v>45775.44027777778</v>
      </c>
      <c r="I193" t="s">
        <v>118</v>
      </c>
      <c r="Z193">
        <v>99818</v>
      </c>
    </row>
    <row r="194" spans="1:26" x14ac:dyDescent="0.25">
      <c r="A194" t="s">
        <v>713</v>
      </c>
      <c r="B194" t="s">
        <v>26</v>
      </c>
      <c r="C194" t="s">
        <v>27</v>
      </c>
      <c r="H194" s="2">
        <v>45771.45416666667</v>
      </c>
      <c r="I194" t="s">
        <v>29</v>
      </c>
      <c r="Z194">
        <v>99712</v>
      </c>
    </row>
    <row r="195" spans="1:26" x14ac:dyDescent="0.25">
      <c r="A195" t="s">
        <v>714</v>
      </c>
      <c r="B195" t="s">
        <v>26</v>
      </c>
      <c r="C195" t="s">
        <v>27</v>
      </c>
      <c r="H195" s="2">
        <v>45770.59097222222</v>
      </c>
      <c r="I195" t="s">
        <v>40</v>
      </c>
      <c r="Z195">
        <v>99684</v>
      </c>
    </row>
    <row r="196" spans="1:26" x14ac:dyDescent="0.25">
      <c r="A196" t="s">
        <v>715</v>
      </c>
      <c r="B196" t="s">
        <v>26</v>
      </c>
      <c r="C196" t="s">
        <v>27</v>
      </c>
      <c r="H196" s="2">
        <v>45769.572222222225</v>
      </c>
      <c r="I196" t="s">
        <v>40</v>
      </c>
      <c r="Z196">
        <v>99621</v>
      </c>
    </row>
    <row r="197" spans="1:26" x14ac:dyDescent="0.25">
      <c r="A197" t="s">
        <v>92</v>
      </c>
      <c r="C197" t="s">
        <v>27</v>
      </c>
      <c r="E197" t="s">
        <v>716</v>
      </c>
      <c r="H197" s="2">
        <v>45766.517361111109</v>
      </c>
      <c r="I197" t="s">
        <v>29</v>
      </c>
      <c r="Z197">
        <v>99465</v>
      </c>
    </row>
    <row r="198" spans="1:26" x14ac:dyDescent="0.25">
      <c r="A198" t="s">
        <v>717</v>
      </c>
      <c r="B198" t="s">
        <v>26</v>
      </c>
      <c r="C198" t="s">
        <v>27</v>
      </c>
      <c r="H198" s="2">
        <v>45761.450694444444</v>
      </c>
      <c r="I198" t="s">
        <v>29</v>
      </c>
      <c r="Z198">
        <v>99208</v>
      </c>
    </row>
    <row r="199" spans="1:26" x14ac:dyDescent="0.25">
      <c r="A199" t="s">
        <v>625</v>
      </c>
      <c r="C199" t="s">
        <v>27</v>
      </c>
      <c r="E199" t="s">
        <v>43</v>
      </c>
      <c r="H199" s="2">
        <v>45761.374305555553</v>
      </c>
      <c r="I199" t="s">
        <v>84</v>
      </c>
      <c r="Z199">
        <v>99201</v>
      </c>
    </row>
    <row r="200" spans="1:26" x14ac:dyDescent="0.25">
      <c r="A200" t="s">
        <v>705</v>
      </c>
      <c r="B200" t="s">
        <v>26</v>
      </c>
      <c r="C200" t="s">
        <v>27</v>
      </c>
      <c r="H200" s="2">
        <v>45754.642361111109</v>
      </c>
      <c r="I200" t="s">
        <v>29</v>
      </c>
      <c r="Z200">
        <v>98936</v>
      </c>
    </row>
    <row r="201" spans="1:26" x14ac:dyDescent="0.25">
      <c r="A201" t="s">
        <v>718</v>
      </c>
      <c r="B201" t="s">
        <v>26</v>
      </c>
      <c r="C201" t="s">
        <v>27</v>
      </c>
      <c r="H201" s="2">
        <v>45754.415972222225</v>
      </c>
      <c r="I201" t="s">
        <v>84</v>
      </c>
      <c r="Z201">
        <v>98909</v>
      </c>
    </row>
    <row r="202" spans="1:26" x14ac:dyDescent="0.25">
      <c r="A202" t="s">
        <v>719</v>
      </c>
      <c r="B202" t="s">
        <v>131</v>
      </c>
      <c r="C202" t="s">
        <v>27</v>
      </c>
      <c r="E202" t="s">
        <v>95</v>
      </c>
      <c r="H202" s="2">
        <v>45753.637499999997</v>
      </c>
      <c r="I202" t="s">
        <v>29</v>
      </c>
      <c r="Z202">
        <v>98889</v>
      </c>
    </row>
    <row r="203" spans="1:26" x14ac:dyDescent="0.25">
      <c r="A203" t="s">
        <v>720</v>
      </c>
      <c r="B203" t="s">
        <v>26</v>
      </c>
      <c r="C203" t="s">
        <v>27</v>
      </c>
      <c r="H203" s="2">
        <v>45749.498611111114</v>
      </c>
      <c r="I203" t="s">
        <v>29</v>
      </c>
      <c r="Z203">
        <v>98683</v>
      </c>
    </row>
    <row r="204" spans="1:26" x14ac:dyDescent="0.25">
      <c r="A204" t="s">
        <v>721</v>
      </c>
      <c r="B204" t="s">
        <v>26</v>
      </c>
      <c r="C204" t="s">
        <v>27</v>
      </c>
      <c r="H204" s="2">
        <v>45745.669444444444</v>
      </c>
      <c r="I204" t="s">
        <v>40</v>
      </c>
      <c r="Z204">
        <v>98486</v>
      </c>
    </row>
    <row r="205" spans="1:26" x14ac:dyDescent="0.25">
      <c r="A205" t="s">
        <v>722</v>
      </c>
      <c r="B205" t="s">
        <v>26</v>
      </c>
      <c r="C205" t="s">
        <v>27</v>
      </c>
      <c r="H205" s="2">
        <v>45745.39166666667</v>
      </c>
      <c r="I205" t="s">
        <v>40</v>
      </c>
      <c r="Z205">
        <v>98442</v>
      </c>
    </row>
    <row r="206" spans="1:26" x14ac:dyDescent="0.25">
      <c r="A206" t="s">
        <v>723</v>
      </c>
      <c r="B206" t="s">
        <v>117</v>
      </c>
      <c r="C206" t="s">
        <v>27</v>
      </c>
      <c r="E206" t="s">
        <v>81</v>
      </c>
      <c r="G206" t="s">
        <v>724</v>
      </c>
      <c r="H206" s="2">
        <v>45743.386111111111</v>
      </c>
      <c r="I206" t="s">
        <v>29</v>
      </c>
      <c r="K206" t="s">
        <v>30</v>
      </c>
      <c r="L206" t="s">
        <v>31</v>
      </c>
      <c r="M206">
        <v>104108031</v>
      </c>
      <c r="N206">
        <v>15719003140</v>
      </c>
      <c r="O206" t="s">
        <v>83</v>
      </c>
      <c r="Z206">
        <v>98314</v>
      </c>
    </row>
    <row r="207" spans="1:26" x14ac:dyDescent="0.25">
      <c r="A207" t="s">
        <v>489</v>
      </c>
      <c r="B207" t="s">
        <v>26</v>
      </c>
      <c r="C207" t="s">
        <v>27</v>
      </c>
      <c r="E207" t="s">
        <v>725</v>
      </c>
      <c r="H207" s="2">
        <v>45742.594444444447</v>
      </c>
      <c r="I207" t="s">
        <v>29</v>
      </c>
      <c r="Z207">
        <v>98275</v>
      </c>
    </row>
    <row r="208" spans="1:26" x14ac:dyDescent="0.25">
      <c r="A208" t="s">
        <v>726</v>
      </c>
      <c r="B208" t="s">
        <v>131</v>
      </c>
      <c r="C208" t="s">
        <v>27</v>
      </c>
      <c r="E208" t="s">
        <v>45</v>
      </c>
      <c r="H208" s="2">
        <v>45739.473611111112</v>
      </c>
      <c r="I208" t="s">
        <v>40</v>
      </c>
      <c r="Z208">
        <v>97996</v>
      </c>
    </row>
    <row r="209" spans="1:26" x14ac:dyDescent="0.25">
      <c r="A209" t="s">
        <v>727</v>
      </c>
      <c r="B209" t="s">
        <v>26</v>
      </c>
      <c r="C209" t="s">
        <v>27</v>
      </c>
      <c r="H209" s="2">
        <v>45730.668749999997</v>
      </c>
      <c r="I209" t="s">
        <v>84</v>
      </c>
      <c r="Z209">
        <v>97536</v>
      </c>
    </row>
    <row r="210" spans="1:26" x14ac:dyDescent="0.25">
      <c r="A210" t="s">
        <v>625</v>
      </c>
      <c r="B210" t="s">
        <v>26</v>
      </c>
      <c r="C210" t="s">
        <v>27</v>
      </c>
      <c r="H210" s="2">
        <v>45730.442361111112</v>
      </c>
      <c r="I210" t="s">
        <v>29</v>
      </c>
      <c r="Z210">
        <v>97514</v>
      </c>
    </row>
    <row r="211" spans="1:26" x14ac:dyDescent="0.25">
      <c r="A211" t="s">
        <v>728</v>
      </c>
      <c r="B211" t="s">
        <v>26</v>
      </c>
      <c r="C211" t="s">
        <v>27</v>
      </c>
      <c r="H211" s="2">
        <v>45725.59652777778</v>
      </c>
      <c r="I211" t="s">
        <v>29</v>
      </c>
      <c r="Z211">
        <v>97326</v>
      </c>
    </row>
    <row r="212" spans="1:26" x14ac:dyDescent="0.25">
      <c r="A212" t="s">
        <v>729</v>
      </c>
      <c r="B212" t="s">
        <v>26</v>
      </c>
      <c r="C212" t="s">
        <v>27</v>
      </c>
      <c r="H212" s="2">
        <v>45721.38958333333</v>
      </c>
      <c r="I212" t="s">
        <v>118</v>
      </c>
      <c r="Z212">
        <v>97208</v>
      </c>
    </row>
    <row r="213" spans="1:26" x14ac:dyDescent="0.25">
      <c r="A213" t="s">
        <v>730</v>
      </c>
      <c r="B213" t="s">
        <v>26</v>
      </c>
      <c r="C213" t="s">
        <v>27</v>
      </c>
      <c r="H213" s="2">
        <v>45716.423611111109</v>
      </c>
      <c r="I213" t="s">
        <v>40</v>
      </c>
      <c r="Z213">
        <v>97073</v>
      </c>
    </row>
    <row r="214" spans="1:26" x14ac:dyDescent="0.25">
      <c r="A214" t="s">
        <v>731</v>
      </c>
      <c r="B214" t="s">
        <v>26</v>
      </c>
      <c r="C214" t="s">
        <v>27</v>
      </c>
      <c r="H214" s="2">
        <v>45713.482638888891</v>
      </c>
      <c r="I214" t="s">
        <v>29</v>
      </c>
      <c r="Z214">
        <v>96985</v>
      </c>
    </row>
    <row r="215" spans="1:26" x14ac:dyDescent="0.25">
      <c r="A215" t="s">
        <v>562</v>
      </c>
      <c r="B215" t="s">
        <v>26</v>
      </c>
      <c r="C215" t="s">
        <v>27</v>
      </c>
      <c r="H215" s="2">
        <v>45711.674305555556</v>
      </c>
      <c r="I215" t="s">
        <v>29</v>
      </c>
      <c r="Z215">
        <v>96930</v>
      </c>
    </row>
    <row r="216" spans="1:26" x14ac:dyDescent="0.25">
      <c r="A216" t="s">
        <v>732</v>
      </c>
      <c r="B216" t="s">
        <v>26</v>
      </c>
      <c r="C216" t="s">
        <v>27</v>
      </c>
      <c r="H216" s="2">
        <v>45711.407638888886</v>
      </c>
      <c r="I216" t="s">
        <v>40</v>
      </c>
      <c r="Z216">
        <v>96917</v>
      </c>
    </row>
    <row r="217" spans="1:26" x14ac:dyDescent="0.25">
      <c r="A217" t="s">
        <v>733</v>
      </c>
      <c r="B217" t="s">
        <v>131</v>
      </c>
      <c r="C217" t="s">
        <v>27</v>
      </c>
      <c r="E217" t="s">
        <v>734</v>
      </c>
      <c r="H217" s="2">
        <v>45709.927777777775</v>
      </c>
      <c r="I217" t="s">
        <v>40</v>
      </c>
      <c r="Z217">
        <v>96880</v>
      </c>
    </row>
    <row r="218" spans="1:26" x14ac:dyDescent="0.25">
      <c r="A218" t="s">
        <v>735</v>
      </c>
      <c r="B218" t="s">
        <v>26</v>
      </c>
      <c r="C218" t="s">
        <v>27</v>
      </c>
      <c r="H218" s="2">
        <v>45708.566666666666</v>
      </c>
      <c r="I218" t="s">
        <v>84</v>
      </c>
      <c r="Z218">
        <v>96835</v>
      </c>
    </row>
    <row r="219" spans="1:26" x14ac:dyDescent="0.25">
      <c r="A219" t="s">
        <v>736</v>
      </c>
      <c r="B219" t="s">
        <v>125</v>
      </c>
      <c r="C219" t="s">
        <v>27</v>
      </c>
      <c r="E219" t="s">
        <v>78</v>
      </c>
      <c r="H219" s="2">
        <v>45701.45</v>
      </c>
      <c r="I219" t="s">
        <v>29</v>
      </c>
      <c r="Z219">
        <v>96574</v>
      </c>
    </row>
    <row r="220" spans="1:26" x14ac:dyDescent="0.25">
      <c r="A220" t="s">
        <v>562</v>
      </c>
      <c r="B220" t="s">
        <v>125</v>
      </c>
      <c r="C220" t="s">
        <v>27</v>
      </c>
      <c r="E220" t="s">
        <v>737</v>
      </c>
      <c r="H220" s="2">
        <v>45693.574305555558</v>
      </c>
      <c r="I220" t="s">
        <v>29</v>
      </c>
      <c r="Z220">
        <v>96214</v>
      </c>
    </row>
    <row r="221" spans="1:26" x14ac:dyDescent="0.25">
      <c r="A221" t="s">
        <v>738</v>
      </c>
      <c r="B221" t="s">
        <v>26</v>
      </c>
      <c r="C221" t="s">
        <v>27</v>
      </c>
      <c r="H221" s="2">
        <v>45690.646527777775</v>
      </c>
      <c r="I221" t="s">
        <v>84</v>
      </c>
      <c r="Z221">
        <v>96122</v>
      </c>
    </row>
    <row r="222" spans="1:26" x14ac:dyDescent="0.25">
      <c r="A222" t="s">
        <v>489</v>
      </c>
      <c r="B222" t="s">
        <v>26</v>
      </c>
      <c r="C222" t="s">
        <v>27</v>
      </c>
      <c r="H222" s="2">
        <v>45688.418055555558</v>
      </c>
      <c r="I222" t="s">
        <v>29</v>
      </c>
      <c r="Z222">
        <v>96059</v>
      </c>
    </row>
    <row r="223" spans="1:26" x14ac:dyDescent="0.25">
      <c r="A223" t="s">
        <v>739</v>
      </c>
      <c r="B223" t="s">
        <v>26</v>
      </c>
      <c r="C223" t="s">
        <v>27</v>
      </c>
      <c r="H223" s="2">
        <v>45687.42083333333</v>
      </c>
      <c r="I223" t="s">
        <v>40</v>
      </c>
      <c r="Z223">
        <v>96035</v>
      </c>
    </row>
    <row r="224" spans="1:26" x14ac:dyDescent="0.25">
      <c r="A224" t="s">
        <v>562</v>
      </c>
      <c r="B224" t="s">
        <v>26</v>
      </c>
      <c r="C224" t="s">
        <v>27</v>
      </c>
      <c r="H224" s="2">
        <v>45675.554861111108</v>
      </c>
      <c r="I224" t="s">
        <v>29</v>
      </c>
      <c r="Z224">
        <v>95636</v>
      </c>
    </row>
    <row r="225" spans="1:26" x14ac:dyDescent="0.25">
      <c r="A225" t="s">
        <v>740</v>
      </c>
      <c r="B225" t="s">
        <v>26</v>
      </c>
      <c r="C225" t="s">
        <v>27</v>
      </c>
      <c r="H225" s="2">
        <v>45674.612500000003</v>
      </c>
      <c r="I225" t="s">
        <v>40</v>
      </c>
      <c r="Z225">
        <v>95608</v>
      </c>
    </row>
    <row r="226" spans="1:26" x14ac:dyDescent="0.25">
      <c r="A226" t="s">
        <v>741</v>
      </c>
      <c r="B226" t="s">
        <v>26</v>
      </c>
      <c r="C226" t="s">
        <v>27</v>
      </c>
      <c r="H226" s="2">
        <v>45674.386805555558</v>
      </c>
      <c r="I226" t="s">
        <v>40</v>
      </c>
      <c r="Z226">
        <v>95590</v>
      </c>
    </row>
    <row r="227" spans="1:26" x14ac:dyDescent="0.25">
      <c r="A227" t="s">
        <v>742</v>
      </c>
      <c r="B227" t="s">
        <v>26</v>
      </c>
      <c r="C227" t="s">
        <v>27</v>
      </c>
      <c r="H227" s="2">
        <v>45672.240972222222</v>
      </c>
      <c r="I227" t="s">
        <v>84</v>
      </c>
      <c r="Z227">
        <v>95548</v>
      </c>
    </row>
    <row r="228" spans="1:26" x14ac:dyDescent="0.25">
      <c r="A228" t="s">
        <v>743</v>
      </c>
      <c r="B228" t="s">
        <v>117</v>
      </c>
      <c r="C228" t="s">
        <v>27</v>
      </c>
      <c r="E228" t="s">
        <v>80</v>
      </c>
      <c r="H228" s="2">
        <v>45671.951388888891</v>
      </c>
      <c r="I228" t="s">
        <v>118</v>
      </c>
      <c r="Z228">
        <v>95547</v>
      </c>
    </row>
    <row r="229" spans="1:26" x14ac:dyDescent="0.25">
      <c r="A229" t="s">
        <v>89</v>
      </c>
      <c r="B229" t="s">
        <v>74</v>
      </c>
      <c r="C229" t="s">
        <v>27</v>
      </c>
      <c r="E229" t="s">
        <v>80</v>
      </c>
      <c r="H229" s="2">
        <v>45671.95</v>
      </c>
      <c r="I229" t="s">
        <v>118</v>
      </c>
      <c r="Z229">
        <v>95546</v>
      </c>
    </row>
    <row r="230" spans="1:26" x14ac:dyDescent="0.25">
      <c r="A230" t="s">
        <v>744</v>
      </c>
      <c r="B230" t="s">
        <v>117</v>
      </c>
      <c r="C230" t="s">
        <v>27</v>
      </c>
      <c r="E230" t="s">
        <v>45</v>
      </c>
      <c r="H230" s="2">
        <v>45667.54791666667</v>
      </c>
      <c r="I230" t="s">
        <v>118</v>
      </c>
      <c r="Z230">
        <v>95426</v>
      </c>
    </row>
    <row r="231" spans="1:26" x14ac:dyDescent="0.25">
      <c r="A231" t="s">
        <v>92</v>
      </c>
      <c r="C231" t="s">
        <v>27</v>
      </c>
      <c r="E231" t="s">
        <v>45</v>
      </c>
      <c r="H231" s="2">
        <v>45661.829861111109</v>
      </c>
      <c r="I231" t="s">
        <v>118</v>
      </c>
      <c r="Z231">
        <v>95286</v>
      </c>
    </row>
    <row r="232" spans="1:26" x14ac:dyDescent="0.25">
      <c r="A232" t="s">
        <v>173</v>
      </c>
      <c r="B232" t="s">
        <v>131</v>
      </c>
      <c r="C232" t="s">
        <v>27</v>
      </c>
      <c r="E232" t="s">
        <v>58</v>
      </c>
      <c r="H232" s="2">
        <v>45655.80972222222</v>
      </c>
      <c r="I232" t="s">
        <v>84</v>
      </c>
      <c r="Z232">
        <v>95235</v>
      </c>
    </row>
    <row r="233" spans="1:26" x14ac:dyDescent="0.25">
      <c r="A233" t="s">
        <v>141</v>
      </c>
      <c r="B233" t="s">
        <v>131</v>
      </c>
      <c r="C233" t="s">
        <v>27</v>
      </c>
      <c r="E233" t="s">
        <v>80</v>
      </c>
      <c r="H233" s="2">
        <v>45654.652083333334</v>
      </c>
      <c r="I233" t="s">
        <v>84</v>
      </c>
      <c r="Z233">
        <v>95207</v>
      </c>
    </row>
    <row r="234" spans="1:26" x14ac:dyDescent="0.25">
      <c r="A234" t="s">
        <v>745</v>
      </c>
      <c r="B234" t="s">
        <v>26</v>
      </c>
      <c r="C234" t="s">
        <v>27</v>
      </c>
      <c r="H234" s="2">
        <v>45645.693749999999</v>
      </c>
      <c r="I234" t="s">
        <v>40</v>
      </c>
      <c r="Z234">
        <v>94902</v>
      </c>
    </row>
    <row r="235" spans="1:26" x14ac:dyDescent="0.25">
      <c r="A235" t="s">
        <v>746</v>
      </c>
      <c r="B235" t="s">
        <v>26</v>
      </c>
      <c r="C235" t="s">
        <v>27</v>
      </c>
      <c r="H235" s="2">
        <v>45644.622916666667</v>
      </c>
      <c r="I235" t="s">
        <v>118</v>
      </c>
      <c r="Z235">
        <v>94867</v>
      </c>
    </row>
    <row r="236" spans="1:26" x14ac:dyDescent="0.25">
      <c r="A236" t="s">
        <v>747</v>
      </c>
      <c r="B236" t="s">
        <v>26</v>
      </c>
      <c r="C236" t="s">
        <v>27</v>
      </c>
      <c r="H236" s="2">
        <v>45644.509722222225</v>
      </c>
      <c r="I236" t="s">
        <v>84</v>
      </c>
      <c r="Z236">
        <v>94858</v>
      </c>
    </row>
    <row r="237" spans="1:26" x14ac:dyDescent="0.25">
      <c r="A237" t="s">
        <v>562</v>
      </c>
      <c r="B237" t="s">
        <v>131</v>
      </c>
      <c r="C237" t="s">
        <v>27</v>
      </c>
      <c r="E237" t="s">
        <v>44</v>
      </c>
      <c r="H237" s="2">
        <v>45643.446527777778</v>
      </c>
      <c r="I237" t="s">
        <v>29</v>
      </c>
      <c r="Z237">
        <v>94835</v>
      </c>
    </row>
    <row r="238" spans="1:26" x14ac:dyDescent="0.25">
      <c r="A238" t="s">
        <v>748</v>
      </c>
      <c r="C238" t="s">
        <v>27</v>
      </c>
      <c r="E238" t="s">
        <v>45</v>
      </c>
      <c r="H238" s="2">
        <v>45639.493055555555</v>
      </c>
      <c r="I238" t="s">
        <v>40</v>
      </c>
      <c r="Z238">
        <v>94751</v>
      </c>
    </row>
    <row r="239" spans="1:26" x14ac:dyDescent="0.25">
      <c r="A239" t="s">
        <v>749</v>
      </c>
      <c r="B239" t="s">
        <v>131</v>
      </c>
      <c r="C239" t="s">
        <v>27</v>
      </c>
      <c r="E239" t="s">
        <v>126</v>
      </c>
      <c r="H239" s="2">
        <v>45631.365277777775</v>
      </c>
      <c r="I239" t="s">
        <v>29</v>
      </c>
      <c r="Z239">
        <v>94458</v>
      </c>
    </row>
    <row r="240" spans="1:26" x14ac:dyDescent="0.25">
      <c r="A240" t="s">
        <v>750</v>
      </c>
      <c r="B240" t="s">
        <v>131</v>
      </c>
      <c r="C240" t="s">
        <v>27</v>
      </c>
      <c r="E240" t="s">
        <v>66</v>
      </c>
      <c r="H240" s="2">
        <v>45631.162499999999</v>
      </c>
      <c r="I240" t="s">
        <v>29</v>
      </c>
      <c r="Z240">
        <v>94456</v>
      </c>
    </row>
    <row r="241" spans="1:26" x14ac:dyDescent="0.25">
      <c r="A241" t="s">
        <v>751</v>
      </c>
      <c r="B241" t="s">
        <v>125</v>
      </c>
      <c r="C241" t="s">
        <v>27</v>
      </c>
      <c r="E241" t="s">
        <v>752</v>
      </c>
      <c r="H241" s="2">
        <v>45629.640972222223</v>
      </c>
      <c r="I241" t="s">
        <v>29</v>
      </c>
      <c r="Z241">
        <v>94400</v>
      </c>
    </row>
    <row r="242" spans="1:26" x14ac:dyDescent="0.25">
      <c r="A242" t="s">
        <v>753</v>
      </c>
      <c r="B242" t="s">
        <v>26</v>
      </c>
      <c r="C242" t="s">
        <v>27</v>
      </c>
      <c r="H242" s="2">
        <v>45628.725694444445</v>
      </c>
      <c r="I242" t="s">
        <v>118</v>
      </c>
      <c r="Z242">
        <v>94367</v>
      </c>
    </row>
    <row r="243" spans="1:26" x14ac:dyDescent="0.25">
      <c r="A243" t="s">
        <v>754</v>
      </c>
      <c r="B243" t="s">
        <v>131</v>
      </c>
      <c r="C243" t="s">
        <v>27</v>
      </c>
      <c r="E243" t="s">
        <v>53</v>
      </c>
      <c r="H243" s="2">
        <v>45627.85</v>
      </c>
      <c r="I243" t="s">
        <v>118</v>
      </c>
      <c r="Z243">
        <v>94332</v>
      </c>
    </row>
    <row r="244" spans="1:26" x14ac:dyDescent="0.25">
      <c r="A244" t="s">
        <v>155</v>
      </c>
      <c r="B244" t="s">
        <v>131</v>
      </c>
      <c r="C244" t="s">
        <v>27</v>
      </c>
      <c r="E244" t="s">
        <v>45</v>
      </c>
      <c r="H244" s="2">
        <v>45627.772916666669</v>
      </c>
      <c r="I244" t="s">
        <v>118</v>
      </c>
      <c r="Z244">
        <v>94328</v>
      </c>
    </row>
    <row r="245" spans="1:26" x14ac:dyDescent="0.25">
      <c r="A245" t="s">
        <v>755</v>
      </c>
      <c r="B245" t="s">
        <v>131</v>
      </c>
      <c r="C245" t="s">
        <v>27</v>
      </c>
      <c r="E245" t="s">
        <v>45</v>
      </c>
      <c r="G245" t="s">
        <v>756</v>
      </c>
      <c r="H245" s="2">
        <v>45626.871527777781</v>
      </c>
      <c r="I245" t="s">
        <v>40</v>
      </c>
      <c r="Z245">
        <v>94293</v>
      </c>
    </row>
    <row r="246" spans="1:26" x14ac:dyDescent="0.25">
      <c r="A246" t="s">
        <v>757</v>
      </c>
      <c r="B246" t="s">
        <v>26</v>
      </c>
      <c r="C246" t="s">
        <v>27</v>
      </c>
      <c r="H246" s="2">
        <v>45625.815972222219</v>
      </c>
      <c r="I246" t="s">
        <v>84</v>
      </c>
      <c r="Z246">
        <v>94265</v>
      </c>
    </row>
    <row r="247" spans="1:26" x14ac:dyDescent="0.25">
      <c r="A247" t="s">
        <v>758</v>
      </c>
      <c r="B247" t="s">
        <v>46</v>
      </c>
      <c r="C247" t="s">
        <v>57</v>
      </c>
      <c r="E247" t="s">
        <v>44</v>
      </c>
      <c r="G247" t="s">
        <v>759</v>
      </c>
      <c r="H247" s="2">
        <v>45624.551388888889</v>
      </c>
      <c r="I247" t="s">
        <v>139</v>
      </c>
      <c r="Z247">
        <v>94203</v>
      </c>
    </row>
    <row r="248" spans="1:26" x14ac:dyDescent="0.25">
      <c r="A248" t="s">
        <v>760</v>
      </c>
      <c r="B248" t="s">
        <v>26</v>
      </c>
      <c r="C248" t="s">
        <v>27</v>
      </c>
      <c r="H248" s="2">
        <v>45623.793749999997</v>
      </c>
      <c r="I248" t="s">
        <v>139</v>
      </c>
      <c r="Z248">
        <v>94175</v>
      </c>
    </row>
    <row r="249" spans="1:26" x14ac:dyDescent="0.25">
      <c r="A249" t="s">
        <v>761</v>
      </c>
      <c r="B249" t="s">
        <v>26</v>
      </c>
      <c r="C249" t="s">
        <v>27</v>
      </c>
      <c r="H249" s="2">
        <v>45623.734722222223</v>
      </c>
      <c r="I249" t="s">
        <v>139</v>
      </c>
      <c r="Z249">
        <v>94169</v>
      </c>
    </row>
    <row r="250" spans="1:26" x14ac:dyDescent="0.25">
      <c r="A250" t="s">
        <v>762</v>
      </c>
      <c r="B250" t="s">
        <v>125</v>
      </c>
      <c r="C250" t="s">
        <v>27</v>
      </c>
      <c r="E250" t="s">
        <v>76</v>
      </c>
      <c r="H250" s="2">
        <v>45622.70416666667</v>
      </c>
      <c r="I250" t="s">
        <v>139</v>
      </c>
      <c r="Z250">
        <v>94108</v>
      </c>
    </row>
    <row r="251" spans="1:26" x14ac:dyDescent="0.25">
      <c r="A251" t="s">
        <v>763</v>
      </c>
      <c r="B251" t="s">
        <v>26</v>
      </c>
      <c r="C251" t="s">
        <v>27</v>
      </c>
      <c r="H251" s="2">
        <v>45622.67083333333</v>
      </c>
      <c r="I251" t="s">
        <v>40</v>
      </c>
      <c r="Z251">
        <v>94099</v>
      </c>
    </row>
    <row r="252" spans="1:26" x14ac:dyDescent="0.25">
      <c r="A252" t="s">
        <v>764</v>
      </c>
      <c r="B252" t="s">
        <v>26</v>
      </c>
      <c r="C252" t="s">
        <v>27</v>
      </c>
      <c r="H252" s="2">
        <v>45615.504861111112</v>
      </c>
      <c r="I252" t="s">
        <v>29</v>
      </c>
      <c r="Z252">
        <v>93778</v>
      </c>
    </row>
    <row r="253" spans="1:26" x14ac:dyDescent="0.25">
      <c r="A253" t="s">
        <v>765</v>
      </c>
      <c r="B253" t="s">
        <v>26</v>
      </c>
      <c r="C253" t="s">
        <v>27</v>
      </c>
      <c r="H253" s="2">
        <v>45611.65</v>
      </c>
      <c r="I253" t="s">
        <v>118</v>
      </c>
      <c r="Z253">
        <v>93664</v>
      </c>
    </row>
    <row r="254" spans="1:26" x14ac:dyDescent="0.25">
      <c r="A254" t="s">
        <v>766</v>
      </c>
      <c r="B254" t="s">
        <v>26</v>
      </c>
      <c r="C254" t="s">
        <v>27</v>
      </c>
      <c r="H254" s="2">
        <v>45610.651388888888</v>
      </c>
      <c r="I254" t="s">
        <v>40</v>
      </c>
      <c r="Z254">
        <v>93630</v>
      </c>
    </row>
    <row r="255" spans="1:26" x14ac:dyDescent="0.25">
      <c r="A255" t="s">
        <v>767</v>
      </c>
      <c r="B255" t="s">
        <v>26</v>
      </c>
      <c r="C255" t="s">
        <v>143</v>
      </c>
      <c r="H255" s="2">
        <v>45605.76458333333</v>
      </c>
      <c r="I255" t="s">
        <v>139</v>
      </c>
      <c r="Z255">
        <v>93341</v>
      </c>
    </row>
    <row r="256" spans="1:26" x14ac:dyDescent="0.25">
      <c r="A256" t="s">
        <v>768</v>
      </c>
      <c r="B256" t="s">
        <v>26</v>
      </c>
      <c r="C256" t="s">
        <v>27</v>
      </c>
      <c r="H256" s="2">
        <v>45603.513888888891</v>
      </c>
      <c r="I256" t="s">
        <v>29</v>
      </c>
      <c r="Z256">
        <v>93231</v>
      </c>
    </row>
    <row r="257" spans="1:26" x14ac:dyDescent="0.25">
      <c r="A257" t="s">
        <v>769</v>
      </c>
      <c r="B257" t="s">
        <v>26</v>
      </c>
      <c r="C257" t="s">
        <v>27</v>
      </c>
      <c r="H257" s="2">
        <v>45603.385416666664</v>
      </c>
      <c r="I257" t="s">
        <v>29</v>
      </c>
      <c r="Z257">
        <v>93216</v>
      </c>
    </row>
    <row r="258" spans="1:26" x14ac:dyDescent="0.25">
      <c r="A258" t="s">
        <v>770</v>
      </c>
      <c r="B258" t="s">
        <v>26</v>
      </c>
      <c r="C258" t="s">
        <v>27</v>
      </c>
      <c r="H258" s="2">
        <v>45596.673611111109</v>
      </c>
      <c r="I258" t="s">
        <v>84</v>
      </c>
      <c r="Z258">
        <v>92680</v>
      </c>
    </row>
    <row r="259" spans="1:26" x14ac:dyDescent="0.25">
      <c r="A259" t="s">
        <v>771</v>
      </c>
      <c r="B259" t="s">
        <v>125</v>
      </c>
      <c r="C259" t="s">
        <v>27</v>
      </c>
      <c r="E259" t="s">
        <v>107</v>
      </c>
      <c r="H259" s="2">
        <v>45594.364583333336</v>
      </c>
      <c r="I259" t="s">
        <v>29</v>
      </c>
      <c r="Z259">
        <v>92531</v>
      </c>
    </row>
    <row r="260" spans="1:26" x14ac:dyDescent="0.25">
      <c r="A260" t="s">
        <v>772</v>
      </c>
      <c r="B260" t="s">
        <v>26</v>
      </c>
      <c r="C260" t="s">
        <v>27</v>
      </c>
      <c r="H260" s="2">
        <v>45590.695833333331</v>
      </c>
      <c r="I260" t="s">
        <v>29</v>
      </c>
      <c r="Z260">
        <v>92381</v>
      </c>
    </row>
    <row r="261" spans="1:26" x14ac:dyDescent="0.25">
      <c r="A261" t="s">
        <v>773</v>
      </c>
      <c r="B261" t="s">
        <v>26</v>
      </c>
      <c r="C261" t="s">
        <v>27</v>
      </c>
      <c r="H261" s="2">
        <v>45589.582638888889</v>
      </c>
      <c r="I261" t="s">
        <v>84</v>
      </c>
      <c r="Z261">
        <v>92322</v>
      </c>
    </row>
    <row r="262" spans="1:26" x14ac:dyDescent="0.25">
      <c r="A262" t="s">
        <v>774</v>
      </c>
      <c r="B262" t="s">
        <v>46</v>
      </c>
      <c r="C262" t="s">
        <v>47</v>
      </c>
      <c r="E262" t="s">
        <v>85</v>
      </c>
      <c r="G262" t="s">
        <v>86</v>
      </c>
      <c r="H262" s="2">
        <v>45587.477083333331</v>
      </c>
      <c r="I262" t="s">
        <v>139</v>
      </c>
      <c r="Z262">
        <v>92201</v>
      </c>
    </row>
    <row r="263" spans="1:26" x14ac:dyDescent="0.25">
      <c r="A263" t="s">
        <v>775</v>
      </c>
      <c r="B263" t="s">
        <v>26</v>
      </c>
      <c r="C263" t="s">
        <v>27</v>
      </c>
      <c r="H263" s="2">
        <v>45586.588888888888</v>
      </c>
      <c r="I263" t="s">
        <v>29</v>
      </c>
      <c r="Z263">
        <v>92166</v>
      </c>
    </row>
    <row r="264" spans="1:26" x14ac:dyDescent="0.25">
      <c r="A264" t="s">
        <v>776</v>
      </c>
      <c r="B264" t="s">
        <v>26</v>
      </c>
      <c r="C264" t="s">
        <v>27</v>
      </c>
      <c r="H264" s="2">
        <v>45581.502083333333</v>
      </c>
      <c r="I264" t="s">
        <v>29</v>
      </c>
      <c r="Z264">
        <v>91971</v>
      </c>
    </row>
    <row r="265" spans="1:26" x14ac:dyDescent="0.25">
      <c r="A265" t="s">
        <v>777</v>
      </c>
      <c r="B265" t="s">
        <v>26</v>
      </c>
      <c r="C265" t="s">
        <v>47</v>
      </c>
      <c r="H265" s="2">
        <v>45581.499305555553</v>
      </c>
      <c r="I265" t="s">
        <v>139</v>
      </c>
      <c r="Z265">
        <v>91969</v>
      </c>
    </row>
    <row r="266" spans="1:26" x14ac:dyDescent="0.25">
      <c r="A266" t="s">
        <v>778</v>
      </c>
      <c r="B266" t="s">
        <v>26</v>
      </c>
      <c r="C266" t="s">
        <v>27</v>
      </c>
      <c r="H266" s="2">
        <v>45579.431250000001</v>
      </c>
      <c r="I266" t="s">
        <v>139</v>
      </c>
      <c r="Z266">
        <v>91808</v>
      </c>
    </row>
    <row r="267" spans="1:26" x14ac:dyDescent="0.25">
      <c r="A267" t="s">
        <v>779</v>
      </c>
      <c r="B267" t="s">
        <v>26</v>
      </c>
      <c r="C267" t="s">
        <v>27</v>
      </c>
      <c r="H267" s="2">
        <v>45576.563194444447</v>
      </c>
      <c r="I267" t="s">
        <v>29</v>
      </c>
      <c r="Z267">
        <v>91737</v>
      </c>
    </row>
    <row r="268" spans="1:26" x14ac:dyDescent="0.25">
      <c r="A268" t="s">
        <v>780</v>
      </c>
      <c r="B268" t="s">
        <v>26</v>
      </c>
      <c r="C268" t="s">
        <v>27</v>
      </c>
      <c r="H268" s="2">
        <v>45576.505555555559</v>
      </c>
      <c r="I268" t="s">
        <v>137</v>
      </c>
      <c r="Z268">
        <v>91724</v>
      </c>
    </row>
    <row r="269" spans="1:26" x14ac:dyDescent="0.25">
      <c r="A269" t="s">
        <v>781</v>
      </c>
      <c r="B269" t="s">
        <v>131</v>
      </c>
      <c r="C269" t="s">
        <v>57</v>
      </c>
      <c r="E269" t="s">
        <v>782</v>
      </c>
      <c r="H269" s="2">
        <v>45574.503472222219</v>
      </c>
      <c r="I269" t="s">
        <v>40</v>
      </c>
      <c r="Z269">
        <v>91613</v>
      </c>
    </row>
    <row r="270" spans="1:26" x14ac:dyDescent="0.25">
      <c r="A270" t="s">
        <v>783</v>
      </c>
      <c r="B270" t="s">
        <v>26</v>
      </c>
      <c r="C270" t="s">
        <v>57</v>
      </c>
      <c r="H270" s="2">
        <v>45574.470833333333</v>
      </c>
      <c r="I270" t="s">
        <v>139</v>
      </c>
      <c r="Z270">
        <v>91605</v>
      </c>
    </row>
    <row r="271" spans="1:26" x14ac:dyDescent="0.25">
      <c r="A271" t="s">
        <v>784</v>
      </c>
      <c r="B271" t="s">
        <v>26</v>
      </c>
      <c r="C271" t="s">
        <v>27</v>
      </c>
      <c r="H271" s="2">
        <v>45572.707638888889</v>
      </c>
      <c r="I271" t="s">
        <v>40</v>
      </c>
      <c r="Z271">
        <v>91534</v>
      </c>
    </row>
    <row r="272" spans="1:26" x14ac:dyDescent="0.25">
      <c r="A272" t="s">
        <v>785</v>
      </c>
      <c r="B272" t="s">
        <v>26</v>
      </c>
      <c r="C272" t="s">
        <v>27</v>
      </c>
      <c r="H272" s="2">
        <v>45569.631249999999</v>
      </c>
      <c r="I272" t="s">
        <v>40</v>
      </c>
      <c r="Z272">
        <v>91447</v>
      </c>
    </row>
    <row r="273" spans="1:26" x14ac:dyDescent="0.25">
      <c r="A273" t="s">
        <v>786</v>
      </c>
      <c r="C273" t="s">
        <v>27</v>
      </c>
      <c r="E273" t="s">
        <v>58</v>
      </c>
      <c r="H273" s="2">
        <v>45569.594444444447</v>
      </c>
      <c r="I273" t="s">
        <v>40</v>
      </c>
      <c r="Z273">
        <v>91443</v>
      </c>
    </row>
    <row r="274" spans="1:26" x14ac:dyDescent="0.25">
      <c r="A274" t="s">
        <v>787</v>
      </c>
      <c r="B274" t="s">
        <v>26</v>
      </c>
      <c r="C274" t="s">
        <v>27</v>
      </c>
      <c r="H274" s="2">
        <v>45569.445138888892</v>
      </c>
      <c r="I274" t="s">
        <v>40</v>
      </c>
      <c r="Z274">
        <v>91420</v>
      </c>
    </row>
    <row r="275" spans="1:26" x14ac:dyDescent="0.25">
      <c r="A275" t="s">
        <v>788</v>
      </c>
      <c r="B275" t="s">
        <v>26</v>
      </c>
      <c r="C275" t="s">
        <v>27</v>
      </c>
      <c r="H275" s="2">
        <v>45566.716666666667</v>
      </c>
      <c r="I275" t="s">
        <v>40</v>
      </c>
      <c r="Z275">
        <v>91296</v>
      </c>
    </row>
    <row r="276" spans="1:26" x14ac:dyDescent="0.25">
      <c r="A276" t="s">
        <v>789</v>
      </c>
      <c r="B276" t="s">
        <v>26</v>
      </c>
      <c r="C276" t="s">
        <v>27</v>
      </c>
      <c r="H276" s="2">
        <v>45565.527083333334</v>
      </c>
      <c r="I276" t="s">
        <v>139</v>
      </c>
      <c r="Z276">
        <v>91206</v>
      </c>
    </row>
    <row r="277" spans="1:26" x14ac:dyDescent="0.25">
      <c r="A277" t="s">
        <v>790</v>
      </c>
      <c r="B277" t="s">
        <v>131</v>
      </c>
      <c r="C277" t="s">
        <v>27</v>
      </c>
      <c r="E277" t="s">
        <v>65</v>
      </c>
      <c r="H277" s="2">
        <v>45564.718055555553</v>
      </c>
      <c r="I277" t="s">
        <v>139</v>
      </c>
      <c r="Z277">
        <v>91163</v>
      </c>
    </row>
    <row r="278" spans="1:26" x14ac:dyDescent="0.25">
      <c r="A278" t="s">
        <v>791</v>
      </c>
      <c r="B278" t="s">
        <v>26</v>
      </c>
      <c r="C278" t="s">
        <v>27</v>
      </c>
      <c r="H278" s="2">
        <v>45562.590277777781</v>
      </c>
      <c r="I278" t="s">
        <v>40</v>
      </c>
      <c r="Z278">
        <v>91111</v>
      </c>
    </row>
    <row r="279" spans="1:26" x14ac:dyDescent="0.25">
      <c r="A279" t="s">
        <v>792</v>
      </c>
      <c r="B279" t="s">
        <v>46</v>
      </c>
      <c r="C279" t="s">
        <v>57</v>
      </c>
      <c r="E279" t="s">
        <v>80</v>
      </c>
      <c r="G279" t="s">
        <v>793</v>
      </c>
      <c r="H279" s="2">
        <v>45561.879861111112</v>
      </c>
      <c r="I279" t="s">
        <v>40</v>
      </c>
      <c r="Z279">
        <v>91080</v>
      </c>
    </row>
    <row r="280" spans="1:26" x14ac:dyDescent="0.25">
      <c r="A280" t="s">
        <v>794</v>
      </c>
      <c r="B280" t="s">
        <v>46</v>
      </c>
      <c r="C280" t="s">
        <v>27</v>
      </c>
      <c r="E280" t="s">
        <v>81</v>
      </c>
      <c r="G280" t="s">
        <v>795</v>
      </c>
      <c r="H280" s="2">
        <v>45560.390277777777</v>
      </c>
      <c r="I280" t="s">
        <v>40</v>
      </c>
      <c r="K280" t="s">
        <v>30</v>
      </c>
      <c r="L280" t="s">
        <v>31</v>
      </c>
      <c r="M280">
        <v>67127941</v>
      </c>
      <c r="N280">
        <v>15855619847</v>
      </c>
      <c r="O280" t="s">
        <v>796</v>
      </c>
      <c r="Z280">
        <v>90960</v>
      </c>
    </row>
    <row r="281" spans="1:26" x14ac:dyDescent="0.25">
      <c r="A281" t="s">
        <v>797</v>
      </c>
      <c r="B281" t="s">
        <v>131</v>
      </c>
      <c r="C281" t="s">
        <v>27</v>
      </c>
      <c r="E281" t="s">
        <v>62</v>
      </c>
      <c r="G281" t="s">
        <v>678</v>
      </c>
      <c r="H281" s="2">
        <v>45559.6</v>
      </c>
      <c r="I281" t="s">
        <v>40</v>
      </c>
      <c r="Z281">
        <v>90928</v>
      </c>
    </row>
    <row r="282" spans="1:26" x14ac:dyDescent="0.25">
      <c r="A282" t="s">
        <v>798</v>
      </c>
      <c r="B282" t="s">
        <v>26</v>
      </c>
      <c r="C282" t="s">
        <v>27</v>
      </c>
      <c r="H282" s="2">
        <v>45559.484722222223</v>
      </c>
      <c r="I282" t="s">
        <v>139</v>
      </c>
      <c r="Z282">
        <v>90918</v>
      </c>
    </row>
    <row r="283" spans="1:26" x14ac:dyDescent="0.25">
      <c r="A283" t="s">
        <v>799</v>
      </c>
      <c r="B283" t="s">
        <v>131</v>
      </c>
      <c r="C283" t="s">
        <v>27</v>
      </c>
      <c r="E283" t="s">
        <v>53</v>
      </c>
      <c r="H283" s="2">
        <v>45557.365277777775</v>
      </c>
      <c r="I283" t="s">
        <v>40</v>
      </c>
      <c r="Z283">
        <v>90808</v>
      </c>
    </row>
    <row r="284" spans="1:26" x14ac:dyDescent="0.25">
      <c r="A284" t="s">
        <v>800</v>
      </c>
      <c r="B284" t="s">
        <v>26</v>
      </c>
      <c r="C284" t="s">
        <v>27</v>
      </c>
      <c r="H284" s="2">
        <v>45553.498611111114</v>
      </c>
      <c r="I284" t="s">
        <v>40</v>
      </c>
      <c r="Z284">
        <v>90650</v>
      </c>
    </row>
    <row r="285" spans="1:26" x14ac:dyDescent="0.25">
      <c r="A285" t="s">
        <v>801</v>
      </c>
      <c r="B285" t="s">
        <v>26</v>
      </c>
      <c r="C285" t="s">
        <v>27</v>
      </c>
      <c r="H285" s="2">
        <v>45551.734722222223</v>
      </c>
      <c r="I285" t="s">
        <v>40</v>
      </c>
      <c r="Z285">
        <v>90584</v>
      </c>
    </row>
    <row r="286" spans="1:26" x14ac:dyDescent="0.25">
      <c r="A286" t="s">
        <v>802</v>
      </c>
      <c r="B286" t="s">
        <v>125</v>
      </c>
      <c r="C286" t="s">
        <v>27</v>
      </c>
      <c r="E286" t="s">
        <v>145</v>
      </c>
      <c r="H286" s="2">
        <v>45551.725694444445</v>
      </c>
      <c r="I286" t="s">
        <v>40</v>
      </c>
      <c r="Z286">
        <v>90583</v>
      </c>
    </row>
    <row r="287" spans="1:26" x14ac:dyDescent="0.25">
      <c r="A287" t="s">
        <v>803</v>
      </c>
      <c r="B287" t="s">
        <v>26</v>
      </c>
      <c r="C287" t="s">
        <v>27</v>
      </c>
      <c r="H287" s="2">
        <v>45551.482638888891</v>
      </c>
      <c r="I287" t="s">
        <v>40</v>
      </c>
      <c r="Z287">
        <v>90551</v>
      </c>
    </row>
    <row r="288" spans="1:26" x14ac:dyDescent="0.25">
      <c r="A288" t="s">
        <v>804</v>
      </c>
      <c r="B288" t="s">
        <v>46</v>
      </c>
      <c r="C288" t="s">
        <v>27</v>
      </c>
      <c r="E288" t="s">
        <v>56</v>
      </c>
      <c r="G288" t="s">
        <v>805</v>
      </c>
      <c r="H288" s="2">
        <v>45548.811805555553</v>
      </c>
      <c r="I288" t="s">
        <v>29</v>
      </c>
      <c r="Z288">
        <v>90494</v>
      </c>
    </row>
    <row r="289" spans="1:26" x14ac:dyDescent="0.25">
      <c r="A289" t="s">
        <v>625</v>
      </c>
      <c r="B289" t="s">
        <v>26</v>
      </c>
      <c r="C289" t="s">
        <v>27</v>
      </c>
      <c r="H289" s="2">
        <v>45548.597222222219</v>
      </c>
      <c r="I289" t="s">
        <v>84</v>
      </c>
      <c r="Z289">
        <v>90475</v>
      </c>
    </row>
    <row r="290" spans="1:26" x14ac:dyDescent="0.25">
      <c r="A290" t="s">
        <v>806</v>
      </c>
      <c r="B290" t="s">
        <v>26</v>
      </c>
      <c r="C290" t="s">
        <v>27</v>
      </c>
      <c r="H290" s="2">
        <v>45546.663888888892</v>
      </c>
      <c r="I290" t="s">
        <v>84</v>
      </c>
      <c r="Z290">
        <v>90356</v>
      </c>
    </row>
    <row r="291" spans="1:26" x14ac:dyDescent="0.25">
      <c r="A291" t="s">
        <v>807</v>
      </c>
      <c r="B291" t="s">
        <v>74</v>
      </c>
      <c r="C291" t="s">
        <v>27</v>
      </c>
      <c r="E291" t="s">
        <v>70</v>
      </c>
      <c r="H291" s="2">
        <v>45545.513888888891</v>
      </c>
      <c r="I291" t="s">
        <v>29</v>
      </c>
      <c r="K291" t="s">
        <v>30</v>
      </c>
      <c r="L291" t="s">
        <v>31</v>
      </c>
      <c r="M291">
        <v>67127941</v>
      </c>
      <c r="N291">
        <v>15855619879</v>
      </c>
      <c r="O291" t="s">
        <v>83</v>
      </c>
      <c r="Z291">
        <v>90285</v>
      </c>
    </row>
    <row r="292" spans="1:26" x14ac:dyDescent="0.25">
      <c r="A292" t="s">
        <v>808</v>
      </c>
      <c r="B292" t="s">
        <v>131</v>
      </c>
      <c r="C292" t="s">
        <v>27</v>
      </c>
      <c r="H292" s="2">
        <v>45545.438888888886</v>
      </c>
      <c r="I292" t="s">
        <v>40</v>
      </c>
      <c r="Z292">
        <v>90275</v>
      </c>
    </row>
    <row r="293" spans="1:26" x14ac:dyDescent="0.25">
      <c r="A293" t="s">
        <v>809</v>
      </c>
      <c r="B293" t="s">
        <v>131</v>
      </c>
      <c r="C293" t="s">
        <v>27</v>
      </c>
      <c r="E293" t="s">
        <v>181</v>
      </c>
      <c r="H293" s="2">
        <v>45544.756249999999</v>
      </c>
      <c r="I293" t="s">
        <v>40</v>
      </c>
      <c r="Z293">
        <v>90259</v>
      </c>
    </row>
    <row r="294" spans="1:26" x14ac:dyDescent="0.25">
      <c r="A294" t="s">
        <v>810</v>
      </c>
      <c r="C294" t="s">
        <v>27</v>
      </c>
      <c r="E294" t="s">
        <v>43</v>
      </c>
      <c r="H294" s="2">
        <v>45541.474999999999</v>
      </c>
      <c r="I294" t="s">
        <v>29</v>
      </c>
      <c r="Z294">
        <v>90129</v>
      </c>
    </row>
    <row r="295" spans="1:26" x14ac:dyDescent="0.25">
      <c r="A295" t="s">
        <v>811</v>
      </c>
      <c r="B295" t="s">
        <v>125</v>
      </c>
      <c r="C295" t="s">
        <v>27</v>
      </c>
      <c r="E295" t="s">
        <v>112</v>
      </c>
      <c r="H295" s="2">
        <v>45540.638194444444</v>
      </c>
      <c r="I295" t="s">
        <v>40</v>
      </c>
      <c r="Z295">
        <v>90088</v>
      </c>
    </row>
    <row r="296" spans="1:26" x14ac:dyDescent="0.25">
      <c r="A296" t="s">
        <v>562</v>
      </c>
      <c r="B296" t="s">
        <v>125</v>
      </c>
      <c r="C296" t="s">
        <v>27</v>
      </c>
      <c r="E296" t="s">
        <v>56</v>
      </c>
      <c r="H296" s="2">
        <v>45539.658333333333</v>
      </c>
      <c r="I296" t="s">
        <v>29</v>
      </c>
      <c r="K296" t="s">
        <v>30</v>
      </c>
      <c r="L296" t="s">
        <v>31</v>
      </c>
      <c r="M296">
        <v>55887113</v>
      </c>
      <c r="N296">
        <v>9754620480</v>
      </c>
      <c r="O296" t="s">
        <v>812</v>
      </c>
      <c r="Z296">
        <v>90020</v>
      </c>
    </row>
    <row r="297" spans="1:26" x14ac:dyDescent="0.25">
      <c r="A297" t="s">
        <v>813</v>
      </c>
      <c r="B297" t="s">
        <v>26</v>
      </c>
      <c r="C297" t="s">
        <v>27</v>
      </c>
      <c r="H297" s="2">
        <v>45537.236805555556</v>
      </c>
      <c r="I297" t="s">
        <v>139</v>
      </c>
      <c r="Z297">
        <v>89845</v>
      </c>
    </row>
    <row r="298" spans="1:26" x14ac:dyDescent="0.25">
      <c r="A298" t="s">
        <v>814</v>
      </c>
      <c r="B298" t="s">
        <v>131</v>
      </c>
      <c r="C298" t="s">
        <v>27</v>
      </c>
      <c r="E298" t="s">
        <v>81</v>
      </c>
      <c r="H298" s="2">
        <v>45534.719444444447</v>
      </c>
      <c r="I298" t="s">
        <v>137</v>
      </c>
      <c r="Z298">
        <v>89796</v>
      </c>
    </row>
    <row r="299" spans="1:26" x14ac:dyDescent="0.25">
      <c r="A299" t="s">
        <v>177</v>
      </c>
      <c r="B299" t="s">
        <v>131</v>
      </c>
      <c r="C299" t="s">
        <v>27</v>
      </c>
      <c r="E299" t="s">
        <v>88</v>
      </c>
      <c r="H299" s="2">
        <v>45534.549305555556</v>
      </c>
      <c r="I299" t="s">
        <v>118</v>
      </c>
      <c r="Z299">
        <v>89772</v>
      </c>
    </row>
    <row r="300" spans="1:26" x14ac:dyDescent="0.25">
      <c r="A300" t="s">
        <v>815</v>
      </c>
      <c r="B300" t="s">
        <v>131</v>
      </c>
      <c r="C300" t="s">
        <v>27</v>
      </c>
      <c r="E300" t="s">
        <v>81</v>
      </c>
      <c r="G300" t="s">
        <v>816</v>
      </c>
      <c r="H300" s="2">
        <v>45533.807638888888</v>
      </c>
      <c r="I300" t="s">
        <v>29</v>
      </c>
      <c r="Z300">
        <v>89733</v>
      </c>
    </row>
    <row r="301" spans="1:26" x14ac:dyDescent="0.25">
      <c r="A301" t="s">
        <v>817</v>
      </c>
      <c r="B301" t="s">
        <v>131</v>
      </c>
      <c r="C301" t="s">
        <v>27</v>
      </c>
      <c r="H301" s="2">
        <v>45533.620138888888</v>
      </c>
      <c r="I301" t="s">
        <v>139</v>
      </c>
      <c r="Z301">
        <v>89711</v>
      </c>
    </row>
    <row r="302" spans="1:26" x14ac:dyDescent="0.25">
      <c r="A302" t="s">
        <v>818</v>
      </c>
      <c r="B302" t="s">
        <v>46</v>
      </c>
      <c r="C302" t="s">
        <v>27</v>
      </c>
      <c r="E302" t="s">
        <v>64</v>
      </c>
      <c r="G302" t="s">
        <v>819</v>
      </c>
      <c r="H302" s="2">
        <v>45532.5625</v>
      </c>
      <c r="I302" t="s">
        <v>29</v>
      </c>
      <c r="Z302">
        <v>89642</v>
      </c>
    </row>
    <row r="303" spans="1:26" x14ac:dyDescent="0.25">
      <c r="A303" t="s">
        <v>820</v>
      </c>
      <c r="B303" t="s">
        <v>26</v>
      </c>
      <c r="C303" t="s">
        <v>27</v>
      </c>
      <c r="H303" s="2">
        <v>45532.441666666666</v>
      </c>
      <c r="I303" t="s">
        <v>118</v>
      </c>
      <c r="Z303">
        <v>89625</v>
      </c>
    </row>
    <row r="304" spans="1:26" x14ac:dyDescent="0.25">
      <c r="A304" t="s">
        <v>821</v>
      </c>
      <c r="B304" t="s">
        <v>26</v>
      </c>
      <c r="C304" t="s">
        <v>27</v>
      </c>
      <c r="H304" s="2">
        <v>45531.770138888889</v>
      </c>
      <c r="I304" t="s">
        <v>139</v>
      </c>
      <c r="Z304">
        <v>89609</v>
      </c>
    </row>
    <row r="305" spans="1:26" x14ac:dyDescent="0.25">
      <c r="A305" t="s">
        <v>822</v>
      </c>
      <c r="B305" t="s">
        <v>26</v>
      </c>
      <c r="C305" t="s">
        <v>27</v>
      </c>
      <c r="H305" s="2">
        <v>45531.586805555555</v>
      </c>
      <c r="I305" t="s">
        <v>118</v>
      </c>
      <c r="Z305">
        <v>89577</v>
      </c>
    </row>
    <row r="306" spans="1:26" x14ac:dyDescent="0.25">
      <c r="A306" t="s">
        <v>823</v>
      </c>
      <c r="B306" t="s">
        <v>74</v>
      </c>
      <c r="C306" t="s">
        <v>27</v>
      </c>
      <c r="E306" t="s">
        <v>45</v>
      </c>
      <c r="H306" s="2">
        <v>45531.388194444444</v>
      </c>
      <c r="I306" t="s">
        <v>40</v>
      </c>
      <c r="K306" t="s">
        <v>30</v>
      </c>
      <c r="L306" t="s">
        <v>31</v>
      </c>
      <c r="M306">
        <v>104108031</v>
      </c>
      <c r="N306">
        <v>15719003151</v>
      </c>
      <c r="O306" t="s">
        <v>146</v>
      </c>
      <c r="Z306">
        <v>89540</v>
      </c>
    </row>
    <row r="307" spans="1:26" x14ac:dyDescent="0.25">
      <c r="A307" t="s">
        <v>824</v>
      </c>
      <c r="B307" t="s">
        <v>74</v>
      </c>
      <c r="C307" t="s">
        <v>27</v>
      </c>
      <c r="E307" t="s">
        <v>69</v>
      </c>
      <c r="H307" s="2">
        <v>45527.488888888889</v>
      </c>
      <c r="I307" t="s">
        <v>84</v>
      </c>
      <c r="K307" t="s">
        <v>30</v>
      </c>
      <c r="L307" t="s">
        <v>31</v>
      </c>
      <c r="M307">
        <v>55887113</v>
      </c>
      <c r="N307">
        <v>9754620472</v>
      </c>
      <c r="O307" t="s">
        <v>83</v>
      </c>
      <c r="Z307">
        <v>89351</v>
      </c>
    </row>
    <row r="308" spans="1:26" x14ac:dyDescent="0.25">
      <c r="A308" t="s">
        <v>825</v>
      </c>
      <c r="B308" t="s">
        <v>131</v>
      </c>
      <c r="C308" t="s">
        <v>27</v>
      </c>
      <c r="E308" t="s">
        <v>211</v>
      </c>
      <c r="H308" s="2">
        <v>45526.961111111108</v>
      </c>
      <c r="I308" t="s">
        <v>29</v>
      </c>
      <c r="Z308">
        <v>89323</v>
      </c>
    </row>
    <row r="309" spans="1:26" x14ac:dyDescent="0.25">
      <c r="A309" t="s">
        <v>826</v>
      </c>
      <c r="B309" t="s">
        <v>26</v>
      </c>
      <c r="C309" t="s">
        <v>27</v>
      </c>
      <c r="H309" s="2">
        <v>45526.59375</v>
      </c>
      <c r="I309" t="s">
        <v>84</v>
      </c>
      <c r="Z309">
        <v>89289</v>
      </c>
    </row>
    <row r="310" spans="1:26" x14ac:dyDescent="0.25">
      <c r="A310" t="s">
        <v>827</v>
      </c>
      <c r="B310" t="s">
        <v>26</v>
      </c>
      <c r="C310" t="s">
        <v>27</v>
      </c>
      <c r="H310" s="2">
        <v>45525.475694444445</v>
      </c>
      <c r="I310" t="s">
        <v>118</v>
      </c>
      <c r="Z310">
        <v>89195</v>
      </c>
    </row>
    <row r="311" spans="1:26" x14ac:dyDescent="0.25">
      <c r="A311" t="s">
        <v>828</v>
      </c>
      <c r="B311" t="s">
        <v>26</v>
      </c>
      <c r="C311" t="s">
        <v>27</v>
      </c>
      <c r="H311" s="2">
        <v>45524.734027777777</v>
      </c>
      <c r="I311" t="s">
        <v>139</v>
      </c>
      <c r="Z311">
        <v>89160</v>
      </c>
    </row>
    <row r="312" spans="1:26" x14ac:dyDescent="0.25">
      <c r="A312" t="s">
        <v>829</v>
      </c>
      <c r="B312" t="s">
        <v>131</v>
      </c>
      <c r="C312" t="s">
        <v>27</v>
      </c>
      <c r="E312" t="s">
        <v>62</v>
      </c>
      <c r="H312" s="2">
        <v>45521.294444444444</v>
      </c>
      <c r="I312" t="s">
        <v>118</v>
      </c>
      <c r="Z312">
        <v>88955</v>
      </c>
    </row>
    <row r="313" spans="1:26" x14ac:dyDescent="0.25">
      <c r="A313" t="s">
        <v>830</v>
      </c>
      <c r="B313" t="s">
        <v>131</v>
      </c>
      <c r="C313" t="s">
        <v>27</v>
      </c>
      <c r="E313" t="s">
        <v>831</v>
      </c>
      <c r="H313" s="2">
        <v>45519.411805555559</v>
      </c>
      <c r="I313" t="s">
        <v>118</v>
      </c>
      <c r="Z313">
        <v>88845</v>
      </c>
    </row>
    <row r="314" spans="1:26" x14ac:dyDescent="0.25">
      <c r="A314" t="s">
        <v>832</v>
      </c>
      <c r="B314" t="s">
        <v>131</v>
      </c>
      <c r="C314" t="s">
        <v>27</v>
      </c>
      <c r="H314" s="2">
        <v>45513.84652777778</v>
      </c>
      <c r="I314" t="s">
        <v>29</v>
      </c>
      <c r="Z314">
        <v>88627</v>
      </c>
    </row>
    <row r="315" spans="1:26" x14ac:dyDescent="0.25">
      <c r="A315" t="s">
        <v>833</v>
      </c>
      <c r="B315" t="s">
        <v>26</v>
      </c>
      <c r="C315" t="s">
        <v>27</v>
      </c>
      <c r="H315" s="2">
        <v>45513.461111111108</v>
      </c>
      <c r="I315" t="s">
        <v>139</v>
      </c>
      <c r="Z315">
        <v>88594</v>
      </c>
    </row>
    <row r="316" spans="1:26" x14ac:dyDescent="0.25">
      <c r="A316" t="s">
        <v>834</v>
      </c>
      <c r="B316" t="s">
        <v>26</v>
      </c>
      <c r="C316" t="s">
        <v>27</v>
      </c>
      <c r="H316" s="2">
        <v>45513.398611111108</v>
      </c>
      <c r="I316" t="s">
        <v>139</v>
      </c>
      <c r="Z316">
        <v>88589</v>
      </c>
    </row>
    <row r="317" spans="1:26" x14ac:dyDescent="0.25">
      <c r="A317" t="s">
        <v>835</v>
      </c>
      <c r="B317" t="s">
        <v>26</v>
      </c>
      <c r="C317" t="s">
        <v>27</v>
      </c>
      <c r="H317" s="2">
        <v>45511.527083333334</v>
      </c>
      <c r="I317" t="s">
        <v>137</v>
      </c>
      <c r="Z317">
        <v>88502</v>
      </c>
    </row>
    <row r="318" spans="1:26" x14ac:dyDescent="0.25">
      <c r="A318" t="s">
        <v>836</v>
      </c>
      <c r="B318" t="s">
        <v>74</v>
      </c>
      <c r="C318" t="s">
        <v>27</v>
      </c>
      <c r="E318" t="s">
        <v>78</v>
      </c>
      <c r="H318" s="2">
        <v>45510.651388888888</v>
      </c>
      <c r="I318" t="s">
        <v>29</v>
      </c>
      <c r="K318" t="s">
        <v>30</v>
      </c>
      <c r="L318" t="s">
        <v>31</v>
      </c>
      <c r="M318">
        <v>67127941</v>
      </c>
      <c r="N318">
        <v>15855619865</v>
      </c>
      <c r="O318" t="s">
        <v>83</v>
      </c>
      <c r="Z318">
        <v>88450</v>
      </c>
    </row>
    <row r="319" spans="1:26" x14ac:dyDescent="0.25">
      <c r="A319" t="s">
        <v>837</v>
      </c>
      <c r="B319" t="s">
        <v>46</v>
      </c>
      <c r="C319" t="s">
        <v>27</v>
      </c>
      <c r="E319" t="s">
        <v>76</v>
      </c>
      <c r="G319" t="s">
        <v>838</v>
      </c>
      <c r="H319" s="2">
        <v>45503.25</v>
      </c>
      <c r="I319" t="s">
        <v>29</v>
      </c>
      <c r="K319" t="s">
        <v>30</v>
      </c>
      <c r="L319" t="s">
        <v>31</v>
      </c>
      <c r="M319">
        <v>67127941</v>
      </c>
      <c r="N319">
        <v>15675662699</v>
      </c>
      <c r="O319" t="s">
        <v>83</v>
      </c>
      <c r="Z319">
        <v>88044</v>
      </c>
    </row>
    <row r="320" spans="1:26" x14ac:dyDescent="0.25">
      <c r="A320" t="s">
        <v>839</v>
      </c>
      <c r="B320" t="s">
        <v>26</v>
      </c>
      <c r="C320" t="s">
        <v>27</v>
      </c>
      <c r="H320" s="2">
        <v>45499.451388888891</v>
      </c>
      <c r="I320" t="s">
        <v>40</v>
      </c>
      <c r="Z320">
        <v>87888</v>
      </c>
    </row>
    <row r="321" spans="1:26" x14ac:dyDescent="0.25">
      <c r="A321" t="s">
        <v>840</v>
      </c>
      <c r="B321" t="s">
        <v>26</v>
      </c>
      <c r="C321" t="s">
        <v>27</v>
      </c>
      <c r="H321" s="2">
        <v>45498.488194444442</v>
      </c>
      <c r="I321" t="s">
        <v>29</v>
      </c>
      <c r="Z321">
        <v>87851</v>
      </c>
    </row>
    <row r="322" spans="1:26" x14ac:dyDescent="0.25">
      <c r="A322" t="s">
        <v>841</v>
      </c>
      <c r="B322" t="s">
        <v>125</v>
      </c>
      <c r="C322" t="s">
        <v>27</v>
      </c>
      <c r="E322" t="s">
        <v>211</v>
      </c>
      <c r="H322" s="2">
        <v>45497.662499999999</v>
      </c>
      <c r="I322" t="s">
        <v>29</v>
      </c>
      <c r="K322" t="s">
        <v>30</v>
      </c>
      <c r="L322" t="s">
        <v>31</v>
      </c>
      <c r="M322">
        <v>67127941</v>
      </c>
      <c r="N322">
        <v>15675662697</v>
      </c>
      <c r="O322" t="s">
        <v>83</v>
      </c>
      <c r="Z322">
        <v>87817</v>
      </c>
    </row>
    <row r="323" spans="1:26" x14ac:dyDescent="0.25">
      <c r="A323" t="s">
        <v>842</v>
      </c>
      <c r="B323" t="s">
        <v>46</v>
      </c>
      <c r="C323" t="s">
        <v>27</v>
      </c>
      <c r="E323" t="s">
        <v>66</v>
      </c>
      <c r="G323" t="s">
        <v>843</v>
      </c>
      <c r="H323" s="2">
        <v>45497.650694444441</v>
      </c>
      <c r="I323" t="s">
        <v>29</v>
      </c>
      <c r="K323" t="s">
        <v>30</v>
      </c>
      <c r="L323" t="s">
        <v>31</v>
      </c>
      <c r="M323">
        <v>55887113</v>
      </c>
      <c r="N323">
        <v>9754620480</v>
      </c>
      <c r="O323" t="s">
        <v>844</v>
      </c>
      <c r="Z323">
        <v>87816</v>
      </c>
    </row>
    <row r="324" spans="1:26" x14ac:dyDescent="0.25">
      <c r="A324" t="s">
        <v>845</v>
      </c>
      <c r="B324" t="s">
        <v>26</v>
      </c>
      <c r="C324" t="s">
        <v>27</v>
      </c>
      <c r="E324" t="s">
        <v>97</v>
      </c>
      <c r="H324" s="2">
        <v>45497.455555555556</v>
      </c>
      <c r="I324" t="s">
        <v>29</v>
      </c>
      <c r="Z324">
        <v>87785</v>
      </c>
    </row>
    <row r="325" spans="1:26" x14ac:dyDescent="0.25">
      <c r="A325" t="s">
        <v>846</v>
      </c>
      <c r="C325" t="s">
        <v>27</v>
      </c>
      <c r="E325" t="s">
        <v>88</v>
      </c>
      <c r="H325" s="2">
        <v>45492.857638888891</v>
      </c>
      <c r="I325" t="s">
        <v>137</v>
      </c>
      <c r="Z325">
        <v>87614</v>
      </c>
    </row>
    <row r="326" spans="1:26" x14ac:dyDescent="0.25">
      <c r="A326" t="s">
        <v>847</v>
      </c>
      <c r="B326" t="s">
        <v>26</v>
      </c>
      <c r="C326" t="s">
        <v>27</v>
      </c>
      <c r="H326" s="2">
        <v>45492.560416666667</v>
      </c>
      <c r="I326" t="s">
        <v>29</v>
      </c>
      <c r="Z326">
        <v>87584</v>
      </c>
    </row>
    <row r="327" spans="1:26" x14ac:dyDescent="0.25">
      <c r="A327" t="s">
        <v>848</v>
      </c>
      <c r="B327" t="s">
        <v>131</v>
      </c>
      <c r="C327" t="s">
        <v>27</v>
      </c>
      <c r="E327" t="s">
        <v>66</v>
      </c>
      <c r="G327" t="s">
        <v>849</v>
      </c>
      <c r="H327" s="2">
        <v>45491.440972222219</v>
      </c>
      <c r="I327" t="s">
        <v>29</v>
      </c>
      <c r="Z327">
        <v>87515</v>
      </c>
    </row>
    <row r="328" spans="1:26" x14ac:dyDescent="0.25">
      <c r="A328" t="s">
        <v>850</v>
      </c>
      <c r="B328" t="s">
        <v>26</v>
      </c>
      <c r="C328" t="s">
        <v>47</v>
      </c>
      <c r="H328" s="2">
        <v>45490.634722222225</v>
      </c>
      <c r="I328" t="s">
        <v>40</v>
      </c>
      <c r="Z328">
        <v>87479</v>
      </c>
    </row>
    <row r="329" spans="1:26" x14ac:dyDescent="0.25">
      <c r="A329" t="s">
        <v>851</v>
      </c>
      <c r="B329" t="s">
        <v>74</v>
      </c>
      <c r="C329" t="s">
        <v>27</v>
      </c>
      <c r="E329" t="s">
        <v>109</v>
      </c>
      <c r="H329" s="2">
        <v>45483.465277777781</v>
      </c>
      <c r="I329" t="s">
        <v>139</v>
      </c>
      <c r="Z329">
        <v>87110</v>
      </c>
    </row>
    <row r="330" spans="1:26" x14ac:dyDescent="0.25">
      <c r="A330" t="s">
        <v>852</v>
      </c>
      <c r="B330" t="s">
        <v>74</v>
      </c>
      <c r="C330" t="s">
        <v>27</v>
      </c>
      <c r="H330" s="2">
        <v>45482.51666666667</v>
      </c>
      <c r="I330" t="s">
        <v>139</v>
      </c>
      <c r="K330" t="s">
        <v>30</v>
      </c>
      <c r="L330" t="s">
        <v>31</v>
      </c>
      <c r="M330">
        <v>104108031</v>
      </c>
      <c r="N330">
        <v>15719003151</v>
      </c>
      <c r="O330" t="s">
        <v>146</v>
      </c>
      <c r="Z330">
        <v>87045</v>
      </c>
    </row>
    <row r="331" spans="1:26" x14ac:dyDescent="0.25">
      <c r="A331" t="s">
        <v>853</v>
      </c>
      <c r="B331" t="s">
        <v>131</v>
      </c>
      <c r="C331" t="s">
        <v>27</v>
      </c>
      <c r="E331" t="s">
        <v>175</v>
      </c>
      <c r="H331" s="2">
        <v>45481.465277777781</v>
      </c>
      <c r="I331" t="s">
        <v>29</v>
      </c>
      <c r="Z331">
        <v>86939</v>
      </c>
    </row>
    <row r="332" spans="1:26" x14ac:dyDescent="0.25">
      <c r="A332" t="s">
        <v>854</v>
      </c>
      <c r="B332" t="s">
        <v>26</v>
      </c>
      <c r="C332" t="s">
        <v>27</v>
      </c>
      <c r="H332" s="2">
        <v>45478.472916666666</v>
      </c>
      <c r="I332" t="s">
        <v>157</v>
      </c>
      <c r="Z332">
        <v>86779</v>
      </c>
    </row>
    <row r="333" spans="1:26" x14ac:dyDescent="0.25">
      <c r="A333" t="s">
        <v>855</v>
      </c>
      <c r="B333" t="s">
        <v>26</v>
      </c>
      <c r="C333" t="s">
        <v>27</v>
      </c>
      <c r="H333" s="2">
        <v>45478.438888888886</v>
      </c>
      <c r="I333" t="s">
        <v>157</v>
      </c>
      <c r="Z333">
        <v>86771</v>
      </c>
    </row>
    <row r="334" spans="1:26" x14ac:dyDescent="0.25">
      <c r="A334" t="s">
        <v>856</v>
      </c>
      <c r="B334" t="s">
        <v>131</v>
      </c>
      <c r="C334" t="s">
        <v>27</v>
      </c>
      <c r="E334" t="s">
        <v>56</v>
      </c>
      <c r="H334" s="2">
        <v>45477.813194444447</v>
      </c>
      <c r="I334" t="s">
        <v>157</v>
      </c>
      <c r="Z334">
        <v>86752</v>
      </c>
    </row>
    <row r="335" spans="1:26" x14ac:dyDescent="0.25">
      <c r="A335" t="s">
        <v>857</v>
      </c>
      <c r="B335" t="s">
        <v>26</v>
      </c>
      <c r="C335" t="s">
        <v>27</v>
      </c>
      <c r="H335" s="2">
        <v>45476.673611111109</v>
      </c>
      <c r="I335" t="s">
        <v>29</v>
      </c>
      <c r="Z335">
        <v>86670</v>
      </c>
    </row>
    <row r="336" spans="1:26" x14ac:dyDescent="0.25">
      <c r="A336" t="s">
        <v>858</v>
      </c>
      <c r="B336" t="s">
        <v>125</v>
      </c>
      <c r="C336" t="s">
        <v>27</v>
      </c>
      <c r="E336" t="s">
        <v>45</v>
      </c>
      <c r="G336" t="s">
        <v>120</v>
      </c>
      <c r="H336" s="2">
        <v>45470.886111111111</v>
      </c>
      <c r="I336" t="s">
        <v>156</v>
      </c>
      <c r="K336" t="s">
        <v>30</v>
      </c>
      <c r="L336" t="s">
        <v>31</v>
      </c>
      <c r="M336">
        <v>67127941</v>
      </c>
      <c r="N336">
        <v>15675662695</v>
      </c>
      <c r="O336" t="s">
        <v>83</v>
      </c>
      <c r="Z336">
        <v>86322</v>
      </c>
    </row>
    <row r="337" spans="1:26" x14ac:dyDescent="0.25">
      <c r="A337" t="s">
        <v>859</v>
      </c>
      <c r="B337" t="s">
        <v>26</v>
      </c>
      <c r="C337" t="s">
        <v>27</v>
      </c>
      <c r="H337" s="2">
        <v>45469.695833333331</v>
      </c>
      <c r="I337" t="s">
        <v>152</v>
      </c>
      <c r="Z337">
        <v>86238</v>
      </c>
    </row>
    <row r="338" spans="1:26" x14ac:dyDescent="0.25">
      <c r="A338" t="s">
        <v>860</v>
      </c>
      <c r="B338" t="s">
        <v>26</v>
      </c>
      <c r="C338" t="s">
        <v>27</v>
      </c>
      <c r="H338" s="2">
        <v>45469.645833333336</v>
      </c>
      <c r="I338" t="s">
        <v>156</v>
      </c>
      <c r="Z338">
        <v>86228</v>
      </c>
    </row>
    <row r="339" spans="1:26" x14ac:dyDescent="0.25">
      <c r="A339" t="s">
        <v>861</v>
      </c>
      <c r="B339" t="s">
        <v>26</v>
      </c>
      <c r="C339" t="s">
        <v>27</v>
      </c>
      <c r="H339" s="2">
        <v>45468.642361111109</v>
      </c>
      <c r="I339" t="s">
        <v>29</v>
      </c>
      <c r="Z339">
        <v>86160</v>
      </c>
    </row>
    <row r="340" spans="1:26" x14ac:dyDescent="0.25">
      <c r="A340" t="s">
        <v>862</v>
      </c>
      <c r="B340" t="s">
        <v>26</v>
      </c>
      <c r="C340" t="s">
        <v>27</v>
      </c>
      <c r="H340" s="2">
        <v>45468.56527777778</v>
      </c>
      <c r="I340" t="s">
        <v>152</v>
      </c>
      <c r="Z340">
        <v>86151</v>
      </c>
    </row>
    <row r="341" spans="1:26" x14ac:dyDescent="0.25">
      <c r="A341" t="s">
        <v>863</v>
      </c>
      <c r="B341" t="s">
        <v>26</v>
      </c>
      <c r="C341" t="s">
        <v>27</v>
      </c>
      <c r="H341" s="2">
        <v>45467.831250000003</v>
      </c>
      <c r="I341" t="s">
        <v>157</v>
      </c>
      <c r="Z341">
        <v>86121</v>
      </c>
    </row>
    <row r="342" spans="1:26" x14ac:dyDescent="0.25">
      <c r="A342" t="s">
        <v>864</v>
      </c>
      <c r="B342" t="s">
        <v>26</v>
      </c>
      <c r="C342" t="s">
        <v>27</v>
      </c>
      <c r="H342" s="2">
        <v>45464.4</v>
      </c>
      <c r="I342" t="s">
        <v>152</v>
      </c>
      <c r="Z342">
        <v>85937</v>
      </c>
    </row>
    <row r="343" spans="1:26" x14ac:dyDescent="0.25">
      <c r="A343" t="s">
        <v>865</v>
      </c>
      <c r="B343" t="s">
        <v>26</v>
      </c>
      <c r="C343" t="s">
        <v>27</v>
      </c>
      <c r="H343" s="2">
        <v>45463.697916666664</v>
      </c>
      <c r="I343" t="s">
        <v>156</v>
      </c>
      <c r="Z343">
        <v>85911</v>
      </c>
    </row>
    <row r="344" spans="1:26" x14ac:dyDescent="0.25">
      <c r="A344" t="s">
        <v>866</v>
      </c>
      <c r="B344" t="s">
        <v>26</v>
      </c>
      <c r="C344" t="s">
        <v>27</v>
      </c>
      <c r="H344" s="2">
        <v>45458.399305555555</v>
      </c>
      <c r="I344" t="s">
        <v>156</v>
      </c>
      <c r="Z344">
        <v>85548</v>
      </c>
    </row>
    <row r="345" spans="1:26" x14ac:dyDescent="0.25">
      <c r="A345" t="s">
        <v>867</v>
      </c>
      <c r="B345" t="s">
        <v>26</v>
      </c>
      <c r="C345" t="s">
        <v>27</v>
      </c>
      <c r="H345" s="2">
        <v>45457.547222222223</v>
      </c>
      <c r="I345" t="s">
        <v>84</v>
      </c>
      <c r="Z345">
        <v>85499</v>
      </c>
    </row>
    <row r="346" spans="1:26" x14ac:dyDescent="0.25">
      <c r="A346" t="s">
        <v>868</v>
      </c>
      <c r="B346" t="s">
        <v>26</v>
      </c>
      <c r="C346" t="s">
        <v>27</v>
      </c>
      <c r="H346" s="2">
        <v>45453.475694444445</v>
      </c>
      <c r="I346" t="s">
        <v>118</v>
      </c>
      <c r="Z346">
        <v>85201</v>
      </c>
    </row>
    <row r="347" spans="1:26" x14ac:dyDescent="0.25">
      <c r="A347" t="s">
        <v>869</v>
      </c>
      <c r="C347" t="s">
        <v>27</v>
      </c>
      <c r="E347" t="s">
        <v>45</v>
      </c>
      <c r="H347" s="2">
        <v>45449.923611111109</v>
      </c>
      <c r="I347" t="s">
        <v>157</v>
      </c>
      <c r="Z347">
        <v>85024</v>
      </c>
    </row>
    <row r="348" spans="1:26" x14ac:dyDescent="0.25">
      <c r="A348" t="s">
        <v>870</v>
      </c>
      <c r="B348" t="s">
        <v>26</v>
      </c>
      <c r="C348" t="s">
        <v>27</v>
      </c>
      <c r="H348" s="2">
        <v>45449.590277777781</v>
      </c>
      <c r="I348" t="s">
        <v>157</v>
      </c>
      <c r="Z348">
        <v>84988</v>
      </c>
    </row>
    <row r="349" spans="1:26" x14ac:dyDescent="0.25">
      <c r="A349" t="s">
        <v>871</v>
      </c>
      <c r="B349" t="s">
        <v>26</v>
      </c>
      <c r="C349" t="s">
        <v>27</v>
      </c>
      <c r="H349" s="2">
        <v>45448.668749999997</v>
      </c>
      <c r="I349" t="s">
        <v>157</v>
      </c>
      <c r="Z349">
        <v>84934</v>
      </c>
    </row>
    <row r="350" spans="1:26" x14ac:dyDescent="0.25">
      <c r="A350" t="s">
        <v>202</v>
      </c>
      <c r="B350" t="s">
        <v>117</v>
      </c>
      <c r="C350" t="s">
        <v>77</v>
      </c>
      <c r="E350" t="s">
        <v>79</v>
      </c>
      <c r="H350" s="2">
        <v>45447.716666666667</v>
      </c>
      <c r="I350" t="s">
        <v>157</v>
      </c>
      <c r="Z350">
        <v>84867</v>
      </c>
    </row>
    <row r="351" spans="1:26" x14ac:dyDescent="0.25">
      <c r="A351" t="s">
        <v>872</v>
      </c>
      <c r="B351" t="s">
        <v>125</v>
      </c>
      <c r="C351" t="s">
        <v>27</v>
      </c>
      <c r="E351" t="s">
        <v>99</v>
      </c>
      <c r="G351" t="s">
        <v>873</v>
      </c>
      <c r="H351" s="2">
        <v>45447.709722222222</v>
      </c>
      <c r="I351" t="s">
        <v>156</v>
      </c>
      <c r="K351" t="s">
        <v>30</v>
      </c>
      <c r="L351" t="s">
        <v>31</v>
      </c>
      <c r="M351">
        <v>55887113</v>
      </c>
      <c r="N351">
        <v>9754620480</v>
      </c>
      <c r="O351" t="s">
        <v>812</v>
      </c>
      <c r="Z351">
        <v>84865</v>
      </c>
    </row>
    <row r="352" spans="1:26" x14ac:dyDescent="0.25">
      <c r="A352" t="s">
        <v>874</v>
      </c>
      <c r="B352" t="s">
        <v>26</v>
      </c>
      <c r="C352" t="s">
        <v>27</v>
      </c>
      <c r="H352" s="2">
        <v>45446.59097222222</v>
      </c>
      <c r="I352" t="s">
        <v>156</v>
      </c>
      <c r="Z352">
        <v>84758</v>
      </c>
    </row>
    <row r="353" spans="1:26" x14ac:dyDescent="0.25">
      <c r="A353" t="s">
        <v>875</v>
      </c>
      <c r="B353" t="s">
        <v>26</v>
      </c>
      <c r="C353" t="s">
        <v>27</v>
      </c>
      <c r="H353" s="2">
        <v>45446.54583333333</v>
      </c>
      <c r="I353" t="s">
        <v>156</v>
      </c>
      <c r="Z353">
        <v>84749</v>
      </c>
    </row>
    <row r="354" spans="1:26" x14ac:dyDescent="0.25">
      <c r="A354" t="s">
        <v>876</v>
      </c>
      <c r="B354" t="s">
        <v>125</v>
      </c>
      <c r="C354" t="s">
        <v>27</v>
      </c>
      <c r="E354" t="s">
        <v>45</v>
      </c>
      <c r="G354" t="s">
        <v>877</v>
      </c>
      <c r="H354" s="2">
        <v>45446.50277777778</v>
      </c>
      <c r="I354" t="s">
        <v>156</v>
      </c>
      <c r="Z354">
        <v>84739</v>
      </c>
    </row>
    <row r="355" spans="1:26" x14ac:dyDescent="0.25">
      <c r="A355" t="s">
        <v>878</v>
      </c>
      <c r="B355" t="s">
        <v>26</v>
      </c>
      <c r="C355" t="s">
        <v>27</v>
      </c>
      <c r="H355" s="2">
        <v>45444.720833333333</v>
      </c>
      <c r="I355" t="s">
        <v>151</v>
      </c>
      <c r="Z355">
        <v>84648</v>
      </c>
    </row>
    <row r="356" spans="1:26" x14ac:dyDescent="0.25">
      <c r="A356" t="s">
        <v>879</v>
      </c>
      <c r="C356" t="s">
        <v>27</v>
      </c>
      <c r="E356" t="s">
        <v>44</v>
      </c>
      <c r="H356" s="2">
        <v>45443.524305555555</v>
      </c>
      <c r="I356" t="s">
        <v>157</v>
      </c>
      <c r="Z356">
        <v>84563</v>
      </c>
    </row>
    <row r="357" spans="1:26" x14ac:dyDescent="0.25">
      <c r="A357" t="s">
        <v>854</v>
      </c>
      <c r="B357" t="s">
        <v>46</v>
      </c>
      <c r="C357" t="s">
        <v>27</v>
      </c>
      <c r="E357" t="s">
        <v>58</v>
      </c>
      <c r="G357" t="s">
        <v>880</v>
      </c>
      <c r="H357" s="2">
        <v>45442.72152777778</v>
      </c>
      <c r="I357" t="s">
        <v>157</v>
      </c>
      <c r="Z357">
        <v>84519</v>
      </c>
    </row>
    <row r="358" spans="1:26" x14ac:dyDescent="0.25">
      <c r="A358" t="s">
        <v>881</v>
      </c>
      <c r="B358" t="s">
        <v>26</v>
      </c>
      <c r="C358" t="s">
        <v>27</v>
      </c>
      <c r="H358" s="2">
        <v>45441.556250000001</v>
      </c>
      <c r="I358" t="s">
        <v>152</v>
      </c>
      <c r="Z358">
        <v>84437</v>
      </c>
    </row>
    <row r="359" spans="1:26" x14ac:dyDescent="0.25">
      <c r="A359" t="s">
        <v>882</v>
      </c>
      <c r="B359" t="s">
        <v>26</v>
      </c>
      <c r="C359" t="s">
        <v>27</v>
      </c>
      <c r="H359" s="2">
        <v>45441.536805555559</v>
      </c>
      <c r="I359" t="s">
        <v>152</v>
      </c>
      <c r="Z359">
        <v>84431</v>
      </c>
    </row>
    <row r="360" spans="1:26" x14ac:dyDescent="0.25">
      <c r="A360" t="s">
        <v>883</v>
      </c>
      <c r="B360" t="s">
        <v>26</v>
      </c>
      <c r="C360" t="s">
        <v>27</v>
      </c>
      <c r="H360" s="2">
        <v>45439.697222222225</v>
      </c>
      <c r="I360" t="s">
        <v>156</v>
      </c>
      <c r="Z360">
        <v>84307</v>
      </c>
    </row>
    <row r="361" spans="1:26" x14ac:dyDescent="0.25">
      <c r="A361" t="s">
        <v>884</v>
      </c>
      <c r="B361" t="s">
        <v>26</v>
      </c>
      <c r="C361" t="s">
        <v>27</v>
      </c>
      <c r="H361" s="2">
        <v>45439.40625</v>
      </c>
      <c r="I361" t="s">
        <v>152</v>
      </c>
      <c r="Z361">
        <v>84253</v>
      </c>
    </row>
    <row r="362" spans="1:26" x14ac:dyDescent="0.25">
      <c r="A362" t="s">
        <v>489</v>
      </c>
      <c r="C362" t="s">
        <v>27</v>
      </c>
      <c r="E362" t="s">
        <v>51</v>
      </c>
      <c r="H362" s="2">
        <v>45436.763888888891</v>
      </c>
      <c r="I362" t="s">
        <v>152</v>
      </c>
      <c r="Z362">
        <v>84119</v>
      </c>
    </row>
    <row r="363" spans="1:26" x14ac:dyDescent="0.25">
      <c r="A363" t="s">
        <v>885</v>
      </c>
      <c r="B363" t="s">
        <v>26</v>
      </c>
      <c r="C363" t="s">
        <v>27</v>
      </c>
      <c r="H363" s="2">
        <v>45436.481944444444</v>
      </c>
      <c r="I363" t="s">
        <v>152</v>
      </c>
      <c r="Z363">
        <v>84063</v>
      </c>
    </row>
    <row r="364" spans="1:26" x14ac:dyDescent="0.25">
      <c r="A364" t="s">
        <v>89</v>
      </c>
      <c r="B364" t="s">
        <v>74</v>
      </c>
      <c r="C364" t="s">
        <v>27</v>
      </c>
      <c r="E364" t="s">
        <v>886</v>
      </c>
      <c r="H364" s="2">
        <v>45436.425694444442</v>
      </c>
      <c r="I364" t="s">
        <v>157</v>
      </c>
      <c r="Z364">
        <v>84050</v>
      </c>
    </row>
    <row r="365" spans="1:26" x14ac:dyDescent="0.25">
      <c r="A365" t="s">
        <v>887</v>
      </c>
      <c r="C365" t="s">
        <v>27</v>
      </c>
      <c r="E365" t="s">
        <v>78</v>
      </c>
      <c r="H365" s="2">
        <v>45436.390277777777</v>
      </c>
      <c r="I365" t="s">
        <v>152</v>
      </c>
      <c r="Z365">
        <v>84045</v>
      </c>
    </row>
    <row r="366" spans="1:26" x14ac:dyDescent="0.25">
      <c r="A366" t="s">
        <v>888</v>
      </c>
      <c r="B366" t="s">
        <v>26</v>
      </c>
      <c r="C366" t="s">
        <v>27</v>
      </c>
      <c r="H366" s="2">
        <v>45435.743750000001</v>
      </c>
      <c r="I366" t="s">
        <v>150</v>
      </c>
      <c r="Z366">
        <v>84020</v>
      </c>
    </row>
    <row r="367" spans="1:26" x14ac:dyDescent="0.25">
      <c r="A367" t="s">
        <v>165</v>
      </c>
      <c r="B367" t="s">
        <v>26</v>
      </c>
      <c r="C367" t="s">
        <v>27</v>
      </c>
      <c r="H367" s="2">
        <v>45435.572916666664</v>
      </c>
      <c r="I367" t="s">
        <v>118</v>
      </c>
      <c r="Z367">
        <v>83994</v>
      </c>
    </row>
    <row r="368" spans="1:26" x14ac:dyDescent="0.25">
      <c r="A368" t="s">
        <v>889</v>
      </c>
      <c r="B368" t="s">
        <v>26</v>
      </c>
      <c r="C368" t="s">
        <v>27</v>
      </c>
      <c r="H368" s="2">
        <v>45433.774305555555</v>
      </c>
      <c r="I368" t="s">
        <v>157</v>
      </c>
      <c r="Z368">
        <v>83873</v>
      </c>
    </row>
    <row r="369" spans="1:26" x14ac:dyDescent="0.25">
      <c r="A369" t="s">
        <v>890</v>
      </c>
      <c r="B369" t="s">
        <v>26</v>
      </c>
      <c r="C369" t="s">
        <v>27</v>
      </c>
      <c r="H369" s="2">
        <v>45432.492361111108</v>
      </c>
      <c r="I369" t="s">
        <v>156</v>
      </c>
      <c r="Z369">
        <v>83723</v>
      </c>
    </row>
    <row r="370" spans="1:26" x14ac:dyDescent="0.25">
      <c r="A370" t="s">
        <v>891</v>
      </c>
      <c r="B370" t="s">
        <v>26</v>
      </c>
      <c r="C370" t="s">
        <v>27</v>
      </c>
      <c r="H370" s="2">
        <v>45432.479861111111</v>
      </c>
      <c r="I370" t="s">
        <v>157</v>
      </c>
      <c r="Z370">
        <v>83722</v>
      </c>
    </row>
    <row r="371" spans="1:26" x14ac:dyDescent="0.25">
      <c r="A371" t="s">
        <v>892</v>
      </c>
      <c r="B371" t="s">
        <v>26</v>
      </c>
      <c r="C371" t="s">
        <v>27</v>
      </c>
      <c r="H371" s="2">
        <v>45432.462500000001</v>
      </c>
      <c r="I371" t="s">
        <v>156</v>
      </c>
      <c r="Z371">
        <v>83720</v>
      </c>
    </row>
    <row r="372" spans="1:26" x14ac:dyDescent="0.25">
      <c r="A372" t="s">
        <v>893</v>
      </c>
      <c r="B372" t="s">
        <v>125</v>
      </c>
      <c r="C372" t="s">
        <v>27</v>
      </c>
      <c r="E372" t="s">
        <v>894</v>
      </c>
      <c r="H372" s="2">
        <v>45432.438888888886</v>
      </c>
      <c r="I372" t="s">
        <v>156</v>
      </c>
      <c r="Z372">
        <v>83714</v>
      </c>
    </row>
    <row r="373" spans="1:26" x14ac:dyDescent="0.25">
      <c r="A373" t="s">
        <v>895</v>
      </c>
      <c r="B373" t="s">
        <v>125</v>
      </c>
      <c r="C373" t="s">
        <v>27</v>
      </c>
      <c r="E373" t="s">
        <v>65</v>
      </c>
      <c r="G373" t="s">
        <v>896</v>
      </c>
      <c r="H373" s="2">
        <v>45430.568749999999</v>
      </c>
      <c r="I373" t="s">
        <v>29</v>
      </c>
      <c r="K373" t="s">
        <v>30</v>
      </c>
      <c r="L373" t="s">
        <v>31</v>
      </c>
      <c r="M373">
        <v>55887113</v>
      </c>
      <c r="N373">
        <v>9754620480</v>
      </c>
      <c r="O373" t="s">
        <v>812</v>
      </c>
      <c r="Z373">
        <v>83598</v>
      </c>
    </row>
    <row r="374" spans="1:26" x14ac:dyDescent="0.25">
      <c r="A374" t="s">
        <v>897</v>
      </c>
      <c r="B374" t="s">
        <v>26</v>
      </c>
      <c r="C374" t="s">
        <v>27</v>
      </c>
      <c r="H374" s="2">
        <v>45429.509027777778</v>
      </c>
      <c r="I374" t="s">
        <v>139</v>
      </c>
      <c r="Z374">
        <v>83504</v>
      </c>
    </row>
    <row r="375" spans="1:26" x14ac:dyDescent="0.25">
      <c r="A375" t="s">
        <v>898</v>
      </c>
      <c r="B375" t="s">
        <v>26</v>
      </c>
      <c r="C375" t="s">
        <v>77</v>
      </c>
      <c r="H375" s="2">
        <v>45428.676388888889</v>
      </c>
      <c r="I375" t="s">
        <v>157</v>
      </c>
      <c r="Z375">
        <v>83442</v>
      </c>
    </row>
    <row r="376" spans="1:26" x14ac:dyDescent="0.25">
      <c r="A376" t="s">
        <v>899</v>
      </c>
      <c r="B376" t="s">
        <v>26</v>
      </c>
      <c r="C376" t="s">
        <v>27</v>
      </c>
      <c r="H376" s="2">
        <v>45428.586805555555</v>
      </c>
      <c r="I376" t="s">
        <v>156</v>
      </c>
      <c r="Z376">
        <v>83427</v>
      </c>
    </row>
    <row r="377" spans="1:26" x14ac:dyDescent="0.25">
      <c r="A377" t="s">
        <v>900</v>
      </c>
      <c r="B377" t="s">
        <v>26</v>
      </c>
      <c r="C377" t="s">
        <v>27</v>
      </c>
      <c r="H377" s="2">
        <v>45428.5625</v>
      </c>
      <c r="I377" t="s">
        <v>157</v>
      </c>
      <c r="Z377">
        <v>83423</v>
      </c>
    </row>
    <row r="378" spans="1:26" x14ac:dyDescent="0.25">
      <c r="A378" t="s">
        <v>901</v>
      </c>
      <c r="B378" t="s">
        <v>26</v>
      </c>
      <c r="C378" t="s">
        <v>27</v>
      </c>
      <c r="H378" s="2">
        <v>45428.525000000001</v>
      </c>
      <c r="I378" t="s">
        <v>156</v>
      </c>
      <c r="Z378">
        <v>83415</v>
      </c>
    </row>
    <row r="379" spans="1:26" x14ac:dyDescent="0.25">
      <c r="A379" t="s">
        <v>902</v>
      </c>
      <c r="B379" t="s">
        <v>26</v>
      </c>
      <c r="C379" t="s">
        <v>27</v>
      </c>
      <c r="H379" s="2">
        <v>45427.384722222225</v>
      </c>
      <c r="I379" t="s">
        <v>157</v>
      </c>
      <c r="Z379">
        <v>83303</v>
      </c>
    </row>
    <row r="380" spans="1:26" x14ac:dyDescent="0.25">
      <c r="A380" t="s">
        <v>903</v>
      </c>
      <c r="B380" t="s">
        <v>26</v>
      </c>
      <c r="C380" t="s">
        <v>27</v>
      </c>
      <c r="H380" s="2">
        <v>45426.655555555553</v>
      </c>
      <c r="I380" t="s">
        <v>84</v>
      </c>
      <c r="Z380">
        <v>83262</v>
      </c>
    </row>
    <row r="381" spans="1:26" x14ac:dyDescent="0.25">
      <c r="A381" t="s">
        <v>172</v>
      </c>
      <c r="B381" t="s">
        <v>26</v>
      </c>
      <c r="C381" t="s">
        <v>27</v>
      </c>
      <c r="H381" s="2">
        <v>45426.484722222223</v>
      </c>
      <c r="I381" t="s">
        <v>157</v>
      </c>
      <c r="Z381">
        <v>83229</v>
      </c>
    </row>
    <row r="382" spans="1:26" x14ac:dyDescent="0.25">
      <c r="A382" t="s">
        <v>130</v>
      </c>
      <c r="B382" t="s">
        <v>125</v>
      </c>
      <c r="C382" t="s">
        <v>27</v>
      </c>
      <c r="E382" t="s">
        <v>78</v>
      </c>
      <c r="H382" s="2">
        <v>45425.479166666664</v>
      </c>
      <c r="I382" t="s">
        <v>151</v>
      </c>
      <c r="K382" t="s">
        <v>30</v>
      </c>
      <c r="L382" t="s">
        <v>31</v>
      </c>
      <c r="M382">
        <v>104108031</v>
      </c>
      <c r="N382">
        <v>15607617968</v>
      </c>
      <c r="O382" t="s">
        <v>146</v>
      </c>
      <c r="Z382">
        <v>83144</v>
      </c>
    </row>
    <row r="383" spans="1:26" x14ac:dyDescent="0.25">
      <c r="A383" t="s">
        <v>904</v>
      </c>
      <c r="B383" t="s">
        <v>26</v>
      </c>
      <c r="C383" t="s">
        <v>27</v>
      </c>
      <c r="H383" s="2">
        <v>45425.422222222223</v>
      </c>
      <c r="I383" t="s">
        <v>118</v>
      </c>
      <c r="Z383">
        <v>83131</v>
      </c>
    </row>
    <row r="384" spans="1:26" x14ac:dyDescent="0.25">
      <c r="A384" t="s">
        <v>905</v>
      </c>
      <c r="B384" t="s">
        <v>26</v>
      </c>
      <c r="C384" t="s">
        <v>27</v>
      </c>
      <c r="H384" s="2">
        <v>45424.679861111108</v>
      </c>
      <c r="I384" t="s">
        <v>139</v>
      </c>
      <c r="Z384">
        <v>83094</v>
      </c>
    </row>
    <row r="385" spans="1:26" x14ac:dyDescent="0.25">
      <c r="A385" t="s">
        <v>906</v>
      </c>
      <c r="B385" t="s">
        <v>125</v>
      </c>
      <c r="C385" t="s">
        <v>27</v>
      </c>
      <c r="E385" t="s">
        <v>51</v>
      </c>
      <c r="H385" s="2">
        <v>45420.65902777778</v>
      </c>
      <c r="I385" t="s">
        <v>157</v>
      </c>
      <c r="K385" t="s">
        <v>30</v>
      </c>
      <c r="L385" t="s">
        <v>31</v>
      </c>
      <c r="M385">
        <v>67127941</v>
      </c>
      <c r="N385">
        <v>15675662723</v>
      </c>
      <c r="O385" t="s">
        <v>907</v>
      </c>
      <c r="Z385">
        <v>82889</v>
      </c>
    </row>
    <row r="386" spans="1:26" x14ac:dyDescent="0.25">
      <c r="A386" t="s">
        <v>908</v>
      </c>
      <c r="B386" t="s">
        <v>26</v>
      </c>
      <c r="C386" t="s">
        <v>27</v>
      </c>
      <c r="H386" s="2">
        <v>45418.703472222223</v>
      </c>
      <c r="I386" t="s">
        <v>157</v>
      </c>
      <c r="Z386">
        <v>82784</v>
      </c>
    </row>
    <row r="387" spans="1:26" x14ac:dyDescent="0.25">
      <c r="A387" t="s">
        <v>909</v>
      </c>
      <c r="B387" t="s">
        <v>125</v>
      </c>
      <c r="C387" t="s">
        <v>27</v>
      </c>
      <c r="E387">
        <v>79999999163</v>
      </c>
      <c r="H387" s="2">
        <v>45418.420138888891</v>
      </c>
      <c r="I387" t="s">
        <v>29</v>
      </c>
      <c r="Z387">
        <v>82734</v>
      </c>
    </row>
    <row r="388" spans="1:26" x14ac:dyDescent="0.25">
      <c r="A388" t="s">
        <v>910</v>
      </c>
      <c r="B388" t="s">
        <v>125</v>
      </c>
      <c r="C388" t="s">
        <v>27</v>
      </c>
      <c r="E388">
        <v>79277731230</v>
      </c>
      <c r="H388" s="2">
        <v>45418.419444444444</v>
      </c>
      <c r="I388" t="s">
        <v>29</v>
      </c>
      <c r="Z388">
        <v>82731</v>
      </c>
    </row>
    <row r="389" spans="1:26" x14ac:dyDescent="0.25">
      <c r="A389" t="s">
        <v>911</v>
      </c>
      <c r="B389" t="s">
        <v>125</v>
      </c>
      <c r="C389" t="s">
        <v>27</v>
      </c>
      <c r="E389">
        <v>79967353415</v>
      </c>
      <c r="H389" s="2">
        <v>45418.417361111111</v>
      </c>
      <c r="I389" t="s">
        <v>29</v>
      </c>
      <c r="Z389">
        <v>82722</v>
      </c>
    </row>
    <row r="390" spans="1:26" x14ac:dyDescent="0.25">
      <c r="A390" t="s">
        <v>912</v>
      </c>
      <c r="B390" t="s">
        <v>26</v>
      </c>
      <c r="C390" t="s">
        <v>27</v>
      </c>
      <c r="H390" s="2">
        <v>45416.586111111108</v>
      </c>
      <c r="I390" t="s">
        <v>118</v>
      </c>
      <c r="Z390">
        <v>82639</v>
      </c>
    </row>
    <row r="391" spans="1:26" x14ac:dyDescent="0.25">
      <c r="A391" t="s">
        <v>913</v>
      </c>
      <c r="B391" t="s">
        <v>26</v>
      </c>
      <c r="C391" t="s">
        <v>27</v>
      </c>
      <c r="H391" s="2">
        <v>45416.563888888886</v>
      </c>
      <c r="I391" t="s">
        <v>156</v>
      </c>
      <c r="Z391">
        <v>82635</v>
      </c>
    </row>
    <row r="392" spans="1:26" x14ac:dyDescent="0.25">
      <c r="A392" t="s">
        <v>914</v>
      </c>
      <c r="B392" t="s">
        <v>26</v>
      </c>
      <c r="C392" t="s">
        <v>27</v>
      </c>
      <c r="H392" s="2">
        <v>45416.478472222225</v>
      </c>
      <c r="I392" t="s">
        <v>156</v>
      </c>
      <c r="Z392">
        <v>82620</v>
      </c>
    </row>
    <row r="393" spans="1:26" x14ac:dyDescent="0.25">
      <c r="A393" t="s">
        <v>915</v>
      </c>
      <c r="B393" t="s">
        <v>26</v>
      </c>
      <c r="C393" t="s">
        <v>27</v>
      </c>
      <c r="H393" s="2">
        <v>45415.71597222222</v>
      </c>
      <c r="I393" t="s">
        <v>157</v>
      </c>
      <c r="Z393">
        <v>82601</v>
      </c>
    </row>
    <row r="394" spans="1:26" x14ac:dyDescent="0.25">
      <c r="A394" t="s">
        <v>916</v>
      </c>
      <c r="B394" t="s">
        <v>26</v>
      </c>
      <c r="C394" t="s">
        <v>27</v>
      </c>
      <c r="H394" s="2">
        <v>45414.511805555558</v>
      </c>
      <c r="I394" t="s">
        <v>84</v>
      </c>
      <c r="Z394">
        <v>82487</v>
      </c>
    </row>
    <row r="395" spans="1:26" x14ac:dyDescent="0.25">
      <c r="A395" t="s">
        <v>917</v>
      </c>
      <c r="B395" t="s">
        <v>26</v>
      </c>
      <c r="C395" t="s">
        <v>27</v>
      </c>
      <c r="H395" s="2">
        <v>45413.484722222223</v>
      </c>
      <c r="I395" t="s">
        <v>139</v>
      </c>
      <c r="Z395">
        <v>82415</v>
      </c>
    </row>
    <row r="396" spans="1:26" x14ac:dyDescent="0.25">
      <c r="A396" t="s">
        <v>918</v>
      </c>
      <c r="B396" t="s">
        <v>26</v>
      </c>
      <c r="C396" t="s">
        <v>27</v>
      </c>
      <c r="H396" s="2">
        <v>45410.702777777777</v>
      </c>
      <c r="I396" t="s">
        <v>118</v>
      </c>
      <c r="Z396">
        <v>82254</v>
      </c>
    </row>
    <row r="397" spans="1:26" x14ac:dyDescent="0.25">
      <c r="A397" t="s">
        <v>919</v>
      </c>
      <c r="B397" t="s">
        <v>26</v>
      </c>
      <c r="C397" t="s">
        <v>27</v>
      </c>
      <c r="H397" s="2">
        <v>45409.466666666667</v>
      </c>
      <c r="I397" t="s">
        <v>118</v>
      </c>
      <c r="Z397">
        <v>82144</v>
      </c>
    </row>
    <row r="398" spans="1:26" x14ac:dyDescent="0.25">
      <c r="A398" t="s">
        <v>920</v>
      </c>
      <c r="B398" t="s">
        <v>26</v>
      </c>
      <c r="C398" t="s">
        <v>27</v>
      </c>
      <c r="E398" t="s">
        <v>51</v>
      </c>
      <c r="H398" s="2">
        <v>45408.6875</v>
      </c>
      <c r="I398" t="s">
        <v>156</v>
      </c>
      <c r="Z398">
        <v>82108</v>
      </c>
    </row>
    <row r="399" spans="1:26" x14ac:dyDescent="0.25">
      <c r="A399" t="s">
        <v>921</v>
      </c>
      <c r="B399" t="s">
        <v>26</v>
      </c>
      <c r="C399" t="s">
        <v>27</v>
      </c>
      <c r="E399" t="s">
        <v>922</v>
      </c>
      <c r="H399" s="2">
        <v>45405.804166666669</v>
      </c>
      <c r="I399" t="s">
        <v>139</v>
      </c>
      <c r="Z399">
        <v>81788</v>
      </c>
    </row>
    <row r="400" spans="1:26" x14ac:dyDescent="0.25">
      <c r="A400" t="s">
        <v>923</v>
      </c>
      <c r="B400" t="s">
        <v>125</v>
      </c>
      <c r="C400" t="s">
        <v>27</v>
      </c>
      <c r="E400" t="s">
        <v>62</v>
      </c>
      <c r="G400" t="s">
        <v>819</v>
      </c>
      <c r="H400" s="2">
        <v>45404.018750000003</v>
      </c>
      <c r="I400" t="s">
        <v>157</v>
      </c>
      <c r="K400" t="s">
        <v>30</v>
      </c>
      <c r="L400" t="s">
        <v>31</v>
      </c>
      <c r="M400">
        <v>67127941</v>
      </c>
      <c r="N400">
        <v>15675662778</v>
      </c>
      <c r="O400" t="s">
        <v>83</v>
      </c>
      <c r="Z400">
        <v>81577</v>
      </c>
    </row>
    <row r="401" spans="1:26" x14ac:dyDescent="0.25">
      <c r="A401" t="s">
        <v>924</v>
      </c>
      <c r="C401" t="s">
        <v>27</v>
      </c>
      <c r="E401" t="s">
        <v>81</v>
      </c>
      <c r="H401" s="2">
        <v>45403.542361111111</v>
      </c>
      <c r="I401" t="s">
        <v>156</v>
      </c>
      <c r="Z401">
        <v>81514</v>
      </c>
    </row>
    <row r="402" spans="1:26" x14ac:dyDescent="0.25">
      <c r="A402" t="s">
        <v>925</v>
      </c>
      <c r="B402" t="s">
        <v>117</v>
      </c>
      <c r="C402" t="s">
        <v>27</v>
      </c>
      <c r="E402" t="s">
        <v>67</v>
      </c>
      <c r="G402" t="s">
        <v>105</v>
      </c>
      <c r="H402" s="2">
        <v>45402.324999999997</v>
      </c>
      <c r="I402" t="s">
        <v>29</v>
      </c>
      <c r="K402" t="s">
        <v>30</v>
      </c>
      <c r="L402" t="s">
        <v>31</v>
      </c>
      <c r="M402">
        <v>55887113</v>
      </c>
      <c r="N402">
        <v>9754620466</v>
      </c>
      <c r="O402" t="s">
        <v>926</v>
      </c>
      <c r="Z402">
        <v>81409</v>
      </c>
    </row>
    <row r="403" spans="1:26" x14ac:dyDescent="0.25">
      <c r="A403" t="s">
        <v>927</v>
      </c>
      <c r="B403" t="s">
        <v>125</v>
      </c>
      <c r="C403" t="s">
        <v>27</v>
      </c>
      <c r="E403" t="s">
        <v>928</v>
      </c>
      <c r="H403" s="2">
        <v>45400.888194444444</v>
      </c>
      <c r="I403" t="s">
        <v>139</v>
      </c>
      <c r="Z403">
        <v>81290</v>
      </c>
    </row>
    <row r="404" spans="1:26" x14ac:dyDescent="0.25">
      <c r="A404" t="s">
        <v>929</v>
      </c>
      <c r="B404" t="s">
        <v>26</v>
      </c>
      <c r="C404" t="s">
        <v>47</v>
      </c>
      <c r="H404" s="2">
        <v>45400.539583333331</v>
      </c>
      <c r="I404" t="s">
        <v>139</v>
      </c>
      <c r="Z404">
        <v>81225</v>
      </c>
    </row>
    <row r="405" spans="1:26" x14ac:dyDescent="0.25">
      <c r="A405" t="s">
        <v>489</v>
      </c>
      <c r="B405" t="s">
        <v>74</v>
      </c>
      <c r="C405" t="s">
        <v>47</v>
      </c>
      <c r="E405" t="s">
        <v>78</v>
      </c>
      <c r="H405" s="2">
        <v>45399.504861111112</v>
      </c>
      <c r="I405" t="s">
        <v>157</v>
      </c>
      <c r="Z405">
        <v>81094</v>
      </c>
    </row>
    <row r="406" spans="1:26" x14ac:dyDescent="0.25">
      <c r="A406" t="s">
        <v>930</v>
      </c>
      <c r="C406" t="s">
        <v>27</v>
      </c>
      <c r="E406" t="s">
        <v>43</v>
      </c>
      <c r="H406" s="2">
        <v>45397.823611111111</v>
      </c>
      <c r="I406" t="s">
        <v>156</v>
      </c>
      <c r="Z406">
        <v>80923</v>
      </c>
    </row>
    <row r="407" spans="1:26" x14ac:dyDescent="0.25">
      <c r="A407" t="s">
        <v>931</v>
      </c>
      <c r="B407" t="s">
        <v>125</v>
      </c>
      <c r="C407" t="s">
        <v>27</v>
      </c>
      <c r="E407" t="s">
        <v>78</v>
      </c>
      <c r="G407" t="s">
        <v>932</v>
      </c>
      <c r="H407" s="2">
        <v>45396.488888888889</v>
      </c>
      <c r="I407" t="s">
        <v>156</v>
      </c>
      <c r="K407" t="s">
        <v>30</v>
      </c>
      <c r="L407" t="s">
        <v>31</v>
      </c>
      <c r="M407">
        <v>55887113</v>
      </c>
      <c r="N407">
        <v>9754620480</v>
      </c>
      <c r="O407" t="s">
        <v>812</v>
      </c>
      <c r="Z407">
        <v>80776</v>
      </c>
    </row>
    <row r="408" spans="1:26" x14ac:dyDescent="0.25">
      <c r="A408" t="s">
        <v>933</v>
      </c>
      <c r="B408" t="s">
        <v>26</v>
      </c>
      <c r="C408" t="s">
        <v>27</v>
      </c>
      <c r="H408" s="2">
        <v>45396.441666666666</v>
      </c>
      <c r="I408" t="s">
        <v>157</v>
      </c>
      <c r="Z408">
        <v>80765</v>
      </c>
    </row>
    <row r="409" spans="1:26" x14ac:dyDescent="0.25">
      <c r="A409" t="s">
        <v>934</v>
      </c>
      <c r="C409" t="s">
        <v>27</v>
      </c>
      <c r="E409" t="s">
        <v>78</v>
      </c>
      <c r="H409" s="2">
        <v>45396.020833333336</v>
      </c>
      <c r="I409" t="s">
        <v>156</v>
      </c>
      <c r="Z409">
        <v>80745</v>
      </c>
    </row>
    <row r="410" spans="1:26" x14ac:dyDescent="0.25">
      <c r="A410" t="s">
        <v>935</v>
      </c>
      <c r="B410" t="s">
        <v>26</v>
      </c>
      <c r="C410" t="s">
        <v>27</v>
      </c>
      <c r="H410" s="2">
        <v>45394.599305555559</v>
      </c>
      <c r="I410" t="s">
        <v>157</v>
      </c>
      <c r="Z410">
        <v>80594</v>
      </c>
    </row>
    <row r="411" spans="1:26" x14ac:dyDescent="0.25">
      <c r="A411" t="s">
        <v>936</v>
      </c>
      <c r="B411" t="s">
        <v>117</v>
      </c>
      <c r="C411" t="s">
        <v>27</v>
      </c>
      <c r="E411" t="s">
        <v>937</v>
      </c>
      <c r="H411" s="2">
        <v>45393.931250000001</v>
      </c>
      <c r="I411" t="s">
        <v>29</v>
      </c>
      <c r="Z411">
        <v>80528</v>
      </c>
    </row>
    <row r="412" spans="1:26" x14ac:dyDescent="0.25">
      <c r="A412" t="s">
        <v>938</v>
      </c>
      <c r="B412" t="s">
        <v>26</v>
      </c>
      <c r="C412" t="s">
        <v>27</v>
      </c>
      <c r="H412" s="2">
        <v>45392.695833333331</v>
      </c>
      <c r="I412" t="s">
        <v>118</v>
      </c>
      <c r="Z412">
        <v>80359</v>
      </c>
    </row>
    <row r="413" spans="1:26" x14ac:dyDescent="0.25">
      <c r="A413" t="s">
        <v>939</v>
      </c>
      <c r="B413" t="s">
        <v>26</v>
      </c>
      <c r="C413" t="s">
        <v>27</v>
      </c>
      <c r="H413" s="2">
        <v>45392.672222222223</v>
      </c>
      <c r="I413" t="s">
        <v>156</v>
      </c>
      <c r="Z413">
        <v>80351</v>
      </c>
    </row>
    <row r="414" spans="1:26" x14ac:dyDescent="0.25">
      <c r="A414" t="s">
        <v>940</v>
      </c>
      <c r="B414" t="s">
        <v>26</v>
      </c>
      <c r="C414" t="s">
        <v>27</v>
      </c>
      <c r="H414" s="2">
        <v>45391.503472222219</v>
      </c>
      <c r="I414" t="s">
        <v>118</v>
      </c>
      <c r="Z414">
        <v>80191</v>
      </c>
    </row>
    <row r="415" spans="1:26" x14ac:dyDescent="0.25">
      <c r="A415" t="s">
        <v>941</v>
      </c>
      <c r="B415" t="s">
        <v>26</v>
      </c>
      <c r="C415" t="s">
        <v>27</v>
      </c>
      <c r="H415" s="2">
        <v>45391.438194444447</v>
      </c>
      <c r="I415" t="s">
        <v>118</v>
      </c>
      <c r="Z415">
        <v>80173</v>
      </c>
    </row>
    <row r="416" spans="1:26" x14ac:dyDescent="0.25">
      <c r="A416" t="s">
        <v>942</v>
      </c>
      <c r="B416" t="s">
        <v>26</v>
      </c>
      <c r="C416" t="s">
        <v>27</v>
      </c>
      <c r="H416" s="2">
        <v>45389.755555555559</v>
      </c>
      <c r="I416" t="s">
        <v>139</v>
      </c>
      <c r="Z416">
        <v>79954</v>
      </c>
    </row>
    <row r="417" spans="1:26" x14ac:dyDescent="0.25">
      <c r="A417" t="s">
        <v>943</v>
      </c>
      <c r="B417" t="s">
        <v>74</v>
      </c>
      <c r="C417" t="s">
        <v>27</v>
      </c>
      <c r="E417" t="s">
        <v>944</v>
      </c>
      <c r="H417" s="2">
        <v>45389.573611111111</v>
      </c>
      <c r="I417" t="s">
        <v>139</v>
      </c>
      <c r="K417" t="s">
        <v>30</v>
      </c>
      <c r="L417" t="s">
        <v>31</v>
      </c>
      <c r="M417">
        <v>67131912</v>
      </c>
      <c r="N417">
        <v>11953101646</v>
      </c>
      <c r="O417" t="s">
        <v>138</v>
      </c>
      <c r="Z417">
        <v>79925</v>
      </c>
    </row>
    <row r="418" spans="1:26" x14ac:dyDescent="0.25">
      <c r="A418" t="s">
        <v>945</v>
      </c>
      <c r="B418" t="s">
        <v>26</v>
      </c>
      <c r="C418" t="s">
        <v>27</v>
      </c>
      <c r="H418" s="2">
        <v>45388.790277777778</v>
      </c>
      <c r="I418" t="s">
        <v>150</v>
      </c>
      <c r="Z418">
        <v>79888</v>
      </c>
    </row>
    <row r="419" spans="1:26" x14ac:dyDescent="0.25">
      <c r="A419" t="s">
        <v>946</v>
      </c>
      <c r="B419" t="s">
        <v>26</v>
      </c>
      <c r="C419" t="s">
        <v>27</v>
      </c>
      <c r="H419" s="2">
        <v>45386.683333333334</v>
      </c>
      <c r="I419" t="s">
        <v>29</v>
      </c>
      <c r="Z419">
        <v>79653</v>
      </c>
    </row>
    <row r="420" spans="1:26" x14ac:dyDescent="0.25">
      <c r="A420" t="s">
        <v>947</v>
      </c>
      <c r="B420" t="s">
        <v>26</v>
      </c>
      <c r="C420" t="s">
        <v>27</v>
      </c>
      <c r="H420" s="2">
        <v>45386.612500000003</v>
      </c>
      <c r="I420" t="s">
        <v>156</v>
      </c>
      <c r="Z420">
        <v>79631</v>
      </c>
    </row>
    <row r="421" spans="1:26" x14ac:dyDescent="0.25">
      <c r="A421" t="s">
        <v>948</v>
      </c>
      <c r="C421" t="s">
        <v>27</v>
      </c>
      <c r="E421" t="s">
        <v>70</v>
      </c>
      <c r="H421" s="2">
        <v>45386.566666666666</v>
      </c>
      <c r="I421" t="s">
        <v>29</v>
      </c>
      <c r="Z421">
        <v>79613</v>
      </c>
    </row>
    <row r="422" spans="1:26" x14ac:dyDescent="0.25">
      <c r="A422" t="s">
        <v>949</v>
      </c>
      <c r="B422" t="s">
        <v>26</v>
      </c>
      <c r="C422" t="s">
        <v>27</v>
      </c>
      <c r="E422" t="s">
        <v>90</v>
      </c>
      <c r="H422" s="2">
        <v>45385.438194444447</v>
      </c>
      <c r="I422" t="s">
        <v>29</v>
      </c>
      <c r="Z422">
        <v>79462</v>
      </c>
    </row>
    <row r="423" spans="1:26" x14ac:dyDescent="0.25">
      <c r="A423" t="s">
        <v>950</v>
      </c>
      <c r="B423" t="s">
        <v>26</v>
      </c>
      <c r="C423" t="s">
        <v>27</v>
      </c>
      <c r="H423" s="2">
        <v>45383.494444444441</v>
      </c>
      <c r="I423" t="s">
        <v>139</v>
      </c>
      <c r="Z423">
        <v>79266</v>
      </c>
    </row>
    <row r="424" spans="1:26" x14ac:dyDescent="0.25">
      <c r="A424" t="s">
        <v>951</v>
      </c>
      <c r="B424" t="s">
        <v>125</v>
      </c>
      <c r="C424" t="s">
        <v>27</v>
      </c>
      <c r="E424" t="s">
        <v>45</v>
      </c>
      <c r="G424" t="s">
        <v>952</v>
      </c>
      <c r="H424" s="2">
        <v>45382.72152777778</v>
      </c>
      <c r="I424" t="s">
        <v>29</v>
      </c>
      <c r="K424" t="s">
        <v>30</v>
      </c>
      <c r="L424" t="s">
        <v>31</v>
      </c>
      <c r="M424">
        <v>55887113</v>
      </c>
      <c r="N424">
        <v>9754620472</v>
      </c>
      <c r="O424" t="s">
        <v>812</v>
      </c>
      <c r="Z424">
        <v>79230</v>
      </c>
    </row>
    <row r="425" spans="1:26" x14ac:dyDescent="0.25">
      <c r="A425" t="s">
        <v>953</v>
      </c>
      <c r="B425" t="s">
        <v>26</v>
      </c>
      <c r="C425" t="s">
        <v>27</v>
      </c>
      <c r="H425" s="2">
        <v>45380.760416666664</v>
      </c>
      <c r="I425" t="s">
        <v>156</v>
      </c>
      <c r="Z425">
        <v>79120</v>
      </c>
    </row>
    <row r="426" spans="1:26" x14ac:dyDescent="0.25">
      <c r="A426" t="s">
        <v>954</v>
      </c>
      <c r="B426" t="s">
        <v>125</v>
      </c>
      <c r="C426" t="s">
        <v>27</v>
      </c>
      <c r="E426" t="s">
        <v>955</v>
      </c>
      <c r="G426" t="s">
        <v>956</v>
      </c>
      <c r="H426" s="2">
        <v>45379.732638888891</v>
      </c>
      <c r="I426" t="s">
        <v>156</v>
      </c>
      <c r="Z426">
        <v>79044</v>
      </c>
    </row>
    <row r="427" spans="1:26" x14ac:dyDescent="0.25">
      <c r="A427" t="s">
        <v>957</v>
      </c>
      <c r="B427" t="s">
        <v>26</v>
      </c>
      <c r="C427" t="s">
        <v>27</v>
      </c>
      <c r="H427" s="2">
        <v>45378.472222222219</v>
      </c>
      <c r="I427" t="s">
        <v>118</v>
      </c>
      <c r="Z427">
        <v>78967</v>
      </c>
    </row>
    <row r="428" spans="1:26" x14ac:dyDescent="0.25">
      <c r="A428" t="s">
        <v>958</v>
      </c>
      <c r="B428" t="s">
        <v>26</v>
      </c>
      <c r="C428" t="s">
        <v>27</v>
      </c>
      <c r="H428" s="2">
        <v>45377.386805555558</v>
      </c>
      <c r="I428" t="s">
        <v>150</v>
      </c>
      <c r="Z428">
        <v>78904</v>
      </c>
    </row>
    <row r="429" spans="1:26" x14ac:dyDescent="0.25">
      <c r="A429" t="s">
        <v>959</v>
      </c>
      <c r="B429" t="s">
        <v>26</v>
      </c>
      <c r="C429" t="s">
        <v>27</v>
      </c>
      <c r="H429" s="2">
        <v>45376.768055555556</v>
      </c>
      <c r="I429" t="s">
        <v>139</v>
      </c>
      <c r="Z429">
        <v>78888</v>
      </c>
    </row>
    <row r="430" spans="1:26" x14ac:dyDescent="0.25">
      <c r="A430" t="s">
        <v>960</v>
      </c>
      <c r="B430" t="s">
        <v>26</v>
      </c>
      <c r="C430" t="s">
        <v>27</v>
      </c>
      <c r="H430" s="2">
        <v>45374.405555555553</v>
      </c>
      <c r="I430" t="s">
        <v>156</v>
      </c>
      <c r="Z430">
        <v>78731</v>
      </c>
    </row>
    <row r="431" spans="1:26" x14ac:dyDescent="0.25">
      <c r="A431" t="s">
        <v>961</v>
      </c>
      <c r="B431" t="s">
        <v>26</v>
      </c>
      <c r="C431" t="s">
        <v>27</v>
      </c>
      <c r="H431" s="2">
        <v>45373.692361111112</v>
      </c>
      <c r="I431" t="s">
        <v>156</v>
      </c>
      <c r="Z431">
        <v>78710</v>
      </c>
    </row>
    <row r="432" spans="1:26" x14ac:dyDescent="0.25">
      <c r="A432" t="s">
        <v>962</v>
      </c>
      <c r="C432" t="s">
        <v>27</v>
      </c>
      <c r="E432" t="s">
        <v>963</v>
      </c>
      <c r="H432" s="2">
        <v>45373.364583333336</v>
      </c>
      <c r="I432" t="s">
        <v>156</v>
      </c>
      <c r="Z432">
        <v>78658</v>
      </c>
    </row>
    <row r="433" spans="1:26" x14ac:dyDescent="0.25">
      <c r="A433" t="s">
        <v>964</v>
      </c>
      <c r="B433" t="s">
        <v>26</v>
      </c>
      <c r="C433" t="s">
        <v>27</v>
      </c>
      <c r="H433" s="2">
        <v>45372.415972222225</v>
      </c>
      <c r="I433" t="s">
        <v>29</v>
      </c>
      <c r="Z433">
        <v>78607</v>
      </c>
    </row>
    <row r="434" spans="1:26" x14ac:dyDescent="0.25">
      <c r="A434" t="s">
        <v>965</v>
      </c>
      <c r="B434" t="s">
        <v>125</v>
      </c>
      <c r="C434" t="s">
        <v>27</v>
      </c>
      <c r="E434" t="s">
        <v>108</v>
      </c>
      <c r="H434" s="2">
        <v>45370.595833333333</v>
      </c>
      <c r="I434" t="s">
        <v>29</v>
      </c>
      <c r="K434" t="s">
        <v>30</v>
      </c>
      <c r="L434" t="s">
        <v>31</v>
      </c>
      <c r="M434">
        <v>55887113</v>
      </c>
      <c r="N434">
        <v>9754620472</v>
      </c>
      <c r="O434" t="s">
        <v>812</v>
      </c>
      <c r="Z434">
        <v>78496</v>
      </c>
    </row>
    <row r="435" spans="1:26" x14ac:dyDescent="0.25">
      <c r="A435" t="s">
        <v>966</v>
      </c>
      <c r="B435" t="s">
        <v>46</v>
      </c>
      <c r="C435" t="s">
        <v>27</v>
      </c>
      <c r="E435" t="s">
        <v>81</v>
      </c>
      <c r="G435" t="s">
        <v>967</v>
      </c>
      <c r="H435" s="2">
        <v>45370.520138888889</v>
      </c>
      <c r="I435" t="s">
        <v>139</v>
      </c>
      <c r="Z435">
        <v>78486</v>
      </c>
    </row>
    <row r="436" spans="1:26" x14ac:dyDescent="0.25">
      <c r="A436" t="s">
        <v>968</v>
      </c>
      <c r="C436" t="s">
        <v>27</v>
      </c>
      <c r="E436" t="s">
        <v>81</v>
      </c>
      <c r="H436" s="2">
        <v>45369.595833333333</v>
      </c>
      <c r="I436" t="s">
        <v>139</v>
      </c>
      <c r="Z436">
        <v>78423</v>
      </c>
    </row>
    <row r="437" spans="1:26" x14ac:dyDescent="0.25">
      <c r="A437" t="s">
        <v>969</v>
      </c>
      <c r="B437" t="s">
        <v>125</v>
      </c>
      <c r="C437" t="s">
        <v>27</v>
      </c>
      <c r="E437" t="s">
        <v>70</v>
      </c>
      <c r="H437" s="2">
        <v>45368.442361111112</v>
      </c>
      <c r="I437" t="s">
        <v>118</v>
      </c>
      <c r="Z437">
        <v>78329</v>
      </c>
    </row>
    <row r="438" spans="1:26" x14ac:dyDescent="0.25">
      <c r="A438" t="s">
        <v>970</v>
      </c>
      <c r="B438" t="s">
        <v>46</v>
      </c>
      <c r="C438" t="s">
        <v>27</v>
      </c>
      <c r="E438" t="s">
        <v>106</v>
      </c>
      <c r="G438" t="s">
        <v>971</v>
      </c>
      <c r="H438" s="2">
        <v>45367.82916666667</v>
      </c>
      <c r="I438" t="s">
        <v>156</v>
      </c>
      <c r="Z438">
        <v>78322</v>
      </c>
    </row>
    <row r="439" spans="1:26" x14ac:dyDescent="0.25">
      <c r="A439" t="s">
        <v>972</v>
      </c>
      <c r="B439" t="s">
        <v>26</v>
      </c>
      <c r="C439" t="s">
        <v>27</v>
      </c>
      <c r="H439" s="2">
        <v>45367.431250000001</v>
      </c>
      <c r="I439" t="s">
        <v>156</v>
      </c>
      <c r="Z439">
        <v>78272</v>
      </c>
    </row>
    <row r="440" spans="1:26" x14ac:dyDescent="0.25">
      <c r="A440" t="s">
        <v>973</v>
      </c>
      <c r="B440" t="s">
        <v>26</v>
      </c>
      <c r="C440" t="s">
        <v>27</v>
      </c>
      <c r="H440" s="2">
        <v>45365.771527777775</v>
      </c>
      <c r="I440" t="s">
        <v>139</v>
      </c>
      <c r="Z440">
        <v>78196</v>
      </c>
    </row>
    <row r="441" spans="1:26" x14ac:dyDescent="0.25">
      <c r="A441" t="s">
        <v>974</v>
      </c>
      <c r="B441" t="s">
        <v>26</v>
      </c>
      <c r="C441" t="s">
        <v>27</v>
      </c>
      <c r="H441" s="2">
        <v>45364.765277777777</v>
      </c>
      <c r="I441" t="s">
        <v>139</v>
      </c>
      <c r="Z441">
        <v>78129</v>
      </c>
    </row>
    <row r="442" spans="1:26" x14ac:dyDescent="0.25">
      <c r="A442" t="s">
        <v>160</v>
      </c>
      <c r="B442" t="s">
        <v>26</v>
      </c>
      <c r="C442" t="s">
        <v>27</v>
      </c>
      <c r="H442" s="2">
        <v>45364.705555555556</v>
      </c>
      <c r="I442" t="s">
        <v>29</v>
      </c>
      <c r="Z442">
        <v>78120</v>
      </c>
    </row>
    <row r="443" spans="1:26" x14ac:dyDescent="0.25">
      <c r="A443" t="s">
        <v>975</v>
      </c>
      <c r="B443" t="s">
        <v>26</v>
      </c>
      <c r="C443" t="s">
        <v>27</v>
      </c>
      <c r="H443" s="2">
        <v>45362.746527777781</v>
      </c>
      <c r="I443" t="s">
        <v>156</v>
      </c>
      <c r="Z443">
        <v>77991</v>
      </c>
    </row>
    <row r="444" spans="1:26" x14ac:dyDescent="0.25">
      <c r="A444" t="s">
        <v>976</v>
      </c>
      <c r="B444" t="s">
        <v>26</v>
      </c>
      <c r="C444" t="s">
        <v>27</v>
      </c>
      <c r="H444" s="2">
        <v>45362.397222222222</v>
      </c>
      <c r="I444" t="s">
        <v>29</v>
      </c>
      <c r="Z444">
        <v>77947</v>
      </c>
    </row>
    <row r="445" spans="1:26" x14ac:dyDescent="0.25">
      <c r="A445" t="s">
        <v>977</v>
      </c>
      <c r="B445" t="s">
        <v>26</v>
      </c>
      <c r="C445" t="s">
        <v>27</v>
      </c>
      <c r="H445" s="2">
        <v>45361.695138888892</v>
      </c>
      <c r="I445" t="s">
        <v>156</v>
      </c>
      <c r="Z445">
        <v>77932</v>
      </c>
    </row>
    <row r="446" spans="1:26" x14ac:dyDescent="0.25">
      <c r="A446" t="s">
        <v>978</v>
      </c>
      <c r="B446" t="s">
        <v>26</v>
      </c>
      <c r="C446" t="s">
        <v>27</v>
      </c>
      <c r="H446" s="2">
        <v>45361.588888888888</v>
      </c>
      <c r="I446" t="s">
        <v>84</v>
      </c>
      <c r="Z446">
        <v>77920</v>
      </c>
    </row>
    <row r="447" spans="1:26" x14ac:dyDescent="0.25">
      <c r="A447" t="s">
        <v>979</v>
      </c>
      <c r="B447" t="s">
        <v>26</v>
      </c>
      <c r="C447" t="s">
        <v>27</v>
      </c>
      <c r="H447" s="2">
        <v>45361.534722222219</v>
      </c>
      <c r="I447" t="s">
        <v>156</v>
      </c>
      <c r="Z447">
        <v>77907</v>
      </c>
    </row>
    <row r="448" spans="1:26" x14ac:dyDescent="0.25">
      <c r="A448" t="s">
        <v>168</v>
      </c>
      <c r="B448" t="s">
        <v>26</v>
      </c>
      <c r="C448" t="s">
        <v>27</v>
      </c>
      <c r="H448" s="2">
        <v>45360.577777777777</v>
      </c>
      <c r="I448" t="s">
        <v>151</v>
      </c>
      <c r="Z448">
        <v>77874</v>
      </c>
    </row>
    <row r="449" spans="1:26" x14ac:dyDescent="0.25">
      <c r="A449" t="s">
        <v>980</v>
      </c>
      <c r="B449" t="s">
        <v>125</v>
      </c>
      <c r="C449" t="s">
        <v>27</v>
      </c>
      <c r="E449" t="s">
        <v>56</v>
      </c>
      <c r="H449" s="2">
        <v>45359.620833333334</v>
      </c>
      <c r="I449" t="s">
        <v>118</v>
      </c>
      <c r="Z449">
        <v>77842</v>
      </c>
    </row>
    <row r="450" spans="1:26" x14ac:dyDescent="0.25">
      <c r="A450" t="s">
        <v>142</v>
      </c>
      <c r="B450" t="s">
        <v>125</v>
      </c>
      <c r="C450" t="s">
        <v>143</v>
      </c>
      <c r="E450" t="s">
        <v>51</v>
      </c>
      <c r="H450" s="2">
        <v>45358.76666666667</v>
      </c>
      <c r="I450" t="s">
        <v>151</v>
      </c>
      <c r="Z450">
        <v>77799</v>
      </c>
    </row>
    <row r="451" spans="1:26" x14ac:dyDescent="0.25">
      <c r="A451" t="s">
        <v>981</v>
      </c>
      <c r="B451" t="s">
        <v>26</v>
      </c>
      <c r="C451" t="s">
        <v>27</v>
      </c>
      <c r="H451" s="2">
        <v>45358.551388888889</v>
      </c>
      <c r="I451" t="s">
        <v>139</v>
      </c>
      <c r="Z451">
        <v>77774</v>
      </c>
    </row>
    <row r="452" spans="1:26" x14ac:dyDescent="0.25">
      <c r="A452" t="s">
        <v>982</v>
      </c>
      <c r="C452" t="s">
        <v>27</v>
      </c>
      <c r="E452" t="s">
        <v>983</v>
      </c>
      <c r="H452" s="2">
        <v>45356.92291666667</v>
      </c>
      <c r="I452" t="s">
        <v>139</v>
      </c>
      <c r="Z452">
        <v>77682</v>
      </c>
    </row>
    <row r="453" spans="1:26" x14ac:dyDescent="0.25">
      <c r="A453" t="s">
        <v>87</v>
      </c>
      <c r="C453" t="s">
        <v>27</v>
      </c>
      <c r="E453" t="s">
        <v>62</v>
      </c>
      <c r="H453" s="2">
        <v>45356.838194444441</v>
      </c>
      <c r="I453" t="s">
        <v>156</v>
      </c>
      <c r="Z453">
        <v>77680</v>
      </c>
    </row>
    <row r="454" spans="1:26" x14ac:dyDescent="0.25">
      <c r="A454" t="s">
        <v>89</v>
      </c>
      <c r="B454" t="s">
        <v>74</v>
      </c>
      <c r="C454" t="s">
        <v>27</v>
      </c>
      <c r="E454" t="s">
        <v>51</v>
      </c>
      <c r="H454" s="2">
        <v>45356.629166666666</v>
      </c>
      <c r="I454" t="s">
        <v>118</v>
      </c>
      <c r="Z454">
        <v>77665</v>
      </c>
    </row>
    <row r="455" spans="1:26" x14ac:dyDescent="0.25">
      <c r="A455" t="s">
        <v>489</v>
      </c>
      <c r="B455" t="s">
        <v>125</v>
      </c>
      <c r="C455" t="s">
        <v>27</v>
      </c>
      <c r="E455" t="s">
        <v>984</v>
      </c>
      <c r="H455" s="2">
        <v>45355.847222222219</v>
      </c>
      <c r="I455" t="s">
        <v>137</v>
      </c>
      <c r="K455" t="s">
        <v>30</v>
      </c>
      <c r="L455" t="s">
        <v>31</v>
      </c>
      <c r="M455">
        <v>67127941</v>
      </c>
      <c r="N455">
        <v>15855619839</v>
      </c>
      <c r="O455" t="s">
        <v>985</v>
      </c>
      <c r="Z455">
        <v>77631</v>
      </c>
    </row>
    <row r="456" spans="1:26" x14ac:dyDescent="0.25">
      <c r="A456" t="s">
        <v>986</v>
      </c>
      <c r="B456" t="s">
        <v>26</v>
      </c>
      <c r="C456" t="s">
        <v>27</v>
      </c>
      <c r="H456" s="2">
        <v>45354.501388888886</v>
      </c>
      <c r="I456" t="s">
        <v>118</v>
      </c>
      <c r="Z456">
        <v>77532</v>
      </c>
    </row>
    <row r="457" spans="1:26" x14ac:dyDescent="0.25">
      <c r="A457" t="s">
        <v>987</v>
      </c>
      <c r="B457" t="s">
        <v>26</v>
      </c>
      <c r="C457" t="s">
        <v>60</v>
      </c>
      <c r="H457" s="2">
        <v>45353.522916666669</v>
      </c>
      <c r="I457" t="s">
        <v>139</v>
      </c>
      <c r="Z457">
        <v>77476</v>
      </c>
    </row>
    <row r="458" spans="1:26" x14ac:dyDescent="0.25">
      <c r="A458" t="s">
        <v>988</v>
      </c>
      <c r="B458" t="s">
        <v>26</v>
      </c>
      <c r="C458" t="s">
        <v>27</v>
      </c>
      <c r="H458" s="2">
        <v>45348.665277777778</v>
      </c>
      <c r="I458" t="s">
        <v>156</v>
      </c>
      <c r="Z458">
        <v>77148</v>
      </c>
    </row>
    <row r="459" spans="1:26" x14ac:dyDescent="0.25">
      <c r="A459" t="s">
        <v>989</v>
      </c>
      <c r="B459" t="s">
        <v>117</v>
      </c>
      <c r="C459" t="s">
        <v>27</v>
      </c>
      <c r="E459" t="s">
        <v>70</v>
      </c>
      <c r="H459" s="2">
        <v>45342.626388888886</v>
      </c>
      <c r="I459" t="s">
        <v>156</v>
      </c>
      <c r="Z459">
        <v>76777</v>
      </c>
    </row>
    <row r="460" spans="1:26" x14ac:dyDescent="0.25">
      <c r="A460" t="s">
        <v>990</v>
      </c>
      <c r="B460" t="s">
        <v>26</v>
      </c>
      <c r="C460" t="s">
        <v>27</v>
      </c>
      <c r="H460" s="2">
        <v>45342.592361111114</v>
      </c>
      <c r="I460" t="s">
        <v>118</v>
      </c>
      <c r="Z460">
        <v>76772</v>
      </c>
    </row>
    <row r="461" spans="1:26" x14ac:dyDescent="0.25">
      <c r="A461" t="s">
        <v>991</v>
      </c>
      <c r="B461" t="s">
        <v>26</v>
      </c>
      <c r="C461" t="s">
        <v>27</v>
      </c>
      <c r="H461" s="2">
        <v>45342.422222222223</v>
      </c>
      <c r="I461" t="s">
        <v>156</v>
      </c>
      <c r="Z461">
        <v>76740</v>
      </c>
    </row>
    <row r="462" spans="1:26" x14ac:dyDescent="0.25">
      <c r="A462" t="s">
        <v>992</v>
      </c>
      <c r="B462" t="s">
        <v>26</v>
      </c>
      <c r="C462" t="s">
        <v>27</v>
      </c>
      <c r="H462" s="2">
        <v>45341.688194444447</v>
      </c>
      <c r="I462" t="s">
        <v>156</v>
      </c>
      <c r="Z462">
        <v>76718</v>
      </c>
    </row>
    <row r="463" spans="1:26" x14ac:dyDescent="0.25">
      <c r="A463" t="s">
        <v>993</v>
      </c>
      <c r="B463" t="s">
        <v>26</v>
      </c>
      <c r="C463" t="s">
        <v>27</v>
      </c>
      <c r="H463" s="2">
        <v>45335.410416666666</v>
      </c>
      <c r="I463" t="s">
        <v>139</v>
      </c>
      <c r="Z463">
        <v>76312</v>
      </c>
    </row>
    <row r="464" spans="1:26" x14ac:dyDescent="0.25">
      <c r="A464" t="s">
        <v>994</v>
      </c>
      <c r="B464" t="s">
        <v>125</v>
      </c>
      <c r="C464" t="s">
        <v>27</v>
      </c>
      <c r="E464" t="s">
        <v>78</v>
      </c>
      <c r="H464" s="2">
        <v>45334.518750000003</v>
      </c>
      <c r="I464" t="s">
        <v>137</v>
      </c>
      <c r="Z464">
        <v>76278</v>
      </c>
    </row>
    <row r="465" spans="1:26" x14ac:dyDescent="0.25">
      <c r="A465" t="s">
        <v>995</v>
      </c>
      <c r="B465" t="s">
        <v>26</v>
      </c>
      <c r="C465" t="s">
        <v>27</v>
      </c>
      <c r="H465" s="2">
        <v>45331.743055555555</v>
      </c>
      <c r="I465" t="s">
        <v>166</v>
      </c>
      <c r="Z465">
        <v>76058</v>
      </c>
    </row>
    <row r="466" spans="1:26" x14ac:dyDescent="0.25">
      <c r="A466" t="s">
        <v>996</v>
      </c>
      <c r="B466" t="s">
        <v>26</v>
      </c>
      <c r="C466" t="s">
        <v>27</v>
      </c>
      <c r="H466" s="2">
        <v>45331.668749999997</v>
      </c>
      <c r="I466" t="s">
        <v>118</v>
      </c>
      <c r="Z466">
        <v>76048</v>
      </c>
    </row>
    <row r="467" spans="1:26" x14ac:dyDescent="0.25">
      <c r="A467" t="s">
        <v>997</v>
      </c>
      <c r="B467" t="s">
        <v>26</v>
      </c>
      <c r="C467" t="s">
        <v>27</v>
      </c>
      <c r="H467" s="2">
        <v>45331.609722222223</v>
      </c>
      <c r="I467" t="s">
        <v>166</v>
      </c>
      <c r="Z467">
        <v>76034</v>
      </c>
    </row>
    <row r="468" spans="1:26" x14ac:dyDescent="0.25">
      <c r="A468" t="s">
        <v>998</v>
      </c>
      <c r="B468" t="s">
        <v>26</v>
      </c>
      <c r="C468" t="s">
        <v>27</v>
      </c>
      <c r="H468" s="2">
        <v>45330.520833333336</v>
      </c>
      <c r="I468" t="s">
        <v>166</v>
      </c>
      <c r="Z468">
        <v>75963</v>
      </c>
    </row>
    <row r="469" spans="1:26" x14ac:dyDescent="0.25">
      <c r="A469" t="s">
        <v>999</v>
      </c>
      <c r="B469" t="s">
        <v>140</v>
      </c>
      <c r="C469" t="s">
        <v>27</v>
      </c>
      <c r="E469" t="s">
        <v>43</v>
      </c>
      <c r="H469" s="2">
        <v>45328.474999999999</v>
      </c>
      <c r="I469" t="s">
        <v>166</v>
      </c>
      <c r="K469" t="s">
        <v>30</v>
      </c>
      <c r="L469" t="s">
        <v>31</v>
      </c>
      <c r="M469">
        <v>67849537</v>
      </c>
      <c r="N469">
        <v>11953243867</v>
      </c>
      <c r="O469" t="s">
        <v>1000</v>
      </c>
      <c r="Z469">
        <v>75872</v>
      </c>
    </row>
    <row r="470" spans="1:26" x14ac:dyDescent="0.25">
      <c r="A470" t="s">
        <v>1001</v>
      </c>
      <c r="B470" t="s">
        <v>26</v>
      </c>
      <c r="C470" t="s">
        <v>27</v>
      </c>
      <c r="H470" s="2">
        <v>45323.168749999997</v>
      </c>
      <c r="I470" t="s">
        <v>29</v>
      </c>
      <c r="Z470">
        <v>75607</v>
      </c>
    </row>
    <row r="471" spans="1:26" x14ac:dyDescent="0.25">
      <c r="A471" t="s">
        <v>1002</v>
      </c>
      <c r="B471" t="s">
        <v>26</v>
      </c>
      <c r="C471" t="s">
        <v>27</v>
      </c>
      <c r="H471" s="2">
        <v>45321.638194444444</v>
      </c>
      <c r="I471" t="s">
        <v>166</v>
      </c>
      <c r="Z471">
        <v>75519</v>
      </c>
    </row>
    <row r="472" spans="1:26" x14ac:dyDescent="0.25">
      <c r="A472" t="s">
        <v>1003</v>
      </c>
      <c r="B472" t="s">
        <v>26</v>
      </c>
      <c r="C472" t="s">
        <v>27</v>
      </c>
      <c r="H472" s="2">
        <v>45320.739583333336</v>
      </c>
      <c r="I472" t="s">
        <v>118</v>
      </c>
      <c r="Z472">
        <v>75464</v>
      </c>
    </row>
    <row r="473" spans="1:26" x14ac:dyDescent="0.25">
      <c r="A473" t="s">
        <v>1004</v>
      </c>
      <c r="B473" t="s">
        <v>125</v>
      </c>
      <c r="C473" t="s">
        <v>27</v>
      </c>
      <c r="E473" t="s">
        <v>73</v>
      </c>
      <c r="G473" t="s">
        <v>1005</v>
      </c>
      <c r="H473" s="2">
        <v>45320.660416666666</v>
      </c>
      <c r="I473" t="s">
        <v>139</v>
      </c>
      <c r="K473" t="s">
        <v>30</v>
      </c>
      <c r="L473" t="s">
        <v>31</v>
      </c>
      <c r="M473">
        <v>67127941</v>
      </c>
      <c r="N473">
        <v>14952889145</v>
      </c>
      <c r="O473" t="s">
        <v>915</v>
      </c>
      <c r="Z473">
        <v>75456</v>
      </c>
    </row>
    <row r="474" spans="1:26" x14ac:dyDescent="0.25">
      <c r="A474" t="s">
        <v>1006</v>
      </c>
      <c r="B474" t="s">
        <v>131</v>
      </c>
      <c r="C474" t="s">
        <v>27</v>
      </c>
      <c r="E474" t="s">
        <v>1007</v>
      </c>
      <c r="H474" s="2">
        <v>45318.450694444444</v>
      </c>
      <c r="I474" t="s">
        <v>151</v>
      </c>
      <c r="Z474">
        <v>75311</v>
      </c>
    </row>
    <row r="475" spans="1:26" x14ac:dyDescent="0.25">
      <c r="A475" t="s">
        <v>1008</v>
      </c>
      <c r="B475" t="s">
        <v>26</v>
      </c>
      <c r="C475" t="s">
        <v>27</v>
      </c>
      <c r="H475" s="2">
        <v>45314.468055555553</v>
      </c>
      <c r="I475" t="s">
        <v>118</v>
      </c>
      <c r="Z475">
        <v>75044</v>
      </c>
    </row>
    <row r="476" spans="1:26" x14ac:dyDescent="0.25">
      <c r="A476" t="s">
        <v>1009</v>
      </c>
      <c r="B476" t="s">
        <v>26</v>
      </c>
      <c r="C476" t="s">
        <v>27</v>
      </c>
      <c r="H476" s="2">
        <v>45313.472222222219</v>
      </c>
      <c r="I476" t="s">
        <v>118</v>
      </c>
      <c r="Z476">
        <v>74950</v>
      </c>
    </row>
    <row r="477" spans="1:26" x14ac:dyDescent="0.25">
      <c r="A477" t="s">
        <v>1010</v>
      </c>
      <c r="B477" t="s">
        <v>117</v>
      </c>
      <c r="C477" t="s">
        <v>27</v>
      </c>
      <c r="E477" t="s">
        <v>1011</v>
      </c>
      <c r="H477" s="2">
        <v>45313.438194444447</v>
      </c>
      <c r="I477" t="s">
        <v>29</v>
      </c>
      <c r="Z477">
        <v>74941</v>
      </c>
    </row>
    <row r="478" spans="1:26" x14ac:dyDescent="0.25">
      <c r="A478" t="s">
        <v>1012</v>
      </c>
      <c r="B478" t="s">
        <v>117</v>
      </c>
      <c r="C478" t="s">
        <v>27</v>
      </c>
      <c r="E478" t="s">
        <v>55</v>
      </c>
      <c r="H478" s="2">
        <v>45311.57916666667</v>
      </c>
      <c r="I478" t="s">
        <v>151</v>
      </c>
      <c r="K478" t="s">
        <v>30</v>
      </c>
      <c r="L478" t="s">
        <v>31</v>
      </c>
      <c r="M478">
        <v>55887113</v>
      </c>
      <c r="N478">
        <v>9754620480</v>
      </c>
      <c r="O478" t="s">
        <v>812</v>
      </c>
      <c r="Z478">
        <v>74855</v>
      </c>
    </row>
    <row r="479" spans="1:26" x14ac:dyDescent="0.25">
      <c r="A479" t="s">
        <v>92</v>
      </c>
      <c r="C479" t="s">
        <v>27</v>
      </c>
      <c r="E479" t="s">
        <v>147</v>
      </c>
      <c r="H479" s="2">
        <v>45311.422222222223</v>
      </c>
      <c r="I479" t="s">
        <v>150</v>
      </c>
      <c r="Z479">
        <v>74841</v>
      </c>
    </row>
    <row r="480" spans="1:26" x14ac:dyDescent="0.25">
      <c r="A480" t="s">
        <v>1013</v>
      </c>
      <c r="B480" t="s">
        <v>26</v>
      </c>
      <c r="C480" t="s">
        <v>27</v>
      </c>
      <c r="H480" s="2">
        <v>45310.663888888892</v>
      </c>
      <c r="I480" t="s">
        <v>166</v>
      </c>
      <c r="Z480">
        <v>74823</v>
      </c>
    </row>
    <row r="481" spans="1:26" x14ac:dyDescent="0.25">
      <c r="A481" t="s">
        <v>1014</v>
      </c>
      <c r="B481" t="s">
        <v>26</v>
      </c>
      <c r="C481" t="s">
        <v>27</v>
      </c>
      <c r="H481" s="2">
        <v>45310.467361111114</v>
      </c>
      <c r="I481" t="s">
        <v>166</v>
      </c>
      <c r="Z481">
        <v>74792</v>
      </c>
    </row>
    <row r="482" spans="1:26" x14ac:dyDescent="0.25">
      <c r="A482" t="s">
        <v>1015</v>
      </c>
      <c r="B482" t="s">
        <v>26</v>
      </c>
      <c r="C482" t="s">
        <v>27</v>
      </c>
      <c r="H482" s="2">
        <v>45309.456250000003</v>
      </c>
      <c r="I482" t="s">
        <v>166</v>
      </c>
      <c r="Z482">
        <v>74733</v>
      </c>
    </row>
    <row r="483" spans="1:26" x14ac:dyDescent="0.25">
      <c r="A483" t="s">
        <v>1016</v>
      </c>
      <c r="B483" t="s">
        <v>26</v>
      </c>
      <c r="C483" t="s">
        <v>27</v>
      </c>
      <c r="H483" s="2">
        <v>45307.820138888892</v>
      </c>
      <c r="I483" t="s">
        <v>166</v>
      </c>
      <c r="Z483">
        <v>74645</v>
      </c>
    </row>
    <row r="484" spans="1:26" x14ac:dyDescent="0.25">
      <c r="A484" t="s">
        <v>1017</v>
      </c>
      <c r="B484" t="s">
        <v>26</v>
      </c>
      <c r="C484" t="s">
        <v>27</v>
      </c>
      <c r="H484" s="2">
        <v>45307.605555555558</v>
      </c>
      <c r="I484" t="s">
        <v>166</v>
      </c>
      <c r="Z484">
        <v>74616</v>
      </c>
    </row>
    <row r="485" spans="1:26" x14ac:dyDescent="0.25">
      <c r="A485" t="s">
        <v>1018</v>
      </c>
      <c r="B485" t="s">
        <v>26</v>
      </c>
      <c r="C485" t="s">
        <v>27</v>
      </c>
      <c r="H485" s="2">
        <v>45298.638194444444</v>
      </c>
      <c r="I485" t="s">
        <v>118</v>
      </c>
      <c r="Z485">
        <v>74025</v>
      </c>
    </row>
    <row r="486" spans="1:26" x14ac:dyDescent="0.25">
      <c r="A486" t="s">
        <v>1019</v>
      </c>
      <c r="B486" t="s">
        <v>117</v>
      </c>
      <c r="C486" t="s">
        <v>27</v>
      </c>
      <c r="E486" t="s">
        <v>1020</v>
      </c>
      <c r="H486" s="2">
        <v>45297.840277777781</v>
      </c>
      <c r="I486" t="s">
        <v>84</v>
      </c>
      <c r="K486" t="s">
        <v>30</v>
      </c>
      <c r="L486" t="s">
        <v>31</v>
      </c>
      <c r="M486">
        <v>67127941</v>
      </c>
      <c r="N486">
        <v>14952889111</v>
      </c>
      <c r="O486" t="s">
        <v>83</v>
      </c>
      <c r="Z486">
        <v>73990</v>
      </c>
    </row>
    <row r="487" spans="1:26" x14ac:dyDescent="0.25">
      <c r="A487" t="s">
        <v>754</v>
      </c>
      <c r="B487" t="s">
        <v>131</v>
      </c>
      <c r="C487" t="s">
        <v>27</v>
      </c>
      <c r="E487" t="s">
        <v>53</v>
      </c>
      <c r="H487" s="2">
        <v>45296.60833333333</v>
      </c>
      <c r="I487" t="s">
        <v>29</v>
      </c>
      <c r="Z487">
        <v>73902</v>
      </c>
    </row>
    <row r="488" spans="1:26" x14ac:dyDescent="0.25">
      <c r="A488" t="s">
        <v>1021</v>
      </c>
      <c r="B488" t="s">
        <v>26</v>
      </c>
      <c r="C488" t="s">
        <v>27</v>
      </c>
      <c r="H488" s="2">
        <v>45288.556944444441</v>
      </c>
      <c r="I488" t="s">
        <v>166</v>
      </c>
      <c r="Z488">
        <v>72454</v>
      </c>
    </row>
    <row r="489" spans="1:26" x14ac:dyDescent="0.25">
      <c r="A489" t="s">
        <v>1022</v>
      </c>
      <c r="B489" t="s">
        <v>131</v>
      </c>
      <c r="C489" t="s">
        <v>27</v>
      </c>
      <c r="E489" t="s">
        <v>80</v>
      </c>
      <c r="H489" s="2">
        <v>45287.885416666664</v>
      </c>
      <c r="I489" t="s">
        <v>166</v>
      </c>
      <c r="Z489">
        <v>72417</v>
      </c>
    </row>
    <row r="490" spans="1:26" x14ac:dyDescent="0.25">
      <c r="A490" t="s">
        <v>1023</v>
      </c>
      <c r="B490" t="s">
        <v>131</v>
      </c>
      <c r="C490" t="s">
        <v>27</v>
      </c>
      <c r="E490" t="s">
        <v>159</v>
      </c>
      <c r="H490" s="2">
        <v>45284.96875</v>
      </c>
      <c r="I490" t="s">
        <v>84</v>
      </c>
      <c r="Z490">
        <v>72205</v>
      </c>
    </row>
    <row r="491" spans="1:26" x14ac:dyDescent="0.25">
      <c r="A491" t="s">
        <v>1024</v>
      </c>
      <c r="B491" t="s">
        <v>117</v>
      </c>
      <c r="C491" t="s">
        <v>27</v>
      </c>
      <c r="E491" t="s">
        <v>1025</v>
      </c>
      <c r="G491" t="s">
        <v>1026</v>
      </c>
      <c r="H491" s="2">
        <v>45283.642361111109</v>
      </c>
      <c r="I491" t="s">
        <v>151</v>
      </c>
      <c r="K491" t="s">
        <v>30</v>
      </c>
      <c r="L491" t="s">
        <v>31</v>
      </c>
      <c r="M491">
        <v>55887113</v>
      </c>
      <c r="N491">
        <v>9754620472</v>
      </c>
      <c r="O491" t="s">
        <v>812</v>
      </c>
      <c r="Z491">
        <v>72173</v>
      </c>
    </row>
    <row r="492" spans="1:26" x14ac:dyDescent="0.25">
      <c r="A492" t="s">
        <v>1027</v>
      </c>
      <c r="B492" t="s">
        <v>26</v>
      </c>
      <c r="C492" t="s">
        <v>27</v>
      </c>
      <c r="H492" s="2">
        <v>45282.784722222219</v>
      </c>
      <c r="I492" t="s">
        <v>156</v>
      </c>
      <c r="Z492">
        <v>72135</v>
      </c>
    </row>
    <row r="493" spans="1:26" x14ac:dyDescent="0.25">
      <c r="A493" t="s">
        <v>1028</v>
      </c>
      <c r="B493" t="s">
        <v>26</v>
      </c>
      <c r="C493" t="s">
        <v>27</v>
      </c>
      <c r="H493" s="2">
        <v>45281.433333333334</v>
      </c>
      <c r="I493" t="s">
        <v>84</v>
      </c>
      <c r="Z493">
        <v>72020</v>
      </c>
    </row>
    <row r="494" spans="1:26" x14ac:dyDescent="0.25">
      <c r="A494" t="s">
        <v>1029</v>
      </c>
      <c r="B494" t="s">
        <v>26</v>
      </c>
      <c r="C494" t="s">
        <v>27</v>
      </c>
      <c r="H494" s="2">
        <v>45279.668055555558</v>
      </c>
      <c r="I494" t="s">
        <v>150</v>
      </c>
      <c r="Z494">
        <v>71935</v>
      </c>
    </row>
    <row r="495" spans="1:26" x14ac:dyDescent="0.25">
      <c r="A495" t="s">
        <v>1030</v>
      </c>
      <c r="B495" t="s">
        <v>26</v>
      </c>
      <c r="C495" t="s">
        <v>27</v>
      </c>
      <c r="H495" s="2">
        <v>45278.677083333336</v>
      </c>
      <c r="I495" t="s">
        <v>150</v>
      </c>
      <c r="Z495">
        <v>71872</v>
      </c>
    </row>
    <row r="496" spans="1:26" x14ac:dyDescent="0.25">
      <c r="A496" t="s">
        <v>1031</v>
      </c>
      <c r="B496" t="s">
        <v>26</v>
      </c>
      <c r="C496" t="s">
        <v>27</v>
      </c>
      <c r="H496" s="2">
        <v>45275.811111111114</v>
      </c>
      <c r="I496" t="s">
        <v>29</v>
      </c>
      <c r="Z496">
        <v>71745</v>
      </c>
    </row>
    <row r="497" spans="1:26" x14ac:dyDescent="0.25">
      <c r="A497" t="s">
        <v>87</v>
      </c>
      <c r="C497" t="s">
        <v>27</v>
      </c>
      <c r="E497" t="s">
        <v>45</v>
      </c>
      <c r="H497" s="2">
        <v>45275.631944444445</v>
      </c>
      <c r="I497" t="s">
        <v>84</v>
      </c>
      <c r="Z497">
        <v>71721</v>
      </c>
    </row>
    <row r="498" spans="1:26" x14ac:dyDescent="0.25">
      <c r="A498" t="s">
        <v>1032</v>
      </c>
      <c r="B498" t="s">
        <v>26</v>
      </c>
      <c r="C498" t="s">
        <v>27</v>
      </c>
      <c r="H498" s="2">
        <v>45274.474305555559</v>
      </c>
      <c r="I498" t="s">
        <v>139</v>
      </c>
      <c r="Z498">
        <v>71598</v>
      </c>
    </row>
    <row r="499" spans="1:26" x14ac:dyDescent="0.25">
      <c r="A499" t="s">
        <v>167</v>
      </c>
      <c r="B499" t="s">
        <v>26</v>
      </c>
      <c r="C499" t="s">
        <v>27</v>
      </c>
      <c r="H499" s="2">
        <v>45273.529861111114</v>
      </c>
      <c r="I499" t="s">
        <v>166</v>
      </c>
      <c r="Z499">
        <v>71511</v>
      </c>
    </row>
    <row r="500" spans="1:26" x14ac:dyDescent="0.25">
      <c r="A500" t="s">
        <v>1033</v>
      </c>
      <c r="B500" t="s">
        <v>26</v>
      </c>
      <c r="C500" t="s">
        <v>27</v>
      </c>
      <c r="H500" s="2">
        <v>45268.62222222222</v>
      </c>
      <c r="I500" t="s">
        <v>166</v>
      </c>
      <c r="Z500">
        <v>71146</v>
      </c>
    </row>
    <row r="501" spans="1:26" x14ac:dyDescent="0.25">
      <c r="A501" t="s">
        <v>1034</v>
      </c>
      <c r="B501" t="s">
        <v>26</v>
      </c>
      <c r="C501" t="s">
        <v>27</v>
      </c>
      <c r="H501" s="2">
        <v>45267.697222222225</v>
      </c>
      <c r="I501" t="s">
        <v>151</v>
      </c>
      <c r="Z501">
        <v>71070</v>
      </c>
    </row>
    <row r="502" spans="1:26" x14ac:dyDescent="0.25">
      <c r="A502" t="s">
        <v>1035</v>
      </c>
      <c r="B502" t="s">
        <v>26</v>
      </c>
      <c r="C502" t="s">
        <v>60</v>
      </c>
      <c r="H502" s="2">
        <v>45264.463888888888</v>
      </c>
      <c r="I502" t="s">
        <v>29</v>
      </c>
      <c r="Z502">
        <v>70719</v>
      </c>
    </row>
    <row r="503" spans="1:26" x14ac:dyDescent="0.25">
      <c r="A503" t="s">
        <v>1036</v>
      </c>
      <c r="B503" t="s">
        <v>26</v>
      </c>
      <c r="C503" t="s">
        <v>27</v>
      </c>
      <c r="H503" s="2">
        <v>45261.495138888888</v>
      </c>
      <c r="I503" t="s">
        <v>166</v>
      </c>
      <c r="Z503">
        <v>70551</v>
      </c>
    </row>
    <row r="504" spans="1:26" x14ac:dyDescent="0.25">
      <c r="A504" t="s">
        <v>1037</v>
      </c>
      <c r="B504" t="s">
        <v>26</v>
      </c>
      <c r="C504" t="s">
        <v>27</v>
      </c>
      <c r="H504" s="2">
        <v>45261.464583333334</v>
      </c>
      <c r="I504" t="s">
        <v>139</v>
      </c>
      <c r="Z504">
        <v>70543</v>
      </c>
    </row>
    <row r="505" spans="1:26" x14ac:dyDescent="0.25">
      <c r="A505" t="s">
        <v>1038</v>
      </c>
      <c r="B505" t="s">
        <v>26</v>
      </c>
      <c r="C505" t="s">
        <v>27</v>
      </c>
      <c r="H505" s="2">
        <v>45258.543055555558</v>
      </c>
      <c r="I505" t="s">
        <v>166</v>
      </c>
      <c r="Z505">
        <v>70345</v>
      </c>
    </row>
    <row r="506" spans="1:26" x14ac:dyDescent="0.25">
      <c r="A506" t="s">
        <v>1039</v>
      </c>
      <c r="B506" t="s">
        <v>26</v>
      </c>
      <c r="C506" t="s">
        <v>27</v>
      </c>
      <c r="H506" s="2">
        <v>45257.711805555555</v>
      </c>
      <c r="I506" t="s">
        <v>166</v>
      </c>
      <c r="Z506">
        <v>70295</v>
      </c>
    </row>
    <row r="507" spans="1:26" x14ac:dyDescent="0.25">
      <c r="A507" t="s">
        <v>1040</v>
      </c>
      <c r="B507" t="s">
        <v>125</v>
      </c>
      <c r="C507" t="s">
        <v>27</v>
      </c>
      <c r="E507">
        <v>2454066</v>
      </c>
      <c r="H507" s="2">
        <v>45257.668749999997</v>
      </c>
      <c r="I507" t="s">
        <v>29</v>
      </c>
      <c r="K507" t="s">
        <v>30</v>
      </c>
      <c r="L507" t="s">
        <v>31</v>
      </c>
      <c r="M507">
        <v>55887113</v>
      </c>
      <c r="N507">
        <v>9754620472</v>
      </c>
      <c r="O507" t="s">
        <v>812</v>
      </c>
      <c r="Z507">
        <v>70284</v>
      </c>
    </row>
    <row r="508" spans="1:26" x14ac:dyDescent="0.25">
      <c r="A508" t="s">
        <v>1041</v>
      </c>
      <c r="B508" t="s">
        <v>26</v>
      </c>
      <c r="C508" t="s">
        <v>27</v>
      </c>
      <c r="H508" s="2">
        <v>45257.545138888891</v>
      </c>
      <c r="I508" t="s">
        <v>166</v>
      </c>
      <c r="Z508">
        <v>70262</v>
      </c>
    </row>
    <row r="509" spans="1:26" x14ac:dyDescent="0.25">
      <c r="A509" t="s">
        <v>1042</v>
      </c>
      <c r="B509" t="s">
        <v>26</v>
      </c>
      <c r="C509" t="s">
        <v>27</v>
      </c>
      <c r="H509" s="2">
        <v>45255.814583333333</v>
      </c>
      <c r="I509" t="s">
        <v>29</v>
      </c>
      <c r="Z509">
        <v>70189</v>
      </c>
    </row>
    <row r="510" spans="1:26" x14ac:dyDescent="0.25">
      <c r="A510" t="s">
        <v>92</v>
      </c>
      <c r="C510" t="s">
        <v>27</v>
      </c>
      <c r="E510" t="s">
        <v>56</v>
      </c>
      <c r="H510" s="2">
        <v>45254.382638888892</v>
      </c>
      <c r="I510" t="s">
        <v>29</v>
      </c>
      <c r="Z510">
        <v>70110</v>
      </c>
    </row>
    <row r="511" spans="1:26" x14ac:dyDescent="0.25">
      <c r="A511" t="s">
        <v>170</v>
      </c>
      <c r="B511" t="s">
        <v>26</v>
      </c>
      <c r="C511" t="s">
        <v>27</v>
      </c>
      <c r="H511" s="2">
        <v>45250.615277777775</v>
      </c>
      <c r="I511" t="s">
        <v>29</v>
      </c>
      <c r="Z511">
        <v>69867</v>
      </c>
    </row>
    <row r="512" spans="1:26" x14ac:dyDescent="0.25">
      <c r="A512" t="s">
        <v>1043</v>
      </c>
      <c r="B512" t="s">
        <v>26</v>
      </c>
      <c r="C512" t="s">
        <v>27</v>
      </c>
      <c r="H512" s="2">
        <v>45246.425000000003</v>
      </c>
      <c r="I512" t="s">
        <v>156</v>
      </c>
      <c r="Z512">
        <v>69441</v>
      </c>
    </row>
    <row r="513" spans="1:26" x14ac:dyDescent="0.25">
      <c r="A513" t="s">
        <v>1044</v>
      </c>
      <c r="B513" t="s">
        <v>117</v>
      </c>
      <c r="C513" t="s">
        <v>27</v>
      </c>
      <c r="E513" t="s">
        <v>78</v>
      </c>
      <c r="H513" s="2">
        <v>45245.427777777775</v>
      </c>
      <c r="I513" t="s">
        <v>166</v>
      </c>
      <c r="K513" t="s">
        <v>30</v>
      </c>
      <c r="L513" t="s">
        <v>31</v>
      </c>
      <c r="M513">
        <v>55887113</v>
      </c>
      <c r="N513">
        <v>9754620472</v>
      </c>
      <c r="O513" t="s">
        <v>812</v>
      </c>
      <c r="Z513">
        <v>69339</v>
      </c>
    </row>
    <row r="514" spans="1:26" x14ac:dyDescent="0.25">
      <c r="A514" t="s">
        <v>1045</v>
      </c>
      <c r="B514" t="s">
        <v>26</v>
      </c>
      <c r="C514" t="s">
        <v>27</v>
      </c>
      <c r="H514" s="2">
        <v>45244.688888888886</v>
      </c>
      <c r="I514" t="s">
        <v>84</v>
      </c>
      <c r="Z514">
        <v>69308</v>
      </c>
    </row>
    <row r="515" spans="1:26" x14ac:dyDescent="0.25">
      <c r="A515" t="s">
        <v>1046</v>
      </c>
      <c r="B515" t="s">
        <v>26</v>
      </c>
      <c r="C515" t="s">
        <v>27</v>
      </c>
      <c r="H515" s="2">
        <v>45244.657638888886</v>
      </c>
      <c r="I515" t="s">
        <v>139</v>
      </c>
      <c r="Z515">
        <v>69297</v>
      </c>
    </row>
    <row r="516" spans="1:26" x14ac:dyDescent="0.25">
      <c r="A516" t="s">
        <v>1047</v>
      </c>
      <c r="B516" t="s">
        <v>26</v>
      </c>
      <c r="C516" t="s">
        <v>27</v>
      </c>
      <c r="H516" s="2">
        <v>45244.381249999999</v>
      </c>
      <c r="I516" t="s">
        <v>139</v>
      </c>
      <c r="Z516">
        <v>69241</v>
      </c>
    </row>
    <row r="517" spans="1:26" x14ac:dyDescent="0.25">
      <c r="A517" t="s">
        <v>1048</v>
      </c>
      <c r="B517" t="s">
        <v>46</v>
      </c>
      <c r="C517" t="s">
        <v>27</v>
      </c>
      <c r="E517" t="s">
        <v>45</v>
      </c>
      <c r="G517" t="s">
        <v>113</v>
      </c>
      <c r="H517" s="2">
        <v>45243.973611111112</v>
      </c>
      <c r="I517" t="s">
        <v>29</v>
      </c>
      <c r="Z517">
        <v>69237</v>
      </c>
    </row>
    <row r="518" spans="1:26" x14ac:dyDescent="0.25">
      <c r="A518" t="s">
        <v>1049</v>
      </c>
      <c r="C518" t="s">
        <v>27</v>
      </c>
      <c r="E518" t="s">
        <v>51</v>
      </c>
      <c r="H518" s="2">
        <v>45243.788194444445</v>
      </c>
      <c r="I518" t="s">
        <v>156</v>
      </c>
      <c r="Z518">
        <v>69232</v>
      </c>
    </row>
    <row r="519" spans="1:26" x14ac:dyDescent="0.25">
      <c r="A519" t="s">
        <v>89</v>
      </c>
      <c r="B519" t="s">
        <v>74</v>
      </c>
      <c r="C519" t="s">
        <v>27</v>
      </c>
      <c r="E519" t="s">
        <v>1050</v>
      </c>
      <c r="H519" s="2">
        <v>45241.754861111112</v>
      </c>
      <c r="I519" t="s">
        <v>150</v>
      </c>
      <c r="Z519">
        <v>69057</v>
      </c>
    </row>
    <row r="520" spans="1:26" x14ac:dyDescent="0.25">
      <c r="A520" t="s">
        <v>1051</v>
      </c>
      <c r="B520" t="s">
        <v>26</v>
      </c>
      <c r="C520" t="s">
        <v>27</v>
      </c>
      <c r="H520" s="2">
        <v>45238.40625</v>
      </c>
      <c r="I520" t="s">
        <v>156</v>
      </c>
      <c r="Z520">
        <v>68755</v>
      </c>
    </row>
    <row r="521" spans="1:26" x14ac:dyDescent="0.25">
      <c r="A521" t="s">
        <v>1052</v>
      </c>
      <c r="B521" t="s">
        <v>26</v>
      </c>
      <c r="C521" t="s">
        <v>27</v>
      </c>
      <c r="H521" s="2">
        <v>45237.595833333333</v>
      </c>
      <c r="I521" t="s">
        <v>84</v>
      </c>
      <c r="Z521">
        <v>68716</v>
      </c>
    </row>
    <row r="522" spans="1:26" x14ac:dyDescent="0.25">
      <c r="A522" t="s">
        <v>1053</v>
      </c>
      <c r="C522" t="s">
        <v>27</v>
      </c>
      <c r="E522" t="s">
        <v>95</v>
      </c>
      <c r="H522" s="2">
        <v>45236.974999999999</v>
      </c>
      <c r="I522" t="s">
        <v>29</v>
      </c>
      <c r="Z522">
        <v>68657</v>
      </c>
    </row>
    <row r="523" spans="1:26" x14ac:dyDescent="0.25">
      <c r="A523" t="s">
        <v>1054</v>
      </c>
      <c r="B523" t="s">
        <v>117</v>
      </c>
      <c r="C523" t="s">
        <v>27</v>
      </c>
      <c r="E523" t="s">
        <v>198</v>
      </c>
      <c r="H523" s="2">
        <v>45234.634722222225</v>
      </c>
      <c r="I523" t="s">
        <v>166</v>
      </c>
      <c r="K523" t="s">
        <v>30</v>
      </c>
      <c r="L523" t="s">
        <v>31</v>
      </c>
      <c r="M523">
        <v>67127941</v>
      </c>
      <c r="N523">
        <v>13178684975</v>
      </c>
      <c r="O523" t="s">
        <v>83</v>
      </c>
      <c r="Z523">
        <v>68486</v>
      </c>
    </row>
    <row r="524" spans="1:26" x14ac:dyDescent="0.25">
      <c r="A524" t="s">
        <v>1055</v>
      </c>
      <c r="B524" t="s">
        <v>26</v>
      </c>
      <c r="C524" t="s">
        <v>27</v>
      </c>
      <c r="H524" s="2">
        <v>45233.429861111108</v>
      </c>
      <c r="I524" t="s">
        <v>166</v>
      </c>
      <c r="Z524">
        <v>68335</v>
      </c>
    </row>
    <row r="525" spans="1:26" x14ac:dyDescent="0.25">
      <c r="A525" t="s">
        <v>1056</v>
      </c>
      <c r="B525" t="s">
        <v>26</v>
      </c>
      <c r="C525" t="s">
        <v>27</v>
      </c>
      <c r="H525" s="2">
        <v>45232.443055555559</v>
      </c>
      <c r="I525" t="s">
        <v>29</v>
      </c>
      <c r="Z525">
        <v>68253</v>
      </c>
    </row>
    <row r="526" spans="1:26" x14ac:dyDescent="0.25">
      <c r="A526" t="s">
        <v>1057</v>
      </c>
      <c r="B526" t="s">
        <v>125</v>
      </c>
      <c r="C526" t="s">
        <v>27</v>
      </c>
      <c r="E526" t="s">
        <v>1058</v>
      </c>
      <c r="H526" s="2">
        <v>45230.912499999999</v>
      </c>
      <c r="I526" t="s">
        <v>151</v>
      </c>
      <c r="Z526">
        <v>68174</v>
      </c>
    </row>
    <row r="527" spans="1:26" x14ac:dyDescent="0.25">
      <c r="A527" t="s">
        <v>1059</v>
      </c>
      <c r="B527" t="s">
        <v>26</v>
      </c>
      <c r="C527" t="s">
        <v>27</v>
      </c>
      <c r="H527" s="2">
        <v>45230.623611111114</v>
      </c>
      <c r="I527" t="s">
        <v>151</v>
      </c>
      <c r="Z527">
        <v>68146</v>
      </c>
    </row>
    <row r="528" spans="1:26" x14ac:dyDescent="0.25">
      <c r="A528" t="s">
        <v>1060</v>
      </c>
      <c r="B528" t="s">
        <v>26</v>
      </c>
      <c r="C528" t="s">
        <v>27</v>
      </c>
      <c r="H528" s="2">
        <v>45230.543055555558</v>
      </c>
      <c r="I528" t="s">
        <v>139</v>
      </c>
      <c r="Z528">
        <v>68123</v>
      </c>
    </row>
    <row r="529" spans="1:26" x14ac:dyDescent="0.25">
      <c r="A529" t="s">
        <v>1061</v>
      </c>
      <c r="B529" t="s">
        <v>26</v>
      </c>
      <c r="C529" t="s">
        <v>27</v>
      </c>
      <c r="H529" s="2">
        <v>45227.59652777778</v>
      </c>
      <c r="I529" t="s">
        <v>29</v>
      </c>
      <c r="Z529">
        <v>67923</v>
      </c>
    </row>
    <row r="530" spans="1:26" x14ac:dyDescent="0.25">
      <c r="A530" t="s">
        <v>1062</v>
      </c>
      <c r="B530" t="s">
        <v>26</v>
      </c>
      <c r="C530" t="s">
        <v>27</v>
      </c>
      <c r="H530" s="2">
        <v>45226.532638888886</v>
      </c>
      <c r="I530" t="s">
        <v>166</v>
      </c>
      <c r="Z530">
        <v>67844</v>
      </c>
    </row>
    <row r="531" spans="1:26" x14ac:dyDescent="0.25">
      <c r="A531" t="s">
        <v>1063</v>
      </c>
      <c r="B531" t="s">
        <v>26</v>
      </c>
      <c r="C531" t="s">
        <v>27</v>
      </c>
      <c r="H531" s="2">
        <v>45226.47152777778</v>
      </c>
      <c r="I531" t="s">
        <v>166</v>
      </c>
      <c r="Z531">
        <v>67825</v>
      </c>
    </row>
    <row r="532" spans="1:26" x14ac:dyDescent="0.25">
      <c r="A532" t="s">
        <v>1064</v>
      </c>
      <c r="B532" t="s">
        <v>117</v>
      </c>
      <c r="C532" t="s">
        <v>27</v>
      </c>
      <c r="E532" t="s">
        <v>76</v>
      </c>
      <c r="G532" t="s">
        <v>1065</v>
      </c>
      <c r="H532" s="2">
        <v>45221.7</v>
      </c>
      <c r="I532" t="s">
        <v>29</v>
      </c>
      <c r="K532" t="s">
        <v>30</v>
      </c>
      <c r="L532" t="s">
        <v>31</v>
      </c>
      <c r="M532">
        <v>55887113</v>
      </c>
      <c r="N532">
        <v>9754620480</v>
      </c>
      <c r="O532" t="s">
        <v>1066</v>
      </c>
      <c r="Z532">
        <v>67316</v>
      </c>
    </row>
    <row r="533" spans="1:26" x14ac:dyDescent="0.25">
      <c r="A533" t="s">
        <v>1067</v>
      </c>
      <c r="B533" t="s">
        <v>26</v>
      </c>
      <c r="C533" t="s">
        <v>27</v>
      </c>
      <c r="H533" s="2">
        <v>45216.581944444442</v>
      </c>
      <c r="I533" t="s">
        <v>84</v>
      </c>
      <c r="Z533">
        <v>66916</v>
      </c>
    </row>
    <row r="534" spans="1:26" x14ac:dyDescent="0.25">
      <c r="A534" t="s">
        <v>1068</v>
      </c>
      <c r="C534" t="s">
        <v>27</v>
      </c>
      <c r="E534" t="s">
        <v>1069</v>
      </c>
      <c r="H534" s="2">
        <v>45215.689583333333</v>
      </c>
      <c r="I534" t="s">
        <v>29</v>
      </c>
      <c r="Z534">
        <v>66854</v>
      </c>
    </row>
    <row r="535" spans="1:26" x14ac:dyDescent="0.25">
      <c r="A535" t="s">
        <v>142</v>
      </c>
      <c r="B535" t="s">
        <v>125</v>
      </c>
      <c r="C535" t="s">
        <v>77</v>
      </c>
      <c r="E535" t="s">
        <v>51</v>
      </c>
      <c r="H535" s="2">
        <v>45213.5625</v>
      </c>
      <c r="I535" t="s">
        <v>151</v>
      </c>
      <c r="Z535">
        <v>66690</v>
      </c>
    </row>
    <row r="536" spans="1:26" x14ac:dyDescent="0.25">
      <c r="A536" t="s">
        <v>182</v>
      </c>
      <c r="B536" t="s">
        <v>125</v>
      </c>
      <c r="C536" t="s">
        <v>27</v>
      </c>
      <c r="E536" t="s">
        <v>76</v>
      </c>
      <c r="H536" s="2">
        <v>45213.404861111114</v>
      </c>
      <c r="I536" t="s">
        <v>151</v>
      </c>
      <c r="Z536">
        <v>66670</v>
      </c>
    </row>
    <row r="537" spans="1:26" x14ac:dyDescent="0.25">
      <c r="A537" t="s">
        <v>195</v>
      </c>
      <c r="B537" t="s">
        <v>26</v>
      </c>
      <c r="C537" t="s">
        <v>27</v>
      </c>
      <c r="H537" s="2">
        <v>45212.506944444445</v>
      </c>
      <c r="I537" t="s">
        <v>150</v>
      </c>
      <c r="Z537">
        <v>66609</v>
      </c>
    </row>
    <row r="538" spans="1:26" x14ac:dyDescent="0.25">
      <c r="A538" t="s">
        <v>1070</v>
      </c>
      <c r="B538" t="s">
        <v>26</v>
      </c>
      <c r="C538" t="s">
        <v>27</v>
      </c>
      <c r="H538" s="2">
        <v>45211.747916666667</v>
      </c>
      <c r="I538" t="s">
        <v>150</v>
      </c>
      <c r="Z538">
        <v>66581</v>
      </c>
    </row>
    <row r="539" spans="1:26" x14ac:dyDescent="0.25">
      <c r="A539" t="s">
        <v>1071</v>
      </c>
      <c r="B539" t="s">
        <v>131</v>
      </c>
      <c r="C539" t="s">
        <v>27</v>
      </c>
      <c r="H539" s="2">
        <v>45210.823611111111</v>
      </c>
      <c r="I539" t="s">
        <v>118</v>
      </c>
      <c r="Z539">
        <v>66509</v>
      </c>
    </row>
    <row r="540" spans="1:26" x14ac:dyDescent="0.25">
      <c r="A540" t="s">
        <v>1072</v>
      </c>
      <c r="B540" t="s">
        <v>26</v>
      </c>
      <c r="C540" t="s">
        <v>27</v>
      </c>
      <c r="H540" s="2">
        <v>45208.57916666667</v>
      </c>
      <c r="I540" t="s">
        <v>29</v>
      </c>
      <c r="Z540">
        <v>66343</v>
      </c>
    </row>
    <row r="541" spans="1:26" x14ac:dyDescent="0.25">
      <c r="A541" t="s">
        <v>142</v>
      </c>
      <c r="B541" t="s">
        <v>117</v>
      </c>
      <c r="C541" t="s">
        <v>27</v>
      </c>
      <c r="E541" t="s">
        <v>51</v>
      </c>
      <c r="H541" s="2">
        <v>45208.537499999999</v>
      </c>
      <c r="I541" t="s">
        <v>29</v>
      </c>
      <c r="Z541">
        <v>66339</v>
      </c>
    </row>
    <row r="542" spans="1:26" x14ac:dyDescent="0.25">
      <c r="A542" t="s">
        <v>1073</v>
      </c>
      <c r="B542" t="s">
        <v>26</v>
      </c>
      <c r="C542" t="s">
        <v>27</v>
      </c>
      <c r="H542" s="2">
        <v>45206.718055555553</v>
      </c>
      <c r="I542" t="s">
        <v>150</v>
      </c>
      <c r="Z542">
        <v>66253</v>
      </c>
    </row>
    <row r="543" spans="1:26" x14ac:dyDescent="0.25">
      <c r="A543" t="s">
        <v>1074</v>
      </c>
      <c r="B543" t="s">
        <v>26</v>
      </c>
      <c r="C543" t="s">
        <v>27</v>
      </c>
      <c r="H543" s="2">
        <v>45205.472916666666</v>
      </c>
      <c r="I543" t="s">
        <v>150</v>
      </c>
      <c r="Z543">
        <v>66171</v>
      </c>
    </row>
    <row r="544" spans="1:26" x14ac:dyDescent="0.25">
      <c r="A544" t="s">
        <v>92</v>
      </c>
      <c r="C544" t="s">
        <v>27</v>
      </c>
      <c r="E544" t="s">
        <v>944</v>
      </c>
      <c r="H544" s="2">
        <v>45205.396527777775</v>
      </c>
      <c r="I544" t="s">
        <v>150</v>
      </c>
      <c r="Z544">
        <v>66155</v>
      </c>
    </row>
    <row r="545" spans="1:26" x14ac:dyDescent="0.25">
      <c r="A545" t="s">
        <v>1075</v>
      </c>
      <c r="B545" t="s">
        <v>26</v>
      </c>
      <c r="C545" t="s">
        <v>27</v>
      </c>
      <c r="H545" s="2">
        <v>45202.75277777778</v>
      </c>
      <c r="I545" t="s">
        <v>156</v>
      </c>
      <c r="Z545">
        <v>66028</v>
      </c>
    </row>
    <row r="546" spans="1:26" x14ac:dyDescent="0.25">
      <c r="A546" t="s">
        <v>1076</v>
      </c>
      <c r="B546" t="s">
        <v>26</v>
      </c>
      <c r="C546" t="s">
        <v>27</v>
      </c>
      <c r="H546" s="2">
        <v>45202.418055555558</v>
      </c>
      <c r="I546" t="s">
        <v>132</v>
      </c>
      <c r="Z546">
        <v>65961</v>
      </c>
    </row>
    <row r="547" spans="1:26" x14ac:dyDescent="0.25">
      <c r="A547" t="s">
        <v>1077</v>
      </c>
      <c r="B547" t="s">
        <v>26</v>
      </c>
      <c r="C547" t="s">
        <v>27</v>
      </c>
      <c r="H547" s="2">
        <v>45200.677777777775</v>
      </c>
      <c r="I547" t="s">
        <v>150</v>
      </c>
      <c r="Z547">
        <v>65863</v>
      </c>
    </row>
    <row r="548" spans="1:26" x14ac:dyDescent="0.25">
      <c r="A548" t="s">
        <v>1078</v>
      </c>
      <c r="B548" t="s">
        <v>26</v>
      </c>
      <c r="C548" t="s">
        <v>27</v>
      </c>
      <c r="H548" s="2">
        <v>45198.488194444442</v>
      </c>
      <c r="I548" t="s">
        <v>118</v>
      </c>
      <c r="Z548">
        <v>65723</v>
      </c>
    </row>
    <row r="549" spans="1:26" x14ac:dyDescent="0.25">
      <c r="A549" t="s">
        <v>1079</v>
      </c>
      <c r="B549" t="s">
        <v>26</v>
      </c>
      <c r="C549" t="s">
        <v>27</v>
      </c>
      <c r="H549" s="2">
        <v>45196.37777777778</v>
      </c>
      <c r="I549" t="s">
        <v>84</v>
      </c>
      <c r="Z549">
        <v>65560</v>
      </c>
    </row>
    <row r="550" spans="1:26" x14ac:dyDescent="0.25">
      <c r="A550" t="s">
        <v>1080</v>
      </c>
      <c r="B550" t="s">
        <v>26</v>
      </c>
      <c r="C550" t="s">
        <v>27</v>
      </c>
      <c r="H550" s="2">
        <v>45195.72152777778</v>
      </c>
      <c r="I550" t="s">
        <v>166</v>
      </c>
      <c r="Z550">
        <v>65538</v>
      </c>
    </row>
    <row r="551" spans="1:26" x14ac:dyDescent="0.25">
      <c r="A551" t="s">
        <v>1081</v>
      </c>
      <c r="B551" t="s">
        <v>26</v>
      </c>
      <c r="C551" t="s">
        <v>27</v>
      </c>
      <c r="H551" s="2">
        <v>45193.44027777778</v>
      </c>
      <c r="I551" t="s">
        <v>150</v>
      </c>
      <c r="Z551">
        <v>65348</v>
      </c>
    </row>
    <row r="552" spans="1:26" x14ac:dyDescent="0.25">
      <c r="A552" t="s">
        <v>1082</v>
      </c>
      <c r="B552" t="s">
        <v>26</v>
      </c>
      <c r="C552" t="s">
        <v>27</v>
      </c>
      <c r="H552" s="2">
        <v>45192.704861111109</v>
      </c>
      <c r="I552" t="s">
        <v>29</v>
      </c>
      <c r="Z552">
        <v>65332</v>
      </c>
    </row>
    <row r="553" spans="1:26" x14ac:dyDescent="0.25">
      <c r="A553" t="s">
        <v>89</v>
      </c>
      <c r="B553" t="s">
        <v>74</v>
      </c>
      <c r="C553" t="s">
        <v>27</v>
      </c>
      <c r="E553" t="s">
        <v>63</v>
      </c>
      <c r="H553" s="2">
        <v>45191.67083333333</v>
      </c>
      <c r="I553" t="s">
        <v>29</v>
      </c>
      <c r="K553" t="s">
        <v>30</v>
      </c>
      <c r="L553" t="s">
        <v>31</v>
      </c>
      <c r="M553">
        <v>55887113</v>
      </c>
      <c r="N553">
        <v>9754620472</v>
      </c>
      <c r="O553" t="s">
        <v>812</v>
      </c>
      <c r="Z553">
        <v>65267</v>
      </c>
    </row>
    <row r="554" spans="1:26" x14ac:dyDescent="0.25">
      <c r="A554" t="s">
        <v>1083</v>
      </c>
      <c r="B554" t="s">
        <v>26</v>
      </c>
      <c r="C554" t="s">
        <v>27</v>
      </c>
      <c r="H554" s="2">
        <v>45190.62777777778</v>
      </c>
      <c r="I554" t="s">
        <v>137</v>
      </c>
      <c r="Z554">
        <v>65186</v>
      </c>
    </row>
    <row r="555" spans="1:26" x14ac:dyDescent="0.25">
      <c r="A555" t="s">
        <v>915</v>
      </c>
      <c r="B555" t="s">
        <v>26</v>
      </c>
      <c r="C555" t="s">
        <v>27</v>
      </c>
      <c r="H555" s="2">
        <v>45190.62222222222</v>
      </c>
      <c r="I555" t="s">
        <v>137</v>
      </c>
      <c r="Z555">
        <v>65184</v>
      </c>
    </row>
    <row r="556" spans="1:26" x14ac:dyDescent="0.25">
      <c r="A556" t="s">
        <v>1084</v>
      </c>
      <c r="B556" t="s">
        <v>125</v>
      </c>
      <c r="C556" t="s">
        <v>27</v>
      </c>
      <c r="E556" t="s">
        <v>1085</v>
      </c>
      <c r="H556" s="2">
        <v>45189.775000000001</v>
      </c>
      <c r="I556" t="s">
        <v>151</v>
      </c>
      <c r="Z556">
        <v>65121</v>
      </c>
    </row>
    <row r="557" spans="1:26" x14ac:dyDescent="0.25">
      <c r="A557" t="s">
        <v>1086</v>
      </c>
      <c r="B557" t="s">
        <v>26</v>
      </c>
      <c r="C557" t="s">
        <v>27</v>
      </c>
      <c r="H557" s="2">
        <v>45189.688888888886</v>
      </c>
      <c r="I557" t="s">
        <v>139</v>
      </c>
      <c r="Z557">
        <v>65105</v>
      </c>
    </row>
    <row r="558" spans="1:26" x14ac:dyDescent="0.25">
      <c r="A558" t="s">
        <v>1087</v>
      </c>
      <c r="B558" t="s">
        <v>117</v>
      </c>
      <c r="C558" t="s">
        <v>27</v>
      </c>
      <c r="E558" t="s">
        <v>121</v>
      </c>
      <c r="G558" t="s">
        <v>1088</v>
      </c>
      <c r="H558" s="2">
        <v>45188.706250000003</v>
      </c>
      <c r="I558" t="s">
        <v>118</v>
      </c>
      <c r="K558" t="s">
        <v>30</v>
      </c>
      <c r="L558" t="s">
        <v>31</v>
      </c>
      <c r="M558">
        <v>55887113</v>
      </c>
      <c r="N558">
        <v>9754620466</v>
      </c>
      <c r="O558" t="s">
        <v>1089</v>
      </c>
      <c r="Z558">
        <v>65004</v>
      </c>
    </row>
    <row r="559" spans="1:26" x14ac:dyDescent="0.25">
      <c r="A559" t="s">
        <v>1090</v>
      </c>
      <c r="B559" t="s">
        <v>26</v>
      </c>
      <c r="C559" t="s">
        <v>27</v>
      </c>
      <c r="H559" s="2">
        <v>45188.492361111108</v>
      </c>
      <c r="I559" t="s">
        <v>139</v>
      </c>
      <c r="Z559">
        <v>64967</v>
      </c>
    </row>
    <row r="560" spans="1:26" x14ac:dyDescent="0.25">
      <c r="A560" t="s">
        <v>1091</v>
      </c>
      <c r="B560" t="s">
        <v>26</v>
      </c>
      <c r="C560" t="s">
        <v>27</v>
      </c>
      <c r="H560" s="2">
        <v>45188.422222222223</v>
      </c>
      <c r="I560" t="s">
        <v>139</v>
      </c>
      <c r="Z560">
        <v>64957</v>
      </c>
    </row>
    <row r="561" spans="1:26" x14ac:dyDescent="0.25">
      <c r="A561" t="s">
        <v>1092</v>
      </c>
      <c r="B561" t="s">
        <v>26</v>
      </c>
      <c r="C561" t="s">
        <v>27</v>
      </c>
      <c r="H561" s="2">
        <v>45188.379861111112</v>
      </c>
      <c r="I561" t="s">
        <v>156</v>
      </c>
      <c r="Z561">
        <v>64950</v>
      </c>
    </row>
    <row r="562" spans="1:26" x14ac:dyDescent="0.25">
      <c r="A562" t="s">
        <v>1093</v>
      </c>
      <c r="B562" t="s">
        <v>26</v>
      </c>
      <c r="C562" t="s">
        <v>27</v>
      </c>
      <c r="H562" s="2">
        <v>45187.817361111112</v>
      </c>
      <c r="I562" t="s">
        <v>150</v>
      </c>
      <c r="Z562">
        <v>64945</v>
      </c>
    </row>
    <row r="563" spans="1:26" x14ac:dyDescent="0.25">
      <c r="A563" t="s">
        <v>1094</v>
      </c>
      <c r="B563" t="s">
        <v>117</v>
      </c>
      <c r="C563" t="s">
        <v>27</v>
      </c>
      <c r="E563" t="s">
        <v>1095</v>
      </c>
      <c r="H563" s="2">
        <v>45186.691666666666</v>
      </c>
      <c r="I563" t="s">
        <v>29</v>
      </c>
      <c r="Z563">
        <v>64845</v>
      </c>
    </row>
    <row r="564" spans="1:26" x14ac:dyDescent="0.25">
      <c r="A564" t="s">
        <v>1096</v>
      </c>
      <c r="B564" t="s">
        <v>26</v>
      </c>
      <c r="C564" t="s">
        <v>27</v>
      </c>
      <c r="H564" s="2">
        <v>45182.811111111114</v>
      </c>
      <c r="I564" t="s">
        <v>166</v>
      </c>
      <c r="Z564">
        <v>64610</v>
      </c>
    </row>
    <row r="565" spans="1:26" x14ac:dyDescent="0.25">
      <c r="A565" t="s">
        <v>1097</v>
      </c>
      <c r="B565" t="s">
        <v>26</v>
      </c>
      <c r="C565" t="s">
        <v>27</v>
      </c>
      <c r="H565" s="2">
        <v>45181.660416666666</v>
      </c>
      <c r="I565" t="s">
        <v>29</v>
      </c>
      <c r="Z565">
        <v>64492</v>
      </c>
    </row>
    <row r="566" spans="1:26" x14ac:dyDescent="0.25">
      <c r="A566" t="s">
        <v>1098</v>
      </c>
      <c r="B566" t="s">
        <v>26</v>
      </c>
      <c r="C566" t="s">
        <v>27</v>
      </c>
      <c r="H566" s="2">
        <v>45175.757638888892</v>
      </c>
      <c r="I566" t="s">
        <v>29</v>
      </c>
      <c r="Z566">
        <v>64151</v>
      </c>
    </row>
    <row r="567" spans="1:26" x14ac:dyDescent="0.25">
      <c r="A567" t="s">
        <v>1099</v>
      </c>
      <c r="B567" t="s">
        <v>26</v>
      </c>
      <c r="C567" t="s">
        <v>27</v>
      </c>
      <c r="H567" s="2">
        <v>45173.396527777775</v>
      </c>
      <c r="I567" t="s">
        <v>29</v>
      </c>
      <c r="Z567">
        <v>63961</v>
      </c>
    </row>
    <row r="568" spans="1:26" x14ac:dyDescent="0.25">
      <c r="A568" t="s">
        <v>1100</v>
      </c>
      <c r="B568" t="s">
        <v>125</v>
      </c>
      <c r="C568" t="s">
        <v>27</v>
      </c>
      <c r="E568" t="s">
        <v>1101</v>
      </c>
      <c r="H568" s="2">
        <v>45169.779166666667</v>
      </c>
      <c r="I568" t="s">
        <v>151</v>
      </c>
      <c r="Z568">
        <v>63786</v>
      </c>
    </row>
    <row r="569" spans="1:26" x14ac:dyDescent="0.25">
      <c r="A569" t="s">
        <v>1102</v>
      </c>
      <c r="B569" t="s">
        <v>26</v>
      </c>
      <c r="C569" t="s">
        <v>27</v>
      </c>
      <c r="H569" s="2">
        <v>45169.719444444447</v>
      </c>
      <c r="I569" t="s">
        <v>150</v>
      </c>
      <c r="Z569">
        <v>63770</v>
      </c>
    </row>
    <row r="570" spans="1:26" x14ac:dyDescent="0.25">
      <c r="A570" t="s">
        <v>1103</v>
      </c>
      <c r="B570" t="s">
        <v>26</v>
      </c>
      <c r="C570" t="s">
        <v>27</v>
      </c>
      <c r="H570" s="2">
        <v>45168.569444444445</v>
      </c>
      <c r="I570" t="s">
        <v>84</v>
      </c>
      <c r="Z570">
        <v>63673</v>
      </c>
    </row>
    <row r="571" spans="1:26" x14ac:dyDescent="0.25">
      <c r="A571" t="s">
        <v>1104</v>
      </c>
      <c r="B571" t="s">
        <v>26</v>
      </c>
      <c r="C571" t="s">
        <v>27</v>
      </c>
      <c r="E571" t="s">
        <v>51</v>
      </c>
      <c r="H571" s="2">
        <v>45168.381249999999</v>
      </c>
      <c r="I571" t="s">
        <v>156</v>
      </c>
      <c r="Z571">
        <v>63640</v>
      </c>
    </row>
    <row r="572" spans="1:26" x14ac:dyDescent="0.25">
      <c r="A572" t="s">
        <v>1105</v>
      </c>
      <c r="B572" t="s">
        <v>26</v>
      </c>
      <c r="C572" t="s">
        <v>27</v>
      </c>
      <c r="H572" s="2">
        <v>45166.823611111111</v>
      </c>
      <c r="I572" t="s">
        <v>166</v>
      </c>
      <c r="Z572">
        <v>63553</v>
      </c>
    </row>
    <row r="573" spans="1:26" x14ac:dyDescent="0.25">
      <c r="A573" t="s">
        <v>915</v>
      </c>
      <c r="B573" t="s">
        <v>26</v>
      </c>
      <c r="C573" t="s">
        <v>27</v>
      </c>
      <c r="H573" s="2">
        <v>45166.70416666667</v>
      </c>
      <c r="I573" t="s">
        <v>187</v>
      </c>
      <c r="Z573">
        <v>63542</v>
      </c>
    </row>
    <row r="574" spans="1:26" x14ac:dyDescent="0.25">
      <c r="A574" t="s">
        <v>1106</v>
      </c>
      <c r="B574" t="s">
        <v>26</v>
      </c>
      <c r="C574" t="s">
        <v>27</v>
      </c>
      <c r="H574" s="2">
        <v>45161.563888888886</v>
      </c>
      <c r="I574" t="s">
        <v>156</v>
      </c>
      <c r="Z574">
        <v>63226</v>
      </c>
    </row>
    <row r="575" spans="1:26" x14ac:dyDescent="0.25">
      <c r="A575" t="s">
        <v>1107</v>
      </c>
      <c r="B575" t="s">
        <v>125</v>
      </c>
      <c r="C575" t="s">
        <v>27</v>
      </c>
      <c r="E575" t="s">
        <v>1108</v>
      </c>
      <c r="H575" s="2">
        <v>45153.642361111109</v>
      </c>
      <c r="I575" t="s">
        <v>151</v>
      </c>
      <c r="Z575">
        <v>62693</v>
      </c>
    </row>
    <row r="576" spans="1:26" x14ac:dyDescent="0.25">
      <c r="A576" t="s">
        <v>769</v>
      </c>
      <c r="B576" t="s">
        <v>125</v>
      </c>
      <c r="C576" t="s">
        <v>27</v>
      </c>
      <c r="E576" t="s">
        <v>1108</v>
      </c>
      <c r="H576" s="2">
        <v>45152.54791666667</v>
      </c>
      <c r="I576" t="s">
        <v>151</v>
      </c>
      <c r="K576" t="s">
        <v>30</v>
      </c>
      <c r="L576" t="s">
        <v>31</v>
      </c>
      <c r="M576">
        <v>67127941</v>
      </c>
      <c r="N576">
        <v>13178684975</v>
      </c>
      <c r="O576" t="s">
        <v>83</v>
      </c>
      <c r="Z576">
        <v>62606</v>
      </c>
    </row>
    <row r="577" spans="1:26" x14ac:dyDescent="0.25">
      <c r="A577" t="s">
        <v>1109</v>
      </c>
      <c r="B577" t="s">
        <v>26</v>
      </c>
      <c r="C577" t="s">
        <v>27</v>
      </c>
      <c r="H577" s="2">
        <v>45146.488194444442</v>
      </c>
      <c r="I577" t="s">
        <v>150</v>
      </c>
      <c r="Z577">
        <v>62150</v>
      </c>
    </row>
    <row r="578" spans="1:26" x14ac:dyDescent="0.25">
      <c r="A578" t="s">
        <v>915</v>
      </c>
      <c r="B578" t="s">
        <v>26</v>
      </c>
      <c r="C578" t="s">
        <v>27</v>
      </c>
      <c r="H578" s="2">
        <v>45145.724999999999</v>
      </c>
      <c r="I578" t="s">
        <v>118</v>
      </c>
      <c r="Z578">
        <v>62101</v>
      </c>
    </row>
    <row r="579" spans="1:26" x14ac:dyDescent="0.25">
      <c r="A579" t="s">
        <v>1110</v>
      </c>
      <c r="B579" t="s">
        <v>26</v>
      </c>
      <c r="C579" t="s">
        <v>27</v>
      </c>
      <c r="H579" s="2">
        <v>45141.543055555558</v>
      </c>
      <c r="I579" t="s">
        <v>118</v>
      </c>
      <c r="Z579">
        <v>61737</v>
      </c>
    </row>
    <row r="580" spans="1:26" x14ac:dyDescent="0.25">
      <c r="A580" t="s">
        <v>1111</v>
      </c>
      <c r="B580" t="s">
        <v>26</v>
      </c>
      <c r="C580" t="s">
        <v>27</v>
      </c>
      <c r="H580" s="2">
        <v>45138.670138888891</v>
      </c>
      <c r="I580" t="s">
        <v>29</v>
      </c>
      <c r="Z580">
        <v>61471</v>
      </c>
    </row>
    <row r="581" spans="1:26" x14ac:dyDescent="0.25">
      <c r="A581" t="s">
        <v>1112</v>
      </c>
      <c r="B581" t="s">
        <v>26</v>
      </c>
      <c r="C581" t="s">
        <v>27</v>
      </c>
      <c r="H581" s="2">
        <v>45138.604166666664</v>
      </c>
      <c r="I581" t="s">
        <v>29</v>
      </c>
      <c r="Z581">
        <v>61456</v>
      </c>
    </row>
    <row r="582" spans="1:26" x14ac:dyDescent="0.25">
      <c r="A582" t="s">
        <v>1113</v>
      </c>
      <c r="B582" t="s">
        <v>26</v>
      </c>
      <c r="C582" t="s">
        <v>27</v>
      </c>
      <c r="H582" s="2">
        <v>45138.524305555555</v>
      </c>
      <c r="I582" t="s">
        <v>150</v>
      </c>
      <c r="Z582">
        <v>61438</v>
      </c>
    </row>
    <row r="583" spans="1:26" x14ac:dyDescent="0.25">
      <c r="A583" t="s">
        <v>1114</v>
      </c>
      <c r="B583" t="s">
        <v>125</v>
      </c>
      <c r="C583" t="s">
        <v>27</v>
      </c>
      <c r="E583" t="s">
        <v>1115</v>
      </c>
      <c r="H583" s="2">
        <v>45138.427777777775</v>
      </c>
      <c r="I583" t="s">
        <v>29</v>
      </c>
      <c r="Z583">
        <v>61409</v>
      </c>
    </row>
    <row r="584" spans="1:26" x14ac:dyDescent="0.25">
      <c r="A584" t="s">
        <v>1116</v>
      </c>
      <c r="B584" t="s">
        <v>26</v>
      </c>
      <c r="C584" t="s">
        <v>27</v>
      </c>
      <c r="H584" s="2">
        <v>45137.71875</v>
      </c>
      <c r="I584" t="s">
        <v>84</v>
      </c>
      <c r="Z584">
        <v>61384</v>
      </c>
    </row>
    <row r="585" spans="1:26" x14ac:dyDescent="0.25">
      <c r="A585" t="s">
        <v>489</v>
      </c>
      <c r="B585" t="s">
        <v>125</v>
      </c>
      <c r="C585" t="s">
        <v>27</v>
      </c>
      <c r="E585" t="s">
        <v>1117</v>
      </c>
      <c r="H585" s="2">
        <v>45137.603472222225</v>
      </c>
      <c r="I585" t="s">
        <v>29</v>
      </c>
      <c r="K585" t="s">
        <v>30</v>
      </c>
      <c r="L585" t="s">
        <v>31</v>
      </c>
      <c r="M585">
        <v>55887113</v>
      </c>
      <c r="N585">
        <v>9754620472</v>
      </c>
      <c r="O585" t="s">
        <v>812</v>
      </c>
      <c r="Z585">
        <v>61377</v>
      </c>
    </row>
    <row r="586" spans="1:26" x14ac:dyDescent="0.25">
      <c r="A586" t="s">
        <v>1118</v>
      </c>
      <c r="B586" t="s">
        <v>26</v>
      </c>
      <c r="C586" t="s">
        <v>27</v>
      </c>
      <c r="H586" s="2">
        <v>45137.57916666667</v>
      </c>
      <c r="I586" t="s">
        <v>84</v>
      </c>
      <c r="Z586">
        <v>61374</v>
      </c>
    </row>
    <row r="587" spans="1:26" x14ac:dyDescent="0.25">
      <c r="A587" t="s">
        <v>1119</v>
      </c>
      <c r="B587" t="s">
        <v>125</v>
      </c>
      <c r="C587" t="s">
        <v>27</v>
      </c>
      <c r="E587" t="s">
        <v>1115</v>
      </c>
      <c r="H587" s="2">
        <v>45136.427777777775</v>
      </c>
      <c r="I587" t="s">
        <v>29</v>
      </c>
      <c r="Z587">
        <v>61298</v>
      </c>
    </row>
    <row r="588" spans="1:26" x14ac:dyDescent="0.25">
      <c r="A588" t="s">
        <v>1120</v>
      </c>
      <c r="B588" t="s">
        <v>26</v>
      </c>
      <c r="C588" t="s">
        <v>27</v>
      </c>
      <c r="H588" s="2">
        <v>45132.743750000001</v>
      </c>
      <c r="I588" t="s">
        <v>150</v>
      </c>
      <c r="Z588">
        <v>60967</v>
      </c>
    </row>
    <row r="589" spans="1:26" x14ac:dyDescent="0.25">
      <c r="A589" t="s">
        <v>1121</v>
      </c>
      <c r="B589" t="s">
        <v>26</v>
      </c>
      <c r="C589" t="s">
        <v>27</v>
      </c>
      <c r="H589" s="2">
        <v>45132.699305555558</v>
      </c>
      <c r="I589" t="s">
        <v>150</v>
      </c>
      <c r="Z589">
        <v>60957</v>
      </c>
    </row>
    <row r="590" spans="1:26" x14ac:dyDescent="0.25">
      <c r="A590" t="s">
        <v>1122</v>
      </c>
      <c r="B590" t="s">
        <v>26</v>
      </c>
      <c r="C590" t="s">
        <v>27</v>
      </c>
      <c r="H590" s="2">
        <v>45132.53402777778</v>
      </c>
      <c r="I590" t="s">
        <v>150</v>
      </c>
      <c r="Z590">
        <v>60926</v>
      </c>
    </row>
    <row r="591" spans="1:26" x14ac:dyDescent="0.25">
      <c r="A591" t="s">
        <v>562</v>
      </c>
      <c r="B591" t="s">
        <v>26</v>
      </c>
      <c r="C591" t="s">
        <v>27</v>
      </c>
      <c r="H591" s="2">
        <v>45130.383333333331</v>
      </c>
      <c r="I591" t="s">
        <v>29</v>
      </c>
      <c r="Z591">
        <v>60752</v>
      </c>
    </row>
    <row r="592" spans="1:26" x14ac:dyDescent="0.25">
      <c r="A592" t="s">
        <v>1123</v>
      </c>
      <c r="B592" t="s">
        <v>46</v>
      </c>
      <c r="C592" t="s">
        <v>27</v>
      </c>
      <c r="E592" t="s">
        <v>78</v>
      </c>
      <c r="G592" t="s">
        <v>1124</v>
      </c>
      <c r="H592" s="2">
        <v>45129.745138888888</v>
      </c>
      <c r="I592" t="s">
        <v>84</v>
      </c>
      <c r="Z592">
        <v>60743</v>
      </c>
    </row>
    <row r="593" spans="1:26" x14ac:dyDescent="0.25">
      <c r="A593" t="s">
        <v>142</v>
      </c>
      <c r="B593" t="s">
        <v>125</v>
      </c>
      <c r="C593" t="s">
        <v>27</v>
      </c>
      <c r="E593" t="s">
        <v>51</v>
      </c>
      <c r="H593" s="2">
        <v>45127.379861111112</v>
      </c>
      <c r="I593" t="s">
        <v>151</v>
      </c>
      <c r="Z593">
        <v>60508</v>
      </c>
    </row>
    <row r="594" spans="1:26" x14ac:dyDescent="0.25">
      <c r="A594" t="s">
        <v>1125</v>
      </c>
      <c r="B594" t="s">
        <v>26</v>
      </c>
      <c r="C594" t="s">
        <v>27</v>
      </c>
      <c r="H594" s="2">
        <v>45124.588194444441</v>
      </c>
      <c r="I594" t="s">
        <v>84</v>
      </c>
      <c r="Z594">
        <v>60272</v>
      </c>
    </row>
    <row r="595" spans="1:26" x14ac:dyDescent="0.25">
      <c r="A595" t="s">
        <v>1126</v>
      </c>
      <c r="B595" t="s">
        <v>117</v>
      </c>
      <c r="C595" t="s">
        <v>27</v>
      </c>
      <c r="E595" t="s">
        <v>127</v>
      </c>
      <c r="G595" t="s">
        <v>1127</v>
      </c>
      <c r="H595" s="2">
        <v>45120.808333333334</v>
      </c>
      <c r="I595" t="s">
        <v>151</v>
      </c>
      <c r="Z595">
        <v>60032</v>
      </c>
    </row>
    <row r="596" spans="1:26" x14ac:dyDescent="0.25">
      <c r="A596" t="s">
        <v>1128</v>
      </c>
      <c r="B596" t="s">
        <v>26</v>
      </c>
      <c r="C596" t="s">
        <v>27</v>
      </c>
      <c r="H596" s="2">
        <v>45120.729861111111</v>
      </c>
      <c r="I596" t="s">
        <v>185</v>
      </c>
      <c r="Z596">
        <v>60025</v>
      </c>
    </row>
    <row r="597" spans="1:26" x14ac:dyDescent="0.25">
      <c r="A597" t="s">
        <v>199</v>
      </c>
      <c r="B597" t="s">
        <v>26</v>
      </c>
      <c r="C597" t="s">
        <v>27</v>
      </c>
      <c r="H597" s="2">
        <v>45120.728472222225</v>
      </c>
      <c r="I597" t="s">
        <v>151</v>
      </c>
      <c r="Z597">
        <v>60024</v>
      </c>
    </row>
    <row r="598" spans="1:26" x14ac:dyDescent="0.25">
      <c r="A598" t="s">
        <v>1129</v>
      </c>
      <c r="B598" t="s">
        <v>26</v>
      </c>
      <c r="C598" t="s">
        <v>27</v>
      </c>
      <c r="H598" s="2">
        <v>45120.689583333333</v>
      </c>
      <c r="I598" t="s">
        <v>29</v>
      </c>
      <c r="Z598">
        <v>60016</v>
      </c>
    </row>
    <row r="599" spans="1:26" x14ac:dyDescent="0.25">
      <c r="A599" t="s">
        <v>1130</v>
      </c>
      <c r="B599" t="s">
        <v>26</v>
      </c>
      <c r="C599" t="s">
        <v>27</v>
      </c>
      <c r="H599" s="2">
        <v>45120.662499999999</v>
      </c>
      <c r="I599" t="s">
        <v>185</v>
      </c>
      <c r="Z599">
        <v>60011</v>
      </c>
    </row>
    <row r="600" spans="1:26" x14ac:dyDescent="0.25">
      <c r="A600" t="s">
        <v>1131</v>
      </c>
      <c r="B600" t="s">
        <v>26</v>
      </c>
      <c r="C600" t="s">
        <v>27</v>
      </c>
      <c r="H600" s="2">
        <v>45115.441666666666</v>
      </c>
      <c r="I600" t="s">
        <v>118</v>
      </c>
      <c r="Z600">
        <v>59645</v>
      </c>
    </row>
    <row r="601" spans="1:26" x14ac:dyDescent="0.25">
      <c r="A601" t="s">
        <v>489</v>
      </c>
      <c r="B601" t="s">
        <v>74</v>
      </c>
      <c r="C601" t="s">
        <v>27</v>
      </c>
      <c r="E601" t="s">
        <v>62</v>
      </c>
      <c r="H601" s="2">
        <v>45113.667361111111</v>
      </c>
      <c r="I601" t="s">
        <v>29</v>
      </c>
      <c r="K601" t="s">
        <v>30</v>
      </c>
      <c r="L601" t="s">
        <v>31</v>
      </c>
      <c r="M601">
        <v>55887113</v>
      </c>
      <c r="N601">
        <v>9754620472</v>
      </c>
      <c r="O601" t="s">
        <v>812</v>
      </c>
      <c r="Z601">
        <v>59535</v>
      </c>
    </row>
    <row r="602" spans="1:26" x14ac:dyDescent="0.25">
      <c r="A602" t="s">
        <v>1132</v>
      </c>
      <c r="B602" t="s">
        <v>26</v>
      </c>
      <c r="C602" t="s">
        <v>27</v>
      </c>
      <c r="H602" s="2">
        <v>45113.407638888886</v>
      </c>
      <c r="I602" t="s">
        <v>29</v>
      </c>
      <c r="Z602">
        <v>59485</v>
      </c>
    </row>
    <row r="603" spans="1:26" x14ac:dyDescent="0.25">
      <c r="A603" t="s">
        <v>1133</v>
      </c>
      <c r="B603" t="s">
        <v>26</v>
      </c>
      <c r="C603" t="s">
        <v>27</v>
      </c>
      <c r="H603" s="2">
        <v>45112.737500000003</v>
      </c>
      <c r="I603" t="s">
        <v>84</v>
      </c>
      <c r="Z603">
        <v>59462</v>
      </c>
    </row>
    <row r="604" spans="1:26" x14ac:dyDescent="0.25">
      <c r="A604" t="s">
        <v>1134</v>
      </c>
      <c r="B604" t="s">
        <v>125</v>
      </c>
      <c r="C604" t="s">
        <v>27</v>
      </c>
      <c r="E604" t="s">
        <v>1135</v>
      </c>
      <c r="H604" s="2">
        <v>45112.61041666667</v>
      </c>
      <c r="I604" t="s">
        <v>151</v>
      </c>
      <c r="K604" t="s">
        <v>30</v>
      </c>
      <c r="L604" t="s">
        <v>31</v>
      </c>
      <c r="M604">
        <v>55887113</v>
      </c>
      <c r="N604">
        <v>9754620466</v>
      </c>
      <c r="O604" t="s">
        <v>1136</v>
      </c>
      <c r="Z604">
        <v>59445</v>
      </c>
    </row>
    <row r="605" spans="1:26" x14ac:dyDescent="0.25">
      <c r="A605" t="s">
        <v>1137</v>
      </c>
      <c r="B605" t="s">
        <v>46</v>
      </c>
      <c r="C605" t="s">
        <v>27</v>
      </c>
      <c r="E605" t="s">
        <v>66</v>
      </c>
      <c r="G605" t="s">
        <v>1138</v>
      </c>
      <c r="H605" s="2">
        <v>45109.835416666669</v>
      </c>
      <c r="I605" t="s">
        <v>29</v>
      </c>
      <c r="Z605">
        <v>59233</v>
      </c>
    </row>
    <row r="606" spans="1:26" x14ac:dyDescent="0.25">
      <c r="A606" t="s">
        <v>186</v>
      </c>
      <c r="B606" t="s">
        <v>26</v>
      </c>
      <c r="C606" t="s">
        <v>27</v>
      </c>
      <c r="H606" s="2">
        <v>45109.539583333331</v>
      </c>
      <c r="I606" t="s">
        <v>150</v>
      </c>
      <c r="Z606">
        <v>59211</v>
      </c>
    </row>
    <row r="607" spans="1:26" x14ac:dyDescent="0.25">
      <c r="A607" t="s">
        <v>562</v>
      </c>
      <c r="B607" t="s">
        <v>125</v>
      </c>
      <c r="C607" t="s">
        <v>27</v>
      </c>
      <c r="E607" t="s">
        <v>1115</v>
      </c>
      <c r="H607" s="2">
        <v>45106.354861111111</v>
      </c>
      <c r="I607" t="s">
        <v>29</v>
      </c>
      <c r="K607" t="s">
        <v>30</v>
      </c>
      <c r="L607" t="s">
        <v>31</v>
      </c>
      <c r="M607">
        <v>67127941</v>
      </c>
      <c r="N607">
        <v>13178684974</v>
      </c>
      <c r="O607" t="s">
        <v>83</v>
      </c>
      <c r="Z607">
        <v>58986</v>
      </c>
    </row>
    <row r="608" spans="1:26" x14ac:dyDescent="0.25">
      <c r="A608" t="s">
        <v>1139</v>
      </c>
      <c r="B608" t="s">
        <v>26</v>
      </c>
      <c r="C608" t="s">
        <v>27</v>
      </c>
      <c r="H608" s="2">
        <v>45103.863888888889</v>
      </c>
      <c r="I608" t="s">
        <v>118</v>
      </c>
      <c r="Z608">
        <v>58846</v>
      </c>
    </row>
    <row r="609" spans="1:26" x14ac:dyDescent="0.25">
      <c r="A609" t="s">
        <v>1140</v>
      </c>
      <c r="B609" t="s">
        <v>26</v>
      </c>
      <c r="C609" t="s">
        <v>27</v>
      </c>
      <c r="H609" s="2">
        <v>45099.4375</v>
      </c>
      <c r="I609" t="s">
        <v>118</v>
      </c>
      <c r="Z609">
        <v>58548</v>
      </c>
    </row>
    <row r="610" spans="1:26" x14ac:dyDescent="0.25">
      <c r="A610" t="s">
        <v>1073</v>
      </c>
      <c r="B610" t="s">
        <v>26</v>
      </c>
      <c r="C610" t="s">
        <v>27</v>
      </c>
      <c r="H610" s="2">
        <v>45096.509027777778</v>
      </c>
      <c r="I610" t="s">
        <v>84</v>
      </c>
      <c r="Z610">
        <v>58351</v>
      </c>
    </row>
    <row r="611" spans="1:26" x14ac:dyDescent="0.25">
      <c r="A611" t="s">
        <v>1141</v>
      </c>
      <c r="B611" t="s">
        <v>26</v>
      </c>
      <c r="C611" t="s">
        <v>27</v>
      </c>
      <c r="H611" s="2">
        <v>45095.806250000001</v>
      </c>
      <c r="I611" t="s">
        <v>29</v>
      </c>
      <c r="Z611">
        <v>58320</v>
      </c>
    </row>
    <row r="612" spans="1:26" x14ac:dyDescent="0.25">
      <c r="A612" t="s">
        <v>915</v>
      </c>
      <c r="B612" t="s">
        <v>26</v>
      </c>
      <c r="C612" t="s">
        <v>27</v>
      </c>
      <c r="H612" s="2">
        <v>45092.464583333334</v>
      </c>
      <c r="I612" t="s">
        <v>118</v>
      </c>
      <c r="Z612">
        <v>58051</v>
      </c>
    </row>
    <row r="613" spans="1:26" x14ac:dyDescent="0.25">
      <c r="A613" t="s">
        <v>1142</v>
      </c>
      <c r="B613" t="s">
        <v>46</v>
      </c>
      <c r="C613" t="s">
        <v>27</v>
      </c>
      <c r="E613" t="s">
        <v>51</v>
      </c>
      <c r="G613" t="s">
        <v>1143</v>
      </c>
      <c r="H613" s="2">
        <v>45090.603472222225</v>
      </c>
      <c r="I613" t="s">
        <v>29</v>
      </c>
      <c r="Z613">
        <v>57942</v>
      </c>
    </row>
    <row r="614" spans="1:26" x14ac:dyDescent="0.25">
      <c r="A614" t="s">
        <v>1144</v>
      </c>
      <c r="B614" t="s">
        <v>26</v>
      </c>
      <c r="C614" t="s">
        <v>27</v>
      </c>
      <c r="H614" s="2">
        <v>45090.56527777778</v>
      </c>
      <c r="I614" t="s">
        <v>84</v>
      </c>
      <c r="Z614">
        <v>57937</v>
      </c>
    </row>
    <row r="615" spans="1:26" x14ac:dyDescent="0.25">
      <c r="A615" t="s">
        <v>489</v>
      </c>
      <c r="B615" t="s">
        <v>26</v>
      </c>
      <c r="C615" t="s">
        <v>27</v>
      </c>
      <c r="H615" s="2">
        <v>45089.551388888889</v>
      </c>
      <c r="I615" t="s">
        <v>29</v>
      </c>
      <c r="Z615">
        <v>57869</v>
      </c>
    </row>
    <row r="616" spans="1:26" x14ac:dyDescent="0.25">
      <c r="A616" t="s">
        <v>1145</v>
      </c>
      <c r="B616" t="s">
        <v>26</v>
      </c>
      <c r="C616" t="s">
        <v>27</v>
      </c>
      <c r="H616" s="2">
        <v>45089.522916666669</v>
      </c>
      <c r="I616" t="s">
        <v>84</v>
      </c>
      <c r="Z616">
        <v>57866</v>
      </c>
    </row>
    <row r="617" spans="1:26" x14ac:dyDescent="0.25">
      <c r="A617" t="s">
        <v>199</v>
      </c>
      <c r="B617" t="s">
        <v>26</v>
      </c>
      <c r="C617" t="s">
        <v>27</v>
      </c>
      <c r="H617" s="2">
        <v>45086.804166666669</v>
      </c>
      <c r="I617" t="s">
        <v>150</v>
      </c>
      <c r="Z617">
        <v>57742</v>
      </c>
    </row>
    <row r="618" spans="1:26" x14ac:dyDescent="0.25">
      <c r="A618" t="s">
        <v>1146</v>
      </c>
      <c r="B618" t="s">
        <v>26</v>
      </c>
      <c r="C618" t="s">
        <v>27</v>
      </c>
      <c r="H618" s="2">
        <v>45085.714583333334</v>
      </c>
      <c r="I618" t="s">
        <v>151</v>
      </c>
      <c r="Z618">
        <v>57663</v>
      </c>
    </row>
    <row r="619" spans="1:26" x14ac:dyDescent="0.25">
      <c r="A619" t="s">
        <v>92</v>
      </c>
      <c r="C619" t="s">
        <v>27</v>
      </c>
      <c r="E619" t="s">
        <v>78</v>
      </c>
      <c r="H619" s="2">
        <v>45085.563194444447</v>
      </c>
      <c r="I619" t="s">
        <v>84</v>
      </c>
      <c r="Z619">
        <v>57639</v>
      </c>
    </row>
    <row r="620" spans="1:26" x14ac:dyDescent="0.25">
      <c r="A620" t="s">
        <v>1147</v>
      </c>
      <c r="C620" t="s">
        <v>27</v>
      </c>
      <c r="E620" t="s">
        <v>45</v>
      </c>
      <c r="H620" s="2">
        <v>45084.979861111111</v>
      </c>
      <c r="I620" t="s">
        <v>29</v>
      </c>
      <c r="Z620">
        <v>57597</v>
      </c>
    </row>
    <row r="621" spans="1:26" x14ac:dyDescent="0.25">
      <c r="A621" t="s">
        <v>489</v>
      </c>
      <c r="B621" t="s">
        <v>26</v>
      </c>
      <c r="C621" t="s">
        <v>27</v>
      </c>
      <c r="H621" s="2">
        <v>45084.469444444447</v>
      </c>
      <c r="I621" t="s">
        <v>29</v>
      </c>
      <c r="Z621">
        <v>57539</v>
      </c>
    </row>
    <row r="622" spans="1:26" x14ac:dyDescent="0.25">
      <c r="A622" t="s">
        <v>1148</v>
      </c>
      <c r="B622" t="s">
        <v>26</v>
      </c>
      <c r="C622" t="s">
        <v>27</v>
      </c>
      <c r="H622" s="2">
        <v>45083.405555555553</v>
      </c>
      <c r="I622" t="s">
        <v>132</v>
      </c>
      <c r="Z622">
        <v>57446</v>
      </c>
    </row>
    <row r="623" spans="1:26" x14ac:dyDescent="0.25">
      <c r="A623" t="s">
        <v>854</v>
      </c>
      <c r="B623" t="s">
        <v>26</v>
      </c>
      <c r="C623" t="s">
        <v>27</v>
      </c>
      <c r="H623" s="2">
        <v>45082.434027777781</v>
      </c>
      <c r="I623" t="s">
        <v>132</v>
      </c>
      <c r="Z623">
        <v>57383</v>
      </c>
    </row>
    <row r="624" spans="1:26" x14ac:dyDescent="0.25">
      <c r="A624" t="s">
        <v>1149</v>
      </c>
      <c r="B624" t="s">
        <v>26</v>
      </c>
      <c r="C624" t="s">
        <v>27</v>
      </c>
      <c r="H624" s="2">
        <v>45081.763194444444</v>
      </c>
      <c r="I624" t="s">
        <v>189</v>
      </c>
      <c r="Z624">
        <v>57361</v>
      </c>
    </row>
    <row r="625" spans="1:26" x14ac:dyDescent="0.25">
      <c r="A625" t="s">
        <v>1150</v>
      </c>
      <c r="B625" t="s">
        <v>26</v>
      </c>
      <c r="C625" t="s">
        <v>27</v>
      </c>
      <c r="H625" s="2">
        <v>45081.409722222219</v>
      </c>
      <c r="I625" t="s">
        <v>150</v>
      </c>
      <c r="Z625">
        <v>57318</v>
      </c>
    </row>
    <row r="626" spans="1:26" x14ac:dyDescent="0.25">
      <c r="A626" t="s">
        <v>1151</v>
      </c>
      <c r="B626" t="s">
        <v>131</v>
      </c>
      <c r="C626" t="s">
        <v>27</v>
      </c>
      <c r="H626" s="2">
        <v>45079.811111111114</v>
      </c>
      <c r="I626" t="s">
        <v>189</v>
      </c>
      <c r="Z626">
        <v>57239</v>
      </c>
    </row>
    <row r="627" spans="1:26" x14ac:dyDescent="0.25">
      <c r="A627" t="s">
        <v>188</v>
      </c>
      <c r="B627" t="s">
        <v>125</v>
      </c>
      <c r="C627" t="s">
        <v>27</v>
      </c>
      <c r="E627" t="s">
        <v>44</v>
      </c>
      <c r="H627" s="2">
        <v>45079.327777777777</v>
      </c>
      <c r="I627" t="s">
        <v>151</v>
      </c>
      <c r="K627" t="s">
        <v>30</v>
      </c>
      <c r="L627" t="s">
        <v>31</v>
      </c>
      <c r="M627">
        <v>67127941</v>
      </c>
      <c r="N627">
        <v>13178684970</v>
      </c>
      <c r="O627" t="s">
        <v>1152</v>
      </c>
      <c r="Z627">
        <v>57169</v>
      </c>
    </row>
    <row r="628" spans="1:26" x14ac:dyDescent="0.25">
      <c r="A628" t="s">
        <v>89</v>
      </c>
      <c r="B628" t="s">
        <v>74</v>
      </c>
      <c r="C628" t="s">
        <v>27</v>
      </c>
      <c r="E628" t="s">
        <v>65</v>
      </c>
      <c r="H628" s="2">
        <v>45078.695138888892</v>
      </c>
      <c r="I628" t="s">
        <v>132</v>
      </c>
      <c r="K628" t="s">
        <v>30</v>
      </c>
      <c r="L628" t="s">
        <v>31</v>
      </c>
      <c r="M628">
        <v>67127941</v>
      </c>
      <c r="N628">
        <v>11954234039</v>
      </c>
      <c r="O628" t="s">
        <v>83</v>
      </c>
      <c r="Z628">
        <v>57146</v>
      </c>
    </row>
    <row r="629" spans="1:26" x14ac:dyDescent="0.25">
      <c r="A629" t="s">
        <v>1153</v>
      </c>
      <c r="B629" t="s">
        <v>26</v>
      </c>
      <c r="C629" t="s">
        <v>27</v>
      </c>
      <c r="H629" s="2">
        <v>45078.663888888892</v>
      </c>
      <c r="I629" t="s">
        <v>151</v>
      </c>
      <c r="Z629">
        <v>57141</v>
      </c>
    </row>
    <row r="630" spans="1:26" x14ac:dyDescent="0.25">
      <c r="A630" t="s">
        <v>1154</v>
      </c>
      <c r="B630" t="s">
        <v>26</v>
      </c>
      <c r="C630" t="s">
        <v>27</v>
      </c>
      <c r="H630" s="2">
        <v>45078.431250000001</v>
      </c>
      <c r="I630" t="s">
        <v>132</v>
      </c>
      <c r="Z630">
        <v>57104</v>
      </c>
    </row>
    <row r="631" spans="1:26" x14ac:dyDescent="0.25">
      <c r="A631" t="s">
        <v>854</v>
      </c>
      <c r="B631" t="s">
        <v>26</v>
      </c>
      <c r="C631" t="s">
        <v>27</v>
      </c>
      <c r="H631" s="2">
        <v>45076.723611111112</v>
      </c>
      <c r="I631" t="s">
        <v>151</v>
      </c>
      <c r="Z631">
        <v>57008</v>
      </c>
    </row>
    <row r="632" spans="1:26" x14ac:dyDescent="0.25">
      <c r="A632" t="s">
        <v>142</v>
      </c>
      <c r="B632" t="s">
        <v>117</v>
      </c>
      <c r="C632" t="s">
        <v>27</v>
      </c>
      <c r="E632" t="s">
        <v>51</v>
      </c>
      <c r="H632" s="2">
        <v>45073.947222222225</v>
      </c>
      <c r="I632" t="s">
        <v>151</v>
      </c>
      <c r="Z632">
        <v>56827</v>
      </c>
    </row>
    <row r="633" spans="1:26" x14ac:dyDescent="0.25">
      <c r="A633" t="s">
        <v>1155</v>
      </c>
      <c r="B633" t="s">
        <v>46</v>
      </c>
      <c r="C633" t="s">
        <v>27</v>
      </c>
      <c r="E633" t="s">
        <v>154</v>
      </c>
      <c r="G633" t="s">
        <v>1156</v>
      </c>
      <c r="H633" s="2">
        <v>45073.533333333333</v>
      </c>
      <c r="I633" t="s">
        <v>151</v>
      </c>
      <c r="Z633">
        <v>56789</v>
      </c>
    </row>
    <row r="634" spans="1:26" x14ac:dyDescent="0.25">
      <c r="A634" t="s">
        <v>1157</v>
      </c>
      <c r="B634" t="s">
        <v>140</v>
      </c>
      <c r="C634" t="s">
        <v>27</v>
      </c>
      <c r="E634" t="s">
        <v>63</v>
      </c>
      <c r="H634" s="2">
        <v>45071.694444444445</v>
      </c>
      <c r="I634" t="s">
        <v>132</v>
      </c>
      <c r="K634" t="s">
        <v>30</v>
      </c>
      <c r="L634" t="s">
        <v>31</v>
      </c>
      <c r="M634">
        <v>67127941</v>
      </c>
      <c r="N634">
        <v>13178684973</v>
      </c>
      <c r="O634" t="s">
        <v>796</v>
      </c>
      <c r="Z634">
        <v>56670</v>
      </c>
    </row>
    <row r="635" spans="1:26" x14ac:dyDescent="0.25">
      <c r="A635" t="s">
        <v>915</v>
      </c>
      <c r="B635" t="s">
        <v>26</v>
      </c>
      <c r="C635" t="s">
        <v>27</v>
      </c>
      <c r="H635" s="2">
        <v>45071.623611111114</v>
      </c>
      <c r="I635" t="s">
        <v>132</v>
      </c>
      <c r="Z635">
        <v>56660</v>
      </c>
    </row>
    <row r="636" spans="1:26" x14ac:dyDescent="0.25">
      <c r="A636" t="s">
        <v>1158</v>
      </c>
      <c r="B636" t="s">
        <v>26</v>
      </c>
      <c r="C636" t="s">
        <v>27</v>
      </c>
      <c r="H636" s="2">
        <v>45071.380555555559</v>
      </c>
      <c r="I636" t="s">
        <v>132</v>
      </c>
      <c r="Z636">
        <v>56617</v>
      </c>
    </row>
    <row r="637" spans="1:26" x14ac:dyDescent="0.25">
      <c r="A637" t="s">
        <v>1159</v>
      </c>
      <c r="B637" t="s">
        <v>26</v>
      </c>
      <c r="C637" t="s">
        <v>27</v>
      </c>
      <c r="H637" s="2">
        <v>45070.46875</v>
      </c>
      <c r="I637" t="s">
        <v>150</v>
      </c>
      <c r="Z637">
        <v>56548</v>
      </c>
    </row>
    <row r="638" spans="1:26" x14ac:dyDescent="0.25">
      <c r="A638" t="s">
        <v>92</v>
      </c>
      <c r="C638" t="s">
        <v>60</v>
      </c>
      <c r="E638" t="s">
        <v>78</v>
      </c>
      <c r="H638" s="2">
        <v>45070.458333333336</v>
      </c>
      <c r="I638" t="s">
        <v>132</v>
      </c>
      <c r="Z638">
        <v>56545</v>
      </c>
    </row>
    <row r="639" spans="1:26" x14ac:dyDescent="0.25">
      <c r="A639" t="s">
        <v>87</v>
      </c>
      <c r="C639" t="s">
        <v>27</v>
      </c>
      <c r="E639" t="s">
        <v>80</v>
      </c>
      <c r="H639" s="2">
        <v>45069.708333333336</v>
      </c>
      <c r="I639" t="s">
        <v>150</v>
      </c>
      <c r="Z639">
        <v>56505</v>
      </c>
    </row>
    <row r="640" spans="1:26" x14ac:dyDescent="0.25">
      <c r="A640" t="s">
        <v>1160</v>
      </c>
      <c r="B640" t="s">
        <v>26</v>
      </c>
      <c r="C640" t="s">
        <v>27</v>
      </c>
      <c r="H640" s="2">
        <v>45069.643055555556</v>
      </c>
      <c r="I640" t="s">
        <v>150</v>
      </c>
      <c r="Z640">
        <v>56498</v>
      </c>
    </row>
    <row r="641" spans="1:26" x14ac:dyDescent="0.25">
      <c r="A641" t="s">
        <v>1161</v>
      </c>
      <c r="B641" t="s">
        <v>26</v>
      </c>
      <c r="C641" t="s">
        <v>27</v>
      </c>
      <c r="H641" s="2">
        <v>45069.603472222225</v>
      </c>
      <c r="I641" t="s">
        <v>150</v>
      </c>
      <c r="Z641">
        <v>56492</v>
      </c>
    </row>
    <row r="642" spans="1:26" x14ac:dyDescent="0.25">
      <c r="A642" t="s">
        <v>1162</v>
      </c>
      <c r="B642" t="s">
        <v>26</v>
      </c>
      <c r="C642" t="s">
        <v>27</v>
      </c>
      <c r="H642" s="2">
        <v>45069.386805555558</v>
      </c>
      <c r="I642" t="s">
        <v>150</v>
      </c>
      <c r="Z642">
        <v>56454</v>
      </c>
    </row>
    <row r="643" spans="1:26" x14ac:dyDescent="0.25">
      <c r="A643" t="s">
        <v>1163</v>
      </c>
      <c r="B643" t="s">
        <v>26</v>
      </c>
      <c r="C643" t="s">
        <v>27</v>
      </c>
      <c r="E643" t="s">
        <v>93</v>
      </c>
      <c r="H643" s="2">
        <v>45066.592361111114</v>
      </c>
      <c r="I643" t="s">
        <v>118</v>
      </c>
      <c r="Z643">
        <v>56258</v>
      </c>
    </row>
    <row r="644" spans="1:26" x14ac:dyDescent="0.25">
      <c r="A644" t="s">
        <v>1164</v>
      </c>
      <c r="B644" t="s">
        <v>140</v>
      </c>
      <c r="C644" t="s">
        <v>27</v>
      </c>
      <c r="E644" t="s">
        <v>45</v>
      </c>
      <c r="H644" s="2">
        <v>45065.811111111114</v>
      </c>
      <c r="I644" t="s">
        <v>29</v>
      </c>
      <c r="K644" t="s">
        <v>30</v>
      </c>
      <c r="L644" t="s">
        <v>31</v>
      </c>
      <c r="M644">
        <v>55887113</v>
      </c>
      <c r="N644">
        <v>9754620480</v>
      </c>
      <c r="O644" t="s">
        <v>812</v>
      </c>
      <c r="Z644">
        <v>56218</v>
      </c>
    </row>
    <row r="645" spans="1:26" x14ac:dyDescent="0.25">
      <c r="A645" t="s">
        <v>1165</v>
      </c>
      <c r="B645" t="s">
        <v>26</v>
      </c>
      <c r="C645" t="s">
        <v>27</v>
      </c>
      <c r="H645" s="2">
        <v>45065.447916666664</v>
      </c>
      <c r="I645" t="s">
        <v>29</v>
      </c>
      <c r="Z645">
        <v>56150</v>
      </c>
    </row>
    <row r="646" spans="1:26" x14ac:dyDescent="0.25">
      <c r="A646" t="s">
        <v>1166</v>
      </c>
      <c r="B646" t="s">
        <v>26</v>
      </c>
      <c r="C646" t="s">
        <v>27</v>
      </c>
      <c r="H646" s="2">
        <v>45064.602777777778</v>
      </c>
      <c r="I646" t="s">
        <v>150</v>
      </c>
      <c r="Z646">
        <v>56085</v>
      </c>
    </row>
    <row r="647" spans="1:26" x14ac:dyDescent="0.25">
      <c r="A647" t="s">
        <v>1167</v>
      </c>
      <c r="B647" t="s">
        <v>131</v>
      </c>
      <c r="C647" t="s">
        <v>27</v>
      </c>
      <c r="E647" t="s">
        <v>81</v>
      </c>
      <c r="H647" s="2">
        <v>45063.92083333333</v>
      </c>
      <c r="I647" t="s">
        <v>29</v>
      </c>
      <c r="Z647">
        <v>56042</v>
      </c>
    </row>
    <row r="648" spans="1:26" x14ac:dyDescent="0.25">
      <c r="A648" t="s">
        <v>1168</v>
      </c>
      <c r="B648" t="s">
        <v>46</v>
      </c>
      <c r="C648" t="s">
        <v>27</v>
      </c>
      <c r="E648" t="s">
        <v>44</v>
      </c>
      <c r="G648" t="s">
        <v>1169</v>
      </c>
      <c r="H648" s="2">
        <v>45063.53125</v>
      </c>
      <c r="I648" t="s">
        <v>151</v>
      </c>
      <c r="Z648">
        <v>55982</v>
      </c>
    </row>
    <row r="649" spans="1:26" x14ac:dyDescent="0.25">
      <c r="A649" t="s">
        <v>1170</v>
      </c>
      <c r="B649" t="s">
        <v>26</v>
      </c>
      <c r="C649" t="s">
        <v>27</v>
      </c>
      <c r="H649" s="2">
        <v>45062.665277777778</v>
      </c>
      <c r="I649" t="s">
        <v>150</v>
      </c>
      <c r="Z649">
        <v>55911</v>
      </c>
    </row>
    <row r="650" spans="1:26" x14ac:dyDescent="0.25">
      <c r="A650" t="s">
        <v>489</v>
      </c>
      <c r="B650" t="s">
        <v>26</v>
      </c>
      <c r="C650" t="s">
        <v>27</v>
      </c>
      <c r="H650" s="2">
        <v>45061.628472222219</v>
      </c>
      <c r="I650" t="s">
        <v>29</v>
      </c>
      <c r="Z650">
        <v>55829</v>
      </c>
    </row>
    <row r="651" spans="1:26" x14ac:dyDescent="0.25">
      <c r="A651" t="s">
        <v>489</v>
      </c>
      <c r="B651" t="s">
        <v>26</v>
      </c>
      <c r="C651" t="s">
        <v>27</v>
      </c>
      <c r="H651" s="2">
        <v>45059.442361111112</v>
      </c>
      <c r="I651" t="s">
        <v>29</v>
      </c>
      <c r="Z651">
        <v>55642</v>
      </c>
    </row>
    <row r="652" spans="1:26" x14ac:dyDescent="0.25">
      <c r="A652" t="s">
        <v>1171</v>
      </c>
      <c r="B652" t="s">
        <v>26</v>
      </c>
      <c r="C652" t="s">
        <v>27</v>
      </c>
      <c r="H652" s="2">
        <v>45058.537499999999</v>
      </c>
      <c r="I652" t="s">
        <v>150</v>
      </c>
      <c r="Z652">
        <v>55595</v>
      </c>
    </row>
    <row r="653" spans="1:26" x14ac:dyDescent="0.25">
      <c r="A653" t="s">
        <v>1172</v>
      </c>
      <c r="C653" t="s">
        <v>27</v>
      </c>
      <c r="E653" t="s">
        <v>1173</v>
      </c>
      <c r="H653" s="2">
        <v>45058.44027777778</v>
      </c>
      <c r="I653" t="s">
        <v>29</v>
      </c>
      <c r="Z653">
        <v>55583</v>
      </c>
    </row>
    <row r="654" spans="1:26" x14ac:dyDescent="0.25">
      <c r="A654" t="s">
        <v>1174</v>
      </c>
      <c r="B654" t="s">
        <v>74</v>
      </c>
      <c r="C654" t="s">
        <v>27</v>
      </c>
      <c r="E654" t="s">
        <v>1175</v>
      </c>
      <c r="H654" s="2">
        <v>45057.647222222222</v>
      </c>
      <c r="I654" t="s">
        <v>150</v>
      </c>
      <c r="K654" t="s">
        <v>30</v>
      </c>
      <c r="L654" t="s">
        <v>31</v>
      </c>
      <c r="M654">
        <v>67127941</v>
      </c>
      <c r="N654">
        <v>11954234037</v>
      </c>
      <c r="O654" t="s">
        <v>907</v>
      </c>
      <c r="Z654">
        <v>55549</v>
      </c>
    </row>
    <row r="655" spans="1:26" x14ac:dyDescent="0.25">
      <c r="A655" t="s">
        <v>194</v>
      </c>
      <c r="B655" t="s">
        <v>26</v>
      </c>
      <c r="C655" t="s">
        <v>27</v>
      </c>
      <c r="H655" s="2">
        <v>45057.630555555559</v>
      </c>
      <c r="I655" t="s">
        <v>150</v>
      </c>
      <c r="Z655">
        <v>55543</v>
      </c>
    </row>
    <row r="656" spans="1:26" x14ac:dyDescent="0.25">
      <c r="A656" t="s">
        <v>1176</v>
      </c>
      <c r="B656" t="s">
        <v>117</v>
      </c>
      <c r="C656" t="s">
        <v>27</v>
      </c>
      <c r="E656" t="s">
        <v>149</v>
      </c>
      <c r="G656" t="s">
        <v>96</v>
      </c>
      <c r="H656" s="2">
        <v>45056.652777777781</v>
      </c>
      <c r="I656" t="s">
        <v>151</v>
      </c>
      <c r="K656" t="s">
        <v>30</v>
      </c>
      <c r="L656" t="s">
        <v>31</v>
      </c>
      <c r="M656">
        <v>55887050</v>
      </c>
      <c r="N656">
        <v>9754616056</v>
      </c>
      <c r="O656" t="s">
        <v>1177</v>
      </c>
      <c r="Z656">
        <v>55468</v>
      </c>
    </row>
    <row r="657" spans="1:26" x14ac:dyDescent="0.25">
      <c r="A657" t="s">
        <v>1178</v>
      </c>
      <c r="B657" t="s">
        <v>26</v>
      </c>
      <c r="C657" t="s">
        <v>27</v>
      </c>
      <c r="H657" s="2">
        <v>45056.418055555558</v>
      </c>
      <c r="I657" t="s">
        <v>151</v>
      </c>
      <c r="Z657">
        <v>55427</v>
      </c>
    </row>
    <row r="658" spans="1:26" x14ac:dyDescent="0.25">
      <c r="A658" t="s">
        <v>1179</v>
      </c>
      <c r="B658" t="s">
        <v>46</v>
      </c>
      <c r="C658" t="s">
        <v>27</v>
      </c>
      <c r="E658" t="s">
        <v>62</v>
      </c>
      <c r="G658" t="s">
        <v>1180</v>
      </c>
      <c r="H658" s="2">
        <v>45055.445833333331</v>
      </c>
      <c r="I658" t="s">
        <v>29</v>
      </c>
      <c r="Z658">
        <v>55368</v>
      </c>
    </row>
    <row r="659" spans="1:26" x14ac:dyDescent="0.25">
      <c r="A659" t="s">
        <v>1181</v>
      </c>
      <c r="B659" t="s">
        <v>26</v>
      </c>
      <c r="C659" t="s">
        <v>27</v>
      </c>
      <c r="H659" s="2">
        <v>45054.675000000003</v>
      </c>
      <c r="I659" t="s">
        <v>196</v>
      </c>
      <c r="Z659">
        <v>55342</v>
      </c>
    </row>
    <row r="660" spans="1:26" x14ac:dyDescent="0.25">
      <c r="A660" t="s">
        <v>1182</v>
      </c>
      <c r="B660" t="s">
        <v>26</v>
      </c>
      <c r="C660" t="s">
        <v>27</v>
      </c>
      <c r="H660" s="2">
        <v>45054.550694444442</v>
      </c>
      <c r="I660" t="s">
        <v>189</v>
      </c>
      <c r="Z660">
        <v>55334</v>
      </c>
    </row>
    <row r="661" spans="1:26" x14ac:dyDescent="0.25">
      <c r="A661" t="s">
        <v>172</v>
      </c>
      <c r="B661" t="s">
        <v>26</v>
      </c>
      <c r="C661" t="s">
        <v>27</v>
      </c>
      <c r="H661" s="2">
        <v>45054.400000000001</v>
      </c>
      <c r="I661" t="s">
        <v>29</v>
      </c>
      <c r="Z661">
        <v>55311</v>
      </c>
    </row>
    <row r="662" spans="1:26" x14ac:dyDescent="0.25">
      <c r="A662" t="s">
        <v>1183</v>
      </c>
      <c r="B662" t="s">
        <v>26</v>
      </c>
      <c r="C662" t="s">
        <v>27</v>
      </c>
      <c r="H662" s="2">
        <v>45051.618055555555</v>
      </c>
      <c r="I662" t="s">
        <v>150</v>
      </c>
      <c r="Z662">
        <v>55140</v>
      </c>
    </row>
    <row r="663" spans="1:26" x14ac:dyDescent="0.25">
      <c r="A663" t="s">
        <v>1184</v>
      </c>
      <c r="B663" t="s">
        <v>26</v>
      </c>
      <c r="C663" t="s">
        <v>27</v>
      </c>
      <c r="E663" t="s">
        <v>1085</v>
      </c>
      <c r="H663" s="2">
        <v>45050.412499999999</v>
      </c>
      <c r="I663" t="s">
        <v>189</v>
      </c>
      <c r="Z663">
        <v>55027</v>
      </c>
    </row>
    <row r="664" spans="1:26" x14ac:dyDescent="0.25">
      <c r="A664" t="s">
        <v>1185</v>
      </c>
      <c r="B664" t="s">
        <v>26</v>
      </c>
      <c r="C664" t="s">
        <v>27</v>
      </c>
      <c r="H664" s="2">
        <v>45047.798611111109</v>
      </c>
      <c r="I664" t="s">
        <v>29</v>
      </c>
      <c r="Z664">
        <v>54856</v>
      </c>
    </row>
    <row r="665" spans="1:26" x14ac:dyDescent="0.25">
      <c r="A665" t="s">
        <v>1185</v>
      </c>
      <c r="B665" t="s">
        <v>125</v>
      </c>
      <c r="C665" t="s">
        <v>27</v>
      </c>
      <c r="E665" t="s">
        <v>164</v>
      </c>
      <c r="H665" s="2">
        <v>45045.732638888891</v>
      </c>
      <c r="I665" t="s">
        <v>29</v>
      </c>
      <c r="Z665">
        <v>54702</v>
      </c>
    </row>
    <row r="666" spans="1:26" x14ac:dyDescent="0.25">
      <c r="A666" t="s">
        <v>1186</v>
      </c>
      <c r="B666" t="s">
        <v>26</v>
      </c>
      <c r="C666" t="s">
        <v>27</v>
      </c>
      <c r="H666" s="2">
        <v>45045.426388888889</v>
      </c>
      <c r="I666" t="s">
        <v>150</v>
      </c>
      <c r="Z666">
        <v>54649</v>
      </c>
    </row>
    <row r="667" spans="1:26" x14ac:dyDescent="0.25">
      <c r="A667" t="s">
        <v>1187</v>
      </c>
      <c r="B667" t="s">
        <v>26</v>
      </c>
      <c r="C667" t="s">
        <v>27</v>
      </c>
      <c r="H667" s="2">
        <v>45044.86041666667</v>
      </c>
      <c r="I667" t="s">
        <v>118</v>
      </c>
      <c r="Z667">
        <v>54635</v>
      </c>
    </row>
    <row r="668" spans="1:26" x14ac:dyDescent="0.25">
      <c r="A668" t="s">
        <v>1188</v>
      </c>
      <c r="B668" t="s">
        <v>26</v>
      </c>
      <c r="C668" t="s">
        <v>27</v>
      </c>
      <c r="H668" s="2">
        <v>45043.734027777777</v>
      </c>
      <c r="I668" t="s">
        <v>29</v>
      </c>
      <c r="Z668">
        <v>54516</v>
      </c>
    </row>
    <row r="669" spans="1:26" x14ac:dyDescent="0.25">
      <c r="A669" t="s">
        <v>1189</v>
      </c>
      <c r="B669" t="s">
        <v>26</v>
      </c>
      <c r="C669" t="s">
        <v>27</v>
      </c>
      <c r="H669" s="2">
        <v>45043.682638888888</v>
      </c>
      <c r="I669" t="s">
        <v>118</v>
      </c>
      <c r="Z669">
        <v>54500</v>
      </c>
    </row>
    <row r="670" spans="1:26" x14ac:dyDescent="0.25">
      <c r="A670" t="s">
        <v>1190</v>
      </c>
      <c r="B670" t="s">
        <v>26</v>
      </c>
      <c r="C670" t="s">
        <v>27</v>
      </c>
      <c r="H670" s="2">
        <v>45042.748611111114</v>
      </c>
      <c r="I670" t="s">
        <v>151</v>
      </c>
      <c r="Z670">
        <v>54408</v>
      </c>
    </row>
    <row r="671" spans="1:26" x14ac:dyDescent="0.25">
      <c r="A671" t="s">
        <v>489</v>
      </c>
      <c r="C671" t="s">
        <v>27</v>
      </c>
      <c r="E671" t="s">
        <v>65</v>
      </c>
      <c r="H671" s="2">
        <v>45042.65347222222</v>
      </c>
      <c r="I671" t="s">
        <v>29</v>
      </c>
      <c r="Z671">
        <v>54394</v>
      </c>
    </row>
    <row r="672" spans="1:26" x14ac:dyDescent="0.25">
      <c r="A672" t="s">
        <v>489</v>
      </c>
      <c r="B672" t="s">
        <v>74</v>
      </c>
      <c r="C672" t="s">
        <v>27</v>
      </c>
      <c r="E672" t="s">
        <v>44</v>
      </c>
      <c r="H672" s="2">
        <v>45042.390972222223</v>
      </c>
      <c r="I672" t="s">
        <v>29</v>
      </c>
      <c r="K672" t="s">
        <v>30</v>
      </c>
      <c r="L672" t="s">
        <v>31</v>
      </c>
      <c r="M672">
        <v>55887119</v>
      </c>
      <c r="N672">
        <v>9754621082</v>
      </c>
      <c r="O672" t="s">
        <v>83</v>
      </c>
      <c r="Z672">
        <v>54347</v>
      </c>
    </row>
    <row r="673" spans="1:26" x14ac:dyDescent="0.25">
      <c r="A673" t="s">
        <v>1191</v>
      </c>
      <c r="B673" t="s">
        <v>26</v>
      </c>
      <c r="C673" t="s">
        <v>27</v>
      </c>
      <c r="H673" s="2">
        <v>45041.527777777781</v>
      </c>
      <c r="I673" t="s">
        <v>185</v>
      </c>
      <c r="Z673">
        <v>54289</v>
      </c>
    </row>
    <row r="674" spans="1:26" x14ac:dyDescent="0.25">
      <c r="A674" t="s">
        <v>1192</v>
      </c>
      <c r="B674" t="s">
        <v>26</v>
      </c>
      <c r="C674" t="s">
        <v>27</v>
      </c>
      <c r="H674" s="2">
        <v>45041.51666666667</v>
      </c>
      <c r="I674" t="s">
        <v>150</v>
      </c>
      <c r="Z674">
        <v>54286</v>
      </c>
    </row>
    <row r="675" spans="1:26" x14ac:dyDescent="0.25">
      <c r="A675" t="s">
        <v>1193</v>
      </c>
      <c r="B675" t="s">
        <v>26</v>
      </c>
      <c r="C675" t="s">
        <v>27</v>
      </c>
      <c r="H675" s="2">
        <v>45039.711805555555</v>
      </c>
      <c r="I675" t="s">
        <v>150</v>
      </c>
      <c r="Z675">
        <v>54159</v>
      </c>
    </row>
    <row r="676" spans="1:26" x14ac:dyDescent="0.25">
      <c r="A676" t="s">
        <v>1194</v>
      </c>
      <c r="B676" t="s">
        <v>26</v>
      </c>
      <c r="C676" t="s">
        <v>27</v>
      </c>
      <c r="H676" s="2">
        <v>45039.618055555555</v>
      </c>
      <c r="I676" t="s">
        <v>150</v>
      </c>
      <c r="Z676">
        <v>54143</v>
      </c>
    </row>
    <row r="677" spans="1:26" x14ac:dyDescent="0.25">
      <c r="A677" t="s">
        <v>1195</v>
      </c>
      <c r="B677" t="s">
        <v>125</v>
      </c>
      <c r="C677" t="s">
        <v>27</v>
      </c>
      <c r="E677" t="s">
        <v>68</v>
      </c>
      <c r="G677" t="s">
        <v>1196</v>
      </c>
      <c r="H677" s="2">
        <v>45038.877083333333</v>
      </c>
      <c r="I677" t="s">
        <v>151</v>
      </c>
      <c r="Z677">
        <v>54109</v>
      </c>
    </row>
    <row r="678" spans="1:26" x14ac:dyDescent="0.25">
      <c r="A678" t="s">
        <v>1197</v>
      </c>
      <c r="B678" t="s">
        <v>131</v>
      </c>
      <c r="C678" t="s">
        <v>27</v>
      </c>
      <c r="H678" s="2">
        <v>45036.489583333336</v>
      </c>
      <c r="I678" t="s">
        <v>151</v>
      </c>
      <c r="Z678">
        <v>53930</v>
      </c>
    </row>
    <row r="679" spans="1:26" x14ac:dyDescent="0.25">
      <c r="A679" t="s">
        <v>489</v>
      </c>
      <c r="B679" t="s">
        <v>74</v>
      </c>
      <c r="C679" t="s">
        <v>27</v>
      </c>
      <c r="E679" t="s">
        <v>1198</v>
      </c>
      <c r="H679" s="2">
        <v>45034.69027777778</v>
      </c>
      <c r="I679" t="s">
        <v>29</v>
      </c>
      <c r="K679" t="s">
        <v>30</v>
      </c>
      <c r="L679" t="s">
        <v>31</v>
      </c>
      <c r="M679">
        <v>55887113</v>
      </c>
      <c r="N679">
        <v>9754620466</v>
      </c>
      <c r="O679" t="s">
        <v>1136</v>
      </c>
      <c r="Z679">
        <v>53803</v>
      </c>
    </row>
    <row r="680" spans="1:26" x14ac:dyDescent="0.25">
      <c r="A680" t="s">
        <v>1195</v>
      </c>
      <c r="B680" t="s">
        <v>125</v>
      </c>
      <c r="C680" t="s">
        <v>27</v>
      </c>
      <c r="E680" t="s">
        <v>68</v>
      </c>
      <c r="G680" t="s">
        <v>1196</v>
      </c>
      <c r="H680" s="2">
        <v>45033.324999999997</v>
      </c>
      <c r="I680" t="s">
        <v>151</v>
      </c>
      <c r="Z680">
        <v>53649</v>
      </c>
    </row>
    <row r="681" spans="1:26" x14ac:dyDescent="0.25">
      <c r="A681" t="s">
        <v>1199</v>
      </c>
      <c r="B681" t="s">
        <v>26</v>
      </c>
      <c r="C681" t="s">
        <v>27</v>
      </c>
      <c r="H681" s="2">
        <v>45031.706944444442</v>
      </c>
      <c r="I681" t="s">
        <v>189</v>
      </c>
      <c r="Z681">
        <v>53584</v>
      </c>
    </row>
    <row r="682" spans="1:26" x14ac:dyDescent="0.25">
      <c r="A682" t="s">
        <v>1200</v>
      </c>
      <c r="B682" t="s">
        <v>125</v>
      </c>
      <c r="C682" t="s">
        <v>27</v>
      </c>
      <c r="E682" t="s">
        <v>1201</v>
      </c>
      <c r="H682" s="2">
        <v>45030.652083333334</v>
      </c>
      <c r="I682" t="s">
        <v>162</v>
      </c>
      <c r="Z682">
        <v>53520</v>
      </c>
    </row>
    <row r="683" spans="1:26" x14ac:dyDescent="0.25">
      <c r="A683" t="s">
        <v>188</v>
      </c>
      <c r="B683" t="s">
        <v>140</v>
      </c>
      <c r="C683" t="s">
        <v>60</v>
      </c>
      <c r="E683" t="s">
        <v>44</v>
      </c>
      <c r="H683" s="2">
        <v>45030.649305555555</v>
      </c>
      <c r="I683" t="s">
        <v>162</v>
      </c>
      <c r="Z683">
        <v>53519</v>
      </c>
    </row>
    <row r="684" spans="1:26" x14ac:dyDescent="0.25">
      <c r="A684" t="s">
        <v>1202</v>
      </c>
      <c r="B684" t="s">
        <v>140</v>
      </c>
      <c r="C684" t="s">
        <v>27</v>
      </c>
      <c r="E684" t="s">
        <v>44</v>
      </c>
      <c r="G684" t="s">
        <v>1203</v>
      </c>
      <c r="H684" s="2">
        <v>45030.492361111108</v>
      </c>
      <c r="I684" t="s">
        <v>151</v>
      </c>
      <c r="K684" t="s">
        <v>30</v>
      </c>
      <c r="L684" t="s">
        <v>31</v>
      </c>
      <c r="M684">
        <v>55887113</v>
      </c>
      <c r="N684">
        <v>9754620472</v>
      </c>
      <c r="O684" t="s">
        <v>812</v>
      </c>
      <c r="Z684">
        <v>53497</v>
      </c>
    </row>
    <row r="685" spans="1:26" x14ac:dyDescent="0.25">
      <c r="A685" t="s">
        <v>489</v>
      </c>
      <c r="B685" t="s">
        <v>125</v>
      </c>
      <c r="C685" t="s">
        <v>27</v>
      </c>
      <c r="E685" t="s">
        <v>1204</v>
      </c>
      <c r="H685" s="2">
        <v>45028.593055555553</v>
      </c>
      <c r="I685" t="s">
        <v>29</v>
      </c>
      <c r="Z685">
        <v>53329</v>
      </c>
    </row>
    <row r="686" spans="1:26" x14ac:dyDescent="0.25">
      <c r="A686" t="s">
        <v>1205</v>
      </c>
      <c r="B686" t="s">
        <v>26</v>
      </c>
      <c r="C686" t="s">
        <v>27</v>
      </c>
      <c r="H686" s="2">
        <v>45026.696527777778</v>
      </c>
      <c r="I686" t="s">
        <v>151</v>
      </c>
      <c r="Z686">
        <v>53160</v>
      </c>
    </row>
    <row r="687" spans="1:26" x14ac:dyDescent="0.25">
      <c r="A687" t="s">
        <v>1206</v>
      </c>
      <c r="B687" t="s">
        <v>26</v>
      </c>
      <c r="C687" t="s">
        <v>27</v>
      </c>
      <c r="H687" s="2">
        <v>45023.631249999999</v>
      </c>
      <c r="I687" t="s">
        <v>29</v>
      </c>
      <c r="Z687">
        <v>52877</v>
      </c>
    </row>
    <row r="688" spans="1:26" x14ac:dyDescent="0.25">
      <c r="A688" t="s">
        <v>1207</v>
      </c>
      <c r="B688" t="s">
        <v>26</v>
      </c>
      <c r="C688" t="s">
        <v>27</v>
      </c>
      <c r="H688" s="2">
        <v>45021.559027777781</v>
      </c>
      <c r="I688" t="s">
        <v>189</v>
      </c>
      <c r="Z688">
        <v>52613</v>
      </c>
    </row>
    <row r="689" spans="1:26" x14ac:dyDescent="0.25">
      <c r="A689" t="s">
        <v>1208</v>
      </c>
      <c r="B689" t="s">
        <v>26</v>
      </c>
      <c r="C689" t="s">
        <v>27</v>
      </c>
      <c r="H689" s="2">
        <v>45021.387499999997</v>
      </c>
      <c r="I689" t="s">
        <v>150</v>
      </c>
      <c r="Z689">
        <v>52553</v>
      </c>
    </row>
    <row r="690" spans="1:26" x14ac:dyDescent="0.25">
      <c r="A690" t="s">
        <v>1186</v>
      </c>
      <c r="B690" t="s">
        <v>26</v>
      </c>
      <c r="C690" t="s">
        <v>27</v>
      </c>
      <c r="H690" s="2">
        <v>45019.555555555555</v>
      </c>
      <c r="I690" t="s">
        <v>151</v>
      </c>
      <c r="Z690">
        <v>52298</v>
      </c>
    </row>
    <row r="691" spans="1:26" x14ac:dyDescent="0.25">
      <c r="A691" t="s">
        <v>1209</v>
      </c>
      <c r="B691" t="s">
        <v>26</v>
      </c>
      <c r="C691" t="s">
        <v>27</v>
      </c>
      <c r="H691" s="2">
        <v>45017.725694444445</v>
      </c>
      <c r="I691" t="s">
        <v>150</v>
      </c>
      <c r="Z691">
        <v>52067</v>
      </c>
    </row>
    <row r="692" spans="1:26" x14ac:dyDescent="0.25">
      <c r="A692" t="s">
        <v>1210</v>
      </c>
      <c r="B692" t="s">
        <v>26</v>
      </c>
      <c r="C692" t="s">
        <v>27</v>
      </c>
      <c r="H692" s="2">
        <v>45016.459027777775</v>
      </c>
      <c r="I692" t="s">
        <v>200</v>
      </c>
      <c r="Z692">
        <v>51906</v>
      </c>
    </row>
    <row r="693" spans="1:26" x14ac:dyDescent="0.25">
      <c r="A693" t="s">
        <v>1211</v>
      </c>
      <c r="B693" t="s">
        <v>117</v>
      </c>
      <c r="C693" t="s">
        <v>27</v>
      </c>
      <c r="E693" t="s">
        <v>45</v>
      </c>
      <c r="H693" s="2">
        <v>45016.088194444441</v>
      </c>
      <c r="I693" t="s">
        <v>29</v>
      </c>
      <c r="Z693">
        <v>51890</v>
      </c>
    </row>
    <row r="694" spans="1:26" x14ac:dyDescent="0.25">
      <c r="A694" t="s">
        <v>193</v>
      </c>
      <c r="B694" t="s">
        <v>26</v>
      </c>
      <c r="C694" t="s">
        <v>27</v>
      </c>
      <c r="H694" s="2">
        <v>45015.79791666667</v>
      </c>
      <c r="I694" t="s">
        <v>151</v>
      </c>
      <c r="Z694">
        <v>51879</v>
      </c>
    </row>
    <row r="695" spans="1:26" x14ac:dyDescent="0.25">
      <c r="A695" t="s">
        <v>1212</v>
      </c>
      <c r="B695" t="s">
        <v>46</v>
      </c>
      <c r="C695" t="s">
        <v>27</v>
      </c>
      <c r="E695" t="s">
        <v>66</v>
      </c>
      <c r="G695" t="s">
        <v>1213</v>
      </c>
      <c r="H695" s="2">
        <v>45015.438194444447</v>
      </c>
      <c r="I695" t="s">
        <v>151</v>
      </c>
      <c r="Z695">
        <v>51787</v>
      </c>
    </row>
    <row r="696" spans="1:26" x14ac:dyDescent="0.25">
      <c r="A696" t="s">
        <v>489</v>
      </c>
      <c r="B696" t="s">
        <v>26</v>
      </c>
      <c r="C696" t="s">
        <v>27</v>
      </c>
      <c r="H696" s="2">
        <v>45012.731249999997</v>
      </c>
      <c r="I696" t="s">
        <v>29</v>
      </c>
      <c r="Z696">
        <v>51527</v>
      </c>
    </row>
    <row r="697" spans="1:26" x14ac:dyDescent="0.25">
      <c r="A697" t="s">
        <v>1214</v>
      </c>
      <c r="B697" t="s">
        <v>1215</v>
      </c>
      <c r="C697" t="s">
        <v>27</v>
      </c>
      <c r="E697" t="s">
        <v>45</v>
      </c>
      <c r="G697" t="s">
        <v>1216</v>
      </c>
      <c r="H697" s="2">
        <v>45012.479861111111</v>
      </c>
      <c r="I697" t="s">
        <v>185</v>
      </c>
      <c r="Z697">
        <v>51441</v>
      </c>
    </row>
    <row r="698" spans="1:26" x14ac:dyDescent="0.25">
      <c r="A698" t="s">
        <v>172</v>
      </c>
      <c r="B698" t="s">
        <v>26</v>
      </c>
      <c r="C698" t="s">
        <v>27</v>
      </c>
      <c r="H698" s="2">
        <v>45011.426388888889</v>
      </c>
      <c r="I698" t="s">
        <v>185</v>
      </c>
      <c r="Z698">
        <v>51280</v>
      </c>
    </row>
    <row r="699" spans="1:26" x14ac:dyDescent="0.25">
      <c r="A699" t="s">
        <v>228</v>
      </c>
      <c r="B699" t="s">
        <v>140</v>
      </c>
      <c r="C699" t="s">
        <v>27</v>
      </c>
      <c r="E699" t="s">
        <v>64</v>
      </c>
      <c r="H699" s="2">
        <v>45009.797222222223</v>
      </c>
      <c r="I699" t="s">
        <v>189</v>
      </c>
      <c r="K699" t="s">
        <v>30</v>
      </c>
      <c r="L699" t="s">
        <v>31</v>
      </c>
      <c r="M699">
        <v>67849537</v>
      </c>
      <c r="N699">
        <v>11953243865</v>
      </c>
      <c r="O699" t="s">
        <v>1000</v>
      </c>
      <c r="Z699">
        <v>51126</v>
      </c>
    </row>
    <row r="700" spans="1:26" x14ac:dyDescent="0.25">
      <c r="A700" t="s">
        <v>1116</v>
      </c>
      <c r="B700" t="s">
        <v>26</v>
      </c>
      <c r="C700" t="s">
        <v>27</v>
      </c>
      <c r="H700" s="2">
        <v>45009.659722222219</v>
      </c>
      <c r="I700" t="s">
        <v>189</v>
      </c>
      <c r="Z700">
        <v>51090</v>
      </c>
    </row>
    <row r="701" spans="1:26" x14ac:dyDescent="0.25">
      <c r="A701" t="s">
        <v>1217</v>
      </c>
      <c r="B701" t="s">
        <v>26</v>
      </c>
      <c r="C701" t="s">
        <v>27</v>
      </c>
      <c r="H701" s="2">
        <v>45008.497916666667</v>
      </c>
      <c r="I701" t="s">
        <v>150</v>
      </c>
      <c r="Z701">
        <v>50884</v>
      </c>
    </row>
    <row r="702" spans="1:26" x14ac:dyDescent="0.25">
      <c r="A702" t="s">
        <v>1218</v>
      </c>
      <c r="B702" t="s">
        <v>26</v>
      </c>
      <c r="C702" t="s">
        <v>27</v>
      </c>
      <c r="H702" s="2">
        <v>45008.394444444442</v>
      </c>
      <c r="I702" t="s">
        <v>150</v>
      </c>
      <c r="Z702">
        <v>50863</v>
      </c>
    </row>
    <row r="703" spans="1:26" x14ac:dyDescent="0.25">
      <c r="A703" t="s">
        <v>1219</v>
      </c>
      <c r="B703" t="s">
        <v>26</v>
      </c>
      <c r="C703" t="s">
        <v>27</v>
      </c>
      <c r="H703" s="2">
        <v>45007.589583333334</v>
      </c>
      <c r="I703" t="s">
        <v>118</v>
      </c>
      <c r="Z703">
        <v>50790</v>
      </c>
    </row>
    <row r="704" spans="1:26" x14ac:dyDescent="0.25">
      <c r="A704" t="s">
        <v>204</v>
      </c>
      <c r="B704" t="s">
        <v>26</v>
      </c>
      <c r="C704" t="s">
        <v>27</v>
      </c>
      <c r="H704" s="2">
        <v>45006.652083333334</v>
      </c>
      <c r="I704" t="s">
        <v>151</v>
      </c>
      <c r="Z704">
        <v>50702</v>
      </c>
    </row>
    <row r="705" spans="1:26" x14ac:dyDescent="0.25">
      <c r="A705" t="s">
        <v>1220</v>
      </c>
      <c r="B705" t="s">
        <v>26</v>
      </c>
      <c r="C705" t="s">
        <v>27</v>
      </c>
      <c r="H705" s="2">
        <v>45006.54583333333</v>
      </c>
      <c r="I705" t="s">
        <v>118</v>
      </c>
      <c r="Z705">
        <v>50675</v>
      </c>
    </row>
    <row r="706" spans="1:26" x14ac:dyDescent="0.25">
      <c r="A706" t="s">
        <v>489</v>
      </c>
      <c r="B706" t="s">
        <v>26</v>
      </c>
      <c r="C706" t="s">
        <v>27</v>
      </c>
      <c r="H706" s="2">
        <v>45004.46875</v>
      </c>
      <c r="I706" t="s">
        <v>29</v>
      </c>
      <c r="Z706">
        <v>50528</v>
      </c>
    </row>
    <row r="707" spans="1:26" x14ac:dyDescent="0.25">
      <c r="A707" t="s">
        <v>1221</v>
      </c>
      <c r="B707" t="s">
        <v>117</v>
      </c>
      <c r="C707" t="s">
        <v>27</v>
      </c>
      <c r="E707" t="s">
        <v>1222</v>
      </c>
      <c r="H707" s="2">
        <v>45004.348611111112</v>
      </c>
      <c r="I707" t="s">
        <v>29</v>
      </c>
      <c r="K707" t="s">
        <v>30</v>
      </c>
      <c r="L707" t="s">
        <v>31</v>
      </c>
      <c r="M707">
        <v>67127941</v>
      </c>
      <c r="N707">
        <v>11954234098</v>
      </c>
      <c r="O707" t="s">
        <v>83</v>
      </c>
      <c r="Z707">
        <v>50518</v>
      </c>
    </row>
    <row r="708" spans="1:26" x14ac:dyDescent="0.25">
      <c r="A708" t="s">
        <v>1223</v>
      </c>
      <c r="B708" t="s">
        <v>26</v>
      </c>
      <c r="C708" t="s">
        <v>27</v>
      </c>
      <c r="H708" s="2">
        <v>45001.886805555558</v>
      </c>
      <c r="I708" t="s">
        <v>151</v>
      </c>
      <c r="Z708">
        <v>50383</v>
      </c>
    </row>
    <row r="709" spans="1:26" x14ac:dyDescent="0.25">
      <c r="A709" t="s">
        <v>1224</v>
      </c>
      <c r="B709" t="s">
        <v>26</v>
      </c>
      <c r="C709" t="s">
        <v>27</v>
      </c>
      <c r="H709" s="2">
        <v>45001.777777777781</v>
      </c>
      <c r="I709" t="s">
        <v>29</v>
      </c>
      <c r="Z709">
        <v>50378</v>
      </c>
    </row>
    <row r="710" spans="1:26" x14ac:dyDescent="0.25">
      <c r="A710" t="s">
        <v>854</v>
      </c>
      <c r="B710" t="s">
        <v>26</v>
      </c>
      <c r="C710" t="s">
        <v>27</v>
      </c>
      <c r="H710" s="2">
        <v>45001.395833333336</v>
      </c>
      <c r="I710" t="s">
        <v>185</v>
      </c>
      <c r="Z710">
        <v>50313</v>
      </c>
    </row>
    <row r="711" spans="1:26" x14ac:dyDescent="0.25">
      <c r="A711" t="s">
        <v>1225</v>
      </c>
      <c r="B711" t="s">
        <v>26</v>
      </c>
      <c r="C711" t="s">
        <v>27</v>
      </c>
      <c r="H711" s="2">
        <v>45001.367361111108</v>
      </c>
      <c r="I711" t="s">
        <v>185</v>
      </c>
      <c r="Z711">
        <v>50308</v>
      </c>
    </row>
    <row r="712" spans="1:26" x14ac:dyDescent="0.25">
      <c r="A712" t="s">
        <v>1226</v>
      </c>
      <c r="B712" t="s">
        <v>26</v>
      </c>
      <c r="C712" t="s">
        <v>27</v>
      </c>
      <c r="H712" s="2">
        <v>44998.601388888892</v>
      </c>
      <c r="I712" t="s">
        <v>118</v>
      </c>
      <c r="Z712">
        <v>50168</v>
      </c>
    </row>
    <row r="713" spans="1:26" x14ac:dyDescent="0.25">
      <c r="A713" t="s">
        <v>1227</v>
      </c>
      <c r="B713" t="s">
        <v>26</v>
      </c>
      <c r="C713" t="s">
        <v>27</v>
      </c>
      <c r="H713" s="2">
        <v>44998.439583333333</v>
      </c>
      <c r="I713" t="s">
        <v>150</v>
      </c>
      <c r="Z713">
        <v>50150</v>
      </c>
    </row>
    <row r="714" spans="1:26" x14ac:dyDescent="0.25">
      <c r="A714" t="s">
        <v>1228</v>
      </c>
      <c r="B714" t="s">
        <v>26</v>
      </c>
      <c r="C714" t="s">
        <v>27</v>
      </c>
      <c r="H714" s="2">
        <v>44997.586805555555</v>
      </c>
      <c r="I714" t="s">
        <v>150</v>
      </c>
      <c r="Z714">
        <v>50125</v>
      </c>
    </row>
    <row r="715" spans="1:26" x14ac:dyDescent="0.25">
      <c r="A715" t="s">
        <v>1229</v>
      </c>
      <c r="B715" t="s">
        <v>26</v>
      </c>
      <c r="C715" t="s">
        <v>27</v>
      </c>
      <c r="H715" s="2">
        <v>44996.65347222222</v>
      </c>
      <c r="I715" t="s">
        <v>150</v>
      </c>
      <c r="Z715">
        <v>50097</v>
      </c>
    </row>
    <row r="716" spans="1:26" x14ac:dyDescent="0.25">
      <c r="A716" t="s">
        <v>1230</v>
      </c>
      <c r="B716" t="s">
        <v>26</v>
      </c>
      <c r="C716" t="s">
        <v>27</v>
      </c>
      <c r="H716" s="2">
        <v>44994.732638888891</v>
      </c>
      <c r="I716" t="s">
        <v>189</v>
      </c>
      <c r="Z716">
        <v>50016</v>
      </c>
    </row>
    <row r="717" spans="1:26" x14ac:dyDescent="0.25">
      <c r="A717" t="s">
        <v>1231</v>
      </c>
      <c r="B717" t="s">
        <v>26</v>
      </c>
      <c r="C717" t="s">
        <v>27</v>
      </c>
      <c r="H717" s="2">
        <v>44992.532638888886</v>
      </c>
      <c r="I717" t="s">
        <v>29</v>
      </c>
      <c r="Z717">
        <v>49935</v>
      </c>
    </row>
    <row r="718" spans="1:26" x14ac:dyDescent="0.25">
      <c r="A718" t="s">
        <v>87</v>
      </c>
      <c r="C718" t="s">
        <v>27</v>
      </c>
      <c r="E718" t="s">
        <v>81</v>
      </c>
      <c r="H718" s="2">
        <v>44991.544444444444</v>
      </c>
      <c r="I718" t="s">
        <v>150</v>
      </c>
      <c r="Z718">
        <v>49891</v>
      </c>
    </row>
    <row r="719" spans="1:26" x14ac:dyDescent="0.25">
      <c r="A719" t="s">
        <v>999</v>
      </c>
      <c r="B719" t="s">
        <v>26</v>
      </c>
      <c r="C719" t="s">
        <v>27</v>
      </c>
      <c r="H719" s="2">
        <v>44988.500694444447</v>
      </c>
      <c r="I719" t="s">
        <v>185</v>
      </c>
      <c r="Z719">
        <v>49774</v>
      </c>
    </row>
    <row r="720" spans="1:26" x14ac:dyDescent="0.25">
      <c r="A720" t="s">
        <v>1232</v>
      </c>
      <c r="B720" t="s">
        <v>26</v>
      </c>
      <c r="C720" t="s">
        <v>27</v>
      </c>
      <c r="H720" s="2">
        <v>44987.504166666666</v>
      </c>
      <c r="I720" t="s">
        <v>137</v>
      </c>
      <c r="Z720">
        <v>49722</v>
      </c>
    </row>
    <row r="721" spans="1:26" x14ac:dyDescent="0.25">
      <c r="A721" t="s">
        <v>1233</v>
      </c>
      <c r="B721" t="s">
        <v>26</v>
      </c>
      <c r="C721" t="s">
        <v>27</v>
      </c>
      <c r="H721" s="2">
        <v>44985.365972222222</v>
      </c>
      <c r="I721" t="s">
        <v>200</v>
      </c>
      <c r="Z721">
        <v>49634</v>
      </c>
    </row>
    <row r="722" spans="1:26" x14ac:dyDescent="0.25">
      <c r="A722" t="s">
        <v>1234</v>
      </c>
      <c r="B722" t="s">
        <v>26</v>
      </c>
      <c r="C722" t="s">
        <v>27</v>
      </c>
      <c r="H722" s="2">
        <v>44977.709027777775</v>
      </c>
      <c r="I722" t="s">
        <v>137</v>
      </c>
      <c r="Z722">
        <v>49341</v>
      </c>
    </row>
    <row r="723" spans="1:26" x14ac:dyDescent="0.25">
      <c r="A723" t="s">
        <v>1235</v>
      </c>
      <c r="B723" t="s">
        <v>26</v>
      </c>
      <c r="C723" t="s">
        <v>27</v>
      </c>
      <c r="H723" s="2">
        <v>44976.664583333331</v>
      </c>
      <c r="I723" t="s">
        <v>29</v>
      </c>
      <c r="Z723">
        <v>49251</v>
      </c>
    </row>
    <row r="724" spans="1:26" x14ac:dyDescent="0.25">
      <c r="A724" t="s">
        <v>1236</v>
      </c>
      <c r="B724" t="s">
        <v>26</v>
      </c>
      <c r="C724" t="s">
        <v>27</v>
      </c>
      <c r="H724" s="2">
        <v>44975.427083333336</v>
      </c>
      <c r="I724" t="s">
        <v>29</v>
      </c>
      <c r="Z724">
        <v>49177</v>
      </c>
    </row>
    <row r="725" spans="1:26" x14ac:dyDescent="0.25">
      <c r="A725" t="s">
        <v>1237</v>
      </c>
      <c r="B725" t="s">
        <v>26</v>
      </c>
      <c r="C725" t="s">
        <v>27</v>
      </c>
      <c r="H725" s="2">
        <v>44974.659722222219</v>
      </c>
      <c r="I725" t="s">
        <v>150</v>
      </c>
      <c r="Z725">
        <v>49156</v>
      </c>
    </row>
    <row r="726" spans="1:26" x14ac:dyDescent="0.25">
      <c r="A726" t="s">
        <v>1238</v>
      </c>
      <c r="B726" t="s">
        <v>26</v>
      </c>
      <c r="C726" t="s">
        <v>27</v>
      </c>
      <c r="H726" s="2">
        <v>44968.551388888889</v>
      </c>
      <c r="I726" t="s">
        <v>200</v>
      </c>
      <c r="Z726">
        <v>48849</v>
      </c>
    </row>
    <row r="727" spans="1:26" x14ac:dyDescent="0.25">
      <c r="A727" t="s">
        <v>89</v>
      </c>
      <c r="B727" t="s">
        <v>74</v>
      </c>
      <c r="C727" t="s">
        <v>27</v>
      </c>
      <c r="E727" t="s">
        <v>44</v>
      </c>
      <c r="H727" s="2">
        <v>44967.786111111112</v>
      </c>
      <c r="I727" t="s">
        <v>150</v>
      </c>
      <c r="Z727">
        <v>48819</v>
      </c>
    </row>
    <row r="728" spans="1:26" x14ac:dyDescent="0.25">
      <c r="A728" t="s">
        <v>1239</v>
      </c>
      <c r="B728" t="s">
        <v>26</v>
      </c>
      <c r="C728" t="s">
        <v>27</v>
      </c>
      <c r="H728" s="2">
        <v>44965.632638888892</v>
      </c>
      <c r="I728" t="s">
        <v>29</v>
      </c>
      <c r="Z728">
        <v>48686</v>
      </c>
    </row>
    <row r="729" spans="1:26" x14ac:dyDescent="0.25">
      <c r="A729" t="s">
        <v>1240</v>
      </c>
      <c r="B729" t="s">
        <v>26</v>
      </c>
      <c r="C729" t="s">
        <v>27</v>
      </c>
      <c r="H729" s="2">
        <v>44965.379166666666</v>
      </c>
      <c r="I729" t="s">
        <v>189</v>
      </c>
      <c r="Z729">
        <v>48645</v>
      </c>
    </row>
    <row r="730" spans="1:26" x14ac:dyDescent="0.25">
      <c r="A730" t="s">
        <v>1241</v>
      </c>
      <c r="B730" t="s">
        <v>125</v>
      </c>
      <c r="C730" t="s">
        <v>27</v>
      </c>
      <c r="E730" t="s">
        <v>1242</v>
      </c>
      <c r="H730" s="2">
        <v>44964.554166666669</v>
      </c>
      <c r="I730" t="s">
        <v>29</v>
      </c>
      <c r="K730" t="s">
        <v>30</v>
      </c>
      <c r="L730" t="s">
        <v>31</v>
      </c>
      <c r="M730">
        <v>55887113</v>
      </c>
      <c r="N730">
        <v>9754620480</v>
      </c>
      <c r="O730" t="s">
        <v>812</v>
      </c>
      <c r="Z730">
        <v>48601</v>
      </c>
    </row>
    <row r="731" spans="1:26" x14ac:dyDescent="0.25">
      <c r="A731" t="s">
        <v>1243</v>
      </c>
      <c r="B731" t="s">
        <v>26</v>
      </c>
      <c r="C731" t="s">
        <v>27</v>
      </c>
      <c r="H731" s="2">
        <v>44961.379166666666</v>
      </c>
      <c r="I731" t="s">
        <v>200</v>
      </c>
      <c r="Z731">
        <v>48343</v>
      </c>
    </row>
    <row r="732" spans="1:26" x14ac:dyDescent="0.25">
      <c r="A732" t="s">
        <v>1244</v>
      </c>
      <c r="B732" t="s">
        <v>46</v>
      </c>
      <c r="C732" t="s">
        <v>27</v>
      </c>
      <c r="E732" t="s">
        <v>101</v>
      </c>
      <c r="G732" t="s">
        <v>105</v>
      </c>
      <c r="H732" s="2">
        <v>44958.79583333333</v>
      </c>
      <c r="I732" t="s">
        <v>29</v>
      </c>
      <c r="Z732">
        <v>48234</v>
      </c>
    </row>
    <row r="733" spans="1:26" x14ac:dyDescent="0.25">
      <c r="A733" t="s">
        <v>1245</v>
      </c>
      <c r="B733" t="s">
        <v>26</v>
      </c>
      <c r="C733" t="s">
        <v>27</v>
      </c>
      <c r="H733" s="2">
        <v>44957.509027777778</v>
      </c>
      <c r="I733" t="s">
        <v>29</v>
      </c>
      <c r="Z733">
        <v>48155</v>
      </c>
    </row>
    <row r="734" spans="1:26" x14ac:dyDescent="0.25">
      <c r="A734" t="s">
        <v>1246</v>
      </c>
      <c r="B734" t="s">
        <v>26</v>
      </c>
      <c r="C734" t="s">
        <v>27</v>
      </c>
      <c r="H734" s="2">
        <v>44956.565972222219</v>
      </c>
      <c r="I734" t="s">
        <v>150</v>
      </c>
      <c r="Z734">
        <v>48123</v>
      </c>
    </row>
    <row r="735" spans="1:26" x14ac:dyDescent="0.25">
      <c r="A735" t="s">
        <v>155</v>
      </c>
      <c r="B735" t="s">
        <v>125</v>
      </c>
      <c r="C735" t="s">
        <v>27</v>
      </c>
      <c r="E735" t="s">
        <v>45</v>
      </c>
      <c r="H735" s="2">
        <v>44956.408333333333</v>
      </c>
      <c r="I735" t="s">
        <v>151</v>
      </c>
      <c r="K735" t="s">
        <v>30</v>
      </c>
      <c r="L735" t="s">
        <v>31</v>
      </c>
      <c r="M735">
        <v>67127941</v>
      </c>
      <c r="N735">
        <v>11954234035</v>
      </c>
      <c r="O735" t="s">
        <v>1247</v>
      </c>
      <c r="Z735">
        <v>48106</v>
      </c>
    </row>
    <row r="736" spans="1:26" x14ac:dyDescent="0.25">
      <c r="A736" t="s">
        <v>1248</v>
      </c>
      <c r="B736" t="s">
        <v>26</v>
      </c>
      <c r="C736" t="s">
        <v>27</v>
      </c>
      <c r="H736" s="2">
        <v>44955.51458333333</v>
      </c>
      <c r="I736" t="s">
        <v>150</v>
      </c>
      <c r="Z736">
        <v>48060</v>
      </c>
    </row>
    <row r="737" spans="1:26" x14ac:dyDescent="0.25">
      <c r="A737" t="s">
        <v>1249</v>
      </c>
      <c r="B737" t="s">
        <v>26</v>
      </c>
      <c r="C737" t="s">
        <v>27</v>
      </c>
      <c r="H737" s="2">
        <v>44955.500694444447</v>
      </c>
      <c r="I737" t="s">
        <v>150</v>
      </c>
      <c r="Z737">
        <v>48055</v>
      </c>
    </row>
    <row r="738" spans="1:26" x14ac:dyDescent="0.25">
      <c r="A738" t="s">
        <v>172</v>
      </c>
      <c r="B738" t="s">
        <v>26</v>
      </c>
      <c r="C738" t="s">
        <v>27</v>
      </c>
      <c r="H738" s="2">
        <v>44954.567361111112</v>
      </c>
      <c r="I738" t="s">
        <v>185</v>
      </c>
      <c r="Z738">
        <v>48025</v>
      </c>
    </row>
    <row r="739" spans="1:26" x14ac:dyDescent="0.25">
      <c r="A739" t="s">
        <v>188</v>
      </c>
      <c r="B739" t="s">
        <v>125</v>
      </c>
      <c r="C739" t="s">
        <v>27</v>
      </c>
      <c r="E739" t="s">
        <v>44</v>
      </c>
      <c r="H739" s="2">
        <v>44950.890972222223</v>
      </c>
      <c r="I739" t="s">
        <v>151</v>
      </c>
      <c r="K739" t="s">
        <v>30</v>
      </c>
      <c r="L739" t="s">
        <v>31</v>
      </c>
      <c r="M739">
        <v>67127941</v>
      </c>
      <c r="N739">
        <v>13178684975</v>
      </c>
      <c r="O739" t="s">
        <v>172</v>
      </c>
      <c r="Z739">
        <v>47815</v>
      </c>
    </row>
    <row r="740" spans="1:26" x14ac:dyDescent="0.25">
      <c r="A740" t="s">
        <v>1250</v>
      </c>
      <c r="B740" t="s">
        <v>26</v>
      </c>
      <c r="C740" t="s">
        <v>27</v>
      </c>
      <c r="H740" s="2">
        <v>44949.859027777777</v>
      </c>
      <c r="I740" t="s">
        <v>150</v>
      </c>
      <c r="Z740">
        <v>47740</v>
      </c>
    </row>
    <row r="741" spans="1:26" x14ac:dyDescent="0.25">
      <c r="A741" t="s">
        <v>1251</v>
      </c>
      <c r="B741" t="s">
        <v>74</v>
      </c>
      <c r="C741" t="s">
        <v>27</v>
      </c>
      <c r="E741" t="s">
        <v>1252</v>
      </c>
      <c r="H741" s="2">
        <v>44949.509722222225</v>
      </c>
      <c r="I741" t="s">
        <v>151</v>
      </c>
      <c r="K741" t="s">
        <v>30</v>
      </c>
      <c r="L741" t="s">
        <v>31</v>
      </c>
      <c r="M741">
        <v>66964239</v>
      </c>
      <c r="N741">
        <v>12403661579</v>
      </c>
      <c r="O741" t="s">
        <v>178</v>
      </c>
      <c r="Z741">
        <v>47707</v>
      </c>
    </row>
    <row r="742" spans="1:26" x14ac:dyDescent="0.25">
      <c r="A742" t="s">
        <v>1253</v>
      </c>
      <c r="B742" t="s">
        <v>26</v>
      </c>
      <c r="C742" t="s">
        <v>27</v>
      </c>
      <c r="H742" s="2">
        <v>44943.672222222223</v>
      </c>
      <c r="I742" t="s">
        <v>151</v>
      </c>
      <c r="Z742">
        <v>47404</v>
      </c>
    </row>
    <row r="743" spans="1:26" x14ac:dyDescent="0.25">
      <c r="A743" t="s">
        <v>1254</v>
      </c>
      <c r="B743" t="s">
        <v>26</v>
      </c>
      <c r="C743" t="s">
        <v>27</v>
      </c>
      <c r="H743" s="2">
        <v>44941.515277777777</v>
      </c>
      <c r="I743" t="s">
        <v>29</v>
      </c>
      <c r="Z743">
        <v>47296</v>
      </c>
    </row>
    <row r="744" spans="1:26" x14ac:dyDescent="0.25">
      <c r="A744" t="s">
        <v>1255</v>
      </c>
      <c r="B744" t="s">
        <v>26</v>
      </c>
      <c r="C744" t="s">
        <v>27</v>
      </c>
      <c r="H744" s="2">
        <v>44941.496527777781</v>
      </c>
      <c r="I744" t="s">
        <v>29</v>
      </c>
      <c r="Z744">
        <v>47293</v>
      </c>
    </row>
    <row r="745" spans="1:26" x14ac:dyDescent="0.25">
      <c r="A745" t="s">
        <v>1256</v>
      </c>
      <c r="B745" t="s">
        <v>125</v>
      </c>
      <c r="C745" t="s">
        <v>27</v>
      </c>
      <c r="E745" t="s">
        <v>1257</v>
      </c>
      <c r="H745" s="2">
        <v>44940.584027777775</v>
      </c>
      <c r="I745" t="s">
        <v>29</v>
      </c>
      <c r="Z745">
        <v>47258</v>
      </c>
    </row>
    <row r="746" spans="1:26" x14ac:dyDescent="0.25">
      <c r="A746" t="s">
        <v>1258</v>
      </c>
      <c r="B746" t="s">
        <v>26</v>
      </c>
      <c r="C746" t="s">
        <v>27</v>
      </c>
      <c r="H746" s="2">
        <v>44940.495833333334</v>
      </c>
      <c r="I746" t="s">
        <v>29</v>
      </c>
      <c r="Z746">
        <v>47245</v>
      </c>
    </row>
    <row r="747" spans="1:26" x14ac:dyDescent="0.25">
      <c r="A747" t="s">
        <v>1259</v>
      </c>
      <c r="B747" t="s">
        <v>26</v>
      </c>
      <c r="C747" t="s">
        <v>27</v>
      </c>
      <c r="H747" s="2">
        <v>44939.486805555556</v>
      </c>
      <c r="I747" t="s">
        <v>189</v>
      </c>
      <c r="Z747">
        <v>47169</v>
      </c>
    </row>
    <row r="748" spans="1:26" x14ac:dyDescent="0.25">
      <c r="A748" t="s">
        <v>1260</v>
      </c>
      <c r="B748" t="s">
        <v>117</v>
      </c>
      <c r="C748" t="s">
        <v>27</v>
      </c>
      <c r="E748" t="s">
        <v>44</v>
      </c>
      <c r="G748" t="s">
        <v>1261</v>
      </c>
      <c r="H748" s="2">
        <v>44937.381944444445</v>
      </c>
      <c r="I748" t="s">
        <v>118</v>
      </c>
      <c r="K748" t="s">
        <v>30</v>
      </c>
      <c r="L748" t="s">
        <v>31</v>
      </c>
      <c r="M748">
        <v>67127941</v>
      </c>
      <c r="N748">
        <v>11954234039</v>
      </c>
      <c r="O748" t="s">
        <v>907</v>
      </c>
      <c r="Z748">
        <v>47056</v>
      </c>
    </row>
    <row r="749" spans="1:26" x14ac:dyDescent="0.25">
      <c r="A749" t="s">
        <v>1262</v>
      </c>
      <c r="B749" t="s">
        <v>26</v>
      </c>
      <c r="C749" t="s">
        <v>27</v>
      </c>
      <c r="H749" s="2">
        <v>44936.435416666667</v>
      </c>
      <c r="I749" t="s">
        <v>189</v>
      </c>
      <c r="Z749">
        <v>47004</v>
      </c>
    </row>
    <row r="750" spans="1:26" x14ac:dyDescent="0.25">
      <c r="A750" t="s">
        <v>1263</v>
      </c>
      <c r="B750" t="s">
        <v>26</v>
      </c>
      <c r="C750" t="s">
        <v>27</v>
      </c>
      <c r="H750" s="2">
        <v>44935.739583333336</v>
      </c>
      <c r="I750" t="s">
        <v>200</v>
      </c>
      <c r="Z750">
        <v>46982</v>
      </c>
    </row>
    <row r="751" spans="1:26" x14ac:dyDescent="0.25">
      <c r="A751" t="s">
        <v>1264</v>
      </c>
      <c r="B751" t="s">
        <v>26</v>
      </c>
      <c r="C751" t="s">
        <v>27</v>
      </c>
      <c r="H751" s="2">
        <v>44935.489583333336</v>
      </c>
      <c r="I751" t="s">
        <v>200</v>
      </c>
      <c r="Z751">
        <v>46950</v>
      </c>
    </row>
    <row r="752" spans="1:26" x14ac:dyDescent="0.25">
      <c r="A752" t="s">
        <v>489</v>
      </c>
      <c r="B752" t="s">
        <v>125</v>
      </c>
      <c r="C752" t="s">
        <v>27</v>
      </c>
      <c r="E752" t="s">
        <v>78</v>
      </c>
      <c r="H752" s="2">
        <v>44934.837500000001</v>
      </c>
      <c r="I752" t="s">
        <v>29</v>
      </c>
      <c r="Z752">
        <v>46924</v>
      </c>
    </row>
    <row r="753" spans="1:26" x14ac:dyDescent="0.25">
      <c r="A753" t="s">
        <v>1265</v>
      </c>
      <c r="B753" t="s">
        <v>117</v>
      </c>
      <c r="C753" t="s">
        <v>27</v>
      </c>
      <c r="E753" t="s">
        <v>161</v>
      </c>
      <c r="H753" s="2">
        <v>44933.726388888892</v>
      </c>
      <c r="I753" t="s">
        <v>29</v>
      </c>
      <c r="Z753">
        <v>46836</v>
      </c>
    </row>
    <row r="754" spans="1:26" x14ac:dyDescent="0.25">
      <c r="A754" t="s">
        <v>1266</v>
      </c>
      <c r="B754" t="s">
        <v>26</v>
      </c>
      <c r="C754" t="s">
        <v>27</v>
      </c>
      <c r="H754" s="2">
        <v>44933.493750000001</v>
      </c>
      <c r="I754" t="s">
        <v>29</v>
      </c>
      <c r="Z754">
        <v>46784</v>
      </c>
    </row>
    <row r="755" spans="1:26" x14ac:dyDescent="0.25">
      <c r="A755" t="s">
        <v>999</v>
      </c>
      <c r="B755" t="s">
        <v>26</v>
      </c>
      <c r="C755" t="s">
        <v>27</v>
      </c>
      <c r="E755" t="s">
        <v>56</v>
      </c>
      <c r="H755" s="2">
        <v>44930.524305555555</v>
      </c>
      <c r="I755" t="s">
        <v>205</v>
      </c>
      <c r="Z755">
        <v>46603</v>
      </c>
    </row>
    <row r="756" spans="1:26" x14ac:dyDescent="0.25">
      <c r="A756" t="s">
        <v>89</v>
      </c>
      <c r="B756" t="s">
        <v>74</v>
      </c>
      <c r="C756" t="s">
        <v>27</v>
      </c>
      <c r="E756" t="s">
        <v>1252</v>
      </c>
      <c r="H756" s="2">
        <v>44928.713194444441</v>
      </c>
      <c r="I756" t="s">
        <v>118</v>
      </c>
      <c r="Z756">
        <v>46581</v>
      </c>
    </row>
    <row r="757" spans="1:26" x14ac:dyDescent="0.25">
      <c r="A757" t="s">
        <v>1267</v>
      </c>
      <c r="B757" t="s">
        <v>26</v>
      </c>
      <c r="C757" t="s">
        <v>27</v>
      </c>
      <c r="H757" s="2">
        <v>44922.677777777775</v>
      </c>
      <c r="I757" t="s">
        <v>205</v>
      </c>
      <c r="Z757">
        <v>46341</v>
      </c>
    </row>
    <row r="758" spans="1:26" x14ac:dyDescent="0.25">
      <c r="A758" t="s">
        <v>89</v>
      </c>
      <c r="B758" t="s">
        <v>74</v>
      </c>
      <c r="C758" t="s">
        <v>27</v>
      </c>
      <c r="E758" t="s">
        <v>1268</v>
      </c>
      <c r="H758" s="2">
        <v>44921.960416666669</v>
      </c>
      <c r="I758" t="s">
        <v>151</v>
      </c>
      <c r="Z758">
        <v>46276</v>
      </c>
    </row>
    <row r="759" spans="1:26" x14ac:dyDescent="0.25">
      <c r="A759" t="s">
        <v>1269</v>
      </c>
      <c r="B759" t="s">
        <v>125</v>
      </c>
      <c r="C759" t="s">
        <v>27</v>
      </c>
      <c r="E759" t="s">
        <v>1270</v>
      </c>
      <c r="H759" s="2">
        <v>44921.865972222222</v>
      </c>
      <c r="I759" t="s">
        <v>137</v>
      </c>
      <c r="K759" t="s">
        <v>30</v>
      </c>
      <c r="L759" t="s">
        <v>31</v>
      </c>
      <c r="M759">
        <v>67127941</v>
      </c>
      <c r="N759">
        <v>11954234035</v>
      </c>
      <c r="Z759">
        <v>46273</v>
      </c>
    </row>
    <row r="760" spans="1:26" x14ac:dyDescent="0.25">
      <c r="A760" t="s">
        <v>1271</v>
      </c>
      <c r="B760" t="s">
        <v>26</v>
      </c>
      <c r="C760" t="s">
        <v>27</v>
      </c>
      <c r="H760" s="2">
        <v>44917.740277777775</v>
      </c>
      <c r="I760" t="s">
        <v>150</v>
      </c>
      <c r="Z760">
        <v>46039</v>
      </c>
    </row>
    <row r="761" spans="1:26" x14ac:dyDescent="0.25">
      <c r="A761" t="s">
        <v>172</v>
      </c>
      <c r="B761" t="s">
        <v>26</v>
      </c>
      <c r="C761" t="s">
        <v>27</v>
      </c>
      <c r="H761" s="2">
        <v>44916.631944444445</v>
      </c>
      <c r="I761" t="s">
        <v>205</v>
      </c>
      <c r="Z761">
        <v>45974</v>
      </c>
    </row>
    <row r="762" spans="1:26" x14ac:dyDescent="0.25">
      <c r="A762" t="s">
        <v>1272</v>
      </c>
      <c r="B762" t="s">
        <v>26</v>
      </c>
      <c r="C762" t="s">
        <v>27</v>
      </c>
      <c r="H762" s="2">
        <v>44914.631249999999</v>
      </c>
      <c r="I762" t="s">
        <v>151</v>
      </c>
      <c r="Z762">
        <v>45894</v>
      </c>
    </row>
    <row r="763" spans="1:26" x14ac:dyDescent="0.25">
      <c r="A763" t="s">
        <v>1273</v>
      </c>
      <c r="B763" t="s">
        <v>125</v>
      </c>
      <c r="C763" t="s">
        <v>27</v>
      </c>
      <c r="E763" t="s">
        <v>44</v>
      </c>
      <c r="G763" t="s">
        <v>1274</v>
      </c>
      <c r="H763" s="2">
        <v>44912.865972222222</v>
      </c>
      <c r="I763" t="s">
        <v>185</v>
      </c>
      <c r="K763" t="s">
        <v>30</v>
      </c>
      <c r="L763" t="s">
        <v>31</v>
      </c>
      <c r="M763">
        <v>55887113</v>
      </c>
      <c r="N763">
        <v>9754620480</v>
      </c>
      <c r="O763" t="s">
        <v>812</v>
      </c>
      <c r="Z763">
        <v>45836</v>
      </c>
    </row>
    <row r="764" spans="1:26" x14ac:dyDescent="0.25">
      <c r="A764" t="s">
        <v>1275</v>
      </c>
      <c r="B764" t="s">
        <v>26</v>
      </c>
      <c r="C764" t="s">
        <v>27</v>
      </c>
      <c r="H764" s="2">
        <v>44910.6</v>
      </c>
      <c r="I764" t="s">
        <v>151</v>
      </c>
      <c r="Z764">
        <v>45733</v>
      </c>
    </row>
    <row r="765" spans="1:26" x14ac:dyDescent="0.25">
      <c r="A765" t="s">
        <v>191</v>
      </c>
      <c r="B765" t="s">
        <v>26</v>
      </c>
      <c r="C765" t="s">
        <v>27</v>
      </c>
      <c r="H765" s="2">
        <v>44910.473611111112</v>
      </c>
      <c r="I765" t="s">
        <v>189</v>
      </c>
      <c r="Z765">
        <v>45717</v>
      </c>
    </row>
    <row r="766" spans="1:26" x14ac:dyDescent="0.25">
      <c r="A766" t="s">
        <v>1276</v>
      </c>
      <c r="C766" t="s">
        <v>27</v>
      </c>
      <c r="E766" t="s">
        <v>1277</v>
      </c>
      <c r="H766" s="2">
        <v>44909.683333333334</v>
      </c>
      <c r="I766" t="s">
        <v>185</v>
      </c>
      <c r="Z766">
        <v>45700</v>
      </c>
    </row>
    <row r="767" spans="1:26" x14ac:dyDescent="0.25">
      <c r="A767" t="s">
        <v>1278</v>
      </c>
      <c r="B767" t="s">
        <v>26</v>
      </c>
      <c r="C767" t="s">
        <v>27</v>
      </c>
      <c r="H767" s="2">
        <v>44909.643750000003</v>
      </c>
      <c r="I767" t="s">
        <v>207</v>
      </c>
      <c r="Z767">
        <v>45694</v>
      </c>
    </row>
    <row r="768" spans="1:26" x14ac:dyDescent="0.25">
      <c r="A768" t="s">
        <v>1279</v>
      </c>
      <c r="B768" t="s">
        <v>26</v>
      </c>
      <c r="C768" t="s">
        <v>27</v>
      </c>
      <c r="H768" s="2">
        <v>44909.622916666667</v>
      </c>
      <c r="I768" t="s">
        <v>185</v>
      </c>
      <c r="Z768">
        <v>45690</v>
      </c>
    </row>
    <row r="769" spans="1:26" x14ac:dyDescent="0.25">
      <c r="A769" t="s">
        <v>1280</v>
      </c>
      <c r="B769" t="s">
        <v>26</v>
      </c>
      <c r="C769" t="s">
        <v>27</v>
      </c>
      <c r="H769" s="2">
        <v>44908.598611111112</v>
      </c>
      <c r="I769" t="s">
        <v>205</v>
      </c>
      <c r="Z769">
        <v>45618</v>
      </c>
    </row>
    <row r="770" spans="1:26" x14ac:dyDescent="0.25">
      <c r="A770" t="s">
        <v>1281</v>
      </c>
      <c r="B770" t="s">
        <v>26</v>
      </c>
      <c r="C770" t="s">
        <v>27</v>
      </c>
      <c r="H770" s="2">
        <v>44908.591666666667</v>
      </c>
      <c r="I770" t="s">
        <v>29</v>
      </c>
      <c r="Z770">
        <v>45615</v>
      </c>
    </row>
    <row r="771" spans="1:26" x14ac:dyDescent="0.25">
      <c r="A771" t="s">
        <v>1282</v>
      </c>
      <c r="B771" t="s">
        <v>117</v>
      </c>
      <c r="C771" t="s">
        <v>27</v>
      </c>
      <c r="E771" t="s">
        <v>51</v>
      </c>
      <c r="G771" t="s">
        <v>1283</v>
      </c>
      <c r="H771" s="2">
        <v>44908.472916666666</v>
      </c>
      <c r="I771" t="s">
        <v>162</v>
      </c>
      <c r="Z771">
        <v>45598</v>
      </c>
    </row>
    <row r="772" spans="1:26" x14ac:dyDescent="0.25">
      <c r="A772" t="s">
        <v>1284</v>
      </c>
      <c r="B772" t="s">
        <v>46</v>
      </c>
      <c r="C772" t="s">
        <v>27</v>
      </c>
      <c r="E772" t="s">
        <v>95</v>
      </c>
      <c r="G772" t="s">
        <v>192</v>
      </c>
      <c r="H772" s="2">
        <v>44906.806250000001</v>
      </c>
      <c r="I772" t="s">
        <v>151</v>
      </c>
      <c r="Z772">
        <v>45486</v>
      </c>
    </row>
    <row r="773" spans="1:26" x14ac:dyDescent="0.25">
      <c r="A773" t="s">
        <v>89</v>
      </c>
      <c r="B773" t="s">
        <v>74</v>
      </c>
      <c r="C773" t="s">
        <v>27</v>
      </c>
      <c r="E773" t="s">
        <v>1285</v>
      </c>
      <c r="H773" s="2">
        <v>44906.534722222219</v>
      </c>
      <c r="I773" t="s">
        <v>29</v>
      </c>
      <c r="K773" t="s">
        <v>30</v>
      </c>
      <c r="L773" t="s">
        <v>31</v>
      </c>
      <c r="M773">
        <v>67127941</v>
      </c>
      <c r="N773">
        <v>11954234035</v>
      </c>
      <c r="Z773">
        <v>45446</v>
      </c>
    </row>
    <row r="774" spans="1:26" x14ac:dyDescent="0.25">
      <c r="A774" t="s">
        <v>489</v>
      </c>
      <c r="B774" t="s">
        <v>125</v>
      </c>
      <c r="C774" t="s">
        <v>27</v>
      </c>
      <c r="E774" t="s">
        <v>1286</v>
      </c>
      <c r="G774" t="s">
        <v>1287</v>
      </c>
      <c r="H774" s="2">
        <v>44906.400694444441</v>
      </c>
      <c r="I774" t="s">
        <v>205</v>
      </c>
      <c r="Z774">
        <v>45425</v>
      </c>
    </row>
    <row r="775" spans="1:26" x14ac:dyDescent="0.25">
      <c r="A775" t="s">
        <v>1288</v>
      </c>
      <c r="B775" t="s">
        <v>26</v>
      </c>
      <c r="C775" t="s">
        <v>27</v>
      </c>
      <c r="H775" s="2">
        <v>44905.447916666664</v>
      </c>
      <c r="I775" t="s">
        <v>189</v>
      </c>
      <c r="Z775">
        <v>45350</v>
      </c>
    </row>
    <row r="776" spans="1:26" x14ac:dyDescent="0.25">
      <c r="A776" t="s">
        <v>1289</v>
      </c>
      <c r="B776" t="s">
        <v>26</v>
      </c>
      <c r="C776" t="s">
        <v>27</v>
      </c>
      <c r="H776" s="2">
        <v>44898.605555555558</v>
      </c>
      <c r="I776" t="s">
        <v>151</v>
      </c>
      <c r="Z776">
        <v>44875</v>
      </c>
    </row>
    <row r="777" spans="1:26" x14ac:dyDescent="0.25">
      <c r="A777" t="s">
        <v>1290</v>
      </c>
      <c r="B777" t="s">
        <v>125</v>
      </c>
      <c r="C777" t="s">
        <v>27</v>
      </c>
      <c r="E777" t="s">
        <v>1291</v>
      </c>
      <c r="H777" s="2">
        <v>44897.395833333336</v>
      </c>
      <c r="I777" t="s">
        <v>151</v>
      </c>
      <c r="K777" t="s">
        <v>30</v>
      </c>
      <c r="L777" t="s">
        <v>31</v>
      </c>
      <c r="M777">
        <v>55887113</v>
      </c>
      <c r="N777">
        <v>9754620472</v>
      </c>
      <c r="O777" t="s">
        <v>812</v>
      </c>
      <c r="Z777">
        <v>44726</v>
      </c>
    </row>
    <row r="778" spans="1:26" x14ac:dyDescent="0.25">
      <c r="A778" t="s">
        <v>172</v>
      </c>
      <c r="B778" t="s">
        <v>125</v>
      </c>
      <c r="C778" t="s">
        <v>27</v>
      </c>
      <c r="E778" t="s">
        <v>1292</v>
      </c>
      <c r="H778" s="2">
        <v>44893.824305555558</v>
      </c>
      <c r="I778" t="s">
        <v>205</v>
      </c>
      <c r="K778" t="s">
        <v>30</v>
      </c>
      <c r="L778" t="s">
        <v>31</v>
      </c>
      <c r="M778">
        <v>67127941</v>
      </c>
      <c r="N778">
        <v>11954234046</v>
      </c>
      <c r="O778" t="s">
        <v>1293</v>
      </c>
      <c r="Z778">
        <v>44426</v>
      </c>
    </row>
    <row r="779" spans="1:26" x14ac:dyDescent="0.25">
      <c r="A779" t="s">
        <v>172</v>
      </c>
      <c r="B779" t="s">
        <v>125</v>
      </c>
      <c r="C779" t="s">
        <v>27</v>
      </c>
      <c r="E779" t="s">
        <v>68</v>
      </c>
      <c r="G779" t="s">
        <v>1196</v>
      </c>
      <c r="H779" s="2">
        <v>44893.715277777781</v>
      </c>
      <c r="I779" t="s">
        <v>185</v>
      </c>
      <c r="Z779">
        <v>44406</v>
      </c>
    </row>
    <row r="780" spans="1:26" x14ac:dyDescent="0.25">
      <c r="A780" t="s">
        <v>1294</v>
      </c>
      <c r="B780" t="s">
        <v>26</v>
      </c>
      <c r="C780" t="s">
        <v>27</v>
      </c>
      <c r="H780" s="2">
        <v>44893.576388888891</v>
      </c>
      <c r="I780" t="s">
        <v>189</v>
      </c>
      <c r="Z780">
        <v>44345</v>
      </c>
    </row>
    <row r="781" spans="1:26" x14ac:dyDescent="0.25">
      <c r="A781" t="s">
        <v>999</v>
      </c>
      <c r="B781" t="s">
        <v>26</v>
      </c>
      <c r="C781" t="s">
        <v>27</v>
      </c>
      <c r="H781" s="2">
        <v>44889.626388888886</v>
      </c>
      <c r="I781" t="s">
        <v>205</v>
      </c>
      <c r="Z781">
        <v>43966</v>
      </c>
    </row>
    <row r="782" spans="1:26" x14ac:dyDescent="0.25">
      <c r="A782" t="s">
        <v>130</v>
      </c>
      <c r="B782" t="s">
        <v>125</v>
      </c>
      <c r="C782" t="s">
        <v>27</v>
      </c>
      <c r="E782" t="s">
        <v>1286</v>
      </c>
      <c r="G782" t="s">
        <v>1287</v>
      </c>
      <c r="H782" s="2">
        <v>44888.681250000001</v>
      </c>
      <c r="I782" t="s">
        <v>185</v>
      </c>
      <c r="Z782">
        <v>43917</v>
      </c>
    </row>
    <row r="783" spans="1:26" x14ac:dyDescent="0.25">
      <c r="A783" t="s">
        <v>1273</v>
      </c>
      <c r="B783" t="s">
        <v>26</v>
      </c>
      <c r="C783" t="s">
        <v>27</v>
      </c>
      <c r="H783" s="2">
        <v>44888.650694444441</v>
      </c>
      <c r="I783" t="s">
        <v>185</v>
      </c>
      <c r="Z783">
        <v>43915</v>
      </c>
    </row>
    <row r="784" spans="1:26" x14ac:dyDescent="0.25">
      <c r="A784" t="s">
        <v>1295</v>
      </c>
      <c r="B784" t="s">
        <v>26</v>
      </c>
      <c r="C784" t="s">
        <v>27</v>
      </c>
      <c r="H784" s="2">
        <v>44884.415972222225</v>
      </c>
      <c r="I784" t="s">
        <v>200</v>
      </c>
      <c r="Z784">
        <v>43665</v>
      </c>
    </row>
    <row r="785" spans="1:26" x14ac:dyDescent="0.25">
      <c r="A785" t="s">
        <v>172</v>
      </c>
      <c r="B785" t="s">
        <v>209</v>
      </c>
      <c r="C785" t="s">
        <v>27</v>
      </c>
      <c r="E785" t="s">
        <v>62</v>
      </c>
      <c r="H785" s="2">
        <v>44876.762499999997</v>
      </c>
      <c r="I785" t="s">
        <v>185</v>
      </c>
      <c r="K785" t="s">
        <v>30</v>
      </c>
      <c r="L785" t="s">
        <v>31</v>
      </c>
      <c r="M785">
        <v>55887113</v>
      </c>
      <c r="N785">
        <v>9754620477</v>
      </c>
      <c r="O785" t="s">
        <v>1089</v>
      </c>
      <c r="Z785">
        <v>43152</v>
      </c>
    </row>
    <row r="786" spans="1:26" x14ac:dyDescent="0.25">
      <c r="A786" t="s">
        <v>1296</v>
      </c>
      <c r="B786" t="s">
        <v>26</v>
      </c>
      <c r="C786" t="s">
        <v>27</v>
      </c>
      <c r="H786" s="2">
        <v>44876.584027777775</v>
      </c>
      <c r="I786" t="s">
        <v>118</v>
      </c>
      <c r="Z786">
        <v>43133</v>
      </c>
    </row>
    <row r="787" spans="1:26" x14ac:dyDescent="0.25">
      <c r="A787" t="s">
        <v>172</v>
      </c>
      <c r="B787" t="s">
        <v>26</v>
      </c>
      <c r="C787" t="s">
        <v>27</v>
      </c>
      <c r="H787" s="2">
        <v>44875.810416666667</v>
      </c>
      <c r="I787" t="s">
        <v>205</v>
      </c>
      <c r="Z787">
        <v>43069</v>
      </c>
    </row>
    <row r="788" spans="1:26" x14ac:dyDescent="0.25">
      <c r="A788" t="s">
        <v>1297</v>
      </c>
      <c r="B788" t="s">
        <v>26</v>
      </c>
      <c r="C788" t="s">
        <v>27</v>
      </c>
      <c r="H788" s="2">
        <v>44874.611805555556</v>
      </c>
      <c r="I788" t="s">
        <v>189</v>
      </c>
      <c r="Z788">
        <v>42951</v>
      </c>
    </row>
    <row r="789" spans="1:26" x14ac:dyDescent="0.25">
      <c r="A789" t="s">
        <v>1298</v>
      </c>
      <c r="B789" t="s">
        <v>26</v>
      </c>
      <c r="C789" t="s">
        <v>27</v>
      </c>
      <c r="H789" s="2">
        <v>44872.731249999997</v>
      </c>
      <c r="I789" t="s">
        <v>207</v>
      </c>
      <c r="Z789">
        <v>42814</v>
      </c>
    </row>
    <row r="790" spans="1:26" x14ac:dyDescent="0.25">
      <c r="A790" t="s">
        <v>158</v>
      </c>
      <c r="B790" t="s">
        <v>140</v>
      </c>
      <c r="C790" t="s">
        <v>27</v>
      </c>
      <c r="E790" t="s">
        <v>43</v>
      </c>
      <c r="H790" s="2">
        <v>44872.540277777778</v>
      </c>
      <c r="I790" t="s">
        <v>102</v>
      </c>
      <c r="Z790">
        <v>42780</v>
      </c>
    </row>
    <row r="791" spans="1:26" x14ac:dyDescent="0.25">
      <c r="A791" t="s">
        <v>1299</v>
      </c>
      <c r="B791" t="s">
        <v>26</v>
      </c>
      <c r="C791" t="s">
        <v>27</v>
      </c>
      <c r="H791" s="2">
        <v>44869.802083333336</v>
      </c>
      <c r="I791" t="s">
        <v>150</v>
      </c>
      <c r="Z791">
        <v>42589</v>
      </c>
    </row>
    <row r="792" spans="1:26" x14ac:dyDescent="0.25">
      <c r="A792" t="s">
        <v>1300</v>
      </c>
      <c r="B792" t="s">
        <v>117</v>
      </c>
      <c r="C792" t="s">
        <v>27</v>
      </c>
      <c r="E792" t="s">
        <v>1301</v>
      </c>
      <c r="G792" t="s">
        <v>1302</v>
      </c>
      <c r="H792" s="2">
        <v>44869.789583333331</v>
      </c>
      <c r="I792" t="s">
        <v>185</v>
      </c>
      <c r="Z792">
        <v>42588</v>
      </c>
    </row>
    <row r="793" spans="1:26" x14ac:dyDescent="0.25">
      <c r="A793" t="s">
        <v>1303</v>
      </c>
      <c r="B793" t="s">
        <v>26</v>
      </c>
      <c r="C793" t="s">
        <v>27</v>
      </c>
      <c r="H793" s="2">
        <v>44867.499305555553</v>
      </c>
      <c r="I793" t="s">
        <v>189</v>
      </c>
      <c r="Z793">
        <v>42403</v>
      </c>
    </row>
    <row r="794" spans="1:26" x14ac:dyDescent="0.25">
      <c r="A794" t="s">
        <v>158</v>
      </c>
      <c r="B794" t="s">
        <v>140</v>
      </c>
      <c r="C794" t="s">
        <v>60</v>
      </c>
      <c r="E794" t="s">
        <v>43</v>
      </c>
      <c r="H794" s="2">
        <v>44866.734722222223</v>
      </c>
      <c r="I794" t="s">
        <v>162</v>
      </c>
      <c r="Z794">
        <v>42348</v>
      </c>
    </row>
    <row r="795" spans="1:26" x14ac:dyDescent="0.25">
      <c r="A795" t="s">
        <v>172</v>
      </c>
      <c r="C795" t="s">
        <v>27</v>
      </c>
      <c r="E795" t="s">
        <v>49</v>
      </c>
      <c r="H795" s="2">
        <v>44865.520138888889</v>
      </c>
      <c r="I795" t="s">
        <v>185</v>
      </c>
      <c r="Z795">
        <v>42224</v>
      </c>
    </row>
    <row r="796" spans="1:26" x14ac:dyDescent="0.25">
      <c r="A796" t="s">
        <v>172</v>
      </c>
      <c r="B796" t="s">
        <v>131</v>
      </c>
      <c r="C796" t="s">
        <v>27</v>
      </c>
      <c r="E796" t="s">
        <v>45</v>
      </c>
      <c r="H796" s="2">
        <v>44864.377083333333</v>
      </c>
      <c r="I796" t="s">
        <v>185</v>
      </c>
      <c r="Z796">
        <v>42146</v>
      </c>
    </row>
    <row r="797" spans="1:26" x14ac:dyDescent="0.25">
      <c r="A797" t="s">
        <v>1304</v>
      </c>
      <c r="B797" t="s">
        <v>26</v>
      </c>
      <c r="C797" t="s">
        <v>27</v>
      </c>
      <c r="H797" s="2">
        <v>44862.631944444445</v>
      </c>
      <c r="I797" t="s">
        <v>118</v>
      </c>
      <c r="Z797">
        <v>42048</v>
      </c>
    </row>
    <row r="798" spans="1:26" x14ac:dyDescent="0.25">
      <c r="A798" t="s">
        <v>1305</v>
      </c>
      <c r="B798" t="s">
        <v>26</v>
      </c>
      <c r="C798" t="s">
        <v>27</v>
      </c>
      <c r="H798" s="2">
        <v>44861.481249999997</v>
      </c>
      <c r="I798" t="s">
        <v>150</v>
      </c>
      <c r="Z798">
        <v>41955</v>
      </c>
    </row>
    <row r="799" spans="1:26" x14ac:dyDescent="0.25">
      <c r="A799" t="s">
        <v>212</v>
      </c>
      <c r="B799" t="s">
        <v>125</v>
      </c>
      <c r="C799" t="s">
        <v>27</v>
      </c>
      <c r="E799" t="s">
        <v>61</v>
      </c>
      <c r="H799" s="2">
        <v>44861.375</v>
      </c>
      <c r="I799" t="s">
        <v>102</v>
      </c>
      <c r="Z799">
        <v>41924</v>
      </c>
    </row>
    <row r="800" spans="1:26" x14ac:dyDescent="0.25">
      <c r="A800" t="s">
        <v>1306</v>
      </c>
      <c r="B800" t="s">
        <v>26</v>
      </c>
      <c r="C800" t="s">
        <v>27</v>
      </c>
      <c r="H800" s="2">
        <v>44860.463888888888</v>
      </c>
      <c r="I800" t="s">
        <v>185</v>
      </c>
      <c r="Z800">
        <v>41861</v>
      </c>
    </row>
    <row r="801" spans="1:26" x14ac:dyDescent="0.25">
      <c r="A801" t="s">
        <v>1307</v>
      </c>
      <c r="B801" t="s">
        <v>131</v>
      </c>
      <c r="C801" t="s">
        <v>27</v>
      </c>
      <c r="H801" s="2">
        <v>44859.396527777775</v>
      </c>
      <c r="I801" t="s">
        <v>29</v>
      </c>
      <c r="Z801">
        <v>41786</v>
      </c>
    </row>
    <row r="802" spans="1:26" x14ac:dyDescent="0.25">
      <c r="A802" t="s">
        <v>182</v>
      </c>
      <c r="B802" t="s">
        <v>131</v>
      </c>
      <c r="C802" t="s">
        <v>27</v>
      </c>
      <c r="E802" t="s">
        <v>76</v>
      </c>
      <c r="H802" s="2">
        <v>44858.681250000001</v>
      </c>
      <c r="I802" t="s">
        <v>29</v>
      </c>
      <c r="Z802">
        <v>41767</v>
      </c>
    </row>
    <row r="803" spans="1:26" x14ac:dyDescent="0.25">
      <c r="A803" t="s">
        <v>172</v>
      </c>
      <c r="B803" t="s">
        <v>26</v>
      </c>
      <c r="C803" t="s">
        <v>27</v>
      </c>
      <c r="H803" s="2">
        <v>44858.680555555555</v>
      </c>
      <c r="I803" t="s">
        <v>205</v>
      </c>
      <c r="Z803">
        <v>41766</v>
      </c>
    </row>
    <row r="804" spans="1:26" x14ac:dyDescent="0.25">
      <c r="A804" t="s">
        <v>172</v>
      </c>
      <c r="B804" t="s">
        <v>131</v>
      </c>
      <c r="C804" t="s">
        <v>27</v>
      </c>
      <c r="E804" t="s">
        <v>80</v>
      </c>
      <c r="G804" t="s">
        <v>169</v>
      </c>
      <c r="H804" s="2">
        <v>44858.609722222223</v>
      </c>
      <c r="I804" t="s">
        <v>205</v>
      </c>
      <c r="Z804">
        <v>41758</v>
      </c>
    </row>
    <row r="805" spans="1:26" x14ac:dyDescent="0.25">
      <c r="A805" t="s">
        <v>1308</v>
      </c>
      <c r="B805" t="s">
        <v>26</v>
      </c>
      <c r="C805" t="s">
        <v>27</v>
      </c>
      <c r="H805" s="2">
        <v>44858.429861111108</v>
      </c>
      <c r="I805" t="s">
        <v>200</v>
      </c>
      <c r="Z805">
        <v>41733</v>
      </c>
    </row>
    <row r="806" spans="1:26" x14ac:dyDescent="0.25">
      <c r="A806" t="s">
        <v>1309</v>
      </c>
      <c r="B806" t="s">
        <v>26</v>
      </c>
      <c r="C806" t="s">
        <v>27</v>
      </c>
      <c r="H806" s="2">
        <v>44851.509027777778</v>
      </c>
      <c r="I806" t="s">
        <v>29</v>
      </c>
      <c r="Z806">
        <v>41353</v>
      </c>
    </row>
    <row r="807" spans="1:26" x14ac:dyDescent="0.25">
      <c r="A807" t="s">
        <v>1310</v>
      </c>
      <c r="B807" t="s">
        <v>26</v>
      </c>
      <c r="C807" t="s">
        <v>27</v>
      </c>
      <c r="H807" s="2">
        <v>44845.730555555558</v>
      </c>
      <c r="I807" t="s">
        <v>207</v>
      </c>
      <c r="Z807">
        <v>41111</v>
      </c>
    </row>
    <row r="808" spans="1:26" x14ac:dyDescent="0.25">
      <c r="A808" t="s">
        <v>1311</v>
      </c>
      <c r="B808" t="s">
        <v>26</v>
      </c>
      <c r="C808" t="s">
        <v>27</v>
      </c>
      <c r="H808" s="2">
        <v>44841.730555555558</v>
      </c>
      <c r="I808" t="s">
        <v>137</v>
      </c>
      <c r="Z808">
        <v>40909</v>
      </c>
    </row>
    <row r="809" spans="1:26" x14ac:dyDescent="0.25">
      <c r="A809" t="s">
        <v>1312</v>
      </c>
      <c r="B809" t="s">
        <v>131</v>
      </c>
      <c r="C809" t="s">
        <v>27</v>
      </c>
      <c r="E809" t="s">
        <v>126</v>
      </c>
      <c r="H809" s="2">
        <v>44838.536805555559</v>
      </c>
      <c r="I809" t="s">
        <v>118</v>
      </c>
      <c r="Z809">
        <v>40757</v>
      </c>
    </row>
    <row r="810" spans="1:26" x14ac:dyDescent="0.25">
      <c r="A810" t="s">
        <v>1313</v>
      </c>
      <c r="B810" t="s">
        <v>131</v>
      </c>
      <c r="C810" t="s">
        <v>27</v>
      </c>
      <c r="E810" t="s">
        <v>1314</v>
      </c>
      <c r="H810" s="2">
        <v>44837.472916666666</v>
      </c>
      <c r="I810" t="s">
        <v>151</v>
      </c>
      <c r="Z810">
        <v>40700</v>
      </c>
    </row>
    <row r="811" spans="1:26" x14ac:dyDescent="0.25">
      <c r="A811" t="s">
        <v>215</v>
      </c>
      <c r="C811" t="s">
        <v>27</v>
      </c>
      <c r="E811" t="s">
        <v>79</v>
      </c>
      <c r="H811" s="2">
        <v>44836.836805555555</v>
      </c>
      <c r="I811" t="s">
        <v>118</v>
      </c>
      <c r="Z811">
        <v>40680</v>
      </c>
    </row>
    <row r="812" spans="1:26" x14ac:dyDescent="0.25">
      <c r="A812" t="s">
        <v>1309</v>
      </c>
      <c r="C812" t="s">
        <v>27</v>
      </c>
      <c r="E812" t="s">
        <v>45</v>
      </c>
      <c r="H812" s="2">
        <v>44836.354861111111</v>
      </c>
      <c r="I812" t="s">
        <v>29</v>
      </c>
      <c r="Z812">
        <v>40639</v>
      </c>
    </row>
    <row r="813" spans="1:26" x14ac:dyDescent="0.25">
      <c r="A813" t="s">
        <v>1315</v>
      </c>
      <c r="B813" t="s">
        <v>125</v>
      </c>
      <c r="C813" t="s">
        <v>60</v>
      </c>
      <c r="E813" t="s">
        <v>1316</v>
      </c>
      <c r="H813" s="2">
        <v>44835.804166666669</v>
      </c>
      <c r="I813" t="s">
        <v>151</v>
      </c>
      <c r="Z813">
        <v>40631</v>
      </c>
    </row>
    <row r="814" spans="1:26" x14ac:dyDescent="0.25">
      <c r="A814" t="s">
        <v>1317</v>
      </c>
      <c r="B814" t="s">
        <v>125</v>
      </c>
      <c r="C814" t="s">
        <v>27</v>
      </c>
      <c r="E814" t="s">
        <v>1318</v>
      </c>
      <c r="H814" s="2">
        <v>44833.507638888892</v>
      </c>
      <c r="I814" t="s">
        <v>29</v>
      </c>
      <c r="K814" t="s">
        <v>30</v>
      </c>
      <c r="L814" t="s">
        <v>31</v>
      </c>
      <c r="M814">
        <v>55887113</v>
      </c>
      <c r="N814">
        <v>9754620480</v>
      </c>
      <c r="O814" t="s">
        <v>812</v>
      </c>
      <c r="Z814">
        <v>40532</v>
      </c>
    </row>
    <row r="815" spans="1:26" x14ac:dyDescent="0.25">
      <c r="A815" t="s">
        <v>1319</v>
      </c>
      <c r="B815" t="s">
        <v>26</v>
      </c>
      <c r="C815" t="s">
        <v>27</v>
      </c>
      <c r="H815" s="2">
        <v>44832.439583333333</v>
      </c>
      <c r="I815" t="s">
        <v>207</v>
      </c>
      <c r="Z815">
        <v>40498</v>
      </c>
    </row>
    <row r="816" spans="1:26" x14ac:dyDescent="0.25">
      <c r="A816" t="s">
        <v>1320</v>
      </c>
      <c r="B816" t="s">
        <v>26</v>
      </c>
      <c r="C816" t="s">
        <v>27</v>
      </c>
      <c r="H816" s="2">
        <v>44831.834722222222</v>
      </c>
      <c r="I816" t="s">
        <v>150</v>
      </c>
      <c r="Z816">
        <v>40493</v>
      </c>
    </row>
    <row r="817" spans="1:26" x14ac:dyDescent="0.25">
      <c r="A817" t="s">
        <v>1315</v>
      </c>
      <c r="B817" t="s">
        <v>125</v>
      </c>
      <c r="C817" t="s">
        <v>27</v>
      </c>
      <c r="E817" t="s">
        <v>95</v>
      </c>
      <c r="G817" t="s">
        <v>1321</v>
      </c>
      <c r="H817" s="2">
        <v>44831.809027777781</v>
      </c>
      <c r="I817" t="s">
        <v>151</v>
      </c>
      <c r="Z817">
        <v>40490</v>
      </c>
    </row>
    <row r="818" spans="1:26" x14ac:dyDescent="0.25">
      <c r="A818" t="s">
        <v>1322</v>
      </c>
      <c r="B818" t="s">
        <v>26</v>
      </c>
      <c r="C818" t="s">
        <v>60</v>
      </c>
      <c r="H818" s="2">
        <v>44831.689583333333</v>
      </c>
      <c r="I818" t="s">
        <v>205</v>
      </c>
      <c r="Z818">
        <v>40480</v>
      </c>
    </row>
    <row r="819" spans="1:26" x14ac:dyDescent="0.25">
      <c r="A819" t="s">
        <v>1319</v>
      </c>
      <c r="B819" t="s">
        <v>26</v>
      </c>
      <c r="C819" t="s">
        <v>27</v>
      </c>
      <c r="H819" s="2">
        <v>44831.573611111111</v>
      </c>
      <c r="I819" t="s">
        <v>189</v>
      </c>
      <c r="Z819">
        <v>40473</v>
      </c>
    </row>
    <row r="820" spans="1:26" x14ac:dyDescent="0.25">
      <c r="A820" t="s">
        <v>1309</v>
      </c>
      <c r="B820" t="s">
        <v>26</v>
      </c>
      <c r="C820" t="s">
        <v>27</v>
      </c>
      <c r="H820" s="2">
        <v>44829.804166666669</v>
      </c>
      <c r="I820" t="s">
        <v>29</v>
      </c>
      <c r="Z820">
        <v>40424</v>
      </c>
    </row>
    <row r="821" spans="1:26" x14ac:dyDescent="0.25">
      <c r="A821" t="s">
        <v>1323</v>
      </c>
      <c r="B821" t="s">
        <v>26</v>
      </c>
      <c r="C821" t="s">
        <v>27</v>
      </c>
      <c r="H821" s="2">
        <v>44829.683333333334</v>
      </c>
      <c r="I821" t="s">
        <v>200</v>
      </c>
      <c r="Z821">
        <v>40421</v>
      </c>
    </row>
    <row r="822" spans="1:26" x14ac:dyDescent="0.25">
      <c r="A822" t="s">
        <v>1324</v>
      </c>
      <c r="B822" t="s">
        <v>26</v>
      </c>
      <c r="C822" t="s">
        <v>27</v>
      </c>
      <c r="H822" s="2">
        <v>44827.556944444441</v>
      </c>
      <c r="I822" t="s">
        <v>207</v>
      </c>
      <c r="Z822">
        <v>40346</v>
      </c>
    </row>
    <row r="823" spans="1:26" x14ac:dyDescent="0.25">
      <c r="A823" t="s">
        <v>188</v>
      </c>
      <c r="B823" t="s">
        <v>125</v>
      </c>
      <c r="C823" t="s">
        <v>27</v>
      </c>
      <c r="E823" t="s">
        <v>44</v>
      </c>
      <c r="H823" s="2">
        <v>44827.459027777775</v>
      </c>
      <c r="I823" t="s">
        <v>118</v>
      </c>
      <c r="K823" t="s">
        <v>30</v>
      </c>
      <c r="L823" t="s">
        <v>31</v>
      </c>
      <c r="M823">
        <v>55887113</v>
      </c>
      <c r="N823">
        <v>9754620470</v>
      </c>
      <c r="O823" t="s">
        <v>1293</v>
      </c>
      <c r="Z823">
        <v>40330</v>
      </c>
    </row>
    <row r="824" spans="1:26" x14ac:dyDescent="0.25">
      <c r="A824" t="s">
        <v>1325</v>
      </c>
      <c r="B824" t="s">
        <v>131</v>
      </c>
      <c r="C824" t="s">
        <v>27</v>
      </c>
      <c r="E824" t="s">
        <v>112</v>
      </c>
      <c r="G824" t="s">
        <v>1326</v>
      </c>
      <c r="H824" s="2">
        <v>44825.708333333336</v>
      </c>
      <c r="I824" t="s">
        <v>205</v>
      </c>
      <c r="Z824">
        <v>40264</v>
      </c>
    </row>
    <row r="825" spans="1:26" x14ac:dyDescent="0.25">
      <c r="A825" t="s">
        <v>1327</v>
      </c>
      <c r="B825" t="s">
        <v>26</v>
      </c>
      <c r="C825" t="s">
        <v>27</v>
      </c>
      <c r="H825" s="2">
        <v>44824.588888888888</v>
      </c>
      <c r="I825" t="s">
        <v>132</v>
      </c>
      <c r="Z825">
        <v>40222</v>
      </c>
    </row>
    <row r="826" spans="1:26" x14ac:dyDescent="0.25">
      <c r="A826" t="s">
        <v>1328</v>
      </c>
      <c r="B826" t="s">
        <v>26</v>
      </c>
      <c r="C826" t="s">
        <v>27</v>
      </c>
      <c r="H826" s="2">
        <v>44824.47152777778</v>
      </c>
      <c r="I826" t="s">
        <v>151</v>
      </c>
      <c r="Z826">
        <v>40213</v>
      </c>
    </row>
    <row r="827" spans="1:26" x14ac:dyDescent="0.25">
      <c r="A827" t="s">
        <v>1329</v>
      </c>
      <c r="B827" t="s">
        <v>26</v>
      </c>
      <c r="C827" t="s">
        <v>27</v>
      </c>
      <c r="H827" s="2">
        <v>44818.539583333331</v>
      </c>
      <c r="I827" t="s">
        <v>205</v>
      </c>
      <c r="Z827">
        <v>39940</v>
      </c>
    </row>
    <row r="828" spans="1:26" x14ac:dyDescent="0.25">
      <c r="A828" t="s">
        <v>1309</v>
      </c>
      <c r="B828" t="s">
        <v>125</v>
      </c>
      <c r="C828" t="s">
        <v>27</v>
      </c>
      <c r="E828" t="s">
        <v>56</v>
      </c>
      <c r="H828" s="2">
        <v>44817.724999999999</v>
      </c>
      <c r="I828" t="s">
        <v>29</v>
      </c>
      <c r="K828" t="s">
        <v>30</v>
      </c>
      <c r="L828" t="s">
        <v>31</v>
      </c>
      <c r="M828">
        <v>67127941</v>
      </c>
      <c r="N828">
        <v>11954234035</v>
      </c>
      <c r="O828" t="s">
        <v>83</v>
      </c>
      <c r="Z828">
        <v>39916</v>
      </c>
    </row>
    <row r="829" spans="1:26" x14ac:dyDescent="0.25">
      <c r="A829" t="s">
        <v>1328</v>
      </c>
      <c r="B829" t="s">
        <v>26</v>
      </c>
      <c r="C829" t="s">
        <v>27</v>
      </c>
      <c r="H829" s="2">
        <v>44817.576388888891</v>
      </c>
      <c r="I829" t="s">
        <v>151</v>
      </c>
      <c r="Z829">
        <v>39899</v>
      </c>
    </row>
    <row r="830" spans="1:26" x14ac:dyDescent="0.25">
      <c r="A830" t="s">
        <v>1330</v>
      </c>
      <c r="B830" t="s">
        <v>26</v>
      </c>
      <c r="C830" t="s">
        <v>27</v>
      </c>
      <c r="H830" s="2">
        <v>44817.38958333333</v>
      </c>
      <c r="I830" t="s">
        <v>200</v>
      </c>
      <c r="Z830">
        <v>39882</v>
      </c>
    </row>
    <row r="831" spans="1:26" x14ac:dyDescent="0.25">
      <c r="A831" t="s">
        <v>1309</v>
      </c>
      <c r="B831" t="s">
        <v>26</v>
      </c>
      <c r="C831" t="s">
        <v>27</v>
      </c>
      <c r="H831" s="2">
        <v>44815.484722222223</v>
      </c>
      <c r="I831" t="s">
        <v>29</v>
      </c>
      <c r="Z831">
        <v>39809</v>
      </c>
    </row>
    <row r="832" spans="1:26" x14ac:dyDescent="0.25">
      <c r="A832" t="s">
        <v>1331</v>
      </c>
      <c r="B832" t="s">
        <v>26</v>
      </c>
      <c r="C832" t="s">
        <v>27</v>
      </c>
      <c r="H832" s="2">
        <v>44813.619444444441</v>
      </c>
      <c r="I832" t="s">
        <v>207</v>
      </c>
      <c r="Z832">
        <v>39725</v>
      </c>
    </row>
    <row r="833" spans="1:26" x14ac:dyDescent="0.25">
      <c r="A833" t="s">
        <v>1332</v>
      </c>
      <c r="B833" t="s">
        <v>26</v>
      </c>
      <c r="C833" t="s">
        <v>27</v>
      </c>
      <c r="H833" s="2">
        <v>44810.565972222219</v>
      </c>
      <c r="I833" t="s">
        <v>200</v>
      </c>
      <c r="Z833">
        <v>39583</v>
      </c>
    </row>
    <row r="834" spans="1:26" x14ac:dyDescent="0.25">
      <c r="A834" t="s">
        <v>172</v>
      </c>
      <c r="B834" t="s">
        <v>125</v>
      </c>
      <c r="C834" t="s">
        <v>27</v>
      </c>
      <c r="E834" t="s">
        <v>1333</v>
      </c>
      <c r="H834" s="2">
        <v>44805.861111111109</v>
      </c>
      <c r="I834" t="s">
        <v>185</v>
      </c>
      <c r="K834" t="s">
        <v>30</v>
      </c>
      <c r="L834" t="s">
        <v>31</v>
      </c>
      <c r="M834">
        <v>67127941</v>
      </c>
      <c r="N834">
        <v>11954234038</v>
      </c>
      <c r="O834" t="s">
        <v>602</v>
      </c>
      <c r="Z834">
        <v>39403</v>
      </c>
    </row>
    <row r="835" spans="1:26" x14ac:dyDescent="0.25">
      <c r="A835" t="s">
        <v>172</v>
      </c>
      <c r="B835" t="s">
        <v>26</v>
      </c>
      <c r="C835" t="s">
        <v>27</v>
      </c>
      <c r="H835" s="2">
        <v>44804.54791666667</v>
      </c>
      <c r="I835" t="s">
        <v>185</v>
      </c>
      <c r="Z835">
        <v>39330</v>
      </c>
    </row>
    <row r="836" spans="1:26" x14ac:dyDescent="0.25">
      <c r="A836" t="s">
        <v>1157</v>
      </c>
      <c r="B836" t="s">
        <v>131</v>
      </c>
      <c r="C836" t="s">
        <v>27</v>
      </c>
      <c r="E836" t="s">
        <v>63</v>
      </c>
      <c r="H836" s="2">
        <v>44796.683333333334</v>
      </c>
      <c r="I836" t="s">
        <v>205</v>
      </c>
      <c r="Z836">
        <v>38924</v>
      </c>
    </row>
    <row r="837" spans="1:26" x14ac:dyDescent="0.25">
      <c r="A837" t="s">
        <v>1334</v>
      </c>
      <c r="B837" t="s">
        <v>46</v>
      </c>
      <c r="C837" t="s">
        <v>27</v>
      </c>
      <c r="E837" t="s">
        <v>70</v>
      </c>
      <c r="G837" t="s">
        <v>1335</v>
      </c>
      <c r="H837" s="2">
        <v>44795.464583333334</v>
      </c>
      <c r="I837" t="s">
        <v>205</v>
      </c>
      <c r="Z837">
        <v>38830</v>
      </c>
    </row>
    <row r="838" spans="1:26" x14ac:dyDescent="0.25">
      <c r="A838" t="s">
        <v>1187</v>
      </c>
      <c r="B838" t="s">
        <v>26</v>
      </c>
      <c r="C838" t="s">
        <v>27</v>
      </c>
      <c r="H838" s="2">
        <v>44794.414583333331</v>
      </c>
      <c r="I838" t="s">
        <v>132</v>
      </c>
      <c r="Z838">
        <v>38767</v>
      </c>
    </row>
    <row r="839" spans="1:26" x14ac:dyDescent="0.25">
      <c r="A839" t="s">
        <v>1336</v>
      </c>
      <c r="B839" t="s">
        <v>26</v>
      </c>
      <c r="C839" t="s">
        <v>27</v>
      </c>
      <c r="H839" s="2">
        <v>44790.668749999997</v>
      </c>
      <c r="I839" t="s">
        <v>150</v>
      </c>
      <c r="Z839">
        <v>38584</v>
      </c>
    </row>
    <row r="840" spans="1:26" x14ac:dyDescent="0.25">
      <c r="A840" t="s">
        <v>172</v>
      </c>
      <c r="B840" t="s">
        <v>140</v>
      </c>
      <c r="C840" t="s">
        <v>27</v>
      </c>
      <c r="E840" t="s">
        <v>43</v>
      </c>
      <c r="H840" s="2">
        <v>44788.405555555553</v>
      </c>
      <c r="I840" t="s">
        <v>185</v>
      </c>
      <c r="K840" t="s">
        <v>30</v>
      </c>
      <c r="L840" t="s">
        <v>31</v>
      </c>
      <c r="M840">
        <v>55887119</v>
      </c>
      <c r="N840">
        <v>9754621092</v>
      </c>
      <c r="O840" t="s">
        <v>83</v>
      </c>
      <c r="Z840">
        <v>38420</v>
      </c>
    </row>
    <row r="841" spans="1:26" x14ac:dyDescent="0.25">
      <c r="A841" t="s">
        <v>1337</v>
      </c>
      <c r="B841" t="s">
        <v>26</v>
      </c>
      <c r="C841" t="s">
        <v>27</v>
      </c>
      <c r="H841" s="2">
        <v>44787.498611111114</v>
      </c>
      <c r="I841" t="s">
        <v>132</v>
      </c>
      <c r="Z841">
        <v>38375</v>
      </c>
    </row>
    <row r="842" spans="1:26" x14ac:dyDescent="0.25">
      <c r="A842" t="s">
        <v>1338</v>
      </c>
      <c r="B842" t="s">
        <v>26</v>
      </c>
      <c r="C842" t="s">
        <v>27</v>
      </c>
      <c r="H842" s="2">
        <v>44785.713194444441</v>
      </c>
      <c r="I842" t="s">
        <v>205</v>
      </c>
      <c r="Z842">
        <v>38295</v>
      </c>
    </row>
    <row r="843" spans="1:26" x14ac:dyDescent="0.25">
      <c r="A843" t="s">
        <v>220</v>
      </c>
      <c r="B843" t="s">
        <v>125</v>
      </c>
      <c r="C843" t="s">
        <v>27</v>
      </c>
      <c r="E843" t="s">
        <v>94</v>
      </c>
      <c r="H843" s="2">
        <v>44785.479166666664</v>
      </c>
      <c r="I843" t="s">
        <v>205</v>
      </c>
      <c r="K843" t="s">
        <v>30</v>
      </c>
      <c r="L843" t="s">
        <v>31</v>
      </c>
      <c r="M843">
        <v>67127941</v>
      </c>
      <c r="N843">
        <v>11954234096</v>
      </c>
      <c r="O843" t="s">
        <v>83</v>
      </c>
      <c r="Z843">
        <v>38275</v>
      </c>
    </row>
    <row r="844" spans="1:26" x14ac:dyDescent="0.25">
      <c r="A844" t="s">
        <v>1339</v>
      </c>
      <c r="B844" t="s">
        <v>26</v>
      </c>
      <c r="C844" t="s">
        <v>27</v>
      </c>
      <c r="H844" s="2">
        <v>44780.864583333336</v>
      </c>
      <c r="I844" t="s">
        <v>189</v>
      </c>
      <c r="Z844">
        <v>38007</v>
      </c>
    </row>
    <row r="845" spans="1:26" x14ac:dyDescent="0.25">
      <c r="A845" t="s">
        <v>1340</v>
      </c>
      <c r="B845" t="s">
        <v>26</v>
      </c>
      <c r="C845" t="s">
        <v>27</v>
      </c>
      <c r="H845" s="2">
        <v>44780.863888888889</v>
      </c>
      <c r="I845" t="s">
        <v>189</v>
      </c>
      <c r="Z845">
        <v>38006</v>
      </c>
    </row>
    <row r="846" spans="1:26" x14ac:dyDescent="0.25">
      <c r="A846" t="s">
        <v>1207</v>
      </c>
      <c r="B846" t="s">
        <v>26</v>
      </c>
      <c r="C846" t="s">
        <v>27</v>
      </c>
      <c r="H846" s="2">
        <v>44778.408333333333</v>
      </c>
      <c r="I846" t="s">
        <v>207</v>
      </c>
      <c r="Z846">
        <v>37887</v>
      </c>
    </row>
    <row r="847" spans="1:26" x14ac:dyDescent="0.25">
      <c r="A847" t="s">
        <v>87</v>
      </c>
      <c r="C847" t="s">
        <v>27</v>
      </c>
      <c r="E847" t="s">
        <v>55</v>
      </c>
      <c r="H847" s="2">
        <v>44773.777083333334</v>
      </c>
      <c r="I847" t="s">
        <v>189</v>
      </c>
      <c r="Z847">
        <v>37612</v>
      </c>
    </row>
    <row r="848" spans="1:26" x14ac:dyDescent="0.25">
      <c r="A848" t="s">
        <v>89</v>
      </c>
      <c r="B848" t="s">
        <v>209</v>
      </c>
      <c r="C848" t="s">
        <v>27</v>
      </c>
      <c r="H848" s="2">
        <v>44770.520138888889</v>
      </c>
      <c r="I848" t="s">
        <v>185</v>
      </c>
      <c r="K848" t="s">
        <v>30</v>
      </c>
      <c r="L848" t="s">
        <v>31</v>
      </c>
      <c r="M848">
        <v>67127941</v>
      </c>
      <c r="N848">
        <v>11954234036</v>
      </c>
      <c r="O848" t="s">
        <v>172</v>
      </c>
      <c r="Z848">
        <v>37439</v>
      </c>
    </row>
    <row r="849" spans="1:26" x14ac:dyDescent="0.25">
      <c r="A849" t="s">
        <v>999</v>
      </c>
      <c r="B849" t="s">
        <v>26</v>
      </c>
      <c r="C849" t="s">
        <v>27</v>
      </c>
      <c r="H849" s="2">
        <v>44770.344444444447</v>
      </c>
      <c r="I849" t="s">
        <v>29</v>
      </c>
      <c r="Z849">
        <v>37423</v>
      </c>
    </row>
    <row r="850" spans="1:26" x14ac:dyDescent="0.25">
      <c r="A850" t="s">
        <v>174</v>
      </c>
      <c r="B850" t="s">
        <v>125</v>
      </c>
      <c r="C850" t="s">
        <v>27</v>
      </c>
      <c r="E850" t="s">
        <v>56</v>
      </c>
      <c r="H850" s="2">
        <v>44769.675694444442</v>
      </c>
      <c r="I850" t="s">
        <v>205</v>
      </c>
      <c r="K850" t="s">
        <v>30</v>
      </c>
      <c r="L850" t="s">
        <v>31</v>
      </c>
      <c r="M850">
        <v>67127941</v>
      </c>
      <c r="N850">
        <v>11954234035</v>
      </c>
      <c r="O850" t="s">
        <v>796</v>
      </c>
      <c r="Z850">
        <v>37403</v>
      </c>
    </row>
    <row r="851" spans="1:26" x14ac:dyDescent="0.25">
      <c r="A851" t="s">
        <v>203</v>
      </c>
      <c r="B851" t="s">
        <v>131</v>
      </c>
      <c r="C851" t="s">
        <v>60</v>
      </c>
      <c r="E851" t="s">
        <v>62</v>
      </c>
      <c r="H851" s="2">
        <v>44769.51458333333</v>
      </c>
      <c r="I851" t="s">
        <v>185</v>
      </c>
      <c r="Z851">
        <v>37382</v>
      </c>
    </row>
    <row r="852" spans="1:26" x14ac:dyDescent="0.25">
      <c r="A852" t="s">
        <v>1341</v>
      </c>
      <c r="B852" t="s">
        <v>26</v>
      </c>
      <c r="C852" t="s">
        <v>27</v>
      </c>
      <c r="H852" s="2">
        <v>44768.424305555556</v>
      </c>
      <c r="I852" t="s">
        <v>29</v>
      </c>
      <c r="Z852">
        <v>37300</v>
      </c>
    </row>
    <row r="853" spans="1:26" x14ac:dyDescent="0.25">
      <c r="A853" t="s">
        <v>188</v>
      </c>
      <c r="B853" t="s">
        <v>131</v>
      </c>
      <c r="C853" t="s">
        <v>27</v>
      </c>
      <c r="E853" t="s">
        <v>44</v>
      </c>
      <c r="H853" s="2">
        <v>44766.323611111111</v>
      </c>
      <c r="I853" t="s">
        <v>207</v>
      </c>
      <c r="Z853">
        <v>37200</v>
      </c>
    </row>
    <row r="854" spans="1:26" x14ac:dyDescent="0.25">
      <c r="A854" t="s">
        <v>1157</v>
      </c>
      <c r="B854" t="s">
        <v>131</v>
      </c>
      <c r="C854" t="s">
        <v>27</v>
      </c>
      <c r="E854" t="s">
        <v>63</v>
      </c>
      <c r="H854" s="2">
        <v>44764.909722222219</v>
      </c>
      <c r="I854" t="s">
        <v>207</v>
      </c>
      <c r="Z854">
        <v>37161</v>
      </c>
    </row>
    <row r="855" spans="1:26" x14ac:dyDescent="0.25">
      <c r="A855" t="s">
        <v>172</v>
      </c>
      <c r="B855" t="s">
        <v>131</v>
      </c>
      <c r="C855" t="s">
        <v>27</v>
      </c>
      <c r="E855" t="s">
        <v>1342</v>
      </c>
      <c r="H855" s="2">
        <v>44764.503472222219</v>
      </c>
      <c r="I855" t="s">
        <v>205</v>
      </c>
      <c r="Z855">
        <v>37125</v>
      </c>
    </row>
    <row r="856" spans="1:26" x14ac:dyDescent="0.25">
      <c r="A856" t="s">
        <v>183</v>
      </c>
      <c r="B856" t="s">
        <v>117</v>
      </c>
      <c r="C856" t="s">
        <v>27</v>
      </c>
      <c r="E856" t="s">
        <v>184</v>
      </c>
      <c r="H856" s="2">
        <v>44764.385416666664</v>
      </c>
      <c r="I856" t="s">
        <v>205</v>
      </c>
      <c r="Z856">
        <v>37110</v>
      </c>
    </row>
    <row r="857" spans="1:26" x14ac:dyDescent="0.25">
      <c r="A857" t="s">
        <v>999</v>
      </c>
      <c r="B857" t="s">
        <v>46</v>
      </c>
      <c r="C857" t="s">
        <v>27</v>
      </c>
      <c r="E857" t="s">
        <v>45</v>
      </c>
      <c r="G857" t="s">
        <v>206</v>
      </c>
      <c r="H857" s="2">
        <v>44762.4375</v>
      </c>
      <c r="I857" t="s">
        <v>185</v>
      </c>
      <c r="Z857">
        <v>37030</v>
      </c>
    </row>
    <row r="858" spans="1:26" x14ac:dyDescent="0.25">
      <c r="A858" t="s">
        <v>1343</v>
      </c>
      <c r="B858" t="s">
        <v>26</v>
      </c>
      <c r="C858" t="s">
        <v>27</v>
      </c>
      <c r="H858" s="2">
        <v>44761.635416666664</v>
      </c>
      <c r="I858" t="s">
        <v>207</v>
      </c>
      <c r="Z858">
        <v>37005</v>
      </c>
    </row>
    <row r="859" spans="1:26" x14ac:dyDescent="0.25">
      <c r="A859" t="s">
        <v>1344</v>
      </c>
      <c r="B859" t="s">
        <v>26</v>
      </c>
      <c r="C859" t="s">
        <v>27</v>
      </c>
      <c r="H859" s="2">
        <v>44761.466666666667</v>
      </c>
      <c r="I859" t="s">
        <v>207</v>
      </c>
      <c r="Z859">
        <v>36986</v>
      </c>
    </row>
    <row r="860" spans="1:26" x14ac:dyDescent="0.25">
      <c r="A860" t="s">
        <v>1345</v>
      </c>
      <c r="B860" t="s">
        <v>26</v>
      </c>
      <c r="C860" t="s">
        <v>27</v>
      </c>
      <c r="H860" s="2">
        <v>44761.460416666669</v>
      </c>
      <c r="I860" t="s">
        <v>205</v>
      </c>
      <c r="Z860">
        <v>36985</v>
      </c>
    </row>
    <row r="861" spans="1:26" x14ac:dyDescent="0.25">
      <c r="A861" t="s">
        <v>183</v>
      </c>
      <c r="B861" t="s">
        <v>117</v>
      </c>
      <c r="C861" t="s">
        <v>27</v>
      </c>
      <c r="E861" t="s">
        <v>184</v>
      </c>
      <c r="H861" s="2">
        <v>44754.725694444445</v>
      </c>
      <c r="I861" t="s">
        <v>205</v>
      </c>
      <c r="Z861">
        <v>36649</v>
      </c>
    </row>
    <row r="862" spans="1:26" x14ac:dyDescent="0.25">
      <c r="A862" t="s">
        <v>1346</v>
      </c>
      <c r="B862" t="s">
        <v>26</v>
      </c>
      <c r="C862" t="s">
        <v>27</v>
      </c>
      <c r="H862" s="2">
        <v>44753.501388888886</v>
      </c>
      <c r="I862" t="s">
        <v>207</v>
      </c>
      <c r="Z862">
        <v>36576</v>
      </c>
    </row>
    <row r="863" spans="1:26" x14ac:dyDescent="0.25">
      <c r="A863" t="s">
        <v>130</v>
      </c>
      <c r="B863" t="s">
        <v>131</v>
      </c>
      <c r="C863" t="s">
        <v>27</v>
      </c>
      <c r="E863" t="s">
        <v>78</v>
      </c>
      <c r="H863" s="2">
        <v>44752.881944444445</v>
      </c>
      <c r="I863" t="s">
        <v>207</v>
      </c>
      <c r="Z863">
        <v>36555</v>
      </c>
    </row>
    <row r="864" spans="1:26" x14ac:dyDescent="0.25">
      <c r="A864" t="s">
        <v>215</v>
      </c>
      <c r="C864" t="s">
        <v>27</v>
      </c>
      <c r="E864" t="s">
        <v>78</v>
      </c>
      <c r="H864" s="2">
        <v>44752.871527777781</v>
      </c>
      <c r="I864" t="s">
        <v>205</v>
      </c>
      <c r="Z864">
        <v>36554</v>
      </c>
    </row>
    <row r="865" spans="1:26" x14ac:dyDescent="0.25">
      <c r="A865" t="s">
        <v>1347</v>
      </c>
      <c r="B865" t="s">
        <v>26</v>
      </c>
      <c r="C865" t="s">
        <v>27</v>
      </c>
      <c r="H865" s="2">
        <v>44748.645833333336</v>
      </c>
      <c r="I865" t="s">
        <v>205</v>
      </c>
      <c r="Z865">
        <v>36365</v>
      </c>
    </row>
    <row r="866" spans="1:26" x14ac:dyDescent="0.25">
      <c r="A866" t="s">
        <v>1348</v>
      </c>
      <c r="B866" t="s">
        <v>26</v>
      </c>
      <c r="C866" t="s">
        <v>27</v>
      </c>
      <c r="H866" s="2">
        <v>44746.570138888892</v>
      </c>
      <c r="I866" t="s">
        <v>207</v>
      </c>
      <c r="Z866">
        <v>36244</v>
      </c>
    </row>
    <row r="867" spans="1:26" x14ac:dyDescent="0.25">
      <c r="A867" t="s">
        <v>1349</v>
      </c>
      <c r="B867" t="s">
        <v>26</v>
      </c>
      <c r="C867" t="s">
        <v>27</v>
      </c>
      <c r="H867" s="2">
        <v>44745.785416666666</v>
      </c>
      <c r="I867" t="s">
        <v>150</v>
      </c>
      <c r="Z867">
        <v>36215</v>
      </c>
    </row>
    <row r="868" spans="1:26" x14ac:dyDescent="0.25">
      <c r="A868" t="s">
        <v>1350</v>
      </c>
      <c r="B868" t="s">
        <v>131</v>
      </c>
      <c r="C868" t="s">
        <v>27</v>
      </c>
      <c r="E868" t="s">
        <v>1342</v>
      </c>
      <c r="H868" s="2">
        <v>44745.713888888888</v>
      </c>
      <c r="I868" t="s">
        <v>219</v>
      </c>
      <c r="Z868">
        <v>36210</v>
      </c>
    </row>
    <row r="869" spans="1:26" x14ac:dyDescent="0.25">
      <c r="A869" t="s">
        <v>199</v>
      </c>
      <c r="B869" t="s">
        <v>26</v>
      </c>
      <c r="C869" t="s">
        <v>27</v>
      </c>
      <c r="H869" s="2">
        <v>44742.745833333334</v>
      </c>
      <c r="I869" t="s">
        <v>205</v>
      </c>
      <c r="Z869">
        <v>36081</v>
      </c>
    </row>
    <row r="870" spans="1:26" x14ac:dyDescent="0.25">
      <c r="A870" t="s">
        <v>1351</v>
      </c>
      <c r="B870" t="s">
        <v>26</v>
      </c>
      <c r="C870" t="s">
        <v>27</v>
      </c>
      <c r="H870" s="2">
        <v>44741.663888888892</v>
      </c>
      <c r="I870" t="s">
        <v>207</v>
      </c>
      <c r="Z870">
        <v>36022</v>
      </c>
    </row>
    <row r="871" spans="1:26" x14ac:dyDescent="0.25">
      <c r="A871" t="s">
        <v>1352</v>
      </c>
      <c r="B871" t="s">
        <v>26</v>
      </c>
      <c r="C871" t="s">
        <v>27</v>
      </c>
      <c r="H871" s="2">
        <v>44737.574999999997</v>
      </c>
      <c r="I871" t="s">
        <v>151</v>
      </c>
      <c r="Z871">
        <v>35838</v>
      </c>
    </row>
    <row r="872" spans="1:26" x14ac:dyDescent="0.25">
      <c r="A872" t="s">
        <v>214</v>
      </c>
      <c r="B872" t="s">
        <v>26</v>
      </c>
      <c r="C872" t="s">
        <v>27</v>
      </c>
      <c r="H872" s="2">
        <v>44735.501388888886</v>
      </c>
      <c r="I872" t="s">
        <v>205</v>
      </c>
      <c r="Z872">
        <v>35746</v>
      </c>
    </row>
    <row r="873" spans="1:26" x14ac:dyDescent="0.25">
      <c r="A873" t="s">
        <v>1353</v>
      </c>
      <c r="B873" t="s">
        <v>26</v>
      </c>
      <c r="C873" t="s">
        <v>27</v>
      </c>
      <c r="H873" s="2">
        <v>44733.429166666669</v>
      </c>
      <c r="I873" t="s">
        <v>150</v>
      </c>
      <c r="Z873">
        <v>35662</v>
      </c>
    </row>
    <row r="874" spans="1:26" x14ac:dyDescent="0.25">
      <c r="A874" t="s">
        <v>1354</v>
      </c>
      <c r="C874" t="s">
        <v>27</v>
      </c>
      <c r="E874" t="s">
        <v>44</v>
      </c>
      <c r="H874" s="2">
        <v>44732.609027777777</v>
      </c>
      <c r="I874" t="s">
        <v>207</v>
      </c>
      <c r="Z874">
        <v>35645</v>
      </c>
    </row>
    <row r="875" spans="1:26" x14ac:dyDescent="0.25">
      <c r="A875" t="s">
        <v>87</v>
      </c>
      <c r="C875" t="s">
        <v>27</v>
      </c>
      <c r="E875" t="s">
        <v>44</v>
      </c>
      <c r="H875" s="2">
        <v>44732.500694444447</v>
      </c>
      <c r="I875" t="s">
        <v>216</v>
      </c>
      <c r="Z875">
        <v>35636</v>
      </c>
    </row>
    <row r="876" spans="1:26" x14ac:dyDescent="0.25">
      <c r="A876" t="s">
        <v>1355</v>
      </c>
      <c r="B876" t="s">
        <v>26</v>
      </c>
      <c r="C876" t="s">
        <v>27</v>
      </c>
      <c r="H876" s="2">
        <v>44731.532638888886</v>
      </c>
      <c r="I876" t="s">
        <v>207</v>
      </c>
      <c r="Z876">
        <v>35590</v>
      </c>
    </row>
    <row r="877" spans="1:26" x14ac:dyDescent="0.25">
      <c r="A877" t="s">
        <v>854</v>
      </c>
      <c r="B877" t="s">
        <v>131</v>
      </c>
      <c r="C877" t="s">
        <v>27</v>
      </c>
      <c r="E877" t="s">
        <v>955</v>
      </c>
      <c r="G877" t="s">
        <v>1356</v>
      </c>
      <c r="H877" s="2">
        <v>44727.906944444447</v>
      </c>
      <c r="I877" t="s">
        <v>185</v>
      </c>
      <c r="Z877">
        <v>35429</v>
      </c>
    </row>
    <row r="878" spans="1:26" x14ac:dyDescent="0.25">
      <c r="A878" t="s">
        <v>489</v>
      </c>
      <c r="B878" t="s">
        <v>131</v>
      </c>
      <c r="C878" t="s">
        <v>27</v>
      </c>
      <c r="E878" t="s">
        <v>62</v>
      </c>
      <c r="H878" s="2">
        <v>44725.729861111111</v>
      </c>
      <c r="I878" t="s">
        <v>185</v>
      </c>
      <c r="Z878">
        <v>35304</v>
      </c>
    </row>
    <row r="879" spans="1:26" x14ac:dyDescent="0.25">
      <c r="A879" t="s">
        <v>1357</v>
      </c>
      <c r="B879" t="s">
        <v>26</v>
      </c>
      <c r="C879" t="s">
        <v>27</v>
      </c>
      <c r="H879" s="2">
        <v>44725.552083333336</v>
      </c>
      <c r="I879" t="s">
        <v>207</v>
      </c>
      <c r="Z879">
        <v>35279</v>
      </c>
    </row>
    <row r="880" spans="1:26" x14ac:dyDescent="0.25">
      <c r="A880" t="s">
        <v>213</v>
      </c>
      <c r="C880" t="s">
        <v>27</v>
      </c>
      <c r="E880" t="s">
        <v>1358</v>
      </c>
      <c r="H880" s="2">
        <v>44723.951388888891</v>
      </c>
      <c r="I880" t="s">
        <v>205</v>
      </c>
      <c r="Z880">
        <v>35215</v>
      </c>
    </row>
    <row r="881" spans="1:26" x14ac:dyDescent="0.25">
      <c r="A881" t="s">
        <v>1359</v>
      </c>
      <c r="B881" t="s">
        <v>26</v>
      </c>
      <c r="C881" t="s">
        <v>27</v>
      </c>
      <c r="H881" s="2">
        <v>44723.583333333336</v>
      </c>
      <c r="I881" t="s">
        <v>216</v>
      </c>
      <c r="Z881">
        <v>35186</v>
      </c>
    </row>
    <row r="882" spans="1:26" x14ac:dyDescent="0.25">
      <c r="A882" t="s">
        <v>1360</v>
      </c>
      <c r="B882" t="s">
        <v>26</v>
      </c>
      <c r="C882" t="s">
        <v>27</v>
      </c>
      <c r="H882" s="2">
        <v>44721.488194444442</v>
      </c>
      <c r="I882" t="s">
        <v>118</v>
      </c>
      <c r="Z882">
        <v>35057</v>
      </c>
    </row>
    <row r="883" spans="1:26" x14ac:dyDescent="0.25">
      <c r="A883" t="s">
        <v>1361</v>
      </c>
      <c r="B883" t="s">
        <v>26</v>
      </c>
      <c r="C883" t="s">
        <v>27</v>
      </c>
      <c r="E883" t="s">
        <v>208</v>
      </c>
      <c r="F883" t="s">
        <v>1362</v>
      </c>
      <c r="G883" t="s">
        <v>1363</v>
      </c>
      <c r="H883" s="2">
        <v>44719.625</v>
      </c>
      <c r="I883" t="s">
        <v>207</v>
      </c>
      <c r="Z883">
        <v>34971</v>
      </c>
    </row>
    <row r="884" spans="1:26" x14ac:dyDescent="0.25">
      <c r="A884" t="s">
        <v>1364</v>
      </c>
      <c r="B884" t="s">
        <v>26</v>
      </c>
      <c r="C884" t="s">
        <v>27</v>
      </c>
      <c r="H884" s="2">
        <v>44719.473611111112</v>
      </c>
      <c r="I884" t="s">
        <v>205</v>
      </c>
      <c r="Z884">
        <v>34954</v>
      </c>
    </row>
    <row r="885" spans="1:26" x14ac:dyDescent="0.25">
      <c r="A885" t="s">
        <v>218</v>
      </c>
      <c r="B885" t="s">
        <v>26</v>
      </c>
      <c r="C885" t="s">
        <v>27</v>
      </c>
      <c r="H885" s="2">
        <v>44718.736805555556</v>
      </c>
      <c r="I885" t="s">
        <v>151</v>
      </c>
      <c r="Z885">
        <v>34937</v>
      </c>
    </row>
    <row r="886" spans="1:26" x14ac:dyDescent="0.25">
      <c r="A886" t="s">
        <v>1365</v>
      </c>
      <c r="B886" t="s">
        <v>26</v>
      </c>
      <c r="C886" t="s">
        <v>27</v>
      </c>
      <c r="H886" s="2">
        <v>44718.589583333334</v>
      </c>
      <c r="I886" t="s">
        <v>216</v>
      </c>
      <c r="Z886">
        <v>34924</v>
      </c>
    </row>
    <row r="887" spans="1:26" x14ac:dyDescent="0.25">
      <c r="A887" t="s">
        <v>754</v>
      </c>
      <c r="B887" t="s">
        <v>131</v>
      </c>
      <c r="C887" t="s">
        <v>27</v>
      </c>
      <c r="E887" t="s">
        <v>53</v>
      </c>
      <c r="H887" s="2">
        <v>44717.924305555556</v>
      </c>
      <c r="I887" t="s">
        <v>185</v>
      </c>
      <c r="Z887">
        <v>34901</v>
      </c>
    </row>
    <row r="888" spans="1:26" x14ac:dyDescent="0.25">
      <c r="A888" t="s">
        <v>1366</v>
      </c>
      <c r="B888" t="s">
        <v>26</v>
      </c>
      <c r="C888" t="s">
        <v>27</v>
      </c>
      <c r="H888" s="2">
        <v>44715.775694444441</v>
      </c>
      <c r="I888" t="s">
        <v>150</v>
      </c>
      <c r="Z888">
        <v>34806</v>
      </c>
    </row>
    <row r="889" spans="1:26" x14ac:dyDescent="0.25">
      <c r="A889" t="s">
        <v>489</v>
      </c>
      <c r="B889" t="s">
        <v>46</v>
      </c>
      <c r="C889" t="s">
        <v>27</v>
      </c>
      <c r="E889" t="s">
        <v>114</v>
      </c>
      <c r="G889" t="s">
        <v>115</v>
      </c>
      <c r="H889" s="2">
        <v>44714.772916666669</v>
      </c>
      <c r="I889" t="s">
        <v>205</v>
      </c>
      <c r="Z889">
        <v>34737</v>
      </c>
    </row>
    <row r="890" spans="1:26" x14ac:dyDescent="0.25">
      <c r="A890" t="s">
        <v>915</v>
      </c>
      <c r="B890" t="s">
        <v>26</v>
      </c>
      <c r="C890" t="s">
        <v>27</v>
      </c>
      <c r="H890" s="2">
        <v>44713.694444444445</v>
      </c>
      <c r="I890" t="s">
        <v>205</v>
      </c>
      <c r="Z890">
        <v>34673</v>
      </c>
    </row>
    <row r="891" spans="1:26" x14ac:dyDescent="0.25">
      <c r="A891" t="s">
        <v>155</v>
      </c>
      <c r="B891" t="s">
        <v>131</v>
      </c>
      <c r="C891" t="s">
        <v>27</v>
      </c>
      <c r="E891" t="s">
        <v>45</v>
      </c>
      <c r="H891" s="2">
        <v>44713.364583333336</v>
      </c>
      <c r="I891" t="s">
        <v>185</v>
      </c>
      <c r="Z891">
        <v>34628</v>
      </c>
    </row>
    <row r="892" spans="1:26" x14ac:dyDescent="0.25">
      <c r="A892" t="s">
        <v>1367</v>
      </c>
      <c r="B892" t="s">
        <v>26</v>
      </c>
      <c r="C892" t="s">
        <v>27</v>
      </c>
      <c r="H892" s="2">
        <v>44711.609027777777</v>
      </c>
      <c r="I892" t="s">
        <v>205</v>
      </c>
      <c r="Z892">
        <v>34507</v>
      </c>
    </row>
    <row r="893" spans="1:26" x14ac:dyDescent="0.25">
      <c r="A893" t="s">
        <v>1368</v>
      </c>
      <c r="B893" t="s">
        <v>26</v>
      </c>
      <c r="C893" t="s">
        <v>27</v>
      </c>
      <c r="H893" s="2">
        <v>44709.866666666669</v>
      </c>
      <c r="I893" t="s">
        <v>185</v>
      </c>
      <c r="Z893">
        <v>34431</v>
      </c>
    </row>
    <row r="894" spans="1:26" x14ac:dyDescent="0.25">
      <c r="A894" t="s">
        <v>1369</v>
      </c>
      <c r="B894" t="s">
        <v>26</v>
      </c>
      <c r="C894" t="s">
        <v>27</v>
      </c>
      <c r="H894" s="2">
        <v>44708.724305555559</v>
      </c>
      <c r="I894" t="s">
        <v>150</v>
      </c>
      <c r="Z894">
        <v>34387</v>
      </c>
    </row>
    <row r="895" spans="1:26" x14ac:dyDescent="0.25">
      <c r="A895" t="s">
        <v>1370</v>
      </c>
      <c r="B895" t="s">
        <v>131</v>
      </c>
      <c r="C895" t="s">
        <v>27</v>
      </c>
      <c r="E895" t="s">
        <v>76</v>
      </c>
      <c r="G895" t="s">
        <v>190</v>
      </c>
      <c r="H895" s="2">
        <v>44706.879861111112</v>
      </c>
      <c r="I895" t="s">
        <v>205</v>
      </c>
      <c r="Z895">
        <v>34288</v>
      </c>
    </row>
    <row r="896" spans="1:26" x14ac:dyDescent="0.25">
      <c r="A896" t="s">
        <v>1371</v>
      </c>
      <c r="B896" t="s">
        <v>26</v>
      </c>
      <c r="C896" t="s">
        <v>27</v>
      </c>
      <c r="H896" s="2">
        <v>44706.748611111114</v>
      </c>
      <c r="I896" t="s">
        <v>205</v>
      </c>
      <c r="Z896">
        <v>34271</v>
      </c>
    </row>
    <row r="897" spans="1:26" x14ac:dyDescent="0.25">
      <c r="A897" t="s">
        <v>1372</v>
      </c>
      <c r="B897" t="s">
        <v>131</v>
      </c>
      <c r="C897" t="s">
        <v>27</v>
      </c>
      <c r="E897" t="s">
        <v>71</v>
      </c>
      <c r="H897" s="2">
        <v>44706.356249999997</v>
      </c>
      <c r="I897" t="s">
        <v>205</v>
      </c>
      <c r="Z897">
        <v>34227</v>
      </c>
    </row>
    <row r="898" spans="1:26" x14ac:dyDescent="0.25">
      <c r="A898" t="s">
        <v>1373</v>
      </c>
      <c r="B898" t="s">
        <v>26</v>
      </c>
      <c r="C898" t="s">
        <v>143</v>
      </c>
      <c r="H898" s="2">
        <v>44705.489583333336</v>
      </c>
      <c r="I898" t="s">
        <v>216</v>
      </c>
      <c r="Z898">
        <v>34179</v>
      </c>
    </row>
    <row r="899" spans="1:26" x14ac:dyDescent="0.25">
      <c r="A899" t="s">
        <v>226</v>
      </c>
      <c r="B899" t="s">
        <v>26</v>
      </c>
      <c r="C899" t="s">
        <v>27</v>
      </c>
      <c r="H899" s="2">
        <v>44704.785416666666</v>
      </c>
      <c r="I899" t="s">
        <v>150</v>
      </c>
      <c r="Z899">
        <v>34161</v>
      </c>
    </row>
    <row r="900" spans="1:26" x14ac:dyDescent="0.25">
      <c r="A900" t="s">
        <v>1374</v>
      </c>
      <c r="B900" t="s">
        <v>26</v>
      </c>
      <c r="C900" t="s">
        <v>27</v>
      </c>
      <c r="H900" s="2">
        <v>44704.675000000003</v>
      </c>
      <c r="I900" t="s">
        <v>150</v>
      </c>
      <c r="Z900">
        <v>34150</v>
      </c>
    </row>
    <row r="901" spans="1:26" x14ac:dyDescent="0.25">
      <c r="A901" t="s">
        <v>1375</v>
      </c>
      <c r="B901" t="s">
        <v>46</v>
      </c>
      <c r="C901" t="s">
        <v>27</v>
      </c>
      <c r="E901" t="s">
        <v>44</v>
      </c>
      <c r="G901" t="s">
        <v>1376</v>
      </c>
      <c r="H901" s="2">
        <v>44704.304861111108</v>
      </c>
      <c r="I901" t="s">
        <v>219</v>
      </c>
      <c r="K901" t="s">
        <v>30</v>
      </c>
      <c r="L901" t="s">
        <v>31</v>
      </c>
      <c r="M901">
        <v>67127941</v>
      </c>
      <c r="N901">
        <v>11954234039</v>
      </c>
      <c r="O901" t="s">
        <v>907</v>
      </c>
      <c r="Z901">
        <v>34123</v>
      </c>
    </row>
    <row r="902" spans="1:26" x14ac:dyDescent="0.25">
      <c r="A902" t="s">
        <v>182</v>
      </c>
      <c r="B902" t="s">
        <v>131</v>
      </c>
      <c r="C902" t="s">
        <v>27</v>
      </c>
      <c r="E902" t="s">
        <v>76</v>
      </c>
      <c r="H902" s="2">
        <v>44703.430555555555</v>
      </c>
      <c r="I902" t="s">
        <v>219</v>
      </c>
      <c r="Z902">
        <v>34091</v>
      </c>
    </row>
    <row r="903" spans="1:26" x14ac:dyDescent="0.25">
      <c r="A903" t="s">
        <v>1377</v>
      </c>
      <c r="B903" t="s">
        <v>26</v>
      </c>
      <c r="C903" t="s">
        <v>27</v>
      </c>
      <c r="H903" s="2">
        <v>44702.380555555559</v>
      </c>
      <c r="I903" t="s">
        <v>185</v>
      </c>
      <c r="Z903">
        <v>34045</v>
      </c>
    </row>
    <row r="904" spans="1:26" x14ac:dyDescent="0.25">
      <c r="A904" t="s">
        <v>1378</v>
      </c>
      <c r="B904" t="s">
        <v>131</v>
      </c>
      <c r="C904" t="s">
        <v>27</v>
      </c>
      <c r="E904" t="s">
        <v>1379</v>
      </c>
      <c r="G904" t="s">
        <v>1380</v>
      </c>
      <c r="H904" s="2">
        <v>44701.870833333334</v>
      </c>
      <c r="I904" t="s">
        <v>221</v>
      </c>
      <c r="Z904">
        <v>34040</v>
      </c>
    </row>
    <row r="905" spans="1:26" x14ac:dyDescent="0.25">
      <c r="A905" t="s">
        <v>1381</v>
      </c>
      <c r="B905" t="s">
        <v>26</v>
      </c>
      <c r="C905" t="s">
        <v>27</v>
      </c>
      <c r="H905" s="2">
        <v>44699.458333333336</v>
      </c>
      <c r="I905" t="s">
        <v>150</v>
      </c>
      <c r="Z905">
        <v>33907</v>
      </c>
    </row>
    <row r="906" spans="1:26" x14ac:dyDescent="0.25">
      <c r="A906" t="s">
        <v>1382</v>
      </c>
      <c r="B906" t="s">
        <v>26</v>
      </c>
      <c r="C906" t="s">
        <v>27</v>
      </c>
      <c r="H906" s="2">
        <v>44699.451388888891</v>
      </c>
      <c r="I906" t="s">
        <v>150</v>
      </c>
      <c r="Z906">
        <v>33906</v>
      </c>
    </row>
    <row r="907" spans="1:26" x14ac:dyDescent="0.25">
      <c r="A907" t="s">
        <v>1383</v>
      </c>
      <c r="B907" t="s">
        <v>26</v>
      </c>
      <c r="C907" t="s">
        <v>27</v>
      </c>
      <c r="H907" s="2">
        <v>44697.693055555559</v>
      </c>
      <c r="I907" t="s">
        <v>219</v>
      </c>
      <c r="Z907">
        <v>33832</v>
      </c>
    </row>
    <row r="908" spans="1:26" x14ac:dyDescent="0.25">
      <c r="A908" t="s">
        <v>1384</v>
      </c>
      <c r="B908" t="s">
        <v>26</v>
      </c>
      <c r="C908" t="s">
        <v>27</v>
      </c>
      <c r="H908" s="2">
        <v>44697.680555555555</v>
      </c>
      <c r="I908" t="s">
        <v>150</v>
      </c>
      <c r="Z908">
        <v>33830</v>
      </c>
    </row>
    <row r="909" spans="1:26" x14ac:dyDescent="0.25">
      <c r="A909" t="s">
        <v>1385</v>
      </c>
      <c r="B909" t="s">
        <v>46</v>
      </c>
      <c r="C909" t="s">
        <v>27</v>
      </c>
      <c r="E909" t="s">
        <v>78</v>
      </c>
      <c r="G909" t="s">
        <v>1386</v>
      </c>
      <c r="H909" s="2">
        <v>44697.675000000003</v>
      </c>
      <c r="I909" t="s">
        <v>219</v>
      </c>
      <c r="Z909">
        <v>33829</v>
      </c>
    </row>
    <row r="910" spans="1:26" x14ac:dyDescent="0.25">
      <c r="A910" t="s">
        <v>1387</v>
      </c>
      <c r="B910" t="s">
        <v>26</v>
      </c>
      <c r="C910" t="s">
        <v>27</v>
      </c>
      <c r="H910" s="2">
        <v>44696.530555555553</v>
      </c>
      <c r="I910" t="s">
        <v>221</v>
      </c>
      <c r="Z910">
        <v>33772</v>
      </c>
    </row>
    <row r="911" spans="1:26" x14ac:dyDescent="0.25">
      <c r="A911" t="s">
        <v>1388</v>
      </c>
      <c r="B911" t="s">
        <v>26</v>
      </c>
      <c r="C911" t="s">
        <v>27</v>
      </c>
      <c r="H911" s="2">
        <v>44694.817361111112</v>
      </c>
      <c r="I911" t="s">
        <v>216</v>
      </c>
      <c r="Z911">
        <v>33700</v>
      </c>
    </row>
    <row r="912" spans="1:26" x14ac:dyDescent="0.25">
      <c r="A912" t="s">
        <v>1389</v>
      </c>
      <c r="B912" t="s">
        <v>26</v>
      </c>
      <c r="C912" t="s">
        <v>60</v>
      </c>
      <c r="H912" s="2">
        <v>44694.709722222222</v>
      </c>
      <c r="I912" t="s">
        <v>205</v>
      </c>
      <c r="Z912">
        <v>33691</v>
      </c>
    </row>
    <row r="913" spans="1:26" x14ac:dyDescent="0.25">
      <c r="A913" t="s">
        <v>1390</v>
      </c>
      <c r="B913" t="s">
        <v>26</v>
      </c>
      <c r="C913" t="s">
        <v>27</v>
      </c>
      <c r="H913" s="2">
        <v>44693.484722222223</v>
      </c>
      <c r="I913" t="s">
        <v>150</v>
      </c>
      <c r="Z913">
        <v>33639</v>
      </c>
    </row>
    <row r="914" spans="1:26" x14ac:dyDescent="0.25">
      <c r="A914" t="s">
        <v>212</v>
      </c>
      <c r="B914" t="s">
        <v>125</v>
      </c>
      <c r="C914" t="s">
        <v>27</v>
      </c>
      <c r="E914" t="s">
        <v>61</v>
      </c>
      <c r="H914" s="2">
        <v>44692.397916666669</v>
      </c>
      <c r="I914" t="s">
        <v>219</v>
      </c>
      <c r="Z914">
        <v>33601</v>
      </c>
    </row>
    <row r="915" spans="1:26" x14ac:dyDescent="0.25">
      <c r="A915" t="s">
        <v>1391</v>
      </c>
      <c r="B915" t="s">
        <v>26</v>
      </c>
      <c r="C915" t="s">
        <v>27</v>
      </c>
      <c r="H915" s="2">
        <v>44689.084027777775</v>
      </c>
      <c r="I915" t="s">
        <v>219</v>
      </c>
      <c r="Z915">
        <v>33503</v>
      </c>
    </row>
    <row r="916" spans="1:26" x14ac:dyDescent="0.25">
      <c r="A916" t="s">
        <v>1392</v>
      </c>
      <c r="B916" t="s">
        <v>26</v>
      </c>
      <c r="C916" t="s">
        <v>27</v>
      </c>
      <c r="H916" s="2">
        <v>44688.083333333336</v>
      </c>
      <c r="I916" t="s">
        <v>219</v>
      </c>
      <c r="Z916">
        <v>33430</v>
      </c>
    </row>
    <row r="917" spans="1:26" x14ac:dyDescent="0.25">
      <c r="A917" t="s">
        <v>1393</v>
      </c>
      <c r="B917" t="s">
        <v>117</v>
      </c>
      <c r="C917" t="s">
        <v>27</v>
      </c>
      <c r="E917" t="s">
        <v>103</v>
      </c>
      <c r="G917" t="s">
        <v>1394</v>
      </c>
      <c r="H917" s="2">
        <v>44686.865972222222</v>
      </c>
      <c r="I917" t="s">
        <v>219</v>
      </c>
      <c r="K917" t="s">
        <v>30</v>
      </c>
      <c r="L917" t="s">
        <v>31</v>
      </c>
      <c r="M917">
        <v>67127941</v>
      </c>
      <c r="N917">
        <v>11954234035</v>
      </c>
      <c r="O917" t="s">
        <v>83</v>
      </c>
      <c r="Z917">
        <v>33369</v>
      </c>
    </row>
    <row r="918" spans="1:26" x14ac:dyDescent="0.25">
      <c r="A918" t="s">
        <v>489</v>
      </c>
      <c r="B918" t="s">
        <v>26</v>
      </c>
      <c r="C918" t="s">
        <v>27</v>
      </c>
      <c r="H918" s="2">
        <v>44686.629166666666</v>
      </c>
      <c r="I918" t="s">
        <v>150</v>
      </c>
      <c r="Z918">
        <v>33344</v>
      </c>
    </row>
    <row r="919" spans="1:26" x14ac:dyDescent="0.25">
      <c r="A919" t="s">
        <v>1395</v>
      </c>
      <c r="B919" t="s">
        <v>140</v>
      </c>
      <c r="C919" t="s">
        <v>27</v>
      </c>
      <c r="E919" t="s">
        <v>81</v>
      </c>
      <c r="G919" t="s">
        <v>111</v>
      </c>
      <c r="H919" s="2">
        <v>44686.466666666667</v>
      </c>
      <c r="I919" t="s">
        <v>219</v>
      </c>
      <c r="K919" t="s">
        <v>30</v>
      </c>
      <c r="L919" t="s">
        <v>31</v>
      </c>
      <c r="M919">
        <v>67127941</v>
      </c>
      <c r="N919">
        <v>11954234081</v>
      </c>
      <c r="O919" t="s">
        <v>83</v>
      </c>
      <c r="Z919">
        <v>33324</v>
      </c>
    </row>
    <row r="920" spans="1:26" x14ac:dyDescent="0.25">
      <c r="A920" t="s">
        <v>1396</v>
      </c>
      <c r="B920" t="s">
        <v>26</v>
      </c>
      <c r="C920" t="s">
        <v>27</v>
      </c>
      <c r="H920" s="2">
        <v>44685.902777777781</v>
      </c>
      <c r="I920" t="s">
        <v>219</v>
      </c>
      <c r="Z920">
        <v>33309</v>
      </c>
    </row>
    <row r="921" spans="1:26" x14ac:dyDescent="0.25">
      <c r="A921" t="s">
        <v>1397</v>
      </c>
      <c r="B921" t="s">
        <v>131</v>
      </c>
      <c r="C921" t="s">
        <v>27</v>
      </c>
      <c r="E921" t="s">
        <v>51</v>
      </c>
      <c r="G921" t="s">
        <v>1398</v>
      </c>
      <c r="H921" s="2">
        <v>44685.893055555556</v>
      </c>
      <c r="I921" t="s">
        <v>219</v>
      </c>
      <c r="Z921">
        <v>33308</v>
      </c>
    </row>
    <row r="922" spans="1:26" x14ac:dyDescent="0.25">
      <c r="A922" t="s">
        <v>1392</v>
      </c>
      <c r="B922" t="s">
        <v>26</v>
      </c>
      <c r="C922" t="s">
        <v>27</v>
      </c>
      <c r="H922" s="2">
        <v>44685.475694444445</v>
      </c>
      <c r="I922" t="s">
        <v>219</v>
      </c>
      <c r="Z922">
        <v>33246</v>
      </c>
    </row>
    <row r="923" spans="1:26" x14ac:dyDescent="0.25">
      <c r="A923" t="s">
        <v>1399</v>
      </c>
      <c r="B923" t="s">
        <v>46</v>
      </c>
      <c r="C923" t="s">
        <v>27</v>
      </c>
      <c r="E923" t="s">
        <v>1400</v>
      </c>
      <c r="G923" t="s">
        <v>1401</v>
      </c>
      <c r="H923" s="2">
        <v>44684.948611111111</v>
      </c>
      <c r="I923" t="s">
        <v>219</v>
      </c>
      <c r="Z923">
        <v>33227</v>
      </c>
    </row>
    <row r="924" spans="1:26" x14ac:dyDescent="0.25">
      <c r="A924" t="s">
        <v>1402</v>
      </c>
      <c r="B924" t="s">
        <v>125</v>
      </c>
      <c r="C924" t="s">
        <v>27</v>
      </c>
      <c r="E924" t="s">
        <v>1403</v>
      </c>
      <c r="H924" s="2">
        <v>44683.911111111112</v>
      </c>
      <c r="I924" t="s">
        <v>219</v>
      </c>
      <c r="Z924">
        <v>33147</v>
      </c>
    </row>
    <row r="925" spans="1:26" x14ac:dyDescent="0.25">
      <c r="A925" t="s">
        <v>203</v>
      </c>
      <c r="B925" t="s">
        <v>131</v>
      </c>
      <c r="C925" t="s">
        <v>27</v>
      </c>
      <c r="E925" t="s">
        <v>62</v>
      </c>
      <c r="H925" s="2">
        <v>44681.566666666666</v>
      </c>
      <c r="I925" t="s">
        <v>219</v>
      </c>
      <c r="Z925">
        <v>32997</v>
      </c>
    </row>
    <row r="926" spans="1:26" x14ac:dyDescent="0.25">
      <c r="A926" t="s">
        <v>142</v>
      </c>
      <c r="B926" t="s">
        <v>131</v>
      </c>
      <c r="C926" t="s">
        <v>27</v>
      </c>
      <c r="E926" t="s">
        <v>51</v>
      </c>
      <c r="H926" s="2">
        <v>44680.589583333334</v>
      </c>
      <c r="I926" t="s">
        <v>219</v>
      </c>
      <c r="Z926">
        <v>32923</v>
      </c>
    </row>
    <row r="927" spans="1:26" x14ac:dyDescent="0.25">
      <c r="A927" t="s">
        <v>87</v>
      </c>
      <c r="C927" t="s">
        <v>27</v>
      </c>
      <c r="E927" t="s">
        <v>45</v>
      </c>
      <c r="H927" s="2">
        <v>44679.732638888891</v>
      </c>
      <c r="I927" t="s">
        <v>150</v>
      </c>
      <c r="Z927">
        <v>32865</v>
      </c>
    </row>
    <row r="928" spans="1:26" x14ac:dyDescent="0.25">
      <c r="A928" t="s">
        <v>215</v>
      </c>
      <c r="C928" t="s">
        <v>27</v>
      </c>
      <c r="E928" t="s">
        <v>45</v>
      </c>
      <c r="H928" s="2">
        <v>44679.503472222219</v>
      </c>
      <c r="I928" t="s">
        <v>118</v>
      </c>
      <c r="Z928">
        <v>32841</v>
      </c>
    </row>
    <row r="929" spans="1:26" x14ac:dyDescent="0.25">
      <c r="A929" t="s">
        <v>1404</v>
      </c>
      <c r="B929" t="s">
        <v>131</v>
      </c>
      <c r="C929" t="s">
        <v>27</v>
      </c>
      <c r="E929" t="s">
        <v>62</v>
      </c>
      <c r="G929" t="s">
        <v>1405</v>
      </c>
      <c r="H929" s="2">
        <v>44678.99722222222</v>
      </c>
      <c r="I929" t="s">
        <v>219</v>
      </c>
      <c r="Z929">
        <v>32811</v>
      </c>
    </row>
    <row r="930" spans="1:26" x14ac:dyDescent="0.25">
      <c r="A930" t="s">
        <v>1406</v>
      </c>
      <c r="B930" t="s">
        <v>26</v>
      </c>
      <c r="C930" t="s">
        <v>27</v>
      </c>
      <c r="H930" s="2">
        <v>44678.779861111114</v>
      </c>
      <c r="I930" t="s">
        <v>216</v>
      </c>
      <c r="Z930">
        <v>32803</v>
      </c>
    </row>
    <row r="931" spans="1:26" x14ac:dyDescent="0.25">
      <c r="A931" t="s">
        <v>1407</v>
      </c>
      <c r="B931" t="s">
        <v>26</v>
      </c>
      <c r="C931" t="s">
        <v>27</v>
      </c>
      <c r="H931" s="2">
        <v>44676.833333333336</v>
      </c>
      <c r="I931" t="s">
        <v>221</v>
      </c>
      <c r="Z931">
        <v>32658</v>
      </c>
    </row>
    <row r="932" spans="1:26" x14ac:dyDescent="0.25">
      <c r="A932" t="s">
        <v>1408</v>
      </c>
      <c r="B932" t="s">
        <v>26</v>
      </c>
      <c r="C932" t="s">
        <v>27</v>
      </c>
      <c r="H932" s="2">
        <v>44676.753472222219</v>
      </c>
      <c r="I932" t="s">
        <v>216</v>
      </c>
      <c r="Z932">
        <v>32648</v>
      </c>
    </row>
    <row r="933" spans="1:26" x14ac:dyDescent="0.25">
      <c r="A933" t="s">
        <v>215</v>
      </c>
      <c r="C933" t="s">
        <v>27</v>
      </c>
      <c r="E933" t="s">
        <v>66</v>
      </c>
      <c r="H933" s="2">
        <v>44676.550694444442</v>
      </c>
      <c r="I933" t="s">
        <v>216</v>
      </c>
      <c r="Z933">
        <v>32607</v>
      </c>
    </row>
    <row r="934" spans="1:26" x14ac:dyDescent="0.25">
      <c r="A934" t="s">
        <v>1409</v>
      </c>
      <c r="B934" t="s">
        <v>125</v>
      </c>
      <c r="C934" t="s">
        <v>27</v>
      </c>
      <c r="E934" t="s">
        <v>110</v>
      </c>
      <c r="H934" s="2">
        <v>44676.540277777778</v>
      </c>
      <c r="I934" t="s">
        <v>221</v>
      </c>
      <c r="K934" t="s">
        <v>30</v>
      </c>
      <c r="L934" t="s">
        <v>31</v>
      </c>
      <c r="M934">
        <v>67127941</v>
      </c>
      <c r="N934">
        <v>11954234043</v>
      </c>
      <c r="O934" t="s">
        <v>83</v>
      </c>
      <c r="Z934">
        <v>32604</v>
      </c>
    </row>
    <row r="935" spans="1:26" x14ac:dyDescent="0.25">
      <c r="A935" t="s">
        <v>182</v>
      </c>
      <c r="B935" t="s">
        <v>131</v>
      </c>
      <c r="C935" t="s">
        <v>27</v>
      </c>
      <c r="E935" t="s">
        <v>76</v>
      </c>
      <c r="H935" s="2">
        <v>44675.388888888891</v>
      </c>
      <c r="I935" t="s">
        <v>219</v>
      </c>
      <c r="Z935">
        <v>32507</v>
      </c>
    </row>
    <row r="936" spans="1:26" x14ac:dyDescent="0.25">
      <c r="A936" t="s">
        <v>201</v>
      </c>
      <c r="B936" t="s">
        <v>131</v>
      </c>
      <c r="C936" t="s">
        <v>27</v>
      </c>
      <c r="E936" t="s">
        <v>65</v>
      </c>
      <c r="H936" s="2">
        <v>44674.490972222222</v>
      </c>
      <c r="I936" t="s">
        <v>219</v>
      </c>
      <c r="Z936">
        <v>32442</v>
      </c>
    </row>
    <row r="937" spans="1:26" x14ac:dyDescent="0.25">
      <c r="A937" t="s">
        <v>1410</v>
      </c>
      <c r="B937" t="s">
        <v>26</v>
      </c>
      <c r="C937" t="s">
        <v>27</v>
      </c>
      <c r="H937" s="2">
        <v>44674.463888888888</v>
      </c>
      <c r="I937" t="s">
        <v>150</v>
      </c>
      <c r="Z937">
        <v>32433</v>
      </c>
    </row>
    <row r="938" spans="1:26" x14ac:dyDescent="0.25">
      <c r="A938" t="s">
        <v>1411</v>
      </c>
      <c r="B938" t="s">
        <v>131</v>
      </c>
      <c r="C938" t="s">
        <v>27</v>
      </c>
      <c r="E938" t="s">
        <v>81</v>
      </c>
      <c r="G938" t="s">
        <v>1412</v>
      </c>
      <c r="H938" s="2">
        <v>44672.92291666667</v>
      </c>
      <c r="I938" t="s">
        <v>118</v>
      </c>
      <c r="Z938">
        <v>32272</v>
      </c>
    </row>
    <row r="939" spans="1:26" x14ac:dyDescent="0.25">
      <c r="A939" t="s">
        <v>1413</v>
      </c>
      <c r="B939" t="s">
        <v>26</v>
      </c>
      <c r="C939" t="s">
        <v>27</v>
      </c>
      <c r="H939" s="2">
        <v>44672.742361111108</v>
      </c>
      <c r="I939" t="s">
        <v>221</v>
      </c>
      <c r="Z939">
        <v>32256</v>
      </c>
    </row>
    <row r="940" spans="1:26" x14ac:dyDescent="0.25">
      <c r="A940" t="s">
        <v>1414</v>
      </c>
      <c r="B940" t="s">
        <v>26</v>
      </c>
      <c r="C940" t="s">
        <v>27</v>
      </c>
      <c r="H940" s="2">
        <v>44671.593055555553</v>
      </c>
      <c r="I940" t="s">
        <v>221</v>
      </c>
      <c r="Z940">
        <v>32175</v>
      </c>
    </row>
    <row r="941" spans="1:26" x14ac:dyDescent="0.25">
      <c r="A941" t="s">
        <v>222</v>
      </c>
      <c r="B941" t="s">
        <v>26</v>
      </c>
      <c r="C941" t="s">
        <v>27</v>
      </c>
      <c r="H941" s="2">
        <v>44671.427083333336</v>
      </c>
      <c r="I941" t="s">
        <v>118</v>
      </c>
      <c r="Z941">
        <v>32158</v>
      </c>
    </row>
    <row r="942" spans="1:26" x14ac:dyDescent="0.25">
      <c r="A942" t="s">
        <v>1415</v>
      </c>
      <c r="B942" t="s">
        <v>26</v>
      </c>
      <c r="C942" t="s">
        <v>27</v>
      </c>
      <c r="H942" s="2">
        <v>44669.568055555559</v>
      </c>
      <c r="I942" t="s">
        <v>219</v>
      </c>
      <c r="Z942">
        <v>32007</v>
      </c>
    </row>
    <row r="943" spans="1:26" x14ac:dyDescent="0.25">
      <c r="A943" t="s">
        <v>155</v>
      </c>
      <c r="B943" t="s">
        <v>131</v>
      </c>
      <c r="C943" t="s">
        <v>27</v>
      </c>
      <c r="E943" t="s">
        <v>45</v>
      </c>
      <c r="H943" s="2">
        <v>44668.734027777777</v>
      </c>
      <c r="I943" t="s">
        <v>219</v>
      </c>
      <c r="Z943">
        <v>31945</v>
      </c>
    </row>
    <row r="944" spans="1:26" x14ac:dyDescent="0.25">
      <c r="A944" t="s">
        <v>1416</v>
      </c>
      <c r="B944" t="s">
        <v>26</v>
      </c>
      <c r="C944" t="s">
        <v>27</v>
      </c>
      <c r="H944" s="2">
        <v>44668.474999999999</v>
      </c>
      <c r="I944" t="s">
        <v>219</v>
      </c>
      <c r="Z944">
        <v>31895</v>
      </c>
    </row>
    <row r="945" spans="1:26" x14ac:dyDescent="0.25">
      <c r="A945" t="s">
        <v>1417</v>
      </c>
      <c r="B945" t="s">
        <v>26</v>
      </c>
      <c r="C945" t="s">
        <v>27</v>
      </c>
      <c r="H945" s="2">
        <v>44667.706250000003</v>
      </c>
      <c r="I945" t="s">
        <v>185</v>
      </c>
      <c r="Z945">
        <v>31842</v>
      </c>
    </row>
    <row r="946" spans="1:26" x14ac:dyDescent="0.25">
      <c r="A946" t="s">
        <v>1418</v>
      </c>
      <c r="B946" t="s">
        <v>26</v>
      </c>
      <c r="C946" t="s">
        <v>27</v>
      </c>
      <c r="H946" s="2">
        <v>44666.563194444447</v>
      </c>
      <c r="I946" t="s">
        <v>185</v>
      </c>
      <c r="Z946">
        <v>31724</v>
      </c>
    </row>
    <row r="947" spans="1:26" x14ac:dyDescent="0.25">
      <c r="A947" t="s">
        <v>489</v>
      </c>
      <c r="B947" t="s">
        <v>26</v>
      </c>
      <c r="C947" t="s">
        <v>27</v>
      </c>
      <c r="H947" s="2">
        <v>44665.700694444444</v>
      </c>
      <c r="I947" t="s">
        <v>216</v>
      </c>
      <c r="Z947">
        <v>31680</v>
      </c>
    </row>
    <row r="948" spans="1:26" x14ac:dyDescent="0.25">
      <c r="A948" t="s">
        <v>1419</v>
      </c>
      <c r="B948" t="s">
        <v>26</v>
      </c>
      <c r="C948" t="s">
        <v>27</v>
      </c>
      <c r="H948" s="2">
        <v>44664.737500000003</v>
      </c>
      <c r="I948" t="s">
        <v>216</v>
      </c>
      <c r="Z948">
        <v>31608</v>
      </c>
    </row>
    <row r="949" spans="1:26" x14ac:dyDescent="0.25">
      <c r="A949" t="s">
        <v>1420</v>
      </c>
      <c r="B949" t="s">
        <v>26</v>
      </c>
      <c r="C949" t="s">
        <v>27</v>
      </c>
      <c r="H949" s="2">
        <v>44663.513888888891</v>
      </c>
      <c r="I949" t="s">
        <v>219</v>
      </c>
      <c r="Z949">
        <v>31454</v>
      </c>
    </row>
    <row r="950" spans="1:26" x14ac:dyDescent="0.25">
      <c r="A950" t="s">
        <v>142</v>
      </c>
      <c r="B950" t="s">
        <v>125</v>
      </c>
      <c r="C950" t="s">
        <v>27</v>
      </c>
      <c r="E950" t="s">
        <v>51</v>
      </c>
      <c r="H950" s="2">
        <v>44662.411805555559</v>
      </c>
      <c r="I950" t="s">
        <v>216</v>
      </c>
      <c r="Z950">
        <v>31336</v>
      </c>
    </row>
    <row r="951" spans="1:26" x14ac:dyDescent="0.25">
      <c r="A951" t="s">
        <v>1421</v>
      </c>
      <c r="B951" t="s">
        <v>26</v>
      </c>
      <c r="C951" t="s">
        <v>27</v>
      </c>
      <c r="H951" s="2">
        <v>44661.773611111108</v>
      </c>
      <c r="I951" t="s">
        <v>185</v>
      </c>
      <c r="Z951">
        <v>31310</v>
      </c>
    </row>
    <row r="952" spans="1:26" x14ac:dyDescent="0.25">
      <c r="A952" t="s">
        <v>1422</v>
      </c>
      <c r="B952" t="s">
        <v>125</v>
      </c>
      <c r="C952" t="s">
        <v>27</v>
      </c>
      <c r="E952" t="s">
        <v>1423</v>
      </c>
      <c r="H952" s="2">
        <v>44658.67291666667</v>
      </c>
      <c r="I952" t="s">
        <v>221</v>
      </c>
      <c r="Z952">
        <v>31048</v>
      </c>
    </row>
    <row r="953" spans="1:26" x14ac:dyDescent="0.25">
      <c r="A953" t="s">
        <v>1424</v>
      </c>
      <c r="B953" t="s">
        <v>26</v>
      </c>
      <c r="C953" t="s">
        <v>27</v>
      </c>
      <c r="H953" s="2">
        <v>44658.561111111114</v>
      </c>
      <c r="I953" t="s">
        <v>219</v>
      </c>
      <c r="Z953">
        <v>31037</v>
      </c>
    </row>
    <row r="954" spans="1:26" x14ac:dyDescent="0.25">
      <c r="A954" t="s">
        <v>489</v>
      </c>
      <c r="B954" t="s">
        <v>26</v>
      </c>
      <c r="C954" t="s">
        <v>27</v>
      </c>
      <c r="H954" s="2">
        <v>44658.405555555553</v>
      </c>
      <c r="I954" t="s">
        <v>150</v>
      </c>
      <c r="Z954">
        <v>31009</v>
      </c>
    </row>
    <row r="955" spans="1:26" x14ac:dyDescent="0.25">
      <c r="A955" t="s">
        <v>1425</v>
      </c>
      <c r="B955" t="s">
        <v>131</v>
      </c>
      <c r="C955" t="s">
        <v>27</v>
      </c>
      <c r="E955" t="s">
        <v>1426</v>
      </c>
      <c r="H955" s="2">
        <v>44657.808333333334</v>
      </c>
      <c r="I955" t="s">
        <v>219</v>
      </c>
      <c r="Z955">
        <v>30999</v>
      </c>
    </row>
    <row r="956" spans="1:26" x14ac:dyDescent="0.25">
      <c r="A956" t="s">
        <v>1427</v>
      </c>
      <c r="B956" t="s">
        <v>26</v>
      </c>
      <c r="C956" t="s">
        <v>60</v>
      </c>
      <c r="H956" s="2">
        <v>44657.465277777781</v>
      </c>
      <c r="I956" t="s">
        <v>118</v>
      </c>
      <c r="Z956">
        <v>30943</v>
      </c>
    </row>
    <row r="957" spans="1:26" x14ac:dyDescent="0.25">
      <c r="A957" t="s">
        <v>1428</v>
      </c>
      <c r="B957" t="s">
        <v>125</v>
      </c>
      <c r="C957" t="s">
        <v>27</v>
      </c>
      <c r="E957" t="s">
        <v>1429</v>
      </c>
      <c r="H957" s="2">
        <v>44656.564583333333</v>
      </c>
      <c r="I957" t="s">
        <v>221</v>
      </c>
      <c r="Z957">
        <v>30864</v>
      </c>
    </row>
    <row r="958" spans="1:26" x14ac:dyDescent="0.25">
      <c r="A958" t="s">
        <v>176</v>
      </c>
      <c r="B958" t="s">
        <v>131</v>
      </c>
      <c r="C958" t="s">
        <v>27</v>
      </c>
      <c r="E958" t="s">
        <v>95</v>
      </c>
      <c r="H958" s="2">
        <v>44656.442361111112</v>
      </c>
      <c r="I958" t="s">
        <v>219</v>
      </c>
      <c r="Z958">
        <v>30824</v>
      </c>
    </row>
    <row r="959" spans="1:26" x14ac:dyDescent="0.25">
      <c r="A959" t="s">
        <v>1430</v>
      </c>
      <c r="B959" t="s">
        <v>26</v>
      </c>
      <c r="C959" t="s">
        <v>27</v>
      </c>
      <c r="H959" s="2">
        <v>44655.470138888886</v>
      </c>
      <c r="I959" t="s">
        <v>118</v>
      </c>
      <c r="Z959">
        <v>30770</v>
      </c>
    </row>
    <row r="960" spans="1:26" x14ac:dyDescent="0.25">
      <c r="A960" t="s">
        <v>1397</v>
      </c>
      <c r="B960" t="s">
        <v>131</v>
      </c>
      <c r="C960" t="s">
        <v>27</v>
      </c>
      <c r="E960" t="s">
        <v>51</v>
      </c>
      <c r="G960" t="s">
        <v>1398</v>
      </c>
      <c r="H960" s="2">
        <v>44654.018055555556</v>
      </c>
      <c r="I960" t="s">
        <v>216</v>
      </c>
      <c r="Z960">
        <v>30697</v>
      </c>
    </row>
    <row r="961" spans="1:26" x14ac:dyDescent="0.25">
      <c r="A961" t="s">
        <v>1431</v>
      </c>
      <c r="B961" t="s">
        <v>131</v>
      </c>
      <c r="C961" t="s">
        <v>27</v>
      </c>
      <c r="E961" t="s">
        <v>159</v>
      </c>
      <c r="H961" s="2">
        <v>44651.188888888886</v>
      </c>
      <c r="I961" t="s">
        <v>221</v>
      </c>
      <c r="Z961">
        <v>30558</v>
      </c>
    </row>
    <row r="962" spans="1:26" x14ac:dyDescent="0.25">
      <c r="A962" t="s">
        <v>1432</v>
      </c>
      <c r="B962" t="s">
        <v>131</v>
      </c>
      <c r="C962" t="s">
        <v>27</v>
      </c>
      <c r="E962" t="s">
        <v>80</v>
      </c>
      <c r="G962" t="s">
        <v>1433</v>
      </c>
      <c r="H962" s="2">
        <v>44649.75277777778</v>
      </c>
      <c r="I962" t="s">
        <v>216</v>
      </c>
      <c r="Z962">
        <v>30514</v>
      </c>
    </row>
    <row r="963" spans="1:26" x14ac:dyDescent="0.25">
      <c r="A963" t="s">
        <v>1434</v>
      </c>
      <c r="B963" t="s">
        <v>26</v>
      </c>
      <c r="C963" t="s">
        <v>27</v>
      </c>
      <c r="H963" s="2">
        <v>44648.548611111109</v>
      </c>
      <c r="I963" t="s">
        <v>216</v>
      </c>
      <c r="Z963">
        <v>30460</v>
      </c>
    </row>
    <row r="964" spans="1:26" x14ac:dyDescent="0.25">
      <c r="A964" t="s">
        <v>225</v>
      </c>
      <c r="C964" t="s">
        <v>27</v>
      </c>
      <c r="E964" t="s">
        <v>1435</v>
      </c>
      <c r="H964" s="2">
        <v>44647.856944444444</v>
      </c>
      <c r="I964" t="s">
        <v>216</v>
      </c>
      <c r="Z964">
        <v>30433</v>
      </c>
    </row>
    <row r="965" spans="1:26" x14ac:dyDescent="0.25">
      <c r="A965" t="s">
        <v>225</v>
      </c>
      <c r="C965" t="s">
        <v>27</v>
      </c>
      <c r="E965" t="s">
        <v>1436</v>
      </c>
      <c r="H965" s="2">
        <v>44647.518750000003</v>
      </c>
      <c r="I965" t="s">
        <v>118</v>
      </c>
      <c r="Z965">
        <v>30425</v>
      </c>
    </row>
    <row r="966" spans="1:26" x14ac:dyDescent="0.25">
      <c r="A966" t="s">
        <v>1437</v>
      </c>
      <c r="B966" t="s">
        <v>131</v>
      </c>
      <c r="C966" t="s">
        <v>27</v>
      </c>
      <c r="E966" t="s">
        <v>210</v>
      </c>
      <c r="H966" s="2">
        <v>44646.885416666664</v>
      </c>
      <c r="I966" t="s">
        <v>221</v>
      </c>
      <c r="Z966">
        <v>30405</v>
      </c>
    </row>
    <row r="967" spans="1:26" x14ac:dyDescent="0.25">
      <c r="A967" t="s">
        <v>225</v>
      </c>
      <c r="C967" t="s">
        <v>27</v>
      </c>
      <c r="E967" t="s">
        <v>1438</v>
      </c>
      <c r="H967" s="2">
        <v>44646.549305555556</v>
      </c>
      <c r="I967" t="s">
        <v>221</v>
      </c>
      <c r="Z967">
        <v>30379</v>
      </c>
    </row>
    <row r="968" spans="1:26" x14ac:dyDescent="0.25">
      <c r="A968" t="s">
        <v>225</v>
      </c>
      <c r="C968" t="s">
        <v>27</v>
      </c>
      <c r="E968" t="s">
        <v>1439</v>
      </c>
      <c r="H968" s="2">
        <v>44646.54583333333</v>
      </c>
      <c r="I968" t="s">
        <v>221</v>
      </c>
      <c r="Z968">
        <v>30377</v>
      </c>
    </row>
    <row r="969" spans="1:26" x14ac:dyDescent="0.25">
      <c r="A969" t="s">
        <v>197</v>
      </c>
      <c r="B969" t="s">
        <v>26</v>
      </c>
      <c r="C969" t="s">
        <v>27</v>
      </c>
      <c r="H969" s="2">
        <v>44645.664583333331</v>
      </c>
      <c r="I969" t="s">
        <v>221</v>
      </c>
      <c r="Z969">
        <v>30331</v>
      </c>
    </row>
    <row r="970" spans="1:26" x14ac:dyDescent="0.25">
      <c r="A970" t="s">
        <v>1440</v>
      </c>
      <c r="B970" t="s">
        <v>26</v>
      </c>
      <c r="C970" t="s">
        <v>27</v>
      </c>
      <c r="H970" s="2">
        <v>44644.729861111111</v>
      </c>
      <c r="I970" t="s">
        <v>219</v>
      </c>
      <c r="Z970">
        <v>30279</v>
      </c>
    </row>
    <row r="971" spans="1:26" x14ac:dyDescent="0.25">
      <c r="A971" t="s">
        <v>225</v>
      </c>
      <c r="C971" t="s">
        <v>27</v>
      </c>
      <c r="E971" t="s">
        <v>1441</v>
      </c>
      <c r="H971" s="2">
        <v>44643.415972222225</v>
      </c>
      <c r="I971" t="s">
        <v>216</v>
      </c>
      <c r="Z971">
        <v>30198</v>
      </c>
    </row>
    <row r="972" spans="1:26" x14ac:dyDescent="0.25">
      <c r="A972" t="s">
        <v>1208</v>
      </c>
      <c r="B972" t="s">
        <v>26</v>
      </c>
      <c r="C972" t="s">
        <v>27</v>
      </c>
      <c r="H972" s="2">
        <v>44641.736805555556</v>
      </c>
      <c r="I972" t="s">
        <v>137</v>
      </c>
      <c r="Z972">
        <v>30127</v>
      </c>
    </row>
    <row r="973" spans="1:26" x14ac:dyDescent="0.25">
      <c r="A973" t="s">
        <v>171</v>
      </c>
      <c r="B973" t="s">
        <v>26</v>
      </c>
      <c r="C973" t="s">
        <v>27</v>
      </c>
      <c r="H973" s="2">
        <v>44640.694444444445</v>
      </c>
      <c r="I973" t="s">
        <v>137</v>
      </c>
      <c r="Z973">
        <v>30072</v>
      </c>
    </row>
    <row r="974" spans="1:26" x14ac:dyDescent="0.25">
      <c r="A974" t="s">
        <v>1442</v>
      </c>
      <c r="B974" t="s">
        <v>26</v>
      </c>
      <c r="C974" t="s">
        <v>27</v>
      </c>
      <c r="H974" s="2">
        <v>44638.647916666669</v>
      </c>
      <c r="I974" t="s">
        <v>219</v>
      </c>
      <c r="Z974">
        <v>29949</v>
      </c>
    </row>
    <row r="975" spans="1:26" x14ac:dyDescent="0.25">
      <c r="A975" t="s">
        <v>1396</v>
      </c>
      <c r="B975" t="s">
        <v>26</v>
      </c>
      <c r="C975" t="s">
        <v>27</v>
      </c>
      <c r="H975" s="2">
        <v>44638.615972222222</v>
      </c>
      <c r="I975" t="s">
        <v>219</v>
      </c>
      <c r="Z975">
        <v>29946</v>
      </c>
    </row>
    <row r="976" spans="1:26" x14ac:dyDescent="0.25">
      <c r="A976" t="s">
        <v>1443</v>
      </c>
      <c r="B976" t="s">
        <v>26</v>
      </c>
      <c r="C976" t="s">
        <v>27</v>
      </c>
      <c r="H976" s="2">
        <v>44638.470833333333</v>
      </c>
      <c r="I976" t="s">
        <v>221</v>
      </c>
      <c r="Z976">
        <v>29936</v>
      </c>
    </row>
    <row r="977" spans="1:26" x14ac:dyDescent="0.25">
      <c r="A977" t="s">
        <v>225</v>
      </c>
      <c r="C977" t="s">
        <v>27</v>
      </c>
      <c r="E977" t="s">
        <v>1444</v>
      </c>
      <c r="H977" s="2">
        <v>44637.938194444447</v>
      </c>
      <c r="I977" t="s">
        <v>219</v>
      </c>
      <c r="Z977">
        <v>29925</v>
      </c>
    </row>
    <row r="978" spans="1:26" x14ac:dyDescent="0.25">
      <c r="A978" t="s">
        <v>1445</v>
      </c>
      <c r="B978" t="s">
        <v>26</v>
      </c>
      <c r="C978" t="s">
        <v>27</v>
      </c>
      <c r="H978" s="2">
        <v>44637.699305555558</v>
      </c>
      <c r="I978" t="s">
        <v>137</v>
      </c>
      <c r="Z978">
        <v>29914</v>
      </c>
    </row>
    <row r="979" spans="1:26" x14ac:dyDescent="0.25">
      <c r="A979" t="s">
        <v>180</v>
      </c>
      <c r="B979" t="s">
        <v>140</v>
      </c>
      <c r="C979" t="s">
        <v>60</v>
      </c>
      <c r="E979" t="s">
        <v>81</v>
      </c>
      <c r="H979" s="2">
        <v>44636.588194444441</v>
      </c>
      <c r="I979" t="s">
        <v>137</v>
      </c>
      <c r="Z979">
        <v>29856</v>
      </c>
    </row>
    <row r="980" spans="1:26" x14ac:dyDescent="0.25">
      <c r="A980" t="s">
        <v>1446</v>
      </c>
      <c r="B980" t="s">
        <v>26</v>
      </c>
      <c r="C980" t="s">
        <v>27</v>
      </c>
      <c r="H980" s="2">
        <v>44634.672222222223</v>
      </c>
      <c r="I980" t="s">
        <v>219</v>
      </c>
      <c r="Z980">
        <v>29763</v>
      </c>
    </row>
    <row r="981" spans="1:26" x14ac:dyDescent="0.25">
      <c r="A981" t="s">
        <v>1447</v>
      </c>
      <c r="B981" t="s">
        <v>140</v>
      </c>
      <c r="C981" t="s">
        <v>27</v>
      </c>
      <c r="E981" t="s">
        <v>179</v>
      </c>
      <c r="H981" s="2">
        <v>44634.664583333331</v>
      </c>
      <c r="I981" t="s">
        <v>219</v>
      </c>
      <c r="Z981">
        <v>29762</v>
      </c>
    </row>
    <row r="982" spans="1:26" x14ac:dyDescent="0.25">
      <c r="A982" t="s">
        <v>224</v>
      </c>
      <c r="B982" t="s">
        <v>117</v>
      </c>
      <c r="C982" t="s">
        <v>27</v>
      </c>
      <c r="E982" t="s">
        <v>73</v>
      </c>
      <c r="H982" s="2">
        <v>44634.647222222222</v>
      </c>
      <c r="I982" t="s">
        <v>219</v>
      </c>
      <c r="Z982">
        <v>29760</v>
      </c>
    </row>
    <row r="983" spans="1:26" x14ac:dyDescent="0.25">
      <c r="A983" t="s">
        <v>1448</v>
      </c>
      <c r="B983" t="s">
        <v>26</v>
      </c>
      <c r="C983" t="s">
        <v>27</v>
      </c>
      <c r="H983" s="2">
        <v>44630.643750000003</v>
      </c>
      <c r="I983" t="s">
        <v>137</v>
      </c>
      <c r="Z983">
        <v>29489</v>
      </c>
    </row>
    <row r="984" spans="1:26" x14ac:dyDescent="0.25">
      <c r="A984" t="s">
        <v>1449</v>
      </c>
      <c r="B984" t="s">
        <v>140</v>
      </c>
      <c r="C984" t="s">
        <v>27</v>
      </c>
      <c r="E984" t="s">
        <v>1450</v>
      </c>
      <c r="H984" s="2">
        <v>44629.578472222223</v>
      </c>
      <c r="I984" t="s">
        <v>137</v>
      </c>
      <c r="Z984">
        <v>29434</v>
      </c>
    </row>
    <row r="985" spans="1:26" x14ac:dyDescent="0.25">
      <c r="A985" t="s">
        <v>1451</v>
      </c>
      <c r="B985" t="s">
        <v>26</v>
      </c>
      <c r="C985" t="s">
        <v>27</v>
      </c>
      <c r="H985" s="2">
        <v>44628.425000000003</v>
      </c>
      <c r="I985" t="s">
        <v>221</v>
      </c>
      <c r="Z985">
        <v>29367</v>
      </c>
    </row>
    <row r="986" spans="1:26" x14ac:dyDescent="0.25">
      <c r="A986" t="s">
        <v>155</v>
      </c>
      <c r="B986" t="s">
        <v>125</v>
      </c>
      <c r="C986" t="s">
        <v>27</v>
      </c>
      <c r="E986" t="s">
        <v>45</v>
      </c>
      <c r="H986" s="2">
        <v>44625.818055555559</v>
      </c>
      <c r="I986" t="s">
        <v>221</v>
      </c>
      <c r="K986" t="s">
        <v>30</v>
      </c>
      <c r="L986" t="s">
        <v>31</v>
      </c>
      <c r="M986" t="s">
        <v>1452</v>
      </c>
      <c r="N986" t="s">
        <v>1453</v>
      </c>
      <c r="O986" t="s">
        <v>1454</v>
      </c>
      <c r="Z986">
        <v>29260</v>
      </c>
    </row>
    <row r="987" spans="1:26" x14ac:dyDescent="0.25">
      <c r="A987" t="s">
        <v>1455</v>
      </c>
      <c r="B987" t="s">
        <v>26</v>
      </c>
      <c r="C987" t="s">
        <v>27</v>
      </c>
      <c r="H987" s="2">
        <v>44620.757638888892</v>
      </c>
      <c r="I987" t="s">
        <v>219</v>
      </c>
      <c r="Z987">
        <v>29034</v>
      </c>
    </row>
    <row r="988" spans="1:26" x14ac:dyDescent="0.25">
      <c r="A988" t="s">
        <v>225</v>
      </c>
      <c r="C988" t="s">
        <v>27</v>
      </c>
      <c r="E988" t="s">
        <v>1456</v>
      </c>
      <c r="H988" s="2">
        <v>44618.993055555555</v>
      </c>
      <c r="I988" t="s">
        <v>219</v>
      </c>
      <c r="Z988">
        <v>28970</v>
      </c>
    </row>
    <row r="989" spans="1:26" x14ac:dyDescent="0.25">
      <c r="A989" t="s">
        <v>180</v>
      </c>
      <c r="B989" t="s">
        <v>140</v>
      </c>
      <c r="C989" t="s">
        <v>27</v>
      </c>
      <c r="E989" t="s">
        <v>81</v>
      </c>
      <c r="H989" s="2">
        <v>44618.992361111108</v>
      </c>
      <c r="I989" t="s">
        <v>137</v>
      </c>
      <c r="K989" t="s">
        <v>30</v>
      </c>
      <c r="L989" t="s">
        <v>31</v>
      </c>
      <c r="M989" t="s">
        <v>1457</v>
      </c>
      <c r="O989" t="s">
        <v>1458</v>
      </c>
      <c r="Z989">
        <v>28969</v>
      </c>
    </row>
    <row r="990" spans="1:26" x14ac:dyDescent="0.25">
      <c r="A990" t="s">
        <v>225</v>
      </c>
      <c r="C990" t="s">
        <v>27</v>
      </c>
      <c r="E990" t="s">
        <v>90</v>
      </c>
      <c r="H990" s="2">
        <v>44617.395138888889</v>
      </c>
      <c r="I990" t="s">
        <v>137</v>
      </c>
      <c r="Z990">
        <v>28907</v>
      </c>
    </row>
    <row r="991" spans="1:26" x14ac:dyDescent="0.25">
      <c r="A991" t="s">
        <v>217</v>
      </c>
      <c r="B991" t="s">
        <v>125</v>
      </c>
      <c r="C991" t="s">
        <v>60</v>
      </c>
      <c r="E991" t="s">
        <v>62</v>
      </c>
      <c r="H991" s="2">
        <v>44615.46597222222</v>
      </c>
      <c r="I991" t="s">
        <v>221</v>
      </c>
      <c r="Z991">
        <v>28838</v>
      </c>
    </row>
    <row r="992" spans="1:26" x14ac:dyDescent="0.25">
      <c r="A992" t="s">
        <v>225</v>
      </c>
      <c r="C992" t="s">
        <v>27</v>
      </c>
      <c r="E992" t="s">
        <v>1459</v>
      </c>
      <c r="H992" s="2">
        <v>44613.84375</v>
      </c>
      <c r="I992" t="s">
        <v>221</v>
      </c>
      <c r="Z992">
        <v>28777</v>
      </c>
    </row>
    <row r="993" spans="1:26" x14ac:dyDescent="0.25">
      <c r="A993" t="s">
        <v>1460</v>
      </c>
      <c r="B993" t="s">
        <v>26</v>
      </c>
      <c r="C993" t="s">
        <v>27</v>
      </c>
      <c r="H993" s="2">
        <v>44606.621527777781</v>
      </c>
      <c r="I993" t="s">
        <v>137</v>
      </c>
      <c r="Z993">
        <v>28366</v>
      </c>
    </row>
    <row r="994" spans="1:26" x14ac:dyDescent="0.25">
      <c r="A994" t="s">
        <v>1461</v>
      </c>
      <c r="B994" t="s">
        <v>26</v>
      </c>
      <c r="C994" t="s">
        <v>27</v>
      </c>
      <c r="H994" s="2">
        <v>44604.71875</v>
      </c>
      <c r="I994" t="s">
        <v>221</v>
      </c>
      <c r="Z994">
        <v>28287</v>
      </c>
    </row>
    <row r="995" spans="1:26" x14ac:dyDescent="0.25">
      <c r="A995" t="s">
        <v>1462</v>
      </c>
      <c r="B995" t="s">
        <v>26</v>
      </c>
      <c r="C995" t="s">
        <v>27</v>
      </c>
      <c r="H995" s="2">
        <v>44604.584722222222</v>
      </c>
      <c r="I995" t="s">
        <v>219</v>
      </c>
      <c r="Z995">
        <v>28277</v>
      </c>
    </row>
    <row r="996" spans="1:26" x14ac:dyDescent="0.25">
      <c r="A996" t="s">
        <v>1463</v>
      </c>
      <c r="B996" t="s">
        <v>26</v>
      </c>
      <c r="C996" t="s">
        <v>27</v>
      </c>
      <c r="H996" s="2">
        <v>44600.517361111109</v>
      </c>
      <c r="I996" t="s">
        <v>216</v>
      </c>
      <c r="Z996">
        <v>28115</v>
      </c>
    </row>
    <row r="997" spans="1:26" x14ac:dyDescent="0.25">
      <c r="A997" t="s">
        <v>203</v>
      </c>
      <c r="B997" t="s">
        <v>131</v>
      </c>
      <c r="C997" t="s">
        <v>27</v>
      </c>
      <c r="E997" t="s">
        <v>62</v>
      </c>
      <c r="H997" s="2">
        <v>44599.536805555559</v>
      </c>
      <c r="I997" t="s">
        <v>137</v>
      </c>
      <c r="Z997">
        <v>28067</v>
      </c>
    </row>
    <row r="998" spans="1:26" x14ac:dyDescent="0.25">
      <c r="A998" t="s">
        <v>225</v>
      </c>
      <c r="C998" t="s">
        <v>27</v>
      </c>
      <c r="E998" t="s">
        <v>1464</v>
      </c>
      <c r="H998" s="2">
        <v>44599.330555555556</v>
      </c>
      <c r="I998" t="s">
        <v>137</v>
      </c>
      <c r="Z998">
        <v>28055</v>
      </c>
    </row>
    <row r="999" spans="1:26" x14ac:dyDescent="0.25">
      <c r="A999" t="s">
        <v>119</v>
      </c>
      <c r="B999" t="s">
        <v>131</v>
      </c>
      <c r="C999" t="s">
        <v>27</v>
      </c>
      <c r="E999" t="s">
        <v>66</v>
      </c>
      <c r="H999" s="2">
        <v>44598.729166666664</v>
      </c>
      <c r="I999" t="s">
        <v>219</v>
      </c>
      <c r="Z999">
        <v>28049</v>
      </c>
    </row>
    <row r="1000" spans="1:26" x14ac:dyDescent="0.25">
      <c r="A1000" t="s">
        <v>203</v>
      </c>
      <c r="B1000" t="s">
        <v>131</v>
      </c>
      <c r="C1000" t="s">
        <v>27</v>
      </c>
      <c r="E1000" t="s">
        <v>62</v>
      </c>
      <c r="H1000" s="2">
        <v>44597.736805555556</v>
      </c>
      <c r="I1000" t="s">
        <v>219</v>
      </c>
      <c r="Z1000">
        <v>28000</v>
      </c>
    </row>
    <row r="1001" spans="1:26" x14ac:dyDescent="0.25">
      <c r="A1001" t="s">
        <v>225</v>
      </c>
      <c r="C1001" t="s">
        <v>27</v>
      </c>
      <c r="E1001" t="s">
        <v>1465</v>
      </c>
      <c r="H1001" s="2">
        <v>44595.952777777777</v>
      </c>
      <c r="I1001" t="s">
        <v>219</v>
      </c>
      <c r="Z1001">
        <v>27930</v>
      </c>
    </row>
    <row r="1002" spans="1:26" x14ac:dyDescent="0.25">
      <c r="A1002" t="s">
        <v>225</v>
      </c>
      <c r="C1002" t="s">
        <v>27</v>
      </c>
      <c r="E1002" t="s">
        <v>1466</v>
      </c>
      <c r="H1002" s="2">
        <v>44595.518750000003</v>
      </c>
      <c r="I1002" t="s">
        <v>118</v>
      </c>
      <c r="Z1002">
        <v>27920</v>
      </c>
    </row>
    <row r="1003" spans="1:26" x14ac:dyDescent="0.25">
      <c r="A1003" t="s">
        <v>1467</v>
      </c>
      <c r="B1003" t="s">
        <v>140</v>
      </c>
      <c r="C1003" t="s">
        <v>27</v>
      </c>
      <c r="E1003" t="s">
        <v>1468</v>
      </c>
      <c r="G1003" t="s">
        <v>1469</v>
      </c>
      <c r="H1003" s="2">
        <v>44594.617361111108</v>
      </c>
      <c r="I1003" t="s">
        <v>216</v>
      </c>
      <c r="K1003" t="s">
        <v>30</v>
      </c>
      <c r="L1003" t="s">
        <v>31</v>
      </c>
      <c r="M1003">
        <v>67127941</v>
      </c>
      <c r="N1003">
        <v>11356214858</v>
      </c>
      <c r="O1003" t="s">
        <v>907</v>
      </c>
      <c r="Z1003">
        <v>27889</v>
      </c>
    </row>
    <row r="1004" spans="1:26" x14ac:dyDescent="0.25">
      <c r="A1004" t="s">
        <v>1470</v>
      </c>
      <c r="B1004" t="s">
        <v>26</v>
      </c>
      <c r="C1004" t="s">
        <v>27</v>
      </c>
      <c r="H1004" s="2">
        <v>44594.597222222219</v>
      </c>
      <c r="I1004" t="s">
        <v>137</v>
      </c>
      <c r="Z1004">
        <v>27885</v>
      </c>
    </row>
    <row r="1005" spans="1:26" x14ac:dyDescent="0.25">
      <c r="A1005" t="s">
        <v>89</v>
      </c>
      <c r="B1005" t="s">
        <v>209</v>
      </c>
      <c r="C1005" t="s">
        <v>27</v>
      </c>
      <c r="H1005" s="2">
        <v>44594.543749999997</v>
      </c>
      <c r="I1005" t="s">
        <v>137</v>
      </c>
      <c r="K1005" t="s">
        <v>33</v>
      </c>
      <c r="L1005" t="s">
        <v>31</v>
      </c>
      <c r="M1005" t="s">
        <v>1471</v>
      </c>
      <c r="N1005" t="s">
        <v>1472</v>
      </c>
      <c r="O1005" t="s">
        <v>1473</v>
      </c>
      <c r="Z1005">
        <v>27879</v>
      </c>
    </row>
    <row r="1006" spans="1:26" x14ac:dyDescent="0.25">
      <c r="A1006" t="s">
        <v>1474</v>
      </c>
      <c r="B1006" t="s">
        <v>26</v>
      </c>
      <c r="C1006" t="s">
        <v>60</v>
      </c>
      <c r="H1006" s="2">
        <v>44594.377083333333</v>
      </c>
      <c r="I1006" t="s">
        <v>137</v>
      </c>
      <c r="Z1006">
        <v>27865</v>
      </c>
    </row>
    <row r="1007" spans="1:26" x14ac:dyDescent="0.25">
      <c r="A1007" t="s">
        <v>225</v>
      </c>
      <c r="C1007" t="s">
        <v>27</v>
      </c>
      <c r="E1007" t="s">
        <v>1475</v>
      </c>
      <c r="H1007" s="2">
        <v>44593.919444444444</v>
      </c>
      <c r="I1007" t="s">
        <v>137</v>
      </c>
      <c r="Z1007">
        <v>27862</v>
      </c>
    </row>
    <row r="1008" spans="1:26" x14ac:dyDescent="0.25">
      <c r="A1008" t="s">
        <v>1476</v>
      </c>
      <c r="B1008" t="s">
        <v>26</v>
      </c>
      <c r="C1008" t="s">
        <v>27</v>
      </c>
      <c r="H1008" s="2">
        <v>44593.593055555553</v>
      </c>
      <c r="I1008" t="s">
        <v>137</v>
      </c>
      <c r="Z1008">
        <v>27830</v>
      </c>
    </row>
    <row r="1009" spans="1:26" x14ac:dyDescent="0.25">
      <c r="A1009" t="s">
        <v>225</v>
      </c>
      <c r="C1009" t="s">
        <v>27</v>
      </c>
      <c r="E1009" t="s">
        <v>45</v>
      </c>
      <c r="H1009" s="2">
        <v>44592.850694444445</v>
      </c>
      <c r="I1009" t="s">
        <v>216</v>
      </c>
      <c r="Z1009">
        <v>27811</v>
      </c>
    </row>
    <row r="1010" spans="1:26" x14ac:dyDescent="0.25">
      <c r="A1010" t="s">
        <v>1477</v>
      </c>
      <c r="B1010" t="s">
        <v>26</v>
      </c>
      <c r="C1010" t="s">
        <v>27</v>
      </c>
      <c r="H1010" s="2">
        <v>44592.720833333333</v>
      </c>
      <c r="I1010" t="s">
        <v>219</v>
      </c>
      <c r="Z1010">
        <v>27797</v>
      </c>
    </row>
    <row r="1011" spans="1:26" x14ac:dyDescent="0.25">
      <c r="A1011" t="s">
        <v>180</v>
      </c>
      <c r="B1011" t="s">
        <v>131</v>
      </c>
      <c r="C1011" t="s">
        <v>27</v>
      </c>
      <c r="E1011" t="s">
        <v>81</v>
      </c>
      <c r="H1011" s="2">
        <v>44591.599305555559</v>
      </c>
      <c r="I1011" t="s">
        <v>221</v>
      </c>
      <c r="Z1011">
        <v>27766</v>
      </c>
    </row>
    <row r="1012" spans="1:26" x14ac:dyDescent="0.25">
      <c r="A1012" t="s">
        <v>1084</v>
      </c>
      <c r="B1012" t="s">
        <v>140</v>
      </c>
      <c r="C1012" t="s">
        <v>27</v>
      </c>
      <c r="E1012" t="s">
        <v>1085</v>
      </c>
      <c r="H1012" s="2">
        <v>44590.644444444442</v>
      </c>
      <c r="I1012" t="s">
        <v>219</v>
      </c>
      <c r="Z1012">
        <v>27726</v>
      </c>
    </row>
    <row r="1013" spans="1:26" x14ac:dyDescent="0.25">
      <c r="A1013" t="s">
        <v>1478</v>
      </c>
      <c r="B1013" t="s">
        <v>227</v>
      </c>
      <c r="C1013" t="s">
        <v>27</v>
      </c>
      <c r="E1013" t="s">
        <v>136</v>
      </c>
      <c r="G1013" t="s">
        <v>1479</v>
      </c>
      <c r="H1013" s="2">
        <v>44589.75</v>
      </c>
      <c r="I1013" t="s">
        <v>137</v>
      </c>
      <c r="Z1013">
        <v>27674</v>
      </c>
    </row>
    <row r="1014" spans="1:26" x14ac:dyDescent="0.25">
      <c r="A1014" t="s">
        <v>1480</v>
      </c>
      <c r="B1014" t="s">
        <v>26</v>
      </c>
      <c r="C1014" t="s">
        <v>143</v>
      </c>
      <c r="H1014" s="2">
        <v>44589.637499999997</v>
      </c>
      <c r="I1014" t="s">
        <v>137</v>
      </c>
      <c r="Z1014">
        <v>27661</v>
      </c>
    </row>
    <row r="1015" spans="1:26" x14ac:dyDescent="0.25">
      <c r="A1015" t="s">
        <v>225</v>
      </c>
      <c r="C1015" t="s">
        <v>27</v>
      </c>
      <c r="E1015" t="s">
        <v>1481</v>
      </c>
      <c r="H1015" s="2">
        <v>44588.990277777775</v>
      </c>
      <c r="I1015" t="s">
        <v>118</v>
      </c>
      <c r="Z1015">
        <v>27616</v>
      </c>
    </row>
    <row r="1016" spans="1:26" x14ac:dyDescent="0.25">
      <c r="A1016" t="s">
        <v>133</v>
      </c>
      <c r="B1016" t="s">
        <v>227</v>
      </c>
      <c r="C1016" t="s">
        <v>27</v>
      </c>
      <c r="E1016" t="s">
        <v>134</v>
      </c>
      <c r="H1016" s="2">
        <v>44588.455555555556</v>
      </c>
      <c r="I1016" t="s">
        <v>221</v>
      </c>
      <c r="Z1016">
        <v>27581</v>
      </c>
    </row>
    <row r="1017" spans="1:26" x14ac:dyDescent="0.25">
      <c r="A1017" t="s">
        <v>1482</v>
      </c>
      <c r="B1017" t="s">
        <v>227</v>
      </c>
      <c r="C1017" t="s">
        <v>27</v>
      </c>
      <c r="E1017" t="s">
        <v>1483</v>
      </c>
      <c r="G1017" t="s">
        <v>1484</v>
      </c>
      <c r="H1017" s="2">
        <v>44584.510416666664</v>
      </c>
      <c r="I1017" t="s">
        <v>221</v>
      </c>
      <c r="Z1017">
        <v>27373</v>
      </c>
    </row>
    <row r="1018" spans="1:26" x14ac:dyDescent="0.25">
      <c r="A1018" t="s">
        <v>1485</v>
      </c>
      <c r="B1018" t="s">
        <v>26</v>
      </c>
      <c r="C1018" t="s">
        <v>27</v>
      </c>
      <c r="H1018" s="2">
        <v>44583.519444444442</v>
      </c>
      <c r="I1018" t="s">
        <v>216</v>
      </c>
      <c r="Z1018">
        <v>27342</v>
      </c>
    </row>
    <row r="1019" spans="1:26" x14ac:dyDescent="0.25">
      <c r="A1019" t="s">
        <v>1486</v>
      </c>
      <c r="B1019" t="s">
        <v>26</v>
      </c>
      <c r="C1019" t="s">
        <v>77</v>
      </c>
      <c r="H1019" s="2">
        <v>44582.688888888886</v>
      </c>
      <c r="I1019" t="s">
        <v>216</v>
      </c>
      <c r="Z1019">
        <v>27318</v>
      </c>
    </row>
    <row r="1020" spans="1:26" x14ac:dyDescent="0.25">
      <c r="A1020" t="s">
        <v>225</v>
      </c>
      <c r="C1020" t="s">
        <v>27</v>
      </c>
      <c r="E1020" t="s">
        <v>1487</v>
      </c>
      <c r="H1020" s="2">
        <v>44581.657638888886</v>
      </c>
      <c r="I1020" t="s">
        <v>118</v>
      </c>
      <c r="Z1020">
        <v>27258</v>
      </c>
    </row>
    <row r="1021" spans="1:26" x14ac:dyDescent="0.25">
      <c r="A1021" t="s">
        <v>1084</v>
      </c>
      <c r="B1021" t="s">
        <v>140</v>
      </c>
      <c r="C1021" t="s">
        <v>27</v>
      </c>
      <c r="E1021" t="s">
        <v>1085</v>
      </c>
      <c r="H1021" s="2">
        <v>44580.512499999997</v>
      </c>
      <c r="I1021" t="s">
        <v>219</v>
      </c>
      <c r="Z1021">
        <v>27188</v>
      </c>
    </row>
    <row r="1022" spans="1:26" x14ac:dyDescent="0.25">
      <c r="A1022" t="s">
        <v>1084</v>
      </c>
      <c r="B1022" t="s">
        <v>140</v>
      </c>
      <c r="C1022" t="s">
        <v>27</v>
      </c>
      <c r="E1022" t="s">
        <v>1085</v>
      </c>
      <c r="H1022" s="2">
        <v>44580.426388888889</v>
      </c>
      <c r="I1022" t="s">
        <v>219</v>
      </c>
      <c r="K1022" t="s">
        <v>30</v>
      </c>
      <c r="L1022" t="s">
        <v>31</v>
      </c>
      <c r="M1022">
        <v>67127941</v>
      </c>
      <c r="N1022">
        <v>11356214859</v>
      </c>
      <c r="O1022" t="s">
        <v>796</v>
      </c>
      <c r="Z1022">
        <v>27178</v>
      </c>
    </row>
    <row r="1023" spans="1:26" x14ac:dyDescent="0.25">
      <c r="A1023" t="s">
        <v>1488</v>
      </c>
      <c r="B1023" t="s">
        <v>125</v>
      </c>
      <c r="C1023" t="s">
        <v>27</v>
      </c>
      <c r="E1023" t="s">
        <v>1489</v>
      </c>
      <c r="H1023" s="2">
        <v>44578.836805555555</v>
      </c>
      <c r="I1023" t="s">
        <v>221</v>
      </c>
      <c r="K1023" t="s">
        <v>30</v>
      </c>
      <c r="L1023" t="s">
        <v>31</v>
      </c>
      <c r="M1023">
        <v>67130164</v>
      </c>
      <c r="N1023">
        <v>11434886187</v>
      </c>
      <c r="O1023" t="s">
        <v>83</v>
      </c>
      <c r="Z1023">
        <v>27099</v>
      </c>
    </row>
    <row r="1024" spans="1:26" x14ac:dyDescent="0.25">
      <c r="A1024" t="s">
        <v>1490</v>
      </c>
      <c r="B1024" t="s">
        <v>26</v>
      </c>
      <c r="C1024" t="s">
        <v>27</v>
      </c>
      <c r="H1024" s="2">
        <v>44578.474999999999</v>
      </c>
      <c r="I1024" t="s">
        <v>219</v>
      </c>
      <c r="Z1024">
        <v>27064</v>
      </c>
    </row>
    <row r="1025" spans="1:26" x14ac:dyDescent="0.25">
      <c r="A1025" t="s">
        <v>133</v>
      </c>
      <c r="B1025" t="s">
        <v>227</v>
      </c>
      <c r="C1025" t="s">
        <v>60</v>
      </c>
      <c r="E1025" t="s">
        <v>134</v>
      </c>
      <c r="H1025" s="2">
        <v>44576.868750000001</v>
      </c>
      <c r="I1025" t="s">
        <v>216</v>
      </c>
      <c r="Z1025">
        <v>27011</v>
      </c>
    </row>
    <row r="1026" spans="1:26" x14ac:dyDescent="0.25">
      <c r="A1026" t="s">
        <v>1491</v>
      </c>
      <c r="B1026" t="s">
        <v>26</v>
      </c>
      <c r="C1026" t="s">
        <v>27</v>
      </c>
      <c r="H1026" s="2">
        <v>44575.8</v>
      </c>
      <c r="I1026" t="s">
        <v>216</v>
      </c>
      <c r="Z1026">
        <v>26973</v>
      </c>
    </row>
    <row r="1027" spans="1:26" x14ac:dyDescent="0.25">
      <c r="A1027" t="s">
        <v>1492</v>
      </c>
      <c r="B1027" t="s">
        <v>26</v>
      </c>
      <c r="C1027" t="s">
        <v>27</v>
      </c>
      <c r="H1027" s="2">
        <v>44574.769444444442</v>
      </c>
      <c r="I1027" t="s">
        <v>219</v>
      </c>
      <c r="Z1027">
        <v>26922</v>
      </c>
    </row>
    <row r="1028" spans="1:26" x14ac:dyDescent="0.25">
      <c r="A1028" t="s">
        <v>155</v>
      </c>
      <c r="B1028" t="s">
        <v>227</v>
      </c>
      <c r="C1028" t="s">
        <v>27</v>
      </c>
      <c r="E1028" t="s">
        <v>45</v>
      </c>
      <c r="H1028" s="2">
        <v>44573.898611111108</v>
      </c>
      <c r="I1028" t="s">
        <v>219</v>
      </c>
      <c r="Z1028">
        <v>26882</v>
      </c>
    </row>
    <row r="1029" spans="1:26" x14ac:dyDescent="0.25">
      <c r="A1029" t="s">
        <v>133</v>
      </c>
      <c r="B1029" t="s">
        <v>227</v>
      </c>
      <c r="C1029" t="s">
        <v>77</v>
      </c>
      <c r="E1029" t="s">
        <v>134</v>
      </c>
      <c r="H1029" s="2">
        <v>44573.781944444447</v>
      </c>
      <c r="I1029" t="s">
        <v>221</v>
      </c>
      <c r="Z1029">
        <v>26872</v>
      </c>
    </row>
    <row r="1030" spans="1:26" x14ac:dyDescent="0.25">
      <c r="A1030" t="s">
        <v>1493</v>
      </c>
      <c r="B1030" t="s">
        <v>26</v>
      </c>
      <c r="C1030" t="s">
        <v>27</v>
      </c>
      <c r="H1030" s="2">
        <v>44573.611805555556</v>
      </c>
      <c r="I1030" t="s">
        <v>221</v>
      </c>
      <c r="Z1030">
        <v>26863</v>
      </c>
    </row>
    <row r="1031" spans="1:26" x14ac:dyDescent="0.25">
      <c r="A1031" t="s">
        <v>225</v>
      </c>
      <c r="C1031" t="s">
        <v>27</v>
      </c>
      <c r="E1031" t="s">
        <v>1494</v>
      </c>
      <c r="H1031" s="2">
        <v>44572.849305555559</v>
      </c>
      <c r="I1031" t="s">
        <v>221</v>
      </c>
      <c r="Z1031">
        <v>26842</v>
      </c>
    </row>
    <row r="1032" spans="1:26" x14ac:dyDescent="0.25">
      <c r="A1032" t="s">
        <v>1495</v>
      </c>
      <c r="B1032" t="s">
        <v>131</v>
      </c>
      <c r="C1032" t="s">
        <v>27</v>
      </c>
      <c r="E1032" t="s">
        <v>1496</v>
      </c>
      <c r="H1032" s="2">
        <v>44570.898611111108</v>
      </c>
      <c r="I1032" t="s">
        <v>137</v>
      </c>
      <c r="Z1032">
        <v>26753</v>
      </c>
    </row>
    <row r="1033" spans="1:26" x14ac:dyDescent="0.25">
      <c r="A1033" t="s">
        <v>1491</v>
      </c>
      <c r="B1033" t="s">
        <v>26</v>
      </c>
      <c r="C1033" t="s">
        <v>27</v>
      </c>
      <c r="H1033" s="2">
        <v>44570.722222222219</v>
      </c>
      <c r="I1033" t="s">
        <v>137</v>
      </c>
      <c r="K1033" t="s">
        <v>30</v>
      </c>
      <c r="L1033" t="s">
        <v>34</v>
      </c>
      <c r="M1033" t="s">
        <v>35</v>
      </c>
      <c r="N1033" t="s">
        <v>35</v>
      </c>
      <c r="O1033" t="s">
        <v>35</v>
      </c>
      <c r="Z1033">
        <v>26738</v>
      </c>
    </row>
    <row r="1034" spans="1:26" x14ac:dyDescent="0.25">
      <c r="A1034" t="s">
        <v>1497</v>
      </c>
      <c r="B1034" t="s">
        <v>26</v>
      </c>
      <c r="C1034" t="s">
        <v>27</v>
      </c>
      <c r="H1034" s="2">
        <v>44570.713194444441</v>
      </c>
      <c r="I1034" t="s">
        <v>216</v>
      </c>
      <c r="Z1034">
        <v>26737</v>
      </c>
    </row>
    <row r="1035" spans="1:26" x14ac:dyDescent="0.25">
      <c r="A1035" t="s">
        <v>1498</v>
      </c>
      <c r="B1035" t="s">
        <v>26</v>
      </c>
      <c r="C1035" t="s">
        <v>27</v>
      </c>
      <c r="H1035" s="2">
        <v>44569.520833333336</v>
      </c>
      <c r="I1035" t="s">
        <v>137</v>
      </c>
      <c r="K1035" t="s">
        <v>33</v>
      </c>
      <c r="L1035" t="s">
        <v>34</v>
      </c>
      <c r="M1035" t="s">
        <v>35</v>
      </c>
      <c r="N1035" t="s">
        <v>35</v>
      </c>
      <c r="O1035" t="s">
        <v>35</v>
      </c>
      <c r="Z1035">
        <v>26669</v>
      </c>
    </row>
    <row r="1036" spans="1:26" x14ac:dyDescent="0.25">
      <c r="A1036" t="s">
        <v>1491</v>
      </c>
      <c r="B1036" t="s">
        <v>26</v>
      </c>
      <c r="C1036" t="s">
        <v>27</v>
      </c>
      <c r="H1036" s="2">
        <v>44568.711805555555</v>
      </c>
      <c r="I1036" t="s">
        <v>219</v>
      </c>
      <c r="Z1036">
        <v>26648</v>
      </c>
    </row>
    <row r="1037" spans="1:26" x14ac:dyDescent="0.25">
      <c r="A1037" t="s">
        <v>1499</v>
      </c>
      <c r="B1037" t="s">
        <v>26</v>
      </c>
      <c r="C1037" t="s">
        <v>27</v>
      </c>
      <c r="H1037" s="2">
        <v>44566.388194444444</v>
      </c>
      <c r="I1037" t="s">
        <v>221</v>
      </c>
      <c r="K1037" t="s">
        <v>33</v>
      </c>
      <c r="L1037" t="s">
        <v>34</v>
      </c>
      <c r="M1037" t="s">
        <v>35</v>
      </c>
      <c r="N1037" t="s">
        <v>35</v>
      </c>
      <c r="O1037" t="s">
        <v>35</v>
      </c>
      <c r="Z1037">
        <v>26533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BE7-955F-4B77-8545-74023C7D0165}">
  <dimension ref="A1:E238"/>
  <sheetViews>
    <sheetView workbookViewId="0"/>
  </sheetViews>
  <sheetFormatPr defaultRowHeight="15" x14ac:dyDescent="0.25"/>
  <cols>
    <col min="1" max="1" width="17.42578125" bestFit="1" customWidth="1"/>
    <col min="2" max="2" width="16.5703125" bestFit="1" customWidth="1"/>
    <col min="3" max="3" width="36.7109375" customWidth="1"/>
    <col min="4" max="4" width="17.7109375" bestFit="1" customWidth="1"/>
    <col min="5" max="5" width="26.5703125" bestFit="1" customWidth="1"/>
  </cols>
  <sheetData>
    <row r="1" spans="1:5" x14ac:dyDescent="0.25">
      <c r="A1" t="s">
        <v>229</v>
      </c>
      <c r="B1" t="s">
        <v>230</v>
      </c>
      <c r="C1" t="s">
        <v>231</v>
      </c>
      <c r="D1" t="s">
        <v>232</v>
      </c>
      <c r="E1" t="s">
        <v>233</v>
      </c>
    </row>
    <row r="2" spans="1:5" x14ac:dyDescent="0.25">
      <c r="A2" s="3">
        <v>44557</v>
      </c>
      <c r="B2" s="3">
        <v>44563</v>
      </c>
      <c r="C2" t="s">
        <v>234</v>
      </c>
      <c r="D2">
        <v>673</v>
      </c>
      <c r="E2">
        <v>2.8999999999999998E-3</v>
      </c>
    </row>
    <row r="3" spans="1:5" x14ac:dyDescent="0.25">
      <c r="A3" s="3">
        <v>44564</v>
      </c>
      <c r="B3" s="3">
        <v>44570</v>
      </c>
      <c r="C3" t="s">
        <v>235</v>
      </c>
      <c r="D3">
        <v>954</v>
      </c>
      <c r="E3">
        <v>4.1999999999999997E-3</v>
      </c>
    </row>
    <row r="4" spans="1:5" x14ac:dyDescent="0.25">
      <c r="A4" s="3">
        <v>44571</v>
      </c>
      <c r="B4" s="3">
        <v>44577</v>
      </c>
      <c r="C4" t="s">
        <v>236</v>
      </c>
      <c r="D4">
        <v>1160</v>
      </c>
      <c r="E4">
        <v>4.1999999999999997E-3</v>
      </c>
    </row>
    <row r="5" spans="1:5" x14ac:dyDescent="0.25">
      <c r="A5" s="3">
        <v>44578</v>
      </c>
      <c r="B5" s="3">
        <v>44584</v>
      </c>
      <c r="C5" t="s">
        <v>237</v>
      </c>
      <c r="D5">
        <v>1177</v>
      </c>
      <c r="E5">
        <v>4.1000000000000003E-3</v>
      </c>
    </row>
    <row r="6" spans="1:5" x14ac:dyDescent="0.25">
      <c r="A6" s="3">
        <v>44585</v>
      </c>
      <c r="B6" s="3">
        <v>44591</v>
      </c>
      <c r="C6" t="s">
        <v>238</v>
      </c>
      <c r="D6">
        <v>1216</v>
      </c>
      <c r="E6">
        <v>4.3E-3</v>
      </c>
    </row>
    <row r="7" spans="1:5" x14ac:dyDescent="0.25">
      <c r="A7" s="3">
        <v>44592</v>
      </c>
      <c r="B7" s="3">
        <v>44598</v>
      </c>
      <c r="C7" t="s">
        <v>239</v>
      </c>
      <c r="D7">
        <v>1021</v>
      </c>
      <c r="E7">
        <v>3.5000000000000001E-3</v>
      </c>
    </row>
    <row r="8" spans="1:5" x14ac:dyDescent="0.25">
      <c r="A8" s="3">
        <v>44599</v>
      </c>
      <c r="B8" s="3">
        <v>44605</v>
      </c>
      <c r="C8" t="s">
        <v>240</v>
      </c>
      <c r="D8">
        <v>1067</v>
      </c>
      <c r="E8">
        <v>3.5999999999999999E-3</v>
      </c>
    </row>
    <row r="9" spans="1:5" x14ac:dyDescent="0.25">
      <c r="A9" s="3">
        <v>44606</v>
      </c>
      <c r="B9" s="3">
        <v>44612</v>
      </c>
      <c r="C9" t="s">
        <v>241</v>
      </c>
      <c r="D9">
        <v>1029</v>
      </c>
      <c r="E9">
        <v>3.3999999999999998E-3</v>
      </c>
    </row>
    <row r="10" spans="1:5" x14ac:dyDescent="0.25">
      <c r="A10" s="3">
        <v>44613</v>
      </c>
      <c r="B10" s="3">
        <v>44619</v>
      </c>
      <c r="C10" t="s">
        <v>242</v>
      </c>
      <c r="D10">
        <v>914</v>
      </c>
      <c r="E10">
        <v>3.2000000000000002E-3</v>
      </c>
    </row>
    <row r="11" spans="1:5" x14ac:dyDescent="0.25">
      <c r="A11" s="3">
        <v>44620</v>
      </c>
      <c r="B11" s="3">
        <v>44626</v>
      </c>
      <c r="C11" t="s">
        <v>243</v>
      </c>
      <c r="D11">
        <v>810</v>
      </c>
      <c r="E11">
        <v>2.7000000000000001E-3</v>
      </c>
    </row>
    <row r="12" spans="1:5" x14ac:dyDescent="0.25">
      <c r="A12" s="3">
        <v>44627</v>
      </c>
      <c r="B12" s="3">
        <v>44633</v>
      </c>
      <c r="C12" t="s">
        <v>244</v>
      </c>
      <c r="D12">
        <v>935</v>
      </c>
      <c r="E12">
        <v>3.2000000000000002E-3</v>
      </c>
    </row>
    <row r="13" spans="1:5" x14ac:dyDescent="0.25">
      <c r="A13" s="3">
        <v>44634</v>
      </c>
      <c r="B13" s="3">
        <v>44640</v>
      </c>
      <c r="C13" t="s">
        <v>245</v>
      </c>
      <c r="D13">
        <v>988</v>
      </c>
      <c r="E13">
        <v>3.2000000000000002E-3</v>
      </c>
    </row>
    <row r="14" spans="1:5" x14ac:dyDescent="0.25">
      <c r="A14" s="3">
        <v>44641</v>
      </c>
      <c r="B14" s="3">
        <v>44647</v>
      </c>
      <c r="C14" t="s">
        <v>246</v>
      </c>
      <c r="D14">
        <v>934</v>
      </c>
      <c r="E14">
        <v>3.0999999999999999E-3</v>
      </c>
    </row>
    <row r="15" spans="1:5" x14ac:dyDescent="0.25">
      <c r="A15" s="3">
        <v>44648</v>
      </c>
      <c r="B15" s="3">
        <v>44654</v>
      </c>
      <c r="C15" t="s">
        <v>247</v>
      </c>
      <c r="D15">
        <v>1129</v>
      </c>
      <c r="E15">
        <v>3.8999999999999998E-3</v>
      </c>
    </row>
    <row r="16" spans="1:5" x14ac:dyDescent="0.25">
      <c r="A16" s="3">
        <v>44655</v>
      </c>
      <c r="B16" s="3">
        <v>44661</v>
      </c>
      <c r="C16" t="s">
        <v>248</v>
      </c>
      <c r="D16">
        <v>1309</v>
      </c>
      <c r="E16">
        <v>4.4999999999999997E-3</v>
      </c>
    </row>
    <row r="17" spans="1:5" x14ac:dyDescent="0.25">
      <c r="A17" s="3">
        <v>44662</v>
      </c>
      <c r="B17" s="3">
        <v>44668</v>
      </c>
      <c r="C17" t="s">
        <v>249</v>
      </c>
      <c r="D17">
        <v>1299</v>
      </c>
      <c r="E17">
        <v>4.5999999999999999E-3</v>
      </c>
    </row>
    <row r="18" spans="1:5" x14ac:dyDescent="0.25">
      <c r="A18" s="3">
        <v>44669</v>
      </c>
      <c r="B18" s="3">
        <v>44675</v>
      </c>
      <c r="C18" t="s">
        <v>250</v>
      </c>
      <c r="D18">
        <v>1267</v>
      </c>
      <c r="E18">
        <v>4.5999999999999999E-3</v>
      </c>
    </row>
    <row r="19" spans="1:5" x14ac:dyDescent="0.25">
      <c r="A19" s="3">
        <v>44676</v>
      </c>
      <c r="B19" s="3">
        <v>44682</v>
      </c>
      <c r="C19" t="s">
        <v>251</v>
      </c>
      <c r="D19">
        <v>1007</v>
      </c>
      <c r="E19">
        <v>3.8E-3</v>
      </c>
    </row>
    <row r="20" spans="1:5" x14ac:dyDescent="0.25">
      <c r="A20" s="3">
        <v>44683</v>
      </c>
      <c r="B20" s="3">
        <v>44689</v>
      </c>
      <c r="C20" t="s">
        <v>252</v>
      </c>
      <c r="D20">
        <v>982</v>
      </c>
      <c r="E20">
        <v>4.1000000000000003E-3</v>
      </c>
    </row>
    <row r="21" spans="1:5" x14ac:dyDescent="0.25">
      <c r="A21" s="3">
        <v>44690</v>
      </c>
      <c r="B21" s="3">
        <v>44696</v>
      </c>
      <c r="C21" t="s">
        <v>253</v>
      </c>
      <c r="D21">
        <v>979</v>
      </c>
      <c r="E21">
        <v>3.7000000000000002E-3</v>
      </c>
    </row>
    <row r="22" spans="1:5" x14ac:dyDescent="0.25">
      <c r="A22" s="3">
        <v>44697</v>
      </c>
      <c r="B22" s="3">
        <v>44703</v>
      </c>
      <c r="C22" t="s">
        <v>254</v>
      </c>
      <c r="D22">
        <v>1177</v>
      </c>
      <c r="E22">
        <v>4.1000000000000003E-3</v>
      </c>
    </row>
    <row r="23" spans="1:5" x14ac:dyDescent="0.25">
      <c r="A23" s="3">
        <v>44704</v>
      </c>
      <c r="B23" s="3">
        <v>44710</v>
      </c>
      <c r="C23" t="s">
        <v>255</v>
      </c>
      <c r="D23">
        <v>1111</v>
      </c>
      <c r="E23">
        <v>4.1000000000000003E-3</v>
      </c>
    </row>
    <row r="24" spans="1:5" x14ac:dyDescent="0.25">
      <c r="A24" s="3">
        <v>44711</v>
      </c>
      <c r="B24" s="3">
        <v>44717</v>
      </c>
      <c r="C24" t="s">
        <v>256</v>
      </c>
      <c r="D24">
        <v>1028</v>
      </c>
      <c r="E24">
        <v>4.1999999999999997E-3</v>
      </c>
    </row>
    <row r="25" spans="1:5" x14ac:dyDescent="0.25">
      <c r="A25" s="3">
        <v>44718</v>
      </c>
      <c r="B25" s="3">
        <v>44724</v>
      </c>
      <c r="C25" t="s">
        <v>257</v>
      </c>
      <c r="D25">
        <v>932</v>
      </c>
      <c r="E25">
        <v>3.7000000000000002E-3</v>
      </c>
    </row>
    <row r="26" spans="1:5" x14ac:dyDescent="0.25">
      <c r="A26" s="3">
        <v>44725</v>
      </c>
      <c r="B26" s="3">
        <v>44731</v>
      </c>
      <c r="C26" t="s">
        <v>258</v>
      </c>
      <c r="D26">
        <v>852</v>
      </c>
      <c r="E26">
        <v>3.5999999999999999E-3</v>
      </c>
    </row>
    <row r="27" spans="1:5" x14ac:dyDescent="0.25">
      <c r="A27" s="3">
        <v>44732</v>
      </c>
      <c r="B27" s="3">
        <v>44738</v>
      </c>
      <c r="C27" t="s">
        <v>259</v>
      </c>
      <c r="D27">
        <v>903</v>
      </c>
      <c r="E27">
        <v>3.7000000000000002E-3</v>
      </c>
    </row>
    <row r="28" spans="1:5" x14ac:dyDescent="0.25">
      <c r="A28" s="3">
        <v>44739</v>
      </c>
      <c r="B28" s="3">
        <v>44745</v>
      </c>
      <c r="C28" t="s">
        <v>260</v>
      </c>
      <c r="D28">
        <v>848</v>
      </c>
      <c r="E28">
        <v>3.5999999999999999E-3</v>
      </c>
    </row>
    <row r="29" spans="1:5" x14ac:dyDescent="0.25">
      <c r="A29" s="3">
        <v>44746</v>
      </c>
      <c r="B29" s="3">
        <v>44752</v>
      </c>
      <c r="C29" t="s">
        <v>261</v>
      </c>
      <c r="D29">
        <v>829</v>
      </c>
      <c r="E29">
        <v>3.7000000000000002E-3</v>
      </c>
    </row>
    <row r="30" spans="1:5" x14ac:dyDescent="0.25">
      <c r="A30" s="3">
        <v>44753</v>
      </c>
      <c r="B30" s="3">
        <v>44759</v>
      </c>
      <c r="C30" t="s">
        <v>262</v>
      </c>
      <c r="D30">
        <v>744</v>
      </c>
      <c r="E30">
        <v>3.3E-3</v>
      </c>
    </row>
    <row r="31" spans="1:5" x14ac:dyDescent="0.25">
      <c r="A31" s="3">
        <v>44760</v>
      </c>
      <c r="B31" s="3">
        <v>44766</v>
      </c>
      <c r="C31" t="s">
        <v>263</v>
      </c>
      <c r="D31">
        <v>706</v>
      </c>
      <c r="E31">
        <v>3.0999999999999999E-3</v>
      </c>
    </row>
    <row r="32" spans="1:5" x14ac:dyDescent="0.25">
      <c r="A32" s="3">
        <v>44767</v>
      </c>
      <c r="B32" s="3">
        <v>44773</v>
      </c>
      <c r="C32" t="s">
        <v>264</v>
      </c>
      <c r="D32">
        <v>722</v>
      </c>
      <c r="E32">
        <v>3.2000000000000002E-3</v>
      </c>
    </row>
    <row r="33" spans="1:5" x14ac:dyDescent="0.25">
      <c r="A33" s="3">
        <v>44774</v>
      </c>
      <c r="B33" s="3">
        <v>44780</v>
      </c>
      <c r="C33" t="s">
        <v>265</v>
      </c>
      <c r="D33">
        <v>775</v>
      </c>
      <c r="E33">
        <v>3.3999999999999998E-3</v>
      </c>
    </row>
    <row r="34" spans="1:5" x14ac:dyDescent="0.25">
      <c r="A34" s="3">
        <v>44781</v>
      </c>
      <c r="B34" s="3">
        <v>44787</v>
      </c>
      <c r="C34" t="s">
        <v>266</v>
      </c>
      <c r="D34">
        <v>712</v>
      </c>
      <c r="E34">
        <v>3.0999999999999999E-3</v>
      </c>
    </row>
    <row r="35" spans="1:5" x14ac:dyDescent="0.25">
      <c r="A35" s="3">
        <v>44788</v>
      </c>
      <c r="B35" s="3">
        <v>44794</v>
      </c>
      <c r="C35" t="s">
        <v>267</v>
      </c>
      <c r="D35">
        <v>790</v>
      </c>
      <c r="E35">
        <v>3.3999999999999998E-3</v>
      </c>
    </row>
    <row r="36" spans="1:5" x14ac:dyDescent="0.25">
      <c r="A36" s="3">
        <v>44795</v>
      </c>
      <c r="B36" s="3">
        <v>44801</v>
      </c>
      <c r="C36" t="s">
        <v>268</v>
      </c>
      <c r="D36">
        <v>773</v>
      </c>
      <c r="E36">
        <v>3.3E-3</v>
      </c>
    </row>
    <row r="37" spans="1:5" x14ac:dyDescent="0.25">
      <c r="A37" s="3">
        <v>44802</v>
      </c>
      <c r="B37" s="3">
        <v>44808</v>
      </c>
      <c r="C37" t="s">
        <v>269</v>
      </c>
      <c r="D37">
        <v>850</v>
      </c>
      <c r="E37">
        <v>3.3999999999999998E-3</v>
      </c>
    </row>
    <row r="38" spans="1:5" x14ac:dyDescent="0.25">
      <c r="A38" s="3">
        <v>44809</v>
      </c>
      <c r="B38" s="3">
        <v>44815</v>
      </c>
      <c r="C38" t="s">
        <v>270</v>
      </c>
      <c r="D38">
        <v>809</v>
      </c>
      <c r="E38">
        <v>3.0000000000000001E-3</v>
      </c>
    </row>
    <row r="39" spans="1:5" x14ac:dyDescent="0.25">
      <c r="A39" s="3">
        <v>44816</v>
      </c>
      <c r="B39" s="3">
        <v>44822</v>
      </c>
      <c r="C39" t="s">
        <v>271</v>
      </c>
      <c r="D39">
        <v>742</v>
      </c>
      <c r="E39">
        <v>2.7000000000000001E-3</v>
      </c>
    </row>
    <row r="40" spans="1:5" x14ac:dyDescent="0.25">
      <c r="A40" s="3">
        <v>44823</v>
      </c>
      <c r="B40" s="3">
        <v>44829</v>
      </c>
      <c r="C40" t="s">
        <v>272</v>
      </c>
      <c r="D40">
        <v>649</v>
      </c>
      <c r="E40">
        <v>2.3E-3</v>
      </c>
    </row>
    <row r="41" spans="1:5" x14ac:dyDescent="0.25">
      <c r="A41" s="3">
        <v>44830</v>
      </c>
      <c r="B41" s="3">
        <v>44836</v>
      </c>
      <c r="C41" t="s">
        <v>273</v>
      </c>
      <c r="D41">
        <v>630</v>
      </c>
      <c r="E41">
        <v>2.3E-3</v>
      </c>
    </row>
    <row r="42" spans="1:5" x14ac:dyDescent="0.25">
      <c r="A42" s="3">
        <v>44837</v>
      </c>
      <c r="B42" s="3">
        <v>44843</v>
      </c>
      <c r="C42" t="s">
        <v>274</v>
      </c>
      <c r="D42">
        <v>861</v>
      </c>
      <c r="E42">
        <v>3.0999999999999999E-3</v>
      </c>
    </row>
    <row r="43" spans="1:5" x14ac:dyDescent="0.25">
      <c r="A43" s="3">
        <v>44844</v>
      </c>
      <c r="B43" s="3">
        <v>44850</v>
      </c>
      <c r="C43" t="s">
        <v>275</v>
      </c>
      <c r="D43">
        <v>833</v>
      </c>
      <c r="E43">
        <v>2.8999999999999998E-3</v>
      </c>
    </row>
    <row r="44" spans="1:5" x14ac:dyDescent="0.25">
      <c r="A44" s="3">
        <v>44851</v>
      </c>
      <c r="B44" s="3">
        <v>44857</v>
      </c>
      <c r="C44" t="s">
        <v>276</v>
      </c>
      <c r="D44">
        <v>990</v>
      </c>
      <c r="E44">
        <v>3.3999999999999998E-3</v>
      </c>
    </row>
    <row r="45" spans="1:5" x14ac:dyDescent="0.25">
      <c r="A45" s="3">
        <v>44858</v>
      </c>
      <c r="B45" s="3">
        <v>44864</v>
      </c>
      <c r="C45" t="s">
        <v>277</v>
      </c>
      <c r="D45">
        <v>901</v>
      </c>
      <c r="E45">
        <v>3.0999999999999999E-3</v>
      </c>
    </row>
    <row r="46" spans="1:5" x14ac:dyDescent="0.25">
      <c r="A46" s="3">
        <v>44865</v>
      </c>
      <c r="B46" s="3">
        <v>44871</v>
      </c>
      <c r="C46" t="s">
        <v>278</v>
      </c>
      <c r="D46">
        <v>970</v>
      </c>
      <c r="E46">
        <v>3.5999999999999999E-3</v>
      </c>
    </row>
    <row r="47" spans="1:5" x14ac:dyDescent="0.25">
      <c r="A47" s="3">
        <v>44872</v>
      </c>
      <c r="B47" s="3">
        <v>44878</v>
      </c>
      <c r="C47" t="s">
        <v>279</v>
      </c>
      <c r="D47">
        <v>1032</v>
      </c>
      <c r="E47">
        <v>3.5999999999999999E-3</v>
      </c>
    </row>
    <row r="48" spans="1:5" x14ac:dyDescent="0.25">
      <c r="A48" s="3">
        <v>44879</v>
      </c>
      <c r="B48" s="3">
        <v>44885</v>
      </c>
      <c r="C48" t="s">
        <v>280</v>
      </c>
      <c r="D48">
        <v>972</v>
      </c>
      <c r="E48">
        <v>3.2000000000000002E-3</v>
      </c>
    </row>
    <row r="49" spans="1:5" x14ac:dyDescent="0.25">
      <c r="A49" s="3">
        <v>44886</v>
      </c>
      <c r="B49" s="3">
        <v>44892</v>
      </c>
      <c r="C49" t="s">
        <v>281</v>
      </c>
      <c r="D49">
        <v>870</v>
      </c>
      <c r="E49">
        <v>2.8E-3</v>
      </c>
    </row>
    <row r="50" spans="1:5" x14ac:dyDescent="0.25">
      <c r="A50" s="3">
        <v>44893</v>
      </c>
      <c r="B50" s="3">
        <v>44899</v>
      </c>
      <c r="C50" t="s">
        <v>282</v>
      </c>
      <c r="D50">
        <v>887</v>
      </c>
      <c r="E50">
        <v>2.8999999999999998E-3</v>
      </c>
    </row>
    <row r="51" spans="1:5" x14ac:dyDescent="0.25">
      <c r="A51" s="3">
        <v>44900</v>
      </c>
      <c r="B51" s="3">
        <v>44906</v>
      </c>
      <c r="C51" t="s">
        <v>283</v>
      </c>
      <c r="D51">
        <v>1067</v>
      </c>
      <c r="E51">
        <v>3.5000000000000001E-3</v>
      </c>
    </row>
    <row r="52" spans="1:5" x14ac:dyDescent="0.25">
      <c r="A52" s="3">
        <v>44907</v>
      </c>
      <c r="B52" s="3">
        <v>44913</v>
      </c>
      <c r="C52" t="s">
        <v>284</v>
      </c>
      <c r="D52">
        <v>748</v>
      </c>
      <c r="E52">
        <v>2.3999999999999998E-3</v>
      </c>
    </row>
    <row r="53" spans="1:5" x14ac:dyDescent="0.25">
      <c r="A53" s="3">
        <v>44914</v>
      </c>
      <c r="B53" s="3">
        <v>44920</v>
      </c>
      <c r="C53" t="s">
        <v>285</v>
      </c>
      <c r="D53">
        <v>832</v>
      </c>
      <c r="E53">
        <v>2.7000000000000001E-3</v>
      </c>
    </row>
    <row r="54" spans="1:5" x14ac:dyDescent="0.25">
      <c r="A54" s="3">
        <v>44921</v>
      </c>
      <c r="B54" s="3">
        <v>44927</v>
      </c>
      <c r="C54" t="s">
        <v>286</v>
      </c>
      <c r="D54">
        <v>593</v>
      </c>
      <c r="E54">
        <v>2.3999999999999998E-3</v>
      </c>
    </row>
    <row r="55" spans="1:5" x14ac:dyDescent="0.25">
      <c r="A55" s="3">
        <v>44928</v>
      </c>
      <c r="B55" s="3">
        <v>44934</v>
      </c>
      <c r="C55" t="s">
        <v>287</v>
      </c>
      <c r="D55">
        <v>687</v>
      </c>
      <c r="E55">
        <v>2.8999999999999998E-3</v>
      </c>
    </row>
    <row r="56" spans="1:5" x14ac:dyDescent="0.25">
      <c r="A56" s="3">
        <v>44935</v>
      </c>
      <c r="B56" s="3">
        <v>44941</v>
      </c>
      <c r="C56" t="s">
        <v>288</v>
      </c>
      <c r="D56">
        <v>955</v>
      </c>
      <c r="E56">
        <v>3.2000000000000002E-3</v>
      </c>
    </row>
    <row r="57" spans="1:5" x14ac:dyDescent="0.25">
      <c r="A57" s="3">
        <v>44942</v>
      </c>
      <c r="B57" s="3">
        <v>44948</v>
      </c>
      <c r="C57" t="s">
        <v>289</v>
      </c>
      <c r="D57">
        <v>939</v>
      </c>
      <c r="E57">
        <v>3.2000000000000002E-3</v>
      </c>
    </row>
    <row r="58" spans="1:5" x14ac:dyDescent="0.25">
      <c r="A58" s="3">
        <v>44949</v>
      </c>
      <c r="B58" s="3">
        <v>44955</v>
      </c>
      <c r="C58" t="s">
        <v>290</v>
      </c>
      <c r="D58">
        <v>1025</v>
      </c>
      <c r="E58">
        <v>3.5000000000000001E-3</v>
      </c>
    </row>
    <row r="59" spans="1:5" x14ac:dyDescent="0.25">
      <c r="A59" s="3">
        <v>44956</v>
      </c>
      <c r="B59" s="3">
        <v>44962</v>
      </c>
      <c r="C59" t="s">
        <v>291</v>
      </c>
      <c r="D59">
        <v>1055</v>
      </c>
      <c r="E59">
        <v>3.5999999999999999E-3</v>
      </c>
    </row>
    <row r="60" spans="1:5" x14ac:dyDescent="0.25">
      <c r="A60" s="3">
        <v>44963</v>
      </c>
      <c r="B60" s="3">
        <v>44969</v>
      </c>
      <c r="C60" t="s">
        <v>292</v>
      </c>
      <c r="D60">
        <v>925</v>
      </c>
      <c r="E60">
        <v>3.2000000000000002E-3</v>
      </c>
    </row>
    <row r="61" spans="1:5" x14ac:dyDescent="0.25">
      <c r="A61" s="3">
        <v>44970</v>
      </c>
      <c r="B61" s="3">
        <v>44976</v>
      </c>
      <c r="C61" t="s">
        <v>293</v>
      </c>
      <c r="D61">
        <v>1007</v>
      </c>
      <c r="E61">
        <v>3.3999999999999998E-3</v>
      </c>
    </row>
    <row r="62" spans="1:5" x14ac:dyDescent="0.25">
      <c r="A62" s="3">
        <v>44977</v>
      </c>
      <c r="B62" s="3">
        <v>44983</v>
      </c>
      <c r="C62" t="s">
        <v>294</v>
      </c>
      <c r="D62">
        <v>884</v>
      </c>
      <c r="E62">
        <v>3.2000000000000002E-3</v>
      </c>
    </row>
    <row r="63" spans="1:5" x14ac:dyDescent="0.25">
      <c r="A63" s="3">
        <v>44984</v>
      </c>
      <c r="B63" s="3">
        <v>44990</v>
      </c>
      <c r="C63" t="s">
        <v>295</v>
      </c>
      <c r="D63">
        <v>938</v>
      </c>
      <c r="E63">
        <v>3.2000000000000002E-3</v>
      </c>
    </row>
    <row r="64" spans="1:5" x14ac:dyDescent="0.25">
      <c r="A64" s="3">
        <v>44991</v>
      </c>
      <c r="B64" s="3">
        <v>44997</v>
      </c>
      <c r="C64" t="s">
        <v>296</v>
      </c>
      <c r="D64">
        <v>927</v>
      </c>
      <c r="E64">
        <v>3.3E-3</v>
      </c>
    </row>
    <row r="65" spans="1:5" x14ac:dyDescent="0.25">
      <c r="A65" s="3">
        <v>44998</v>
      </c>
      <c r="B65" s="3">
        <v>45004</v>
      </c>
      <c r="C65" t="s">
        <v>297</v>
      </c>
      <c r="D65">
        <v>1022</v>
      </c>
      <c r="E65">
        <v>3.5000000000000001E-3</v>
      </c>
    </row>
    <row r="66" spans="1:5" x14ac:dyDescent="0.25">
      <c r="A66" s="3">
        <v>45005</v>
      </c>
      <c r="B66" s="3">
        <v>45011</v>
      </c>
      <c r="C66" t="s">
        <v>298</v>
      </c>
      <c r="D66">
        <v>1095</v>
      </c>
      <c r="E66">
        <v>4.0000000000000001E-3</v>
      </c>
    </row>
    <row r="67" spans="1:5" x14ac:dyDescent="0.25">
      <c r="A67" s="3">
        <v>45012</v>
      </c>
      <c r="B67" s="3">
        <v>45018</v>
      </c>
      <c r="C67" t="s">
        <v>299</v>
      </c>
      <c r="D67">
        <v>1223</v>
      </c>
      <c r="E67">
        <v>4.4000000000000003E-3</v>
      </c>
    </row>
    <row r="68" spans="1:5" x14ac:dyDescent="0.25">
      <c r="A68" s="3">
        <v>45019</v>
      </c>
      <c r="B68" s="3">
        <v>45025</v>
      </c>
      <c r="C68" t="s">
        <v>300</v>
      </c>
      <c r="D68">
        <v>1044</v>
      </c>
      <c r="E68">
        <v>3.7000000000000002E-3</v>
      </c>
    </row>
    <row r="69" spans="1:5" x14ac:dyDescent="0.25">
      <c r="A69" s="3">
        <v>45026</v>
      </c>
      <c r="B69" s="3">
        <v>45032</v>
      </c>
      <c r="C69" t="s">
        <v>301</v>
      </c>
      <c r="D69">
        <v>1041</v>
      </c>
      <c r="E69">
        <v>3.7000000000000002E-3</v>
      </c>
    </row>
    <row r="70" spans="1:5" x14ac:dyDescent="0.25">
      <c r="A70" s="3">
        <v>45033</v>
      </c>
      <c r="B70" s="3">
        <v>45039</v>
      </c>
      <c r="C70" t="s">
        <v>302</v>
      </c>
      <c r="D70">
        <v>1081</v>
      </c>
      <c r="E70">
        <v>3.8999999999999998E-3</v>
      </c>
    </row>
    <row r="71" spans="1:5" x14ac:dyDescent="0.25">
      <c r="A71" s="3">
        <v>45040</v>
      </c>
      <c r="B71" s="3">
        <v>45046</v>
      </c>
      <c r="C71" t="s">
        <v>303</v>
      </c>
      <c r="D71">
        <v>830</v>
      </c>
      <c r="E71">
        <v>3.2000000000000002E-3</v>
      </c>
    </row>
    <row r="72" spans="1:5" x14ac:dyDescent="0.25">
      <c r="A72" s="3">
        <v>45047</v>
      </c>
      <c r="B72" s="3">
        <v>45053</v>
      </c>
      <c r="C72" t="s">
        <v>304</v>
      </c>
      <c r="D72">
        <v>1010</v>
      </c>
      <c r="E72">
        <v>4.0000000000000001E-3</v>
      </c>
    </row>
    <row r="73" spans="1:5" x14ac:dyDescent="0.25">
      <c r="A73" s="3">
        <v>45054</v>
      </c>
      <c r="B73" s="3">
        <v>45060</v>
      </c>
      <c r="C73" t="s">
        <v>305</v>
      </c>
      <c r="D73">
        <v>1051</v>
      </c>
      <c r="E73">
        <v>4.1000000000000003E-3</v>
      </c>
    </row>
    <row r="74" spans="1:5" x14ac:dyDescent="0.25">
      <c r="A74" s="3">
        <v>45061</v>
      </c>
      <c r="B74" s="3">
        <v>45067</v>
      </c>
      <c r="C74" t="s">
        <v>306</v>
      </c>
      <c r="D74">
        <v>977</v>
      </c>
      <c r="E74">
        <v>3.5999999999999999E-3</v>
      </c>
    </row>
    <row r="75" spans="1:5" x14ac:dyDescent="0.25">
      <c r="A75" s="3">
        <v>45068</v>
      </c>
      <c r="B75" s="3">
        <v>45074</v>
      </c>
      <c r="C75" t="s">
        <v>307</v>
      </c>
      <c r="D75">
        <v>1049</v>
      </c>
      <c r="E75">
        <v>4.1000000000000003E-3</v>
      </c>
    </row>
    <row r="76" spans="1:5" x14ac:dyDescent="0.25">
      <c r="A76" s="3">
        <v>45075</v>
      </c>
      <c r="B76" s="3">
        <v>45081</v>
      </c>
      <c r="C76" t="s">
        <v>308</v>
      </c>
      <c r="D76">
        <v>885</v>
      </c>
      <c r="E76">
        <v>3.5999999999999999E-3</v>
      </c>
    </row>
    <row r="77" spans="1:5" x14ac:dyDescent="0.25">
      <c r="A77" s="3">
        <v>45082</v>
      </c>
      <c r="B77" s="3">
        <v>45088</v>
      </c>
      <c r="C77" t="s">
        <v>309</v>
      </c>
      <c r="D77">
        <v>782</v>
      </c>
      <c r="E77">
        <v>3.2000000000000002E-3</v>
      </c>
    </row>
    <row r="78" spans="1:5" x14ac:dyDescent="0.25">
      <c r="A78" s="3">
        <v>45089</v>
      </c>
      <c r="B78" s="3">
        <v>45095</v>
      </c>
      <c r="C78" t="s">
        <v>310</v>
      </c>
      <c r="D78">
        <v>825</v>
      </c>
      <c r="E78">
        <v>3.3999999999999998E-3</v>
      </c>
    </row>
    <row r="79" spans="1:5" x14ac:dyDescent="0.25">
      <c r="A79" s="3">
        <v>45096</v>
      </c>
      <c r="B79" s="3">
        <v>45102</v>
      </c>
      <c r="C79" t="s">
        <v>311</v>
      </c>
      <c r="D79">
        <v>1034</v>
      </c>
      <c r="E79">
        <v>4.1999999999999997E-3</v>
      </c>
    </row>
    <row r="80" spans="1:5" x14ac:dyDescent="0.25">
      <c r="A80" s="3">
        <v>45103</v>
      </c>
      <c r="B80" s="3">
        <v>45109</v>
      </c>
      <c r="C80" t="s">
        <v>312</v>
      </c>
      <c r="D80">
        <v>963</v>
      </c>
      <c r="E80">
        <v>4.1000000000000003E-3</v>
      </c>
    </row>
    <row r="81" spans="1:5" x14ac:dyDescent="0.25">
      <c r="A81" s="3">
        <v>45110</v>
      </c>
      <c r="B81" s="3">
        <v>45116</v>
      </c>
      <c r="C81" t="s">
        <v>313</v>
      </c>
      <c r="D81">
        <v>953</v>
      </c>
      <c r="E81">
        <v>4.3E-3</v>
      </c>
    </row>
    <row r="82" spans="1:5" x14ac:dyDescent="0.25">
      <c r="A82" s="3">
        <v>45117</v>
      </c>
      <c r="B82" s="3">
        <v>45123</v>
      </c>
      <c r="C82" t="s">
        <v>314</v>
      </c>
      <c r="D82">
        <v>942</v>
      </c>
      <c r="E82">
        <v>4.1000000000000003E-3</v>
      </c>
    </row>
    <row r="83" spans="1:5" x14ac:dyDescent="0.25">
      <c r="A83" s="3">
        <v>45124</v>
      </c>
      <c r="B83" s="3">
        <v>45130</v>
      </c>
      <c r="C83" t="s">
        <v>315</v>
      </c>
      <c r="D83">
        <v>957</v>
      </c>
      <c r="E83">
        <v>4.1999999999999997E-3</v>
      </c>
    </row>
    <row r="84" spans="1:5" x14ac:dyDescent="0.25">
      <c r="A84" s="3">
        <v>45131</v>
      </c>
      <c r="B84" s="3">
        <v>45137</v>
      </c>
      <c r="C84" t="s">
        <v>316</v>
      </c>
      <c r="D84">
        <v>818</v>
      </c>
      <c r="E84">
        <v>3.5999999999999999E-3</v>
      </c>
    </row>
    <row r="85" spans="1:5" x14ac:dyDescent="0.25">
      <c r="A85" s="3">
        <v>45138</v>
      </c>
      <c r="B85" s="3">
        <v>45144</v>
      </c>
      <c r="C85" t="s">
        <v>317</v>
      </c>
      <c r="D85">
        <v>745</v>
      </c>
      <c r="E85">
        <v>3.3E-3</v>
      </c>
    </row>
    <row r="86" spans="1:5" x14ac:dyDescent="0.25">
      <c r="A86" s="3">
        <v>45145</v>
      </c>
      <c r="B86" s="3">
        <v>45151</v>
      </c>
      <c r="C86" t="s">
        <v>318</v>
      </c>
      <c r="D86">
        <v>798</v>
      </c>
      <c r="E86">
        <v>3.5000000000000001E-3</v>
      </c>
    </row>
    <row r="87" spans="1:5" x14ac:dyDescent="0.25">
      <c r="A87" s="3">
        <v>45152</v>
      </c>
      <c r="B87" s="3">
        <v>45158</v>
      </c>
      <c r="C87" t="s">
        <v>319</v>
      </c>
      <c r="D87">
        <v>763</v>
      </c>
      <c r="E87">
        <v>3.3999999999999998E-3</v>
      </c>
    </row>
    <row r="88" spans="1:5" x14ac:dyDescent="0.25">
      <c r="A88" s="3">
        <v>45159</v>
      </c>
      <c r="B88" s="3">
        <v>45165</v>
      </c>
      <c r="C88" t="s">
        <v>320</v>
      </c>
      <c r="D88">
        <v>767</v>
      </c>
      <c r="E88">
        <v>3.3999999999999998E-3</v>
      </c>
    </row>
    <row r="89" spans="1:5" x14ac:dyDescent="0.25">
      <c r="A89" s="3">
        <v>45166</v>
      </c>
      <c r="B89" s="3">
        <v>45172</v>
      </c>
      <c r="C89" t="s">
        <v>321</v>
      </c>
      <c r="D89">
        <v>811</v>
      </c>
      <c r="E89">
        <v>3.5999999999999999E-3</v>
      </c>
    </row>
    <row r="90" spans="1:5" x14ac:dyDescent="0.25">
      <c r="A90" s="3">
        <v>45173</v>
      </c>
      <c r="B90" s="3">
        <v>45179</v>
      </c>
      <c r="C90" t="s">
        <v>322</v>
      </c>
      <c r="D90">
        <v>871</v>
      </c>
      <c r="E90">
        <v>3.5000000000000001E-3</v>
      </c>
    </row>
    <row r="91" spans="1:5" x14ac:dyDescent="0.25">
      <c r="A91" s="3">
        <v>45180</v>
      </c>
      <c r="B91" s="3">
        <v>45186</v>
      </c>
      <c r="C91" t="s">
        <v>323</v>
      </c>
      <c r="D91">
        <v>801</v>
      </c>
      <c r="E91">
        <v>3.0999999999999999E-3</v>
      </c>
    </row>
    <row r="92" spans="1:5" x14ac:dyDescent="0.25">
      <c r="A92" s="3">
        <v>45187</v>
      </c>
      <c r="B92" s="3">
        <v>45193</v>
      </c>
      <c r="C92" t="s">
        <v>324</v>
      </c>
      <c r="D92">
        <v>908</v>
      </c>
      <c r="E92">
        <v>3.5000000000000001E-3</v>
      </c>
    </row>
    <row r="93" spans="1:5" x14ac:dyDescent="0.25">
      <c r="A93" s="3">
        <v>45194</v>
      </c>
      <c r="B93" s="3">
        <v>45200</v>
      </c>
      <c r="C93" t="s">
        <v>325</v>
      </c>
      <c r="D93">
        <v>827</v>
      </c>
      <c r="E93">
        <v>3.0999999999999999E-3</v>
      </c>
    </row>
    <row r="94" spans="1:5" x14ac:dyDescent="0.25">
      <c r="A94" s="3">
        <v>45201</v>
      </c>
      <c r="B94" s="3">
        <v>45207</v>
      </c>
      <c r="C94" t="s">
        <v>326</v>
      </c>
      <c r="D94">
        <v>961</v>
      </c>
      <c r="E94">
        <v>3.5000000000000001E-3</v>
      </c>
    </row>
    <row r="95" spans="1:5" x14ac:dyDescent="0.25">
      <c r="A95" s="3">
        <v>45208</v>
      </c>
      <c r="B95" s="3">
        <v>45214</v>
      </c>
      <c r="C95" t="s">
        <v>327</v>
      </c>
      <c r="D95">
        <v>952</v>
      </c>
      <c r="E95">
        <v>3.3999999999999998E-3</v>
      </c>
    </row>
    <row r="96" spans="1:5" x14ac:dyDescent="0.25">
      <c r="A96" s="3">
        <v>45215</v>
      </c>
      <c r="B96" s="3">
        <v>45221</v>
      </c>
      <c r="C96" t="s">
        <v>328</v>
      </c>
      <c r="D96">
        <v>1005</v>
      </c>
      <c r="E96">
        <v>3.5000000000000001E-3</v>
      </c>
    </row>
    <row r="97" spans="1:5" x14ac:dyDescent="0.25">
      <c r="A97" s="3">
        <v>45222</v>
      </c>
      <c r="B97" s="3">
        <v>45228</v>
      </c>
      <c r="C97" t="s">
        <v>329</v>
      </c>
      <c r="D97">
        <v>996</v>
      </c>
      <c r="E97">
        <v>3.5000000000000001E-3</v>
      </c>
    </row>
    <row r="98" spans="1:5" x14ac:dyDescent="0.25">
      <c r="A98" s="3">
        <v>45229</v>
      </c>
      <c r="B98" s="3">
        <v>45235</v>
      </c>
      <c r="C98" t="s">
        <v>330</v>
      </c>
      <c r="D98">
        <v>954</v>
      </c>
      <c r="E98">
        <v>3.7000000000000002E-3</v>
      </c>
    </row>
    <row r="99" spans="1:5" x14ac:dyDescent="0.25">
      <c r="A99" s="3">
        <v>45236</v>
      </c>
      <c r="B99" s="3">
        <v>45242</v>
      </c>
      <c r="C99" t="s">
        <v>331</v>
      </c>
      <c r="D99">
        <v>967</v>
      </c>
      <c r="E99">
        <v>3.5000000000000001E-3</v>
      </c>
    </row>
    <row r="100" spans="1:5" x14ac:dyDescent="0.25">
      <c r="A100" s="3">
        <v>45243</v>
      </c>
      <c r="B100" s="3">
        <v>45249</v>
      </c>
      <c r="C100" t="s">
        <v>332</v>
      </c>
      <c r="D100">
        <v>1026</v>
      </c>
      <c r="E100">
        <v>3.5999999999999999E-3</v>
      </c>
    </row>
    <row r="101" spans="1:5" x14ac:dyDescent="0.25">
      <c r="A101" s="3">
        <v>45250</v>
      </c>
      <c r="B101" s="3">
        <v>45256</v>
      </c>
      <c r="C101" t="s">
        <v>333</v>
      </c>
      <c r="D101">
        <v>881</v>
      </c>
      <c r="E101">
        <v>3.0000000000000001E-3</v>
      </c>
    </row>
    <row r="102" spans="1:5" x14ac:dyDescent="0.25">
      <c r="A102" s="3">
        <v>45257</v>
      </c>
      <c r="B102" s="3">
        <v>45263</v>
      </c>
      <c r="C102" t="s">
        <v>334</v>
      </c>
      <c r="D102">
        <v>1012</v>
      </c>
      <c r="E102">
        <v>3.3999999999999998E-3</v>
      </c>
    </row>
    <row r="103" spans="1:5" x14ac:dyDescent="0.25">
      <c r="A103" s="3">
        <v>45264</v>
      </c>
      <c r="B103" s="3">
        <v>45270</v>
      </c>
      <c r="C103" t="s">
        <v>335</v>
      </c>
      <c r="D103">
        <v>903</v>
      </c>
      <c r="E103">
        <v>3.0999999999999999E-3</v>
      </c>
    </row>
    <row r="104" spans="1:5" x14ac:dyDescent="0.25">
      <c r="A104" s="3">
        <v>45271</v>
      </c>
      <c r="B104" s="3">
        <v>45277</v>
      </c>
      <c r="C104" t="s">
        <v>336</v>
      </c>
      <c r="D104">
        <v>862</v>
      </c>
      <c r="E104">
        <v>3.0000000000000001E-3</v>
      </c>
    </row>
    <row r="105" spans="1:5" x14ac:dyDescent="0.25">
      <c r="A105" s="3">
        <v>45278</v>
      </c>
      <c r="B105" s="3">
        <v>45284</v>
      </c>
      <c r="C105" t="s">
        <v>337</v>
      </c>
      <c r="D105">
        <v>834</v>
      </c>
      <c r="E105">
        <v>2.8999999999999998E-3</v>
      </c>
    </row>
    <row r="106" spans="1:5" x14ac:dyDescent="0.25">
      <c r="A106" s="3">
        <v>45285</v>
      </c>
      <c r="B106" s="3">
        <v>45291</v>
      </c>
      <c r="C106" t="s">
        <v>338</v>
      </c>
      <c r="D106">
        <v>551</v>
      </c>
      <c r="E106">
        <v>2.2000000000000001E-3</v>
      </c>
    </row>
    <row r="107" spans="1:5" x14ac:dyDescent="0.25">
      <c r="A107" s="3">
        <v>45292</v>
      </c>
      <c r="B107" s="3">
        <v>45298</v>
      </c>
      <c r="C107" t="s">
        <v>339</v>
      </c>
      <c r="D107">
        <v>558</v>
      </c>
      <c r="E107">
        <v>2.5000000000000001E-3</v>
      </c>
    </row>
    <row r="108" spans="1:5" x14ac:dyDescent="0.25">
      <c r="A108" s="3">
        <v>45299</v>
      </c>
      <c r="B108" s="3">
        <v>45305</v>
      </c>
      <c r="C108" t="s">
        <v>340</v>
      </c>
      <c r="D108">
        <v>874</v>
      </c>
      <c r="E108">
        <v>3.0999999999999999E-3</v>
      </c>
    </row>
    <row r="109" spans="1:5" x14ac:dyDescent="0.25">
      <c r="A109" s="3">
        <v>45306</v>
      </c>
      <c r="B109" s="3">
        <v>45312</v>
      </c>
      <c r="C109" t="s">
        <v>341</v>
      </c>
      <c r="D109">
        <v>1036</v>
      </c>
      <c r="E109">
        <v>3.5999999999999999E-3</v>
      </c>
    </row>
    <row r="110" spans="1:5" x14ac:dyDescent="0.25">
      <c r="A110" s="3">
        <v>45313</v>
      </c>
      <c r="B110" s="3">
        <v>45319</v>
      </c>
      <c r="C110" t="s">
        <v>342</v>
      </c>
      <c r="D110">
        <v>873</v>
      </c>
      <c r="E110">
        <v>3.0000000000000001E-3</v>
      </c>
    </row>
    <row r="111" spans="1:5" x14ac:dyDescent="0.25">
      <c r="A111" s="3">
        <v>45320</v>
      </c>
      <c r="B111" s="3">
        <v>45326</v>
      </c>
      <c r="C111" t="s">
        <v>343</v>
      </c>
      <c r="D111">
        <v>932</v>
      </c>
      <c r="E111">
        <v>3.3E-3</v>
      </c>
    </row>
    <row r="112" spans="1:5" x14ac:dyDescent="0.25">
      <c r="A112" s="3">
        <v>45327</v>
      </c>
      <c r="B112" s="3">
        <v>45333</v>
      </c>
      <c r="C112" t="s">
        <v>344</v>
      </c>
      <c r="D112">
        <v>856</v>
      </c>
      <c r="E112">
        <v>3.0999999999999999E-3</v>
      </c>
    </row>
    <row r="113" spans="1:5" x14ac:dyDescent="0.25">
      <c r="A113" s="3">
        <v>45334</v>
      </c>
      <c r="B113" s="3">
        <v>45340</v>
      </c>
      <c r="C113" t="s">
        <v>345</v>
      </c>
      <c r="D113">
        <v>976</v>
      </c>
      <c r="E113">
        <v>3.5000000000000001E-3</v>
      </c>
    </row>
    <row r="114" spans="1:5" x14ac:dyDescent="0.25">
      <c r="A114" s="3">
        <v>45341</v>
      </c>
      <c r="B114" s="3">
        <v>45347</v>
      </c>
      <c r="C114" t="s">
        <v>346</v>
      </c>
      <c r="D114">
        <v>898</v>
      </c>
      <c r="E114">
        <v>3.3999999999999998E-3</v>
      </c>
    </row>
    <row r="115" spans="1:5" x14ac:dyDescent="0.25">
      <c r="A115" s="3">
        <v>45348</v>
      </c>
      <c r="B115" s="3">
        <v>45354</v>
      </c>
      <c r="C115" t="s">
        <v>347</v>
      </c>
      <c r="D115">
        <v>1147</v>
      </c>
      <c r="E115">
        <v>3.8999999999999998E-3</v>
      </c>
    </row>
    <row r="116" spans="1:5" x14ac:dyDescent="0.25">
      <c r="A116" s="3">
        <v>45355</v>
      </c>
      <c r="B116" s="3">
        <v>45361</v>
      </c>
      <c r="C116" t="s">
        <v>348</v>
      </c>
      <c r="D116">
        <v>1044</v>
      </c>
      <c r="E116">
        <v>3.8E-3</v>
      </c>
    </row>
    <row r="117" spans="1:5" x14ac:dyDescent="0.25">
      <c r="A117" s="3">
        <v>45362</v>
      </c>
      <c r="B117" s="3">
        <v>45368</v>
      </c>
      <c r="C117" t="s">
        <v>349</v>
      </c>
      <c r="D117">
        <v>1100</v>
      </c>
      <c r="E117">
        <v>4.1000000000000003E-3</v>
      </c>
    </row>
    <row r="118" spans="1:5" x14ac:dyDescent="0.25">
      <c r="A118" s="3">
        <v>45369</v>
      </c>
      <c r="B118" s="3">
        <v>45375</v>
      </c>
      <c r="C118" t="s">
        <v>350</v>
      </c>
      <c r="D118">
        <v>1008</v>
      </c>
      <c r="E118">
        <v>3.7000000000000002E-3</v>
      </c>
    </row>
    <row r="119" spans="1:5" x14ac:dyDescent="0.25">
      <c r="A119" s="3">
        <v>45376</v>
      </c>
      <c r="B119" s="3">
        <v>45382</v>
      </c>
      <c r="C119" t="s">
        <v>351</v>
      </c>
      <c r="D119">
        <v>1177</v>
      </c>
      <c r="E119">
        <v>4.4999999999999997E-3</v>
      </c>
    </row>
    <row r="120" spans="1:5" x14ac:dyDescent="0.25">
      <c r="A120" s="3">
        <v>45383</v>
      </c>
      <c r="B120" s="3">
        <v>45389</v>
      </c>
      <c r="C120" t="s">
        <v>352</v>
      </c>
      <c r="D120">
        <v>1067</v>
      </c>
      <c r="E120">
        <v>4.0000000000000001E-3</v>
      </c>
    </row>
    <row r="121" spans="1:5" x14ac:dyDescent="0.25">
      <c r="A121" s="3">
        <v>45390</v>
      </c>
      <c r="B121" s="3">
        <v>45396</v>
      </c>
      <c r="C121" t="s">
        <v>353</v>
      </c>
      <c r="D121">
        <v>1093</v>
      </c>
      <c r="E121">
        <v>4.1000000000000003E-3</v>
      </c>
    </row>
    <row r="122" spans="1:5" x14ac:dyDescent="0.25">
      <c r="A122" s="3">
        <v>45397</v>
      </c>
      <c r="B122" s="3">
        <v>45403</v>
      </c>
      <c r="C122" t="s">
        <v>354</v>
      </c>
      <c r="D122">
        <v>1027</v>
      </c>
      <c r="E122">
        <v>4.0000000000000001E-3</v>
      </c>
    </row>
    <row r="123" spans="1:5" x14ac:dyDescent="0.25">
      <c r="A123" s="3">
        <v>45404</v>
      </c>
      <c r="B123" s="3">
        <v>45410</v>
      </c>
      <c r="C123" t="s">
        <v>355</v>
      </c>
      <c r="D123">
        <v>1032</v>
      </c>
      <c r="E123">
        <v>4.1000000000000003E-3</v>
      </c>
    </row>
    <row r="124" spans="1:5" x14ac:dyDescent="0.25">
      <c r="A124" s="3">
        <v>45411</v>
      </c>
      <c r="B124" s="3">
        <v>45417</v>
      </c>
      <c r="C124" t="s">
        <v>356</v>
      </c>
      <c r="D124">
        <v>963</v>
      </c>
      <c r="E124">
        <v>4.1999999999999997E-3</v>
      </c>
    </row>
    <row r="125" spans="1:5" x14ac:dyDescent="0.25">
      <c r="A125" s="3">
        <v>45418</v>
      </c>
      <c r="B125" s="3">
        <v>45424</v>
      </c>
      <c r="C125" t="s">
        <v>357</v>
      </c>
      <c r="D125">
        <v>1090</v>
      </c>
      <c r="E125">
        <v>4.4999999999999997E-3</v>
      </c>
    </row>
    <row r="126" spans="1:5" x14ac:dyDescent="0.25">
      <c r="A126" s="3">
        <v>45425</v>
      </c>
      <c r="B126" s="3">
        <v>45431</v>
      </c>
      <c r="C126" t="s">
        <v>358</v>
      </c>
      <c r="D126">
        <v>1138</v>
      </c>
      <c r="E126">
        <v>4.4999999999999997E-3</v>
      </c>
    </row>
    <row r="127" spans="1:5" x14ac:dyDescent="0.25">
      <c r="A127" s="3">
        <v>45432</v>
      </c>
      <c r="B127" s="3">
        <v>45438</v>
      </c>
      <c r="C127" t="s">
        <v>359</v>
      </c>
      <c r="D127">
        <v>1171</v>
      </c>
      <c r="E127">
        <v>4.8999999999999998E-3</v>
      </c>
    </row>
    <row r="128" spans="1:5" x14ac:dyDescent="0.25">
      <c r="A128" s="3">
        <v>45439</v>
      </c>
      <c r="B128" s="3">
        <v>45445</v>
      </c>
      <c r="C128" t="s">
        <v>360</v>
      </c>
      <c r="D128">
        <v>920</v>
      </c>
      <c r="E128">
        <v>4.0000000000000001E-3</v>
      </c>
    </row>
    <row r="129" spans="1:5" x14ac:dyDescent="0.25">
      <c r="A129" s="3">
        <v>45446</v>
      </c>
      <c r="B129" s="3">
        <v>45452</v>
      </c>
      <c r="C129" t="s">
        <v>361</v>
      </c>
      <c r="D129">
        <v>793</v>
      </c>
      <c r="E129">
        <v>3.3999999999999998E-3</v>
      </c>
    </row>
    <row r="130" spans="1:5" x14ac:dyDescent="0.25">
      <c r="A130" s="3">
        <v>45453</v>
      </c>
      <c r="B130" s="3">
        <v>45459</v>
      </c>
      <c r="C130" t="s">
        <v>362</v>
      </c>
      <c r="D130">
        <v>751</v>
      </c>
      <c r="E130">
        <v>3.5000000000000001E-3</v>
      </c>
    </row>
    <row r="131" spans="1:5" x14ac:dyDescent="0.25">
      <c r="A131" s="3">
        <v>45460</v>
      </c>
      <c r="B131" s="3">
        <v>45466</v>
      </c>
      <c r="C131" t="s">
        <v>363</v>
      </c>
      <c r="D131">
        <v>820</v>
      </c>
      <c r="E131">
        <v>3.5999999999999999E-3</v>
      </c>
    </row>
    <row r="132" spans="1:5" x14ac:dyDescent="0.25">
      <c r="A132" s="3">
        <v>45467</v>
      </c>
      <c r="B132" s="3">
        <v>45473</v>
      </c>
      <c r="C132" t="s">
        <v>364</v>
      </c>
      <c r="D132">
        <v>757</v>
      </c>
      <c r="E132">
        <v>3.5000000000000001E-3</v>
      </c>
    </row>
    <row r="133" spans="1:5" x14ac:dyDescent="0.25">
      <c r="A133" s="3">
        <v>45474</v>
      </c>
      <c r="B133" s="3">
        <v>45480</v>
      </c>
      <c r="C133" t="s">
        <v>365</v>
      </c>
      <c r="D133">
        <v>659</v>
      </c>
      <c r="E133">
        <v>3.2000000000000002E-3</v>
      </c>
    </row>
    <row r="134" spans="1:5" x14ac:dyDescent="0.25">
      <c r="A134" s="3">
        <v>45481</v>
      </c>
      <c r="B134" s="3">
        <v>45487</v>
      </c>
      <c r="C134" t="s">
        <v>366</v>
      </c>
      <c r="D134">
        <v>689</v>
      </c>
      <c r="E134">
        <v>3.3E-3</v>
      </c>
    </row>
    <row r="135" spans="1:5" x14ac:dyDescent="0.25">
      <c r="A135" s="3">
        <v>45488</v>
      </c>
      <c r="B135" s="3">
        <v>45494</v>
      </c>
      <c r="C135" t="s">
        <v>367</v>
      </c>
      <c r="D135">
        <v>765</v>
      </c>
      <c r="E135">
        <v>3.7000000000000002E-3</v>
      </c>
    </row>
    <row r="136" spans="1:5" x14ac:dyDescent="0.25">
      <c r="A136" s="3">
        <v>45495</v>
      </c>
      <c r="B136" s="3">
        <v>45501</v>
      </c>
      <c r="C136" t="s">
        <v>368</v>
      </c>
      <c r="D136">
        <v>726</v>
      </c>
      <c r="E136">
        <v>3.3999999999999998E-3</v>
      </c>
    </row>
    <row r="137" spans="1:5" x14ac:dyDescent="0.25">
      <c r="A137" s="3">
        <v>45502</v>
      </c>
      <c r="B137" s="3">
        <v>45508</v>
      </c>
      <c r="C137" t="s">
        <v>369</v>
      </c>
      <c r="D137">
        <v>770</v>
      </c>
      <c r="E137">
        <v>3.5999999999999999E-3</v>
      </c>
    </row>
    <row r="138" spans="1:5" x14ac:dyDescent="0.25">
      <c r="A138" s="3">
        <v>45509</v>
      </c>
      <c r="B138" s="3">
        <v>45515</v>
      </c>
      <c r="C138" t="s">
        <v>370</v>
      </c>
      <c r="D138">
        <v>789</v>
      </c>
      <c r="E138">
        <v>3.5999999999999999E-3</v>
      </c>
    </row>
    <row r="139" spans="1:5" x14ac:dyDescent="0.25">
      <c r="A139" s="3">
        <v>45516</v>
      </c>
      <c r="B139" s="3">
        <v>45522</v>
      </c>
      <c r="C139" t="s">
        <v>371</v>
      </c>
      <c r="D139">
        <v>899</v>
      </c>
      <c r="E139">
        <v>4.1999999999999997E-3</v>
      </c>
    </row>
    <row r="140" spans="1:5" x14ac:dyDescent="0.25">
      <c r="A140" s="3">
        <v>45523</v>
      </c>
      <c r="B140" s="3">
        <v>45529</v>
      </c>
      <c r="C140" t="s">
        <v>372</v>
      </c>
      <c r="D140">
        <v>787</v>
      </c>
      <c r="E140">
        <v>3.8E-3</v>
      </c>
    </row>
    <row r="141" spans="1:5" x14ac:dyDescent="0.25">
      <c r="A141" s="3">
        <v>45530</v>
      </c>
      <c r="B141" s="3">
        <v>45536</v>
      </c>
      <c r="C141" t="s">
        <v>373</v>
      </c>
      <c r="D141">
        <v>778</v>
      </c>
      <c r="E141">
        <v>3.5999999999999999E-3</v>
      </c>
    </row>
    <row r="142" spans="1:5" x14ac:dyDescent="0.25">
      <c r="A142" s="3">
        <v>45537</v>
      </c>
      <c r="B142" s="3">
        <v>45543</v>
      </c>
      <c r="C142" t="s">
        <v>374</v>
      </c>
      <c r="D142">
        <v>677</v>
      </c>
      <c r="E142">
        <v>3.2000000000000002E-3</v>
      </c>
    </row>
    <row r="143" spans="1:5" x14ac:dyDescent="0.25">
      <c r="A143" s="3">
        <v>45544</v>
      </c>
      <c r="B143" s="3">
        <v>45550</v>
      </c>
      <c r="C143" t="s">
        <v>375</v>
      </c>
      <c r="D143">
        <v>862</v>
      </c>
      <c r="E143">
        <v>3.7000000000000002E-3</v>
      </c>
    </row>
    <row r="144" spans="1:5" x14ac:dyDescent="0.25">
      <c r="A144" s="3">
        <v>45551</v>
      </c>
      <c r="B144" s="3">
        <v>45557</v>
      </c>
      <c r="C144" t="s">
        <v>376</v>
      </c>
      <c r="D144">
        <v>877</v>
      </c>
      <c r="E144">
        <v>3.5999999999999999E-3</v>
      </c>
    </row>
    <row r="145" spans="1:5" x14ac:dyDescent="0.25">
      <c r="A145" s="3">
        <v>45558</v>
      </c>
      <c r="B145" s="3">
        <v>45564</v>
      </c>
      <c r="C145" t="s">
        <v>377</v>
      </c>
      <c r="D145">
        <v>967</v>
      </c>
      <c r="E145">
        <v>3.8999999999999998E-3</v>
      </c>
    </row>
    <row r="146" spans="1:5" x14ac:dyDescent="0.25">
      <c r="A146" s="3">
        <v>45565</v>
      </c>
      <c r="B146" s="3">
        <v>45571</v>
      </c>
      <c r="C146" t="s">
        <v>378</v>
      </c>
      <c r="D146">
        <v>979</v>
      </c>
      <c r="E146">
        <v>3.8E-3</v>
      </c>
    </row>
    <row r="147" spans="1:5" x14ac:dyDescent="0.25">
      <c r="A147" s="3">
        <v>45572</v>
      </c>
      <c r="B147" s="3">
        <v>45578</v>
      </c>
      <c r="C147" t="s">
        <v>379</v>
      </c>
      <c r="D147">
        <v>893</v>
      </c>
      <c r="E147">
        <v>3.3E-3</v>
      </c>
    </row>
    <row r="148" spans="1:5" x14ac:dyDescent="0.25">
      <c r="A148" s="3">
        <v>45579</v>
      </c>
      <c r="B148" s="3">
        <v>45585</v>
      </c>
      <c r="C148" t="s">
        <v>380</v>
      </c>
      <c r="D148">
        <v>836</v>
      </c>
      <c r="E148">
        <v>3.3E-3</v>
      </c>
    </row>
    <row r="149" spans="1:5" x14ac:dyDescent="0.25">
      <c r="A149" s="3">
        <v>45586</v>
      </c>
      <c r="B149" s="3">
        <v>45592</v>
      </c>
      <c r="C149" t="s">
        <v>381</v>
      </c>
      <c r="D149">
        <v>986</v>
      </c>
      <c r="E149">
        <v>3.5000000000000001E-3</v>
      </c>
    </row>
    <row r="150" spans="1:5" x14ac:dyDescent="0.25">
      <c r="A150" s="3">
        <v>45593</v>
      </c>
      <c r="B150" s="3">
        <v>45599</v>
      </c>
      <c r="C150" t="s">
        <v>382</v>
      </c>
      <c r="D150">
        <v>869</v>
      </c>
      <c r="E150">
        <v>3.2000000000000002E-3</v>
      </c>
    </row>
    <row r="151" spans="1:5" x14ac:dyDescent="0.25">
      <c r="A151" s="3">
        <v>45600</v>
      </c>
      <c r="B151" s="3">
        <v>45606</v>
      </c>
      <c r="C151" t="s">
        <v>383</v>
      </c>
      <c r="D151">
        <v>973</v>
      </c>
      <c r="E151">
        <v>3.3999999999999998E-3</v>
      </c>
    </row>
    <row r="152" spans="1:5" x14ac:dyDescent="0.25">
      <c r="A152" s="3">
        <v>45607</v>
      </c>
      <c r="B152" s="3">
        <v>45613</v>
      </c>
      <c r="C152" t="s">
        <v>384</v>
      </c>
      <c r="D152">
        <v>986</v>
      </c>
      <c r="E152">
        <v>3.3999999999999998E-3</v>
      </c>
    </row>
    <row r="153" spans="1:5" x14ac:dyDescent="0.25">
      <c r="A153" s="3">
        <v>45614</v>
      </c>
      <c r="B153" s="3">
        <v>45620</v>
      </c>
      <c r="C153" t="s">
        <v>385</v>
      </c>
      <c r="D153">
        <v>929</v>
      </c>
      <c r="E153">
        <v>3.2000000000000002E-3</v>
      </c>
    </row>
    <row r="154" spans="1:5" x14ac:dyDescent="0.25">
      <c r="A154" s="3">
        <v>45621</v>
      </c>
      <c r="B154" s="3">
        <v>45627</v>
      </c>
      <c r="C154" t="s">
        <v>386</v>
      </c>
      <c r="D154">
        <v>933</v>
      </c>
      <c r="E154">
        <v>3.0000000000000001E-3</v>
      </c>
    </row>
    <row r="155" spans="1:5" x14ac:dyDescent="0.25">
      <c r="A155" s="3">
        <v>45628</v>
      </c>
      <c r="B155" s="3">
        <v>45634</v>
      </c>
      <c r="C155" t="s">
        <v>387</v>
      </c>
      <c r="D155">
        <v>887</v>
      </c>
      <c r="E155">
        <v>3.0000000000000001E-3</v>
      </c>
    </row>
    <row r="156" spans="1:5" x14ac:dyDescent="0.25">
      <c r="A156" s="3">
        <v>45635</v>
      </c>
      <c r="B156" s="3">
        <v>45641</v>
      </c>
      <c r="C156" t="s">
        <v>388</v>
      </c>
      <c r="D156">
        <v>881</v>
      </c>
      <c r="E156">
        <v>3.0000000000000001E-3</v>
      </c>
    </row>
    <row r="157" spans="1:5" x14ac:dyDescent="0.25">
      <c r="A157" s="3">
        <v>45642</v>
      </c>
      <c r="B157" s="3">
        <v>45648</v>
      </c>
      <c r="C157" t="s">
        <v>389</v>
      </c>
      <c r="D157">
        <v>851</v>
      </c>
      <c r="E157">
        <v>2.8E-3</v>
      </c>
    </row>
    <row r="158" spans="1:5" x14ac:dyDescent="0.25">
      <c r="A158" s="3">
        <v>45649</v>
      </c>
      <c r="B158" s="3">
        <v>45655</v>
      </c>
      <c r="C158" t="s">
        <v>390</v>
      </c>
      <c r="D158">
        <v>779</v>
      </c>
      <c r="E158">
        <v>2.7000000000000001E-3</v>
      </c>
    </row>
    <row r="159" spans="1:5" x14ac:dyDescent="0.25">
      <c r="A159" s="3">
        <v>45656</v>
      </c>
      <c r="B159" s="3">
        <v>45662</v>
      </c>
      <c r="C159" t="s">
        <v>391</v>
      </c>
      <c r="D159">
        <v>712</v>
      </c>
      <c r="E159">
        <v>3.2000000000000002E-3</v>
      </c>
    </row>
    <row r="160" spans="1:5" x14ac:dyDescent="0.25">
      <c r="A160" s="3">
        <v>45663</v>
      </c>
      <c r="B160" s="3">
        <v>45669</v>
      </c>
      <c r="C160" t="s">
        <v>392</v>
      </c>
      <c r="D160">
        <v>909</v>
      </c>
      <c r="E160">
        <v>3.5000000000000001E-3</v>
      </c>
    </row>
    <row r="161" spans="1:5" x14ac:dyDescent="0.25">
      <c r="A161" s="3">
        <v>45670</v>
      </c>
      <c r="B161" s="3">
        <v>45676</v>
      </c>
      <c r="C161" t="s">
        <v>393</v>
      </c>
      <c r="D161">
        <v>1007</v>
      </c>
      <c r="E161">
        <v>3.3999999999999998E-3</v>
      </c>
    </row>
    <row r="162" spans="1:5" x14ac:dyDescent="0.25">
      <c r="A162" s="3">
        <v>45677</v>
      </c>
      <c r="B162" s="3">
        <v>45683</v>
      </c>
      <c r="C162" t="s">
        <v>394</v>
      </c>
      <c r="D162">
        <v>981</v>
      </c>
      <c r="E162">
        <v>3.2000000000000002E-3</v>
      </c>
    </row>
    <row r="163" spans="1:5" x14ac:dyDescent="0.25">
      <c r="A163" s="3">
        <v>45684</v>
      </c>
      <c r="B163" s="3">
        <v>45690</v>
      </c>
      <c r="C163" t="s">
        <v>395</v>
      </c>
      <c r="D163">
        <v>1200</v>
      </c>
      <c r="E163">
        <v>3.8999999999999998E-3</v>
      </c>
    </row>
    <row r="164" spans="1:5" x14ac:dyDescent="0.25">
      <c r="A164" s="3">
        <v>45691</v>
      </c>
      <c r="B164" s="3">
        <v>45697</v>
      </c>
      <c r="C164" t="s">
        <v>396</v>
      </c>
      <c r="D164">
        <v>1160</v>
      </c>
      <c r="E164">
        <v>3.8E-3</v>
      </c>
    </row>
    <row r="165" spans="1:5" x14ac:dyDescent="0.25">
      <c r="A165" s="3">
        <v>45698</v>
      </c>
      <c r="B165" s="3">
        <v>45704</v>
      </c>
      <c r="C165" t="s">
        <v>397</v>
      </c>
      <c r="D165">
        <v>855</v>
      </c>
      <c r="E165">
        <v>2.8E-3</v>
      </c>
    </row>
    <row r="166" spans="1:5" x14ac:dyDescent="0.25">
      <c r="A166" s="3">
        <v>45705</v>
      </c>
      <c r="B166" s="3">
        <v>45711</v>
      </c>
      <c r="C166" t="s">
        <v>398</v>
      </c>
      <c r="D166">
        <v>884</v>
      </c>
      <c r="E166">
        <v>3.0000000000000001E-3</v>
      </c>
    </row>
    <row r="167" spans="1:5" x14ac:dyDescent="0.25">
      <c r="A167" s="3">
        <v>45712</v>
      </c>
      <c r="B167" s="3">
        <v>45718</v>
      </c>
      <c r="C167" t="s">
        <v>399</v>
      </c>
      <c r="D167">
        <v>843</v>
      </c>
      <c r="E167">
        <v>3.0000000000000001E-3</v>
      </c>
    </row>
    <row r="168" spans="1:5" x14ac:dyDescent="0.25">
      <c r="A168" s="3">
        <v>45719</v>
      </c>
      <c r="B168" s="3">
        <v>45725</v>
      </c>
      <c r="C168" t="s">
        <v>400</v>
      </c>
      <c r="D168">
        <v>741</v>
      </c>
      <c r="E168">
        <v>2.5999999999999999E-3</v>
      </c>
    </row>
    <row r="169" spans="1:5" x14ac:dyDescent="0.25">
      <c r="A169" s="3">
        <v>45726</v>
      </c>
      <c r="B169" s="3">
        <v>45732</v>
      </c>
      <c r="C169" t="s">
        <v>401</v>
      </c>
      <c r="D169">
        <v>991</v>
      </c>
      <c r="E169">
        <v>3.5000000000000001E-3</v>
      </c>
    </row>
    <row r="170" spans="1:5" x14ac:dyDescent="0.25">
      <c r="A170" s="3">
        <v>45733</v>
      </c>
      <c r="B170" s="3">
        <v>45739</v>
      </c>
      <c r="C170" t="s">
        <v>402</v>
      </c>
      <c r="D170">
        <v>992</v>
      </c>
      <c r="E170">
        <v>3.5999999999999999E-3</v>
      </c>
    </row>
    <row r="171" spans="1:5" x14ac:dyDescent="0.25">
      <c r="A171" s="3">
        <v>45740</v>
      </c>
      <c r="B171" s="3">
        <v>45746</v>
      </c>
      <c r="C171" t="s">
        <v>403</v>
      </c>
      <c r="D171">
        <v>1011</v>
      </c>
      <c r="E171">
        <v>4.0000000000000001E-3</v>
      </c>
    </row>
    <row r="172" spans="1:5" x14ac:dyDescent="0.25">
      <c r="A172" s="3">
        <v>45747</v>
      </c>
      <c r="B172" s="3">
        <v>45753</v>
      </c>
      <c r="C172" t="s">
        <v>404</v>
      </c>
      <c r="D172">
        <v>966</v>
      </c>
      <c r="E172">
        <v>3.5999999999999999E-3</v>
      </c>
    </row>
    <row r="173" spans="1:5" x14ac:dyDescent="0.25">
      <c r="A173" s="3">
        <v>45754</v>
      </c>
      <c r="B173" s="3">
        <v>45760</v>
      </c>
      <c r="C173" t="s">
        <v>405</v>
      </c>
      <c r="D173">
        <v>1078</v>
      </c>
      <c r="E173">
        <v>4.1000000000000003E-3</v>
      </c>
    </row>
    <row r="174" spans="1:5" x14ac:dyDescent="0.25">
      <c r="A174" s="3">
        <v>45761</v>
      </c>
      <c r="B174" s="3">
        <v>45767</v>
      </c>
      <c r="C174" t="s">
        <v>406</v>
      </c>
      <c r="D174">
        <v>878</v>
      </c>
      <c r="E174">
        <v>3.5000000000000001E-3</v>
      </c>
    </row>
    <row r="175" spans="1:5" x14ac:dyDescent="0.25">
      <c r="A175" s="3">
        <v>45768</v>
      </c>
      <c r="B175" s="3">
        <v>45774</v>
      </c>
      <c r="C175" t="s">
        <v>407</v>
      </c>
      <c r="D175">
        <v>924</v>
      </c>
      <c r="E175">
        <v>3.5000000000000001E-3</v>
      </c>
    </row>
    <row r="176" spans="1:5" x14ac:dyDescent="0.25">
      <c r="A176" s="3">
        <v>45775</v>
      </c>
      <c r="B176" s="3">
        <v>45781</v>
      </c>
      <c r="C176" t="s">
        <v>408</v>
      </c>
      <c r="D176">
        <v>932</v>
      </c>
      <c r="E176">
        <v>4.0000000000000001E-3</v>
      </c>
    </row>
    <row r="177" spans="1:5" x14ac:dyDescent="0.25">
      <c r="A177" s="3">
        <v>45782</v>
      </c>
      <c r="B177" s="3">
        <v>45788</v>
      </c>
      <c r="C177" t="s">
        <v>409</v>
      </c>
      <c r="D177">
        <v>845</v>
      </c>
      <c r="E177">
        <v>3.8E-3</v>
      </c>
    </row>
    <row r="178" spans="1:5" x14ac:dyDescent="0.25">
      <c r="A178" s="3">
        <v>45789</v>
      </c>
      <c r="B178" s="3">
        <v>45795</v>
      </c>
      <c r="C178" t="s">
        <v>410</v>
      </c>
      <c r="D178">
        <v>1013</v>
      </c>
      <c r="E178">
        <v>4.0000000000000001E-3</v>
      </c>
    </row>
    <row r="179" spans="1:5" x14ac:dyDescent="0.25">
      <c r="A179" s="3">
        <v>45796</v>
      </c>
      <c r="B179" s="3">
        <v>45802</v>
      </c>
      <c r="C179" t="s">
        <v>411</v>
      </c>
      <c r="D179">
        <v>863</v>
      </c>
      <c r="E179">
        <v>3.5999999999999999E-3</v>
      </c>
    </row>
    <row r="180" spans="1:5" x14ac:dyDescent="0.25">
      <c r="A180" s="3">
        <v>45803</v>
      </c>
      <c r="B180" s="3">
        <v>45809</v>
      </c>
      <c r="C180" t="s">
        <v>412</v>
      </c>
      <c r="D180">
        <v>711</v>
      </c>
      <c r="E180">
        <v>3.2000000000000002E-3</v>
      </c>
    </row>
    <row r="181" spans="1:5" x14ac:dyDescent="0.25">
      <c r="A181" s="3">
        <v>45810</v>
      </c>
      <c r="B181" s="3">
        <v>45816</v>
      </c>
      <c r="C181" t="s">
        <v>413</v>
      </c>
      <c r="D181">
        <v>810</v>
      </c>
      <c r="E181">
        <v>3.5999999999999999E-3</v>
      </c>
    </row>
    <row r="182" spans="1:5" x14ac:dyDescent="0.25">
      <c r="A182" s="3">
        <v>45817</v>
      </c>
      <c r="B182" s="3">
        <v>45823</v>
      </c>
      <c r="C182" t="s">
        <v>414</v>
      </c>
      <c r="D182">
        <v>609</v>
      </c>
      <c r="E182">
        <v>2.7000000000000001E-3</v>
      </c>
    </row>
    <row r="183" spans="1:5" x14ac:dyDescent="0.25">
      <c r="A183" s="3">
        <v>45824</v>
      </c>
      <c r="B183" s="3">
        <v>45830</v>
      </c>
      <c r="C183" t="s">
        <v>415</v>
      </c>
      <c r="D183">
        <v>831</v>
      </c>
      <c r="E183">
        <v>3.3999999999999998E-3</v>
      </c>
    </row>
    <row r="184" spans="1:5" x14ac:dyDescent="0.25">
      <c r="A184" s="3">
        <v>45831</v>
      </c>
      <c r="B184" s="3">
        <v>45837</v>
      </c>
      <c r="C184" t="s">
        <v>416</v>
      </c>
      <c r="D184">
        <v>930</v>
      </c>
      <c r="E184">
        <v>3.8999999999999998E-3</v>
      </c>
    </row>
    <row r="185" spans="1:5" x14ac:dyDescent="0.25">
      <c r="A185" s="3">
        <v>45838</v>
      </c>
      <c r="B185" s="3">
        <v>45844</v>
      </c>
      <c r="C185" t="s">
        <v>417</v>
      </c>
      <c r="D185">
        <v>954</v>
      </c>
      <c r="E185">
        <v>4.1999999999999997E-3</v>
      </c>
    </row>
    <row r="186" spans="1:5" x14ac:dyDescent="0.25">
      <c r="A186" s="3">
        <v>45845</v>
      </c>
      <c r="B186" s="3">
        <v>45851</v>
      </c>
      <c r="C186" t="s">
        <v>418</v>
      </c>
      <c r="D186">
        <v>926</v>
      </c>
      <c r="E186">
        <v>4.3E-3</v>
      </c>
    </row>
    <row r="187" spans="1:5" x14ac:dyDescent="0.25">
      <c r="A187" s="3">
        <v>45852</v>
      </c>
      <c r="B187" s="3">
        <v>45858</v>
      </c>
      <c r="C187" t="s">
        <v>419</v>
      </c>
      <c r="D187">
        <v>776</v>
      </c>
      <c r="E187">
        <v>3.5000000000000001E-3</v>
      </c>
    </row>
    <row r="188" spans="1:5" x14ac:dyDescent="0.25">
      <c r="A188" s="3">
        <v>45859</v>
      </c>
      <c r="B188" s="3">
        <v>45865</v>
      </c>
      <c r="C188" t="s">
        <v>420</v>
      </c>
      <c r="D188">
        <v>823</v>
      </c>
      <c r="E188">
        <v>3.5999999999999999E-3</v>
      </c>
    </row>
    <row r="189" spans="1:5" x14ac:dyDescent="0.25">
      <c r="A189" s="3">
        <v>45866</v>
      </c>
      <c r="B189" s="3">
        <v>45872</v>
      </c>
      <c r="C189" t="s">
        <v>421</v>
      </c>
      <c r="D189">
        <v>760</v>
      </c>
      <c r="E189">
        <v>3.3999999999999998E-3</v>
      </c>
    </row>
    <row r="190" spans="1:5" x14ac:dyDescent="0.25">
      <c r="A190" s="3">
        <v>45873</v>
      </c>
      <c r="B190" s="3">
        <v>45879</v>
      </c>
      <c r="C190" t="s">
        <v>422</v>
      </c>
      <c r="D190">
        <v>736</v>
      </c>
      <c r="E190">
        <v>3.2000000000000002E-3</v>
      </c>
    </row>
    <row r="191" spans="1:5" x14ac:dyDescent="0.25">
      <c r="A191" s="3">
        <v>45880</v>
      </c>
      <c r="B191" s="3">
        <v>45886</v>
      </c>
      <c r="C191" t="s">
        <v>423</v>
      </c>
      <c r="D191">
        <v>796</v>
      </c>
      <c r="E191">
        <v>3.5000000000000001E-3</v>
      </c>
    </row>
    <row r="192" spans="1:5" x14ac:dyDescent="0.25">
      <c r="A192" s="3">
        <v>45887</v>
      </c>
      <c r="B192" s="3">
        <v>45893</v>
      </c>
      <c r="C192" t="s">
        <v>424</v>
      </c>
      <c r="D192">
        <v>818</v>
      </c>
      <c r="E192">
        <v>3.5999999999999999E-3</v>
      </c>
    </row>
    <row r="193" spans="1:5" x14ac:dyDescent="0.25">
      <c r="A193" s="3">
        <v>45894</v>
      </c>
      <c r="B193" s="3">
        <v>45900</v>
      </c>
      <c r="C193" t="s">
        <v>425</v>
      </c>
      <c r="D193">
        <v>737</v>
      </c>
      <c r="E193">
        <v>3.2000000000000002E-3</v>
      </c>
    </row>
    <row r="194" spans="1:5" x14ac:dyDescent="0.25">
      <c r="A194" s="3">
        <v>45901</v>
      </c>
      <c r="B194" s="3">
        <v>45907</v>
      </c>
      <c r="C194" t="s">
        <v>426</v>
      </c>
      <c r="D194">
        <v>774</v>
      </c>
      <c r="E194">
        <v>3.2000000000000002E-3</v>
      </c>
    </row>
    <row r="195" spans="1:5" x14ac:dyDescent="0.25">
      <c r="A195" s="3">
        <v>45908</v>
      </c>
      <c r="B195" s="3">
        <v>45914</v>
      </c>
      <c r="C195" t="s">
        <v>427</v>
      </c>
      <c r="D195">
        <v>894</v>
      </c>
      <c r="E195">
        <v>3.5999999999999999E-3</v>
      </c>
    </row>
    <row r="196" spans="1:5" x14ac:dyDescent="0.25">
      <c r="A196" s="3">
        <v>45915</v>
      </c>
      <c r="B196" s="3">
        <v>45921</v>
      </c>
      <c r="C196" t="s">
        <v>428</v>
      </c>
      <c r="D196">
        <v>811</v>
      </c>
      <c r="E196">
        <v>3.2000000000000002E-3</v>
      </c>
    </row>
    <row r="197" spans="1:5" x14ac:dyDescent="0.25">
      <c r="A197" s="3">
        <v>45922</v>
      </c>
      <c r="B197" s="3">
        <v>45928</v>
      </c>
      <c r="C197" t="s">
        <v>429</v>
      </c>
      <c r="D197">
        <v>907</v>
      </c>
      <c r="E197">
        <v>3.5000000000000001E-3</v>
      </c>
    </row>
    <row r="198" spans="1:5" x14ac:dyDescent="0.25">
      <c r="A198" s="3">
        <v>45929</v>
      </c>
      <c r="B198" s="3">
        <v>45935</v>
      </c>
      <c r="C198" t="s">
        <v>430</v>
      </c>
      <c r="D198">
        <v>900</v>
      </c>
      <c r="E198">
        <v>3.5000000000000001E-3</v>
      </c>
    </row>
    <row r="199" spans="1:5" x14ac:dyDescent="0.25">
      <c r="A199" s="3">
        <v>45936</v>
      </c>
      <c r="B199" s="3">
        <v>45942</v>
      </c>
      <c r="C199" t="s">
        <v>431</v>
      </c>
      <c r="D199">
        <v>905</v>
      </c>
      <c r="E199">
        <v>3.5000000000000001E-3</v>
      </c>
    </row>
    <row r="200" spans="1:5" x14ac:dyDescent="0.25">
      <c r="A200" s="3">
        <v>45943</v>
      </c>
      <c r="B200" s="3">
        <v>45949</v>
      </c>
      <c r="C200" t="s">
        <v>432</v>
      </c>
      <c r="D200">
        <v>997</v>
      </c>
      <c r="E200">
        <v>3.7000000000000002E-3</v>
      </c>
    </row>
    <row r="201" spans="1:5" x14ac:dyDescent="0.25">
      <c r="A201" s="3">
        <v>45950</v>
      </c>
      <c r="B201" s="3">
        <v>45956</v>
      </c>
      <c r="C201" t="s">
        <v>433</v>
      </c>
      <c r="D201">
        <v>1050</v>
      </c>
      <c r="E201">
        <v>3.8E-3</v>
      </c>
    </row>
    <row r="202" spans="1:5" x14ac:dyDescent="0.25">
      <c r="A202" s="3">
        <v>45957</v>
      </c>
      <c r="B202" s="3">
        <v>45963</v>
      </c>
      <c r="C202" t="s">
        <v>434</v>
      </c>
      <c r="D202">
        <v>910</v>
      </c>
      <c r="E202">
        <v>3.3999999999999998E-3</v>
      </c>
    </row>
    <row r="203" spans="1:5" x14ac:dyDescent="0.25">
      <c r="A203" s="3">
        <v>45964</v>
      </c>
      <c r="B203" s="3">
        <v>45970</v>
      </c>
      <c r="C203" t="s">
        <v>435</v>
      </c>
      <c r="D203">
        <v>1068</v>
      </c>
      <c r="E203">
        <v>4.3E-3</v>
      </c>
    </row>
    <row r="204" spans="1:5" x14ac:dyDescent="0.25">
      <c r="A204" s="3">
        <v>45971</v>
      </c>
      <c r="B204" s="3">
        <v>45977</v>
      </c>
      <c r="C204" t="s">
        <v>436</v>
      </c>
      <c r="D204">
        <v>1035</v>
      </c>
      <c r="E204">
        <v>3.8999999999999998E-3</v>
      </c>
    </row>
    <row r="205" spans="1:5" x14ac:dyDescent="0.25">
      <c r="A205" s="3">
        <v>45978</v>
      </c>
      <c r="B205" s="3">
        <v>45984</v>
      </c>
      <c r="C205" t="s">
        <v>437</v>
      </c>
      <c r="D205">
        <v>994</v>
      </c>
      <c r="E205">
        <v>3.5999999999999999E-3</v>
      </c>
    </row>
    <row r="206" spans="1:5" x14ac:dyDescent="0.25">
      <c r="A206" s="3">
        <v>45985</v>
      </c>
      <c r="B206" s="3">
        <v>45991</v>
      </c>
      <c r="C206" t="s">
        <v>438</v>
      </c>
      <c r="D206">
        <v>949</v>
      </c>
      <c r="E206">
        <v>3.3999999999999998E-3</v>
      </c>
    </row>
    <row r="207" spans="1:5" x14ac:dyDescent="0.25">
      <c r="A207" s="3">
        <v>45992</v>
      </c>
      <c r="B207" s="3">
        <v>45998</v>
      </c>
      <c r="C207" t="s">
        <v>439</v>
      </c>
      <c r="D207">
        <v>927</v>
      </c>
      <c r="E207">
        <v>3.3999999999999998E-3</v>
      </c>
    </row>
    <row r="208" spans="1:5" x14ac:dyDescent="0.25">
      <c r="A208" s="3">
        <v>45999</v>
      </c>
      <c r="B208" s="3">
        <v>46005</v>
      </c>
      <c r="C208" t="s">
        <v>440</v>
      </c>
      <c r="D208">
        <v>957</v>
      </c>
      <c r="E208">
        <v>3.5999999999999999E-3</v>
      </c>
    </row>
    <row r="209" spans="1:5" x14ac:dyDescent="0.25">
      <c r="A209" s="3">
        <v>46006</v>
      </c>
      <c r="B209" s="3">
        <v>46012</v>
      </c>
      <c r="C209" t="s">
        <v>441</v>
      </c>
      <c r="D209">
        <v>811</v>
      </c>
      <c r="E209">
        <v>3.2000000000000002E-3</v>
      </c>
    </row>
    <row r="210" spans="1:5" x14ac:dyDescent="0.25">
      <c r="A210" s="3">
        <v>46013</v>
      </c>
      <c r="B210" s="3">
        <v>46019</v>
      </c>
      <c r="C210" t="s">
        <v>442</v>
      </c>
      <c r="D210">
        <v>632</v>
      </c>
      <c r="E210">
        <v>2.7000000000000001E-3</v>
      </c>
    </row>
    <row r="211" spans="1:5" x14ac:dyDescent="0.25">
      <c r="A211" s="3">
        <v>46020</v>
      </c>
      <c r="B211" s="3">
        <v>46026</v>
      </c>
      <c r="C211" t="s">
        <v>443</v>
      </c>
      <c r="D211">
        <v>466</v>
      </c>
      <c r="E211">
        <v>2.3999999999999998E-3</v>
      </c>
    </row>
    <row r="212" spans="1:5" x14ac:dyDescent="0.25">
      <c r="A212" s="3">
        <v>46027</v>
      </c>
      <c r="B212" s="3">
        <v>46033</v>
      </c>
      <c r="C212" t="s">
        <v>444</v>
      </c>
      <c r="D212">
        <v>699</v>
      </c>
      <c r="E212">
        <v>3.5000000000000001E-3</v>
      </c>
    </row>
    <row r="213" spans="1:5" x14ac:dyDescent="0.25">
      <c r="A213" s="3">
        <v>46034</v>
      </c>
      <c r="B213" s="3">
        <v>46040</v>
      </c>
      <c r="C213" t="s">
        <v>445</v>
      </c>
      <c r="D213">
        <v>920</v>
      </c>
      <c r="E213">
        <v>3.8999999999999998E-3</v>
      </c>
    </row>
    <row r="214" spans="1:5" x14ac:dyDescent="0.25">
      <c r="A214" s="3">
        <v>46041</v>
      </c>
      <c r="B214" s="3">
        <v>46047</v>
      </c>
      <c r="C214" t="s">
        <v>446</v>
      </c>
      <c r="D214">
        <v>891</v>
      </c>
      <c r="E214">
        <v>3.5999999999999999E-3</v>
      </c>
    </row>
    <row r="215" spans="1:5" x14ac:dyDescent="0.25">
      <c r="A215" s="3">
        <v>46048</v>
      </c>
      <c r="B215" s="3">
        <v>46054</v>
      </c>
      <c r="C215" t="s">
        <v>447</v>
      </c>
      <c r="D215">
        <v>807</v>
      </c>
      <c r="E215">
        <v>3.3999999999999998E-3</v>
      </c>
    </row>
    <row r="216" spans="1:5" x14ac:dyDescent="0.25">
      <c r="A216" s="3">
        <v>46055</v>
      </c>
      <c r="B216" s="3">
        <v>46061</v>
      </c>
      <c r="C216" t="s">
        <v>448</v>
      </c>
      <c r="D216">
        <v>854</v>
      </c>
      <c r="E216">
        <v>3.5999999999999999E-3</v>
      </c>
    </row>
    <row r="217" spans="1:5" x14ac:dyDescent="0.25">
      <c r="A217" s="3">
        <v>46062</v>
      </c>
      <c r="B217" s="3">
        <v>46068</v>
      </c>
      <c r="C217" t="s">
        <v>449</v>
      </c>
      <c r="D217">
        <v>843</v>
      </c>
      <c r="E217">
        <v>3.5999999999999999E-3</v>
      </c>
    </row>
    <row r="218" spans="1:5" x14ac:dyDescent="0.25">
      <c r="A218" s="3">
        <v>46069</v>
      </c>
      <c r="B218" s="3">
        <v>46075</v>
      </c>
      <c r="C218" t="s">
        <v>450</v>
      </c>
      <c r="D218">
        <v>809</v>
      </c>
      <c r="E218">
        <v>3.5999999999999999E-3</v>
      </c>
    </row>
    <row r="219" spans="1:5" x14ac:dyDescent="0.25">
      <c r="A219" s="3">
        <v>46076</v>
      </c>
      <c r="B219" s="3">
        <v>46082</v>
      </c>
      <c r="C219" t="s">
        <v>451</v>
      </c>
      <c r="D219">
        <v>754</v>
      </c>
      <c r="E219">
        <v>3.3999999999999998E-3</v>
      </c>
    </row>
    <row r="220" spans="1:5" x14ac:dyDescent="0.25">
      <c r="A220" s="3">
        <v>46083</v>
      </c>
      <c r="B220" s="3">
        <v>46089</v>
      </c>
      <c r="C220" t="s">
        <v>452</v>
      </c>
      <c r="D220">
        <v>672</v>
      </c>
      <c r="E220">
        <v>3.0999999999999999E-3</v>
      </c>
    </row>
    <row r="221" spans="1:5" x14ac:dyDescent="0.25">
      <c r="A221" s="3">
        <v>46090</v>
      </c>
      <c r="B221" s="3">
        <v>46096</v>
      </c>
      <c r="C221" t="s">
        <v>453</v>
      </c>
      <c r="D221">
        <v>907</v>
      </c>
      <c r="E221">
        <v>3.5999999999999999E-3</v>
      </c>
    </row>
    <row r="222" spans="1:5" x14ac:dyDescent="0.25">
      <c r="A222" s="3">
        <v>46097</v>
      </c>
      <c r="B222" s="3">
        <v>46103</v>
      </c>
      <c r="C222" t="s">
        <v>454</v>
      </c>
      <c r="D222">
        <v>905</v>
      </c>
      <c r="E222">
        <v>3.5000000000000001E-3</v>
      </c>
    </row>
    <row r="223" spans="1:5" x14ac:dyDescent="0.25">
      <c r="A223" s="3">
        <v>46104</v>
      </c>
      <c r="B223" s="3">
        <v>46110</v>
      </c>
      <c r="C223" t="s">
        <v>455</v>
      </c>
      <c r="D223">
        <v>966</v>
      </c>
      <c r="E223">
        <v>3.8E-3</v>
      </c>
    </row>
    <row r="224" spans="1:5" x14ac:dyDescent="0.25">
      <c r="A224" s="3">
        <v>46111</v>
      </c>
      <c r="B224" s="3">
        <v>46117</v>
      </c>
      <c r="C224" t="s">
        <v>456</v>
      </c>
      <c r="D224">
        <v>853</v>
      </c>
      <c r="E224">
        <v>3.5000000000000001E-3</v>
      </c>
    </row>
    <row r="225" spans="1:5" x14ac:dyDescent="0.25">
      <c r="A225" s="3">
        <v>46118</v>
      </c>
      <c r="B225" s="3">
        <v>46124</v>
      </c>
      <c r="C225" t="s">
        <v>457</v>
      </c>
      <c r="D225">
        <v>865</v>
      </c>
      <c r="E225">
        <v>3.3999999999999998E-3</v>
      </c>
    </row>
    <row r="226" spans="1:5" x14ac:dyDescent="0.25">
      <c r="A226" s="3">
        <v>46125</v>
      </c>
      <c r="B226" s="3">
        <v>46131</v>
      </c>
      <c r="C226" t="s">
        <v>458</v>
      </c>
      <c r="D226">
        <v>954</v>
      </c>
      <c r="E226">
        <v>3.8E-3</v>
      </c>
    </row>
    <row r="227" spans="1:5" x14ac:dyDescent="0.25">
      <c r="A227" s="3">
        <v>46132</v>
      </c>
      <c r="B227" s="3">
        <v>46138</v>
      </c>
      <c r="C227" t="s">
        <v>459</v>
      </c>
      <c r="D227">
        <v>1044</v>
      </c>
      <c r="E227">
        <v>4.0000000000000001E-3</v>
      </c>
    </row>
    <row r="228" spans="1:5" x14ac:dyDescent="0.25">
      <c r="A228" s="3">
        <v>46139</v>
      </c>
      <c r="B228" s="3">
        <v>46145</v>
      </c>
      <c r="C228" t="s">
        <v>460</v>
      </c>
      <c r="D228">
        <v>979</v>
      </c>
      <c r="E228">
        <v>4.1000000000000003E-3</v>
      </c>
    </row>
    <row r="229" spans="1:5" x14ac:dyDescent="0.25">
      <c r="A229" s="3">
        <v>46146</v>
      </c>
      <c r="B229" s="3">
        <v>46152</v>
      </c>
      <c r="C229" t="s">
        <v>461</v>
      </c>
      <c r="D229">
        <v>799</v>
      </c>
      <c r="E229">
        <v>3.7000000000000002E-3</v>
      </c>
    </row>
    <row r="230" spans="1:5" x14ac:dyDescent="0.25">
      <c r="A230" s="3">
        <v>46153</v>
      </c>
      <c r="B230" s="3">
        <v>46159</v>
      </c>
      <c r="C230" t="s">
        <v>462</v>
      </c>
      <c r="D230">
        <v>1062</v>
      </c>
      <c r="E230">
        <v>4.7000000000000002E-3</v>
      </c>
    </row>
    <row r="231" spans="1:5" x14ac:dyDescent="0.25">
      <c r="A231" s="3">
        <v>46160</v>
      </c>
      <c r="B231" s="3">
        <v>46166</v>
      </c>
      <c r="C231" t="s">
        <v>463</v>
      </c>
      <c r="D231">
        <v>869</v>
      </c>
      <c r="E231">
        <v>3.8E-3</v>
      </c>
    </row>
    <row r="232" spans="1:5" x14ac:dyDescent="0.25">
      <c r="A232" s="3">
        <v>46167</v>
      </c>
      <c r="B232" s="3">
        <v>46173</v>
      </c>
      <c r="C232" t="s">
        <v>464</v>
      </c>
      <c r="D232">
        <v>792</v>
      </c>
      <c r="E232">
        <v>3.3E-3</v>
      </c>
    </row>
    <row r="233" spans="1:5" x14ac:dyDescent="0.25">
      <c r="A233" s="3">
        <v>46174</v>
      </c>
      <c r="B233" s="3">
        <v>46180</v>
      </c>
      <c r="C233" t="s">
        <v>465</v>
      </c>
      <c r="D233">
        <v>927</v>
      </c>
      <c r="E233">
        <v>3.8999999999999998E-3</v>
      </c>
    </row>
    <row r="234" spans="1:5" x14ac:dyDescent="0.25">
      <c r="A234" s="3">
        <v>46181</v>
      </c>
      <c r="B234" s="3">
        <v>46187</v>
      </c>
      <c r="C234" t="s">
        <v>466</v>
      </c>
      <c r="D234">
        <v>1015</v>
      </c>
      <c r="E234">
        <v>4.4999999999999997E-3</v>
      </c>
    </row>
    <row r="235" spans="1:5" x14ac:dyDescent="0.25">
      <c r="A235" s="3">
        <v>46188</v>
      </c>
      <c r="B235" s="3">
        <v>46194</v>
      </c>
      <c r="C235" t="s">
        <v>467</v>
      </c>
      <c r="D235">
        <v>952</v>
      </c>
      <c r="E235">
        <v>4.0000000000000001E-3</v>
      </c>
    </row>
    <row r="236" spans="1:5" x14ac:dyDescent="0.25">
      <c r="A236" s="3">
        <v>46195</v>
      </c>
      <c r="B236" s="3">
        <v>46201</v>
      </c>
      <c r="C236" t="s">
        <v>468</v>
      </c>
      <c r="D236">
        <v>961</v>
      </c>
      <c r="E236">
        <v>4.1000000000000003E-3</v>
      </c>
    </row>
    <row r="237" spans="1:5" x14ac:dyDescent="0.25">
      <c r="A237" s="3">
        <v>46202</v>
      </c>
      <c r="B237" s="3">
        <v>46208</v>
      </c>
      <c r="C237" t="s">
        <v>469</v>
      </c>
      <c r="D237">
        <v>902</v>
      </c>
      <c r="E237">
        <v>4.1000000000000003E-3</v>
      </c>
    </row>
    <row r="238" spans="1:5" x14ac:dyDescent="0.25">
      <c r="A238" s="3">
        <v>46209</v>
      </c>
      <c r="B238" s="3">
        <v>46215</v>
      </c>
      <c r="C238" t="s">
        <v>470</v>
      </c>
      <c r="D238">
        <v>786</v>
      </c>
      <c r="E238">
        <v>3.3999999999999998E-3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Динамика</vt:lpstr>
      <vt:lpstr>Дашборд</vt:lpstr>
      <vt:lpstr>Недельная сводка</vt:lpstr>
      <vt:lpstr>Исходник — лиды</vt:lpstr>
      <vt:lpstr>Исходник — Wordstat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2026-07-20T08:04:16Z</dcterms:created>
  <dcterms:modified xsi:type="dcterms:W3CDTF">2026-07-20T08:45:34Z</dcterms:modified>
</cp:coreProperties>
</file>