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film_primary\"/>
    </mc:Choice>
  </mc:AlternateContent>
  <xr:revisionPtr revIDLastSave="0" documentId="8_{36BB40D0-F8A9-4511-96F4-6E7FC3C83069}" xr6:coauthVersionLast="40" xr6:coauthVersionMax="40" xr10:uidLastSave="{00000000-0000-0000-0000-000000000000}"/>
  <bookViews>
    <workbookView xWindow="0" yWindow="0" windowWidth="20055" windowHeight="12990" xr2:uid="{05D16A53-C499-44C8-A619-F4A90EA609C3}"/>
  </bookViews>
  <sheets>
    <sheet name="Динамика" sheetId="5" r:id="rId1"/>
    <sheet name="Дашборд" sheetId="4" r:id="rId2"/>
    <sheet name="Недельная сводка" sheetId="3" r:id="rId3"/>
    <sheet name="Исходник — лиды" sheetId="2" r:id="rId4"/>
    <sheet name="Исходник — Wordstat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3" l="1"/>
  <c r="G28" i="3"/>
  <c r="G40" i="3"/>
  <c r="G52" i="3"/>
  <c r="G64" i="3"/>
  <c r="G76" i="3"/>
  <c r="G88" i="3"/>
  <c r="G100" i="3"/>
  <c r="G112" i="3"/>
  <c r="G124" i="3"/>
  <c r="G136" i="3"/>
  <c r="G148" i="3"/>
  <c r="G160" i="3"/>
  <c r="G172" i="3"/>
  <c r="G184" i="3"/>
  <c r="G196" i="3"/>
  <c r="G208" i="3"/>
  <c r="G220" i="3"/>
  <c r="G232" i="3"/>
  <c r="E5" i="3"/>
  <c r="G5" i="3" s="1"/>
  <c r="E6" i="3"/>
  <c r="G6" i="3" s="1"/>
  <c r="E7" i="3"/>
  <c r="G7" i="3" s="1"/>
  <c r="E8" i="3"/>
  <c r="G8" i="3" s="1"/>
  <c r="E9" i="3"/>
  <c r="G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E16" i="3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E25" i="3"/>
  <c r="G25" i="3" s="1"/>
  <c r="E26" i="3"/>
  <c r="G26" i="3" s="1"/>
  <c r="E27" i="3"/>
  <c r="E28" i="3"/>
  <c r="E29" i="3"/>
  <c r="G29" i="3" s="1"/>
  <c r="E30" i="3"/>
  <c r="G30" i="3" s="1"/>
  <c r="E31" i="3"/>
  <c r="G31" i="3" s="1"/>
  <c r="E32" i="3"/>
  <c r="G32" i="3" s="1"/>
  <c r="E33" i="3"/>
  <c r="G33" i="3" s="1"/>
  <c r="E34" i="3"/>
  <c r="G34" i="3" s="1"/>
  <c r="E35" i="3"/>
  <c r="G35" i="3" s="1"/>
  <c r="E36" i="3"/>
  <c r="G36" i="3" s="1"/>
  <c r="E37" i="3"/>
  <c r="G37" i="3" s="1"/>
  <c r="E38" i="3"/>
  <c r="G38" i="3" s="1"/>
  <c r="E39" i="3"/>
  <c r="E40" i="3"/>
  <c r="E41" i="3"/>
  <c r="G41" i="3" s="1"/>
  <c r="E42" i="3"/>
  <c r="G42" i="3" s="1"/>
  <c r="E43" i="3"/>
  <c r="G43" i="3" s="1"/>
  <c r="E44" i="3"/>
  <c r="G44" i="3" s="1"/>
  <c r="E45" i="3"/>
  <c r="G45" i="3" s="1"/>
  <c r="E46" i="3"/>
  <c r="G46" i="3" s="1"/>
  <c r="E47" i="3"/>
  <c r="G47" i="3" s="1"/>
  <c r="E48" i="3"/>
  <c r="G48" i="3" s="1"/>
  <c r="E49" i="3"/>
  <c r="G49" i="3" s="1"/>
  <c r="E50" i="3"/>
  <c r="G50" i="3" s="1"/>
  <c r="E51" i="3"/>
  <c r="E52" i="3"/>
  <c r="E53" i="3"/>
  <c r="G53" i="3" s="1"/>
  <c r="E54" i="3"/>
  <c r="G54" i="3" s="1"/>
  <c r="E55" i="3"/>
  <c r="G55" i="3" s="1"/>
  <c r="E56" i="3"/>
  <c r="G56" i="3" s="1"/>
  <c r="E57" i="3"/>
  <c r="G57" i="3" s="1"/>
  <c r="E58" i="3"/>
  <c r="G58" i="3" s="1"/>
  <c r="E59" i="3"/>
  <c r="G59" i="3" s="1"/>
  <c r="E60" i="3"/>
  <c r="G60" i="3" s="1"/>
  <c r="E61" i="3"/>
  <c r="G61" i="3" s="1"/>
  <c r="E62" i="3"/>
  <c r="G62" i="3" s="1"/>
  <c r="E63" i="3"/>
  <c r="E64" i="3"/>
  <c r="E65" i="3"/>
  <c r="G65" i="3" s="1"/>
  <c r="E66" i="3"/>
  <c r="G66" i="3" s="1"/>
  <c r="E67" i="3"/>
  <c r="G67" i="3" s="1"/>
  <c r="E68" i="3"/>
  <c r="G68" i="3" s="1"/>
  <c r="E69" i="3"/>
  <c r="G69" i="3" s="1"/>
  <c r="E70" i="3"/>
  <c r="G70" i="3" s="1"/>
  <c r="E71" i="3"/>
  <c r="G71" i="3" s="1"/>
  <c r="E72" i="3"/>
  <c r="G72" i="3" s="1"/>
  <c r="E73" i="3"/>
  <c r="G73" i="3" s="1"/>
  <c r="E74" i="3"/>
  <c r="G74" i="3" s="1"/>
  <c r="E75" i="3"/>
  <c r="E76" i="3"/>
  <c r="E77" i="3"/>
  <c r="G77" i="3" s="1"/>
  <c r="E78" i="3"/>
  <c r="G78" i="3" s="1"/>
  <c r="E79" i="3"/>
  <c r="G79" i="3" s="1"/>
  <c r="E80" i="3"/>
  <c r="G80" i="3" s="1"/>
  <c r="E81" i="3"/>
  <c r="G81" i="3" s="1"/>
  <c r="E82" i="3"/>
  <c r="G82" i="3" s="1"/>
  <c r="E83" i="3"/>
  <c r="G83" i="3" s="1"/>
  <c r="E84" i="3"/>
  <c r="G84" i="3" s="1"/>
  <c r="E85" i="3"/>
  <c r="G85" i="3" s="1"/>
  <c r="E86" i="3"/>
  <c r="G86" i="3" s="1"/>
  <c r="E87" i="3"/>
  <c r="E88" i="3"/>
  <c r="E89" i="3"/>
  <c r="G89" i="3" s="1"/>
  <c r="E90" i="3"/>
  <c r="G90" i="3" s="1"/>
  <c r="E91" i="3"/>
  <c r="G91" i="3" s="1"/>
  <c r="E92" i="3"/>
  <c r="G92" i="3" s="1"/>
  <c r="E93" i="3"/>
  <c r="G93" i="3" s="1"/>
  <c r="E94" i="3"/>
  <c r="G94" i="3" s="1"/>
  <c r="E95" i="3"/>
  <c r="G95" i="3" s="1"/>
  <c r="E96" i="3"/>
  <c r="G96" i="3" s="1"/>
  <c r="E97" i="3"/>
  <c r="G97" i="3" s="1"/>
  <c r="E98" i="3"/>
  <c r="G98" i="3" s="1"/>
  <c r="E99" i="3"/>
  <c r="E100" i="3"/>
  <c r="E101" i="3"/>
  <c r="G101" i="3" s="1"/>
  <c r="E102" i="3"/>
  <c r="G102" i="3" s="1"/>
  <c r="E103" i="3"/>
  <c r="G103" i="3" s="1"/>
  <c r="E104" i="3"/>
  <c r="G104" i="3" s="1"/>
  <c r="E105" i="3"/>
  <c r="G105" i="3" s="1"/>
  <c r="E106" i="3"/>
  <c r="G106" i="3" s="1"/>
  <c r="E107" i="3"/>
  <c r="G107" i="3" s="1"/>
  <c r="E108" i="3"/>
  <c r="G108" i="3" s="1"/>
  <c r="E109" i="3"/>
  <c r="G109" i="3" s="1"/>
  <c r="E110" i="3"/>
  <c r="G110" i="3" s="1"/>
  <c r="E111" i="3"/>
  <c r="E112" i="3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G118" i="3" s="1"/>
  <c r="E119" i="3"/>
  <c r="G119" i="3" s="1"/>
  <c r="E120" i="3"/>
  <c r="G120" i="3" s="1"/>
  <c r="E121" i="3"/>
  <c r="G121" i="3" s="1"/>
  <c r="E122" i="3"/>
  <c r="G122" i="3" s="1"/>
  <c r="E123" i="3"/>
  <c r="G123" i="3" s="1"/>
  <c r="E124" i="3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G135" i="3" s="1"/>
  <c r="E136" i="3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G142" i="3" s="1"/>
  <c r="E143" i="3"/>
  <c r="G143" i="3" s="1"/>
  <c r="E144" i="3"/>
  <c r="G144" i="3" s="1"/>
  <c r="E145" i="3"/>
  <c r="G145" i="3" s="1"/>
  <c r="E146" i="3"/>
  <c r="G146" i="3" s="1"/>
  <c r="E147" i="3"/>
  <c r="G147" i="3" s="1"/>
  <c r="E148" i="3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G154" i="3" s="1"/>
  <c r="E155" i="3"/>
  <c r="G155" i="3" s="1"/>
  <c r="E156" i="3"/>
  <c r="G156" i="3" s="1"/>
  <c r="E157" i="3"/>
  <c r="G157" i="3" s="1"/>
  <c r="E158" i="3"/>
  <c r="G158" i="3" s="1"/>
  <c r="E159" i="3"/>
  <c r="G159" i="3" s="1"/>
  <c r="E160" i="3"/>
  <c r="E161" i="3"/>
  <c r="G161" i="3" s="1"/>
  <c r="E162" i="3"/>
  <c r="G162" i="3" s="1"/>
  <c r="E163" i="3"/>
  <c r="G163" i="3" s="1"/>
  <c r="E164" i="3"/>
  <c r="G164" i="3" s="1"/>
  <c r="E165" i="3"/>
  <c r="G165" i="3" s="1"/>
  <c r="E166" i="3"/>
  <c r="G166" i="3" s="1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E173" i="3"/>
  <c r="G173" i="3" s="1"/>
  <c r="E174" i="3"/>
  <c r="G174" i="3" s="1"/>
  <c r="E175" i="3"/>
  <c r="G175" i="3" s="1"/>
  <c r="E176" i="3"/>
  <c r="G176" i="3" s="1"/>
  <c r="E177" i="3"/>
  <c r="G177" i="3" s="1"/>
  <c r="E178" i="3"/>
  <c r="G178" i="3" s="1"/>
  <c r="E179" i="3"/>
  <c r="G179" i="3" s="1"/>
  <c r="E180" i="3"/>
  <c r="G180" i="3" s="1"/>
  <c r="E181" i="3"/>
  <c r="G181" i="3" s="1"/>
  <c r="E182" i="3"/>
  <c r="G182" i="3" s="1"/>
  <c r="E183" i="3"/>
  <c r="G183" i="3" s="1"/>
  <c r="E184" i="3"/>
  <c r="E185" i="3"/>
  <c r="G185" i="3" s="1"/>
  <c r="E186" i="3"/>
  <c r="G186" i="3" s="1"/>
  <c r="E187" i="3"/>
  <c r="G187" i="3" s="1"/>
  <c r="E188" i="3"/>
  <c r="G188" i="3" s="1"/>
  <c r="E189" i="3"/>
  <c r="G189" i="3" s="1"/>
  <c r="E190" i="3"/>
  <c r="G190" i="3" s="1"/>
  <c r="E191" i="3"/>
  <c r="G191" i="3" s="1"/>
  <c r="E192" i="3"/>
  <c r="G192" i="3" s="1"/>
  <c r="E193" i="3"/>
  <c r="G193" i="3" s="1"/>
  <c r="E194" i="3"/>
  <c r="G194" i="3" s="1"/>
  <c r="E195" i="3"/>
  <c r="G195" i="3" s="1"/>
  <c r="E196" i="3"/>
  <c r="E197" i="3"/>
  <c r="G197" i="3" s="1"/>
  <c r="E198" i="3"/>
  <c r="G198" i="3" s="1"/>
  <c r="E199" i="3"/>
  <c r="G199" i="3" s="1"/>
  <c r="E200" i="3"/>
  <c r="G200" i="3" s="1"/>
  <c r="E201" i="3"/>
  <c r="G201" i="3" s="1"/>
  <c r="E202" i="3"/>
  <c r="G202" i="3" s="1"/>
  <c r="E203" i="3"/>
  <c r="G203" i="3" s="1"/>
  <c r="E204" i="3"/>
  <c r="G204" i="3" s="1"/>
  <c r="E205" i="3"/>
  <c r="G205" i="3" s="1"/>
  <c r="E206" i="3"/>
  <c r="G206" i="3" s="1"/>
  <c r="E207" i="3"/>
  <c r="G207" i="3" s="1"/>
  <c r="E208" i="3"/>
  <c r="E209" i="3"/>
  <c r="G209" i="3" s="1"/>
  <c r="E210" i="3"/>
  <c r="G210" i="3" s="1"/>
  <c r="E211" i="3"/>
  <c r="G211" i="3" s="1"/>
  <c r="E212" i="3"/>
  <c r="G212" i="3" s="1"/>
  <c r="E213" i="3"/>
  <c r="G213" i="3" s="1"/>
  <c r="E214" i="3"/>
  <c r="G214" i="3" s="1"/>
  <c r="E215" i="3"/>
  <c r="G215" i="3" s="1"/>
  <c r="E216" i="3"/>
  <c r="G216" i="3" s="1"/>
  <c r="E217" i="3"/>
  <c r="G217" i="3" s="1"/>
  <c r="E218" i="3"/>
  <c r="G218" i="3" s="1"/>
  <c r="E219" i="3"/>
  <c r="G219" i="3" s="1"/>
  <c r="E220" i="3"/>
  <c r="E221" i="3"/>
  <c r="G221" i="3" s="1"/>
  <c r="E222" i="3"/>
  <c r="G222" i="3" s="1"/>
  <c r="E223" i="3"/>
  <c r="G223" i="3" s="1"/>
  <c r="E224" i="3"/>
  <c r="G224" i="3" s="1"/>
  <c r="E225" i="3"/>
  <c r="G225" i="3" s="1"/>
  <c r="E226" i="3"/>
  <c r="G226" i="3" s="1"/>
  <c r="E227" i="3"/>
  <c r="G227" i="3" s="1"/>
  <c r="E228" i="3"/>
  <c r="G228" i="3" s="1"/>
  <c r="E229" i="3"/>
  <c r="G229" i="3" s="1"/>
  <c r="E230" i="3"/>
  <c r="G230" i="3" s="1"/>
  <c r="E231" i="3"/>
  <c r="G231" i="3" s="1"/>
  <c r="E232" i="3"/>
  <c r="E233" i="3"/>
  <c r="G233" i="3" s="1"/>
  <c r="E234" i="3"/>
  <c r="G234" i="3" s="1"/>
  <c r="E235" i="3"/>
  <c r="G235" i="3" s="1"/>
  <c r="E236" i="3"/>
  <c r="G236" i="3" s="1"/>
  <c r="E237" i="3"/>
  <c r="G237" i="3" s="1"/>
  <c r="E238" i="3"/>
  <c r="G238" i="3" s="1"/>
  <c r="E239" i="3"/>
  <c r="G239" i="3" s="1"/>
  <c r="E240" i="3"/>
  <c r="G240" i="3" s="1"/>
  <c r="E241" i="3"/>
  <c r="G241" i="3" s="1"/>
  <c r="D5" i="3"/>
  <c r="D6" i="3"/>
  <c r="D7" i="3"/>
  <c r="D8" i="3"/>
  <c r="D9" i="3"/>
  <c r="D10" i="3"/>
  <c r="D11" i="3"/>
  <c r="D12" i="3"/>
  <c r="D13" i="3"/>
  <c r="D14" i="3"/>
  <c r="D15" i="3"/>
  <c r="G15" i="3" s="1"/>
  <c r="D16" i="3"/>
  <c r="D17" i="3"/>
  <c r="D18" i="3"/>
  <c r="D19" i="3"/>
  <c r="D20" i="3"/>
  <c r="D21" i="3"/>
  <c r="D22" i="3"/>
  <c r="D23" i="3"/>
  <c r="D24" i="3"/>
  <c r="D25" i="3"/>
  <c r="D26" i="3"/>
  <c r="D27" i="3"/>
  <c r="G27" i="3" s="1"/>
  <c r="D28" i="3"/>
  <c r="D29" i="3"/>
  <c r="D30" i="3"/>
  <c r="D31" i="3"/>
  <c r="D32" i="3"/>
  <c r="D33" i="3"/>
  <c r="D34" i="3"/>
  <c r="D35" i="3"/>
  <c r="D36" i="3"/>
  <c r="D37" i="3"/>
  <c r="D38" i="3"/>
  <c r="D39" i="3"/>
  <c r="G39" i="3" s="1"/>
  <c r="D40" i="3"/>
  <c r="D41" i="3"/>
  <c r="D42" i="3"/>
  <c r="D43" i="3"/>
  <c r="D44" i="3"/>
  <c r="D45" i="3"/>
  <c r="D46" i="3"/>
  <c r="D47" i="3"/>
  <c r="D48" i="3"/>
  <c r="D49" i="3"/>
  <c r="D50" i="3"/>
  <c r="D51" i="3"/>
  <c r="G51" i="3" s="1"/>
  <c r="D52" i="3"/>
  <c r="D53" i="3"/>
  <c r="D54" i="3"/>
  <c r="D55" i="3"/>
  <c r="D56" i="3"/>
  <c r="D57" i="3"/>
  <c r="D58" i="3"/>
  <c r="D59" i="3"/>
  <c r="D60" i="3"/>
  <c r="D61" i="3"/>
  <c r="D62" i="3"/>
  <c r="D63" i="3"/>
  <c r="G63" i="3" s="1"/>
  <c r="D64" i="3"/>
  <c r="D65" i="3"/>
  <c r="D66" i="3"/>
  <c r="D67" i="3"/>
  <c r="D68" i="3"/>
  <c r="D69" i="3"/>
  <c r="D70" i="3"/>
  <c r="D71" i="3"/>
  <c r="D72" i="3"/>
  <c r="D73" i="3"/>
  <c r="D74" i="3"/>
  <c r="D75" i="3"/>
  <c r="G75" i="3" s="1"/>
  <c r="D76" i="3"/>
  <c r="D77" i="3"/>
  <c r="D78" i="3"/>
  <c r="D79" i="3"/>
  <c r="D80" i="3"/>
  <c r="D81" i="3"/>
  <c r="D82" i="3"/>
  <c r="D83" i="3"/>
  <c r="D84" i="3"/>
  <c r="D85" i="3"/>
  <c r="D86" i="3"/>
  <c r="D87" i="3"/>
  <c r="G87" i="3" s="1"/>
  <c r="D88" i="3"/>
  <c r="D89" i="3"/>
  <c r="D90" i="3"/>
  <c r="D91" i="3"/>
  <c r="D92" i="3"/>
  <c r="D93" i="3"/>
  <c r="D94" i="3"/>
  <c r="D95" i="3"/>
  <c r="D96" i="3"/>
  <c r="D97" i="3"/>
  <c r="D98" i="3"/>
  <c r="D99" i="3"/>
  <c r="G99" i="3" s="1"/>
  <c r="D100" i="3"/>
  <c r="D101" i="3"/>
  <c r="D102" i="3"/>
  <c r="D103" i="3"/>
  <c r="D104" i="3"/>
  <c r="D105" i="3"/>
  <c r="D106" i="3"/>
  <c r="D107" i="3"/>
  <c r="D108" i="3"/>
  <c r="D109" i="3"/>
  <c r="D110" i="3"/>
  <c r="D111" i="3"/>
  <c r="G111" i="3" s="1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G5" i="4" l="1"/>
  <c r="B11" i="4" l="1"/>
  <c r="C11" i="4" s="1"/>
  <c r="B10" i="4"/>
  <c r="C10" i="4" s="1"/>
  <c r="A5" i="4"/>
  <c r="D5" i="4"/>
</calcChain>
</file>

<file path=xl/sharedStrings.xml><?xml version="1.0" encoding="utf-8"?>
<sst xmlns="http://schemas.openxmlformats.org/spreadsheetml/2006/main" count="7753" uniqueCount="2264">
  <si>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</si>
  <si>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</si>
  <si>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</si>
  <si>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</si>
  <si>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</si>
  <si>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</si>
  <si>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</si>
  <si>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</si>
  <si>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</si>
  <si>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</si>
  <si>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</si>
  <si>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</si>
  <si>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</si>
  <si>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</si>
  <si>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</si>
  <si>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</si>
  <si>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</si>
  <si>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</si>
  <si>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</si>
  <si>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</si>
  <si>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</si>
  <si>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</si>
  <si>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</si>
  <si>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</si>
  <si>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</si>
  <si>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</si>
  <si>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>Звонок</t>
  </si>
  <si>
    <t>Качественный лид</t>
  </si>
  <si>
    <t>Богдан Клименко</t>
  </si>
  <si>
    <t>Александр Шушкин</t>
  </si>
  <si>
    <t>yandex</t>
  </si>
  <si>
    <t>cpc</t>
  </si>
  <si>
    <t>Самара</t>
  </si>
  <si>
    <t>(none)</t>
  </si>
  <si>
    <t>Веб-сайт</t>
  </si>
  <si>
    <t>levsha-group.ru</t>
  </si>
  <si>
    <t>Алексей Торгашëв</t>
  </si>
  <si>
    <t>Виктор Худяков</t>
  </si>
  <si>
    <t>Avito - Левша-Сервис открытая линия</t>
  </si>
  <si>
    <t>Игорь</t>
  </si>
  <si>
    <t>Сергей</t>
  </si>
  <si>
    <t>Александр</t>
  </si>
  <si>
    <t>Яна Баринова - Открытая линия Левша</t>
  </si>
  <si>
    <t>ВКонтакте - Открытая линия Левша</t>
  </si>
  <si>
    <t>Клиенту ответили на вопрос</t>
  </si>
  <si>
    <t>Яна</t>
  </si>
  <si>
    <t>Баринова</t>
  </si>
  <si>
    <t>Лида Левша</t>
  </si>
  <si>
    <t>Face-трекер</t>
  </si>
  <si>
    <t>---autotargeting.desktop.Самара</t>
  </si>
  <si>
    <t>Александр - Авито - Левша-Сервис открытая линия</t>
  </si>
  <si>
    <t>сергей - Авито - Левша-Сервис открытая линия</t>
  </si>
  <si>
    <t>сергей</t>
  </si>
  <si>
    <t>Дмитрий - Авито - Левша-Сервис открытая линия</t>
  </si>
  <si>
    <t>Дмитрий</t>
  </si>
  <si>
    <t>Валентин</t>
  </si>
  <si>
    <t>Кайрат - Авито - Левша-Сервис открытая линия</t>
  </si>
  <si>
    <t>Кайрат</t>
  </si>
  <si>
    <t>Мария - Авито - Левша-Сервис открытая линия</t>
  </si>
  <si>
    <t>Мария</t>
  </si>
  <si>
    <t>ВсЁ пО чЕсТнОмУ - Авито - Левша-Сервис открытая линия</t>
  </si>
  <si>
    <t>ВсЁ пО чЕсТнОмУ</t>
  </si>
  <si>
    <t>Пользователь</t>
  </si>
  <si>
    <t>tilda</t>
  </si>
  <si>
    <t>Кирилл</t>
  </si>
  <si>
    <t>Владимир</t>
  </si>
  <si>
    <t>илья</t>
  </si>
  <si>
    <t>Клиент не выходит на связь</t>
  </si>
  <si>
    <t>Иван</t>
  </si>
  <si>
    <t>---autotargeting.mobile.Самара</t>
  </si>
  <si>
    <t>Константин</t>
  </si>
  <si>
    <t>Дубликат</t>
  </si>
  <si>
    <t>Юрий</t>
  </si>
  <si>
    <t>плёнка</t>
  </si>
  <si>
    <t>Андрей</t>
  </si>
  <si>
    <t>Антон</t>
  </si>
  <si>
    <t>Владислав</t>
  </si>
  <si>
    <t>Лид #113535</t>
  </si>
  <si>
    <t>Конев Александр Васильевич</t>
  </si>
  <si>
    <t>Павел</t>
  </si>
  <si>
    <t>Андреева Юлия Евгеньевна</t>
  </si>
  <si>
    <t>Максим</t>
  </si>
  <si>
    <t>Артём Онищенко - Открытая линия Левша</t>
  </si>
  <si>
    <t>Артём</t>
  </si>
  <si>
    <t>Онищенко</t>
  </si>
  <si>
    <t>Валерий</t>
  </si>
  <si>
    <t>пленка дорого</t>
  </si>
  <si>
    <t>Валерий Истомин - Открытая линия Левша</t>
  </si>
  <si>
    <t>Истомин</t>
  </si>
  <si>
    <t>Лид #113234</t>
  </si>
  <si>
    <t>Артем</t>
  </si>
  <si>
    <t>Электронная почта</t>
  </si>
  <si>
    <t>Михаил</t>
  </si>
  <si>
    <t>CRM-форма</t>
  </si>
  <si>
    <t>Заявка отправлена с [promo.levsha-group.ru] матиз в цветной</t>
  </si>
  <si>
    <t>noreply@tilda.ws'</t>
  </si>
  <si>
    <t>Лид #113152</t>
  </si>
  <si>
    <t>Не обработан</t>
  </si>
  <si>
    <t>Владимир Тарасов</t>
  </si>
  <si>
    <t>Николай</t>
  </si>
  <si>
    <t>7 987 957-71-32 - Входящий звонок</t>
  </si>
  <si>
    <t>Заявка отправлена с [promo.levsha-group.ru]</t>
  </si>
  <si>
    <t>недоступен 79093703812</t>
  </si>
  <si>
    <t>Некачественный лид</t>
  </si>
  <si>
    <t>пленка пасат дорого 79515657492</t>
  </si>
  <si>
    <t>Заявка отправлена с [promo.levsha-group.ru] 79276549775</t>
  </si>
  <si>
    <t>Демин</t>
  </si>
  <si>
    <t>Гранта Стандарт / Чат</t>
  </si>
  <si>
    <t>Милена</t>
  </si>
  <si>
    <t>Акимова</t>
  </si>
  <si>
    <t>7 927 800-60-00 - Входящий звонок</t>
  </si>
  <si>
    <t>Борис</t>
  </si>
  <si>
    <t>Яковенко</t>
  </si>
  <si>
    <t>пленка игорь 79875329524</t>
  </si>
  <si>
    <t>Андрей Кичаев - Открытая линия Левша</t>
  </si>
  <si>
    <t>Кичаев</t>
  </si>
  <si>
    <t>Алексей</t>
  </si>
  <si>
    <t>Данил</t>
  </si>
  <si>
    <t>Ivan</t>
  </si>
  <si>
    <t>Никита</t>
  </si>
  <si>
    <t>Денис</t>
  </si>
  <si>
    <t>Полная оклейка</t>
  </si>
  <si>
    <t>Евгений</t>
  </si>
  <si>
    <t>---autotargeting</t>
  </si>
  <si>
    <t>стандарт Киа спортедж 3</t>
  </si>
  <si>
    <t>7 937 655-99-28 - Хавал С7 26 г зоны риска безнал</t>
  </si>
  <si>
    <t>Заполнение CRM-формы "Обратный звонок с номера "Приложение: MANGO OFFICE"" Голф 11 года оклеить белой пленкой</t>
  </si>
  <si>
    <t>7 927 686-81-61 - Входящий звонок</t>
  </si>
  <si>
    <t>Александр Севостьянов</t>
  </si>
  <si>
    <t>Заявка с сайта ЛЕВША - форма Заказать звонок</t>
  </si>
  <si>
    <t>Светлана</t>
  </si>
  <si>
    <t>7 937 983-22-33 - Входящий звонок</t>
  </si>
  <si>
    <t>7 939 707-26-86 - Входящий звонок</t>
  </si>
  <si>
    <t>7 927 773-24-74 - Входящий звонок</t>
  </si>
  <si>
    <t>7 927 705-30-57 - Входящий звонок</t>
  </si>
  <si>
    <t>Илья</t>
  </si>
  <si>
    <t>Диана Самара - Открытая линия Левша</t>
  </si>
  <si>
    <t>Диана</t>
  </si>
  <si>
    <t>7 917 955-50-05 - Входящий звонок</t>
  </si>
  <si>
    <t>Заполнение CRM-формы "Обратный звонок с номера "Приложение: MANGO OFFICE""</t>
  </si>
  <si>
    <t>Олег</t>
  </si>
  <si>
    <t>7 996 342-04-45 - Входящий звонок</t>
  </si>
  <si>
    <t>Егор</t>
  </si>
  <si>
    <t>Вадим</t>
  </si>
  <si>
    <t>Олег Шевченко - Открытая линия Левша</t>
  </si>
  <si>
    <t>Шевченко</t>
  </si>
  <si>
    <t>7 922 620-39-72 - Входящий звонок</t>
  </si>
  <si>
    <t>Арут Даниелян - Открытая линия Левша</t>
  </si>
  <si>
    <t>Арут</t>
  </si>
  <si>
    <t>Даниелян</t>
  </si>
  <si>
    <t>7 912 052-12-52 - Входящий звонок</t>
  </si>
  <si>
    <t>Заявка с сайта ЛЕВША - форма Online-запись</t>
  </si>
  <si>
    <t>Вячеслав</t>
  </si>
  <si>
    <t>7 987 948-91-53 - Входящий звонок</t>
  </si>
  <si>
    <t>7 967 497-40-42 - Входящий звонок</t>
  </si>
  <si>
    <t>7 917 111-05-03 - Входящий звонок</t>
  </si>
  <si>
    <t>Елизавета Иванаева - Открытая линия Левша</t>
  </si>
  <si>
    <t>Елизавета</t>
  </si>
  <si>
    <t>Иванаева</t>
  </si>
  <si>
    <t>Рамиль</t>
  </si>
  <si>
    <t>7 927 704-76-00 - Входящий звонок</t>
  </si>
  <si>
    <t>Валерий Долганов - Открытая линия Левша</t>
  </si>
  <si>
    <t>Долганов</t>
  </si>
  <si>
    <t>Андрей Юшин - Открытая линия Левша</t>
  </si>
  <si>
    <t>Юшин</t>
  </si>
  <si>
    <t>7 986 961-75-54 - Входящий звонок</t>
  </si>
  <si>
    <t>7 968 530-10-10 - Входящий звонок</t>
  </si>
  <si>
    <t>poisk_okleyka</t>
  </si>
  <si>
    <t>Оклейка Мото / дорого, хочет заехать что бы минимализировать расходы</t>
  </si>
  <si>
    <t>Роман</t>
  </si>
  <si>
    <t>Астафьев</t>
  </si>
  <si>
    <t>7 927 725-01-80 - Входящий звонок</t>
  </si>
  <si>
    <t>Школа детейлинга</t>
  </si>
  <si>
    <t>7 927 731-86-68 - Исходящий звонок</t>
  </si>
  <si>
    <t>7 927 025-80-31 - Входящий звонок</t>
  </si>
  <si>
    <t>7 937 646-10-30 - Входящий звонок</t>
  </si>
  <si>
    <t>7 939 708-84-96 - Входящий звонок</t>
  </si>
  <si>
    <t>7 960 200-43-26 - Входящий звонок</t>
  </si>
  <si>
    <t>7 961 382-40-00 - Входящий звонок</t>
  </si>
  <si>
    <t>2gis</t>
  </si>
  <si>
    <t>link</t>
  </si>
  <si>
    <t>auto_generated_cta</t>
  </si>
  <si>
    <t>7 927 605-80-36 - Входящий звонок</t>
  </si>
  <si>
    <t>7 937 983-56-75 - Входящий звонок</t>
  </si>
  <si>
    <t>7 983 538-88-35 - Входящий звонок</t>
  </si>
  <si>
    <t>7 964 983-65-10 - Входящий звонок</t>
  </si>
  <si>
    <t>7 927 899-81-00 - Входящий звонок</t>
  </si>
  <si>
    <t>плёнка ситирей 25,12</t>
  </si>
  <si>
    <t>Анастасия</t>
  </si>
  <si>
    <t>7 908 497-00-63 - Входящий звонок</t>
  </si>
  <si>
    <t>7 987 901-86-81 - Входящий звонок</t>
  </si>
  <si>
    <t>Данил Исмагилов - Открытая линия Левша</t>
  </si>
  <si>
    <t>Исмагилов</t>
  </si>
  <si>
    <t>полировки и керамики на поло / чат</t>
  </si>
  <si>
    <t>Овидько</t>
  </si>
  <si>
    <t>Ильгиз</t>
  </si>
  <si>
    <t>7 927 200-20-29 - Входящий звонок</t>
  </si>
  <si>
    <t>7 987 153-45-44 - Исходящий звонок</t>
  </si>
  <si>
    <t>Николай Шполяренко - Открытая линия Левша</t>
  </si>
  <si>
    <t>Шполяренко</t>
  </si>
  <si>
    <t>Татьяна</t>
  </si>
  <si>
    <t>brend</t>
  </si>
  <si>
    <t>Александр Салынский</t>
  </si>
  <si>
    <t>7 996 733-93-54 - Входящий звонок</t>
  </si>
  <si>
    <t>7 927 722-35-85 - Входящий звонок</t>
  </si>
  <si>
    <t>7 927 705-81-67 - Входящий звонок</t>
  </si>
  <si>
    <t>7 937 177-60-66 - Входящий звонок</t>
  </si>
  <si>
    <t>Степан</t>
  </si>
  <si>
    <t>7 916 092-42-50 - Исходящий звонок</t>
  </si>
  <si>
    <t>7 917 114-03-70 - Входящий звонок</t>
  </si>
  <si>
    <t>Михаил - Авито - Левша-Сервис открытая линия</t>
  </si>
  <si>
    <t>7 922 820-50-90 - Входящий звонок</t>
  </si>
  <si>
    <t>7 927 694-24-64 - Входящий звонок</t>
  </si>
  <si>
    <t>rsya_okleyka</t>
  </si>
  <si>
    <t>обтяжка авто</t>
  </si>
  <si>
    <t>7 902 429-23-26 - Входящий звонок</t>
  </si>
  <si>
    <t>7 987 509-29-99 - Входящий звонок</t>
  </si>
  <si>
    <t>оклейка машины</t>
  </si>
  <si>
    <t>Пленка</t>
  </si>
  <si>
    <t>7 903 963-66-11 - Входящий звонок</t>
  </si>
  <si>
    <t>7 927 752-97-97 - Исходящий звонок</t>
  </si>
  <si>
    <t>Юлия</t>
  </si>
  <si>
    <t>общаемся с ним в телеграмм</t>
  </si>
  <si>
    <t>Горячев</t>
  </si>
  <si>
    <t>Трифонов</t>
  </si>
  <si>
    <t>7 939 707-00-70 - Входящий звонок</t>
  </si>
  <si>
    <t>П_Л_Ё_Н_К_А</t>
  </si>
  <si>
    <t>7 960 816-01-20 - Входящий звонок</t>
  </si>
  <si>
    <t>Виктор Ширяев - Открытая линия Левша</t>
  </si>
  <si>
    <t>Виктор</t>
  </si>
  <si>
    <t>Ширяев</t>
  </si>
  <si>
    <t>Влад</t>
  </si>
  <si>
    <t>7 987 819-07-00 - Входящий звонок</t>
  </si>
  <si>
    <t>Georgiy Degtyarev - Открытая линия Левша</t>
  </si>
  <si>
    <t>Georgiy</t>
  </si>
  <si>
    <t>Degtyarev</t>
  </si>
  <si>
    <t>7 927 713-69-54 - Входящий звонок</t>
  </si>
  <si>
    <t>7 906 342-30-00 - Исходящий звонок</t>
  </si>
  <si>
    <t>7 927 728-01-48 - Исходящий звонок</t>
  </si>
  <si>
    <t>7 987 157-31-84 - Исходящий звонок</t>
  </si>
  <si>
    <t>7 927 744-59-86 - Входящий звонок</t>
  </si>
  <si>
    <t>7 964 976-90-31 - Входящий звонок</t>
  </si>
  <si>
    <t>Георгий</t>
  </si>
  <si>
    <t>Айнура Агамалиева-Гафарова - Открытая линия Левша</t>
  </si>
  <si>
    <t>Айнура</t>
  </si>
  <si>
    <t>Агамалиева-Гафарова</t>
  </si>
  <si>
    <t>Виталий</t>
  </si>
  <si>
    <t>7 927 903-14-25 - Входящий звонок</t>
  </si>
  <si>
    <t>Оклеить капот в черный (он весь в дефектах, пленка не скроет)</t>
  </si>
  <si>
    <t>Оклейка матовых вставок на двери</t>
  </si>
  <si>
    <t>Котельников</t>
  </si>
  <si>
    <t>7 988 705-80-34 - Исходящий звонок</t>
  </si>
  <si>
    <t>Артём Дериглазов - Открытая линия Левша</t>
  </si>
  <si>
    <t>Дериглазов</t>
  </si>
  <si>
    <t>7 927 734-46-49 - Входящий звонок</t>
  </si>
  <si>
    <t>7 902 338-30-22 - Входящий звонок</t>
  </si>
  <si>
    <t>Макс</t>
  </si>
  <si>
    <t>7 987 910-21-89 - Входящий звонок</t>
  </si>
  <si>
    <t>7 927 261-52-27 - Входящий звонок</t>
  </si>
  <si>
    <t>7 846 951-59-07 - Входящий звонок</t>
  </si>
  <si>
    <t>Глеб</t>
  </si>
  <si>
    <t>Шустов</t>
  </si>
  <si>
    <t>Игнат</t>
  </si>
  <si>
    <t>7 927 213-67-75 - Входящий звонок</t>
  </si>
  <si>
    <t>7 952 608-99-90 - Исходящий звонок</t>
  </si>
  <si>
    <t>7 987 442-16-31 - Входящий звонок</t>
  </si>
  <si>
    <t>7 927 765-00-03 - Входящий звонок</t>
  </si>
  <si>
    <t>Оксана</t>
  </si>
  <si>
    <t>Александр Валерьевич - Открытая линия Левша</t>
  </si>
  <si>
    <t>Валерьевич</t>
  </si>
  <si>
    <t>7 937 079-65-27 - Входящий звонок</t>
  </si>
  <si>
    <t>7 937 655-59-56 - Входящий звонок</t>
  </si>
  <si>
    <t>7 917 153-03-29 - Входящий звонок</t>
  </si>
  <si>
    <t>7 937 171-72-50 - Входящий звонок</t>
  </si>
  <si>
    <t>7 927 261-60-06 - Входящий звонок</t>
  </si>
  <si>
    <t>7 917 152-75-01 - Входящий звонок</t>
  </si>
  <si>
    <t>Telegram - Открытая линия Левша</t>
  </si>
  <si>
    <t>Igor</t>
  </si>
  <si>
    <t>7 937 200-36-32 - Входящий звонок</t>
  </si>
  <si>
    <t>7 927 892-44-70 - Входящий звонок</t>
  </si>
  <si>
    <t>По плёнке к Салику</t>
  </si>
  <si>
    <t>7 917 166-53-63 - Входящий звонок</t>
  </si>
  <si>
    <t>Fabrz - Открытая линия Левша</t>
  </si>
  <si>
    <t>Fabrz</t>
  </si>
  <si>
    <t>Оклейка Cupra Целиком в матовый 28,07</t>
  </si>
  <si>
    <t>7 917 115-21-56 - Входящий звонок</t>
  </si>
  <si>
    <t>7 996 733-00-88 - Исходящий звонок</t>
  </si>
  <si>
    <t>Pavel</t>
  </si>
  <si>
    <t>7 950 140-13-92 - Входящий звонок</t>
  </si>
  <si>
    <t>Артем Котельников</t>
  </si>
  <si>
    <t>7 927 657-11-59 - Входящий звонок</t>
  </si>
  <si>
    <t>Максим Тен - Открытая линия Левша</t>
  </si>
  <si>
    <t>Тен</t>
  </si>
  <si>
    <t>Максим - Открытая линия Левша</t>
  </si>
  <si>
    <t>7 927 650-27-46 - Входящий звонок</t>
  </si>
  <si>
    <t>7 917 954-30-22 - Входящий звонок</t>
  </si>
  <si>
    <t>7 967 767-24-62 - Входящий звонок</t>
  </si>
  <si>
    <t>Владимирович</t>
  </si>
  <si>
    <t>Alex</t>
  </si>
  <si>
    <t>Iurkevich</t>
  </si>
  <si>
    <t>Арина</t>
  </si>
  <si>
    <t>Andrew Sedugin - Открытая линия Левша</t>
  </si>
  <si>
    <t>Andrew</t>
  </si>
  <si>
    <t>Sedugin</t>
  </si>
  <si>
    <t>HERMINE - Открытая линия Левша</t>
  </si>
  <si>
    <t>HERMINE</t>
  </si>
  <si>
    <t>Muhammad</t>
  </si>
  <si>
    <t>Ali</t>
  </si>
  <si>
    <t>7 927 781-69-67 - Входящий звонок</t>
  </si>
  <si>
    <t>Pavel - Открытая линия Левша</t>
  </si>
  <si>
    <t>затянуть авто</t>
  </si>
  <si>
    <t>Кулрей 4,07 пленка</t>
  </si>
  <si>
    <t>7 927 216-21-00 - Входящий звонок</t>
  </si>
  <si>
    <t>7 927 609-11-95 - Входящий звонок</t>
  </si>
  <si>
    <t>Сергей Постин - оклейка Машина BMW X4</t>
  </si>
  <si>
    <t>Постин</t>
  </si>
  <si>
    <t>7 987 150-26-65 - Входящий звонок</t>
  </si>
  <si>
    <t>7 987 627-38-93 - Исходящий звонок</t>
  </si>
  <si>
    <t>7 917 952-95-97 - Входящий звонок</t>
  </si>
  <si>
    <t>7 917 114-61-72 - Входящий звонок</t>
  </si>
  <si>
    <t>7 927 686-66-45 - Входящий звонок</t>
  </si>
  <si>
    <t>Каренчик - Открытая линия Левша</t>
  </si>
  <si>
    <t>Каренчик</t>
  </si>
  <si>
    <t>7 937 065-64-88 - Входящий звонок</t>
  </si>
  <si>
    <t>7 927 651-65-75 - Входящий звонок</t>
  </si>
  <si>
    <t>Ильгиз Иль - Открытая линия Левша</t>
  </si>
  <si>
    <t>Иль</t>
  </si>
  <si>
    <t>%D0%B7%D0%B0%D1%82%D1%8F%D0%BD%D1%83%D1%82%D1%8C%20%D0%B0%D0%B2%D1%82%D0%BE</t>
  </si>
  <si>
    <t>7 927 714-84-83 - Входящий звонок</t>
  </si>
  <si>
    <t>Mikhail</t>
  </si>
  <si>
    <t>Michael Bokhan - Открытая линия Левша</t>
  </si>
  <si>
    <t>Michael</t>
  </si>
  <si>
    <t>Bokhan</t>
  </si>
  <si>
    <t>7 917 102-57-12 - Входящий звонок</t>
  </si>
  <si>
    <t>Фарид</t>
  </si>
  <si>
    <t>7 927 017-38-67 - Входящий звонок</t>
  </si>
  <si>
    <t>7 905 018-65-10 - Входящий звонок</t>
  </si>
  <si>
    <t>7 927 691-75-96 - Входящий звонок</t>
  </si>
  <si>
    <t>Александр Гаврилов - Открытая линия Левша</t>
  </si>
  <si>
    <t>Гаврилов</t>
  </si>
  <si>
    <t>Alexander Gavrilov - Открытая линия Левша</t>
  </si>
  <si>
    <t>Alexander</t>
  </si>
  <si>
    <t>Gavrilov</t>
  </si>
  <si>
    <t>Aleksey Viktorovich - Открытая линия Левша</t>
  </si>
  <si>
    <t>Aleksey</t>
  </si>
  <si>
    <t>Viktorovich</t>
  </si>
  <si>
    <t>7 927 709-03-09 - Входящий звонок</t>
  </si>
  <si>
    <t>7 927 725-41-36 - Входящий звонок</t>
  </si>
  <si>
    <t>Оклейка бампера Москвич</t>
  </si>
  <si>
    <t>Ольга</t>
  </si>
  <si>
    <t>7 927 724-39-49 - Входящий звонок</t>
  </si>
  <si>
    <t>7 917 017-26-08 - Входящий звонок</t>
  </si>
  <si>
    <t>Дмитрий Якимов - Открытая линия Левша</t>
  </si>
  <si>
    <t>Якимов</t>
  </si>
  <si>
    <t>7 996 730-81-87 - Входящий звонок</t>
  </si>
  <si>
    <t>7 917 816-16-93 - Входящий звонок</t>
  </si>
  <si>
    <t>7 927 908-29-70 - Входящий звонок</t>
  </si>
  <si>
    <t>7 927 700-87-78 - Входящий звонок</t>
  </si>
  <si>
    <t>7 927 756-75-55 - Входящий звонок</t>
  </si>
  <si>
    <t>7 939 713-33-19 - Входящий звонок</t>
  </si>
  <si>
    <t>7 927 200-76-24 - Входящий звонок</t>
  </si>
  <si>
    <t>Грачев</t>
  </si>
  <si>
    <t>7 927 730-25-63 - Входящий звонок</t>
  </si>
  <si>
    <t>7 927 606-03-48 - Входящий звонок</t>
  </si>
  <si>
    <t>Даниил</t>
  </si>
  <si>
    <t>7 927 209-21-27 - Входящий звонок</t>
  </si>
  <si>
    <t>Bayron - Открытая линия Левша</t>
  </si>
  <si>
    <t>Bayron</t>
  </si>
  <si>
    <t>7 927 701-70-45 - Исходящий звонок</t>
  </si>
  <si>
    <t>Хаба - Открытая линия Левша</t>
  </si>
  <si>
    <t>WAZZUP: WhatsApp - Открытая линия Левша</t>
  </si>
  <si>
    <t>Хаба</t>
  </si>
  <si>
    <t>7 922 856-45-69 - Входящий звонок</t>
  </si>
  <si>
    <t>Монжаро в пленку/антихром</t>
  </si>
  <si>
    <t>7 846 312-21-70 - Входящий звонок</t>
  </si>
  <si>
    <t>Сергей Малышев - ПЛЕНКА ЦЕЛИКОМ</t>
  </si>
  <si>
    <t>Малышев</t>
  </si>
  <si>
    <t>7 905 897-59-99 - Входящий звонок</t>
  </si>
  <si>
    <t>Andrey</t>
  </si>
  <si>
    <t>7 927 906-67-72 - Входящий звонок</t>
  </si>
  <si>
    <t>7 987 945-64-35 - Входящий звонок</t>
  </si>
  <si>
    <t>Я Баке Ваш бро - Открытая линия Левша</t>
  </si>
  <si>
    <t>Я Баке Ваш бро</t>
  </si>
  <si>
    <t>оклейка авто</t>
  </si>
  <si>
    <t>Рустам - Открытая линия Левша</t>
  </si>
  <si>
    <t>Рустам</t>
  </si>
  <si>
    <t>Оклеить черный компьютерный монитор в белую пленку</t>
  </si>
  <si>
    <t>тест</t>
  </si>
  <si>
    <t>7 927 891-48-01 - Входящий звонок</t>
  </si>
  <si>
    <t>7 987 937-24-65 - Входящий звонок</t>
  </si>
  <si>
    <t>Сурков</t>
  </si>
  <si>
    <t>7 963 912-11-12 - Входящий звонок</t>
  </si>
  <si>
    <t>7 937 995-97-41 - Входящий звонок</t>
  </si>
  <si>
    <t>пленка</t>
  </si>
  <si>
    <t>Вениамин</t>
  </si>
  <si>
    <t>7 906 845-41-90 - Входящий звонок</t>
  </si>
  <si>
    <t>Роман Акберов - Открытая линия Левша</t>
  </si>
  <si>
    <t>Акберов</t>
  </si>
  <si>
    <t>Кузнецов</t>
  </si>
  <si>
    <t>Валентин Мудрый - Открытая линия Левша</t>
  </si>
  <si>
    <t>Мудрый</t>
  </si>
  <si>
    <t>Gucci ted - Открытая линия Левша</t>
  </si>
  <si>
    <t>Gucci</t>
  </si>
  <si>
    <t>ted</t>
  </si>
  <si>
    <t>Дарья</t>
  </si>
  <si>
    <t>7 937 184-64-89 - Входящий звонок</t>
  </si>
  <si>
    <t>7 927 733-55-33 - Входящий звонок</t>
  </si>
  <si>
    <t>A1 - Открытая линия Левша</t>
  </si>
  <si>
    <t>A1</t>
  </si>
  <si>
    <t>A1 - в чате нет ответа от клиента</t>
  </si>
  <si>
    <t>7 987 795-34-43 - Входящий звонок</t>
  </si>
  <si>
    <t>7 996 621-14-96 - Входящий звонок</t>
  </si>
  <si>
    <t>7 927 904-69-00 - Входящий звонок</t>
  </si>
  <si>
    <t>Защитить хром на TLC200</t>
  </si>
  <si>
    <t>Ирина</t>
  </si>
  <si>
    <t>Мусиенко</t>
  </si>
  <si>
    <t>7 927 906-49-29 - Входящий звонок</t>
  </si>
  <si>
    <t>Александр обклеить черной пленкой крышу Ситроен 10 года</t>
  </si>
  <si>
    <t>7 846 336-66-70 - Входящий звонок</t>
  </si>
  <si>
    <t>7 999 171-42-47 - Входящий звонок</t>
  </si>
  <si>
    <t>7 960 810-90-90 - Входящий звонок</t>
  </si>
  <si>
    <t>Vladimir</t>
  </si>
  <si>
    <t>Oleg</t>
  </si>
  <si>
    <t>7 937 992-31-11 - Входящий звонок</t>
  </si>
  <si>
    <t>Оклейка крыши в черный</t>
  </si>
  <si>
    <t>Elis</t>
  </si>
  <si>
    <t>JAC T9 - Заявка с сайта ЛЕВША - форма Online-запись</t>
  </si>
  <si>
    <t>оклеить ладу весту частично</t>
  </si>
  <si>
    <t>бронирование авто пленкой</t>
  </si>
  <si>
    <t>Даниил Курганов - Открытая линия Левша</t>
  </si>
  <si>
    <t>Курганов</t>
  </si>
  <si>
    <t>7 846 279-02-83 - Входящий звонок</t>
  </si>
  <si>
    <t>Константин - Открытая линия Левша</t>
  </si>
  <si>
    <t>.</t>
  </si>
  <si>
    <t>7 927 260-81-63 - Входящий звонок</t>
  </si>
  <si>
    <t>7 927 909-01-99 - Входящий звонок</t>
  </si>
  <si>
    <t>mb slkr172 изменение цвета на бордовой</t>
  </si>
  <si>
    <t>Доброхотов</t>
  </si>
  <si>
    <t>7 999 256-40-03 - Входящий звонок</t>
  </si>
  <si>
    <t>7 927 297-18-73 - Входящий звонок</t>
  </si>
  <si>
    <t>Константин Братчиков - полностью в матовую пленку KIA MOHAVE 2022 г.в.</t>
  </si>
  <si>
    <t>Братчиков</t>
  </si>
  <si>
    <t>shadrin nikolai 14 - Открытая линия Левша</t>
  </si>
  <si>
    <t>shadrin nikolai 14</t>
  </si>
  <si>
    <t>МОТО оклейка фары и бака</t>
  </si>
  <si>
    <t>Ширко</t>
  </si>
  <si>
    <t>7 967 489-62-87 - Входящий звонок</t>
  </si>
  <si>
    <t>Кирилл Карпеев</t>
  </si>
  <si>
    <t>Денис Грачев - Открытая линия Левша</t>
  </si>
  <si>
    <t>Denis - Открытая линия Левша - ДУБЛЬ</t>
  </si>
  <si>
    <t>Denis</t>
  </si>
  <si>
    <t>7 917 165-20-01 - Входящий звонок</t>
  </si>
  <si>
    <t>7 937 065-00-55 - Входящий звонок</t>
  </si>
  <si>
    <t>dmitri sysoev - Открытая линия Левша</t>
  </si>
  <si>
    <t>dmitri</t>
  </si>
  <si>
    <t>sysoev</t>
  </si>
  <si>
    <t>7 902 336-93-99 - Входящий звонок</t>
  </si>
  <si>
    <t>7 922 800-79-66 - Входящий звонок</t>
  </si>
  <si>
    <t>7 937 989-30-82 - Входящий звонок</t>
  </si>
  <si>
    <t>Michail</t>
  </si>
  <si>
    <t>Веста защитить от сколов пленкой</t>
  </si>
  <si>
    <t>Shishkov</t>
  </si>
  <si>
    <t>7 937 060-85-55 - Входящий звонок</t>
  </si>
  <si>
    <t>7 927 746-28-29 - Входящий звонок</t>
  </si>
  <si>
    <t>Ольга Кузнецова - Открытая линия Левша</t>
  </si>
  <si>
    <t>Кузнецова</t>
  </si>
  <si>
    <t>Ольга - Открытая линия Левша</t>
  </si>
  <si>
    <t>7 938 422-80-82 - Исходящий звонок</t>
  </si>
  <si>
    <t>Deonysius</t>
  </si>
  <si>
    <t>Magnus</t>
  </si>
  <si>
    <t>Монжаро Капот/полоса на крышу/ зона посадки / фары / ПРОСИЛ НЕ ЗВОНИТЬ!!!</t>
  </si>
  <si>
    <t>Алексей - Открытая линия Левша</t>
  </si>
  <si>
    <t>Avito - Открытая линия Левша</t>
  </si>
  <si>
    <t>Алексей Дорошков - Открытая линия Левша</t>
  </si>
  <si>
    <t>Дорошков</t>
  </si>
  <si>
    <t>обзвон</t>
  </si>
  <si>
    <t>Сергей Антонов</t>
  </si>
  <si>
    <t>Гость - Открытая линия Левша</t>
  </si>
  <si>
    <t>Гость</t>
  </si>
  <si>
    <t>Сергей Колодзев - поло лифтбек</t>
  </si>
  <si>
    <t>Колодзев</t>
  </si>
  <si>
    <t>7 917 015-23-53 - Входящий звонок</t>
  </si>
  <si>
    <t>7 927 728-88-83 - Входящий звонок</t>
  </si>
  <si>
    <t>7 927 743-85-82 - Входящий звонок</t>
  </si>
  <si>
    <t>Олег арки у Дастера оклеить пленкой</t>
  </si>
  <si>
    <t>7 937 176-81-99 - Входящий звонок</t>
  </si>
  <si>
    <t>7 918 982-07-05 - Исходящий звонок</t>
  </si>
  <si>
    <t>Владислав - оклейку бронепленкой зон риска Geely Cityray</t>
  </si>
  <si>
    <t>Заявка с сайта ЛЕВША - форма Online-запись Оклейка пленкой авто</t>
  </si>
  <si>
    <t>Арсен Батикян - Открытая линия Левша</t>
  </si>
  <si>
    <t>Арсен</t>
  </si>
  <si>
    <t>Батикян</t>
  </si>
  <si>
    <t>7 912 214-45-90 - Входящий звонок</t>
  </si>
  <si>
    <t>Крузак - Открытая линия Левша</t>
  </si>
  <si>
    <t>Гражданин</t>
  </si>
  <si>
    <t>7 927 000-51-57 - Входящий звонок</t>
  </si>
  <si>
    <t>7 927 758-78-00 - Входящий звонок</t>
  </si>
  <si>
    <t>7 927 027-99-88 - Входящий звонок</t>
  </si>
  <si>
    <t>Планирует оклейку только летом</t>
  </si>
  <si>
    <t>Карасев</t>
  </si>
  <si>
    <t>монжаро пленка антихром</t>
  </si>
  <si>
    <t>Сергеевич</t>
  </si>
  <si>
    <t>Илья Гросс - Открытая линия Левша</t>
  </si>
  <si>
    <t>Гросс</t>
  </si>
  <si>
    <t>Неоменко Михаил - Открытая линия Левша</t>
  </si>
  <si>
    <t>Неоменко</t>
  </si>
  <si>
    <t>PM - Открытая линия Левша</t>
  </si>
  <si>
    <t>PM</t>
  </si>
  <si>
    <t>7 987 913-42-32 - Входящий звонок</t>
  </si>
  <si>
    <t>7 846 378-01-25 - Входящий звонок</t>
  </si>
  <si>
    <t>7 937 202-67-69 - Входящий звонок</t>
  </si>
  <si>
    <t>7 927 262-15-21 - Входящий звонок</t>
  </si>
  <si>
    <t>Nikita</t>
  </si>
  <si>
    <t>Sobolev</t>
  </si>
  <si>
    <t>7 846 207-43-42 - Входящий звонок</t>
  </si>
  <si>
    <t>Владислав Анатольевич - Открытая линия Левша</t>
  </si>
  <si>
    <t>Анатольевич</t>
  </si>
  <si>
    <t>Станислав Абрамов - Открытая линия Левша</t>
  </si>
  <si>
    <t>Спам</t>
  </si>
  <si>
    <t>Станислав</t>
  </si>
  <si>
    <t>Абрамов</t>
  </si>
  <si>
    <t>Александр Максимов</t>
  </si>
  <si>
    <t>Changan Uni-S в пленку Капот/крылья/ бампер</t>
  </si>
  <si>
    <t>7 917 157-77-75 - Входящий звонок</t>
  </si>
  <si>
    <t>7 927 002-00-88 - Входящий звонок</t>
  </si>
  <si>
    <t>Елена</t>
  </si>
  <si>
    <t>7 937 180-80-32 - Входящий звонок</t>
  </si>
  <si>
    <t>не выходит на связь</t>
  </si>
  <si>
    <t>7 939 757-50-60 - Входящий звонок</t>
  </si>
  <si>
    <t>7 928 828-78-80 - Входящий звонок</t>
  </si>
  <si>
    <t>Оклейка машины под Яндекс</t>
  </si>
  <si>
    <t>7 903 302-97-26 - Входящий звонок</t>
  </si>
  <si>
    <t>Andrey Goltsev</t>
  </si>
  <si>
    <t>CEO Мануфактура</t>
  </si>
  <si>
    <t>Aystan - Открытая линия Левша/ общаюсь в чате</t>
  </si>
  <si>
    <t>Aystan</t>
  </si>
  <si>
    <t>Максим Каранов</t>
  </si>
  <si>
    <t>оклеить только передний бампер целиком/ 24000/ узнала цену и сказала спасибо</t>
  </si>
  <si>
    <t>оклейка салона карбоном. не делаем</t>
  </si>
  <si>
    <t>7 960 815-15-51 - Входящий звонок</t>
  </si>
  <si>
    <t>Сергей Буренин - защитная пленка на хавал Н3</t>
  </si>
  <si>
    <t>Viber - Открытая линия Левша</t>
  </si>
  <si>
    <t>Буренин</t>
  </si>
  <si>
    <t>блудняк с приорой/ не делаем</t>
  </si>
  <si>
    <t>АИТА М5/ целиковый в мат/ озвучил 290000+хочет антихром вокруг окон 20000+передняя решетка 20000/ планирует делать в середине декабря или в январе/ сказал про повышение цен после НГ/ созвон 10.12</t>
  </si>
  <si>
    <t>Ярослав</t>
  </si>
  <si>
    <t>Артур</t>
  </si>
  <si>
    <t>Абдрашитов</t>
  </si>
  <si>
    <t>7 927 895-79-84 - Входящий звонок</t>
  </si>
  <si>
    <t>Alena</t>
  </si>
  <si>
    <t>Денис - Открытая линия Левша</t>
  </si>
  <si>
    <t>Екатерина</t>
  </si>
  <si>
    <t>Забродина</t>
  </si>
  <si>
    <t>7 999 172-95-15 - Входящий звонок</t>
  </si>
  <si>
    <t>Гранта капот в пленку</t>
  </si>
  <si>
    <t>Реналь</t>
  </si>
  <si>
    <t>7 917 133-13-43 - Входящий звонок</t>
  </si>
  <si>
    <t>7 927 896-22-57 - Входящий звонок</t>
  </si>
  <si>
    <t>Дмитрий - Открытая линия Левша</t>
  </si>
  <si>
    <t>Олег - Открытая линия Левша</t>
  </si>
  <si>
    <t>7 928 193-04-62 - Исходящий звонок</t>
  </si>
  <si>
    <t>D</t>
  </si>
  <si>
    <t>оклейка за копейки какой то полоски. не сделаем</t>
  </si>
  <si>
    <t>Нецелевое обращение</t>
  </si>
  <si>
    <t>Максим Оклейка салона ДЖили Ситирей глянцевые вставки и экран</t>
  </si>
  <si>
    <t>Карандов</t>
  </si>
  <si>
    <t>Родион</t>
  </si>
  <si>
    <t>Самсонов</t>
  </si>
  <si>
    <t>R V - Открытая линия Левша/ реник, заберите пленку в чате!</t>
  </si>
  <si>
    <t>R</t>
  </si>
  <si>
    <t>V</t>
  </si>
  <si>
    <t>Реник, заберите чат. бмв х4 целиком в мат!</t>
  </si>
  <si>
    <t>7 919 806-18-75 - Входящий звонок</t>
  </si>
  <si>
    <t>7 927 768-71-01 - Входящий звонок</t>
  </si>
  <si>
    <t>Дмитрий Малыков - Оклейка в цветную пленку</t>
  </si>
  <si>
    <t>Малыков</t>
  </si>
  <si>
    <t>Лэнд Крузер 76 полностью в пленку закатать</t>
  </si>
  <si>
    <t>7 929 794-98-82 - Входящий звонок</t>
  </si>
  <si>
    <t>7 960 811-10-90 - Входящий звонок</t>
  </si>
  <si>
    <t>7 999 120-04-63 - Входящий звонок</t>
  </si>
  <si>
    <t>7 937 994-11-26 - Входящий звонок</t>
  </si>
  <si>
    <t>Галиуллин Руслан - JAECOO J8 полностью матовой пленкой(производитель?) +фары, 4 зоны посадки и зона погрузки, фары. Шумоизоляция арок, антидождь всех стёкол</t>
  </si>
  <si>
    <t>Галиуллин</t>
  </si>
  <si>
    <t>Руслан</t>
  </si>
  <si>
    <t>Sergey</t>
  </si>
  <si>
    <t>7 931 541-02-84 - Исходящий звонок</t>
  </si>
  <si>
    <t>Вип</t>
  </si>
  <si>
    <t>7 927 756-40-18 - Входящий звонок</t>
  </si>
  <si>
    <t>7 987 987-35-55 - Входящий звонок</t>
  </si>
  <si>
    <t>7 927 903-86-65 - Исходящий звонок</t>
  </si>
  <si>
    <t>Ауди Q8 24 года оклейка прозрачной пленкой полная</t>
  </si>
  <si>
    <t>Плёнка хавал приценивался</t>
  </si>
  <si>
    <t>левша</t>
  </si>
  <si>
    <t>Andrey Goltsev CEO Мануфактура - Открытая линия Левша</t>
  </si>
  <si>
    <t>Заявка с сайта ЛЕВША/ олег / оклеить авто</t>
  </si>
  <si>
    <t>Демонтаж виниловой пленки Паджеро спорт, оклеена 3 года назад</t>
  </si>
  <si>
    <t>Герман</t>
  </si>
  <si>
    <t>Оксана - Антихром</t>
  </si>
  <si>
    <t>7 927 689-11-22 - Входящий звонок</t>
  </si>
  <si>
    <t>крузак/ снять пленку-наклеить пленку-отполировать</t>
  </si>
  <si>
    <t>Заявка с сайта ЛЕВША/ РЕНИК, заберите чатю пленка+дтл</t>
  </si>
  <si>
    <t>Анатолий</t>
  </si>
  <si>
    <t>Пленка exeed RX Зоны риска</t>
  </si>
  <si>
    <t>Голубев</t>
  </si>
  <si>
    <t>П_Л_Ё_Н_К_А Монжаро, планирует оклеку после 22.10.2024г</t>
  </si>
  <si>
    <t>Wind</t>
  </si>
  <si>
    <t>Nord</t>
  </si>
  <si>
    <t>Виктория - Солярис частично оклеить пленкой крышу авто. «Полосой» от лобового и чуть дальше</t>
  </si>
  <si>
    <t>Виктория</t>
  </si>
  <si>
    <t>7 902 857-95-35 - Исходящий звонок</t>
  </si>
  <si>
    <t>Олег Квасов П_Л_ЁН_К_А</t>
  </si>
  <si>
    <t>Квасов</t>
  </si>
  <si>
    <t>7 902 372-88-44 - Входящий звонок</t>
  </si>
  <si>
    <t>манжаро 657/ зоны риска</t>
  </si>
  <si>
    <t>7 927 709-09-52 - Входящий звонок</t>
  </si>
  <si>
    <t>7 927 602-17-05 - Входящий звонок</t>
  </si>
  <si>
    <t>Пленка на Санта фе</t>
  </si>
  <si>
    <t>7 937 179-20-47 - Входящий звонок</t>
  </si>
  <si>
    <t>7 937 208-45-62 - Входящий звонок</t>
  </si>
  <si>
    <t>Пленка Li9 РЕНИК</t>
  </si>
  <si>
    <t>Android</t>
  </si>
  <si>
    <t>7 937 649-00-07 - Входящий звонок</t>
  </si>
  <si>
    <t>7 900 072-71-33 - Входящий звонок</t>
  </si>
  <si>
    <t>крыша в черный глянец на рено сандеро</t>
  </si>
  <si>
    <t>Чери Тигго оклейка зон риска</t>
  </si>
  <si>
    <t>Руслан Уралов - обклеить в матовую пленку ТАНК 500, в серебре, плюс Антиохом</t>
  </si>
  <si>
    <t>Уралов</t>
  </si>
  <si>
    <t>Заявка с сайта ЛЕВША - оклейка Джили Монжаро</t>
  </si>
  <si>
    <t>Пенсионер хочет оклеить Джили Атлас полоса на капоте, на крыше, фары, под ручками Юрий Владимирович</t>
  </si>
  <si>
    <t>7 937 643-58-21 - Входящий звонок</t>
  </si>
  <si>
    <t>7 927 704-43-02 - Входящий звонок</t>
  </si>
  <si>
    <t>7 929 704-08-25 - Входящий звонок</t>
  </si>
  <si>
    <t>пленка на арки дастера</t>
  </si>
  <si>
    <t>Заявка с сайта ЛЕВША - форма Online-запись/ реник заберите ПЛЕНКУ!</t>
  </si>
  <si>
    <t>Алекспгдр</t>
  </si>
  <si>
    <t>7 926 255-84-04 - Входящий звонок</t>
  </si>
  <si>
    <t>7 927 732-23-84 - Входящий звонок</t>
  </si>
  <si>
    <t>7 927 020-27-92 - Входящий звонок</t>
  </si>
  <si>
    <t>Сергей 9-30 Монжаро м845мк капот, фары, двери</t>
  </si>
  <si>
    <t>Вит - лобовое,капот,фары,зеркала,дверные ручки забронировать Hyundai Tucson 24г</t>
  </si>
  <si>
    <t>Вит</t>
  </si>
  <si>
    <t>7 927 600-12-54 - Входящий звонок</t>
  </si>
  <si>
    <t>Sergey - оклеить броней гранту, только опасные места</t>
  </si>
  <si>
    <t>продавец - Бронирование фар передних и туманок танк 300 какая цена? Также под ручки дверей необходимо</t>
  </si>
  <si>
    <t>продавец</t>
  </si>
  <si>
    <t>7 908 339-71-95 - Входящий звонок</t>
  </si>
  <si>
    <t>В_И_Н_И_Л____П_Л_Ё_Н_К_А оклейка виниловой плёнкой киа спортажа 2014 года (SL) сколько будет стоить приблизительно</t>
  </si>
  <si>
    <t>Таймураз Битаров - оклейка в броне пленку джили монжаро «зоны риска"</t>
  </si>
  <si>
    <t>Таймураз</t>
  </si>
  <si>
    <t>Битаров</t>
  </si>
  <si>
    <t>П_Л_Ё_Н_К_А ___Ф_А_Р_Ы</t>
  </si>
  <si>
    <t>7 927 206-66-08 - Входящий звонок</t>
  </si>
  <si>
    <t>Стоимость нанесения бронепленки. Автомобиль Chery tiggo 8 pro max</t>
  </si>
  <si>
    <t>rent545</t>
  </si>
  <si>
    <t>7 927 019-49-49 - Входящий звонок</t>
  </si>
  <si>
    <t>7 927 014-11-23 - Входящий звонок</t>
  </si>
  <si>
    <t>7 987 964-51-89 - Исходящий звонок</t>
  </si>
  <si>
    <t>Дмитрий пленка на зоны риска и керамику на остальное</t>
  </si>
  <si>
    <t>Sergey - X5 G05 Капот, фары, бампер, проемы, вокруг лобового</t>
  </si>
  <si>
    <t>7 987 958-88-63 - Входящий звонок</t>
  </si>
  <si>
    <t>Alena - Uni- k без крыши сколько затянуть</t>
  </si>
  <si>
    <t>пленка винил на снегоход!!!!</t>
  </si>
  <si>
    <t>Мерседес ГЛ снять пленку старую и заново оклеить капот</t>
  </si>
  <si>
    <t>7 999 170-84-08 - Входящий звонок</t>
  </si>
  <si>
    <t>7 987 816-41-21 - Входящий звонок</t>
  </si>
  <si>
    <t>Denis Stepanov - оклейка Lixiang L7</t>
  </si>
  <si>
    <t>Stepanov</t>
  </si>
  <si>
    <t>7 927 656-96-23 - Входящий звонок</t>
  </si>
  <si>
    <t>mesVadziP - оклейка плёнкой одного крыла и одной фары. Джетур т2</t>
  </si>
  <si>
    <t>mesVadziP</t>
  </si>
  <si>
    <t>Александр пленка Раф 4 18 года капот, под ручками и верх крыши</t>
  </si>
  <si>
    <t>Тимур Лисян Л6 (машина жены) цветная оклейка. Он черный, низ нужно сделать желтым.</t>
  </si>
  <si>
    <t>Владислав - пленка на капот</t>
  </si>
  <si>
    <t>Alex Lis - BMW X5 G05 оклеена полностью пленкой в 2021 году, необходимо переклеить</t>
  </si>
  <si>
    <t>Lis</t>
  </si>
  <si>
    <t>7 927 732-90-77 - Входящий звонок</t>
  </si>
  <si>
    <t>Роман Хавал Дарго черный капот, передние крылья, полоса на крышу, зеркала</t>
  </si>
  <si>
    <t>7 927 748-50-94 - Входящий звонок</t>
  </si>
  <si>
    <t>Заявка с сайта/Оклейка пленкой авто Haval M6/ РЕНИК НАБЕРИТЕ</t>
  </si>
  <si>
    <t>7 927 906-55-55 - Входящий звонок</t>
  </si>
  <si>
    <t>7 937 172-62-39 - Входящий звонок</t>
  </si>
  <si>
    <t>7 927 746-92-89 - Входящий звонок</t>
  </si>
  <si>
    <t>Кирилл Тугелла капот в пленку примерно 16.09</t>
  </si>
  <si>
    <t>7 937 204-36-04 - Входящий звонок</t>
  </si>
  <si>
    <t>Иван - крышу в черный</t>
  </si>
  <si>
    <t>Павел Омода С5 Капот 20000р, оптика 8000, вокруг лобового 12000, крылья 18000, проемы 6000, под ручками 2000 Тонировка 9500р</t>
  </si>
  <si>
    <t>Александр - Палисад 2024 года пленка на переднюю часть, стойки и часть крыши</t>
  </si>
  <si>
    <t>Авито Глеб Шустов - пленка и маленький скол на стекле</t>
  </si>
  <si>
    <t>Миша - Открытая линия Левша</t>
  </si>
  <si>
    <t>Миша</t>
  </si>
  <si>
    <t>7 987 819-29-68 - Входящий звонок</t>
  </si>
  <si>
    <t>Ревин Дмитрий</t>
  </si>
  <si>
    <t>Дима</t>
  </si>
  <si>
    <t>Ревин</t>
  </si>
  <si>
    <t>Шкода, крыша в черный глянец</t>
  </si>
  <si>
    <t>Павел -омода с 5 полоска на капот и вариант фары, полоска на короткое + бампер</t>
  </si>
  <si>
    <t>Роман Джили Монжаро капот, фары, крылья, зеркала, бампер, ручки</t>
  </si>
  <si>
    <t>Петр Чанган ЦС35 оклейка пленкой полностью</t>
  </si>
  <si>
    <t>КП на крузер 300</t>
  </si>
  <si>
    <t>7 927 686-24-90 - Входящий звонок</t>
  </si>
  <si>
    <t>7 927 899-80-37 - Исходящий звонок</t>
  </si>
  <si>
    <t>7 927 766-12-04 - Входящий звонок</t>
  </si>
  <si>
    <t>крышу в черную пленку BMW F31 (универсал)</t>
  </si>
  <si>
    <t>Max</t>
  </si>
  <si>
    <t>7 902 371-19-92 - Входящий звонок</t>
  </si>
  <si>
    <t>7 922 851-75-95 - Входящий звонок</t>
  </si>
  <si>
    <t>Руслан Сафин, Xtrail 2024 год полностью в бронепленку</t>
  </si>
  <si>
    <t>Сафин</t>
  </si>
  <si>
    <t>Антон Тугелла и CR-V - Г_А_Р_Т_И_Я</t>
  </si>
  <si>
    <t>Антон Тугелла и CR-V</t>
  </si>
  <si>
    <t>7 937 206-58-35 - Входящий звонок</t>
  </si>
  <si>
    <t>GV80 пленка</t>
  </si>
  <si>
    <t>Куликов</t>
  </si>
  <si>
    <t>7 987 394-47-87 - Входящий звонок</t>
  </si>
  <si>
    <t>Чанган 35 красный новый Елена защитить пленкой</t>
  </si>
  <si>
    <t>olesya - Открытая линия Левша</t>
  </si>
  <si>
    <t>olesya</t>
  </si>
  <si>
    <t>John</t>
  </si>
  <si>
    <t>пленка стандарт</t>
  </si>
  <si>
    <t>чанган cs35plus: 1. капот полностью, крылья, бампер 2. капот полностью, крылья, бампер+стойки и крыша до панорамы</t>
  </si>
  <si>
    <t>7 963 910-91-55 - Входящий звонок</t>
  </si>
  <si>
    <t>Джили Атлас пленка на переднюю часть, Только выходные, после лета</t>
  </si>
  <si>
    <t>Андрей Пленка на Киа Спортаж 5 серый (капот, крылья, бампер, фары, крышв до люка, стойки, передние, задние двери и проемы дверей), установка сигнализации</t>
  </si>
  <si>
    <t>пленка exeed LX перед</t>
  </si>
  <si>
    <t>Камиль Гранта капот. полоса над лобовым, стойки, под ручками</t>
  </si>
  <si>
    <t>7 937 798-85-55 - Входящий звонок</t>
  </si>
  <si>
    <t>БМВ ХМ Вячеслав</t>
  </si>
  <si>
    <t>Роман Войя 23 года оклейка полностью и антихром рейлингов</t>
  </si>
  <si>
    <t>D.</t>
  </si>
  <si>
    <t>P_L_Ё_N_K_A</t>
  </si>
  <si>
    <t>7 927 710-08-07 - Входящий звонок</t>
  </si>
  <si>
    <t>Валерий -П_Л_Ё_Н_К_А</t>
  </si>
  <si>
    <t>7 927 902-24-72 - Входящий звонок</t>
  </si>
  <si>
    <t>гелик в пленку 2-3 дня на обдумывание</t>
  </si>
  <si>
    <t>Пленка Х5</t>
  </si>
  <si>
    <t>веста/ крыша в черный глянец/ павел</t>
  </si>
  <si>
    <t>GLS пленка</t>
  </si>
  <si>
    <t>Войя 3 попал в ДТП и надо наклеить пленку на бампер матовый Сантек</t>
  </si>
  <si>
    <t>Элантра 19 года пленка на капот полностью</t>
  </si>
  <si>
    <t>Man / реник заберите чат. пленка</t>
  </si>
  <si>
    <t>Man</t>
  </si>
  <si>
    <t>7 929 714-25-68 - Входящий звонок</t>
  </si>
  <si>
    <t>ексид VX/ зоны риска</t>
  </si>
  <si>
    <t>монитор монжаро заклеить пленкой и глянцевые вставки</t>
  </si>
  <si>
    <t>BMW 3 Бронь фары</t>
  </si>
  <si>
    <t>Ауди Q8 полностью в пленку</t>
  </si>
  <si>
    <t>7 985 180-10-92 - Входящий звонок</t>
  </si>
  <si>
    <t>Черри Тигго 7 полоса на капот, фары, крыша полоска (белая машина)</t>
  </si>
  <si>
    <t>П_Л_Ё_Н_К_А пер. Б_А_М_П_Е_Р</t>
  </si>
  <si>
    <t>7 990 009-01-21 - Входящий звонок</t>
  </si>
  <si>
    <t>джили атлас пленка</t>
  </si>
  <si>
    <t>Макс - П_Л_Ё_Н_К_А А_В_Т_О_Б_О_К_С</t>
  </si>
  <si>
    <t>7 937 987-55-02 - Входящий звонок</t>
  </si>
  <si>
    <t>7 967 764-33-33 - Входящий звонок</t>
  </si>
  <si>
    <t>7 902 740-48-24 - Входящий звонок</t>
  </si>
  <si>
    <t>7 927 217-52-29 - Входящий звонок</t>
  </si>
  <si>
    <t>Sergey М*** - П_Л_Ё_Н_К_А LI-7 Ц_Е_Л_И_К_О_М</t>
  </si>
  <si>
    <t>М***</t>
  </si>
  <si>
    <t>Арризо</t>
  </si>
  <si>
    <t>7 927 016-90-23 - Входящий звонок</t>
  </si>
  <si>
    <t>7 985 071-55-07 - Входящий звонок</t>
  </si>
  <si>
    <t>Пленка Jetour T2</t>
  </si>
  <si>
    <t>Заявка с сайта ЛЕВША - форма Online-запись/ оклейка пленкой Реник заберите</t>
  </si>
  <si>
    <t>7 902 816-56-30 - Входящий звонок</t>
  </si>
  <si>
    <t>7 967 763-63-32 - Исходящий звонок</t>
  </si>
  <si>
    <t>Корсунцев</t>
  </si>
  <si>
    <t>7 909 329-80-28 - Входящий звонок</t>
  </si>
  <si>
    <t>7 927 708-82-02 - Входящий звонок</t>
  </si>
  <si>
    <t>7 927 763-11-22 - Исходящий звонок</t>
  </si>
  <si>
    <t>7 927 202-08-55 - Входящий звонок</t>
  </si>
  <si>
    <t>7 927 763-11-22 - Входящий звонок</t>
  </si>
  <si>
    <t>7 996 720-80-07 - Входящий звонок</t>
  </si>
  <si>
    <t>7 927 000-88-48 - Исходящий звонок</t>
  </si>
  <si>
    <t>Тонировка лобовое приора Атермалка (думает)</t>
  </si>
  <si>
    <t>Филарет - П_Л_Ё_Н_К_А с Н_О_Г до Г_О_Л_О_В_Ы</t>
  </si>
  <si>
    <t>Филарет</t>
  </si>
  <si>
    <t>7 927 738-06-48 - Входящий звонок</t>
  </si>
  <si>
    <t>7 927 027-20-81 - Входящий звонок</t>
  </si>
  <si>
    <t>Пленка капот</t>
  </si>
  <si>
    <t>7 987 925-89-85 - Входящий звонок</t>
  </si>
  <si>
    <t>Степан - Открытая линия Левша</t>
  </si>
  <si>
    <t>Дмитрий Калашников</t>
  </si>
  <si>
    <t>Дмитрий Лантратов</t>
  </si>
  <si>
    <t>стоимость оклейки стандарт на тугела</t>
  </si>
  <si>
    <t>7 999 702-22-24 - Входящий звонок</t>
  </si>
  <si>
    <t>7 917 965-20-18 - Входящий звонок</t>
  </si>
  <si>
    <t>пленка+тонировка</t>
  </si>
  <si>
    <t>7 846 921-25-87 - Входящий звонок</t>
  </si>
  <si>
    <t>7 939 705-01-05 - Входящий звонок</t>
  </si>
  <si>
    <t>oleg</t>
  </si>
  <si>
    <t>zub</t>
  </si>
  <si>
    <t>полировка и оклейка фар</t>
  </si>
  <si>
    <t>Кустов</t>
  </si>
  <si>
    <t>Igor D. - Открытая линия Левша</t>
  </si>
  <si>
    <t>7 987 770-41-27 - Входящий звонок</t>
  </si>
  <si>
    <t>Дмитрий Тухтаманов - Открытая линия Левша</t>
  </si>
  <si>
    <t>Тухтаманов</t>
  </si>
  <si>
    <t>7 927 890-88-55 - Входящий звонок</t>
  </si>
  <si>
    <t>7 927 205-29-01 - Входящий звонок</t>
  </si>
  <si>
    <t>Пленка копот</t>
  </si>
  <si>
    <t>7 927 703-40-39 - Входящий звонок</t>
  </si>
  <si>
    <t>7 917 011-14-91 - Входящий звонок</t>
  </si>
  <si>
    <t>7 917 159-09-40 - Входящий звонок</t>
  </si>
  <si>
    <t>7 987 984-69-38 - Входящий звонок</t>
  </si>
  <si>
    <t>7 987 433-16-48 - Входящий звонок</t>
  </si>
  <si>
    <t>7 927 735-71-71 - Исходящий звонок</t>
  </si>
  <si>
    <t>Алина Смоленкова - Открытая линия Левша</t>
  </si>
  <si>
    <t>Алина</t>
  </si>
  <si>
    <t>Смоленкова</t>
  </si>
  <si>
    <t>7 906 345-30-31 - Входящий звонок</t>
  </si>
  <si>
    <t>7 937 064-02-87 - Входящий звонок</t>
  </si>
  <si>
    <t>Валерия - Открытая линия Левша</t>
  </si>
  <si>
    <t>Валерия</t>
  </si>
  <si>
    <t>7 927 722-55-58 - Входящий звонок</t>
  </si>
  <si>
    <t>7 902 006-10-15 - Входящий звонок</t>
  </si>
  <si>
    <t>7 986 955-67-06 - Исходящий звонок</t>
  </si>
  <si>
    <t>Man - Открытая линия Левша</t>
  </si>
  <si>
    <t>7 927 735-73-11 - Входящий звонок</t>
  </si>
  <si>
    <t>Igor D. ОКЛЕЙКА _ _ _ ЦЕЛИКОМ _ _ _ JETOUR T2/ хочет оклеить матовый сатин целиком без бамперов и порогов (они пластиковые) озвучил 260000. Автомобиль еще не купил. набрать через неделю и уточнить информацию/ Каранов</t>
  </si>
  <si>
    <t>Пленка. Ренесанс</t>
  </si>
  <si>
    <t>Наклейка на бок Хонда для реника</t>
  </si>
  <si>
    <t>Антон Федотов - Открытая линия Левша</t>
  </si>
  <si>
    <t>Федотов</t>
  </si>
  <si>
    <t>Александр - Открытая линия Левша</t>
  </si>
  <si>
    <t>RX350 пленка капот запишется как купит авто</t>
  </si>
  <si>
    <t>Станислав Ван-Гуй</t>
  </si>
  <si>
    <t>7 927 011-99-65 - Входящий звонок</t>
  </si>
  <si>
    <t>7 937 999-59-40 - Входящий звонок</t>
  </si>
  <si>
    <t>Е 90 пленка или керамика приедет на осмотр после командировки</t>
  </si>
  <si>
    <t>7 927 659-28-61 - Входящий звонок</t>
  </si>
  <si>
    <t>7 846 992-77-77 - Входящий звонок</t>
  </si>
  <si>
    <t>Александр Р. - Открытая линия Левша</t>
  </si>
  <si>
    <t>Р.</t>
  </si>
  <si>
    <t>тонировка kia cerato</t>
  </si>
  <si>
    <t>Евгений Репин</t>
  </si>
  <si>
    <t>Оклейка пленкой мотоцикла</t>
  </si>
  <si>
    <t>Игорь - Открытая линия Левша</t>
  </si>
  <si>
    <t>7 937 999-99-01 - Входящий звонок</t>
  </si>
  <si>
    <t>7 919 817-72-37 - Входящий звонок</t>
  </si>
  <si>
    <t>7 995 844-97-77 - Входящий звонок</t>
  </si>
  <si>
    <t>пленка на монитор</t>
  </si>
  <si>
    <t>7 927 633-36-07 - Входящий звонок</t>
  </si>
  <si>
    <t>Denis - Открытая линия Левша</t>
  </si>
  <si>
    <t>тонировка</t>
  </si>
  <si>
    <t>Арай</t>
  </si>
  <si>
    <t>Маслеев Дмитрий - Открытая линия Левша</t>
  </si>
  <si>
    <t>7 846 921-50-42 - Входящий звонок</t>
  </si>
  <si>
    <t>7 846 374-42-00 - Входящий звонок</t>
  </si>
  <si>
    <t>7 927 751-83-53 - Входящий звонок</t>
  </si>
  <si>
    <t>7 937 202-66-42 - Входящий звонок</t>
  </si>
  <si>
    <t>7 927 659-96-64 - Входящий звонок</t>
  </si>
  <si>
    <t>Василий</t>
  </si>
  <si>
    <t>Таня</t>
  </si>
  <si>
    <t>7 996 342-28-37 - Входящий звонок</t>
  </si>
  <si>
    <t>Игорь , оклейка changan uni t. капот, фары, передние крылья, пороги</t>
  </si>
  <si>
    <t>Глеб Таранков _ _ _ _ Плёнка, оклейки 40см капотом, углы крыльев, стойки вдоль лобового и кромка крыши на омоду s5</t>
  </si>
  <si>
    <t>Таранков</t>
  </si>
  <si>
    <t>обклеить машину пленкой самара</t>
  </si>
  <si>
    <t>Хавал Дарго белый полностью в пленку (крыша панорамная)</t>
  </si>
  <si>
    <t>Бронепленка</t>
  </si>
  <si>
    <t>7 846 995-05-26 - Входящий звонок</t>
  </si>
  <si>
    <t>7 927 906-46-61 - Входящий звонок</t>
  </si>
  <si>
    <t>Armen_ _ _ пленка!!!</t>
  </si>
  <si>
    <t>Armen</t>
  </si>
  <si>
    <t>Tovmasyan</t>
  </si>
  <si>
    <t>7 939 755-01-99 - Входящий звонок</t>
  </si>
  <si>
    <t>Монджаро</t>
  </si>
  <si>
    <t>KanazSN - Открытая линия Левша</t>
  </si>
  <si>
    <t>KanazSN</t>
  </si>
  <si>
    <t>Новый Кулрей зоны риска заклеить пленкой, капот полностью, зеркала, под ручками, полоса над лобовым, бампер, крылья</t>
  </si>
  <si>
    <t>GLS в мат</t>
  </si>
  <si>
    <t>7 902 008-02-03 - Входящий звонок</t>
  </si>
  <si>
    <t>Чан Ган Пленка</t>
  </si>
  <si>
    <t>7 919 189-61-77 - Входящий звонок</t>
  </si>
  <si>
    <t>7 917 164-81-88 - Входящий звонок</t>
  </si>
  <si>
    <t>Андрей - Открытая линия Левша, тонировка пленка</t>
  </si>
  <si>
    <t>защитная пленка на машину</t>
  </si>
  <si>
    <t>пленка реклама</t>
  </si>
  <si>
    <t>7 927 793-13-40 - Входящий звонок</t>
  </si>
  <si>
    <t>7 996 735-59-80 - Входящий звонок</t>
  </si>
  <si>
    <t>7 927 791-20-67 - Входящий звонок</t>
  </si>
  <si>
    <t>7 927 655-15-73 - Входящий звонок</t>
  </si>
  <si>
    <t>7 987 942-99-95 - Входящий звонок</t>
  </si>
  <si>
    <t>Юрий Щеглов - Открытая линия Левша</t>
  </si>
  <si>
    <t>Щеглов</t>
  </si>
  <si>
    <t>Маслеев</t>
  </si>
  <si>
    <t>7 918 764-94-05 - Входящий звонок</t>
  </si>
  <si>
    <t>7 927 753-10-83 - Входящий звонок</t>
  </si>
  <si>
    <t>ПЛЕНКА</t>
  </si>
  <si>
    <t>Тихонов</t>
  </si>
  <si>
    <t>Сатиновым полиуретаном Voyah (тёмно синий)</t>
  </si>
  <si>
    <t>Переклеить пленку на бампере</t>
  </si>
  <si>
    <t>LC300 стандарт и атермалка на 19-20 мая</t>
  </si>
  <si>
    <t>оклеить машину в пленку самара</t>
  </si>
  <si>
    <t>Не берет трубку</t>
  </si>
  <si>
    <t>7 927 688-04-65 - Входящий звонок</t>
  </si>
  <si>
    <t>7 902 290-52-56 - Входящий звонок</t>
  </si>
  <si>
    <t>7 927 777-33-46 - Входящий звонок</t>
  </si>
  <si>
    <t>7 927 011-09-93 - Входящий звонок</t>
  </si>
  <si>
    <t>7 987 921-81-10 - Входящий звонок</t>
  </si>
  <si>
    <t>7 987 955-11-70 - Входящий звонок</t>
  </si>
  <si>
    <t>7 964 982-84-38 - Входящий звонок</t>
  </si>
  <si>
    <t>Артур Абдрашитов - Открытая линия Левша</t>
  </si>
  <si>
    <t>7 987 447-69-79 - Входящий звонок</t>
  </si>
  <si>
    <t>7 927 778-10-00 - Входящий звонок</t>
  </si>
  <si>
    <t>7 937 188-13-33 - Входящий звонок</t>
  </si>
  <si>
    <t>Никита - Открытая линия Левша Пленка красивая на кашкай</t>
  </si>
  <si>
    <t>Антонов</t>
  </si>
  <si>
    <t>7 937 999-23-36 - Входящий звонок</t>
  </si>
  <si>
    <t>Оклеить катер Альбакор 6м на 2м</t>
  </si>
  <si>
    <t>Крышу Короллы обтянуть черной пленкой</t>
  </si>
  <si>
    <t>7 927 262-35-19 - Исходящий звонок</t>
  </si>
  <si>
    <t>7 927 751-91-15 - Исходящий звонок</t>
  </si>
  <si>
    <t>Роман - Открытая линия Левша, забронировать Тойота хайс 2015г.в</t>
  </si>
  <si>
    <t>7 987 159-64-89 - Входящий звонок</t>
  </si>
  <si>
    <t>130Nid - Открытая линия Левша</t>
  </si>
  <si>
    <t>130Nid</t>
  </si>
  <si>
    <t>Алексей - Открытая линия Левша, пленка GAC GS8 II</t>
  </si>
  <si>
    <t>7 937 982-05-07 - Входящий звонок</t>
  </si>
  <si>
    <t>оклейка пленкой элементов салона</t>
  </si>
  <si>
    <t>Alexey</t>
  </si>
  <si>
    <t>обтянуть пленкой</t>
  </si>
  <si>
    <t>7 960 808-45-26 - Входящий звонок</t>
  </si>
  <si>
    <t>7 917 109-04-08 - Входящий звонок</t>
  </si>
  <si>
    <t>Танк 300 оклеить пленкой, перезвоните!</t>
  </si>
  <si>
    <t>туманки в плеку</t>
  </si>
  <si>
    <t>Воронин</t>
  </si>
  <si>
    <t>7 996 720-40-40 - Входящий звонок</t>
  </si>
  <si>
    <t>7 927 017-68-56 - Входящий звонок</t>
  </si>
  <si>
    <t>Ильнур Мустафин - Открытая линия Левша</t>
  </si>
  <si>
    <t>Ильнур</t>
  </si>
  <si>
    <t>Мустафин</t>
  </si>
  <si>
    <t>Geely x50 оклейка бронепленкой фары, капот, крылья, полоса на крышу</t>
  </si>
  <si>
    <t>7 987 941-66-02 - Входящий звонок</t>
  </si>
  <si>
    <t>7 927 716-86-14 - Исходящий звонок</t>
  </si>
  <si>
    <t>7 902 235-11-06 - Входящий звонок</t>
  </si>
  <si>
    <t>7 927 750-53-90 - Входящий звонок</t>
  </si>
  <si>
    <t>7 927 600-85-75 - Входящий звонок</t>
  </si>
  <si>
    <t>Игнат - Открытая линия Левша</t>
  </si>
  <si>
    <t>Юлия Ефимова</t>
  </si>
  <si>
    <t>Наташа</t>
  </si>
  <si>
    <t>Усачева</t>
  </si>
  <si>
    <t>ООО НЕТЛАЙН пленка на Камри, капот, крылья, фары и лобовое стекло</t>
  </si>
  <si>
    <t>Zhevlakov</t>
  </si>
  <si>
    <t>7 927 744-51-51 - Входящий звонок</t>
  </si>
  <si>
    <t>пленка на Киа Рио полностью</t>
  </si>
  <si>
    <t>Оклеить крышу Весты в черный</t>
  </si>
  <si>
    <t>7 927 789-67-01 - Входящий звонок</t>
  </si>
  <si>
    <t>Заявка с сайта ЛЕВША - форма Заказать звонок, оклеить капот Солярис</t>
  </si>
  <si>
    <t>7 967 051-40-06 - Входящий звонок</t>
  </si>
  <si>
    <t>7 927 900-13-06 - Входящий звонок</t>
  </si>
  <si>
    <t>Дмитрий Волков - Открытая линия Левша</t>
  </si>
  <si>
    <t>Волков</t>
  </si>
  <si>
    <t>Тонировка, бронирование стекол и фар Exceed VX</t>
  </si>
  <si>
    <t>Ivan Kriukov - Открытая линия Левша, +7 927 204-05-15 Иван Крюков</t>
  </si>
  <si>
    <t>Oo - Открытая линия Левша</t>
  </si>
  <si>
    <t>Oo</t>
  </si>
  <si>
    <t>7 968 861-70-11 - Входящий звонок</t>
  </si>
  <si>
    <t>7 927 005-81-33 - Входящий звонок</t>
  </si>
  <si>
    <t>7 906 343-78-80 - Исходящий звонок</t>
  </si>
  <si>
    <t>Галыгин</t>
  </si>
  <si>
    <t>БМВ П30 крышу в черный винил</t>
  </si>
  <si>
    <t>7 937 648-88-83 - Исходящий звонок</t>
  </si>
  <si>
    <t>Черри Тигго крышу заклеить</t>
  </si>
  <si>
    <t>Матовый монжаро</t>
  </si>
  <si>
    <t>7 927 772-37-97 - Входящий звонок</t>
  </si>
  <si>
    <t>7 960 811-01-08 - Входящий звонок</t>
  </si>
  <si>
    <t>7 987 444-79-59 - Входящий звонок</t>
  </si>
  <si>
    <t>Оклейка внешней части порогов, крыша полоса над лобовым, под брызговиками ДЖили Эмгранд</t>
  </si>
  <si>
    <t>Богдан</t>
  </si>
  <si>
    <t>пленка мерс 450 приедет на реник во вторник</t>
  </si>
  <si>
    <t>оклейка пленкой полностью Рапид 3 года (для защиты)</t>
  </si>
  <si>
    <t>7 937 995-75-79 - Исходящий звонок</t>
  </si>
  <si>
    <t>Пленка Ауди ТТ, полностью в пленку фиолетового цвета</t>
  </si>
  <si>
    <t>V. V. V. - Открытая линия Левша</t>
  </si>
  <si>
    <t>V. V. V.</t>
  </si>
  <si>
    <t>7 917 811-10-17 - Исходящий звонок</t>
  </si>
  <si>
    <t>Андрей - Открытая линия Левша, Дастер пленка целиком</t>
  </si>
  <si>
    <t>нужна транспортировочная пленка</t>
  </si>
  <si>
    <t>7 917 946-44-50 - Входящий звонок</t>
  </si>
  <si>
    <t>Пленка, забрендировать авто</t>
  </si>
  <si>
    <t>оклеить авто пленкой</t>
  </si>
  <si>
    <t>7 927 609-84-98 - Входящий звонок</t>
  </si>
  <si>
    <t>Евгения - Открытая линия Левша</t>
  </si>
  <si>
    <t>Евгения</t>
  </si>
  <si>
    <t>Ли7 и Зикр варианты оклейки пленкой</t>
  </si>
  <si>
    <t>7 987 955-05-51 - Входящий звонок</t>
  </si>
  <si>
    <t>7 987 985-97-17 - Исходящий звонок</t>
  </si>
  <si>
    <t>Ренат - Открытая линия Левша</t>
  </si>
  <si>
    <t>Ренат</t>
  </si>
  <si>
    <t>омода в матт, смотрите более раннее общение!!!</t>
  </si>
  <si>
    <t>7 927 739-22-93 - Исходящий звонок</t>
  </si>
  <si>
    <t>7 927 533-26-93 - Входящий звонок</t>
  </si>
  <si>
    <t>NSA - Открытая линия Левша</t>
  </si>
  <si>
    <t>NSA</t>
  </si>
  <si>
    <t>Андрей Теплоногов - Открытая линия Левша</t>
  </si>
  <si>
    <t>Теплоногов</t>
  </si>
  <si>
    <t>Танк 300 капот, крылья, оптика, крыша до люка, под ручками оплатить от юр лица</t>
  </si>
  <si>
    <t>Шепилов</t>
  </si>
  <si>
    <t>Митсу Аутлендер капот оклеить</t>
  </si>
  <si>
    <t>Танк 300 на 5.03</t>
  </si>
  <si>
    <t>7 927 605-38-85 - Входящий звонок</t>
  </si>
  <si>
    <t>Михаил Николаевич Дастер</t>
  </si>
  <si>
    <t>Оклеить экран Эксид</t>
  </si>
  <si>
    <t>Иван Красников</t>
  </si>
  <si>
    <t>Сергей Данилов - Открытая линия Левша</t>
  </si>
  <si>
    <t>Данилов</t>
  </si>
  <si>
    <t>демонтировать пленку с авто</t>
  </si>
  <si>
    <t>7 927 657-63-76 - Входящий звонок</t>
  </si>
  <si>
    <t>Чери тиго 4про Фары, Капот целиком, пороги от колеса до колеса, полоса над лобовым 41000</t>
  </si>
  <si>
    <t>А-Н-Т О-Н - Открытая линия Левша</t>
  </si>
  <si>
    <t>А-Н-Т</t>
  </si>
  <si>
    <t>О-Н</t>
  </si>
  <si>
    <t>7 908 401-02-02 - Входящий звонок</t>
  </si>
  <si>
    <t>Даня - Открытая линия Левша</t>
  </si>
  <si>
    <t>Даня</t>
  </si>
  <si>
    <t>Александр Дрягин - Открытая линия Левша, поло в белую пленку</t>
  </si>
  <si>
    <t>Дрягин</t>
  </si>
  <si>
    <t>7 996 732-51-02 - Входящий звонок</t>
  </si>
  <si>
    <t>ГЛЦ в 254 кузове оклейка полная, кроме крыши</t>
  </si>
  <si>
    <t>Валера Самарин - Открытая линия Левша</t>
  </si>
  <si>
    <t>Валера</t>
  </si>
  <si>
    <t>Самарин</t>
  </si>
  <si>
    <t>Бронирование Тугелла (капот, вары, крылья, стойки, крыша полоса) затонировать заднюю полусферу</t>
  </si>
  <si>
    <t>Ульяна</t>
  </si>
  <si>
    <t>Пленка целиком на спортаж 240-250</t>
  </si>
  <si>
    <t>Оклеить машину пленкой на пару дней для акции</t>
  </si>
  <si>
    <t>79371730101 - Входящий звонок</t>
  </si>
  <si>
    <t>79879551520 - Входящий звонок</t>
  </si>
  <si>
    <t>Ekaterina Prokhorova - Открытая линия Левша</t>
  </si>
  <si>
    <t>Ekaterina</t>
  </si>
  <si>
    <t>Prokhorova</t>
  </si>
  <si>
    <t>Антигравийная пленка</t>
  </si>
  <si>
    <t>компания</t>
  </si>
  <si>
    <t>79276523686 - Входящий звонок</t>
  </si>
  <si>
    <t>79211676090 - Входящий звонок</t>
  </si>
  <si>
    <t>Павел - Пленка</t>
  </si>
  <si>
    <t>sokovp - Открытая линия Левша</t>
  </si>
  <si>
    <t>sokovp</t>
  </si>
  <si>
    <t>пленка винил не актуально</t>
  </si>
  <si>
    <t>Djoni Black - Открытая линия Левша</t>
  </si>
  <si>
    <t>Djoni</t>
  </si>
  <si>
    <t>Black</t>
  </si>
  <si>
    <t>Сергей | предприниматель - Открытая линия Левша</t>
  </si>
  <si>
    <t>Сергей | предприниматель</t>
  </si>
  <si>
    <t>79171048476 - Входящий звонок</t>
  </si>
  <si>
    <t>оклейка зон риска+стойки лобового и полоса над лобовы НК</t>
  </si>
  <si>
    <t>Сломаный бампер оклеить</t>
  </si>
  <si>
    <t>рио в винил целиком 160-190р думает</t>
  </si>
  <si>
    <t>ТАнк 300 крышу в черный глянец или полеурилератан ))) 20000-25000</t>
  </si>
  <si>
    <t>) - Открытая линия Левша</t>
  </si>
  <si>
    <t>)</t>
  </si>
  <si>
    <t>Тонировка + чапот в пленку</t>
  </si>
  <si>
    <t>Мебель</t>
  </si>
  <si>
    <t>Проф</t>
  </si>
  <si>
    <t>шумоизоляция</t>
  </si>
  <si>
    <t>79031110867 - Входящий звонок</t>
  </si>
  <si>
    <t>BYD tang пленка</t>
  </si>
  <si>
    <t>БМВ 3gt передний бампер в пленку после покраски</t>
  </si>
  <si>
    <t>Оклеить вставки салона СХ5</t>
  </si>
  <si>
    <t>79379917109 - Исходящий звонок</t>
  </si>
  <si>
    <t>79276929102 - Входящий звонок</t>
  </si>
  <si>
    <t>79372047844 - Входящий звонок</t>
  </si>
  <si>
    <t>Иван - Открытая линия Левша</t>
  </si>
  <si>
    <t>Владимир - Открытая линия Левша</t>
  </si>
  <si>
    <t>Олеся - Открытая линия Левша</t>
  </si>
  <si>
    <t>Олеся</t>
  </si>
  <si>
    <t>отмена записи на оклейку</t>
  </si>
  <si>
    <t>Уточнение по записи</t>
  </si>
  <si>
    <t>79376555323 - Входящий звонок</t>
  </si>
  <si>
    <t>Антонина</t>
  </si>
  <si>
    <t>обтянуть машину пленкой</t>
  </si>
  <si>
    <t>79376432572 - Входящий звонок</t>
  </si>
  <si>
    <t>79270071481 - Входящий звонок</t>
  </si>
  <si>
    <t>пленка EXEED rx зона риска стандарт</t>
  </si>
  <si>
    <t>79991709283 - Исходящий звонок</t>
  </si>
  <si>
    <t>78463122170 - Входящий звонок</t>
  </si>
  <si>
    <t>звонил по сделке. повтор</t>
  </si>
  <si>
    <t>Василий - Открытая линия Левша, Honda Civic в пленку по кругу</t>
  </si>
  <si>
    <t>снегоход в пленку Скайдо Экспедишн</t>
  </si>
  <si>
    <t>Бронь лоб. стекл и панорамы Чанган СS95 48000</t>
  </si>
  <si>
    <t>79888440101 - Входящий звонок</t>
  </si>
  <si>
    <t>Vitaliy - Открытая линия Левша</t>
  </si>
  <si>
    <t>Vitaliy</t>
  </si>
  <si>
    <t>79869583068 - Входящий звонок</t>
  </si>
  <si>
    <t>Звонок с Авито по пленке</t>
  </si>
  <si>
    <t>Вычеслав Горелов - Открытая линия Левша</t>
  </si>
  <si>
    <t>Вычеслав</t>
  </si>
  <si>
    <t>Горелов</t>
  </si>
  <si>
    <t>пленка на лобовое</t>
  </si>
  <si>
    <t>Джили Атлас Про зоны риска и капот целиком</t>
  </si>
  <si>
    <t>79327002042 - Входящий звонок</t>
  </si>
  <si>
    <t>пленка на машину</t>
  </si>
  <si>
    <t>Арина Полякова - Открытая линия Левша</t>
  </si>
  <si>
    <t>Полякова</t>
  </si>
  <si>
    <t>пленка примерно узнать цены тиго 4 про + макс т290 супер турбо гонка</t>
  </si>
  <si>
    <t>Роман - Открытая линия Левша</t>
  </si>
  <si>
    <t>оклеить полиуретановой пленкой</t>
  </si>
  <si>
    <t>Владислав Сахнов - Открытая линия Левша, закрыть защитной пленкой начало крыши в Exeed tlx, пол капота и в салоне закрыть глянцевый экран в матовую плёнку</t>
  </si>
  <si>
    <t>Сахнов</t>
  </si>
  <si>
    <t>79270002235 - Входящий звонок</t>
  </si>
  <si>
    <t>Илья - Открытая линия Левша</t>
  </si>
  <si>
    <t>79277186985 - Входящий звонок</t>
  </si>
  <si>
    <t>а 5 крышу в пленку +зеркала +анти хром</t>
  </si>
  <si>
    <t>79219980133 - Входящий звонок</t>
  </si>
  <si>
    <t>оклеить корпус кондиционера. сказал, что да. Приедет на оценку, как сможет. До середины декабря мест нет</t>
  </si>
  <si>
    <t>79171637077 - Входящий звонок</t>
  </si>
  <si>
    <t>79179486280 - Входящий звонок</t>
  </si>
  <si>
    <t>79297064414 - Входящий звонок</t>
  </si>
  <si>
    <t>детейлинг самара</t>
  </si>
  <si>
    <t>Z - Открытая линия Левша</t>
  </si>
  <si>
    <t>79879478287 - Исходящий звонок</t>
  </si>
  <si>
    <t>79372017950 - Входящий звонок</t>
  </si>
  <si>
    <t>Интересовался антигравийными пленками</t>
  </si>
  <si>
    <t>уточнение записи</t>
  </si>
  <si>
    <t>Виталий - Открытая линия Левша</t>
  </si>
  <si>
    <t>оклейка кузова автомобиля пленкой цена</t>
  </si>
  <si>
    <t>Оклейка зон риска колрэй целиком</t>
  </si>
  <si>
    <t>78462130000 - Входящий звонок</t>
  </si>
  <si>
    <t>Nebopomogetnam - Открытая линия Левша</t>
  </si>
  <si>
    <t>Nebopomogetnam</t>
  </si>
  <si>
    <t>tank300 пленка танировка</t>
  </si>
  <si>
    <t>79270101391 - Входящий звонок</t>
  </si>
  <si>
    <t>пленка на фары и зрна посадки так и не надумала</t>
  </si>
  <si>
    <t>Света</t>
  </si>
  <si>
    <t>78469792947 - Входящий звонок</t>
  </si>
  <si>
    <t>79661555000 - Входящий звонок</t>
  </si>
  <si>
    <t>Вадим Моисеев - Открытая линия Левша</t>
  </si>
  <si>
    <t>Моисеев</t>
  </si>
  <si>
    <t>приклеить шильзики 20,11</t>
  </si>
  <si>
    <t>пленка форы и зоны посадки 14к думает</t>
  </si>
  <si>
    <t>79376547070 - Входящий звонок</t>
  </si>
  <si>
    <t>Алексей Сусманов - Открытая линия Левша</t>
  </si>
  <si>
    <t>Сусманов</t>
  </si>
  <si>
    <t>Хавал дарго в пленку и керамика</t>
  </si>
  <si>
    <t>79198041488 - Входящий звонок</t>
  </si>
  <si>
    <t>оружие пленкой оклеить</t>
  </si>
  <si>
    <t>Евгений Рыбин - Открытая линия Левша</t>
  </si>
  <si>
    <t>Рыбин</t>
  </si>
  <si>
    <t>79991581490 - Исходящий звонок</t>
  </si>
  <si>
    <t>79263897920 - Входящий звонок</t>
  </si>
  <si>
    <t>Тугелла пленка на бампер и атермальная тонировка</t>
  </si>
  <si>
    <t>79879379377 - Входящий звонок</t>
  </si>
  <si>
    <t>корекция пленки на тугела</t>
  </si>
  <si>
    <t>Екатерина - Открытая линия Левша</t>
  </si>
  <si>
    <t>оклейка виниловой пленкой Хонда Цивик 10 купе 17 года</t>
  </si>
  <si>
    <t>Туксон заклеить тунель</t>
  </si>
  <si>
    <t>Пикап половину капота, стойки и полоску на крышу заклеить пленкой и 2 машины на шинку от фирмы</t>
  </si>
  <si>
    <t>79179454595 - Открытая линия Левша</t>
  </si>
  <si>
    <t>Корекция пленки перенос на четверг</t>
  </si>
  <si>
    <t>Х7 пленка полностью 260000</t>
  </si>
  <si>
    <t>оклейка ГЛС</t>
  </si>
  <si>
    <t>79171582494 - Входящий звонок</t>
  </si>
  <si>
    <t>79171563640 - Входящий звонок</t>
  </si>
  <si>
    <t>клиент звонит с другого номера / сделка есть</t>
  </si>
  <si>
    <t>Веста хочет черный крыша, но дорого</t>
  </si>
  <si>
    <t>Rail</t>
  </si>
  <si>
    <t>79277372532 - Входящий звонок</t>
  </si>
  <si>
    <t>Рома - Открытая линия Левша</t>
  </si>
  <si>
    <t>Рома</t>
  </si>
  <si>
    <t>CE Company - Открытая линия Левша</t>
  </si>
  <si>
    <t>CE</t>
  </si>
  <si>
    <t>Company</t>
  </si>
  <si>
    <t>Пленка а фару</t>
  </si>
  <si>
    <t>79879505637 - Входящий звонок</t>
  </si>
  <si>
    <t>Напольное Евгений - Открытая линия Левша</t>
  </si>
  <si>
    <t>Напольное</t>
  </si>
  <si>
    <t>бронировка авто пленкой</t>
  </si>
  <si>
    <t>Евгений - Открытая линия Левша</t>
  </si>
  <si>
    <t>79277090659 - Входящий звонок</t>
  </si>
  <si>
    <t>пленка гранта</t>
  </si>
  <si>
    <t>Оклейка пленкой Раф-4 111</t>
  </si>
  <si>
    <t>79608317733 - Входящий звонок</t>
  </si>
  <si>
    <t>Любовь - Открытая линия Левша</t>
  </si>
  <si>
    <t>Любовь</t>
  </si>
  <si>
    <t>ivansadov1987 - Открытая линия Левша</t>
  </si>
  <si>
    <t>ivansadov1987</t>
  </si>
  <si>
    <t>79171657673 - Входящий звонок</t>
  </si>
  <si>
    <t>снятие рекламы с автомобиля</t>
  </si>
  <si>
    <t>79151890098 - Входящий звонок</t>
  </si>
  <si>
    <t>сам из деревни, хочет одним днем все сделать (стандарт целиком + полоса на крышу). К нам никогда не приедет, так как погонит машину в краснодар</t>
  </si>
  <si>
    <t>d</t>
  </si>
  <si>
    <t>79198085413 - Входящий звонок</t>
  </si>
  <si>
    <t>Дмитрий крюк - Открытая линия Левша</t>
  </si>
  <si>
    <t>крюк</t>
  </si>
  <si>
    <t>Оклейка прадо (зон риска)</t>
  </si>
  <si>
    <t>79083811255 - Входящий звонок</t>
  </si>
  <si>
    <t>79160073177 - Входящий звонок</t>
  </si>
  <si>
    <t>79967440071 - Входящий звонок</t>
  </si>
  <si>
    <t>79376523999 - Входящий звонок</t>
  </si>
  <si>
    <t>Бронирование порога Туарег</t>
  </si>
  <si>
    <t>Над лобовым стеклом полосу Аутлендер</t>
  </si>
  <si>
    <t>оклеить тачки винилом (такси). Дед сказал, что нет</t>
  </si>
  <si>
    <t>Haval 7 полоса на капот или полностью</t>
  </si>
  <si>
    <t>сантафе оклейка зон риска полная / Данила / записан на 10.10 на реник / выставить счет, заключить договор / 64 000 /</t>
  </si>
  <si>
    <t>79276888536 - Входящий звонок</t>
  </si>
  <si>
    <t>79277578492 - Входящий звонок</t>
  </si>
  <si>
    <t>Серж - Открытая линия Левша</t>
  </si>
  <si>
    <t>Серж</t>
  </si>
  <si>
    <t>Надежда - Открытая линия Левша</t>
  </si>
  <si>
    <t>Надежда</t>
  </si>
  <si>
    <t>Татьяна Артющенко - Открытая линия Левша</t>
  </si>
  <si>
    <t>Артющенко</t>
  </si>
  <si>
    <t>Матовая пленка графит</t>
  </si>
  <si>
    <t>79278967437 - Исходящий звонок</t>
  </si>
  <si>
    <t>А6 Ауди заклеить пленкой стеклянные элементы внутри</t>
  </si>
  <si>
    <t>оклейка капота</t>
  </si>
  <si>
    <t>Андрей Крюков - Открытая линия Левша</t>
  </si>
  <si>
    <t>Крюков</t>
  </si>
  <si>
    <t>Пленка Ойбек бронь счет на</t>
  </si>
  <si>
    <t>Ойбек</t>
  </si>
  <si>
    <t>пленка на авто</t>
  </si>
  <si>
    <t>Павел Воробьев</t>
  </si>
  <si>
    <t>защитная пленка в нижний проем двери шкода кодиак / 1500 один проем</t>
  </si>
  <si>
    <t>Оклейка Омода</t>
  </si>
  <si>
    <t>Шабаев</t>
  </si>
  <si>
    <t>79879056762 - Входящий звонок</t>
  </si>
  <si>
    <t>79926613614 - Входящий звонок</t>
  </si>
  <si>
    <t>Оценка GLE зоны погрузки</t>
  </si>
  <si>
    <t>александр - Открытая линия Левша</t>
  </si>
  <si>
    <t>александр</t>
  </si>
  <si>
    <t>Леонид</t>
  </si>
  <si>
    <t>79277713711 - Входящий звонок</t>
  </si>
  <si>
    <t>пленка за 3-4 тысячи</t>
  </si>
  <si>
    <t>79170141140 - Исходящий звонок</t>
  </si>
  <si>
    <t>79027423753 - Открытая линия Левша</t>
  </si>
  <si>
    <t>79608287722 - Входящий звонок</t>
  </si>
  <si>
    <t>79879196466 - Входящий звонок</t>
  </si>
  <si>
    <t>79879407589 - Входящий звонок</t>
  </si>
  <si>
    <t>Николай - Открытая линия Левша</t>
  </si>
  <si>
    <t>Oksana♣️ - Открытая линия Левша</t>
  </si>
  <si>
    <t>Oksana♣️</t>
  </si>
  <si>
    <t>пленка на машину цена</t>
  </si>
  <si>
    <t>79377960960 - Входящий звонок</t>
  </si>
  <si>
    <t>79372167576 - Входящий звонок</t>
  </si>
  <si>
    <t>Александр Приходько - Открытая линия Левша</t>
  </si>
  <si>
    <t>Приходько</t>
  </si>
  <si>
    <t>79171038211 - Входящий звонок</t>
  </si>
  <si>
    <t>79033003895 - Входящий звонок</t>
  </si>
  <si>
    <t>Александр Приходько - оклейка крыши в черный</t>
  </si>
  <si>
    <t>Artem</t>
  </si>
  <si>
    <t>79277801161 - Входящий звонок</t>
  </si>
  <si>
    <t>79178120032 - Входящий звонок</t>
  </si>
  <si>
    <t>Евген - Открытая линия Левша</t>
  </si>
  <si>
    <t>Евген</t>
  </si>
  <si>
    <t>Павел Ларин</t>
  </si>
  <si>
    <t>… - Открытая линия Левша</t>
  </si>
  <si>
    <t>…</t>
  </si>
  <si>
    <t>79023740474 - Входящий звонок</t>
  </si>
  <si>
    <t>79270163088 - Входящий звонок</t>
  </si>
  <si>
    <t>79277151008 - Входящий звонок</t>
  </si>
  <si>
    <t>Alina - Открытая линия Левша</t>
  </si>
  <si>
    <t>Alina</t>
  </si>
  <si>
    <t>Владимир Владимирович - Открытая линия Левша</t>
  </si>
  <si>
    <t>Хариер оклейка полностью (бампер, оптика, капот, крылья, зеркала, под ручками, вокруг лобового)</t>
  </si>
  <si>
    <t>79966194901 - Входящий звонок</t>
  </si>
  <si>
    <t>79198011600 - Входящий звонок</t>
  </si>
  <si>
    <t>оклейка авто самара</t>
  </si>
  <si>
    <t>79277300528 - Исходящий звонок</t>
  </si>
  <si>
    <t>79276521102 - Входящий звонок</t>
  </si>
  <si>
    <t>Малик - Открытая линия Левша</t>
  </si>
  <si>
    <t>Малик</t>
  </si>
  <si>
    <t>Artem Grishin - Открытая линия Левша</t>
  </si>
  <si>
    <t>Grishin</t>
  </si>
  <si>
    <t>79276000342 - Входящий звонок</t>
  </si>
  <si>
    <t>Частичная оклейка</t>
  </si>
  <si>
    <t>Иван Соловьёв - Открытая линия Левша</t>
  </si>
  <si>
    <t>Соловьёв</t>
  </si>
  <si>
    <t>79228646191 - Входящий звонок</t>
  </si>
  <si>
    <t>79608265041 - Входящий звонок</t>
  </si>
  <si>
    <t>Удаление пленки Убер</t>
  </si>
  <si>
    <t>холодильник обклеить</t>
  </si>
  <si>
    <t>79631156876 - Входящий звонок</t>
  </si>
  <si>
    <t>79991901707 - Входящий звонок</t>
  </si>
  <si>
    <t>защита порогов и арок</t>
  </si>
  <si>
    <t>+7 987 163-19-57</t>
  </si>
  <si>
    <t>79371772565 - Входящий звонок</t>
  </si>
  <si>
    <t>Алексей Абдалкин - Открытая линия Левша</t>
  </si>
  <si>
    <t>Абдалкин</t>
  </si>
  <si>
    <t>79171139543 - Входящий звонок</t>
  </si>
  <si>
    <t>78469568425 - Входящий звонок</t>
  </si>
  <si>
    <t>79879473214 - Входящий звонок</t>
  </si>
  <si>
    <t>оклейка кузова пленкой цена</t>
  </si>
  <si>
    <t>пленка в салон</t>
  </si>
  <si>
    <t>х6 пленка</t>
  </si>
  <si>
    <t>79608392319 - Входящий звонок</t>
  </si>
  <si>
    <t>79879730802 - Входящий звонок</t>
  </si>
  <si>
    <t>бронепленка в самаре</t>
  </si>
  <si>
    <t>79856126959 - Входящий звонок</t>
  </si>
  <si>
    <t>79991708396 - Входящий звонок</t>
  </si>
  <si>
    <t>Десятик Дмитрий - Открытая линия Левша</t>
  </si>
  <si>
    <t>Десятик</t>
  </si>
  <si>
    <t>Валëк - Открытая линия Левша</t>
  </si>
  <si>
    <t>Валëк</t>
  </si>
  <si>
    <t>+7 927 704-80-58 - Открытая линия Левша</t>
  </si>
  <si>
    <t>+7 927 704-80-58</t>
  </si>
  <si>
    <t>Matvey Andreevic - Открытая линия Левша</t>
  </si>
  <si>
    <t>Matvey</t>
  </si>
  <si>
    <t>Andreevic</t>
  </si>
  <si>
    <t>Matvey Andreevich - Открытая линия Левша</t>
  </si>
  <si>
    <t>Andreevich</t>
  </si>
  <si>
    <t>79022380570 - Входящий звонок</t>
  </si>
  <si>
    <t>+7 937 074-11-68 - Открытая линия Левша</t>
  </si>
  <si>
    <t>+7 937 074-11-68</t>
  </si>
  <si>
    <t>нанести пленку на машину</t>
  </si>
  <si>
    <t>Гордеев Сергей - Открытая линия Левша</t>
  </si>
  <si>
    <t>Гордеев</t>
  </si>
  <si>
    <t>79379991808 - Входящий звонок</t>
  </si>
  <si>
    <t>79372134959 - Входящий звонок</t>
  </si>
  <si>
    <t>78466123803 - Входящий звонок</t>
  </si>
  <si>
    <t>Alex - Открытая линия Левша</t>
  </si>
  <si>
    <t>детейлинг сервис</t>
  </si>
  <si>
    <t>79033557055 - Входящий звонок</t>
  </si>
  <si>
    <t>79171078515 - Входящий звонок</t>
  </si>
  <si>
    <t>Роман Городков</t>
  </si>
  <si>
    <t>Сергей - Открытая линия Левша</t>
  </si>
  <si>
    <t>79370787603 - Входящий звонок</t>
  </si>
  <si>
    <t>Коля Сметана - Открытая линия Левша</t>
  </si>
  <si>
    <t>Коля</t>
  </si>
  <si>
    <t>Сметана</t>
  </si>
  <si>
    <t>Плохо обработан менеджером</t>
  </si>
  <si>
    <t>79050187944 - Входящий звонок</t>
  </si>
  <si>
    <t>79179488887 - Входящий звонок</t>
  </si>
  <si>
    <t>Дмитрий Ерофеев</t>
  </si>
  <si>
    <t>79171676608 - Входящий звонок</t>
  </si>
  <si>
    <t>Алекс - Открытая линия Левша</t>
  </si>
  <si>
    <t>Алекс</t>
  </si>
  <si>
    <t>79170373436 - Входящий звонок</t>
  </si>
  <si>
    <t>79277449048 - Входящий звонок</t>
  </si>
  <si>
    <t>Денис Поставной - Открытая линия Левша</t>
  </si>
  <si>
    <t>Поставной</t>
  </si>
  <si>
    <t>79376522331 - Входящий звонок</t>
  </si>
  <si>
    <t>79276572919 - Входящий звонок</t>
  </si>
  <si>
    <t>79377943843 - Входящий звонок</t>
  </si>
  <si>
    <t>79277337199 - Входящий звонок</t>
  </si>
  <si>
    <t>Антон Шлыков - Открытая линия Левша</t>
  </si>
  <si>
    <t>Шлыков</t>
  </si>
  <si>
    <t>79277285838 - Входящий звонок</t>
  </si>
  <si>
    <t>78462696461 - Входящий звонок</t>
  </si>
  <si>
    <t>79031462211 - Входящий звонок</t>
  </si>
  <si>
    <t>Петров</t>
  </si>
  <si>
    <t>79871581318 - Входящий звонок</t>
  </si>
  <si>
    <t>+7 927 261-12-11</t>
  </si>
  <si>
    <t>Дмитрий Джафаров - Открытая линия Левша</t>
  </si>
  <si>
    <t>Джафаров</t>
  </si>
  <si>
    <t>79171636150 - Входящий звонок</t>
  </si>
  <si>
    <t>79270066166 - Исходящий звонок</t>
  </si>
  <si>
    <t>+7 937 200-92-55 - Открытая линия Левша</t>
  </si>
  <si>
    <t>+7 937 200-92-55</t>
  </si>
  <si>
    <t>полировка авто</t>
  </si>
  <si>
    <t>R@ - Открытая линия Левша</t>
  </si>
  <si>
    <t>R@</t>
  </si>
  <si>
    <t>забронировать пленкой автомобиль</t>
  </si>
  <si>
    <t>79270021732 - Входящий звонок</t>
  </si>
  <si>
    <t>79272076065 - Входящий звонок</t>
  </si>
  <si>
    <t>Асатур - Открытая линия Левша</t>
  </si>
  <si>
    <t>Асатур</t>
  </si>
  <si>
    <t>79272013019 - Входящий звонок</t>
  </si>
  <si>
    <t>78469797086 - Входящий звонок</t>
  </si>
  <si>
    <t>79626022122 - Входящий звонок</t>
  </si>
  <si>
    <t>79179511858 - Входящий звонок</t>
  </si>
  <si>
    <t>ООО - Открытая линия Левша</t>
  </si>
  <si>
    <t>ООО</t>
  </si>
  <si>
    <t>79171666093 - Входящий звонок</t>
  </si>
  <si>
    <t>Fadi Alsalem - Открытая линия Левша</t>
  </si>
  <si>
    <t>Fadi</t>
  </si>
  <si>
    <t>Alsalem</t>
  </si>
  <si>
    <t>79171179903 - Входящий звонок</t>
  </si>
  <si>
    <t>оклейка центральной консоли в салоне Exceed</t>
  </si>
  <si>
    <t>79136095581 - Входящий звонок</t>
  </si>
  <si>
    <t>защитной пленкой велосипед заклеить</t>
  </si>
  <si>
    <t>79270029046 - Входящий звонок</t>
  </si>
  <si>
    <t>винил</t>
  </si>
  <si>
    <t>пленка на пороги</t>
  </si>
  <si>
    <t>Vahag (Lupentoo Jewelry) - Открытая линия Левша</t>
  </si>
  <si>
    <t>Vahag (Lupentoo Jewelry)</t>
  </si>
  <si>
    <t>Артём Шухмин - Открытая линия Левша</t>
  </si>
  <si>
    <t>Шухмин</t>
  </si>
  <si>
    <t>Александр Марцев</t>
  </si>
  <si>
    <t>79372375965 - Входящий звонок</t>
  </si>
  <si>
    <t>79899733022 - Входящий звонок</t>
  </si>
  <si>
    <t>79198025225 - Входящий звонок</t>
  </si>
  <si>
    <t>79372052075 - Входящий звонок</t>
  </si>
  <si>
    <t>79588413244 - Входящий звонок</t>
  </si>
  <si>
    <t>Павел - Открытая линия Левша</t>
  </si>
  <si>
    <t>Z</t>
  </si>
  <si>
    <t>79277271800 - Входящий звонок</t>
  </si>
  <si>
    <t>79991728352 - Входящий звонок</t>
  </si>
  <si>
    <t>Рафаиль - Открытая линия Левша</t>
  </si>
  <si>
    <t>Рафаиль</t>
  </si>
  <si>
    <t>79171424470 - Входящий звонок</t>
  </si>
  <si>
    <t>Никита - Открытая линия Левша</t>
  </si>
  <si>
    <t>79279071694 - Исходящий звонок</t>
  </si>
  <si>
    <t>Паша Берилл - Открытая линия Левша</t>
  </si>
  <si>
    <t>Паша</t>
  </si>
  <si>
    <t>Берилл</t>
  </si>
  <si>
    <t>Андрей - Открытая линия Левша</t>
  </si>
  <si>
    <t>Дмитрий Митрофанов - Открытая линия Левша</t>
  </si>
  <si>
    <t>Митрофанов</t>
  </si>
  <si>
    <t>79276093601 - Входящий звонок</t>
  </si>
  <si>
    <t>Лилия Огаркова - Открытая линия Левша</t>
  </si>
  <si>
    <t>Лилия</t>
  </si>
  <si>
    <t>Огаркова</t>
  </si>
  <si>
    <t>79991719732 - Входящий звонок</t>
  </si>
  <si>
    <t>цветная пленка</t>
  </si>
  <si>
    <t>Корвус</t>
  </si>
  <si>
    <t>79270144267 - Входящий звонок</t>
  </si>
  <si>
    <t>пленка и антидождь</t>
  </si>
  <si>
    <t>Михаил Сергеев - Открытая линия Левша</t>
  </si>
  <si>
    <t>Сергеев</t>
  </si>
  <si>
    <t>пленка на пороги Рио</t>
  </si>
  <si>
    <t>78462795530 - Входящий звонок</t>
  </si>
  <si>
    <t>79179579706 - Входящий звонок</t>
  </si>
  <si>
    <t>79874517210 - Входящий звонок</t>
  </si>
  <si>
    <t>79608295565 - Входящий звонок</t>
  </si>
  <si>
    <t>79297012030 - Входящий звонок</t>
  </si>
  <si>
    <t>79171502493 - Входящий звонок</t>
  </si>
  <si>
    <t>79371744785 - Входящий звонок</t>
  </si>
  <si>
    <t>фара пленка</t>
  </si>
  <si>
    <t>79276162621 - Входящий звонок</t>
  </si>
  <si>
    <t>79272053234 - Входящий звонок</t>
  </si>
  <si>
    <t>пленка на мазду в круг</t>
  </si>
  <si>
    <t>79378822771 - Входящий звонок</t>
  </si>
  <si>
    <t>Denis Avachev - Открытая линия Левша</t>
  </si>
  <si>
    <t>Avachev</t>
  </si>
  <si>
    <t>79879078848 - Входящий звонок</t>
  </si>
  <si>
    <t>Гелик 2020 года пленка или полировка-защитки</t>
  </si>
  <si>
    <t>79277317127 - Входящий звонок</t>
  </si>
  <si>
    <t>антигравийная пленка</t>
  </si>
  <si>
    <t>Станислав Исаков</t>
  </si>
  <si>
    <t>79033027959 - Входящий звонок</t>
  </si>
  <si>
    <t>Александр Майоров - Открытая линия Левша</t>
  </si>
  <si>
    <t>Майоров</t>
  </si>
  <si>
    <t>79203666605 - Входящий звонок</t>
  </si>
  <si>
    <t>79649886687 - Входящий звонок</t>
  </si>
  <si>
    <t>+7 927 729-65-01 - Открытая линия Левша</t>
  </si>
  <si>
    <t>+7 927 729-65-01</t>
  </si>
  <si>
    <t>Х5 затонировать и морду в пленку, юр.лицо</t>
  </si>
  <si>
    <t>Королла оклейка салона</t>
  </si>
  <si>
    <t>Пленка GLC повредили пленку на крыле и фаре, нужен демонтаж и новая оклейка</t>
  </si>
  <si>
    <t>Надежда Чебанова - Открытая линия Левша</t>
  </si>
  <si>
    <t>Чебанова</t>
  </si>
  <si>
    <t>антигравийная пленка Creta</t>
  </si>
  <si>
    <t>79869500909 - Входящий звонок</t>
  </si>
  <si>
    <t>вячеслав</t>
  </si>
  <si>
    <t>пороги на октивии а5</t>
  </si>
  <si>
    <t>пленка на мотоцикл на пластиковые</t>
  </si>
  <si>
    <t>79277153338 - Исходящий звонок</t>
  </si>
  <si>
    <t>Юнес Ильясов</t>
  </si>
  <si>
    <t>79276992116 - Входящий звонок</t>
  </si>
  <si>
    <t>Mercedes GLC</t>
  </si>
  <si>
    <t>Семен Семенов - Открытая линия Левша</t>
  </si>
  <si>
    <t>Семен</t>
  </si>
  <si>
    <t>Семенов</t>
  </si>
  <si>
    <t>79270004183 - Входящий звонок</t>
  </si>
  <si>
    <t>79292960775 - Входящий звонок</t>
  </si>
  <si>
    <t>79228111577 - Входящий звонок</t>
  </si>
  <si>
    <t>Vyacheslav Kostyunin - Открытая линия Левша</t>
  </si>
  <si>
    <t>Vyacheslav</t>
  </si>
  <si>
    <t>Kostyunin</t>
  </si>
  <si>
    <t>79379916015 - Входящий звонок</t>
  </si>
  <si>
    <t>антигрвийная пленка</t>
  </si>
  <si>
    <t>Виталий Бондаренко - Открытая линия Левша</t>
  </si>
  <si>
    <t>Бондаренко</t>
  </si>
  <si>
    <t>капот, бампер, фары ГЛЦ</t>
  </si>
  <si>
    <t>79022909251 - Входящий звонок</t>
  </si>
  <si>
    <t>79277774758 - Входящий звонок</t>
  </si>
  <si>
    <t>+7 929 702-41-71</t>
  </si>
  <si>
    <t>Обратный звонок</t>
  </si>
  <si>
    <t>оклейка кузова пленкой</t>
  </si>
  <si>
    <t>Андрей Цедрик - Открытая линия Левша</t>
  </si>
  <si>
    <t>Цедрик</t>
  </si>
  <si>
    <t>Amigo163 - Открытая линия Левша</t>
  </si>
  <si>
    <t>Amigo163</t>
  </si>
  <si>
    <t>79171109399 - Входящий звонок</t>
  </si>
  <si>
    <t>79277595750 - Входящий звонок</t>
  </si>
  <si>
    <t>79051197755 - Входящий звонок</t>
  </si>
  <si>
    <t>79376481253 - Входящий звонок</t>
  </si>
  <si>
    <t>79198056088 - Входящий звонок</t>
  </si>
  <si>
    <t>79869534904 - Входящий звонок</t>
  </si>
  <si>
    <t>79272995767 - Входящий звонок</t>
  </si>
  <si>
    <t>79277059464 - Входящий звонок</t>
  </si>
  <si>
    <t>79270205006 - Входящий звонок</t>
  </si>
  <si>
    <t>г-жа</t>
  </si>
  <si>
    <t>79272672145 - Входящий звонок</t>
  </si>
  <si>
    <t>79171503765 - Входящий звонок</t>
  </si>
  <si>
    <t>78412292659 - Исходящий звонок</t>
  </si>
  <si>
    <t>79171129849 - Входящий звонок</t>
  </si>
  <si>
    <t>79947777771 - Входящий звонок</t>
  </si>
  <si>
    <t>Оклейка винилом</t>
  </si>
  <si>
    <t>константин</t>
  </si>
  <si>
    <t>Егор Яковлев - Открытая линия Левша</t>
  </si>
  <si>
    <t>Яковлев</t>
  </si>
  <si>
    <t>79198052414 - Исходящий звонок</t>
  </si>
  <si>
    <t>79879236135 - Исходящий звонок</t>
  </si>
  <si>
    <t>Герман Поверенов - Открытая линия Левша</t>
  </si>
  <si>
    <t>Поверенов</t>
  </si>
  <si>
    <t>оклейка автомобиля пленкой</t>
  </si>
  <si>
    <t>79308984588 - Входящий звонок</t>
  </si>
  <si>
    <t>79256207263 - Входящий звонок</t>
  </si>
  <si>
    <t>79276188895 - Входящий звонок</t>
  </si>
  <si>
    <t>79120769443 - Входящий звонок</t>
  </si>
  <si>
    <t>79235205559 - Входящий звонок</t>
  </si>
  <si>
    <t>78469998569 - Входящий звонок</t>
  </si>
  <si>
    <t>79270007046 - Входящий звонок</t>
  </si>
  <si>
    <t>Дарья Петрусь - Открытая линия Левша</t>
  </si>
  <si>
    <t>Петрусь</t>
  </si>
  <si>
    <t>79613834545 - Входящий звонок</t>
  </si>
  <si>
    <t>79371891967 - Входящий звонок</t>
  </si>
  <si>
    <t>Юрий - Открытая линия Левша</t>
  </si>
  <si>
    <t>79372151222 - Входящий звонок</t>
  </si>
  <si>
    <t>не компания - Открытая линия Левша</t>
  </si>
  <si>
    <t>не</t>
  </si>
  <si>
    <t>79163374795 - Входящий звонок</t>
  </si>
  <si>
    <t>78462271834 - Входящий звонок</t>
  </si>
  <si>
    <t>+7 937 171-24-34 - Открытая линия Левша</t>
  </si>
  <si>
    <t>+7 937 171-24-34</t>
  </si>
  <si>
    <t>оклейка авто пленкой</t>
  </si>
  <si>
    <t>79277033063 - Входящий звонок</t>
  </si>
  <si>
    <t>79198081173 - Входящий звонок</t>
  </si>
  <si>
    <t>79277032360 - Входящий звонок</t>
  </si>
  <si>
    <t>Артур Антипов - Открытая линия Левша</t>
  </si>
  <si>
    <t>Антипов</t>
  </si>
  <si>
    <t>79270230042 - Входящий звонок</t>
  </si>
  <si>
    <t>79276549994 - Входящий звонок</t>
  </si>
  <si>
    <t>79272074800 - Входящий звонок</t>
  </si>
  <si>
    <t>79277516066 - Входящий звонок</t>
  </si>
  <si>
    <t>+7 988 952-32-17 - Открытая линия Левша</t>
  </si>
  <si>
    <t>+7 988 952-32-17</t>
  </si>
  <si>
    <t>79179664000 - Входящий звонок</t>
  </si>
  <si>
    <t>Василий Самсонов - Открытая линия Левша</t>
  </si>
  <si>
    <t>79171058236 - Входящий звонок</t>
  </si>
  <si>
    <t>79171684667 - Входящий звонок</t>
  </si>
  <si>
    <t>+7 922 540-88-77 - Открытая линия Левша</t>
  </si>
  <si>
    <t>+7 922 540-88-77</t>
  </si>
  <si>
    <t>79171433831 - Входящий звонок</t>
  </si>
  <si>
    <t>79372037650 - Входящий звонок</t>
  </si>
  <si>
    <t>79879101390 - Входящий звонок</t>
  </si>
  <si>
    <t>79023754317 - Входящий звонок</t>
  </si>
  <si>
    <t>73432553795 - Входящий звонок</t>
  </si>
  <si>
    <t>Юлия - Открытая линия Левша</t>
  </si>
  <si>
    <t>Игорь Гнеденко - Открытая линия Левша</t>
  </si>
  <si>
    <t>Гнеденко</t>
  </si>
  <si>
    <t>79277040006 - Входящий звонок</t>
  </si>
  <si>
    <t>78469532948 - Входящий звонок</t>
  </si>
  <si>
    <t>Заявка с сайта ЛЕВША - форма Оформление заказа</t>
  </si>
  <si>
    <t>79379924088 - Входящий звонок</t>
  </si>
  <si>
    <t>РЖД Вагоны демонтаж пленки</t>
  </si>
  <si>
    <t>79277010199 - Входящий звонок</t>
  </si>
  <si>
    <t>Лекс</t>
  </si>
  <si>
    <t>Сав</t>
  </si>
  <si>
    <t>79991700237 - Входящий звонок</t>
  </si>
  <si>
    <t>79878176645 - Входящий звонок</t>
  </si>
  <si>
    <t>Ирина - Открытая линия Левша</t>
  </si>
  <si>
    <t>Алексеевна</t>
  </si>
  <si>
    <t>79272013199 - Входящий звонок</t>
  </si>
  <si>
    <t>79371896580 - Входящий звонок</t>
  </si>
  <si>
    <t>79667954419 - Входящий звонок</t>
  </si>
  <si>
    <t>79966247414 - Входящий звонок</t>
  </si>
  <si>
    <t>79170132121 - Входящий звонок</t>
  </si>
  <si>
    <t>79994523206 - Входящий звонок</t>
  </si>
  <si>
    <t>79277843132 - Входящий звонок</t>
  </si>
  <si>
    <t>79376490021 - Входящий звонок</t>
  </si>
  <si>
    <t>Заявка с сайта ЛЕВША - форма Задать вопрос</t>
  </si>
  <si>
    <t>79277432404 - Входящий звонок</t>
  </si>
  <si>
    <t>Антон Павлов - Открытая линия Левша</t>
  </si>
  <si>
    <t>Павлов</t>
  </si>
  <si>
    <t>Виталий Синяев</t>
  </si>
  <si>
    <t>79879171251 - Входящий звонок</t>
  </si>
  <si>
    <t>79179650360 - Входящий звонок</t>
  </si>
  <si>
    <t>79227888029 - Входящий звонок</t>
  </si>
  <si>
    <t>79297037333 - Входящий звонок</t>
  </si>
  <si>
    <t>обклейка машины бронированной пленкой цены</t>
  </si>
  <si>
    <t>79171535699 - Входящий звонок</t>
  </si>
  <si>
    <t>Владимир Горбунов - Открытая линия Левша</t>
  </si>
  <si>
    <t>Горбунов</t>
  </si>
  <si>
    <t>79379919111 - Входящий звонок</t>
  </si>
  <si>
    <t>79608251639 - Входящий звонок</t>
  </si>
  <si>
    <t>79033036965 - Входящий звонок</t>
  </si>
  <si>
    <t>79272099301 - Входящий звонок</t>
  </si>
  <si>
    <t>79277516478 - Входящий звонок</t>
  </si>
  <si>
    <t>Сысоев</t>
  </si>
  <si>
    <t>+7 999 171-22-12 - Открытая линия Левша</t>
  </si>
  <si>
    <t>+7 999 171-22-12</t>
  </si>
  <si>
    <t>бронирование пленкой автомобиля в самаре цена</t>
  </si>
  <si>
    <t>78463132173 - Входящий звонок</t>
  </si>
  <si>
    <t>Фёдор</t>
  </si>
  <si>
    <t>оклейка полиуретановой пленкой</t>
  </si>
  <si>
    <t>Мария - Открытая линия Левша</t>
  </si>
  <si>
    <t>Майя - Открытая линия Левша</t>
  </si>
  <si>
    <t>Майя</t>
  </si>
  <si>
    <t>78469202924 - Входящий звонок</t>
  </si>
  <si>
    <t>79608233303 - Входящий звонок</t>
  </si>
  <si>
    <t>79608496365 - Входящий звонок</t>
  </si>
  <si>
    <t>79879593958 - Входящий звонок</t>
  </si>
  <si>
    <t>79272670677 - Входящий звонок</t>
  </si>
  <si>
    <t>79171496220 - Входящий звонок</t>
  </si>
  <si>
    <t>Дима Матвеев - Открытая линия Левша</t>
  </si>
  <si>
    <t>Матвеев</t>
  </si>
  <si>
    <t>Ильдар - Открытая линия Левша</t>
  </si>
  <si>
    <t>Ильдар</t>
  </si>
  <si>
    <t>79277565266 - Входящий звонок</t>
  </si>
  <si>
    <t>79277329587 - Входящий звонок</t>
  </si>
  <si>
    <t>79171043256 - Входящий звонок</t>
  </si>
  <si>
    <t>79171589953 - Входящий звонок</t>
  </si>
  <si>
    <t>Сергей Самарцев - Открытая линия Левша</t>
  </si>
  <si>
    <t>Самарцев</t>
  </si>
  <si>
    <t>Алексей Горбунов - Открытая линия Левша</t>
  </si>
  <si>
    <t>79272043602 - Входящий звонок</t>
  </si>
  <si>
    <t>79279388860 - Входящий звонок</t>
  </si>
  <si>
    <t>79967322606 - Входящий звонок</t>
  </si>
  <si>
    <t>Lis - Открытая линия Левша</t>
  </si>
  <si>
    <t>автосервис</t>
  </si>
  <si>
    <t>79272650233 - Входящий звонок</t>
  </si>
  <si>
    <t>79276219154 - Входящий звонок</t>
  </si>
  <si>
    <t>Niko - Открытая линия Левша</t>
  </si>
  <si>
    <t>Niko</t>
  </si>
  <si>
    <t>Иван Солдаткин</t>
  </si>
  <si>
    <t>79270072956 - Входящий звонок</t>
  </si>
  <si>
    <t>79276532587 - Входящий звонок</t>
  </si>
  <si>
    <t>79879005939 - Входящий звонок</t>
  </si>
  <si>
    <t>Роман Семёнов - Открытая линия Левша</t>
  </si>
  <si>
    <t>Семёнов</t>
  </si>
  <si>
    <t>АНАТОЛИЙ - Открытая линия Левша</t>
  </si>
  <si>
    <t>АНАТОЛИЙ</t>
  </si>
  <si>
    <t>And Vainakh - Открытая линия Левша</t>
  </si>
  <si>
    <t>And</t>
  </si>
  <si>
    <t>Vainakh</t>
  </si>
  <si>
    <t>79613818999 - Входящий звонок</t>
  </si>
  <si>
    <t>Кузнецов Алексей - Открытая линия Левша</t>
  </si>
  <si>
    <t>79376503081 - Входящий звонок</t>
  </si>
  <si>
    <t>Виктория Коваленко</t>
  </si>
  <si>
    <t>79093434979 - Входящий звонок</t>
  </si>
  <si>
    <t>Рамиль - Открытая линия Левша</t>
  </si>
  <si>
    <t>79270059536 - Входящий звонок</t>
  </si>
  <si>
    <t>79991715959 - Входящий звонок</t>
  </si>
  <si>
    <t>79379942004 - Входящий звонок</t>
  </si>
  <si>
    <t>79297078387 - Входящий звонок</t>
  </si>
  <si>
    <t>Михаил Осипов</t>
  </si>
  <si>
    <t>влад - Открытая линия Левша</t>
  </si>
  <si>
    <t>влад</t>
  </si>
  <si>
    <t>Лена Спирина - Открытая линия Левша</t>
  </si>
  <si>
    <t>Лена</t>
  </si>
  <si>
    <t>Спирина</t>
  </si>
  <si>
    <t>+7 937 794-38-43</t>
  </si>
  <si>
    <t>79277286508 - Входящий звонок</t>
  </si>
  <si>
    <t>79372060766 - Входящий звонок</t>
  </si>
  <si>
    <t>79397504000 - Входящий звонок</t>
  </si>
  <si>
    <t>Анатолий Агатов - Открытая линия Левша</t>
  </si>
  <si>
    <t>Агатов</t>
  </si>
  <si>
    <t>79179555001 - Входящий звонок</t>
  </si>
  <si>
    <t>79277571186 - Входящий звонок</t>
  </si>
  <si>
    <t>Mers - Открытая линия Левша</t>
  </si>
  <si>
    <t>Mers</t>
  </si>
  <si>
    <t>79159753621 - Входящий звонок</t>
  </si>
  <si>
    <t>Максим Долотов - Открытая линия Левша</t>
  </si>
  <si>
    <t>Долотов</t>
  </si>
  <si>
    <t>79997690838 - Входящий звонок</t>
  </si>
  <si>
    <t>79053037635 - Исходящий звонок</t>
  </si>
  <si>
    <t>79879144252 - Входящий звонок</t>
  </si>
  <si>
    <t>@Valery_Lukyanov - Открытая линия Левша</t>
  </si>
  <si>
    <t>@Valery_Lukyanov</t>
  </si>
  <si>
    <t>оклейка пленкой самара</t>
  </si>
  <si>
    <t>79376481706 - Входящий звонок</t>
  </si>
  <si>
    <t>78462024706 - Входящий звонок</t>
  </si>
  <si>
    <t>79934640511 - Входящий звонок</t>
  </si>
  <si>
    <t>79297061518 - Входящий звонок</t>
  </si>
  <si>
    <t>79277521035 - Входящий звонок</t>
  </si>
  <si>
    <t>Заполнение CRM-формы "Форма обратной связи"</t>
  </si>
  <si>
    <t>Фарходжон</t>
  </si>
  <si>
    <t>Абдукаюмов</t>
  </si>
  <si>
    <t>Вадим - Открытая линия Левша</t>
  </si>
  <si>
    <t>79270013590 - Входящий звонок</t>
  </si>
  <si>
    <t>79277988772 - Входящий звонок</t>
  </si>
  <si>
    <t>79397510759 - Входящий звонок</t>
  </si>
  <si>
    <t>79270134944 - Входящий звонок</t>
  </si>
  <si>
    <t>79377905677 - Входящий звонок</t>
  </si>
  <si>
    <t>79270192999 - Входящий звонок</t>
  </si>
  <si>
    <t>Игорь Бойков - Открытая линия Левша</t>
  </si>
  <si>
    <t>Бойков</t>
  </si>
  <si>
    <t>Влад Дуненков - Открытая линия Левша</t>
  </si>
  <si>
    <t>Дуненков</t>
  </si>
  <si>
    <t>79279040050 - Входящий звонок</t>
  </si>
  <si>
    <t>79276556515 - Входящий звонок</t>
  </si>
  <si>
    <t>79179500009 - Входящий звонок</t>
  </si>
  <si>
    <t>Andrey - Открытая линия Левша</t>
  </si>
  <si>
    <t>79272033157 - Исходящий звонок</t>
  </si>
  <si>
    <t>78463793212 - Входящий звонок</t>
  </si>
  <si>
    <t>79370775581 - Входящий звонок</t>
  </si>
  <si>
    <t>79613803780 - Входящий звонок</t>
  </si>
  <si>
    <t>79376550917 - Исходящий звонок</t>
  </si>
  <si>
    <t>79276563684 - Исходящий звонок</t>
  </si>
  <si>
    <t>79277044340 - Исходящий звонок</t>
  </si>
  <si>
    <t>79033015907 - Входящий звонок</t>
  </si>
  <si>
    <t>Маркин</t>
  </si>
  <si>
    <t>79063459889 - Входящий звонок</t>
  </si>
  <si>
    <t>79277597717 - Входящий звонок</t>
  </si>
  <si>
    <t>79279040506 - Входящий звонок</t>
  </si>
  <si>
    <t>Ильнур Зарипов - Открытая линия Левша</t>
  </si>
  <si>
    <t>Зарипов</t>
  </si>
  <si>
    <t>Гоибов Александр Ан - Открытая линия Левша</t>
  </si>
  <si>
    <t>Гоибов Александр Ан</t>
  </si>
  <si>
    <t>79649363607 - Входящий звонок</t>
  </si>
  <si>
    <t>79370705048 - Входящий звонок</t>
  </si>
  <si>
    <t>79991714279 - Входящий звонок</t>
  </si>
  <si>
    <t>79198091802 - Входящий звонок</t>
  </si>
  <si>
    <t>79276857495 - Входящий звонок</t>
  </si>
  <si>
    <t>Андрей Петров - Открытая линия Левша</t>
  </si>
  <si>
    <t>Сергей Валерьевич - Открытая линия Левша</t>
  </si>
  <si>
    <t>79879057709 - Входящий звонок</t>
  </si>
  <si>
    <t>79276884746 - Входящий звонок</t>
  </si>
  <si>
    <t>79279063538 - Входящий звонок</t>
  </si>
  <si>
    <t>78462424721 - Входящий звонок</t>
  </si>
  <si>
    <t>79379945200 - Исходящий звонок</t>
  </si>
  <si>
    <t>79270094449 - Входящий звонок</t>
  </si>
  <si>
    <t>Володя Аксёнов - Открытая линия Левша</t>
  </si>
  <si>
    <t>Володя</t>
  </si>
  <si>
    <t>Аксёнов</t>
  </si>
  <si>
    <t>79277293949 - Входящий звонок</t>
  </si>
  <si>
    <t>79277209798 - Входящий звонок</t>
  </si>
  <si>
    <t>Артем Ермолов - Открытая линия Левша</t>
  </si>
  <si>
    <t>Ермолов</t>
  </si>
  <si>
    <t>79376555540 - Входящий звонок</t>
  </si>
  <si>
    <t>79649774505 - Входящий звонок</t>
  </si>
  <si>
    <t>Михаил - Открытая линия Левша</t>
  </si>
  <si>
    <t>79033001900 - Входящий звонок</t>
  </si>
  <si>
    <t>Вольфганг Иоганн - Открытая линия Левша</t>
  </si>
  <si>
    <t>Вольфганг</t>
  </si>
  <si>
    <t>Иоганн</t>
  </si>
  <si>
    <t>VM - Открытая линия Левша</t>
  </si>
  <si>
    <t>VM</t>
  </si>
  <si>
    <t>79278958741 - Входящий звонок</t>
  </si>
  <si>
    <t>79171067422 - Входящий звонок</t>
  </si>
  <si>
    <t>78462277919 - Входящий звонок</t>
  </si>
  <si>
    <t>79277033373 - Входящий звонок</t>
  </si>
  <si>
    <t>79179566276 - Входящий звонок</t>
  </si>
  <si>
    <t>гидрик в пленку</t>
  </si>
  <si>
    <t>79276048818 - Входящий звонок</t>
  </si>
  <si>
    <t>79874570984 - Входящий звонок</t>
  </si>
  <si>
    <t>79198002524 - Входящий звонок</t>
  </si>
  <si>
    <t>79869515868 - Входящий звонок</t>
  </si>
  <si>
    <t>79276069766 - Входящий звонок</t>
  </si>
  <si>
    <t>Логистика_UMI_Самара - Открытая линия Левша</t>
  </si>
  <si>
    <t>Логистика_UMI_Самара</t>
  </si>
  <si>
    <t>79179456646 - Входящий звонок</t>
  </si>
  <si>
    <t>79170344763 - Входящий звонок</t>
  </si>
  <si>
    <t>+7 987 152-62-65 - Открытая линия Левша</t>
  </si>
  <si>
    <t>+7 987 152-62-65</t>
  </si>
  <si>
    <t>+7 917 948-55-98 - Открытая линия Левша</t>
  </si>
  <si>
    <t>+7 917 948-55-98</t>
  </si>
  <si>
    <t>+7 939 752-32-22 - Открытая линия Левша</t>
  </si>
  <si>
    <t>+7 939 752-32-22</t>
  </si>
  <si>
    <t>79272950555 - Входящий звонок</t>
  </si>
  <si>
    <t>79372091616 - Входящий звонок</t>
  </si>
  <si>
    <t>Заявка с сайта ЛЕВША</t>
  </si>
  <si>
    <t>79171348415 - Входящий звонок</t>
  </si>
  <si>
    <t>Павел Веста св</t>
  </si>
  <si>
    <t>79277399158 - Входящий звонок</t>
  </si>
  <si>
    <t>79370606376 - Входящий звонок</t>
  </si>
  <si>
    <t>79397546350 - Входящий звонок</t>
  </si>
  <si>
    <t>79277946553 - Входящий звонок</t>
  </si>
  <si>
    <t>Nikolai Lebedev - Открытая линия Левша</t>
  </si>
  <si>
    <t>Nikolai</t>
  </si>
  <si>
    <t>Lebedev</t>
  </si>
  <si>
    <t>Денис Тойота рав 4 22 год</t>
  </si>
  <si>
    <t>79822069624 - Входящий звонок</t>
  </si>
  <si>
    <t>79171161214 - Входящий звонок</t>
  </si>
  <si>
    <t>Сергей По Грейт Вол Ховер Н3</t>
  </si>
  <si>
    <t>Валерий Садовский Lada 2171</t>
  </si>
  <si>
    <t>73534239500 - Входящий звонок</t>
  </si>
  <si>
    <t>Владимир Geely Tugella</t>
  </si>
  <si>
    <t>Валерий Лада Приора</t>
  </si>
  <si>
    <t>79035950470 - Входящий звонок</t>
  </si>
  <si>
    <t>Дмитрий Haval Jolion</t>
  </si>
  <si>
    <t>79615350573 - Исходящий звонок</t>
  </si>
  <si>
    <t>Максим Уткин - Открытая линия Левша</t>
  </si>
  <si>
    <t>Уткин</t>
  </si>
  <si>
    <t>79276541100 - Входящий звонок</t>
  </si>
  <si>
    <t>79879874968 - Входящий звонок</t>
  </si>
  <si>
    <t>79277179697 - Входящий звонок</t>
  </si>
  <si>
    <t>79372168804 - Входящий звонок</t>
  </si>
  <si>
    <t>79379946880 - Входящий звонок</t>
  </si>
  <si>
    <t>79169643636 - Входящий звонок</t>
  </si>
  <si>
    <t>79277595554 - Входящий звонок</t>
  </si>
  <si>
    <t>78462603813 - Входящий звонок</t>
  </si>
  <si>
    <t>79879476313 - Входящий звонок</t>
  </si>
  <si>
    <t>79171618800 - Входящий звонок</t>
  </si>
  <si>
    <t>79272081516 - Входящий звонок</t>
  </si>
  <si>
    <t>79063420582 - Входящий звонок</t>
  </si>
  <si>
    <t>79272624431 - Входящий звонок</t>
  </si>
  <si>
    <t>79253211925 - Входящий звонок</t>
  </si>
  <si>
    <t>79277462545 - Входящий звонок</t>
  </si>
  <si>
    <t>79677631700 - Входящий звонок</t>
  </si>
  <si>
    <t>Семен - Открытая линия Левша</t>
  </si>
  <si>
    <t>79270008069 - Входящий звонок</t>
  </si>
  <si>
    <t>79272072665 - Входящий звонок</t>
  </si>
  <si>
    <t>Юрий Форкунов - Открытая линия Левша</t>
  </si>
  <si>
    <t>Instagram Direct - Открытая линия Левша</t>
  </si>
  <si>
    <t>Форкунов</t>
  </si>
  <si>
    <t>79277368352 - Исходящий звонок</t>
  </si>
  <si>
    <t>79277904748 - Входящий звонок</t>
  </si>
  <si>
    <t>Влад Ярославцев - Открытая линия Левша</t>
  </si>
  <si>
    <t>Ярославцев</t>
  </si>
  <si>
    <t>79272019191 - Входящий звонок</t>
  </si>
  <si>
    <t>Елена - Открытая линия Левша</t>
  </si>
  <si>
    <t>GavrLive - Открытая линия Левша</t>
  </si>
  <si>
    <t>GavrLive</t>
  </si>
  <si>
    <t>79277375852 - Входящий звонок</t>
  </si>
  <si>
    <t>79277387776 - Входящий звонок</t>
  </si>
  <si>
    <t>79276007676 - Входящий звонок</t>
  </si>
  <si>
    <t>Vitaly Strelkov - Открытая линия Левша</t>
  </si>
  <si>
    <t>Vitaly</t>
  </si>
  <si>
    <t>Strelkov</t>
  </si>
  <si>
    <t>79649838835 - Исходящий звонок</t>
  </si>
  <si>
    <t>79171013453 - Входящий звонок</t>
  </si>
  <si>
    <t>79371713379 - Входящий звонок</t>
  </si>
  <si>
    <t>79270152939 - Входящий звонок</t>
  </si>
  <si>
    <t>Игорь Нива 2124</t>
  </si>
  <si>
    <t>Жека Меренков - Открытая линия Левша</t>
  </si>
  <si>
    <t>Жека</t>
  </si>
  <si>
    <t>Меренков</t>
  </si>
  <si>
    <t>IgorOK - Открытая линия Левша</t>
  </si>
  <si>
    <t>IgorOK</t>
  </si>
  <si>
    <t>79374019919 - Входящий звонок</t>
  </si>
  <si>
    <t>79277095531 - Входящий звонок</t>
  </si>
  <si>
    <t>79198068406 - Входящий звонок</t>
  </si>
  <si>
    <t>79276899517 - Входящий звонок</t>
  </si>
  <si>
    <t>виталий аутлендер</t>
  </si>
  <si>
    <t>Владимир Шкода Карок</t>
  </si>
  <si>
    <t>Павел Ворошилин - Открытая линия Левша</t>
  </si>
  <si>
    <t>Ворошилин</t>
  </si>
  <si>
    <t>Сёмкин Денис - Открытая линия Левша</t>
  </si>
  <si>
    <t>Сёмкин</t>
  </si>
  <si>
    <t>79226292030 - Входящий звонок</t>
  </si>
  <si>
    <t>Александр audi q5 sportback 2021</t>
  </si>
  <si>
    <t>79272635888 - Входящий звонок</t>
  </si>
  <si>
    <t>79171155825 - Входящий звонок</t>
  </si>
  <si>
    <t>79277244747 - Исходящий звонок</t>
  </si>
  <si>
    <t>Александр Subaru Forester</t>
  </si>
  <si>
    <t>79279016176 - Входящий звонок</t>
  </si>
  <si>
    <t>Артём - Открытая линия Левша</t>
  </si>
  <si>
    <t>Владимир Агарков Mazda CX-5 2017+</t>
  </si>
  <si>
    <t>удалить наклейки такси и отполировать</t>
  </si>
  <si>
    <t>79277717704 - Входящий звонок</t>
  </si>
  <si>
    <t>79276577802 - Входящий звонок</t>
  </si>
  <si>
    <t>Александр Ерзиков - Открытая линия Левша</t>
  </si>
  <si>
    <t>Ерзиков</t>
  </si>
  <si>
    <t>Станислав Lada Vesta SW Cross</t>
  </si>
  <si>
    <t>Александр Вредный - Открытая линия Левша</t>
  </si>
  <si>
    <t>Вредный</t>
  </si>
  <si>
    <t>Евгений Lada Vesta SW CROSS</t>
  </si>
  <si>
    <t>79328582404 - Исходящий звонок</t>
  </si>
  <si>
    <t>Константин Mazda CX-5</t>
  </si>
  <si>
    <t>Ильнар Зинатуллин - Открытая линия Левша</t>
  </si>
  <si>
    <t>Ильнар</t>
  </si>
  <si>
    <t>Зинатуллин</t>
  </si>
  <si>
    <t>Instagram для бизнеса - Открытая линия Левша</t>
  </si>
  <si>
    <t>79171613989 - Входящий звонок</t>
  </si>
  <si>
    <t>79608150993 - Входящий звонок</t>
  </si>
  <si>
    <t>79371887000 - Входящий звонок</t>
  </si>
  <si>
    <t>79608660081 - Исходящий звонок</t>
  </si>
  <si>
    <t>ФилиповАндрей</t>
  </si>
  <si>
    <t>Glc/062</t>
  </si>
  <si>
    <t>Evgeny 2.0 - Открытая линия Левша</t>
  </si>
  <si>
    <t>Evgeny</t>
  </si>
  <si>
    <t>79276884220 - Входящий звонок</t>
  </si>
  <si>
    <t>78462129955 - Входящий звонок</t>
  </si>
  <si>
    <t>79379984435 - Входящий звонок</t>
  </si>
  <si>
    <t>79397142010 - Входящий звонок</t>
  </si>
  <si>
    <t>Елена Бобровская - Открытая линия Левша</t>
  </si>
  <si>
    <t>Бобровская</t>
  </si>
  <si>
    <t>79297020050 - Исходящий звонок</t>
  </si>
  <si>
    <t>Рамиль Газель 3302</t>
  </si>
  <si>
    <t>евгений лада калина 1 седан.</t>
  </si>
  <si>
    <t>Анастасия - Открытая линия Левша</t>
  </si>
  <si>
    <t>79371838008 - Входящий звонок</t>
  </si>
  <si>
    <t>79178242005 - Исходящий звонок</t>
  </si>
  <si>
    <t>Алексей Белов - Открытая линия Левша</t>
  </si>
  <si>
    <t>Белов</t>
  </si>
  <si>
    <t>79277942222 - Входящий звонок</t>
  </si>
  <si>
    <t>Игорь nissan quashqai</t>
  </si>
  <si>
    <t>Максим Носов - Открытая линия Левша</t>
  </si>
  <si>
    <t>Носов</t>
  </si>
  <si>
    <t>78469593360 - Входящий звонок</t>
  </si>
  <si>
    <t>79279033500 - Входящий звонок</t>
  </si>
  <si>
    <t>79171588880 - Исходящий звонок</t>
  </si>
  <si>
    <t>79376407700 - Входящий звонок</t>
  </si>
  <si>
    <t>79178175151 - Входящий звонок</t>
  </si>
  <si>
    <t>покрытие карбоном</t>
  </si>
  <si>
    <t>79023741884 - Входящий звонок</t>
  </si>
  <si>
    <t>79277281977 - Входящий звонок</t>
  </si>
  <si>
    <t>Ольга GEELY COOLRAY</t>
  </si>
  <si>
    <t>Алексей Tucson nx4l</t>
  </si>
  <si>
    <t>79272972166 - Входящий звонок</t>
  </si>
  <si>
    <t>Hhh - Открытая линия Левша</t>
  </si>
  <si>
    <t>Hhh</t>
  </si>
  <si>
    <t>79874470150 - Входящий звонок</t>
  </si>
  <si>
    <t>79397166714 - Исходящий звонок</t>
  </si>
  <si>
    <t>79372005799 - Входящий звонок</t>
  </si>
  <si>
    <t>79178138130 - Входящий звонок</t>
  </si>
  <si>
    <t>79879045885 - Входящий звонок</t>
  </si>
  <si>
    <t>пленка под карбон</t>
  </si>
  <si>
    <t>Евгений Александрович - Открытая линия Левша</t>
  </si>
  <si>
    <t>Евгений</t>
  </si>
  <si>
    <t>Александрович</t>
  </si>
  <si>
    <t>бампер мерседеса</t>
  </si>
  <si>
    <t>79270005846 - Входящий звонок</t>
  </si>
  <si>
    <t>Станислав - Открытая линия Левша</t>
  </si>
  <si>
    <t>79279037178 - Входящий звонок</t>
  </si>
  <si>
    <t>79874474437 - Входящий звонок</t>
  </si>
  <si>
    <t>Аскар BMW X1</t>
  </si>
  <si>
    <t>СХ9</t>
  </si>
  <si>
    <t>78463727351 - Входящий звонок</t>
  </si>
  <si>
    <t>(direct)</t>
  </si>
  <si>
    <t>78463561409 - Входящий звонок</t>
  </si>
  <si>
    <t>79871634577 - Входящий звонок</t>
  </si>
  <si>
    <t>Павел Воеводин - Открытая линия Левша</t>
  </si>
  <si>
    <t>Воеводин</t>
  </si>
  <si>
    <t>снять наклейку такси</t>
  </si>
  <si>
    <t>79171120005 - Входящий звонок</t>
  </si>
  <si>
    <t>удаление вмятин без покраски</t>
  </si>
  <si>
    <t>юрий - Открытая линия Левша</t>
  </si>
  <si>
    <t>юрий</t>
  </si>
  <si>
    <t>79950989662 - Входящий звонок</t>
  </si>
  <si>
    <t>Владислав - Открытая линия Левша</t>
  </si>
  <si>
    <t>79277184749 - Входящий звонок</t>
  </si>
  <si>
    <t>Вячеслав - Открытая линия Левша</t>
  </si>
  <si>
    <t>Виталий Hyndai I40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</si>
  <si>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</si>
  <si>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</si>
  <si>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</si>
  <si>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</si>
  <si>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</si>
  <si>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</si>
  <si>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</si>
  <si>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</si>
  <si>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</si>
  <si>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</si>
  <si>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</si>
  <si>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</si>
  <si>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</si>
  <si>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</si>
  <si>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</si>
  <si>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</si>
  <si>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</si>
  <si>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</si>
  <si>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</si>
  <si>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</si>
  <si>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</si>
  <si>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</si>
  <si>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</si>
  <si>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</si>
  <si>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</si>
  <si>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</si>
  <si>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</si>
  <si>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</si>
  <si>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</si>
  <si>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</si>
  <si>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</si>
  <si>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</si>
  <si>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</si>
  <si>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</si>
  <si>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</si>
  <si>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</si>
  <si>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</si>
  <si>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</si>
  <si>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</si>
  <si>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</si>
  <si>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</si>
  <si>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</si>
  <si>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</si>
  <si>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</si>
  <si>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</si>
  <si>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</si>
  <si>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</si>
  <si>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</si>
  <si>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</si>
  <si>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</si>
  <si>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</si>
  <si>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</si>
  <si>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</si>
  <si>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</si>
  <si>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</si>
  <si>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</si>
  <si>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</si>
  <si>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</si>
  <si>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</si>
  <si>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</si>
  <si>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</si>
  <si>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</si>
  <si>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</si>
  <si>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</si>
  <si>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</si>
  <si>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</si>
  <si>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</si>
  <si>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</si>
  <si>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</si>
  <si>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</si>
  <si>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</si>
  <si>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</si>
  <si>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</si>
  <si>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</si>
  <si>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</si>
  <si>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</si>
  <si>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</si>
  <si>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</si>
  <si>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</si>
  <si>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</si>
  <si>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</si>
  <si>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</si>
  <si>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</si>
  <si>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</si>
  <si>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</si>
  <si>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</si>
  <si>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</si>
  <si>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</si>
  <si>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</si>
  <si>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</si>
  <si>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</si>
  <si>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</si>
  <si>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</si>
  <si>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</si>
  <si>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</si>
  <si>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</si>
  <si>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</si>
  <si>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</si>
  <si>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</si>
  <si>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</si>
  <si>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</si>
  <si>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</si>
  <si>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</si>
  <si>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</si>
  <si>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</si>
  <si>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</si>
  <si>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</si>
  <si>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</si>
  <si>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</si>
  <si>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</si>
  <si>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</si>
  <si>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</si>
  <si>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</si>
  <si>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</si>
  <si>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</si>
  <si>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</si>
  <si>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</si>
  <si>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</si>
  <si>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</si>
  <si>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</si>
  <si>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</si>
  <si>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</si>
  <si>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</si>
  <si>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</si>
  <si>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</si>
  <si>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</si>
  <si>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</si>
  <si>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</si>
  <si>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</si>
  <si>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</si>
  <si>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</si>
  <si>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</si>
  <si>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</si>
  <si>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</si>
  <si>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</si>
  <si>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</si>
  <si>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</si>
  <si>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</si>
  <si>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</si>
  <si>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</si>
  <si>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</si>
  <si>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</si>
  <si>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</si>
  <si>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</si>
  <si>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</si>
  <si>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</si>
  <si>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</si>
  <si>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</si>
  <si>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</si>
  <si>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</si>
  <si>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</si>
  <si>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</si>
  <si>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</si>
  <si>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</si>
  <si>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</si>
  <si>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</si>
  <si>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</si>
  <si>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</si>
  <si>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</si>
  <si>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</si>
  <si>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</si>
  <si>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</si>
  <si>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</si>
  <si>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</si>
  <si>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</si>
  <si>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</si>
  <si>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</si>
  <si>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</si>
  <si>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</si>
  <si>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</si>
  <si>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</si>
  <si>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</si>
  <si>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</si>
  <si>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</si>
  <si>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</si>
  <si>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</si>
  <si>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</si>
  <si>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</si>
  <si>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</si>
  <si>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</si>
  <si>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</si>
  <si>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</si>
  <si>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</si>
  <si>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</si>
  <si>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</si>
  <si>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</si>
  <si>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</si>
  <si>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</si>
  <si>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</si>
  <si>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</si>
  <si>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</si>
  <si>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</si>
  <si>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</si>
  <si>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</si>
  <si>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</si>
  <si>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</si>
  <si>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</si>
  <si>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</si>
  <si>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</si>
  <si>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</si>
  <si>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</si>
  <si>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</si>
  <si>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</si>
  <si>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</si>
  <si>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</si>
  <si>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</si>
  <si>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</si>
  <si>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</si>
  <si>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</si>
  <si>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</si>
  <si>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</si>
  <si>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</si>
  <si>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</si>
  <si>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</si>
  <si>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</si>
  <si>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</si>
  <si>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</si>
  <si>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</si>
  <si>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</si>
  <si>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</si>
  <si>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</si>
  <si>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</si>
  <si>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</si>
  <si>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</si>
  <si>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</si>
  <si>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</si>
  <si>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</si>
  <si>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</si>
  <si>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</si>
  <si>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</si>
  <si>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</si>
  <si>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</si>
  <si>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</si>
  <si>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</si>
  <si>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</si>
  <si>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</si>
  <si>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</si>
  <si>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</si>
  <si>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</si>
  <si>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</si>
  <si>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</si>
  <si>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</si>
  <si>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Все лиды</t>
  </si>
  <si>
    <t>Качественные лиды</t>
  </si>
  <si>
    <t>Запросы Wordstat</t>
  </si>
  <si>
    <t>Доля качественных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</si>
  <si>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</si>
  <si>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</si>
  <si>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</si>
  <si>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</si>
  <si>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</si>
  <si>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</si>
  <si>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</si>
  <si>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</si>
  <si>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</si>
  <si>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</si>
  <si>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</si>
  <si>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Лиды и качественные лиды — левая шкала; запросы Wordstat — правая шкала</t>
  </si>
  <si>
    <t>Шаг данных — 1 неделя. Подписи на оси показаны реже для читаемости; каждая точка линии соответствует отдельной неделе.</t>
  </si>
  <si>
    <t>узновала цену на пленку</t>
  </si>
  <si>
    <t>пленка аутлендер</t>
  </si>
  <si>
    <t>не берет чат плёнка</t>
  </si>
  <si>
    <t>пленка хавал дорого</t>
  </si>
  <si>
    <t>плёнка на туманки</t>
  </si>
  <si>
    <t>сколы и оклейка зон риска</t>
  </si>
  <si>
    <t>пленка вокруг лба</t>
  </si>
  <si>
    <t>не берет</t>
  </si>
  <si>
    <t>пока не берет трубку</t>
  </si>
  <si>
    <t>гидроцикл</t>
  </si>
  <si>
    <t>Теннет Т4 / зона рисков</t>
  </si>
  <si>
    <t>дубль. Уже звонили</t>
  </si>
  <si>
    <t>Плёнка капот BMW 5</t>
  </si>
  <si>
    <t>12,06 пленка роговой</t>
  </si>
  <si>
    <t>по пленке есть сделка, объединяю в одно</t>
  </si>
  <si>
    <t>зоны риска черри тигго 8</t>
  </si>
  <si>
    <t>Илья - оклеить Капот на ниве шевроле</t>
  </si>
  <si>
    <t>HONGQI HS5 в матовый</t>
  </si>
  <si>
    <t>оклеить крышу в черный киа рио</t>
  </si>
  <si>
    <t>джили кулрэй целиковая</t>
  </si>
  <si>
    <t>пленка монжаро</t>
  </si>
  <si>
    <t>Пленка капот веста</t>
  </si>
  <si>
    <t>чёрна крыша</t>
  </si>
  <si>
    <t>Тигуан окйлека капот/оптики/ Тонировка</t>
  </si>
  <si>
    <t>Andrey Goltsev CEO Мануфактура - снять пленку и полностью покрыть авто керамикой Монжаро</t>
  </si>
  <si>
    <t>уже написан в другом месенджере</t>
  </si>
  <si>
    <t>Ц_Е_Л_И_К_О_В_А_Я</t>
  </si>
  <si>
    <t>Родион Самсонов - Открытая линия Левша/ чат по пленке haval h5 2024 года. Сколько будет стоить закатать пленкой все кроме крыши и багажника</t>
  </si>
  <si>
    <t>пленка ДАРГО</t>
  </si>
  <si>
    <t>ли 7 целиковая оклейка</t>
  </si>
  <si>
    <t>оклейка целиком лада гранта РЕник</t>
  </si>
  <si>
    <t>пленка в мат</t>
  </si>
  <si>
    <t>илья - покрытее капота ,переднего бампера ,зеркал,фар , крыша около лобового пороги и ручки дверей . Автомобиль Haval julion рестайлинг</t>
  </si>
  <si>
    <t>интересовался целиковой оклейкой х4 (белый цвет, 2019 г.,+бронь лба 20000) озвучил 260000./ интересовался дтл подвески гелика. озвучил 16000+5600 за мотор/ ответа не дал/ перезвоню позже</t>
  </si>
  <si>
    <t>John - Открытая линия Левша, Е класс матовой пленкой</t>
  </si>
  <si>
    <t>Бронирование одной двери Воя фрии</t>
  </si>
  <si>
    <t>П_Л_Ё_Н_К_А опять</t>
  </si>
  <si>
    <t>Пленка + сетка радиатора Audi Q7</t>
  </si>
  <si>
    <t>Артём - П_Л_Ё_Н_К_А Zeeker 001 2024г. в бронепленку</t>
  </si>
  <si>
    <t>форестер оклейка своей пленкой/</t>
  </si>
  <si>
    <t>Евгений Корсунцев - Черной пленкой закатать зеркала</t>
  </si>
  <si>
    <t>бронепленка на лобовое</t>
  </si>
  <si>
    <t>Лексус РХ / оклейка зон риска./</t>
  </si>
  <si>
    <t>_ _ _ _ПЛЕНКА_ _ _ РАСЧЁТ!!!! бронирования: капот полоса, крыша над лобовым полоса, крылья треугольники и под ручками на гранту</t>
  </si>
  <si>
    <t>Антон Антонов -Плёнка</t>
  </si>
  <si>
    <t>Михаил Воронин - ПЛЕНКА зона риска</t>
  </si>
  <si>
    <t>Капот и фары в пленку (есть маленький скол на капоте) Чанган СХ55+</t>
  </si>
  <si>
    <t>Наташа Усачева - Оклейка плёнкой Geely</t>
  </si>
  <si>
    <t>Богдан Федотов - Открытая линия Левша, dodge challenger (матовая и глянец) полная</t>
  </si>
  <si>
    <t>Денис Шепилов, Gelly monjaro, установить сетку защитную на радиатор и зоны риска в пленку</t>
  </si>
  <si>
    <t>Лисян Л7 матовой защитной пленкой оклейка</t>
  </si>
  <si>
    <t>Тусан оклеить пленкой весь (капот, фары, стойки, двери, лобовое стекло и полоса над лобовым, антихром)</t>
  </si>
  <si>
    <t>пленка тут и сейчас</t>
  </si>
  <si>
    <t>Это дубликат я с ним уже пытался общаться сказал чтобы приехал к нам на осмотр потому что не понятно что ему нужно сделать</t>
  </si>
  <si>
    <t>оклейка монитора в салоне</t>
  </si>
  <si>
    <t>Ауди Q7</t>
  </si>
  <si>
    <t>салон заклеить</t>
  </si>
  <si>
    <t>ремонт пластика и полоса на капот</t>
  </si>
  <si>
    <t>демонетаж пленки с капота</t>
  </si>
  <si>
    <t>снятие наклеек</t>
  </si>
  <si>
    <t>пленка наверное</t>
  </si>
  <si>
    <t>яхта пленка на выезд</t>
  </si>
  <si>
    <t>хамалеон клеим?</t>
  </si>
  <si>
    <t>пленка на тойоту</t>
  </si>
  <si>
    <t>Ефим Audi Q5</t>
  </si>
  <si>
    <t>Юлия Лексус nx</t>
  </si>
  <si>
    <t>Михаил Датсун</t>
  </si>
  <si>
    <t>Андрей Нива 2011года</t>
  </si>
  <si>
    <t>Стас</t>
  </si>
  <si>
    <t>Анна Nissan qashquai</t>
  </si>
  <si>
    <t>Деменков Дмитрий Викторович Субару</t>
  </si>
  <si>
    <t>Хамидулла Элантра 7</t>
  </si>
  <si>
    <t>Левша — плёнка: только первичные лиды по неделям</t>
  </si>
  <si>
    <t>Выборка CRM содержит только первичные лиды. Периоды заданы выгрузкой Wordstat.</t>
  </si>
  <si>
    <t>Левша — плёнка: первичный спрос и лиды</t>
  </si>
  <si>
    <t>Примечание: используются только первичные лиды; обращения после 12.07.2026 исключены из недельного анализа.</t>
  </si>
  <si>
    <t>Плёнка — недельная динамика первичных лидов и спроса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</si>
</sst>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0.000000"/>
    <numFmt numFmtId="166" formatCode="0.0%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167" fontId="0" fillId="0" borderId="1" xfId="0" applyNumberFormat="1" applyBorder="1"/>
    <xf numFmtId="0" fontId="1" fillId="3" borderId="1" xfId="0" applyFont="1" applyFill="1" applyBorder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7">
    <dxf>
      <numFmt numFmtId="164" formatCode="dd/mm/yyyy\ hh:mm"/>
    </dxf>
    <dxf>
      <numFmt numFmtId="165" formatCode="0.000000"/>
    </dxf>
    <dxf>
      <numFmt numFmtId="19" formatCode="dd/mm/yyyy"/>
    </dxf>
    <dxf>
      <numFmt numFmtId="19" formatCode="dd/mm/yyyy"/>
    </dxf>
    <dxf>
      <numFmt numFmtId="166" formatCode="0.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Плёнка: первичные лиды, качественные лиды и запросы </a:t>
            </a:r>
            <a:r>
              <a:rPr lang="en-US"/>
              <a:t>Wordstat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Первичные лиды</c:v>
          </c:tx>
          <c:spPr>
            <a:ln w="22225">
              <a:solidFill>
                <a:srgbClr val="CC3299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11</c:v>
                </c:pt>
                <c:pt idx="2">
                  <c:v>17</c:v>
                </c:pt>
                <c:pt idx="3">
                  <c:v>17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10</c:v>
                </c:pt>
                <c:pt idx="10">
                  <c:v>15</c:v>
                </c:pt>
                <c:pt idx="11">
                  <c:v>9</c:v>
                </c:pt>
                <c:pt idx="12">
                  <c:v>13</c:v>
                </c:pt>
                <c:pt idx="13">
                  <c:v>15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11</c:v>
                </c:pt>
                <c:pt idx="23">
                  <c:v>9</c:v>
                </c:pt>
                <c:pt idx="24">
                  <c:v>11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10</c:v>
                </c:pt>
                <c:pt idx="30">
                  <c:v>7</c:v>
                </c:pt>
                <c:pt idx="31">
                  <c:v>6</c:v>
                </c:pt>
                <c:pt idx="32">
                  <c:v>9</c:v>
                </c:pt>
                <c:pt idx="33">
                  <c:v>12</c:v>
                </c:pt>
                <c:pt idx="34">
                  <c:v>14</c:v>
                </c:pt>
                <c:pt idx="35">
                  <c:v>8</c:v>
                </c:pt>
                <c:pt idx="36">
                  <c:v>9</c:v>
                </c:pt>
                <c:pt idx="37">
                  <c:v>6</c:v>
                </c:pt>
                <c:pt idx="38">
                  <c:v>9</c:v>
                </c:pt>
                <c:pt idx="39">
                  <c:v>5</c:v>
                </c:pt>
                <c:pt idx="40">
                  <c:v>7</c:v>
                </c:pt>
                <c:pt idx="41">
                  <c:v>7</c:v>
                </c:pt>
                <c:pt idx="42">
                  <c:v>4</c:v>
                </c:pt>
                <c:pt idx="43">
                  <c:v>6</c:v>
                </c:pt>
                <c:pt idx="44">
                  <c:v>12</c:v>
                </c:pt>
                <c:pt idx="45">
                  <c:v>2</c:v>
                </c:pt>
                <c:pt idx="46">
                  <c:v>2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5</c:v>
                </c:pt>
                <c:pt idx="63">
                  <c:v>2</c:v>
                </c:pt>
                <c:pt idx="64">
                  <c:v>9</c:v>
                </c:pt>
                <c:pt idx="65">
                  <c:v>6</c:v>
                </c:pt>
                <c:pt idx="66">
                  <c:v>6</c:v>
                </c:pt>
                <c:pt idx="67">
                  <c:v>2</c:v>
                </c:pt>
                <c:pt idx="68">
                  <c:v>7</c:v>
                </c:pt>
                <c:pt idx="69">
                  <c:v>5</c:v>
                </c:pt>
                <c:pt idx="70">
                  <c:v>8</c:v>
                </c:pt>
                <c:pt idx="71">
                  <c:v>6</c:v>
                </c:pt>
                <c:pt idx="72">
                  <c:v>4</c:v>
                </c:pt>
                <c:pt idx="73">
                  <c:v>6</c:v>
                </c:pt>
                <c:pt idx="74">
                  <c:v>10</c:v>
                </c:pt>
                <c:pt idx="75">
                  <c:v>9</c:v>
                </c:pt>
                <c:pt idx="76">
                  <c:v>10</c:v>
                </c:pt>
                <c:pt idx="77">
                  <c:v>3</c:v>
                </c:pt>
                <c:pt idx="78">
                  <c:v>10</c:v>
                </c:pt>
                <c:pt idx="79">
                  <c:v>7</c:v>
                </c:pt>
                <c:pt idx="80">
                  <c:v>2</c:v>
                </c:pt>
                <c:pt idx="81">
                  <c:v>6</c:v>
                </c:pt>
                <c:pt idx="82">
                  <c:v>1</c:v>
                </c:pt>
                <c:pt idx="83">
                  <c:v>4</c:v>
                </c:pt>
                <c:pt idx="84">
                  <c:v>6</c:v>
                </c:pt>
                <c:pt idx="85">
                  <c:v>3</c:v>
                </c:pt>
                <c:pt idx="86">
                  <c:v>10</c:v>
                </c:pt>
                <c:pt idx="87">
                  <c:v>4</c:v>
                </c:pt>
                <c:pt idx="88">
                  <c:v>9</c:v>
                </c:pt>
                <c:pt idx="89">
                  <c:v>6</c:v>
                </c:pt>
                <c:pt idx="90">
                  <c:v>11</c:v>
                </c:pt>
                <c:pt idx="91">
                  <c:v>12</c:v>
                </c:pt>
                <c:pt idx="92">
                  <c:v>12</c:v>
                </c:pt>
                <c:pt idx="93">
                  <c:v>9</c:v>
                </c:pt>
                <c:pt idx="94">
                  <c:v>3</c:v>
                </c:pt>
                <c:pt idx="95">
                  <c:v>20</c:v>
                </c:pt>
                <c:pt idx="96">
                  <c:v>8</c:v>
                </c:pt>
                <c:pt idx="97">
                  <c:v>7</c:v>
                </c:pt>
                <c:pt idx="98">
                  <c:v>12</c:v>
                </c:pt>
                <c:pt idx="99">
                  <c:v>10</c:v>
                </c:pt>
                <c:pt idx="100">
                  <c:v>3</c:v>
                </c:pt>
                <c:pt idx="101">
                  <c:v>8</c:v>
                </c:pt>
                <c:pt idx="102">
                  <c:v>4</c:v>
                </c:pt>
                <c:pt idx="103">
                  <c:v>4</c:v>
                </c:pt>
                <c:pt idx="104">
                  <c:v>5</c:v>
                </c:pt>
                <c:pt idx="105">
                  <c:v>4</c:v>
                </c:pt>
                <c:pt idx="106">
                  <c:v>2</c:v>
                </c:pt>
                <c:pt idx="107">
                  <c:v>9</c:v>
                </c:pt>
                <c:pt idx="108">
                  <c:v>8</c:v>
                </c:pt>
                <c:pt idx="109">
                  <c:v>3</c:v>
                </c:pt>
                <c:pt idx="110">
                  <c:v>3</c:v>
                </c:pt>
                <c:pt idx="111">
                  <c:v>7</c:v>
                </c:pt>
                <c:pt idx="112">
                  <c:v>12</c:v>
                </c:pt>
                <c:pt idx="113">
                  <c:v>7</c:v>
                </c:pt>
                <c:pt idx="114">
                  <c:v>9</c:v>
                </c:pt>
                <c:pt idx="115">
                  <c:v>13</c:v>
                </c:pt>
                <c:pt idx="116">
                  <c:v>7</c:v>
                </c:pt>
                <c:pt idx="117">
                  <c:v>8</c:v>
                </c:pt>
                <c:pt idx="118">
                  <c:v>6</c:v>
                </c:pt>
                <c:pt idx="119">
                  <c:v>11</c:v>
                </c:pt>
                <c:pt idx="120">
                  <c:v>12</c:v>
                </c:pt>
                <c:pt idx="121">
                  <c:v>15</c:v>
                </c:pt>
                <c:pt idx="122">
                  <c:v>17</c:v>
                </c:pt>
                <c:pt idx="123">
                  <c:v>14</c:v>
                </c:pt>
                <c:pt idx="124">
                  <c:v>13</c:v>
                </c:pt>
                <c:pt idx="125">
                  <c:v>15</c:v>
                </c:pt>
                <c:pt idx="126">
                  <c:v>8</c:v>
                </c:pt>
                <c:pt idx="127">
                  <c:v>12</c:v>
                </c:pt>
                <c:pt idx="128">
                  <c:v>9</c:v>
                </c:pt>
                <c:pt idx="129">
                  <c:v>10</c:v>
                </c:pt>
                <c:pt idx="130">
                  <c:v>13</c:v>
                </c:pt>
                <c:pt idx="131">
                  <c:v>8</c:v>
                </c:pt>
                <c:pt idx="132">
                  <c:v>23</c:v>
                </c:pt>
                <c:pt idx="133">
                  <c:v>12</c:v>
                </c:pt>
                <c:pt idx="134">
                  <c:v>10</c:v>
                </c:pt>
                <c:pt idx="135">
                  <c:v>18</c:v>
                </c:pt>
                <c:pt idx="136">
                  <c:v>12</c:v>
                </c:pt>
                <c:pt idx="137">
                  <c:v>8</c:v>
                </c:pt>
                <c:pt idx="138">
                  <c:v>8</c:v>
                </c:pt>
                <c:pt idx="139">
                  <c:v>14</c:v>
                </c:pt>
                <c:pt idx="140">
                  <c:v>13</c:v>
                </c:pt>
                <c:pt idx="141">
                  <c:v>13</c:v>
                </c:pt>
                <c:pt idx="142">
                  <c:v>10</c:v>
                </c:pt>
                <c:pt idx="143">
                  <c:v>19</c:v>
                </c:pt>
                <c:pt idx="144">
                  <c:v>4</c:v>
                </c:pt>
                <c:pt idx="145">
                  <c:v>9</c:v>
                </c:pt>
                <c:pt idx="146">
                  <c:v>4</c:v>
                </c:pt>
                <c:pt idx="147">
                  <c:v>6</c:v>
                </c:pt>
                <c:pt idx="148">
                  <c:v>9</c:v>
                </c:pt>
                <c:pt idx="149">
                  <c:v>7</c:v>
                </c:pt>
                <c:pt idx="150">
                  <c:v>9</c:v>
                </c:pt>
                <c:pt idx="151">
                  <c:v>2</c:v>
                </c:pt>
                <c:pt idx="152">
                  <c:v>8</c:v>
                </c:pt>
                <c:pt idx="153">
                  <c:v>4</c:v>
                </c:pt>
                <c:pt idx="154">
                  <c:v>2</c:v>
                </c:pt>
                <c:pt idx="155">
                  <c:v>4</c:v>
                </c:pt>
                <c:pt idx="156">
                  <c:v>3</c:v>
                </c:pt>
                <c:pt idx="157">
                  <c:v>0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9</c:v>
                </c:pt>
                <c:pt idx="166">
                  <c:v>13</c:v>
                </c:pt>
                <c:pt idx="167">
                  <c:v>6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10</c:v>
                </c:pt>
                <c:pt idx="172">
                  <c:v>8</c:v>
                </c:pt>
                <c:pt idx="173">
                  <c:v>7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6</c:v>
                </c:pt>
                <c:pt idx="178">
                  <c:v>6</c:v>
                </c:pt>
                <c:pt idx="179">
                  <c:v>13</c:v>
                </c:pt>
                <c:pt idx="180">
                  <c:v>1</c:v>
                </c:pt>
                <c:pt idx="181">
                  <c:v>12</c:v>
                </c:pt>
                <c:pt idx="182">
                  <c:v>11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4</c:v>
                </c:pt>
                <c:pt idx="187">
                  <c:v>4</c:v>
                </c:pt>
                <c:pt idx="188">
                  <c:v>0</c:v>
                </c:pt>
                <c:pt idx="189">
                  <c:v>7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10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0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2</c:v>
                </c:pt>
                <c:pt idx="204">
                  <c:v>3</c:v>
                </c:pt>
                <c:pt idx="205">
                  <c:v>1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0</c:v>
                </c:pt>
                <c:pt idx="213">
                  <c:v>2</c:v>
                </c:pt>
                <c:pt idx="214">
                  <c:v>1</c:v>
                </c:pt>
                <c:pt idx="215">
                  <c:v>0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7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3</c:v>
                </c:pt>
                <c:pt idx="224">
                  <c:v>6</c:v>
                </c:pt>
                <c:pt idx="225">
                  <c:v>3</c:v>
                </c:pt>
                <c:pt idx="226">
                  <c:v>2</c:v>
                </c:pt>
                <c:pt idx="227">
                  <c:v>2</c:v>
                </c:pt>
                <c:pt idx="228">
                  <c:v>0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6</c:v>
                </c:pt>
                <c:pt idx="233">
                  <c:v>10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F61-B4DB-9E482D1F9DE4}"/>
            </c:ext>
          </c:extLst>
        </c:ser>
        <c:ser>
          <c:idx val="1"/>
          <c:order val="1"/>
          <c:tx>
            <c:v>Качественные первичные лиды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10</c:v>
                </c:pt>
                <c:pt idx="2">
                  <c:v>16</c:v>
                </c:pt>
                <c:pt idx="3">
                  <c:v>17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14</c:v>
                </c:pt>
                <c:pt idx="8">
                  <c:v>10</c:v>
                </c:pt>
                <c:pt idx="9">
                  <c:v>10</c:v>
                </c:pt>
                <c:pt idx="10">
                  <c:v>14</c:v>
                </c:pt>
                <c:pt idx="11">
                  <c:v>9</c:v>
                </c:pt>
                <c:pt idx="12">
                  <c:v>13</c:v>
                </c:pt>
                <c:pt idx="13">
                  <c:v>15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11</c:v>
                </c:pt>
                <c:pt idx="23">
                  <c:v>9</c:v>
                </c:pt>
                <c:pt idx="24">
                  <c:v>11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10</c:v>
                </c:pt>
                <c:pt idx="30">
                  <c:v>7</c:v>
                </c:pt>
                <c:pt idx="31">
                  <c:v>6</c:v>
                </c:pt>
                <c:pt idx="32">
                  <c:v>9</c:v>
                </c:pt>
                <c:pt idx="33">
                  <c:v>11</c:v>
                </c:pt>
                <c:pt idx="34">
                  <c:v>14</c:v>
                </c:pt>
                <c:pt idx="35">
                  <c:v>8</c:v>
                </c:pt>
                <c:pt idx="36">
                  <c:v>9</c:v>
                </c:pt>
                <c:pt idx="37">
                  <c:v>6</c:v>
                </c:pt>
                <c:pt idx="38">
                  <c:v>9</c:v>
                </c:pt>
                <c:pt idx="39">
                  <c:v>5</c:v>
                </c:pt>
                <c:pt idx="40">
                  <c:v>7</c:v>
                </c:pt>
                <c:pt idx="41">
                  <c:v>7</c:v>
                </c:pt>
                <c:pt idx="42">
                  <c:v>4</c:v>
                </c:pt>
                <c:pt idx="43">
                  <c:v>6</c:v>
                </c:pt>
                <c:pt idx="44">
                  <c:v>12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5</c:v>
                </c:pt>
                <c:pt idx="63">
                  <c:v>2</c:v>
                </c:pt>
                <c:pt idx="64">
                  <c:v>8</c:v>
                </c:pt>
                <c:pt idx="65">
                  <c:v>6</c:v>
                </c:pt>
                <c:pt idx="66">
                  <c:v>6</c:v>
                </c:pt>
                <c:pt idx="67">
                  <c:v>2</c:v>
                </c:pt>
                <c:pt idx="68">
                  <c:v>7</c:v>
                </c:pt>
                <c:pt idx="69">
                  <c:v>5</c:v>
                </c:pt>
                <c:pt idx="70">
                  <c:v>7</c:v>
                </c:pt>
                <c:pt idx="71">
                  <c:v>6</c:v>
                </c:pt>
                <c:pt idx="72">
                  <c:v>4</c:v>
                </c:pt>
                <c:pt idx="73">
                  <c:v>6</c:v>
                </c:pt>
                <c:pt idx="74">
                  <c:v>7</c:v>
                </c:pt>
                <c:pt idx="75">
                  <c:v>9</c:v>
                </c:pt>
                <c:pt idx="76">
                  <c:v>9</c:v>
                </c:pt>
                <c:pt idx="77">
                  <c:v>3</c:v>
                </c:pt>
                <c:pt idx="78">
                  <c:v>10</c:v>
                </c:pt>
                <c:pt idx="79">
                  <c:v>7</c:v>
                </c:pt>
                <c:pt idx="80">
                  <c:v>2</c:v>
                </c:pt>
                <c:pt idx="81">
                  <c:v>6</c:v>
                </c:pt>
                <c:pt idx="82">
                  <c:v>0</c:v>
                </c:pt>
                <c:pt idx="83">
                  <c:v>4</c:v>
                </c:pt>
                <c:pt idx="84">
                  <c:v>5</c:v>
                </c:pt>
                <c:pt idx="85">
                  <c:v>3</c:v>
                </c:pt>
                <c:pt idx="86">
                  <c:v>10</c:v>
                </c:pt>
                <c:pt idx="87">
                  <c:v>4</c:v>
                </c:pt>
                <c:pt idx="88">
                  <c:v>9</c:v>
                </c:pt>
                <c:pt idx="89">
                  <c:v>6</c:v>
                </c:pt>
                <c:pt idx="90">
                  <c:v>10</c:v>
                </c:pt>
                <c:pt idx="91">
                  <c:v>12</c:v>
                </c:pt>
                <c:pt idx="92">
                  <c:v>12</c:v>
                </c:pt>
                <c:pt idx="93">
                  <c:v>9</c:v>
                </c:pt>
                <c:pt idx="94">
                  <c:v>2</c:v>
                </c:pt>
                <c:pt idx="95">
                  <c:v>20</c:v>
                </c:pt>
                <c:pt idx="96">
                  <c:v>7</c:v>
                </c:pt>
                <c:pt idx="97">
                  <c:v>7</c:v>
                </c:pt>
                <c:pt idx="98">
                  <c:v>11</c:v>
                </c:pt>
                <c:pt idx="99">
                  <c:v>10</c:v>
                </c:pt>
                <c:pt idx="100">
                  <c:v>3</c:v>
                </c:pt>
                <c:pt idx="101">
                  <c:v>8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4</c:v>
                </c:pt>
                <c:pt idx="106">
                  <c:v>2</c:v>
                </c:pt>
                <c:pt idx="107">
                  <c:v>9</c:v>
                </c:pt>
                <c:pt idx="108">
                  <c:v>7</c:v>
                </c:pt>
                <c:pt idx="109">
                  <c:v>3</c:v>
                </c:pt>
                <c:pt idx="110">
                  <c:v>3</c:v>
                </c:pt>
                <c:pt idx="111">
                  <c:v>6</c:v>
                </c:pt>
                <c:pt idx="112">
                  <c:v>12</c:v>
                </c:pt>
                <c:pt idx="113">
                  <c:v>7</c:v>
                </c:pt>
                <c:pt idx="114">
                  <c:v>9</c:v>
                </c:pt>
                <c:pt idx="115">
                  <c:v>13</c:v>
                </c:pt>
                <c:pt idx="116">
                  <c:v>7</c:v>
                </c:pt>
                <c:pt idx="117">
                  <c:v>8</c:v>
                </c:pt>
                <c:pt idx="118">
                  <c:v>6</c:v>
                </c:pt>
                <c:pt idx="119">
                  <c:v>11</c:v>
                </c:pt>
                <c:pt idx="120">
                  <c:v>12</c:v>
                </c:pt>
                <c:pt idx="121">
                  <c:v>14</c:v>
                </c:pt>
                <c:pt idx="122">
                  <c:v>17</c:v>
                </c:pt>
                <c:pt idx="123">
                  <c:v>14</c:v>
                </c:pt>
                <c:pt idx="124">
                  <c:v>12</c:v>
                </c:pt>
                <c:pt idx="125">
                  <c:v>15</c:v>
                </c:pt>
                <c:pt idx="126">
                  <c:v>8</c:v>
                </c:pt>
                <c:pt idx="127">
                  <c:v>11</c:v>
                </c:pt>
                <c:pt idx="128">
                  <c:v>9</c:v>
                </c:pt>
                <c:pt idx="129">
                  <c:v>10</c:v>
                </c:pt>
                <c:pt idx="130">
                  <c:v>13</c:v>
                </c:pt>
                <c:pt idx="131">
                  <c:v>8</c:v>
                </c:pt>
                <c:pt idx="132">
                  <c:v>23</c:v>
                </c:pt>
                <c:pt idx="133">
                  <c:v>12</c:v>
                </c:pt>
                <c:pt idx="134">
                  <c:v>10</c:v>
                </c:pt>
                <c:pt idx="135">
                  <c:v>18</c:v>
                </c:pt>
                <c:pt idx="136">
                  <c:v>12</c:v>
                </c:pt>
                <c:pt idx="137">
                  <c:v>8</c:v>
                </c:pt>
                <c:pt idx="138">
                  <c:v>7</c:v>
                </c:pt>
                <c:pt idx="139">
                  <c:v>14</c:v>
                </c:pt>
                <c:pt idx="140">
                  <c:v>13</c:v>
                </c:pt>
                <c:pt idx="141">
                  <c:v>13</c:v>
                </c:pt>
                <c:pt idx="142">
                  <c:v>10</c:v>
                </c:pt>
                <c:pt idx="143">
                  <c:v>19</c:v>
                </c:pt>
                <c:pt idx="144">
                  <c:v>4</c:v>
                </c:pt>
                <c:pt idx="145">
                  <c:v>9</c:v>
                </c:pt>
                <c:pt idx="146">
                  <c:v>4</c:v>
                </c:pt>
                <c:pt idx="147">
                  <c:v>6</c:v>
                </c:pt>
                <c:pt idx="148">
                  <c:v>9</c:v>
                </c:pt>
                <c:pt idx="149">
                  <c:v>7</c:v>
                </c:pt>
                <c:pt idx="150">
                  <c:v>8</c:v>
                </c:pt>
                <c:pt idx="151">
                  <c:v>2</c:v>
                </c:pt>
                <c:pt idx="152">
                  <c:v>7</c:v>
                </c:pt>
                <c:pt idx="153">
                  <c:v>4</c:v>
                </c:pt>
                <c:pt idx="154">
                  <c:v>1</c:v>
                </c:pt>
                <c:pt idx="155">
                  <c:v>3</c:v>
                </c:pt>
                <c:pt idx="156">
                  <c:v>3</c:v>
                </c:pt>
                <c:pt idx="157">
                  <c:v>0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9</c:v>
                </c:pt>
                <c:pt idx="166">
                  <c:v>13</c:v>
                </c:pt>
                <c:pt idx="167">
                  <c:v>6</c:v>
                </c:pt>
                <c:pt idx="168">
                  <c:v>3</c:v>
                </c:pt>
                <c:pt idx="169">
                  <c:v>4</c:v>
                </c:pt>
                <c:pt idx="170">
                  <c:v>4</c:v>
                </c:pt>
                <c:pt idx="171">
                  <c:v>10</c:v>
                </c:pt>
                <c:pt idx="172">
                  <c:v>8</c:v>
                </c:pt>
                <c:pt idx="173">
                  <c:v>6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6</c:v>
                </c:pt>
                <c:pt idx="178">
                  <c:v>6</c:v>
                </c:pt>
                <c:pt idx="179">
                  <c:v>13</c:v>
                </c:pt>
                <c:pt idx="180">
                  <c:v>1</c:v>
                </c:pt>
                <c:pt idx="181">
                  <c:v>12</c:v>
                </c:pt>
                <c:pt idx="182">
                  <c:v>11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4</c:v>
                </c:pt>
                <c:pt idx="187">
                  <c:v>4</c:v>
                </c:pt>
                <c:pt idx="188">
                  <c:v>0</c:v>
                </c:pt>
                <c:pt idx="189">
                  <c:v>6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10</c:v>
                </c:pt>
                <c:pt idx="196">
                  <c:v>1</c:v>
                </c:pt>
                <c:pt idx="197">
                  <c:v>5</c:v>
                </c:pt>
                <c:pt idx="198">
                  <c:v>2</c:v>
                </c:pt>
                <c:pt idx="199">
                  <c:v>0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2</c:v>
                </c:pt>
                <c:pt idx="204">
                  <c:v>3</c:v>
                </c:pt>
                <c:pt idx="205">
                  <c:v>1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0</c:v>
                </c:pt>
                <c:pt idx="213">
                  <c:v>2</c:v>
                </c:pt>
                <c:pt idx="214">
                  <c:v>1</c:v>
                </c:pt>
                <c:pt idx="215">
                  <c:v>0</c:v>
                </c:pt>
                <c:pt idx="216">
                  <c:v>4</c:v>
                </c:pt>
                <c:pt idx="217">
                  <c:v>1</c:v>
                </c:pt>
                <c:pt idx="218">
                  <c:v>1</c:v>
                </c:pt>
                <c:pt idx="219">
                  <c:v>7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3</c:v>
                </c:pt>
                <c:pt idx="224">
                  <c:v>6</c:v>
                </c:pt>
                <c:pt idx="225">
                  <c:v>3</c:v>
                </c:pt>
                <c:pt idx="226">
                  <c:v>2</c:v>
                </c:pt>
                <c:pt idx="227">
                  <c:v>2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5</c:v>
                </c:pt>
                <c:pt idx="233">
                  <c:v>7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93136"/>
        <c:axId val="673314048"/>
      </c:lineChart>
      <c:lineChart>
        <c:grouping val="standard"/>
        <c:varyColors val="0"/>
        <c:ser>
          <c:idx val="2"/>
          <c:order val="2"/>
          <c:tx>
            <c:v>Запросы Wordstat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03536"/>
        <c:axId val="673314880"/>
      </c:lineChart>
      <c:dateAx>
        <c:axId val="5721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0"/>
        </c:title>
        <c:numFmt formatCode="mmm\ yy" sourceLinked="0"/>
        <c:majorTickMark val="out"/>
        <c:minorTickMark val="none"/>
        <c:tickLblPos val="nextTo"/>
        <c:crossAx val="673314048"/>
        <c:crosses val="autoZero"/>
        <c:auto val="1"/>
        <c:lblOffset val="100"/>
        <c:baseTimeUnit val="days"/>
      </c:dateAx>
      <c:valAx>
        <c:axId val="67331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193136"/>
        <c:crosses val="autoZero"/>
        <c:crossBetween val="between"/>
      </c:valAx>
      <c:valAx>
        <c:axId val="6733148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203536"/>
        <c:crosses val="max"/>
        <c:crossBetween val="between"/>
      </c:valAx>
      <c:dateAx>
        <c:axId val="5722035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33148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Плёнка: корреляция спроса и первичных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первичные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11</c:v>
                </c:pt>
                <c:pt idx="2">
                  <c:v>17</c:v>
                </c:pt>
                <c:pt idx="3">
                  <c:v>17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10</c:v>
                </c:pt>
                <c:pt idx="10">
                  <c:v>15</c:v>
                </c:pt>
                <c:pt idx="11">
                  <c:v>9</c:v>
                </c:pt>
                <c:pt idx="12">
                  <c:v>13</c:v>
                </c:pt>
                <c:pt idx="13">
                  <c:v>15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11</c:v>
                </c:pt>
                <c:pt idx="23">
                  <c:v>9</c:v>
                </c:pt>
                <c:pt idx="24">
                  <c:v>11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10</c:v>
                </c:pt>
                <c:pt idx="30">
                  <c:v>7</c:v>
                </c:pt>
                <c:pt idx="31">
                  <c:v>6</c:v>
                </c:pt>
                <c:pt idx="32">
                  <c:v>9</c:v>
                </c:pt>
                <c:pt idx="33">
                  <c:v>12</c:v>
                </c:pt>
                <c:pt idx="34">
                  <c:v>14</c:v>
                </c:pt>
                <c:pt idx="35">
                  <c:v>8</c:v>
                </c:pt>
                <c:pt idx="36">
                  <c:v>9</c:v>
                </c:pt>
                <c:pt idx="37">
                  <c:v>6</c:v>
                </c:pt>
                <c:pt idx="38">
                  <c:v>9</c:v>
                </c:pt>
                <c:pt idx="39">
                  <c:v>5</c:v>
                </c:pt>
                <c:pt idx="40">
                  <c:v>7</c:v>
                </c:pt>
                <c:pt idx="41">
                  <c:v>7</c:v>
                </c:pt>
                <c:pt idx="42">
                  <c:v>4</c:v>
                </c:pt>
                <c:pt idx="43">
                  <c:v>6</c:v>
                </c:pt>
                <c:pt idx="44">
                  <c:v>12</c:v>
                </c:pt>
                <c:pt idx="45">
                  <c:v>2</c:v>
                </c:pt>
                <c:pt idx="46">
                  <c:v>2</c:v>
                </c:pt>
                <c:pt idx="47">
                  <c:v>5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5</c:v>
                </c:pt>
                <c:pt idx="63">
                  <c:v>2</c:v>
                </c:pt>
                <c:pt idx="64">
                  <c:v>9</c:v>
                </c:pt>
                <c:pt idx="65">
                  <c:v>6</c:v>
                </c:pt>
                <c:pt idx="66">
                  <c:v>6</c:v>
                </c:pt>
                <c:pt idx="67">
                  <c:v>2</c:v>
                </c:pt>
                <c:pt idx="68">
                  <c:v>7</c:v>
                </c:pt>
                <c:pt idx="69">
                  <c:v>5</c:v>
                </c:pt>
                <c:pt idx="70">
                  <c:v>8</c:v>
                </c:pt>
                <c:pt idx="71">
                  <c:v>6</c:v>
                </c:pt>
                <c:pt idx="72">
                  <c:v>4</c:v>
                </c:pt>
                <c:pt idx="73">
                  <c:v>6</c:v>
                </c:pt>
                <c:pt idx="74">
                  <c:v>10</c:v>
                </c:pt>
                <c:pt idx="75">
                  <c:v>9</c:v>
                </c:pt>
                <c:pt idx="76">
                  <c:v>10</c:v>
                </c:pt>
                <c:pt idx="77">
                  <c:v>3</c:v>
                </c:pt>
                <c:pt idx="78">
                  <c:v>10</c:v>
                </c:pt>
                <c:pt idx="79">
                  <c:v>7</c:v>
                </c:pt>
                <c:pt idx="80">
                  <c:v>2</c:v>
                </c:pt>
                <c:pt idx="81">
                  <c:v>6</c:v>
                </c:pt>
                <c:pt idx="82">
                  <c:v>1</c:v>
                </c:pt>
                <c:pt idx="83">
                  <c:v>4</c:v>
                </c:pt>
                <c:pt idx="84">
                  <c:v>6</c:v>
                </c:pt>
                <c:pt idx="85">
                  <c:v>3</c:v>
                </c:pt>
                <c:pt idx="86">
                  <c:v>10</c:v>
                </c:pt>
                <c:pt idx="87">
                  <c:v>4</c:v>
                </c:pt>
                <c:pt idx="88">
                  <c:v>9</c:v>
                </c:pt>
                <c:pt idx="89">
                  <c:v>6</c:v>
                </c:pt>
                <c:pt idx="90">
                  <c:v>11</c:v>
                </c:pt>
                <c:pt idx="91">
                  <c:v>12</c:v>
                </c:pt>
                <c:pt idx="92">
                  <c:v>12</c:v>
                </c:pt>
                <c:pt idx="93">
                  <c:v>9</c:v>
                </c:pt>
                <c:pt idx="94">
                  <c:v>3</c:v>
                </c:pt>
                <c:pt idx="95">
                  <c:v>20</c:v>
                </c:pt>
                <c:pt idx="96">
                  <c:v>8</c:v>
                </c:pt>
                <c:pt idx="97">
                  <c:v>7</c:v>
                </c:pt>
                <c:pt idx="98">
                  <c:v>12</c:v>
                </c:pt>
                <c:pt idx="99">
                  <c:v>10</c:v>
                </c:pt>
                <c:pt idx="100">
                  <c:v>3</c:v>
                </c:pt>
                <c:pt idx="101">
                  <c:v>8</c:v>
                </c:pt>
                <c:pt idx="102">
                  <c:v>4</c:v>
                </c:pt>
                <c:pt idx="103">
                  <c:v>4</c:v>
                </c:pt>
                <c:pt idx="104">
                  <c:v>5</c:v>
                </c:pt>
                <c:pt idx="105">
                  <c:v>4</c:v>
                </c:pt>
                <c:pt idx="106">
                  <c:v>2</c:v>
                </c:pt>
                <c:pt idx="107">
                  <c:v>9</c:v>
                </c:pt>
                <c:pt idx="108">
                  <c:v>8</c:v>
                </c:pt>
                <c:pt idx="109">
                  <c:v>3</c:v>
                </c:pt>
                <c:pt idx="110">
                  <c:v>3</c:v>
                </c:pt>
                <c:pt idx="111">
                  <c:v>7</c:v>
                </c:pt>
                <c:pt idx="112">
                  <c:v>12</c:v>
                </c:pt>
                <c:pt idx="113">
                  <c:v>7</c:v>
                </c:pt>
                <c:pt idx="114">
                  <c:v>9</c:v>
                </c:pt>
                <c:pt idx="115">
                  <c:v>13</c:v>
                </c:pt>
                <c:pt idx="116">
                  <c:v>7</c:v>
                </c:pt>
                <c:pt idx="117">
                  <c:v>8</c:v>
                </c:pt>
                <c:pt idx="118">
                  <c:v>6</c:v>
                </c:pt>
                <c:pt idx="119">
                  <c:v>11</c:v>
                </c:pt>
                <c:pt idx="120">
                  <c:v>12</c:v>
                </c:pt>
                <c:pt idx="121">
                  <c:v>15</c:v>
                </c:pt>
                <c:pt idx="122">
                  <c:v>17</c:v>
                </c:pt>
                <c:pt idx="123">
                  <c:v>14</c:v>
                </c:pt>
                <c:pt idx="124">
                  <c:v>13</c:v>
                </c:pt>
                <c:pt idx="125">
                  <c:v>15</c:v>
                </c:pt>
                <c:pt idx="126">
                  <c:v>8</c:v>
                </c:pt>
                <c:pt idx="127">
                  <c:v>12</c:v>
                </c:pt>
                <c:pt idx="128">
                  <c:v>9</c:v>
                </c:pt>
                <c:pt idx="129">
                  <c:v>10</c:v>
                </c:pt>
                <c:pt idx="130">
                  <c:v>13</c:v>
                </c:pt>
                <c:pt idx="131">
                  <c:v>8</c:v>
                </c:pt>
                <c:pt idx="132">
                  <c:v>23</c:v>
                </c:pt>
                <c:pt idx="133">
                  <c:v>12</c:v>
                </c:pt>
                <c:pt idx="134">
                  <c:v>10</c:v>
                </c:pt>
                <c:pt idx="135">
                  <c:v>18</c:v>
                </c:pt>
                <c:pt idx="136">
                  <c:v>12</c:v>
                </c:pt>
                <c:pt idx="137">
                  <c:v>8</c:v>
                </c:pt>
                <c:pt idx="138">
                  <c:v>8</c:v>
                </c:pt>
                <c:pt idx="139">
                  <c:v>14</c:v>
                </c:pt>
                <c:pt idx="140">
                  <c:v>13</c:v>
                </c:pt>
                <c:pt idx="141">
                  <c:v>13</c:v>
                </c:pt>
                <c:pt idx="142">
                  <c:v>10</c:v>
                </c:pt>
                <c:pt idx="143">
                  <c:v>19</c:v>
                </c:pt>
                <c:pt idx="144">
                  <c:v>4</c:v>
                </c:pt>
                <c:pt idx="145">
                  <c:v>9</c:v>
                </c:pt>
                <c:pt idx="146">
                  <c:v>4</c:v>
                </c:pt>
                <c:pt idx="147">
                  <c:v>6</c:v>
                </c:pt>
                <c:pt idx="148">
                  <c:v>9</c:v>
                </c:pt>
                <c:pt idx="149">
                  <c:v>7</c:v>
                </c:pt>
                <c:pt idx="150">
                  <c:v>9</c:v>
                </c:pt>
                <c:pt idx="151">
                  <c:v>2</c:v>
                </c:pt>
                <c:pt idx="152">
                  <c:v>8</c:v>
                </c:pt>
                <c:pt idx="153">
                  <c:v>4</c:v>
                </c:pt>
                <c:pt idx="154">
                  <c:v>2</c:v>
                </c:pt>
                <c:pt idx="155">
                  <c:v>4</c:v>
                </c:pt>
                <c:pt idx="156">
                  <c:v>3</c:v>
                </c:pt>
                <c:pt idx="157">
                  <c:v>0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9</c:v>
                </c:pt>
                <c:pt idx="166">
                  <c:v>13</c:v>
                </c:pt>
                <c:pt idx="167">
                  <c:v>6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10</c:v>
                </c:pt>
                <c:pt idx="172">
                  <c:v>8</c:v>
                </c:pt>
                <c:pt idx="173">
                  <c:v>7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6</c:v>
                </c:pt>
                <c:pt idx="178">
                  <c:v>6</c:v>
                </c:pt>
                <c:pt idx="179">
                  <c:v>13</c:v>
                </c:pt>
                <c:pt idx="180">
                  <c:v>1</c:v>
                </c:pt>
                <c:pt idx="181">
                  <c:v>12</c:v>
                </c:pt>
                <c:pt idx="182">
                  <c:v>11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4</c:v>
                </c:pt>
                <c:pt idx="187">
                  <c:v>4</c:v>
                </c:pt>
                <c:pt idx="188">
                  <c:v>0</c:v>
                </c:pt>
                <c:pt idx="189">
                  <c:v>7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10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0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2</c:v>
                </c:pt>
                <c:pt idx="204">
                  <c:v>3</c:v>
                </c:pt>
                <c:pt idx="205">
                  <c:v>1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0</c:v>
                </c:pt>
                <c:pt idx="213">
                  <c:v>2</c:v>
                </c:pt>
                <c:pt idx="214">
                  <c:v>1</c:v>
                </c:pt>
                <c:pt idx="215">
                  <c:v>0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7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3</c:v>
                </c:pt>
                <c:pt idx="224">
                  <c:v>6</c:v>
                </c:pt>
                <c:pt idx="225">
                  <c:v>3</c:v>
                </c:pt>
                <c:pt idx="226">
                  <c:v>2</c:v>
                </c:pt>
                <c:pt idx="227">
                  <c:v>2</c:v>
                </c:pt>
                <c:pt idx="228">
                  <c:v>0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6</c:v>
                </c:pt>
                <c:pt idx="233">
                  <c:v>10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первичные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23</c:v>
                </c:pt>
                <c:pt idx="1">
                  <c:v>31</c:v>
                </c:pt>
                <c:pt idx="2">
                  <c:v>17</c:v>
                </c:pt>
                <c:pt idx="3">
                  <c:v>25</c:v>
                </c:pt>
                <c:pt idx="4">
                  <c:v>34</c:v>
                </c:pt>
                <c:pt idx="5">
                  <c:v>35</c:v>
                </c:pt>
                <c:pt idx="6">
                  <c:v>60</c:v>
                </c:pt>
                <c:pt idx="7">
                  <c:v>43</c:v>
                </c:pt>
                <c:pt idx="8">
                  <c:v>27</c:v>
                </c:pt>
                <c:pt idx="9">
                  <c:v>32</c:v>
                </c:pt>
                <c:pt idx="10">
                  <c:v>23</c:v>
                </c:pt>
                <c:pt idx="11">
                  <c:v>31</c:v>
                </c:pt>
                <c:pt idx="12">
                  <c:v>55</c:v>
                </c:pt>
                <c:pt idx="13">
                  <c:v>32</c:v>
                </c:pt>
                <c:pt idx="14">
                  <c:v>39</c:v>
                </c:pt>
                <c:pt idx="15">
                  <c:v>57</c:v>
                </c:pt>
                <c:pt idx="16">
                  <c:v>62</c:v>
                </c:pt>
                <c:pt idx="17">
                  <c:v>52</c:v>
                </c:pt>
                <c:pt idx="18">
                  <c:v>42</c:v>
                </c:pt>
                <c:pt idx="19">
                  <c:v>71</c:v>
                </c:pt>
                <c:pt idx="20">
                  <c:v>47</c:v>
                </c:pt>
                <c:pt idx="21">
                  <c:v>59</c:v>
                </c:pt>
                <c:pt idx="22">
                  <c:v>44</c:v>
                </c:pt>
                <c:pt idx="23">
                  <c:v>51</c:v>
                </c:pt>
                <c:pt idx="24">
                  <c:v>41</c:v>
                </c:pt>
                <c:pt idx="25">
                  <c:v>48</c:v>
                </c:pt>
                <c:pt idx="26">
                  <c:v>30</c:v>
                </c:pt>
                <c:pt idx="27">
                  <c:v>56</c:v>
                </c:pt>
                <c:pt idx="28">
                  <c:v>62</c:v>
                </c:pt>
                <c:pt idx="29">
                  <c:v>36</c:v>
                </c:pt>
                <c:pt idx="30">
                  <c:v>28</c:v>
                </c:pt>
                <c:pt idx="31">
                  <c:v>52</c:v>
                </c:pt>
                <c:pt idx="32">
                  <c:v>64</c:v>
                </c:pt>
                <c:pt idx="33">
                  <c:v>42</c:v>
                </c:pt>
                <c:pt idx="34">
                  <c:v>42</c:v>
                </c:pt>
                <c:pt idx="35">
                  <c:v>50</c:v>
                </c:pt>
                <c:pt idx="36">
                  <c:v>39</c:v>
                </c:pt>
                <c:pt idx="37">
                  <c:v>30</c:v>
                </c:pt>
                <c:pt idx="38">
                  <c:v>33</c:v>
                </c:pt>
                <c:pt idx="39">
                  <c:v>17</c:v>
                </c:pt>
                <c:pt idx="40">
                  <c:v>23</c:v>
                </c:pt>
                <c:pt idx="41">
                  <c:v>26</c:v>
                </c:pt>
                <c:pt idx="42">
                  <c:v>36</c:v>
                </c:pt>
                <c:pt idx="43">
                  <c:v>37</c:v>
                </c:pt>
                <c:pt idx="44">
                  <c:v>30</c:v>
                </c:pt>
                <c:pt idx="45">
                  <c:v>24</c:v>
                </c:pt>
                <c:pt idx="46">
                  <c:v>27</c:v>
                </c:pt>
                <c:pt idx="47">
                  <c:v>33</c:v>
                </c:pt>
                <c:pt idx="48">
                  <c:v>28</c:v>
                </c:pt>
                <c:pt idx="49">
                  <c:v>20</c:v>
                </c:pt>
                <c:pt idx="50">
                  <c:v>28</c:v>
                </c:pt>
                <c:pt idx="51">
                  <c:v>30</c:v>
                </c:pt>
                <c:pt idx="52">
                  <c:v>14</c:v>
                </c:pt>
                <c:pt idx="53">
                  <c:v>26</c:v>
                </c:pt>
                <c:pt idx="54">
                  <c:v>19</c:v>
                </c:pt>
                <c:pt idx="55">
                  <c:v>25</c:v>
                </c:pt>
                <c:pt idx="56">
                  <c:v>44</c:v>
                </c:pt>
                <c:pt idx="57">
                  <c:v>27</c:v>
                </c:pt>
                <c:pt idx="58">
                  <c:v>28</c:v>
                </c:pt>
                <c:pt idx="59">
                  <c:v>32</c:v>
                </c:pt>
                <c:pt idx="60">
                  <c:v>44</c:v>
                </c:pt>
                <c:pt idx="61">
                  <c:v>30</c:v>
                </c:pt>
                <c:pt idx="62">
                  <c:v>37</c:v>
                </c:pt>
                <c:pt idx="63">
                  <c:v>59</c:v>
                </c:pt>
                <c:pt idx="64">
                  <c:v>34</c:v>
                </c:pt>
                <c:pt idx="65">
                  <c:v>56</c:v>
                </c:pt>
                <c:pt idx="66">
                  <c:v>43</c:v>
                </c:pt>
                <c:pt idx="67">
                  <c:v>51</c:v>
                </c:pt>
                <c:pt idx="68">
                  <c:v>61</c:v>
                </c:pt>
                <c:pt idx="69">
                  <c:v>62</c:v>
                </c:pt>
                <c:pt idx="70">
                  <c:v>52</c:v>
                </c:pt>
                <c:pt idx="71">
                  <c:v>50</c:v>
                </c:pt>
                <c:pt idx="72">
                  <c:v>71</c:v>
                </c:pt>
                <c:pt idx="73">
                  <c:v>56</c:v>
                </c:pt>
                <c:pt idx="74">
                  <c:v>57</c:v>
                </c:pt>
                <c:pt idx="75">
                  <c:v>45</c:v>
                </c:pt>
                <c:pt idx="76">
                  <c:v>43</c:v>
                </c:pt>
                <c:pt idx="77">
                  <c:v>34</c:v>
                </c:pt>
                <c:pt idx="78">
                  <c:v>64</c:v>
                </c:pt>
                <c:pt idx="79">
                  <c:v>63</c:v>
                </c:pt>
                <c:pt idx="80">
                  <c:v>45</c:v>
                </c:pt>
                <c:pt idx="81">
                  <c:v>54</c:v>
                </c:pt>
                <c:pt idx="82">
                  <c:v>49</c:v>
                </c:pt>
                <c:pt idx="83">
                  <c:v>54</c:v>
                </c:pt>
                <c:pt idx="84">
                  <c:v>48</c:v>
                </c:pt>
                <c:pt idx="85">
                  <c:v>53</c:v>
                </c:pt>
                <c:pt idx="86">
                  <c:v>38</c:v>
                </c:pt>
                <c:pt idx="87">
                  <c:v>30</c:v>
                </c:pt>
                <c:pt idx="88">
                  <c:v>58</c:v>
                </c:pt>
                <c:pt idx="89">
                  <c:v>36</c:v>
                </c:pt>
                <c:pt idx="90">
                  <c:v>35</c:v>
                </c:pt>
                <c:pt idx="91">
                  <c:v>46</c:v>
                </c:pt>
                <c:pt idx="92">
                  <c:v>44</c:v>
                </c:pt>
                <c:pt idx="93">
                  <c:v>49</c:v>
                </c:pt>
                <c:pt idx="94">
                  <c:v>25</c:v>
                </c:pt>
                <c:pt idx="95">
                  <c:v>52</c:v>
                </c:pt>
                <c:pt idx="96">
                  <c:v>48</c:v>
                </c:pt>
                <c:pt idx="97">
                  <c:v>28</c:v>
                </c:pt>
                <c:pt idx="98">
                  <c:v>42</c:v>
                </c:pt>
                <c:pt idx="99">
                  <c:v>49</c:v>
                </c:pt>
                <c:pt idx="100">
                  <c:v>35</c:v>
                </c:pt>
                <c:pt idx="101">
                  <c:v>39</c:v>
                </c:pt>
                <c:pt idx="102">
                  <c:v>30</c:v>
                </c:pt>
                <c:pt idx="103">
                  <c:v>28</c:v>
                </c:pt>
                <c:pt idx="104">
                  <c:v>15</c:v>
                </c:pt>
                <c:pt idx="105">
                  <c:v>20</c:v>
                </c:pt>
                <c:pt idx="106">
                  <c:v>20</c:v>
                </c:pt>
                <c:pt idx="107">
                  <c:v>35</c:v>
                </c:pt>
                <c:pt idx="108">
                  <c:v>27</c:v>
                </c:pt>
                <c:pt idx="109">
                  <c:v>31</c:v>
                </c:pt>
                <c:pt idx="110">
                  <c:v>56</c:v>
                </c:pt>
                <c:pt idx="111">
                  <c:v>33</c:v>
                </c:pt>
                <c:pt idx="112">
                  <c:v>47</c:v>
                </c:pt>
                <c:pt idx="113">
                  <c:v>64</c:v>
                </c:pt>
                <c:pt idx="114">
                  <c:v>52</c:v>
                </c:pt>
                <c:pt idx="115">
                  <c:v>37</c:v>
                </c:pt>
                <c:pt idx="116">
                  <c:v>41</c:v>
                </c:pt>
                <c:pt idx="117">
                  <c:v>80</c:v>
                </c:pt>
                <c:pt idx="118">
                  <c:v>70</c:v>
                </c:pt>
                <c:pt idx="119">
                  <c:v>55</c:v>
                </c:pt>
                <c:pt idx="120">
                  <c:v>78</c:v>
                </c:pt>
                <c:pt idx="121">
                  <c:v>83</c:v>
                </c:pt>
                <c:pt idx="122">
                  <c:v>73</c:v>
                </c:pt>
                <c:pt idx="123">
                  <c:v>39</c:v>
                </c:pt>
                <c:pt idx="124">
                  <c:v>50</c:v>
                </c:pt>
                <c:pt idx="125">
                  <c:v>63</c:v>
                </c:pt>
                <c:pt idx="126">
                  <c:v>50</c:v>
                </c:pt>
                <c:pt idx="127">
                  <c:v>63</c:v>
                </c:pt>
                <c:pt idx="128">
                  <c:v>43</c:v>
                </c:pt>
                <c:pt idx="129">
                  <c:v>83</c:v>
                </c:pt>
                <c:pt idx="130">
                  <c:v>52</c:v>
                </c:pt>
                <c:pt idx="131">
                  <c:v>54</c:v>
                </c:pt>
                <c:pt idx="132">
                  <c:v>62</c:v>
                </c:pt>
                <c:pt idx="133">
                  <c:v>56</c:v>
                </c:pt>
                <c:pt idx="134">
                  <c:v>61</c:v>
                </c:pt>
                <c:pt idx="135">
                  <c:v>46</c:v>
                </c:pt>
                <c:pt idx="136">
                  <c:v>48</c:v>
                </c:pt>
                <c:pt idx="137">
                  <c:v>41</c:v>
                </c:pt>
                <c:pt idx="138">
                  <c:v>42</c:v>
                </c:pt>
                <c:pt idx="139">
                  <c:v>62</c:v>
                </c:pt>
                <c:pt idx="140">
                  <c:v>37</c:v>
                </c:pt>
                <c:pt idx="141">
                  <c:v>50</c:v>
                </c:pt>
                <c:pt idx="142">
                  <c:v>70</c:v>
                </c:pt>
                <c:pt idx="143">
                  <c:v>66</c:v>
                </c:pt>
                <c:pt idx="144">
                  <c:v>52</c:v>
                </c:pt>
                <c:pt idx="145">
                  <c:v>41</c:v>
                </c:pt>
                <c:pt idx="146">
                  <c:v>63</c:v>
                </c:pt>
                <c:pt idx="147">
                  <c:v>50</c:v>
                </c:pt>
                <c:pt idx="148">
                  <c:v>46</c:v>
                </c:pt>
                <c:pt idx="149">
                  <c:v>38</c:v>
                </c:pt>
                <c:pt idx="150">
                  <c:v>26</c:v>
                </c:pt>
                <c:pt idx="151">
                  <c:v>39</c:v>
                </c:pt>
                <c:pt idx="152">
                  <c:v>43</c:v>
                </c:pt>
                <c:pt idx="153">
                  <c:v>47</c:v>
                </c:pt>
                <c:pt idx="154">
                  <c:v>39</c:v>
                </c:pt>
                <c:pt idx="155">
                  <c:v>28</c:v>
                </c:pt>
                <c:pt idx="156">
                  <c:v>27</c:v>
                </c:pt>
                <c:pt idx="157">
                  <c:v>16</c:v>
                </c:pt>
                <c:pt idx="158">
                  <c:v>46</c:v>
                </c:pt>
                <c:pt idx="159">
                  <c:v>45</c:v>
                </c:pt>
                <c:pt idx="160">
                  <c:v>29</c:v>
                </c:pt>
                <c:pt idx="161">
                  <c:v>43</c:v>
                </c:pt>
                <c:pt idx="162">
                  <c:v>42</c:v>
                </c:pt>
                <c:pt idx="163">
                  <c:v>48</c:v>
                </c:pt>
                <c:pt idx="164">
                  <c:v>32</c:v>
                </c:pt>
                <c:pt idx="165">
                  <c:v>26</c:v>
                </c:pt>
                <c:pt idx="166">
                  <c:v>40</c:v>
                </c:pt>
                <c:pt idx="167">
                  <c:v>54</c:v>
                </c:pt>
                <c:pt idx="168">
                  <c:v>62</c:v>
                </c:pt>
                <c:pt idx="169">
                  <c:v>77</c:v>
                </c:pt>
                <c:pt idx="170">
                  <c:v>81</c:v>
                </c:pt>
                <c:pt idx="171">
                  <c:v>68</c:v>
                </c:pt>
                <c:pt idx="172">
                  <c:v>65</c:v>
                </c:pt>
                <c:pt idx="173">
                  <c:v>62</c:v>
                </c:pt>
                <c:pt idx="174">
                  <c:v>52</c:v>
                </c:pt>
                <c:pt idx="175">
                  <c:v>43</c:v>
                </c:pt>
                <c:pt idx="176">
                  <c:v>54</c:v>
                </c:pt>
                <c:pt idx="177">
                  <c:v>50</c:v>
                </c:pt>
                <c:pt idx="178">
                  <c:v>63</c:v>
                </c:pt>
                <c:pt idx="179">
                  <c:v>76</c:v>
                </c:pt>
                <c:pt idx="180">
                  <c:v>82</c:v>
                </c:pt>
                <c:pt idx="181">
                  <c:v>61</c:v>
                </c:pt>
                <c:pt idx="182">
                  <c:v>69</c:v>
                </c:pt>
                <c:pt idx="183">
                  <c:v>80</c:v>
                </c:pt>
                <c:pt idx="184">
                  <c:v>72</c:v>
                </c:pt>
                <c:pt idx="185">
                  <c:v>80</c:v>
                </c:pt>
                <c:pt idx="186">
                  <c:v>70</c:v>
                </c:pt>
                <c:pt idx="187">
                  <c:v>64</c:v>
                </c:pt>
                <c:pt idx="188">
                  <c:v>82</c:v>
                </c:pt>
                <c:pt idx="189">
                  <c:v>75</c:v>
                </c:pt>
                <c:pt idx="190">
                  <c:v>80</c:v>
                </c:pt>
                <c:pt idx="191">
                  <c:v>42</c:v>
                </c:pt>
                <c:pt idx="192">
                  <c:v>61</c:v>
                </c:pt>
                <c:pt idx="193">
                  <c:v>76</c:v>
                </c:pt>
                <c:pt idx="194">
                  <c:v>57</c:v>
                </c:pt>
                <c:pt idx="195">
                  <c:v>62</c:v>
                </c:pt>
                <c:pt idx="196">
                  <c:v>80</c:v>
                </c:pt>
                <c:pt idx="197">
                  <c:v>81</c:v>
                </c:pt>
                <c:pt idx="198">
                  <c:v>34</c:v>
                </c:pt>
                <c:pt idx="199">
                  <c:v>29</c:v>
                </c:pt>
                <c:pt idx="200">
                  <c:v>65</c:v>
                </c:pt>
                <c:pt idx="201">
                  <c:v>68</c:v>
                </c:pt>
                <c:pt idx="202">
                  <c:v>48</c:v>
                </c:pt>
                <c:pt idx="203">
                  <c:v>51</c:v>
                </c:pt>
                <c:pt idx="204">
                  <c:v>34</c:v>
                </c:pt>
                <c:pt idx="205">
                  <c:v>37</c:v>
                </c:pt>
                <c:pt idx="206">
                  <c:v>45</c:v>
                </c:pt>
                <c:pt idx="207">
                  <c:v>22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20</c:v>
                </c:pt>
                <c:pt idx="212">
                  <c:v>37</c:v>
                </c:pt>
                <c:pt idx="213">
                  <c:v>39</c:v>
                </c:pt>
                <c:pt idx="214">
                  <c:v>42</c:v>
                </c:pt>
                <c:pt idx="215">
                  <c:v>33</c:v>
                </c:pt>
                <c:pt idx="216">
                  <c:v>28</c:v>
                </c:pt>
                <c:pt idx="217">
                  <c:v>35</c:v>
                </c:pt>
                <c:pt idx="218">
                  <c:v>31</c:v>
                </c:pt>
                <c:pt idx="219">
                  <c:v>30</c:v>
                </c:pt>
                <c:pt idx="220">
                  <c:v>56</c:v>
                </c:pt>
                <c:pt idx="221">
                  <c:v>43</c:v>
                </c:pt>
                <c:pt idx="222">
                  <c:v>87</c:v>
                </c:pt>
                <c:pt idx="223">
                  <c:v>60</c:v>
                </c:pt>
                <c:pt idx="224">
                  <c:v>56</c:v>
                </c:pt>
                <c:pt idx="225">
                  <c:v>83</c:v>
                </c:pt>
                <c:pt idx="226">
                  <c:v>78</c:v>
                </c:pt>
                <c:pt idx="227">
                  <c:v>64</c:v>
                </c:pt>
                <c:pt idx="228">
                  <c:v>71</c:v>
                </c:pt>
                <c:pt idx="229">
                  <c:v>89</c:v>
                </c:pt>
                <c:pt idx="230">
                  <c:v>62</c:v>
                </c:pt>
                <c:pt idx="231">
                  <c:v>89</c:v>
                </c:pt>
                <c:pt idx="232">
                  <c:v>61</c:v>
                </c:pt>
                <c:pt idx="233">
                  <c:v>53</c:v>
                </c:pt>
                <c:pt idx="234">
                  <c:v>39</c:v>
                </c:pt>
                <c:pt idx="235">
                  <c:v>52</c:v>
                </c:pt>
                <c:pt idx="236">
                  <c:v>85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10</c:v>
                </c:pt>
                <c:pt idx="2">
                  <c:v>16</c:v>
                </c:pt>
                <c:pt idx="3">
                  <c:v>17</c:v>
                </c:pt>
                <c:pt idx="4">
                  <c:v>13</c:v>
                </c:pt>
                <c:pt idx="5">
                  <c:v>11</c:v>
                </c:pt>
                <c:pt idx="6">
                  <c:v>12</c:v>
                </c:pt>
                <c:pt idx="7">
                  <c:v>14</c:v>
                </c:pt>
                <c:pt idx="8">
                  <c:v>10</c:v>
                </c:pt>
                <c:pt idx="9">
                  <c:v>10</c:v>
                </c:pt>
                <c:pt idx="10">
                  <c:v>14</c:v>
                </c:pt>
                <c:pt idx="11">
                  <c:v>9</c:v>
                </c:pt>
                <c:pt idx="12">
                  <c:v>13</c:v>
                </c:pt>
                <c:pt idx="13">
                  <c:v>15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11</c:v>
                </c:pt>
                <c:pt idx="23">
                  <c:v>9</c:v>
                </c:pt>
                <c:pt idx="24">
                  <c:v>11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10</c:v>
                </c:pt>
                <c:pt idx="30">
                  <c:v>7</c:v>
                </c:pt>
                <c:pt idx="31">
                  <c:v>6</c:v>
                </c:pt>
                <c:pt idx="32">
                  <c:v>9</c:v>
                </c:pt>
                <c:pt idx="33">
                  <c:v>11</c:v>
                </c:pt>
                <c:pt idx="34">
                  <c:v>14</c:v>
                </c:pt>
                <c:pt idx="35">
                  <c:v>8</c:v>
                </c:pt>
                <c:pt idx="36">
                  <c:v>9</c:v>
                </c:pt>
                <c:pt idx="37">
                  <c:v>6</c:v>
                </c:pt>
                <c:pt idx="38">
                  <c:v>9</c:v>
                </c:pt>
                <c:pt idx="39">
                  <c:v>5</c:v>
                </c:pt>
                <c:pt idx="40">
                  <c:v>7</c:v>
                </c:pt>
                <c:pt idx="41">
                  <c:v>7</c:v>
                </c:pt>
                <c:pt idx="42">
                  <c:v>4</c:v>
                </c:pt>
                <c:pt idx="43">
                  <c:v>6</c:v>
                </c:pt>
                <c:pt idx="44">
                  <c:v>12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5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5</c:v>
                </c:pt>
                <c:pt idx="63">
                  <c:v>2</c:v>
                </c:pt>
                <c:pt idx="64">
                  <c:v>8</c:v>
                </c:pt>
                <c:pt idx="65">
                  <c:v>6</c:v>
                </c:pt>
                <c:pt idx="66">
                  <c:v>6</c:v>
                </c:pt>
                <c:pt idx="67">
                  <c:v>2</c:v>
                </c:pt>
                <c:pt idx="68">
                  <c:v>7</c:v>
                </c:pt>
                <c:pt idx="69">
                  <c:v>5</c:v>
                </c:pt>
                <c:pt idx="70">
                  <c:v>7</c:v>
                </c:pt>
                <c:pt idx="71">
                  <c:v>6</c:v>
                </c:pt>
                <c:pt idx="72">
                  <c:v>4</c:v>
                </c:pt>
                <c:pt idx="73">
                  <c:v>6</c:v>
                </c:pt>
                <c:pt idx="74">
                  <c:v>7</c:v>
                </c:pt>
                <c:pt idx="75">
                  <c:v>9</c:v>
                </c:pt>
                <c:pt idx="76">
                  <c:v>9</c:v>
                </c:pt>
                <c:pt idx="77">
                  <c:v>3</c:v>
                </c:pt>
                <c:pt idx="78">
                  <c:v>10</c:v>
                </c:pt>
                <c:pt idx="79">
                  <c:v>7</c:v>
                </c:pt>
                <c:pt idx="80">
                  <c:v>2</c:v>
                </c:pt>
                <c:pt idx="81">
                  <c:v>6</c:v>
                </c:pt>
                <c:pt idx="82">
                  <c:v>0</c:v>
                </c:pt>
                <c:pt idx="83">
                  <c:v>4</c:v>
                </c:pt>
                <c:pt idx="84">
                  <c:v>5</c:v>
                </c:pt>
                <c:pt idx="85">
                  <c:v>3</c:v>
                </c:pt>
                <c:pt idx="86">
                  <c:v>10</c:v>
                </c:pt>
                <c:pt idx="87">
                  <c:v>4</c:v>
                </c:pt>
                <c:pt idx="88">
                  <c:v>9</c:v>
                </c:pt>
                <c:pt idx="89">
                  <c:v>6</c:v>
                </c:pt>
                <c:pt idx="90">
                  <c:v>10</c:v>
                </c:pt>
                <c:pt idx="91">
                  <c:v>12</c:v>
                </c:pt>
                <c:pt idx="92">
                  <c:v>12</c:v>
                </c:pt>
                <c:pt idx="93">
                  <c:v>9</c:v>
                </c:pt>
                <c:pt idx="94">
                  <c:v>2</c:v>
                </c:pt>
                <c:pt idx="95">
                  <c:v>20</c:v>
                </c:pt>
                <c:pt idx="96">
                  <c:v>7</c:v>
                </c:pt>
                <c:pt idx="97">
                  <c:v>7</c:v>
                </c:pt>
                <c:pt idx="98">
                  <c:v>11</c:v>
                </c:pt>
                <c:pt idx="99">
                  <c:v>10</c:v>
                </c:pt>
                <c:pt idx="100">
                  <c:v>3</c:v>
                </c:pt>
                <c:pt idx="101">
                  <c:v>8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4</c:v>
                </c:pt>
                <c:pt idx="106">
                  <c:v>2</c:v>
                </c:pt>
                <c:pt idx="107">
                  <c:v>9</c:v>
                </c:pt>
                <c:pt idx="108">
                  <c:v>7</c:v>
                </c:pt>
                <c:pt idx="109">
                  <c:v>3</c:v>
                </c:pt>
                <c:pt idx="110">
                  <c:v>3</c:v>
                </c:pt>
                <c:pt idx="111">
                  <c:v>6</c:v>
                </c:pt>
                <c:pt idx="112">
                  <c:v>12</c:v>
                </c:pt>
                <c:pt idx="113">
                  <c:v>7</c:v>
                </c:pt>
                <c:pt idx="114">
                  <c:v>9</c:v>
                </c:pt>
                <c:pt idx="115">
                  <c:v>13</c:v>
                </c:pt>
                <c:pt idx="116">
                  <c:v>7</c:v>
                </c:pt>
                <c:pt idx="117">
                  <c:v>8</c:v>
                </c:pt>
                <c:pt idx="118">
                  <c:v>6</c:v>
                </c:pt>
                <c:pt idx="119">
                  <c:v>11</c:v>
                </c:pt>
                <c:pt idx="120">
                  <c:v>12</c:v>
                </c:pt>
                <c:pt idx="121">
                  <c:v>14</c:v>
                </c:pt>
                <c:pt idx="122">
                  <c:v>17</c:v>
                </c:pt>
                <c:pt idx="123">
                  <c:v>14</c:v>
                </c:pt>
                <c:pt idx="124">
                  <c:v>12</c:v>
                </c:pt>
                <c:pt idx="125">
                  <c:v>15</c:v>
                </c:pt>
                <c:pt idx="126">
                  <c:v>8</c:v>
                </c:pt>
                <c:pt idx="127">
                  <c:v>11</c:v>
                </c:pt>
                <c:pt idx="128">
                  <c:v>9</c:v>
                </c:pt>
                <c:pt idx="129">
                  <c:v>10</c:v>
                </c:pt>
                <c:pt idx="130">
                  <c:v>13</c:v>
                </c:pt>
                <c:pt idx="131">
                  <c:v>8</c:v>
                </c:pt>
                <c:pt idx="132">
                  <c:v>23</c:v>
                </c:pt>
                <c:pt idx="133">
                  <c:v>12</c:v>
                </c:pt>
                <c:pt idx="134">
                  <c:v>10</c:v>
                </c:pt>
                <c:pt idx="135">
                  <c:v>18</c:v>
                </c:pt>
                <c:pt idx="136">
                  <c:v>12</c:v>
                </c:pt>
                <c:pt idx="137">
                  <c:v>8</c:v>
                </c:pt>
                <c:pt idx="138">
                  <c:v>7</c:v>
                </c:pt>
                <c:pt idx="139">
                  <c:v>14</c:v>
                </c:pt>
                <c:pt idx="140">
                  <c:v>13</c:v>
                </c:pt>
                <c:pt idx="141">
                  <c:v>13</c:v>
                </c:pt>
                <c:pt idx="142">
                  <c:v>10</c:v>
                </c:pt>
                <c:pt idx="143">
                  <c:v>19</c:v>
                </c:pt>
                <c:pt idx="144">
                  <c:v>4</c:v>
                </c:pt>
                <c:pt idx="145">
                  <c:v>9</c:v>
                </c:pt>
                <c:pt idx="146">
                  <c:v>4</c:v>
                </c:pt>
                <c:pt idx="147">
                  <c:v>6</c:v>
                </c:pt>
                <c:pt idx="148">
                  <c:v>9</c:v>
                </c:pt>
                <c:pt idx="149">
                  <c:v>7</c:v>
                </c:pt>
                <c:pt idx="150">
                  <c:v>8</c:v>
                </c:pt>
                <c:pt idx="151">
                  <c:v>2</c:v>
                </c:pt>
                <c:pt idx="152">
                  <c:v>7</c:v>
                </c:pt>
                <c:pt idx="153">
                  <c:v>4</c:v>
                </c:pt>
                <c:pt idx="154">
                  <c:v>1</c:v>
                </c:pt>
                <c:pt idx="155">
                  <c:v>3</c:v>
                </c:pt>
                <c:pt idx="156">
                  <c:v>3</c:v>
                </c:pt>
                <c:pt idx="157">
                  <c:v>0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9</c:v>
                </c:pt>
                <c:pt idx="166">
                  <c:v>13</c:v>
                </c:pt>
                <c:pt idx="167">
                  <c:v>6</c:v>
                </c:pt>
                <c:pt idx="168">
                  <c:v>3</c:v>
                </c:pt>
                <c:pt idx="169">
                  <c:v>4</c:v>
                </c:pt>
                <c:pt idx="170">
                  <c:v>4</c:v>
                </c:pt>
                <c:pt idx="171">
                  <c:v>10</c:v>
                </c:pt>
                <c:pt idx="172">
                  <c:v>8</c:v>
                </c:pt>
                <c:pt idx="173">
                  <c:v>6</c:v>
                </c:pt>
                <c:pt idx="174">
                  <c:v>3</c:v>
                </c:pt>
                <c:pt idx="175">
                  <c:v>3</c:v>
                </c:pt>
                <c:pt idx="176">
                  <c:v>4</c:v>
                </c:pt>
                <c:pt idx="177">
                  <c:v>6</c:v>
                </c:pt>
                <c:pt idx="178">
                  <c:v>6</c:v>
                </c:pt>
                <c:pt idx="179">
                  <c:v>13</c:v>
                </c:pt>
                <c:pt idx="180">
                  <c:v>1</c:v>
                </c:pt>
                <c:pt idx="181">
                  <c:v>12</c:v>
                </c:pt>
                <c:pt idx="182">
                  <c:v>11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4</c:v>
                </c:pt>
                <c:pt idx="187">
                  <c:v>4</c:v>
                </c:pt>
                <c:pt idx="188">
                  <c:v>0</c:v>
                </c:pt>
                <c:pt idx="189">
                  <c:v>6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5</c:v>
                </c:pt>
                <c:pt idx="194">
                  <c:v>4</c:v>
                </c:pt>
                <c:pt idx="195">
                  <c:v>10</c:v>
                </c:pt>
                <c:pt idx="196">
                  <c:v>1</c:v>
                </c:pt>
                <c:pt idx="197">
                  <c:v>5</c:v>
                </c:pt>
                <c:pt idx="198">
                  <c:v>2</c:v>
                </c:pt>
                <c:pt idx="199">
                  <c:v>0</c:v>
                </c:pt>
                <c:pt idx="200">
                  <c:v>2</c:v>
                </c:pt>
                <c:pt idx="201">
                  <c:v>1</c:v>
                </c:pt>
                <c:pt idx="202">
                  <c:v>4</c:v>
                </c:pt>
                <c:pt idx="203">
                  <c:v>2</c:v>
                </c:pt>
                <c:pt idx="204">
                  <c:v>3</c:v>
                </c:pt>
                <c:pt idx="205">
                  <c:v>1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0</c:v>
                </c:pt>
                <c:pt idx="213">
                  <c:v>2</c:v>
                </c:pt>
                <c:pt idx="214">
                  <c:v>1</c:v>
                </c:pt>
                <c:pt idx="215">
                  <c:v>0</c:v>
                </c:pt>
                <c:pt idx="216">
                  <c:v>4</c:v>
                </c:pt>
                <c:pt idx="217">
                  <c:v>1</c:v>
                </c:pt>
                <c:pt idx="218">
                  <c:v>1</c:v>
                </c:pt>
                <c:pt idx="219">
                  <c:v>7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3</c:v>
                </c:pt>
                <c:pt idx="224">
                  <c:v>6</c:v>
                </c:pt>
                <c:pt idx="225">
                  <c:v>3</c:v>
                </c:pt>
                <c:pt idx="226">
                  <c:v>2</c:v>
                </c:pt>
                <c:pt idx="227">
                  <c:v>2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5</c:v>
                </c:pt>
                <c:pt idx="233">
                  <c:v>7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139700</xdr:rowOff>
    </xdr:from>
    <xdr:to>
      <xdr:col>19</xdr:col>
      <xdr:colOff>495300</xdr:colOff>
      <xdr:row>41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33276D-90C1-4B22-8037-D29EAACA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4DF28-6654-43CF-865C-00EFB15D3871}" name="tblWeekly" displayName="tblWeekly" ref="A4:G241" totalsRowShown="0">
  <autoFilter ref="A4:G241" xr:uid="{A0E2AAE1-5A4D-47B5-AE7B-377FA1C171B0}"/>
  <tableColumns count="7">
    <tableColumn id="1" xr3:uid="{CF920647-B8E5-4076-8B13-642F579B4069}" name="Начало недели" dataDxfId="6"/>
    <tableColumn id="2" xr3:uid="{D1AA069E-B5CC-4FD6-9CFB-4149EFAEDA28}" name="Конец недели" dataDxfId="5"/>
    <tableColumn id="3" xr3:uid="{EBEB993A-D282-4020-BEE3-B221F490DE21}" name="Период Wordstat"/>
    <tableColumn id="4" xr3:uid="{08401C05-F269-443F-910F-D302EADC6382}" name="Все лиды">
      <calculatedColumnFormula>COUNTIFS('Исходник — лиды'!$H$2:$H$1567,"&gt;="&amp;A5,'Исходник — лиды'!$H$2:$H$1567,"&lt;"&amp;B5+1)</calculatedColumnFormula>
    </tableColumn>
    <tableColumn id="5" xr3:uid="{084551EE-DD54-4313-B3BD-01E7FB2D8A87}" name="Качественные лиды">
      <calculatedColumnFormula>COUNTIFS('Исходник — лиды'!$H$2:$H$1567,"&gt;="&amp;A5,'Исходник — лиды'!$H$2:$H$1567,"&lt;"&amp;B5+1,'Исходник — лиды'!$C$2:$C$1567,"Качественный лид")</calculatedColumnFormula>
    </tableColumn>
    <tableColumn id="6" xr3:uid="{9E5A5876-D460-407D-9F96-762D10748A95}" name="Запросы Wordstat"/>
    <tableColumn id="7" xr3:uid="{A133E31A-6063-4D64-922C-26C805E62A84}" name="Доля качественных" dataDxfId="4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4BE91-9E04-4F13-9424-DCC8E4D93C5F}" name="tblFilmPrimaryLeads" displayName="tblFilmPrimaryLeads" ref="A1:Z1567" totalsRowShown="0">
  <autoFilter ref="A1:Z1567" xr:uid="{43E23B75-112A-4397-9FE6-C7E7114A3407}"/>
  <tableColumns count="26">
    <tableColumn id="1" xr3:uid="{0DFE3088-1D3B-4343-AE67-ECACE6D71BCA}" name="Название лида"/>
    <tableColumn id="2" xr3:uid="{A78D7CCE-8503-4837-81B7-1E4E9ADFFB71}" name="Источник"/>
    <tableColumn id="3" xr3:uid="{DFBC05A9-F630-4CBF-8A1B-B1EBA0EFFD41}" name="Стадия"/>
    <tableColumn id="4" xr3:uid="{142E2050-B24E-45CF-BBC9-0A3C1A32D410}" name="Обращение"/>
    <tableColumn id="5" xr3:uid="{EB31A6F5-3538-44DC-B510-ABD2EB08B808}" name="Имя"/>
    <tableColumn id="6" xr3:uid="{A0E6F3AB-1E4E-4042-8B5D-51E442DAB15F}" name="Отчество"/>
    <tableColumn id="7" xr3:uid="{89480961-B131-4928-99A2-2B0543579EBC}" name="Фамилия"/>
    <tableColumn id="8" xr3:uid="{8F907410-EC99-49B4-8E1C-94B7482CC3F4}" name="Дата создания" dataDxfId="0"/>
    <tableColumn id="9" xr3:uid="{4C350E82-AAFC-46F6-8290-EABBFD7DE2DB}" name="Ответственный"/>
    <tableColumn id="10" xr3:uid="{C4CDEA9C-8630-4D4D-981E-3049C24872F3}" name="Путь клиента"/>
    <tableColumn id="11" xr3:uid="{8AF6ADFC-43FF-405F-A93D-F5ADA90676A3}" name="UTM Source"/>
    <tableColumn id="12" xr3:uid="{ED3AF71B-5D82-418D-BEB3-F1FC2EF4B355}" name="UTM Medium"/>
    <tableColumn id="13" xr3:uid="{C0241453-7372-449E-876C-59B5971CEF30}" name="UTM Campaign"/>
    <tableColumn id="14" xr3:uid="{27B29BD6-07A3-4438-9895-30CF94246344}" name="UTM Content"/>
    <tableColumn id="15" xr3:uid="{6A300B66-4A06-429F-AFCC-DF8917CB3241}" name="UTM Term"/>
    <tableColumn id="16" xr3:uid="{9BD2D32D-2139-44F6-93D8-48EE09E3BE0C}" name="ДКТ: client_id"/>
    <tableColumn id="17" xr3:uid="{8CA752DB-4CF7-410A-86E6-040B63885570}" name="ДКТ: client_cid"/>
    <tableColumn id="18" xr3:uid="{F249AEA0-2C6D-4076-B789-FBAB3C63DBDA}" name="ДКТ: ya_client_id"/>
    <tableColumn id="19" xr3:uid="{3CD912FF-3382-4C97-90E9-B81D724FF5F9}" name="ДКТ: Город"/>
    <tableColumn id="20" xr3:uid="{69495315-4DC2-4E1D-B796-D4E702B6633D}" name="ДКТ: Источник"/>
    <tableColumn id="21" xr3:uid="{9378A83B-DA1A-4E64-A0A9-F5E67B04CFE9}" name="ДКТ: Канал"/>
    <tableColumn id="22" xr3:uid="{94CAB999-8C16-4A3F-A37B-723E48071AD3}" name="ДКТ: Кампания"/>
    <tableColumn id="23" xr3:uid="{DCF0B01C-25F7-4198-B9D9-AF60D6541998}" name="ДКТ: Содержимое"/>
    <tableColumn id="24" xr3:uid="{07C4F81D-2F64-404D-A9E9-1886FE54AB6C}" name="ДКТ: Что искал"/>
    <tableColumn id="25" xr3:uid="{0BE639F9-8B59-4483-9BC3-93DEA1A797F9}" name="ДКТ: Время на сайте"/>
    <tableColumn id="26" xr3:uid="{AA077FBB-E8B4-48E0-8673-2A7C5A1C8818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99CD4-B019-4023-9345-7861C71DD228}" name="tblWordstat" displayName="tblWordstat" ref="A1:E238" totalsRowShown="0">
  <autoFilter ref="A1:E238" xr:uid="{99491D13-AEC4-4B12-8CF5-E4C5BEF70DF7}"/>
  <tableColumns count="5">
    <tableColumn id="1" xr3:uid="{016DB456-A430-4852-AEA7-ED022C4E1D9A}" name="Начало недели" dataDxfId="3"/>
    <tableColumn id="2" xr3:uid="{5842EF78-7F5C-4DA0-B33B-2BF17EE8C07B}" name="Конец недели" dataDxfId="2"/>
    <tableColumn id="3" xr3:uid="{8B31F2CD-BEFF-402F-BA82-A88AD5D45BBC}" name="Период Wordstat"/>
    <tableColumn id="4" xr3:uid="{1822A165-10B2-42D0-A9FA-5692DFABE234}" name="Число запросов"/>
    <tableColumn id="5" xr3:uid="{E9C24DD5-B2B6-446F-8F32-A40C7B185D41}" name="Доля от всех запросов, %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2505-2519-4A15-A770-00C4DFC3903B}">
  <dimension ref="A1:N36"/>
  <sheetViews>
    <sheetView showGridLines="0" tabSelected="1" zoomScale="85" zoomScaleNormal="85" workbookViewId="0">
      <selection sqref="A1:N1"/>
    </sheetView>
  </sheetViews>
  <sheetFormatPr defaultRowHeight="15" x14ac:dyDescent="0.25"/>
  <cols>
    <col min="1" max="14" width="11.7109375" customWidth="1"/>
  </cols>
  <sheetData>
    <row r="1" spans="1:14" ht="30" customHeight="1" x14ac:dyDescent="0.35">
      <c r="A1" s="9" t="s">
        <v>2263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4" customHeight="1" x14ac:dyDescent="0.25">
      <c r="A2" s="10" t="s">
        <v>2185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5" spans="1:14" x14ac:dyDescent="0.25">
      <c r="A35" s="11" t="s">
        <v>2186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</sheetData>
  <mergeCells count="3">
    <mergeCell ref="A1:N1"/>
    <mergeCell ref="A2:N2"/>
    <mergeCell ref="A35:N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zoomScale="90" zoomScaleNormal="90" workbookViewId="0">
      <pane ySplit="1" topLeftCell="A2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2" t="s">
        <v>2261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7" customHeight="1" x14ac:dyDescent="0.25">
      <c r="A2" s="13" t="s">
        <v>2174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25">
      <c r="A4" s="14" t="s">
        <v>2175</v>
      </c>
      <c r="B4" s="14"/>
      <c r="D4" s="14" t="s">
        <v>2176</v>
      </c>
      <c r="E4" s="14"/>
      <c r="G4" s="14" t="s">
        <v>2177</v>
      </c>
      <c r="H4" s="14"/>
      <c r="J4" s="14" t="s">
        <v>2178</v>
      </c>
      <c r="K4" s="14"/>
    </row>
    <row r="5" spans="1:12" x14ac:dyDescent="0.25">
      <c r="A5" s="15">
        <f>SUM('Недельная сводка'!D5:D241)</f>
        <v>1559</v>
      </c>
      <c r="B5" s="15"/>
      <c r="D5" s="15">
        <f>SUM('Недельная сводка'!E5:E241)</f>
        <v>1512</v>
      </c>
      <c r="E5" s="15"/>
      <c r="G5" s="15">
        <f>SUM('Недельная сводка'!F5:F241)</f>
        <v>11212</v>
      </c>
      <c r="H5" s="15"/>
      <c r="J5" s="15">
        <v>237</v>
      </c>
      <c r="K5" s="15"/>
    </row>
    <row r="6" spans="1:12" x14ac:dyDescent="0.25">
      <c r="A6" s="15"/>
      <c r="B6" s="15"/>
      <c r="D6" s="15"/>
      <c r="E6" s="15"/>
      <c r="G6" s="15"/>
      <c r="H6" s="15"/>
      <c r="J6" s="15"/>
      <c r="K6" s="15"/>
    </row>
    <row r="8" spans="1:12" x14ac:dyDescent="0.25">
      <c r="A8" s="16" t="s">
        <v>2179</v>
      </c>
      <c r="B8" s="16"/>
      <c r="C8" s="16"/>
      <c r="D8" s="16"/>
    </row>
    <row r="9" spans="1:12" x14ac:dyDescent="0.25">
      <c r="A9" s="8" t="s">
        <v>2180</v>
      </c>
      <c r="B9" s="8" t="s">
        <v>2181</v>
      </c>
      <c r="C9" s="8" t="s">
        <v>2182</v>
      </c>
    </row>
    <row r="10" spans="1:12" x14ac:dyDescent="0.25">
      <c r="A10" s="6" t="s">
        <v>2183</v>
      </c>
      <c r="B10" s="7">
        <f>CORREL('Недельная сводка'!F5:F241,'Недельная сводка'!D5:D241)</f>
        <v>7.535739085847408E-2</v>
      </c>
      <c r="C10" s="6" t="str">
        <f>IF(ABS(B10)&lt;0.3,"Слабая",IF(ABS(B10)&lt;0.7,"Умеренная","Сильная"))</f>
        <v>Слабая</v>
      </c>
    </row>
    <row r="11" spans="1:12" x14ac:dyDescent="0.25">
      <c r="A11" s="6" t="s">
        <v>2184</v>
      </c>
      <c r="B11" s="7">
        <f>CORREL('Недельная сводка'!F5:F241,'Недельная сводка'!E5:E241)</f>
        <v>7.0803313395194536E-2</v>
      </c>
      <c r="C11" s="6" t="str">
        <f>IF(ABS(B11)&lt;0.3,"Слабая",IF(ABS(B11)&lt;0.7,"Умеренная","Сильная"))</f>
        <v>Слабая</v>
      </c>
    </row>
    <row r="13" spans="1:12" x14ac:dyDescent="0.25">
      <c r="A13" s="11" t="s">
        <v>2262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</sheetData>
  <mergeCells count="12">
    <mergeCell ref="A13:L14"/>
    <mergeCell ref="A1:L1"/>
    <mergeCell ref="A2:L2"/>
    <mergeCell ref="A4:B4"/>
    <mergeCell ref="D4:E4"/>
    <mergeCell ref="G4:H4"/>
    <mergeCell ref="J4:K4"/>
    <mergeCell ref="A5:B6"/>
    <mergeCell ref="D5:E6"/>
    <mergeCell ref="G5:H6"/>
    <mergeCell ref="J5:K6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zoomScale="85" zoomScaleNormal="85" workbookViewId="0">
      <pane ySplit="4" topLeftCell="A5" activePane="bottomLeft" state="frozenSplit"/>
      <selection pane="bottomLeft" sqref="A1:G1"/>
    </sheetView>
  </sheetViews>
  <sheetFormatPr defaultRowHeight="15" x14ac:dyDescent="0.25"/>
  <cols>
    <col min="1" max="2" width="13.7109375" customWidth="1"/>
    <col min="3" max="3" width="36.7109375" customWidth="1"/>
    <col min="4" max="7" width="18.7109375" customWidth="1"/>
  </cols>
  <sheetData>
    <row r="1" spans="1:7" ht="27.95" customHeight="1" x14ac:dyDescent="0.35">
      <c r="A1" s="17" t="s">
        <v>2259</v>
      </c>
      <c r="B1" s="17"/>
      <c r="C1" s="17"/>
      <c r="D1" s="17"/>
      <c r="E1" s="17"/>
      <c r="F1" s="17"/>
      <c r="G1" s="17"/>
    </row>
    <row r="2" spans="1:7" ht="24" customHeight="1" x14ac:dyDescent="0.25">
      <c r="A2" s="13" t="s">
        <v>2260</v>
      </c>
      <c r="B2" s="13"/>
      <c r="C2" s="13"/>
      <c r="D2" s="13"/>
      <c r="E2" s="13"/>
      <c r="F2" s="13"/>
      <c r="G2" s="13"/>
    </row>
    <row r="4" spans="1:7" x14ac:dyDescent="0.25">
      <c r="A4" t="s">
        <v>1928</v>
      </c>
      <c r="B4" t="s">
        <v>1929</v>
      </c>
      <c r="C4" t="s">
        <v>1930</v>
      </c>
      <c r="D4" t="s">
        <v>2170</v>
      </c>
      <c r="E4" t="s">
        <v>2171</v>
      </c>
      <c r="F4" t="s">
        <v>2172</v>
      </c>
      <c r="G4" t="s">
        <v>2173</v>
      </c>
    </row>
    <row r="5" spans="1:7" x14ac:dyDescent="0.25">
      <c r="A5" s="3">
        <v>44557</v>
      </c>
      <c r="B5" s="3">
        <v>44563</v>
      </c>
      <c r="C5" t="s">
        <v>1933</v>
      </c>
      <c r="D5">
        <f>COUNTIFS('Исходник — лиды'!$H$2:$H$1567,"&gt;="&amp;A5,'Исходник — лиды'!$H$2:$H$1567,"&lt;"&amp;B5+1)</f>
        <v>0</v>
      </c>
      <c r="E5">
        <f>COUNTIFS('Исходник — лиды'!$H$2:$H$1567,"&gt;="&amp;A5,'Исходник — лиды'!$H$2:$H$1567,"&lt;"&amp;B5+1,'Исходник — лиды'!$C$2:$C$1567,"Качественный лид")</f>
        <v>0</v>
      </c>
      <c r="F5">
        <v>23</v>
      </c>
      <c r="G5" s="5">
        <f t="shared" ref="G5:G68" si="0">IFERROR(E5/D5,0)</f>
        <v>0</v>
      </c>
    </row>
    <row r="6" spans="1:7" x14ac:dyDescent="0.25">
      <c r="A6" s="3">
        <v>44564</v>
      </c>
      <c r="B6" s="3">
        <v>44570</v>
      </c>
      <c r="C6" t="s">
        <v>1934</v>
      </c>
      <c r="D6">
        <f>COUNTIFS('Исходник — лиды'!$H$2:$H$1567,"&gt;="&amp;A6,'Исходник — лиды'!$H$2:$H$1567,"&lt;"&amp;B6+1)</f>
        <v>11</v>
      </c>
      <c r="E6">
        <f>COUNTIFS('Исходник — лиды'!$H$2:$H$1567,"&gt;="&amp;A6,'Исходник — лиды'!$H$2:$H$1567,"&lt;"&amp;B6+1,'Исходник — лиды'!$C$2:$C$1567,"Качественный лид")</f>
        <v>10</v>
      </c>
      <c r="F6">
        <v>31</v>
      </c>
      <c r="G6" s="5">
        <f t="shared" si="0"/>
        <v>0.90909090909090906</v>
      </c>
    </row>
    <row r="7" spans="1:7" x14ac:dyDescent="0.25">
      <c r="A7" s="3">
        <v>44571</v>
      </c>
      <c r="B7" s="3">
        <v>44577</v>
      </c>
      <c r="C7" t="s">
        <v>1935</v>
      </c>
      <c r="D7">
        <f>COUNTIFS('Исходник — лиды'!$H$2:$H$1567,"&gt;="&amp;A7,'Исходник — лиды'!$H$2:$H$1567,"&lt;"&amp;B7+1)</f>
        <v>17</v>
      </c>
      <c r="E7">
        <f>COUNTIFS('Исходник — лиды'!$H$2:$H$1567,"&gt;="&amp;A7,'Исходник — лиды'!$H$2:$H$1567,"&lt;"&amp;B7+1,'Исходник — лиды'!$C$2:$C$1567,"Качественный лид")</f>
        <v>16</v>
      </c>
      <c r="F7">
        <v>17</v>
      </c>
      <c r="G7" s="5">
        <f t="shared" si="0"/>
        <v>0.94117647058823528</v>
      </c>
    </row>
    <row r="8" spans="1:7" x14ac:dyDescent="0.25">
      <c r="A8" s="3">
        <v>44578</v>
      </c>
      <c r="B8" s="3">
        <v>44584</v>
      </c>
      <c r="C8" t="s">
        <v>1936</v>
      </c>
      <c r="D8">
        <f>COUNTIFS('Исходник — лиды'!$H$2:$H$1567,"&gt;="&amp;A8,'Исходник — лиды'!$H$2:$H$1567,"&lt;"&amp;B8+1)</f>
        <v>17</v>
      </c>
      <c r="E8">
        <f>COUNTIFS('Исходник — лиды'!$H$2:$H$1567,"&gt;="&amp;A8,'Исходник — лиды'!$H$2:$H$1567,"&lt;"&amp;B8+1,'Исходник — лиды'!$C$2:$C$1567,"Качественный лид")</f>
        <v>17</v>
      </c>
      <c r="F8">
        <v>25</v>
      </c>
      <c r="G8" s="5">
        <f t="shared" si="0"/>
        <v>1</v>
      </c>
    </row>
    <row r="9" spans="1:7" x14ac:dyDescent="0.25">
      <c r="A9" s="3">
        <v>44585</v>
      </c>
      <c r="B9" s="3">
        <v>44591</v>
      </c>
      <c r="C9" t="s">
        <v>1937</v>
      </c>
      <c r="D9">
        <f>COUNTIFS('Исходник — лиды'!$H$2:$H$1567,"&gt;="&amp;A9,'Исходник — лиды'!$H$2:$H$1567,"&lt;"&amp;B9+1)</f>
        <v>13</v>
      </c>
      <c r="E9">
        <f>COUNTIFS('Исходник — лиды'!$H$2:$H$1567,"&gt;="&amp;A9,'Исходник — лиды'!$H$2:$H$1567,"&lt;"&amp;B9+1,'Исходник — лиды'!$C$2:$C$1567,"Качественный лид")</f>
        <v>13</v>
      </c>
      <c r="F9">
        <v>34</v>
      </c>
      <c r="G9" s="5">
        <f t="shared" si="0"/>
        <v>1</v>
      </c>
    </row>
    <row r="10" spans="1:7" x14ac:dyDescent="0.25">
      <c r="A10" s="3">
        <v>44592</v>
      </c>
      <c r="B10" s="3">
        <v>44598</v>
      </c>
      <c r="C10" t="s">
        <v>1938</v>
      </c>
      <c r="D10">
        <f>COUNTIFS('Исходник — лиды'!$H$2:$H$1567,"&gt;="&amp;A10,'Исходник — лиды'!$H$2:$H$1567,"&lt;"&amp;B10+1)</f>
        <v>11</v>
      </c>
      <c r="E10">
        <f>COUNTIFS('Исходник — лиды'!$H$2:$H$1567,"&gt;="&amp;A10,'Исходник — лиды'!$H$2:$H$1567,"&lt;"&amp;B10+1,'Исходник — лиды'!$C$2:$C$1567,"Качественный лид")</f>
        <v>11</v>
      </c>
      <c r="F10">
        <v>35</v>
      </c>
      <c r="G10" s="5">
        <f t="shared" si="0"/>
        <v>1</v>
      </c>
    </row>
    <row r="11" spans="1:7" x14ac:dyDescent="0.25">
      <c r="A11" s="3">
        <v>44599</v>
      </c>
      <c r="B11" s="3">
        <v>44605</v>
      </c>
      <c r="C11" t="s">
        <v>1939</v>
      </c>
      <c r="D11">
        <f>COUNTIFS('Исходник — лиды'!$H$2:$H$1567,"&gt;="&amp;A11,'Исходник — лиды'!$H$2:$H$1567,"&lt;"&amp;B11+1)</f>
        <v>12</v>
      </c>
      <c r="E11">
        <f>COUNTIFS('Исходник — лиды'!$H$2:$H$1567,"&gt;="&amp;A11,'Исходник — лиды'!$H$2:$H$1567,"&lt;"&amp;B11+1,'Исходник — лиды'!$C$2:$C$1567,"Качественный лид")</f>
        <v>12</v>
      </c>
      <c r="F11">
        <v>60</v>
      </c>
      <c r="G11" s="5">
        <f t="shared" si="0"/>
        <v>1</v>
      </c>
    </row>
    <row r="12" spans="1:7" x14ac:dyDescent="0.25">
      <c r="A12" s="3">
        <v>44606</v>
      </c>
      <c r="B12" s="3">
        <v>44612</v>
      </c>
      <c r="C12" t="s">
        <v>1940</v>
      </c>
      <c r="D12">
        <f>COUNTIFS('Исходник — лиды'!$H$2:$H$1567,"&gt;="&amp;A12,'Исходник — лиды'!$H$2:$H$1567,"&lt;"&amp;B12+1)</f>
        <v>15</v>
      </c>
      <c r="E12">
        <f>COUNTIFS('Исходник — лиды'!$H$2:$H$1567,"&gt;="&amp;A12,'Исходник — лиды'!$H$2:$H$1567,"&lt;"&amp;B12+1,'Исходник — лиды'!$C$2:$C$1567,"Качественный лид")</f>
        <v>14</v>
      </c>
      <c r="F12">
        <v>43</v>
      </c>
      <c r="G12" s="5">
        <f t="shared" si="0"/>
        <v>0.93333333333333335</v>
      </c>
    </row>
    <row r="13" spans="1:7" x14ac:dyDescent="0.25">
      <c r="A13" s="3">
        <v>44613</v>
      </c>
      <c r="B13" s="3">
        <v>44619</v>
      </c>
      <c r="C13" t="s">
        <v>1941</v>
      </c>
      <c r="D13">
        <f>COUNTIFS('Исходник — лиды'!$H$2:$H$1567,"&gt;="&amp;A13,'Исходник — лиды'!$H$2:$H$1567,"&lt;"&amp;B13+1)</f>
        <v>12</v>
      </c>
      <c r="E13">
        <f>COUNTIFS('Исходник — лиды'!$H$2:$H$1567,"&gt;="&amp;A13,'Исходник — лиды'!$H$2:$H$1567,"&lt;"&amp;B13+1,'Исходник — лиды'!$C$2:$C$1567,"Качественный лид")</f>
        <v>10</v>
      </c>
      <c r="F13">
        <v>27</v>
      </c>
      <c r="G13" s="5">
        <f t="shared" si="0"/>
        <v>0.83333333333333337</v>
      </c>
    </row>
    <row r="14" spans="1:7" x14ac:dyDescent="0.25">
      <c r="A14" s="3">
        <v>44620</v>
      </c>
      <c r="B14" s="3">
        <v>44626</v>
      </c>
      <c r="C14" t="s">
        <v>1942</v>
      </c>
      <c r="D14">
        <f>COUNTIFS('Исходник — лиды'!$H$2:$H$1567,"&gt;="&amp;A14,'Исходник — лиды'!$H$2:$H$1567,"&lt;"&amp;B14+1)</f>
        <v>10</v>
      </c>
      <c r="E14">
        <f>COUNTIFS('Исходник — лиды'!$H$2:$H$1567,"&gt;="&amp;A14,'Исходник — лиды'!$H$2:$H$1567,"&lt;"&amp;B14+1,'Исходник — лиды'!$C$2:$C$1567,"Качественный лид")</f>
        <v>10</v>
      </c>
      <c r="F14">
        <v>32</v>
      </c>
      <c r="G14" s="5">
        <f t="shared" si="0"/>
        <v>1</v>
      </c>
    </row>
    <row r="15" spans="1:7" x14ac:dyDescent="0.25">
      <c r="A15" s="3">
        <v>44627</v>
      </c>
      <c r="B15" s="3">
        <v>44633</v>
      </c>
      <c r="C15" t="s">
        <v>1943</v>
      </c>
      <c r="D15">
        <f>COUNTIFS('Исходник — лиды'!$H$2:$H$1567,"&gt;="&amp;A15,'Исходник — лиды'!$H$2:$H$1567,"&lt;"&amp;B15+1)</f>
        <v>15</v>
      </c>
      <c r="E15">
        <f>COUNTIFS('Исходник — лиды'!$H$2:$H$1567,"&gt;="&amp;A15,'Исходник — лиды'!$H$2:$H$1567,"&lt;"&amp;B15+1,'Исходник — лиды'!$C$2:$C$1567,"Качественный лид")</f>
        <v>14</v>
      </c>
      <c r="F15">
        <v>23</v>
      </c>
      <c r="G15" s="5">
        <f t="shared" si="0"/>
        <v>0.93333333333333335</v>
      </c>
    </row>
    <row r="16" spans="1:7" x14ac:dyDescent="0.25">
      <c r="A16" s="3">
        <v>44634</v>
      </c>
      <c r="B16" s="3">
        <v>44640</v>
      </c>
      <c r="C16" t="s">
        <v>1944</v>
      </c>
      <c r="D16">
        <f>COUNTIFS('Исходник — лиды'!$H$2:$H$1567,"&gt;="&amp;A16,'Исходник — лиды'!$H$2:$H$1567,"&lt;"&amp;B16+1)</f>
        <v>9</v>
      </c>
      <c r="E16">
        <f>COUNTIFS('Исходник — лиды'!$H$2:$H$1567,"&gt;="&amp;A16,'Исходник — лиды'!$H$2:$H$1567,"&lt;"&amp;B16+1,'Исходник — лиды'!$C$2:$C$1567,"Качественный лид")</f>
        <v>9</v>
      </c>
      <c r="F16">
        <v>31</v>
      </c>
      <c r="G16" s="5">
        <f t="shared" si="0"/>
        <v>1</v>
      </c>
    </row>
    <row r="17" spans="1:7" x14ac:dyDescent="0.25">
      <c r="A17" s="3">
        <v>44641</v>
      </c>
      <c r="B17" s="3">
        <v>44647</v>
      </c>
      <c r="C17" t="s">
        <v>1945</v>
      </c>
      <c r="D17">
        <f>COUNTIFS('Исходник — лиды'!$H$2:$H$1567,"&gt;="&amp;A17,'Исходник — лиды'!$H$2:$H$1567,"&lt;"&amp;B17+1)</f>
        <v>13</v>
      </c>
      <c r="E17">
        <f>COUNTIFS('Исходник — лиды'!$H$2:$H$1567,"&gt;="&amp;A17,'Исходник — лиды'!$H$2:$H$1567,"&lt;"&amp;B17+1,'Исходник — лиды'!$C$2:$C$1567,"Качественный лид")</f>
        <v>13</v>
      </c>
      <c r="F17">
        <v>55</v>
      </c>
      <c r="G17" s="5">
        <f t="shared" si="0"/>
        <v>1</v>
      </c>
    </row>
    <row r="18" spans="1:7" x14ac:dyDescent="0.25">
      <c r="A18" s="3">
        <v>44648</v>
      </c>
      <c r="B18" s="3">
        <v>44654</v>
      </c>
      <c r="C18" t="s">
        <v>1946</v>
      </c>
      <c r="D18">
        <f>COUNTIFS('Исходник — лиды'!$H$2:$H$1567,"&gt;="&amp;A18,'Исходник — лиды'!$H$2:$H$1567,"&lt;"&amp;B18+1)</f>
        <v>15</v>
      </c>
      <c r="E18">
        <f>COUNTIFS('Исходник — лиды'!$H$2:$H$1567,"&gt;="&amp;A18,'Исходник — лиды'!$H$2:$H$1567,"&lt;"&amp;B18+1,'Исходник — лиды'!$C$2:$C$1567,"Качественный лид")</f>
        <v>15</v>
      </c>
      <c r="F18">
        <v>32</v>
      </c>
      <c r="G18" s="5">
        <f t="shared" si="0"/>
        <v>1</v>
      </c>
    </row>
    <row r="19" spans="1:7" x14ac:dyDescent="0.25">
      <c r="A19" s="3">
        <v>44655</v>
      </c>
      <c r="B19" s="3">
        <v>44661</v>
      </c>
      <c r="C19" t="s">
        <v>1947</v>
      </c>
      <c r="D19">
        <f>COUNTIFS('Исходник — лиды'!$H$2:$H$1567,"&gt;="&amp;A19,'Исходник — лиды'!$H$2:$H$1567,"&lt;"&amp;B19+1)</f>
        <v>10</v>
      </c>
      <c r="E19">
        <f>COUNTIFS('Исходник — лиды'!$H$2:$H$1567,"&gt;="&amp;A19,'Исходник — лиды'!$H$2:$H$1567,"&lt;"&amp;B19+1,'Исходник — лиды'!$C$2:$C$1567,"Качественный лид")</f>
        <v>10</v>
      </c>
      <c r="F19">
        <v>39</v>
      </c>
      <c r="G19" s="5">
        <f t="shared" si="0"/>
        <v>1</v>
      </c>
    </row>
    <row r="20" spans="1:7" x14ac:dyDescent="0.25">
      <c r="A20" s="3">
        <v>44662</v>
      </c>
      <c r="B20" s="3">
        <v>44668</v>
      </c>
      <c r="C20" t="s">
        <v>1948</v>
      </c>
      <c r="D20">
        <f>COUNTIFS('Исходник — лиды'!$H$2:$H$1567,"&gt;="&amp;A20,'Исходник — лиды'!$H$2:$H$1567,"&lt;"&amp;B20+1)</f>
        <v>8</v>
      </c>
      <c r="E20">
        <f>COUNTIFS('Исходник — лиды'!$H$2:$H$1567,"&gt;="&amp;A20,'Исходник — лиды'!$H$2:$H$1567,"&lt;"&amp;B20+1,'Исходник — лиды'!$C$2:$C$1567,"Качественный лид")</f>
        <v>8</v>
      </c>
      <c r="F20">
        <v>57</v>
      </c>
      <c r="G20" s="5">
        <f t="shared" si="0"/>
        <v>1</v>
      </c>
    </row>
    <row r="21" spans="1:7" x14ac:dyDescent="0.25">
      <c r="A21" s="3">
        <v>44669</v>
      </c>
      <c r="B21" s="3">
        <v>44675</v>
      </c>
      <c r="C21" t="s">
        <v>1949</v>
      </c>
      <c r="D21">
        <f>COUNTIFS('Исходник — лиды'!$H$2:$H$1567,"&gt;="&amp;A21,'Исходник — лиды'!$H$2:$H$1567,"&lt;"&amp;B21+1)</f>
        <v>11</v>
      </c>
      <c r="E21">
        <f>COUNTIFS('Исходник — лиды'!$H$2:$H$1567,"&gt;="&amp;A21,'Исходник — лиды'!$H$2:$H$1567,"&lt;"&amp;B21+1,'Исходник — лиды'!$C$2:$C$1567,"Качественный лид")</f>
        <v>11</v>
      </c>
      <c r="F21">
        <v>62</v>
      </c>
      <c r="G21" s="5">
        <f t="shared" si="0"/>
        <v>1</v>
      </c>
    </row>
    <row r="22" spans="1:7" x14ac:dyDescent="0.25">
      <c r="A22" s="3">
        <v>44676</v>
      </c>
      <c r="B22" s="3">
        <v>44682</v>
      </c>
      <c r="C22" t="s">
        <v>1950</v>
      </c>
      <c r="D22">
        <f>COUNTIFS('Исходник — лиды'!$H$2:$H$1567,"&gt;="&amp;A22,'Исходник — лиды'!$H$2:$H$1567,"&lt;"&amp;B22+1)</f>
        <v>8</v>
      </c>
      <c r="E22">
        <f>COUNTIFS('Исходник — лиды'!$H$2:$H$1567,"&gt;="&amp;A22,'Исходник — лиды'!$H$2:$H$1567,"&lt;"&amp;B22+1,'Исходник — лиды'!$C$2:$C$1567,"Качественный лид")</f>
        <v>8</v>
      </c>
      <c r="F22">
        <v>52</v>
      </c>
      <c r="G22" s="5">
        <f t="shared" si="0"/>
        <v>1</v>
      </c>
    </row>
    <row r="23" spans="1:7" x14ac:dyDescent="0.25">
      <c r="A23" s="3">
        <v>44683</v>
      </c>
      <c r="B23" s="3">
        <v>44689</v>
      </c>
      <c r="C23" t="s">
        <v>1951</v>
      </c>
      <c r="D23">
        <f>COUNTIFS('Исходник — лиды'!$H$2:$H$1567,"&gt;="&amp;A23,'Исходник — лиды'!$H$2:$H$1567,"&lt;"&amp;B23+1)</f>
        <v>5</v>
      </c>
      <c r="E23">
        <f>COUNTIFS('Исходник — лиды'!$H$2:$H$1567,"&gt;="&amp;A23,'Исходник — лиды'!$H$2:$H$1567,"&lt;"&amp;B23+1,'Исходник — лиды'!$C$2:$C$1567,"Качественный лид")</f>
        <v>5</v>
      </c>
      <c r="F23">
        <v>42</v>
      </c>
      <c r="G23" s="5">
        <f t="shared" si="0"/>
        <v>1</v>
      </c>
    </row>
    <row r="24" spans="1:7" x14ac:dyDescent="0.25">
      <c r="A24" s="3">
        <v>44690</v>
      </c>
      <c r="B24" s="3">
        <v>44696</v>
      </c>
      <c r="C24" t="s">
        <v>1952</v>
      </c>
      <c r="D24">
        <f>COUNTIFS('Исходник — лиды'!$H$2:$H$1567,"&gt;="&amp;A24,'Исходник — лиды'!$H$2:$H$1567,"&lt;"&amp;B24+1)</f>
        <v>6</v>
      </c>
      <c r="E24">
        <f>COUNTIFS('Исходник — лиды'!$H$2:$H$1567,"&gt;="&amp;A24,'Исходник — лиды'!$H$2:$H$1567,"&lt;"&amp;B24+1,'Исходник — лиды'!$C$2:$C$1567,"Качественный лид")</f>
        <v>6</v>
      </c>
      <c r="F24">
        <v>71</v>
      </c>
      <c r="G24" s="5">
        <f t="shared" si="0"/>
        <v>1</v>
      </c>
    </row>
    <row r="25" spans="1:7" x14ac:dyDescent="0.25">
      <c r="A25" s="3">
        <v>44697</v>
      </c>
      <c r="B25" s="3">
        <v>44703</v>
      </c>
      <c r="C25" t="s">
        <v>1953</v>
      </c>
      <c r="D25">
        <f>COUNTIFS('Исходник — лиды'!$H$2:$H$1567,"&gt;="&amp;A25,'Исходник — лиды'!$H$2:$H$1567,"&lt;"&amp;B25+1)</f>
        <v>5</v>
      </c>
      <c r="E25">
        <f>COUNTIFS('Исходник — лиды'!$H$2:$H$1567,"&gt;="&amp;A25,'Исходник — лиды'!$H$2:$H$1567,"&lt;"&amp;B25+1,'Исходник — лиды'!$C$2:$C$1567,"Качественный лид")</f>
        <v>5</v>
      </c>
      <c r="F25">
        <v>47</v>
      </c>
      <c r="G25" s="5">
        <f t="shared" si="0"/>
        <v>1</v>
      </c>
    </row>
    <row r="26" spans="1:7" x14ac:dyDescent="0.25">
      <c r="A26" s="3">
        <v>44704</v>
      </c>
      <c r="B26" s="3">
        <v>44710</v>
      </c>
      <c r="C26" t="s">
        <v>1954</v>
      </c>
      <c r="D26">
        <f>COUNTIFS('Исходник — лиды'!$H$2:$H$1567,"&gt;="&amp;A26,'Исходник — лиды'!$H$2:$H$1567,"&lt;"&amp;B26+1)</f>
        <v>6</v>
      </c>
      <c r="E26">
        <f>COUNTIFS('Исходник — лиды'!$H$2:$H$1567,"&gt;="&amp;A26,'Исходник — лиды'!$H$2:$H$1567,"&lt;"&amp;B26+1,'Исходник — лиды'!$C$2:$C$1567,"Качественный лид")</f>
        <v>5</v>
      </c>
      <c r="F26">
        <v>59</v>
      </c>
      <c r="G26" s="5">
        <f t="shared" si="0"/>
        <v>0.83333333333333337</v>
      </c>
    </row>
    <row r="27" spans="1:7" x14ac:dyDescent="0.25">
      <c r="A27" s="3">
        <v>44711</v>
      </c>
      <c r="B27" s="3">
        <v>44717</v>
      </c>
      <c r="C27" t="s">
        <v>1955</v>
      </c>
      <c r="D27">
        <f>COUNTIFS('Исходник — лиды'!$H$2:$H$1567,"&gt;="&amp;A27,'Исходник — лиды'!$H$2:$H$1567,"&lt;"&amp;B27+1)</f>
        <v>11</v>
      </c>
      <c r="E27">
        <f>COUNTIFS('Исходник — лиды'!$H$2:$H$1567,"&gt;="&amp;A27,'Исходник — лиды'!$H$2:$H$1567,"&lt;"&amp;B27+1,'Исходник — лиды'!$C$2:$C$1567,"Качественный лид")</f>
        <v>11</v>
      </c>
      <c r="F27">
        <v>44</v>
      </c>
      <c r="G27" s="5">
        <f t="shared" si="0"/>
        <v>1</v>
      </c>
    </row>
    <row r="28" spans="1:7" x14ac:dyDescent="0.25">
      <c r="A28" s="3">
        <v>44718</v>
      </c>
      <c r="B28" s="3">
        <v>44724</v>
      </c>
      <c r="C28" t="s">
        <v>1956</v>
      </c>
      <c r="D28">
        <f>COUNTIFS('Исходник — лиды'!$H$2:$H$1567,"&gt;="&amp;A28,'Исходник — лиды'!$H$2:$H$1567,"&lt;"&amp;B28+1)</f>
        <v>9</v>
      </c>
      <c r="E28">
        <f>COUNTIFS('Исходник — лиды'!$H$2:$H$1567,"&gt;="&amp;A28,'Исходник — лиды'!$H$2:$H$1567,"&lt;"&amp;B28+1,'Исходник — лиды'!$C$2:$C$1567,"Качественный лид")</f>
        <v>9</v>
      </c>
      <c r="F28">
        <v>51</v>
      </c>
      <c r="G28" s="5">
        <f t="shared" si="0"/>
        <v>1</v>
      </c>
    </row>
    <row r="29" spans="1:7" x14ac:dyDescent="0.25">
      <c r="A29" s="3">
        <v>44725</v>
      </c>
      <c r="B29" s="3">
        <v>44731</v>
      </c>
      <c r="C29" t="s">
        <v>1957</v>
      </c>
      <c r="D29">
        <f>COUNTIFS('Исходник — лиды'!$H$2:$H$1567,"&gt;="&amp;A29,'Исходник — лиды'!$H$2:$H$1567,"&lt;"&amp;B29+1)</f>
        <v>11</v>
      </c>
      <c r="E29">
        <f>COUNTIFS('Исходник — лиды'!$H$2:$H$1567,"&gt;="&amp;A29,'Исходник — лиды'!$H$2:$H$1567,"&lt;"&amp;B29+1,'Исходник — лиды'!$C$2:$C$1567,"Качественный лид")</f>
        <v>11</v>
      </c>
      <c r="F29">
        <v>41</v>
      </c>
      <c r="G29" s="5">
        <f t="shared" si="0"/>
        <v>1</v>
      </c>
    </row>
    <row r="30" spans="1:7" x14ac:dyDescent="0.25">
      <c r="A30" s="3">
        <v>44732</v>
      </c>
      <c r="B30" s="3">
        <v>44738</v>
      </c>
      <c r="C30" t="s">
        <v>1958</v>
      </c>
      <c r="D30">
        <f>COUNTIFS('Исходник — лиды'!$H$2:$H$1567,"&gt;="&amp;A30,'Исходник — лиды'!$H$2:$H$1567,"&lt;"&amp;B30+1)</f>
        <v>5</v>
      </c>
      <c r="E30">
        <f>COUNTIFS('Исходник — лиды'!$H$2:$H$1567,"&gt;="&amp;A30,'Исходник — лиды'!$H$2:$H$1567,"&lt;"&amp;B30+1,'Исходник — лиды'!$C$2:$C$1567,"Качественный лид")</f>
        <v>5</v>
      </c>
      <c r="F30">
        <v>48</v>
      </c>
      <c r="G30" s="5">
        <f t="shared" si="0"/>
        <v>1</v>
      </c>
    </row>
    <row r="31" spans="1:7" x14ac:dyDescent="0.25">
      <c r="A31" s="3">
        <v>44739</v>
      </c>
      <c r="B31" s="3">
        <v>44745</v>
      </c>
      <c r="C31" t="s">
        <v>1959</v>
      </c>
      <c r="D31">
        <f>COUNTIFS('Исходник — лиды'!$H$2:$H$1567,"&gt;="&amp;A31,'Исходник — лиды'!$H$2:$H$1567,"&lt;"&amp;B31+1)</f>
        <v>4</v>
      </c>
      <c r="E31">
        <f>COUNTIFS('Исходник — лиды'!$H$2:$H$1567,"&gt;="&amp;A31,'Исходник — лиды'!$H$2:$H$1567,"&lt;"&amp;B31+1,'Исходник — лиды'!$C$2:$C$1567,"Качественный лид")</f>
        <v>4</v>
      </c>
      <c r="F31">
        <v>30</v>
      </c>
      <c r="G31" s="5">
        <f t="shared" si="0"/>
        <v>1</v>
      </c>
    </row>
    <row r="32" spans="1:7" x14ac:dyDescent="0.25">
      <c r="A32" s="3">
        <v>44746</v>
      </c>
      <c r="B32" s="3">
        <v>44752</v>
      </c>
      <c r="C32" t="s">
        <v>1960</v>
      </c>
      <c r="D32">
        <f>COUNTIFS('Исходник — лиды'!$H$2:$H$1567,"&gt;="&amp;A32,'Исходник — лиды'!$H$2:$H$1567,"&lt;"&amp;B32+1)</f>
        <v>4</v>
      </c>
      <c r="E32">
        <f>COUNTIFS('Исходник — лиды'!$H$2:$H$1567,"&gt;="&amp;A32,'Исходник — лиды'!$H$2:$H$1567,"&lt;"&amp;B32+1,'Исходник — лиды'!$C$2:$C$1567,"Качественный лид")</f>
        <v>4</v>
      </c>
      <c r="F32">
        <v>56</v>
      </c>
      <c r="G32" s="5">
        <f t="shared" si="0"/>
        <v>1</v>
      </c>
    </row>
    <row r="33" spans="1:7" x14ac:dyDescent="0.25">
      <c r="A33" s="3">
        <v>44753</v>
      </c>
      <c r="B33" s="3">
        <v>44759</v>
      </c>
      <c r="C33" t="s">
        <v>1961</v>
      </c>
      <c r="D33">
        <f>COUNTIFS('Исходник — лиды'!$H$2:$H$1567,"&gt;="&amp;A33,'Исходник — лиды'!$H$2:$H$1567,"&lt;"&amp;B33+1)</f>
        <v>5</v>
      </c>
      <c r="E33">
        <f>COUNTIFS('Исходник — лиды'!$H$2:$H$1567,"&gt;="&amp;A33,'Исходник — лиды'!$H$2:$H$1567,"&lt;"&amp;B33+1,'Исходник — лиды'!$C$2:$C$1567,"Качественный лид")</f>
        <v>5</v>
      </c>
      <c r="F33">
        <v>62</v>
      </c>
      <c r="G33" s="5">
        <f t="shared" si="0"/>
        <v>1</v>
      </c>
    </row>
    <row r="34" spans="1:7" x14ac:dyDescent="0.25">
      <c r="A34" s="3">
        <v>44760</v>
      </c>
      <c r="B34" s="3">
        <v>44766</v>
      </c>
      <c r="C34" t="s">
        <v>1962</v>
      </c>
      <c r="D34">
        <f>COUNTIFS('Исходник — лиды'!$H$2:$H$1567,"&gt;="&amp;A34,'Исходник — лиды'!$H$2:$H$1567,"&lt;"&amp;B34+1)</f>
        <v>10</v>
      </c>
      <c r="E34">
        <f>COUNTIFS('Исходник — лиды'!$H$2:$H$1567,"&gt;="&amp;A34,'Исходник — лиды'!$H$2:$H$1567,"&lt;"&amp;B34+1,'Исходник — лиды'!$C$2:$C$1567,"Качественный лид")</f>
        <v>10</v>
      </c>
      <c r="F34">
        <v>36</v>
      </c>
      <c r="G34" s="5">
        <f t="shared" si="0"/>
        <v>1</v>
      </c>
    </row>
    <row r="35" spans="1:7" x14ac:dyDescent="0.25">
      <c r="A35" s="3">
        <v>44767</v>
      </c>
      <c r="B35" s="3">
        <v>44773</v>
      </c>
      <c r="C35" t="s">
        <v>1963</v>
      </c>
      <c r="D35">
        <f>COUNTIFS('Исходник — лиды'!$H$2:$H$1567,"&gt;="&amp;A35,'Исходник — лиды'!$H$2:$H$1567,"&lt;"&amp;B35+1)</f>
        <v>7</v>
      </c>
      <c r="E35">
        <f>COUNTIFS('Исходник — лиды'!$H$2:$H$1567,"&gt;="&amp;A35,'Исходник — лиды'!$H$2:$H$1567,"&lt;"&amp;B35+1,'Исходник — лиды'!$C$2:$C$1567,"Качественный лид")</f>
        <v>7</v>
      </c>
      <c r="F35">
        <v>28</v>
      </c>
      <c r="G35" s="5">
        <f t="shared" si="0"/>
        <v>1</v>
      </c>
    </row>
    <row r="36" spans="1:7" x14ac:dyDescent="0.25">
      <c r="A36" s="3">
        <v>44774</v>
      </c>
      <c r="B36" s="3">
        <v>44780</v>
      </c>
      <c r="C36" t="s">
        <v>1964</v>
      </c>
      <c r="D36">
        <f>COUNTIFS('Исходник — лиды'!$H$2:$H$1567,"&gt;="&amp;A36,'Исходник — лиды'!$H$2:$H$1567,"&lt;"&amp;B36+1)</f>
        <v>6</v>
      </c>
      <c r="E36">
        <f>COUNTIFS('Исходник — лиды'!$H$2:$H$1567,"&gt;="&amp;A36,'Исходник — лиды'!$H$2:$H$1567,"&lt;"&amp;B36+1,'Исходник — лиды'!$C$2:$C$1567,"Качественный лид")</f>
        <v>6</v>
      </c>
      <c r="F36">
        <v>52</v>
      </c>
      <c r="G36" s="5">
        <f t="shared" si="0"/>
        <v>1</v>
      </c>
    </row>
    <row r="37" spans="1:7" x14ac:dyDescent="0.25">
      <c r="A37" s="3">
        <v>44781</v>
      </c>
      <c r="B37" s="3">
        <v>44787</v>
      </c>
      <c r="C37" t="s">
        <v>1965</v>
      </c>
      <c r="D37">
        <f>COUNTIFS('Исходник — лиды'!$H$2:$H$1567,"&gt;="&amp;A37,'Исходник — лиды'!$H$2:$H$1567,"&lt;"&amp;B37+1)</f>
        <v>9</v>
      </c>
      <c r="E37">
        <f>COUNTIFS('Исходник — лиды'!$H$2:$H$1567,"&gt;="&amp;A37,'Исходник — лиды'!$H$2:$H$1567,"&lt;"&amp;B37+1,'Исходник — лиды'!$C$2:$C$1567,"Качественный лид")</f>
        <v>9</v>
      </c>
      <c r="F37">
        <v>64</v>
      </c>
      <c r="G37" s="5">
        <f t="shared" si="0"/>
        <v>1</v>
      </c>
    </row>
    <row r="38" spans="1:7" x14ac:dyDescent="0.25">
      <c r="A38" s="3">
        <v>44788</v>
      </c>
      <c r="B38" s="3">
        <v>44794</v>
      </c>
      <c r="C38" t="s">
        <v>1966</v>
      </c>
      <c r="D38">
        <f>COUNTIFS('Исходник — лиды'!$H$2:$H$1567,"&gt;="&amp;A38,'Исходник — лиды'!$H$2:$H$1567,"&lt;"&amp;B38+1)</f>
        <v>12</v>
      </c>
      <c r="E38">
        <f>COUNTIFS('Исходник — лиды'!$H$2:$H$1567,"&gt;="&amp;A38,'Исходник — лиды'!$H$2:$H$1567,"&lt;"&amp;B38+1,'Исходник — лиды'!$C$2:$C$1567,"Качественный лид")</f>
        <v>11</v>
      </c>
      <c r="F38">
        <v>42</v>
      </c>
      <c r="G38" s="5">
        <f t="shared" si="0"/>
        <v>0.91666666666666663</v>
      </c>
    </row>
    <row r="39" spans="1:7" x14ac:dyDescent="0.25">
      <c r="A39" s="3">
        <v>44795</v>
      </c>
      <c r="B39" s="3">
        <v>44801</v>
      </c>
      <c r="C39" t="s">
        <v>1967</v>
      </c>
      <c r="D39">
        <f>COUNTIFS('Исходник — лиды'!$H$2:$H$1567,"&gt;="&amp;A39,'Исходник — лиды'!$H$2:$H$1567,"&lt;"&amp;B39+1)</f>
        <v>14</v>
      </c>
      <c r="E39">
        <f>COUNTIFS('Исходник — лиды'!$H$2:$H$1567,"&gt;="&amp;A39,'Исходник — лиды'!$H$2:$H$1567,"&lt;"&amp;B39+1,'Исходник — лиды'!$C$2:$C$1567,"Качественный лид")</f>
        <v>14</v>
      </c>
      <c r="F39">
        <v>42</v>
      </c>
      <c r="G39" s="5">
        <f t="shared" si="0"/>
        <v>1</v>
      </c>
    </row>
    <row r="40" spans="1:7" x14ac:dyDescent="0.25">
      <c r="A40" s="3">
        <v>44802</v>
      </c>
      <c r="B40" s="3">
        <v>44808</v>
      </c>
      <c r="C40" t="s">
        <v>1968</v>
      </c>
      <c r="D40">
        <f>COUNTIFS('Исходник — лиды'!$H$2:$H$1567,"&gt;="&amp;A40,'Исходник — лиды'!$H$2:$H$1567,"&lt;"&amp;B40+1)</f>
        <v>8</v>
      </c>
      <c r="E40">
        <f>COUNTIFS('Исходник — лиды'!$H$2:$H$1567,"&gt;="&amp;A40,'Исходник — лиды'!$H$2:$H$1567,"&lt;"&amp;B40+1,'Исходник — лиды'!$C$2:$C$1567,"Качественный лид")</f>
        <v>8</v>
      </c>
      <c r="F40">
        <v>50</v>
      </c>
      <c r="G40" s="5">
        <f t="shared" si="0"/>
        <v>1</v>
      </c>
    </row>
    <row r="41" spans="1:7" x14ac:dyDescent="0.25">
      <c r="A41" s="3">
        <v>44809</v>
      </c>
      <c r="B41" s="3">
        <v>44815</v>
      </c>
      <c r="C41" t="s">
        <v>1969</v>
      </c>
      <c r="D41">
        <f>COUNTIFS('Исходник — лиды'!$H$2:$H$1567,"&gt;="&amp;A41,'Исходник — лиды'!$H$2:$H$1567,"&lt;"&amp;B41+1)</f>
        <v>9</v>
      </c>
      <c r="E41">
        <f>COUNTIFS('Исходник — лиды'!$H$2:$H$1567,"&gt;="&amp;A41,'Исходник — лиды'!$H$2:$H$1567,"&lt;"&amp;B41+1,'Исходник — лиды'!$C$2:$C$1567,"Качественный лид")</f>
        <v>9</v>
      </c>
      <c r="F41">
        <v>39</v>
      </c>
      <c r="G41" s="5">
        <f t="shared" si="0"/>
        <v>1</v>
      </c>
    </row>
    <row r="42" spans="1:7" x14ac:dyDescent="0.25">
      <c r="A42" s="3">
        <v>44816</v>
      </c>
      <c r="B42" s="3">
        <v>44822</v>
      </c>
      <c r="C42" t="s">
        <v>1970</v>
      </c>
      <c r="D42">
        <f>COUNTIFS('Исходник — лиды'!$H$2:$H$1567,"&gt;="&amp;A42,'Исходник — лиды'!$H$2:$H$1567,"&lt;"&amp;B42+1)</f>
        <v>6</v>
      </c>
      <c r="E42">
        <f>COUNTIFS('Исходник — лиды'!$H$2:$H$1567,"&gt;="&amp;A42,'Исходник — лиды'!$H$2:$H$1567,"&lt;"&amp;B42+1,'Исходник — лиды'!$C$2:$C$1567,"Качественный лид")</f>
        <v>6</v>
      </c>
      <c r="F42">
        <v>30</v>
      </c>
      <c r="G42" s="5">
        <f t="shared" si="0"/>
        <v>1</v>
      </c>
    </row>
    <row r="43" spans="1:7" x14ac:dyDescent="0.25">
      <c r="A43" s="3">
        <v>44823</v>
      </c>
      <c r="B43" s="3">
        <v>44829</v>
      </c>
      <c r="C43" t="s">
        <v>1971</v>
      </c>
      <c r="D43">
        <f>COUNTIFS('Исходник — лиды'!$H$2:$H$1567,"&gt;="&amp;A43,'Исходник — лиды'!$H$2:$H$1567,"&lt;"&amp;B43+1)</f>
        <v>9</v>
      </c>
      <c r="E43">
        <f>COUNTIFS('Исходник — лиды'!$H$2:$H$1567,"&gt;="&amp;A43,'Исходник — лиды'!$H$2:$H$1567,"&lt;"&amp;B43+1,'Исходник — лиды'!$C$2:$C$1567,"Качественный лид")</f>
        <v>9</v>
      </c>
      <c r="F43">
        <v>33</v>
      </c>
      <c r="G43" s="5">
        <f t="shared" si="0"/>
        <v>1</v>
      </c>
    </row>
    <row r="44" spans="1:7" x14ac:dyDescent="0.25">
      <c r="A44" s="3">
        <v>44830</v>
      </c>
      <c r="B44" s="3">
        <v>44836</v>
      </c>
      <c r="C44" t="s">
        <v>1972</v>
      </c>
      <c r="D44">
        <f>COUNTIFS('Исходник — лиды'!$H$2:$H$1567,"&gt;="&amp;A44,'Исходник — лиды'!$H$2:$H$1567,"&lt;"&amp;B44+1)</f>
        <v>5</v>
      </c>
      <c r="E44">
        <f>COUNTIFS('Исходник — лиды'!$H$2:$H$1567,"&gt;="&amp;A44,'Исходник — лиды'!$H$2:$H$1567,"&lt;"&amp;B44+1,'Исходник — лиды'!$C$2:$C$1567,"Качественный лид")</f>
        <v>5</v>
      </c>
      <c r="F44">
        <v>17</v>
      </c>
      <c r="G44" s="5">
        <f t="shared" si="0"/>
        <v>1</v>
      </c>
    </row>
    <row r="45" spans="1:7" x14ac:dyDescent="0.25">
      <c r="A45" s="3">
        <v>44837</v>
      </c>
      <c r="B45" s="3">
        <v>44843</v>
      </c>
      <c r="C45" t="s">
        <v>1973</v>
      </c>
      <c r="D45">
        <f>COUNTIFS('Исходник — лиды'!$H$2:$H$1567,"&gt;="&amp;A45,'Исходник — лиды'!$H$2:$H$1567,"&lt;"&amp;B45+1)</f>
        <v>7</v>
      </c>
      <c r="E45">
        <f>COUNTIFS('Исходник — лиды'!$H$2:$H$1567,"&gt;="&amp;A45,'Исходник — лиды'!$H$2:$H$1567,"&lt;"&amp;B45+1,'Исходник — лиды'!$C$2:$C$1567,"Качественный лид")</f>
        <v>7</v>
      </c>
      <c r="F45">
        <v>23</v>
      </c>
      <c r="G45" s="5">
        <f t="shared" si="0"/>
        <v>1</v>
      </c>
    </row>
    <row r="46" spans="1:7" x14ac:dyDescent="0.25">
      <c r="A46" s="3">
        <v>44844</v>
      </c>
      <c r="B46" s="3">
        <v>44850</v>
      </c>
      <c r="C46" t="s">
        <v>1974</v>
      </c>
      <c r="D46">
        <f>COUNTIFS('Исходник — лиды'!$H$2:$H$1567,"&gt;="&amp;A46,'Исходник — лиды'!$H$2:$H$1567,"&lt;"&amp;B46+1)</f>
        <v>7</v>
      </c>
      <c r="E46">
        <f>COUNTIFS('Исходник — лиды'!$H$2:$H$1567,"&gt;="&amp;A46,'Исходник — лиды'!$H$2:$H$1567,"&lt;"&amp;B46+1,'Исходник — лиды'!$C$2:$C$1567,"Качественный лид")</f>
        <v>7</v>
      </c>
      <c r="F46">
        <v>26</v>
      </c>
      <c r="G46" s="5">
        <f t="shared" si="0"/>
        <v>1</v>
      </c>
    </row>
    <row r="47" spans="1:7" x14ac:dyDescent="0.25">
      <c r="A47" s="3">
        <v>44851</v>
      </c>
      <c r="B47" s="3">
        <v>44857</v>
      </c>
      <c r="C47" t="s">
        <v>1975</v>
      </c>
      <c r="D47">
        <f>COUNTIFS('Исходник — лиды'!$H$2:$H$1567,"&gt;="&amp;A47,'Исходник — лиды'!$H$2:$H$1567,"&lt;"&amp;B47+1)</f>
        <v>4</v>
      </c>
      <c r="E47">
        <f>COUNTIFS('Исходник — лиды'!$H$2:$H$1567,"&gt;="&amp;A47,'Исходник — лиды'!$H$2:$H$1567,"&lt;"&amp;B47+1,'Исходник — лиды'!$C$2:$C$1567,"Качественный лид")</f>
        <v>4</v>
      </c>
      <c r="F47">
        <v>36</v>
      </c>
      <c r="G47" s="5">
        <f t="shared" si="0"/>
        <v>1</v>
      </c>
    </row>
    <row r="48" spans="1:7" x14ac:dyDescent="0.25">
      <c r="A48" s="3">
        <v>44858</v>
      </c>
      <c r="B48" s="3">
        <v>44864</v>
      </c>
      <c r="C48" t="s">
        <v>1976</v>
      </c>
      <c r="D48">
        <f>COUNTIFS('Исходник — лиды'!$H$2:$H$1567,"&gt;="&amp;A48,'Исходник — лиды'!$H$2:$H$1567,"&lt;"&amp;B48+1)</f>
        <v>6</v>
      </c>
      <c r="E48">
        <f>COUNTIFS('Исходник — лиды'!$H$2:$H$1567,"&gt;="&amp;A48,'Исходник — лиды'!$H$2:$H$1567,"&lt;"&amp;B48+1,'Исходник — лиды'!$C$2:$C$1567,"Качественный лид")</f>
        <v>6</v>
      </c>
      <c r="F48">
        <v>37</v>
      </c>
      <c r="G48" s="5">
        <f t="shared" si="0"/>
        <v>1</v>
      </c>
    </row>
    <row r="49" spans="1:7" x14ac:dyDescent="0.25">
      <c r="A49" s="3">
        <v>44865</v>
      </c>
      <c r="B49" s="3">
        <v>44871</v>
      </c>
      <c r="C49" t="s">
        <v>1977</v>
      </c>
      <c r="D49">
        <f>COUNTIFS('Исходник — лиды'!$H$2:$H$1567,"&gt;="&amp;A49,'Исходник — лиды'!$H$2:$H$1567,"&lt;"&amp;B49+1)</f>
        <v>12</v>
      </c>
      <c r="E49">
        <f>COUNTIFS('Исходник — лиды'!$H$2:$H$1567,"&gt;="&amp;A49,'Исходник — лиды'!$H$2:$H$1567,"&lt;"&amp;B49+1,'Исходник — лиды'!$C$2:$C$1567,"Качественный лид")</f>
        <v>12</v>
      </c>
      <c r="F49">
        <v>30</v>
      </c>
      <c r="G49" s="5">
        <f t="shared" si="0"/>
        <v>1</v>
      </c>
    </row>
    <row r="50" spans="1:7" x14ac:dyDescent="0.25">
      <c r="A50" s="3">
        <v>44872</v>
      </c>
      <c r="B50" s="3">
        <v>44878</v>
      </c>
      <c r="C50" t="s">
        <v>1978</v>
      </c>
      <c r="D50">
        <f>COUNTIFS('Исходник — лиды'!$H$2:$H$1567,"&gt;="&amp;A50,'Исходник — лиды'!$H$2:$H$1567,"&lt;"&amp;B50+1)</f>
        <v>2</v>
      </c>
      <c r="E50">
        <f>COUNTIFS('Исходник — лиды'!$H$2:$H$1567,"&gt;="&amp;A50,'Исходник — лиды'!$H$2:$H$1567,"&lt;"&amp;B50+1,'Исходник — лиды'!$C$2:$C$1567,"Качественный лид")</f>
        <v>2</v>
      </c>
      <c r="F50">
        <v>24</v>
      </c>
      <c r="G50" s="5">
        <f t="shared" si="0"/>
        <v>1</v>
      </c>
    </row>
    <row r="51" spans="1:7" x14ac:dyDescent="0.25">
      <c r="A51" s="3">
        <v>44879</v>
      </c>
      <c r="B51" s="3">
        <v>44885</v>
      </c>
      <c r="C51" t="s">
        <v>1979</v>
      </c>
      <c r="D51">
        <f>COUNTIFS('Исходник — лиды'!$H$2:$H$1567,"&gt;="&amp;A51,'Исходник — лиды'!$H$2:$H$1567,"&lt;"&amp;B51+1)</f>
        <v>2</v>
      </c>
      <c r="E51">
        <f>COUNTIFS('Исходник — лиды'!$H$2:$H$1567,"&gt;="&amp;A51,'Исходник — лиды'!$H$2:$H$1567,"&lt;"&amp;B51+1,'Исходник — лиды'!$C$2:$C$1567,"Качественный лид")</f>
        <v>2</v>
      </c>
      <c r="F51">
        <v>27</v>
      </c>
      <c r="G51" s="5">
        <f t="shared" si="0"/>
        <v>1</v>
      </c>
    </row>
    <row r="52" spans="1:7" x14ac:dyDescent="0.25">
      <c r="A52" s="3">
        <v>44886</v>
      </c>
      <c r="B52" s="3">
        <v>44892</v>
      </c>
      <c r="C52" t="s">
        <v>1980</v>
      </c>
      <c r="D52">
        <f>COUNTIFS('Исходник — лиды'!$H$2:$H$1567,"&gt;="&amp;A52,'Исходник — лиды'!$H$2:$H$1567,"&lt;"&amp;B52+1)</f>
        <v>5</v>
      </c>
      <c r="E52">
        <f>COUNTIFS('Исходник — лиды'!$H$2:$H$1567,"&gt;="&amp;A52,'Исходник — лиды'!$H$2:$H$1567,"&lt;"&amp;B52+1,'Исходник — лиды'!$C$2:$C$1567,"Качественный лид")</f>
        <v>4</v>
      </c>
      <c r="F52">
        <v>33</v>
      </c>
      <c r="G52" s="5">
        <f t="shared" si="0"/>
        <v>0.8</v>
      </c>
    </row>
    <row r="53" spans="1:7" x14ac:dyDescent="0.25">
      <c r="A53" s="3">
        <v>44893</v>
      </c>
      <c r="B53" s="3">
        <v>44899</v>
      </c>
      <c r="C53" t="s">
        <v>1981</v>
      </c>
      <c r="D53">
        <f>COUNTIFS('Исходник — лиды'!$H$2:$H$1567,"&gt;="&amp;A53,'Исходник — лиды'!$H$2:$H$1567,"&lt;"&amp;B53+1)</f>
        <v>2</v>
      </c>
      <c r="E53">
        <f>COUNTIFS('Исходник — лиды'!$H$2:$H$1567,"&gt;="&amp;A53,'Исходник — лиды'!$H$2:$H$1567,"&lt;"&amp;B53+1,'Исходник — лиды'!$C$2:$C$1567,"Качественный лид")</f>
        <v>2</v>
      </c>
      <c r="F53">
        <v>28</v>
      </c>
      <c r="G53" s="5">
        <f t="shared" si="0"/>
        <v>1</v>
      </c>
    </row>
    <row r="54" spans="1:7" x14ac:dyDescent="0.25">
      <c r="A54" s="3">
        <v>44900</v>
      </c>
      <c r="B54" s="3">
        <v>44906</v>
      </c>
      <c r="C54" t="s">
        <v>1982</v>
      </c>
      <c r="D54">
        <f>COUNTIFS('Исходник — лиды'!$H$2:$H$1567,"&gt;="&amp;A54,'Исходник — лиды'!$H$2:$H$1567,"&lt;"&amp;B54+1)</f>
        <v>5</v>
      </c>
      <c r="E54">
        <f>COUNTIFS('Исходник — лиды'!$H$2:$H$1567,"&gt;="&amp;A54,'Исходник — лиды'!$H$2:$H$1567,"&lt;"&amp;B54+1,'Исходник — лиды'!$C$2:$C$1567,"Качественный лид")</f>
        <v>5</v>
      </c>
      <c r="F54">
        <v>20</v>
      </c>
      <c r="G54" s="5">
        <f t="shared" si="0"/>
        <v>1</v>
      </c>
    </row>
    <row r="55" spans="1:7" x14ac:dyDescent="0.25">
      <c r="A55" s="3">
        <v>44907</v>
      </c>
      <c r="B55" s="3">
        <v>44913</v>
      </c>
      <c r="C55" t="s">
        <v>1983</v>
      </c>
      <c r="D55">
        <f>COUNTIFS('Исходник — лиды'!$H$2:$H$1567,"&gt;="&amp;A55,'Исходник — лиды'!$H$2:$H$1567,"&lt;"&amp;B55+1)</f>
        <v>2</v>
      </c>
      <c r="E55">
        <f>COUNTIFS('Исходник — лиды'!$H$2:$H$1567,"&gt;="&amp;A55,'Исходник — лиды'!$H$2:$H$1567,"&lt;"&amp;B55+1,'Исходник — лиды'!$C$2:$C$1567,"Качественный лид")</f>
        <v>2</v>
      </c>
      <c r="F55">
        <v>28</v>
      </c>
      <c r="G55" s="5">
        <f t="shared" si="0"/>
        <v>1</v>
      </c>
    </row>
    <row r="56" spans="1:7" x14ac:dyDescent="0.25">
      <c r="A56" s="3">
        <v>44914</v>
      </c>
      <c r="B56" s="3">
        <v>44920</v>
      </c>
      <c r="C56" t="s">
        <v>1984</v>
      </c>
      <c r="D56">
        <f>COUNTIFS('Исходник — лиды'!$H$2:$H$1567,"&gt;="&amp;A56,'Исходник — лиды'!$H$2:$H$1567,"&lt;"&amp;B56+1)</f>
        <v>5</v>
      </c>
      <c r="E56">
        <f>COUNTIFS('Исходник — лиды'!$H$2:$H$1567,"&gt;="&amp;A56,'Исходник — лиды'!$H$2:$H$1567,"&lt;"&amp;B56+1,'Исходник — лиды'!$C$2:$C$1567,"Качественный лид")</f>
        <v>5</v>
      </c>
      <c r="F56">
        <v>30</v>
      </c>
      <c r="G56" s="5">
        <f t="shared" si="0"/>
        <v>1</v>
      </c>
    </row>
    <row r="57" spans="1:7" x14ac:dyDescent="0.25">
      <c r="A57" s="3">
        <v>44921</v>
      </c>
      <c r="B57" s="3">
        <v>44927</v>
      </c>
      <c r="C57" t="s">
        <v>1985</v>
      </c>
      <c r="D57">
        <f>COUNTIFS('Исходник — лиды'!$H$2:$H$1567,"&gt;="&amp;A57,'Исходник — лиды'!$H$2:$H$1567,"&lt;"&amp;B57+1)</f>
        <v>3</v>
      </c>
      <c r="E57">
        <f>COUNTIFS('Исходник — лиды'!$H$2:$H$1567,"&gt;="&amp;A57,'Исходник — лиды'!$H$2:$H$1567,"&lt;"&amp;B57+1,'Исходник — лиды'!$C$2:$C$1567,"Качественный лид")</f>
        <v>3</v>
      </c>
      <c r="F57">
        <v>14</v>
      </c>
      <c r="G57" s="5">
        <f t="shared" si="0"/>
        <v>1</v>
      </c>
    </row>
    <row r="58" spans="1:7" x14ac:dyDescent="0.25">
      <c r="A58" s="3">
        <v>44928</v>
      </c>
      <c r="B58" s="3">
        <v>44934</v>
      </c>
      <c r="C58" t="s">
        <v>1986</v>
      </c>
      <c r="D58">
        <f>COUNTIFS('Исходник — лиды'!$H$2:$H$1567,"&gt;="&amp;A58,'Исходник — лиды'!$H$2:$H$1567,"&lt;"&amp;B58+1)</f>
        <v>2</v>
      </c>
      <c r="E58">
        <f>COUNTIFS('Исходник — лиды'!$H$2:$H$1567,"&gt;="&amp;A58,'Исходник — лиды'!$H$2:$H$1567,"&lt;"&amp;B58+1,'Исходник — лиды'!$C$2:$C$1567,"Качественный лид")</f>
        <v>2</v>
      </c>
      <c r="F58">
        <v>26</v>
      </c>
      <c r="G58" s="5">
        <f t="shared" si="0"/>
        <v>1</v>
      </c>
    </row>
    <row r="59" spans="1:7" x14ac:dyDescent="0.25">
      <c r="A59" s="3">
        <v>44935</v>
      </c>
      <c r="B59" s="3">
        <v>44941</v>
      </c>
      <c r="C59" t="s">
        <v>1987</v>
      </c>
      <c r="D59">
        <f>COUNTIFS('Исходник — лиды'!$H$2:$H$1567,"&gt;="&amp;A59,'Исходник — лиды'!$H$2:$H$1567,"&lt;"&amp;B59+1)</f>
        <v>4</v>
      </c>
      <c r="E59">
        <f>COUNTIFS('Исходник — лиды'!$H$2:$H$1567,"&gt;="&amp;A59,'Исходник — лиды'!$H$2:$H$1567,"&lt;"&amp;B59+1,'Исходник — лиды'!$C$2:$C$1567,"Качественный лид")</f>
        <v>4</v>
      </c>
      <c r="F59">
        <v>19</v>
      </c>
      <c r="G59" s="5">
        <f t="shared" si="0"/>
        <v>1</v>
      </c>
    </row>
    <row r="60" spans="1:7" x14ac:dyDescent="0.25">
      <c r="A60" s="3">
        <v>44942</v>
      </c>
      <c r="B60" s="3">
        <v>44948</v>
      </c>
      <c r="C60" t="s">
        <v>1988</v>
      </c>
      <c r="D60">
        <f>COUNTIFS('Исходник — лиды'!$H$2:$H$1567,"&gt;="&amp;A60,'Исходник — лиды'!$H$2:$H$1567,"&lt;"&amp;B60+1)</f>
        <v>1</v>
      </c>
      <c r="E60">
        <f>COUNTIFS('Исходник — лиды'!$H$2:$H$1567,"&gt;="&amp;A60,'Исходник — лиды'!$H$2:$H$1567,"&lt;"&amp;B60+1,'Исходник — лиды'!$C$2:$C$1567,"Качественный лид")</f>
        <v>1</v>
      </c>
      <c r="F60">
        <v>25</v>
      </c>
      <c r="G60" s="5">
        <f t="shared" si="0"/>
        <v>1</v>
      </c>
    </row>
    <row r="61" spans="1:7" x14ac:dyDescent="0.25">
      <c r="A61" s="3">
        <v>44949</v>
      </c>
      <c r="B61" s="3">
        <v>44955</v>
      </c>
      <c r="C61" t="s">
        <v>1989</v>
      </c>
      <c r="D61">
        <f>COUNTIFS('Исходник — лиды'!$H$2:$H$1567,"&gt;="&amp;A61,'Исходник — лиды'!$H$2:$H$1567,"&lt;"&amp;B61+1)</f>
        <v>5</v>
      </c>
      <c r="E61">
        <f>COUNTIFS('Исходник — лиды'!$H$2:$H$1567,"&gt;="&amp;A61,'Исходник — лиды'!$H$2:$H$1567,"&lt;"&amp;B61+1,'Исходник — лиды'!$C$2:$C$1567,"Качественный лид")</f>
        <v>5</v>
      </c>
      <c r="F61">
        <v>44</v>
      </c>
      <c r="G61" s="5">
        <f t="shared" si="0"/>
        <v>1</v>
      </c>
    </row>
    <row r="62" spans="1:7" x14ac:dyDescent="0.25">
      <c r="A62" s="3">
        <v>44956</v>
      </c>
      <c r="B62" s="3">
        <v>44962</v>
      </c>
      <c r="C62" t="s">
        <v>1990</v>
      </c>
      <c r="D62">
        <f>COUNTIFS('Исходник — лиды'!$H$2:$H$1567,"&gt;="&amp;A62,'Исходник — лиды'!$H$2:$H$1567,"&lt;"&amp;B62+1)</f>
        <v>3</v>
      </c>
      <c r="E62">
        <f>COUNTIFS('Исходник — лиды'!$H$2:$H$1567,"&gt;="&amp;A62,'Исходник — лиды'!$H$2:$H$1567,"&lt;"&amp;B62+1,'Исходник — лиды'!$C$2:$C$1567,"Качественный лид")</f>
        <v>3</v>
      </c>
      <c r="F62">
        <v>27</v>
      </c>
      <c r="G62" s="5">
        <f t="shared" si="0"/>
        <v>1</v>
      </c>
    </row>
    <row r="63" spans="1:7" x14ac:dyDescent="0.25">
      <c r="A63" s="3">
        <v>44963</v>
      </c>
      <c r="B63" s="3">
        <v>44969</v>
      </c>
      <c r="C63" t="s">
        <v>1991</v>
      </c>
      <c r="D63">
        <f>COUNTIFS('Исходник — лиды'!$H$2:$H$1567,"&gt;="&amp;A63,'Исходник — лиды'!$H$2:$H$1567,"&lt;"&amp;B63+1)</f>
        <v>5</v>
      </c>
      <c r="E63">
        <f>COUNTIFS('Исходник — лиды'!$H$2:$H$1567,"&gt;="&amp;A63,'Исходник — лиды'!$H$2:$H$1567,"&lt;"&amp;B63+1,'Исходник — лиды'!$C$2:$C$1567,"Качественный лид")</f>
        <v>5</v>
      </c>
      <c r="F63">
        <v>28</v>
      </c>
      <c r="G63" s="5">
        <f t="shared" si="0"/>
        <v>1</v>
      </c>
    </row>
    <row r="64" spans="1:7" x14ac:dyDescent="0.25">
      <c r="A64" s="3">
        <v>44970</v>
      </c>
      <c r="B64" s="3">
        <v>44976</v>
      </c>
      <c r="C64" t="s">
        <v>1992</v>
      </c>
      <c r="D64">
        <f>COUNTIFS('Исходник — лиды'!$H$2:$H$1567,"&gt;="&amp;A64,'Исходник — лиды'!$H$2:$H$1567,"&lt;"&amp;B64+1)</f>
        <v>4</v>
      </c>
      <c r="E64">
        <f>COUNTIFS('Исходник — лиды'!$H$2:$H$1567,"&gt;="&amp;A64,'Исходник — лиды'!$H$2:$H$1567,"&lt;"&amp;B64+1,'Исходник — лиды'!$C$2:$C$1567,"Качественный лид")</f>
        <v>4</v>
      </c>
      <c r="F64">
        <v>32</v>
      </c>
      <c r="G64" s="5">
        <f t="shared" si="0"/>
        <v>1</v>
      </c>
    </row>
    <row r="65" spans="1:7" x14ac:dyDescent="0.25">
      <c r="A65" s="3">
        <v>44977</v>
      </c>
      <c r="B65" s="3">
        <v>44983</v>
      </c>
      <c r="C65" t="s">
        <v>1993</v>
      </c>
      <c r="D65">
        <f>COUNTIFS('Исходник — лиды'!$H$2:$H$1567,"&gt;="&amp;A65,'Исходник — лиды'!$H$2:$H$1567,"&lt;"&amp;B65+1)</f>
        <v>4</v>
      </c>
      <c r="E65">
        <f>COUNTIFS('Исходник — лиды'!$H$2:$H$1567,"&gt;="&amp;A65,'Исходник — лиды'!$H$2:$H$1567,"&lt;"&amp;B65+1,'Исходник — лиды'!$C$2:$C$1567,"Качественный лид")</f>
        <v>4</v>
      </c>
      <c r="F65">
        <v>44</v>
      </c>
      <c r="G65" s="5">
        <f t="shared" si="0"/>
        <v>1</v>
      </c>
    </row>
    <row r="66" spans="1:7" x14ac:dyDescent="0.25">
      <c r="A66" s="3">
        <v>44984</v>
      </c>
      <c r="B66" s="3">
        <v>44990</v>
      </c>
      <c r="C66" t="s">
        <v>1994</v>
      </c>
      <c r="D66">
        <f>COUNTIFS('Исходник — лиды'!$H$2:$H$1567,"&gt;="&amp;A66,'Исходник — лиды'!$H$2:$H$1567,"&lt;"&amp;B66+1)</f>
        <v>6</v>
      </c>
      <c r="E66">
        <f>COUNTIFS('Исходник — лиды'!$H$2:$H$1567,"&gt;="&amp;A66,'Исходник — лиды'!$H$2:$H$1567,"&lt;"&amp;B66+1,'Исходник — лиды'!$C$2:$C$1567,"Качественный лид")</f>
        <v>6</v>
      </c>
      <c r="F66">
        <v>30</v>
      </c>
      <c r="G66" s="5">
        <f t="shared" si="0"/>
        <v>1</v>
      </c>
    </row>
    <row r="67" spans="1:7" x14ac:dyDescent="0.25">
      <c r="A67" s="3">
        <v>44991</v>
      </c>
      <c r="B67" s="3">
        <v>44997</v>
      </c>
      <c r="C67" t="s">
        <v>1995</v>
      </c>
      <c r="D67">
        <f>COUNTIFS('Исходник — лиды'!$H$2:$H$1567,"&gt;="&amp;A67,'Исходник — лиды'!$H$2:$H$1567,"&lt;"&amp;B67+1)</f>
        <v>5</v>
      </c>
      <c r="E67">
        <f>COUNTIFS('Исходник — лиды'!$H$2:$H$1567,"&gt;="&amp;A67,'Исходник — лиды'!$H$2:$H$1567,"&lt;"&amp;B67+1,'Исходник — лиды'!$C$2:$C$1567,"Качественный лид")</f>
        <v>5</v>
      </c>
      <c r="F67">
        <v>37</v>
      </c>
      <c r="G67" s="5">
        <f t="shared" si="0"/>
        <v>1</v>
      </c>
    </row>
    <row r="68" spans="1:7" x14ac:dyDescent="0.25">
      <c r="A68" s="3">
        <v>44998</v>
      </c>
      <c r="B68" s="3">
        <v>45004</v>
      </c>
      <c r="C68" t="s">
        <v>1996</v>
      </c>
      <c r="D68">
        <f>COUNTIFS('Исходник — лиды'!$H$2:$H$1567,"&gt;="&amp;A68,'Исходник — лиды'!$H$2:$H$1567,"&lt;"&amp;B68+1)</f>
        <v>2</v>
      </c>
      <c r="E68">
        <f>COUNTIFS('Исходник — лиды'!$H$2:$H$1567,"&gt;="&amp;A68,'Исходник — лиды'!$H$2:$H$1567,"&lt;"&amp;B68+1,'Исходник — лиды'!$C$2:$C$1567,"Качественный лид")</f>
        <v>2</v>
      </c>
      <c r="F68">
        <v>59</v>
      </c>
      <c r="G68" s="5">
        <f t="shared" si="0"/>
        <v>1</v>
      </c>
    </row>
    <row r="69" spans="1:7" x14ac:dyDescent="0.25">
      <c r="A69" s="3">
        <v>45005</v>
      </c>
      <c r="B69" s="3">
        <v>45011</v>
      </c>
      <c r="C69" t="s">
        <v>1997</v>
      </c>
      <c r="D69">
        <f>COUNTIFS('Исходник — лиды'!$H$2:$H$1567,"&gt;="&amp;A69,'Исходник — лиды'!$H$2:$H$1567,"&lt;"&amp;B69+1)</f>
        <v>9</v>
      </c>
      <c r="E69">
        <f>COUNTIFS('Исходник — лиды'!$H$2:$H$1567,"&gt;="&amp;A69,'Исходник — лиды'!$H$2:$H$1567,"&lt;"&amp;B69+1,'Исходник — лиды'!$C$2:$C$1567,"Качественный лид")</f>
        <v>8</v>
      </c>
      <c r="F69">
        <v>34</v>
      </c>
      <c r="G69" s="5">
        <f t="shared" ref="G69:G132" si="1">IFERROR(E69/D69,0)</f>
        <v>0.88888888888888884</v>
      </c>
    </row>
    <row r="70" spans="1:7" x14ac:dyDescent="0.25">
      <c r="A70" s="3">
        <v>45012</v>
      </c>
      <c r="B70" s="3">
        <v>45018</v>
      </c>
      <c r="C70" t="s">
        <v>1998</v>
      </c>
      <c r="D70">
        <f>COUNTIFS('Исходник — лиды'!$H$2:$H$1567,"&gt;="&amp;A70,'Исходник — лиды'!$H$2:$H$1567,"&lt;"&amp;B70+1)</f>
        <v>6</v>
      </c>
      <c r="E70">
        <f>COUNTIFS('Исходник — лиды'!$H$2:$H$1567,"&gt;="&amp;A70,'Исходник — лиды'!$H$2:$H$1567,"&lt;"&amp;B70+1,'Исходник — лиды'!$C$2:$C$1567,"Качественный лид")</f>
        <v>6</v>
      </c>
      <c r="F70">
        <v>56</v>
      </c>
      <c r="G70" s="5">
        <f t="shared" si="1"/>
        <v>1</v>
      </c>
    </row>
    <row r="71" spans="1:7" x14ac:dyDescent="0.25">
      <c r="A71" s="3">
        <v>45019</v>
      </c>
      <c r="B71" s="3">
        <v>45025</v>
      </c>
      <c r="C71" t="s">
        <v>1999</v>
      </c>
      <c r="D71">
        <f>COUNTIFS('Исходник — лиды'!$H$2:$H$1567,"&gt;="&amp;A71,'Исходник — лиды'!$H$2:$H$1567,"&lt;"&amp;B71+1)</f>
        <v>6</v>
      </c>
      <c r="E71">
        <f>COUNTIFS('Исходник — лиды'!$H$2:$H$1567,"&gt;="&amp;A71,'Исходник — лиды'!$H$2:$H$1567,"&lt;"&amp;B71+1,'Исходник — лиды'!$C$2:$C$1567,"Качественный лид")</f>
        <v>6</v>
      </c>
      <c r="F71">
        <v>43</v>
      </c>
      <c r="G71" s="5">
        <f t="shared" si="1"/>
        <v>1</v>
      </c>
    </row>
    <row r="72" spans="1:7" x14ac:dyDescent="0.25">
      <c r="A72" s="3">
        <v>45026</v>
      </c>
      <c r="B72" s="3">
        <v>45032</v>
      </c>
      <c r="C72" t="s">
        <v>2000</v>
      </c>
      <c r="D72">
        <f>COUNTIFS('Исходник — лиды'!$H$2:$H$1567,"&gt;="&amp;A72,'Исходник — лиды'!$H$2:$H$1567,"&lt;"&amp;B72+1)</f>
        <v>2</v>
      </c>
      <c r="E72">
        <f>COUNTIFS('Исходник — лиды'!$H$2:$H$1567,"&gt;="&amp;A72,'Исходник — лиды'!$H$2:$H$1567,"&lt;"&amp;B72+1,'Исходник — лиды'!$C$2:$C$1567,"Качественный лид")</f>
        <v>2</v>
      </c>
      <c r="F72">
        <v>51</v>
      </c>
      <c r="G72" s="5">
        <f t="shared" si="1"/>
        <v>1</v>
      </c>
    </row>
    <row r="73" spans="1:7" x14ac:dyDescent="0.25">
      <c r="A73" s="3">
        <v>45033</v>
      </c>
      <c r="B73" s="3">
        <v>45039</v>
      </c>
      <c r="C73" t="s">
        <v>2001</v>
      </c>
      <c r="D73">
        <f>COUNTIFS('Исходник — лиды'!$H$2:$H$1567,"&gt;="&amp;A73,'Исходник — лиды'!$H$2:$H$1567,"&lt;"&amp;B73+1)</f>
        <v>7</v>
      </c>
      <c r="E73">
        <f>COUNTIFS('Исходник — лиды'!$H$2:$H$1567,"&gt;="&amp;A73,'Исходник — лиды'!$H$2:$H$1567,"&lt;"&amp;B73+1,'Исходник — лиды'!$C$2:$C$1567,"Качественный лид")</f>
        <v>7</v>
      </c>
      <c r="F73">
        <v>61</v>
      </c>
      <c r="G73" s="5">
        <f t="shared" si="1"/>
        <v>1</v>
      </c>
    </row>
    <row r="74" spans="1:7" x14ac:dyDescent="0.25">
      <c r="A74" s="3">
        <v>45040</v>
      </c>
      <c r="B74" s="3">
        <v>45046</v>
      </c>
      <c r="C74" t="s">
        <v>2002</v>
      </c>
      <c r="D74">
        <f>COUNTIFS('Исходник — лиды'!$H$2:$H$1567,"&gt;="&amp;A74,'Исходник — лиды'!$H$2:$H$1567,"&lt;"&amp;B74+1)</f>
        <v>5</v>
      </c>
      <c r="E74">
        <f>COUNTIFS('Исходник — лиды'!$H$2:$H$1567,"&gt;="&amp;A74,'Исходник — лиды'!$H$2:$H$1567,"&lt;"&amp;B74+1,'Исходник — лиды'!$C$2:$C$1567,"Качественный лид")</f>
        <v>5</v>
      </c>
      <c r="F74">
        <v>62</v>
      </c>
      <c r="G74" s="5">
        <f t="shared" si="1"/>
        <v>1</v>
      </c>
    </row>
    <row r="75" spans="1:7" x14ac:dyDescent="0.25">
      <c r="A75" s="3">
        <v>45047</v>
      </c>
      <c r="B75" s="3">
        <v>45053</v>
      </c>
      <c r="C75" t="s">
        <v>2003</v>
      </c>
      <c r="D75">
        <f>COUNTIFS('Исходник — лиды'!$H$2:$H$1567,"&gt;="&amp;A75,'Исходник — лиды'!$H$2:$H$1567,"&lt;"&amp;B75+1)</f>
        <v>8</v>
      </c>
      <c r="E75">
        <f>COUNTIFS('Исходник — лиды'!$H$2:$H$1567,"&gt;="&amp;A75,'Исходник — лиды'!$H$2:$H$1567,"&lt;"&amp;B75+1,'Исходник — лиды'!$C$2:$C$1567,"Качественный лид")</f>
        <v>7</v>
      </c>
      <c r="F75">
        <v>52</v>
      </c>
      <c r="G75" s="5">
        <f t="shared" si="1"/>
        <v>0.875</v>
      </c>
    </row>
    <row r="76" spans="1:7" x14ac:dyDescent="0.25">
      <c r="A76" s="3">
        <v>45054</v>
      </c>
      <c r="B76" s="3">
        <v>45060</v>
      </c>
      <c r="C76" t="s">
        <v>2004</v>
      </c>
      <c r="D76">
        <f>COUNTIFS('Исходник — лиды'!$H$2:$H$1567,"&gt;="&amp;A76,'Исходник — лиды'!$H$2:$H$1567,"&lt;"&amp;B76+1)</f>
        <v>6</v>
      </c>
      <c r="E76">
        <f>COUNTIFS('Исходник — лиды'!$H$2:$H$1567,"&gt;="&amp;A76,'Исходник — лиды'!$H$2:$H$1567,"&lt;"&amp;B76+1,'Исходник — лиды'!$C$2:$C$1567,"Качественный лид")</f>
        <v>6</v>
      </c>
      <c r="F76">
        <v>50</v>
      </c>
      <c r="G76" s="5">
        <f t="shared" si="1"/>
        <v>1</v>
      </c>
    </row>
    <row r="77" spans="1:7" x14ac:dyDescent="0.25">
      <c r="A77" s="3">
        <v>45061</v>
      </c>
      <c r="B77" s="3">
        <v>45067</v>
      </c>
      <c r="C77" t="s">
        <v>2005</v>
      </c>
      <c r="D77">
        <f>COUNTIFS('Исходник — лиды'!$H$2:$H$1567,"&gt;="&amp;A77,'Исходник — лиды'!$H$2:$H$1567,"&lt;"&amp;B77+1)</f>
        <v>4</v>
      </c>
      <c r="E77">
        <f>COUNTIFS('Исходник — лиды'!$H$2:$H$1567,"&gt;="&amp;A77,'Исходник — лиды'!$H$2:$H$1567,"&lt;"&amp;B77+1,'Исходник — лиды'!$C$2:$C$1567,"Качественный лид")</f>
        <v>4</v>
      </c>
      <c r="F77">
        <v>71</v>
      </c>
      <c r="G77" s="5">
        <f t="shared" si="1"/>
        <v>1</v>
      </c>
    </row>
    <row r="78" spans="1:7" x14ac:dyDescent="0.25">
      <c r="A78" s="3">
        <v>45068</v>
      </c>
      <c r="B78" s="3">
        <v>45074</v>
      </c>
      <c r="C78" t="s">
        <v>2006</v>
      </c>
      <c r="D78">
        <f>COUNTIFS('Исходник — лиды'!$H$2:$H$1567,"&gt;="&amp;A78,'Исходник — лиды'!$H$2:$H$1567,"&lt;"&amp;B78+1)</f>
        <v>6</v>
      </c>
      <c r="E78">
        <f>COUNTIFS('Исходник — лиды'!$H$2:$H$1567,"&gt;="&amp;A78,'Исходник — лиды'!$H$2:$H$1567,"&lt;"&amp;B78+1,'Исходник — лиды'!$C$2:$C$1567,"Качественный лид")</f>
        <v>6</v>
      </c>
      <c r="F78">
        <v>56</v>
      </c>
      <c r="G78" s="5">
        <f t="shared" si="1"/>
        <v>1</v>
      </c>
    </row>
    <row r="79" spans="1:7" x14ac:dyDescent="0.25">
      <c r="A79" s="3">
        <v>45075</v>
      </c>
      <c r="B79" s="3">
        <v>45081</v>
      </c>
      <c r="C79" t="s">
        <v>2007</v>
      </c>
      <c r="D79">
        <f>COUNTIFS('Исходник — лиды'!$H$2:$H$1567,"&gt;="&amp;A79,'Исходник — лиды'!$H$2:$H$1567,"&lt;"&amp;B79+1)</f>
        <v>10</v>
      </c>
      <c r="E79">
        <f>COUNTIFS('Исходник — лиды'!$H$2:$H$1567,"&gt;="&amp;A79,'Исходник — лиды'!$H$2:$H$1567,"&lt;"&amp;B79+1,'Исходник — лиды'!$C$2:$C$1567,"Качественный лид")</f>
        <v>7</v>
      </c>
      <c r="F79">
        <v>57</v>
      </c>
      <c r="G79" s="5">
        <f t="shared" si="1"/>
        <v>0.7</v>
      </c>
    </row>
    <row r="80" spans="1:7" x14ac:dyDescent="0.25">
      <c r="A80" s="3">
        <v>45082</v>
      </c>
      <c r="B80" s="3">
        <v>45088</v>
      </c>
      <c r="C80" t="s">
        <v>2008</v>
      </c>
      <c r="D80">
        <f>COUNTIFS('Исходник — лиды'!$H$2:$H$1567,"&gt;="&amp;A80,'Исходник — лиды'!$H$2:$H$1567,"&lt;"&amp;B80+1)</f>
        <v>9</v>
      </c>
      <c r="E80">
        <f>COUNTIFS('Исходник — лиды'!$H$2:$H$1567,"&gt;="&amp;A80,'Исходник — лиды'!$H$2:$H$1567,"&lt;"&amp;B80+1,'Исходник — лиды'!$C$2:$C$1567,"Качественный лид")</f>
        <v>9</v>
      </c>
      <c r="F80">
        <v>45</v>
      </c>
      <c r="G80" s="5">
        <f t="shared" si="1"/>
        <v>1</v>
      </c>
    </row>
    <row r="81" spans="1:7" x14ac:dyDescent="0.25">
      <c r="A81" s="3">
        <v>45089</v>
      </c>
      <c r="B81" s="3">
        <v>45095</v>
      </c>
      <c r="C81" t="s">
        <v>2009</v>
      </c>
      <c r="D81">
        <f>COUNTIFS('Исходник — лиды'!$H$2:$H$1567,"&gt;="&amp;A81,'Исходник — лиды'!$H$2:$H$1567,"&lt;"&amp;B81+1)</f>
        <v>10</v>
      </c>
      <c r="E81">
        <f>COUNTIFS('Исходник — лиды'!$H$2:$H$1567,"&gt;="&amp;A81,'Исходник — лиды'!$H$2:$H$1567,"&lt;"&amp;B81+1,'Исходник — лиды'!$C$2:$C$1567,"Качественный лид")</f>
        <v>9</v>
      </c>
      <c r="F81">
        <v>43</v>
      </c>
      <c r="G81" s="5">
        <f t="shared" si="1"/>
        <v>0.9</v>
      </c>
    </row>
    <row r="82" spans="1:7" x14ac:dyDescent="0.25">
      <c r="A82" s="3">
        <v>45096</v>
      </c>
      <c r="B82" s="3">
        <v>45102</v>
      </c>
      <c r="C82" t="s">
        <v>2010</v>
      </c>
      <c r="D82">
        <f>COUNTIFS('Исходник — лиды'!$H$2:$H$1567,"&gt;="&amp;A82,'Исходник — лиды'!$H$2:$H$1567,"&lt;"&amp;B82+1)</f>
        <v>3</v>
      </c>
      <c r="E82">
        <f>COUNTIFS('Исходник — лиды'!$H$2:$H$1567,"&gt;="&amp;A82,'Исходник — лиды'!$H$2:$H$1567,"&lt;"&amp;B82+1,'Исходник — лиды'!$C$2:$C$1567,"Качественный лид")</f>
        <v>3</v>
      </c>
      <c r="F82">
        <v>34</v>
      </c>
      <c r="G82" s="5">
        <f t="shared" si="1"/>
        <v>1</v>
      </c>
    </row>
    <row r="83" spans="1:7" x14ac:dyDescent="0.25">
      <c r="A83" s="3">
        <v>45103</v>
      </c>
      <c r="B83" s="3">
        <v>45109</v>
      </c>
      <c r="C83" t="s">
        <v>2011</v>
      </c>
      <c r="D83">
        <f>COUNTIFS('Исходник — лиды'!$H$2:$H$1567,"&gt;="&amp;A83,'Исходник — лиды'!$H$2:$H$1567,"&lt;"&amp;B83+1)</f>
        <v>10</v>
      </c>
      <c r="E83">
        <f>COUNTIFS('Исходник — лиды'!$H$2:$H$1567,"&gt;="&amp;A83,'Исходник — лиды'!$H$2:$H$1567,"&lt;"&amp;B83+1,'Исходник — лиды'!$C$2:$C$1567,"Качественный лид")</f>
        <v>10</v>
      </c>
      <c r="F83">
        <v>64</v>
      </c>
      <c r="G83" s="5">
        <f t="shared" si="1"/>
        <v>1</v>
      </c>
    </row>
    <row r="84" spans="1:7" x14ac:dyDescent="0.25">
      <c r="A84" s="3">
        <v>45110</v>
      </c>
      <c r="B84" s="3">
        <v>45116</v>
      </c>
      <c r="C84" t="s">
        <v>2012</v>
      </c>
      <c r="D84">
        <f>COUNTIFS('Исходник — лиды'!$H$2:$H$1567,"&gt;="&amp;A84,'Исходник — лиды'!$H$2:$H$1567,"&lt;"&amp;B84+1)</f>
        <v>7</v>
      </c>
      <c r="E84">
        <f>COUNTIFS('Исходник — лиды'!$H$2:$H$1567,"&gt;="&amp;A84,'Исходник — лиды'!$H$2:$H$1567,"&lt;"&amp;B84+1,'Исходник — лиды'!$C$2:$C$1567,"Качественный лид")</f>
        <v>7</v>
      </c>
      <c r="F84">
        <v>63</v>
      </c>
      <c r="G84" s="5">
        <f t="shared" si="1"/>
        <v>1</v>
      </c>
    </row>
    <row r="85" spans="1:7" x14ac:dyDescent="0.25">
      <c r="A85" s="3">
        <v>45117</v>
      </c>
      <c r="B85" s="3">
        <v>45123</v>
      </c>
      <c r="C85" t="s">
        <v>2013</v>
      </c>
      <c r="D85">
        <f>COUNTIFS('Исходник — лиды'!$H$2:$H$1567,"&gt;="&amp;A85,'Исходник — лиды'!$H$2:$H$1567,"&lt;"&amp;B85+1)</f>
        <v>2</v>
      </c>
      <c r="E85">
        <f>COUNTIFS('Исходник — лиды'!$H$2:$H$1567,"&gt;="&amp;A85,'Исходник — лиды'!$H$2:$H$1567,"&lt;"&amp;B85+1,'Исходник — лиды'!$C$2:$C$1567,"Качественный лид")</f>
        <v>2</v>
      </c>
      <c r="F85">
        <v>45</v>
      </c>
      <c r="G85" s="5">
        <f t="shared" si="1"/>
        <v>1</v>
      </c>
    </row>
    <row r="86" spans="1:7" x14ac:dyDescent="0.25">
      <c r="A86" s="3">
        <v>45124</v>
      </c>
      <c r="B86" s="3">
        <v>45130</v>
      </c>
      <c r="C86" t="s">
        <v>2014</v>
      </c>
      <c r="D86">
        <f>COUNTIFS('Исходник — лиды'!$H$2:$H$1567,"&gt;="&amp;A86,'Исходник — лиды'!$H$2:$H$1567,"&lt;"&amp;B86+1)</f>
        <v>6</v>
      </c>
      <c r="E86">
        <f>COUNTIFS('Исходник — лиды'!$H$2:$H$1567,"&gt;="&amp;A86,'Исходник — лиды'!$H$2:$H$1567,"&lt;"&amp;B86+1,'Исходник — лиды'!$C$2:$C$1567,"Качественный лид")</f>
        <v>6</v>
      </c>
      <c r="F86">
        <v>54</v>
      </c>
      <c r="G86" s="5">
        <f t="shared" si="1"/>
        <v>1</v>
      </c>
    </row>
    <row r="87" spans="1:7" x14ac:dyDescent="0.25">
      <c r="A87" s="3">
        <v>45131</v>
      </c>
      <c r="B87" s="3">
        <v>45137</v>
      </c>
      <c r="C87" t="s">
        <v>2015</v>
      </c>
      <c r="D87">
        <f>COUNTIFS('Исходник — лиды'!$H$2:$H$1567,"&gt;="&amp;A87,'Исходник — лиды'!$H$2:$H$1567,"&lt;"&amp;B87+1)</f>
        <v>1</v>
      </c>
      <c r="E87">
        <f>COUNTIFS('Исходник — лиды'!$H$2:$H$1567,"&gt;="&amp;A87,'Исходник — лиды'!$H$2:$H$1567,"&lt;"&amp;B87+1,'Исходник — лиды'!$C$2:$C$1567,"Качественный лид")</f>
        <v>0</v>
      </c>
      <c r="F87">
        <v>49</v>
      </c>
      <c r="G87" s="5">
        <f t="shared" si="1"/>
        <v>0</v>
      </c>
    </row>
    <row r="88" spans="1:7" x14ac:dyDescent="0.25">
      <c r="A88" s="3">
        <v>45138</v>
      </c>
      <c r="B88" s="3">
        <v>45144</v>
      </c>
      <c r="C88" t="s">
        <v>2016</v>
      </c>
      <c r="D88">
        <f>COUNTIFS('Исходник — лиды'!$H$2:$H$1567,"&gt;="&amp;A88,'Исходник — лиды'!$H$2:$H$1567,"&lt;"&amp;B88+1)</f>
        <v>4</v>
      </c>
      <c r="E88">
        <f>COUNTIFS('Исходник — лиды'!$H$2:$H$1567,"&gt;="&amp;A88,'Исходник — лиды'!$H$2:$H$1567,"&lt;"&amp;B88+1,'Исходник — лиды'!$C$2:$C$1567,"Качественный лид")</f>
        <v>4</v>
      </c>
      <c r="F88">
        <v>54</v>
      </c>
      <c r="G88" s="5">
        <f t="shared" si="1"/>
        <v>1</v>
      </c>
    </row>
    <row r="89" spans="1:7" x14ac:dyDescent="0.25">
      <c r="A89" s="3">
        <v>45145</v>
      </c>
      <c r="B89" s="3">
        <v>45151</v>
      </c>
      <c r="C89" t="s">
        <v>2017</v>
      </c>
      <c r="D89">
        <f>COUNTIFS('Исходник — лиды'!$H$2:$H$1567,"&gt;="&amp;A89,'Исходник — лиды'!$H$2:$H$1567,"&lt;"&amp;B89+1)</f>
        <v>6</v>
      </c>
      <c r="E89">
        <f>COUNTIFS('Исходник — лиды'!$H$2:$H$1567,"&gt;="&amp;A89,'Исходник — лиды'!$H$2:$H$1567,"&lt;"&amp;B89+1,'Исходник — лиды'!$C$2:$C$1567,"Качественный лид")</f>
        <v>5</v>
      </c>
      <c r="F89">
        <v>48</v>
      </c>
      <c r="G89" s="5">
        <f t="shared" si="1"/>
        <v>0.83333333333333337</v>
      </c>
    </row>
    <row r="90" spans="1:7" x14ac:dyDescent="0.25">
      <c r="A90" s="3">
        <v>45152</v>
      </c>
      <c r="B90" s="3">
        <v>45158</v>
      </c>
      <c r="C90" t="s">
        <v>2018</v>
      </c>
      <c r="D90">
        <f>COUNTIFS('Исходник — лиды'!$H$2:$H$1567,"&gt;="&amp;A90,'Исходник — лиды'!$H$2:$H$1567,"&lt;"&amp;B90+1)</f>
        <v>3</v>
      </c>
      <c r="E90">
        <f>COUNTIFS('Исходник — лиды'!$H$2:$H$1567,"&gt;="&amp;A90,'Исходник — лиды'!$H$2:$H$1567,"&lt;"&amp;B90+1,'Исходник — лиды'!$C$2:$C$1567,"Качественный лид")</f>
        <v>3</v>
      </c>
      <c r="F90">
        <v>53</v>
      </c>
      <c r="G90" s="5">
        <f t="shared" si="1"/>
        <v>1</v>
      </c>
    </row>
    <row r="91" spans="1:7" x14ac:dyDescent="0.25">
      <c r="A91" s="3">
        <v>45159</v>
      </c>
      <c r="B91" s="3">
        <v>45165</v>
      </c>
      <c r="C91" t="s">
        <v>2019</v>
      </c>
      <c r="D91">
        <f>COUNTIFS('Исходник — лиды'!$H$2:$H$1567,"&gt;="&amp;A91,'Исходник — лиды'!$H$2:$H$1567,"&lt;"&amp;B91+1)</f>
        <v>10</v>
      </c>
      <c r="E91">
        <f>COUNTIFS('Исходник — лиды'!$H$2:$H$1567,"&gt;="&amp;A91,'Исходник — лиды'!$H$2:$H$1567,"&lt;"&amp;B91+1,'Исходник — лиды'!$C$2:$C$1567,"Качественный лид")</f>
        <v>10</v>
      </c>
      <c r="F91">
        <v>38</v>
      </c>
      <c r="G91" s="5">
        <f t="shared" si="1"/>
        <v>1</v>
      </c>
    </row>
    <row r="92" spans="1:7" x14ac:dyDescent="0.25">
      <c r="A92" s="3">
        <v>45166</v>
      </c>
      <c r="B92" s="3">
        <v>45172</v>
      </c>
      <c r="C92" t="s">
        <v>2020</v>
      </c>
      <c r="D92">
        <f>COUNTIFS('Исходник — лиды'!$H$2:$H$1567,"&gt;="&amp;A92,'Исходник — лиды'!$H$2:$H$1567,"&lt;"&amp;B92+1)</f>
        <v>4</v>
      </c>
      <c r="E92">
        <f>COUNTIFS('Исходник — лиды'!$H$2:$H$1567,"&gt;="&amp;A92,'Исходник — лиды'!$H$2:$H$1567,"&lt;"&amp;B92+1,'Исходник — лиды'!$C$2:$C$1567,"Качественный лид")</f>
        <v>4</v>
      </c>
      <c r="F92">
        <v>30</v>
      </c>
      <c r="G92" s="5">
        <f t="shared" si="1"/>
        <v>1</v>
      </c>
    </row>
    <row r="93" spans="1:7" x14ac:dyDescent="0.25">
      <c r="A93" s="3">
        <v>45173</v>
      </c>
      <c r="B93" s="3">
        <v>45179</v>
      </c>
      <c r="C93" t="s">
        <v>2021</v>
      </c>
      <c r="D93">
        <f>COUNTIFS('Исходник — лиды'!$H$2:$H$1567,"&gt;="&amp;A93,'Исходник — лиды'!$H$2:$H$1567,"&lt;"&amp;B93+1)</f>
        <v>9</v>
      </c>
      <c r="E93">
        <f>COUNTIFS('Исходник — лиды'!$H$2:$H$1567,"&gt;="&amp;A93,'Исходник — лиды'!$H$2:$H$1567,"&lt;"&amp;B93+1,'Исходник — лиды'!$C$2:$C$1567,"Качественный лид")</f>
        <v>9</v>
      </c>
      <c r="F93">
        <v>58</v>
      </c>
      <c r="G93" s="5">
        <f t="shared" si="1"/>
        <v>1</v>
      </c>
    </row>
    <row r="94" spans="1:7" x14ac:dyDescent="0.25">
      <c r="A94" s="3">
        <v>45180</v>
      </c>
      <c r="B94" s="3">
        <v>45186</v>
      </c>
      <c r="C94" t="s">
        <v>2022</v>
      </c>
      <c r="D94">
        <f>COUNTIFS('Исходник — лиды'!$H$2:$H$1567,"&gt;="&amp;A94,'Исходник — лиды'!$H$2:$H$1567,"&lt;"&amp;B94+1)</f>
        <v>6</v>
      </c>
      <c r="E94">
        <f>COUNTIFS('Исходник — лиды'!$H$2:$H$1567,"&gt;="&amp;A94,'Исходник — лиды'!$H$2:$H$1567,"&lt;"&amp;B94+1,'Исходник — лиды'!$C$2:$C$1567,"Качественный лид")</f>
        <v>6</v>
      </c>
      <c r="F94">
        <v>36</v>
      </c>
      <c r="G94" s="5">
        <f t="shared" si="1"/>
        <v>1</v>
      </c>
    </row>
    <row r="95" spans="1:7" x14ac:dyDescent="0.25">
      <c r="A95" s="3">
        <v>45187</v>
      </c>
      <c r="B95" s="3">
        <v>45193</v>
      </c>
      <c r="C95" t="s">
        <v>2023</v>
      </c>
      <c r="D95">
        <f>COUNTIFS('Исходник — лиды'!$H$2:$H$1567,"&gt;="&amp;A95,'Исходник — лиды'!$H$2:$H$1567,"&lt;"&amp;B95+1)</f>
        <v>11</v>
      </c>
      <c r="E95">
        <f>COUNTIFS('Исходник — лиды'!$H$2:$H$1567,"&gt;="&amp;A95,'Исходник — лиды'!$H$2:$H$1567,"&lt;"&amp;B95+1,'Исходник — лиды'!$C$2:$C$1567,"Качественный лид")</f>
        <v>10</v>
      </c>
      <c r="F95">
        <v>35</v>
      </c>
      <c r="G95" s="5">
        <f t="shared" si="1"/>
        <v>0.90909090909090906</v>
      </c>
    </row>
    <row r="96" spans="1:7" x14ac:dyDescent="0.25">
      <c r="A96" s="3">
        <v>45194</v>
      </c>
      <c r="B96" s="3">
        <v>45200</v>
      </c>
      <c r="C96" t="s">
        <v>2024</v>
      </c>
      <c r="D96">
        <f>COUNTIFS('Исходник — лиды'!$H$2:$H$1567,"&gt;="&amp;A96,'Исходник — лиды'!$H$2:$H$1567,"&lt;"&amp;B96+1)</f>
        <v>12</v>
      </c>
      <c r="E96">
        <f>COUNTIFS('Исходник — лиды'!$H$2:$H$1567,"&gt;="&amp;A96,'Исходник — лиды'!$H$2:$H$1567,"&lt;"&amp;B96+1,'Исходник — лиды'!$C$2:$C$1567,"Качественный лид")</f>
        <v>12</v>
      </c>
      <c r="F96">
        <v>46</v>
      </c>
      <c r="G96" s="5">
        <f t="shared" si="1"/>
        <v>1</v>
      </c>
    </row>
    <row r="97" spans="1:7" x14ac:dyDescent="0.25">
      <c r="A97" s="3">
        <v>45201</v>
      </c>
      <c r="B97" s="3">
        <v>45207</v>
      </c>
      <c r="C97" t="s">
        <v>2025</v>
      </c>
      <c r="D97">
        <f>COUNTIFS('Исходник — лиды'!$H$2:$H$1567,"&gt;="&amp;A97,'Исходник — лиды'!$H$2:$H$1567,"&lt;"&amp;B97+1)</f>
        <v>12</v>
      </c>
      <c r="E97">
        <f>COUNTIFS('Исходник — лиды'!$H$2:$H$1567,"&gt;="&amp;A97,'Исходник — лиды'!$H$2:$H$1567,"&lt;"&amp;B97+1,'Исходник — лиды'!$C$2:$C$1567,"Качественный лид")</f>
        <v>12</v>
      </c>
      <c r="F97">
        <v>44</v>
      </c>
      <c r="G97" s="5">
        <f t="shared" si="1"/>
        <v>1</v>
      </c>
    </row>
    <row r="98" spans="1:7" x14ac:dyDescent="0.25">
      <c r="A98" s="3">
        <v>45208</v>
      </c>
      <c r="B98" s="3">
        <v>45214</v>
      </c>
      <c r="C98" t="s">
        <v>2026</v>
      </c>
      <c r="D98">
        <f>COUNTIFS('Исходник — лиды'!$H$2:$H$1567,"&gt;="&amp;A98,'Исходник — лиды'!$H$2:$H$1567,"&lt;"&amp;B98+1)</f>
        <v>9</v>
      </c>
      <c r="E98">
        <f>COUNTIFS('Исходник — лиды'!$H$2:$H$1567,"&gt;="&amp;A98,'Исходник — лиды'!$H$2:$H$1567,"&lt;"&amp;B98+1,'Исходник — лиды'!$C$2:$C$1567,"Качественный лид")</f>
        <v>9</v>
      </c>
      <c r="F98">
        <v>49</v>
      </c>
      <c r="G98" s="5">
        <f t="shared" si="1"/>
        <v>1</v>
      </c>
    </row>
    <row r="99" spans="1:7" x14ac:dyDescent="0.25">
      <c r="A99" s="3">
        <v>45215</v>
      </c>
      <c r="B99" s="3">
        <v>45221</v>
      </c>
      <c r="C99" t="s">
        <v>2027</v>
      </c>
      <c r="D99">
        <f>COUNTIFS('Исходник — лиды'!$H$2:$H$1567,"&gt;="&amp;A99,'Исходник — лиды'!$H$2:$H$1567,"&lt;"&amp;B99+1)</f>
        <v>3</v>
      </c>
      <c r="E99">
        <f>COUNTIFS('Исходник — лиды'!$H$2:$H$1567,"&gt;="&amp;A99,'Исходник — лиды'!$H$2:$H$1567,"&lt;"&amp;B99+1,'Исходник — лиды'!$C$2:$C$1567,"Качественный лид")</f>
        <v>2</v>
      </c>
      <c r="F99">
        <v>25</v>
      </c>
      <c r="G99" s="5">
        <f t="shared" si="1"/>
        <v>0.66666666666666663</v>
      </c>
    </row>
    <row r="100" spans="1:7" x14ac:dyDescent="0.25">
      <c r="A100" s="3">
        <v>45222</v>
      </c>
      <c r="B100" s="3">
        <v>45228</v>
      </c>
      <c r="C100" t="s">
        <v>2028</v>
      </c>
      <c r="D100">
        <f>COUNTIFS('Исходник — лиды'!$H$2:$H$1567,"&gt;="&amp;A100,'Исходник — лиды'!$H$2:$H$1567,"&lt;"&amp;B100+1)</f>
        <v>20</v>
      </c>
      <c r="E100">
        <f>COUNTIFS('Исходник — лиды'!$H$2:$H$1567,"&gt;="&amp;A100,'Исходник — лиды'!$H$2:$H$1567,"&lt;"&amp;B100+1,'Исходник — лиды'!$C$2:$C$1567,"Качественный лид")</f>
        <v>20</v>
      </c>
      <c r="F100">
        <v>52</v>
      </c>
      <c r="G100" s="5">
        <f t="shared" si="1"/>
        <v>1</v>
      </c>
    </row>
    <row r="101" spans="1:7" x14ac:dyDescent="0.25">
      <c r="A101" s="3">
        <v>45229</v>
      </c>
      <c r="B101" s="3">
        <v>45235</v>
      </c>
      <c r="C101" t="s">
        <v>2029</v>
      </c>
      <c r="D101">
        <f>COUNTIFS('Исходник — лиды'!$H$2:$H$1567,"&gt;="&amp;A101,'Исходник — лиды'!$H$2:$H$1567,"&lt;"&amp;B101+1)</f>
        <v>8</v>
      </c>
      <c r="E101">
        <f>COUNTIFS('Исходник — лиды'!$H$2:$H$1567,"&gt;="&amp;A101,'Исходник — лиды'!$H$2:$H$1567,"&lt;"&amp;B101+1,'Исходник — лиды'!$C$2:$C$1567,"Качественный лид")</f>
        <v>7</v>
      </c>
      <c r="F101">
        <v>48</v>
      </c>
      <c r="G101" s="5">
        <f t="shared" si="1"/>
        <v>0.875</v>
      </c>
    </row>
    <row r="102" spans="1:7" x14ac:dyDescent="0.25">
      <c r="A102" s="3">
        <v>45236</v>
      </c>
      <c r="B102" s="3">
        <v>45242</v>
      </c>
      <c r="C102" t="s">
        <v>2030</v>
      </c>
      <c r="D102">
        <f>COUNTIFS('Исходник — лиды'!$H$2:$H$1567,"&gt;="&amp;A102,'Исходник — лиды'!$H$2:$H$1567,"&lt;"&amp;B102+1)</f>
        <v>7</v>
      </c>
      <c r="E102">
        <f>COUNTIFS('Исходник — лиды'!$H$2:$H$1567,"&gt;="&amp;A102,'Исходник — лиды'!$H$2:$H$1567,"&lt;"&amp;B102+1,'Исходник — лиды'!$C$2:$C$1567,"Качественный лид")</f>
        <v>7</v>
      </c>
      <c r="F102">
        <v>28</v>
      </c>
      <c r="G102" s="5">
        <f t="shared" si="1"/>
        <v>1</v>
      </c>
    </row>
    <row r="103" spans="1:7" x14ac:dyDescent="0.25">
      <c r="A103" s="3">
        <v>45243</v>
      </c>
      <c r="B103" s="3">
        <v>45249</v>
      </c>
      <c r="C103" t="s">
        <v>2031</v>
      </c>
      <c r="D103">
        <f>COUNTIFS('Исходник — лиды'!$H$2:$H$1567,"&gt;="&amp;A103,'Исходник — лиды'!$H$2:$H$1567,"&lt;"&amp;B103+1)</f>
        <v>12</v>
      </c>
      <c r="E103">
        <f>COUNTIFS('Исходник — лиды'!$H$2:$H$1567,"&gt;="&amp;A103,'Исходник — лиды'!$H$2:$H$1567,"&lt;"&amp;B103+1,'Исходник — лиды'!$C$2:$C$1567,"Качественный лид")</f>
        <v>11</v>
      </c>
      <c r="F103">
        <v>42</v>
      </c>
      <c r="G103" s="5">
        <f t="shared" si="1"/>
        <v>0.91666666666666663</v>
      </c>
    </row>
    <row r="104" spans="1:7" x14ac:dyDescent="0.25">
      <c r="A104" s="3">
        <v>45250</v>
      </c>
      <c r="B104" s="3">
        <v>45256</v>
      </c>
      <c r="C104" t="s">
        <v>2032</v>
      </c>
      <c r="D104">
        <f>COUNTIFS('Исходник — лиды'!$H$2:$H$1567,"&gt;="&amp;A104,'Исходник — лиды'!$H$2:$H$1567,"&lt;"&amp;B104+1)</f>
        <v>10</v>
      </c>
      <c r="E104">
        <f>COUNTIFS('Исходник — лиды'!$H$2:$H$1567,"&gt;="&amp;A104,'Исходник — лиды'!$H$2:$H$1567,"&lt;"&amp;B104+1,'Исходник — лиды'!$C$2:$C$1567,"Качественный лид")</f>
        <v>10</v>
      </c>
      <c r="F104">
        <v>49</v>
      </c>
      <c r="G104" s="5">
        <f t="shared" si="1"/>
        <v>1</v>
      </c>
    </row>
    <row r="105" spans="1:7" x14ac:dyDescent="0.25">
      <c r="A105" s="3">
        <v>45257</v>
      </c>
      <c r="B105" s="3">
        <v>45263</v>
      </c>
      <c r="C105" t="s">
        <v>2033</v>
      </c>
      <c r="D105">
        <f>COUNTIFS('Исходник — лиды'!$H$2:$H$1567,"&gt;="&amp;A105,'Исходник — лиды'!$H$2:$H$1567,"&lt;"&amp;B105+1)</f>
        <v>3</v>
      </c>
      <c r="E105">
        <f>COUNTIFS('Исходник — лиды'!$H$2:$H$1567,"&gt;="&amp;A105,'Исходник — лиды'!$H$2:$H$1567,"&lt;"&amp;B105+1,'Исходник — лиды'!$C$2:$C$1567,"Качественный лид")</f>
        <v>3</v>
      </c>
      <c r="F105">
        <v>35</v>
      </c>
      <c r="G105" s="5">
        <f t="shared" si="1"/>
        <v>1</v>
      </c>
    </row>
    <row r="106" spans="1:7" x14ac:dyDescent="0.25">
      <c r="A106" s="3">
        <v>45264</v>
      </c>
      <c r="B106" s="3">
        <v>45270</v>
      </c>
      <c r="C106" t="s">
        <v>2034</v>
      </c>
      <c r="D106">
        <f>COUNTIFS('Исходник — лиды'!$H$2:$H$1567,"&gt;="&amp;A106,'Исходник — лиды'!$H$2:$H$1567,"&lt;"&amp;B106+1)</f>
        <v>8</v>
      </c>
      <c r="E106">
        <f>COUNTIFS('Исходник — лиды'!$H$2:$H$1567,"&gt;="&amp;A106,'Исходник — лиды'!$H$2:$H$1567,"&lt;"&amp;B106+1,'Исходник — лиды'!$C$2:$C$1567,"Качественный лид")</f>
        <v>8</v>
      </c>
      <c r="F106">
        <v>39</v>
      </c>
      <c r="G106" s="5">
        <f t="shared" si="1"/>
        <v>1</v>
      </c>
    </row>
    <row r="107" spans="1:7" x14ac:dyDescent="0.25">
      <c r="A107" s="3">
        <v>45271</v>
      </c>
      <c r="B107" s="3">
        <v>45277</v>
      </c>
      <c r="C107" t="s">
        <v>2035</v>
      </c>
      <c r="D107">
        <f>COUNTIFS('Исходник — лиды'!$H$2:$H$1567,"&gt;="&amp;A107,'Исходник — лиды'!$H$2:$H$1567,"&lt;"&amp;B107+1)</f>
        <v>4</v>
      </c>
      <c r="E107">
        <f>COUNTIFS('Исходник — лиды'!$H$2:$H$1567,"&gt;="&amp;A107,'Исходник — лиды'!$H$2:$H$1567,"&lt;"&amp;B107+1,'Исходник — лиды'!$C$2:$C$1567,"Качественный лид")</f>
        <v>3</v>
      </c>
      <c r="F107">
        <v>30</v>
      </c>
      <c r="G107" s="5">
        <f t="shared" si="1"/>
        <v>0.75</v>
      </c>
    </row>
    <row r="108" spans="1:7" x14ac:dyDescent="0.25">
      <c r="A108" s="3">
        <v>45278</v>
      </c>
      <c r="B108" s="3">
        <v>45284</v>
      </c>
      <c r="C108" t="s">
        <v>2036</v>
      </c>
      <c r="D108">
        <f>COUNTIFS('Исходник — лиды'!$H$2:$H$1567,"&gt;="&amp;A108,'Исходник — лиды'!$H$2:$H$1567,"&lt;"&amp;B108+1)</f>
        <v>4</v>
      </c>
      <c r="E108">
        <f>COUNTIFS('Исходник — лиды'!$H$2:$H$1567,"&gt;="&amp;A108,'Исходник — лиды'!$H$2:$H$1567,"&lt;"&amp;B108+1,'Исходник — лиды'!$C$2:$C$1567,"Качественный лид")</f>
        <v>4</v>
      </c>
      <c r="F108">
        <v>28</v>
      </c>
      <c r="G108" s="5">
        <f t="shared" si="1"/>
        <v>1</v>
      </c>
    </row>
    <row r="109" spans="1:7" x14ac:dyDescent="0.25">
      <c r="A109" s="3">
        <v>45285</v>
      </c>
      <c r="B109" s="3">
        <v>45291</v>
      </c>
      <c r="C109" t="s">
        <v>2037</v>
      </c>
      <c r="D109">
        <f>COUNTIFS('Исходник — лиды'!$H$2:$H$1567,"&gt;="&amp;A109,'Исходник — лиды'!$H$2:$H$1567,"&lt;"&amp;B109+1)</f>
        <v>5</v>
      </c>
      <c r="E109">
        <f>COUNTIFS('Исходник — лиды'!$H$2:$H$1567,"&gt;="&amp;A109,'Исходник — лиды'!$H$2:$H$1567,"&lt;"&amp;B109+1,'Исходник — лиды'!$C$2:$C$1567,"Качественный лид")</f>
        <v>5</v>
      </c>
      <c r="F109">
        <v>15</v>
      </c>
      <c r="G109" s="5">
        <f t="shared" si="1"/>
        <v>1</v>
      </c>
    </row>
    <row r="110" spans="1:7" x14ac:dyDescent="0.25">
      <c r="A110" s="3">
        <v>45292</v>
      </c>
      <c r="B110" s="3">
        <v>45298</v>
      </c>
      <c r="C110" t="s">
        <v>2038</v>
      </c>
      <c r="D110">
        <f>COUNTIFS('Исходник — лиды'!$H$2:$H$1567,"&gt;="&amp;A110,'Исходник — лиды'!$H$2:$H$1567,"&lt;"&amp;B110+1)</f>
        <v>4</v>
      </c>
      <c r="E110">
        <f>COUNTIFS('Исходник — лиды'!$H$2:$H$1567,"&gt;="&amp;A110,'Исходник — лиды'!$H$2:$H$1567,"&lt;"&amp;B110+1,'Исходник — лиды'!$C$2:$C$1567,"Качественный лид")</f>
        <v>4</v>
      </c>
      <c r="F110">
        <v>20</v>
      </c>
      <c r="G110" s="5">
        <f t="shared" si="1"/>
        <v>1</v>
      </c>
    </row>
    <row r="111" spans="1:7" x14ac:dyDescent="0.25">
      <c r="A111" s="3">
        <v>45299</v>
      </c>
      <c r="B111" s="3">
        <v>45305</v>
      </c>
      <c r="C111" t="s">
        <v>2039</v>
      </c>
      <c r="D111">
        <f>COUNTIFS('Исходник — лиды'!$H$2:$H$1567,"&gt;="&amp;A111,'Исходник — лиды'!$H$2:$H$1567,"&lt;"&amp;B111+1)</f>
        <v>2</v>
      </c>
      <c r="E111">
        <f>COUNTIFS('Исходник — лиды'!$H$2:$H$1567,"&gt;="&amp;A111,'Исходник — лиды'!$H$2:$H$1567,"&lt;"&amp;B111+1,'Исходник — лиды'!$C$2:$C$1567,"Качественный лид")</f>
        <v>2</v>
      </c>
      <c r="F111">
        <v>20</v>
      </c>
      <c r="G111" s="5">
        <f t="shared" si="1"/>
        <v>1</v>
      </c>
    </row>
    <row r="112" spans="1:7" x14ac:dyDescent="0.25">
      <c r="A112" s="3">
        <v>45306</v>
      </c>
      <c r="B112" s="3">
        <v>45312</v>
      </c>
      <c r="C112" t="s">
        <v>2040</v>
      </c>
      <c r="D112">
        <f>COUNTIFS('Исходник — лиды'!$H$2:$H$1567,"&gt;="&amp;A112,'Исходник — лиды'!$H$2:$H$1567,"&lt;"&amp;B112+1)</f>
        <v>9</v>
      </c>
      <c r="E112">
        <f>COUNTIFS('Исходник — лиды'!$H$2:$H$1567,"&gt;="&amp;A112,'Исходник — лиды'!$H$2:$H$1567,"&lt;"&amp;B112+1,'Исходник — лиды'!$C$2:$C$1567,"Качественный лид")</f>
        <v>9</v>
      </c>
      <c r="F112">
        <v>35</v>
      </c>
      <c r="G112" s="5">
        <f t="shared" si="1"/>
        <v>1</v>
      </c>
    </row>
    <row r="113" spans="1:7" x14ac:dyDescent="0.25">
      <c r="A113" s="3">
        <v>45313</v>
      </c>
      <c r="B113" s="3">
        <v>45319</v>
      </c>
      <c r="C113" t="s">
        <v>2041</v>
      </c>
      <c r="D113">
        <f>COUNTIFS('Исходник — лиды'!$H$2:$H$1567,"&gt;="&amp;A113,'Исходник — лиды'!$H$2:$H$1567,"&lt;"&amp;B113+1)</f>
        <v>8</v>
      </c>
      <c r="E113">
        <f>COUNTIFS('Исходник — лиды'!$H$2:$H$1567,"&gt;="&amp;A113,'Исходник — лиды'!$H$2:$H$1567,"&lt;"&amp;B113+1,'Исходник — лиды'!$C$2:$C$1567,"Качественный лид")</f>
        <v>7</v>
      </c>
      <c r="F113">
        <v>27</v>
      </c>
      <c r="G113" s="5">
        <f t="shared" si="1"/>
        <v>0.875</v>
      </c>
    </row>
    <row r="114" spans="1:7" x14ac:dyDescent="0.25">
      <c r="A114" s="3">
        <v>45320</v>
      </c>
      <c r="B114" s="3">
        <v>45326</v>
      </c>
      <c r="C114" t="s">
        <v>2042</v>
      </c>
      <c r="D114">
        <f>COUNTIFS('Исходник — лиды'!$H$2:$H$1567,"&gt;="&amp;A114,'Исходник — лиды'!$H$2:$H$1567,"&lt;"&amp;B114+1)</f>
        <v>3</v>
      </c>
      <c r="E114">
        <f>COUNTIFS('Исходник — лиды'!$H$2:$H$1567,"&gt;="&amp;A114,'Исходник — лиды'!$H$2:$H$1567,"&lt;"&amp;B114+1,'Исходник — лиды'!$C$2:$C$1567,"Качественный лид")</f>
        <v>3</v>
      </c>
      <c r="F114">
        <v>31</v>
      </c>
      <c r="G114" s="5">
        <f t="shared" si="1"/>
        <v>1</v>
      </c>
    </row>
    <row r="115" spans="1:7" x14ac:dyDescent="0.25">
      <c r="A115" s="3">
        <v>45327</v>
      </c>
      <c r="B115" s="3">
        <v>45333</v>
      </c>
      <c r="C115" t="s">
        <v>2043</v>
      </c>
      <c r="D115">
        <f>COUNTIFS('Исходник — лиды'!$H$2:$H$1567,"&gt;="&amp;A115,'Исходник — лиды'!$H$2:$H$1567,"&lt;"&amp;B115+1)</f>
        <v>3</v>
      </c>
      <c r="E115">
        <f>COUNTIFS('Исходник — лиды'!$H$2:$H$1567,"&gt;="&amp;A115,'Исходник — лиды'!$H$2:$H$1567,"&lt;"&amp;B115+1,'Исходник — лиды'!$C$2:$C$1567,"Качественный лид")</f>
        <v>3</v>
      </c>
      <c r="F115">
        <v>56</v>
      </c>
      <c r="G115" s="5">
        <f t="shared" si="1"/>
        <v>1</v>
      </c>
    </row>
    <row r="116" spans="1:7" x14ac:dyDescent="0.25">
      <c r="A116" s="3">
        <v>45334</v>
      </c>
      <c r="B116" s="3">
        <v>45340</v>
      </c>
      <c r="C116" t="s">
        <v>2044</v>
      </c>
      <c r="D116">
        <f>COUNTIFS('Исходник — лиды'!$H$2:$H$1567,"&gt;="&amp;A116,'Исходник — лиды'!$H$2:$H$1567,"&lt;"&amp;B116+1)</f>
        <v>7</v>
      </c>
      <c r="E116">
        <f>COUNTIFS('Исходник — лиды'!$H$2:$H$1567,"&gt;="&amp;A116,'Исходник — лиды'!$H$2:$H$1567,"&lt;"&amp;B116+1,'Исходник — лиды'!$C$2:$C$1567,"Качественный лид")</f>
        <v>6</v>
      </c>
      <c r="F116">
        <v>33</v>
      </c>
      <c r="G116" s="5">
        <f t="shared" si="1"/>
        <v>0.8571428571428571</v>
      </c>
    </row>
    <row r="117" spans="1:7" x14ac:dyDescent="0.25">
      <c r="A117" s="3">
        <v>45341</v>
      </c>
      <c r="B117" s="3">
        <v>45347</v>
      </c>
      <c r="C117" t="s">
        <v>2045</v>
      </c>
      <c r="D117">
        <f>COUNTIFS('Исходник — лиды'!$H$2:$H$1567,"&gt;="&amp;A117,'Исходник — лиды'!$H$2:$H$1567,"&lt;"&amp;B117+1)</f>
        <v>12</v>
      </c>
      <c r="E117">
        <f>COUNTIFS('Исходник — лиды'!$H$2:$H$1567,"&gt;="&amp;A117,'Исходник — лиды'!$H$2:$H$1567,"&lt;"&amp;B117+1,'Исходник — лиды'!$C$2:$C$1567,"Качественный лид")</f>
        <v>12</v>
      </c>
      <c r="F117">
        <v>47</v>
      </c>
      <c r="G117" s="5">
        <f t="shared" si="1"/>
        <v>1</v>
      </c>
    </row>
    <row r="118" spans="1:7" x14ac:dyDescent="0.25">
      <c r="A118" s="3">
        <v>45348</v>
      </c>
      <c r="B118" s="3">
        <v>45354</v>
      </c>
      <c r="C118" t="s">
        <v>2046</v>
      </c>
      <c r="D118">
        <f>COUNTIFS('Исходник — лиды'!$H$2:$H$1567,"&gt;="&amp;A118,'Исходник — лиды'!$H$2:$H$1567,"&lt;"&amp;B118+1)</f>
        <v>7</v>
      </c>
      <c r="E118">
        <f>COUNTIFS('Исходник — лиды'!$H$2:$H$1567,"&gt;="&amp;A118,'Исходник — лиды'!$H$2:$H$1567,"&lt;"&amp;B118+1,'Исходник — лиды'!$C$2:$C$1567,"Качественный лид")</f>
        <v>7</v>
      </c>
      <c r="F118">
        <v>64</v>
      </c>
      <c r="G118" s="5">
        <f t="shared" si="1"/>
        <v>1</v>
      </c>
    </row>
    <row r="119" spans="1:7" x14ac:dyDescent="0.25">
      <c r="A119" s="3">
        <v>45355</v>
      </c>
      <c r="B119" s="3">
        <v>45361</v>
      </c>
      <c r="C119" t="s">
        <v>2047</v>
      </c>
      <c r="D119">
        <f>COUNTIFS('Исходник — лиды'!$H$2:$H$1567,"&gt;="&amp;A119,'Исходник — лиды'!$H$2:$H$1567,"&lt;"&amp;B119+1)</f>
        <v>9</v>
      </c>
      <c r="E119">
        <f>COUNTIFS('Исходник — лиды'!$H$2:$H$1567,"&gt;="&amp;A119,'Исходник — лиды'!$H$2:$H$1567,"&lt;"&amp;B119+1,'Исходник — лиды'!$C$2:$C$1567,"Качественный лид")</f>
        <v>9</v>
      </c>
      <c r="F119">
        <v>52</v>
      </c>
      <c r="G119" s="5">
        <f t="shared" si="1"/>
        <v>1</v>
      </c>
    </row>
    <row r="120" spans="1:7" x14ac:dyDescent="0.25">
      <c r="A120" s="3">
        <v>45362</v>
      </c>
      <c r="B120" s="3">
        <v>45368</v>
      </c>
      <c r="C120" t="s">
        <v>2048</v>
      </c>
      <c r="D120">
        <f>COUNTIFS('Исходник — лиды'!$H$2:$H$1567,"&gt;="&amp;A120,'Исходник — лиды'!$H$2:$H$1567,"&lt;"&amp;B120+1)</f>
        <v>13</v>
      </c>
      <c r="E120">
        <f>COUNTIFS('Исходник — лиды'!$H$2:$H$1567,"&gt;="&amp;A120,'Исходник — лиды'!$H$2:$H$1567,"&lt;"&amp;B120+1,'Исходник — лиды'!$C$2:$C$1567,"Качественный лид")</f>
        <v>13</v>
      </c>
      <c r="F120">
        <v>37</v>
      </c>
      <c r="G120" s="5">
        <f t="shared" si="1"/>
        <v>1</v>
      </c>
    </row>
    <row r="121" spans="1:7" x14ac:dyDescent="0.25">
      <c r="A121" s="3">
        <v>45369</v>
      </c>
      <c r="B121" s="3">
        <v>45375</v>
      </c>
      <c r="C121" t="s">
        <v>2049</v>
      </c>
      <c r="D121">
        <f>COUNTIFS('Исходник — лиды'!$H$2:$H$1567,"&gt;="&amp;A121,'Исходник — лиды'!$H$2:$H$1567,"&lt;"&amp;B121+1)</f>
        <v>7</v>
      </c>
      <c r="E121">
        <f>COUNTIFS('Исходник — лиды'!$H$2:$H$1567,"&gt;="&amp;A121,'Исходник — лиды'!$H$2:$H$1567,"&lt;"&amp;B121+1,'Исходник — лиды'!$C$2:$C$1567,"Качественный лид")</f>
        <v>7</v>
      </c>
      <c r="F121">
        <v>41</v>
      </c>
      <c r="G121" s="5">
        <f t="shared" si="1"/>
        <v>1</v>
      </c>
    </row>
    <row r="122" spans="1:7" x14ac:dyDescent="0.25">
      <c r="A122" s="3">
        <v>45376</v>
      </c>
      <c r="B122" s="3">
        <v>45382</v>
      </c>
      <c r="C122" t="s">
        <v>2050</v>
      </c>
      <c r="D122">
        <f>COUNTIFS('Исходник — лиды'!$H$2:$H$1567,"&gt;="&amp;A122,'Исходник — лиды'!$H$2:$H$1567,"&lt;"&amp;B122+1)</f>
        <v>8</v>
      </c>
      <c r="E122">
        <f>COUNTIFS('Исходник — лиды'!$H$2:$H$1567,"&gt;="&amp;A122,'Исходник — лиды'!$H$2:$H$1567,"&lt;"&amp;B122+1,'Исходник — лиды'!$C$2:$C$1567,"Качественный лид")</f>
        <v>8</v>
      </c>
      <c r="F122">
        <v>80</v>
      </c>
      <c r="G122" s="5">
        <f t="shared" si="1"/>
        <v>1</v>
      </c>
    </row>
    <row r="123" spans="1:7" x14ac:dyDescent="0.25">
      <c r="A123" s="3">
        <v>45383</v>
      </c>
      <c r="B123" s="3">
        <v>45389</v>
      </c>
      <c r="C123" t="s">
        <v>2051</v>
      </c>
      <c r="D123">
        <f>COUNTIFS('Исходник — лиды'!$H$2:$H$1567,"&gt;="&amp;A123,'Исходник — лиды'!$H$2:$H$1567,"&lt;"&amp;B123+1)</f>
        <v>6</v>
      </c>
      <c r="E123">
        <f>COUNTIFS('Исходник — лиды'!$H$2:$H$1567,"&gt;="&amp;A123,'Исходник — лиды'!$H$2:$H$1567,"&lt;"&amp;B123+1,'Исходник — лиды'!$C$2:$C$1567,"Качественный лид")</f>
        <v>6</v>
      </c>
      <c r="F123">
        <v>70</v>
      </c>
      <c r="G123" s="5">
        <f t="shared" si="1"/>
        <v>1</v>
      </c>
    </row>
    <row r="124" spans="1:7" x14ac:dyDescent="0.25">
      <c r="A124" s="3">
        <v>45390</v>
      </c>
      <c r="B124" s="3">
        <v>45396</v>
      </c>
      <c r="C124" t="s">
        <v>2052</v>
      </c>
      <c r="D124">
        <f>COUNTIFS('Исходник — лиды'!$H$2:$H$1567,"&gt;="&amp;A124,'Исходник — лиды'!$H$2:$H$1567,"&lt;"&amp;B124+1)</f>
        <v>11</v>
      </c>
      <c r="E124">
        <f>COUNTIFS('Исходник — лиды'!$H$2:$H$1567,"&gt;="&amp;A124,'Исходник — лиды'!$H$2:$H$1567,"&lt;"&amp;B124+1,'Исходник — лиды'!$C$2:$C$1567,"Качественный лид")</f>
        <v>11</v>
      </c>
      <c r="F124">
        <v>55</v>
      </c>
      <c r="G124" s="5">
        <f t="shared" si="1"/>
        <v>1</v>
      </c>
    </row>
    <row r="125" spans="1:7" x14ac:dyDescent="0.25">
      <c r="A125" s="3">
        <v>45397</v>
      </c>
      <c r="B125" s="3">
        <v>45403</v>
      </c>
      <c r="C125" t="s">
        <v>2053</v>
      </c>
      <c r="D125">
        <f>COUNTIFS('Исходник — лиды'!$H$2:$H$1567,"&gt;="&amp;A125,'Исходник — лиды'!$H$2:$H$1567,"&lt;"&amp;B125+1)</f>
        <v>12</v>
      </c>
      <c r="E125">
        <f>COUNTIFS('Исходник — лиды'!$H$2:$H$1567,"&gt;="&amp;A125,'Исходник — лиды'!$H$2:$H$1567,"&lt;"&amp;B125+1,'Исходник — лиды'!$C$2:$C$1567,"Качественный лид")</f>
        <v>12</v>
      </c>
      <c r="F125">
        <v>78</v>
      </c>
      <c r="G125" s="5">
        <f t="shared" si="1"/>
        <v>1</v>
      </c>
    </row>
    <row r="126" spans="1:7" x14ac:dyDescent="0.25">
      <c r="A126" s="3">
        <v>45404</v>
      </c>
      <c r="B126" s="3">
        <v>45410</v>
      </c>
      <c r="C126" t="s">
        <v>2054</v>
      </c>
      <c r="D126">
        <f>COUNTIFS('Исходник — лиды'!$H$2:$H$1567,"&gt;="&amp;A126,'Исходник — лиды'!$H$2:$H$1567,"&lt;"&amp;B126+1)</f>
        <v>15</v>
      </c>
      <c r="E126">
        <f>COUNTIFS('Исходник — лиды'!$H$2:$H$1567,"&gt;="&amp;A126,'Исходник — лиды'!$H$2:$H$1567,"&lt;"&amp;B126+1,'Исходник — лиды'!$C$2:$C$1567,"Качественный лид")</f>
        <v>14</v>
      </c>
      <c r="F126">
        <v>83</v>
      </c>
      <c r="G126" s="5">
        <f t="shared" si="1"/>
        <v>0.93333333333333335</v>
      </c>
    </row>
    <row r="127" spans="1:7" x14ac:dyDescent="0.25">
      <c r="A127" s="3">
        <v>45411</v>
      </c>
      <c r="B127" s="3">
        <v>45417</v>
      </c>
      <c r="C127" t="s">
        <v>2055</v>
      </c>
      <c r="D127">
        <f>COUNTIFS('Исходник — лиды'!$H$2:$H$1567,"&gt;="&amp;A127,'Исходник — лиды'!$H$2:$H$1567,"&lt;"&amp;B127+1)</f>
        <v>17</v>
      </c>
      <c r="E127">
        <f>COUNTIFS('Исходник — лиды'!$H$2:$H$1567,"&gt;="&amp;A127,'Исходник — лиды'!$H$2:$H$1567,"&lt;"&amp;B127+1,'Исходник — лиды'!$C$2:$C$1567,"Качественный лид")</f>
        <v>17</v>
      </c>
      <c r="F127">
        <v>73</v>
      </c>
      <c r="G127" s="5">
        <f t="shared" si="1"/>
        <v>1</v>
      </c>
    </row>
    <row r="128" spans="1:7" x14ac:dyDescent="0.25">
      <c r="A128" s="3">
        <v>45418</v>
      </c>
      <c r="B128" s="3">
        <v>45424</v>
      </c>
      <c r="C128" t="s">
        <v>2056</v>
      </c>
      <c r="D128">
        <f>COUNTIFS('Исходник — лиды'!$H$2:$H$1567,"&gt;="&amp;A128,'Исходник — лиды'!$H$2:$H$1567,"&lt;"&amp;B128+1)</f>
        <v>14</v>
      </c>
      <c r="E128">
        <f>COUNTIFS('Исходник — лиды'!$H$2:$H$1567,"&gt;="&amp;A128,'Исходник — лиды'!$H$2:$H$1567,"&lt;"&amp;B128+1,'Исходник — лиды'!$C$2:$C$1567,"Качественный лид")</f>
        <v>14</v>
      </c>
      <c r="F128">
        <v>39</v>
      </c>
      <c r="G128" s="5">
        <f t="shared" si="1"/>
        <v>1</v>
      </c>
    </row>
    <row r="129" spans="1:7" x14ac:dyDescent="0.25">
      <c r="A129" s="3">
        <v>45425</v>
      </c>
      <c r="B129" s="3">
        <v>45431</v>
      </c>
      <c r="C129" t="s">
        <v>2057</v>
      </c>
      <c r="D129">
        <f>COUNTIFS('Исходник — лиды'!$H$2:$H$1567,"&gt;="&amp;A129,'Исходник — лиды'!$H$2:$H$1567,"&lt;"&amp;B129+1)</f>
        <v>13</v>
      </c>
      <c r="E129">
        <f>COUNTIFS('Исходник — лиды'!$H$2:$H$1567,"&gt;="&amp;A129,'Исходник — лиды'!$H$2:$H$1567,"&lt;"&amp;B129+1,'Исходник — лиды'!$C$2:$C$1567,"Качественный лид")</f>
        <v>12</v>
      </c>
      <c r="F129">
        <v>50</v>
      </c>
      <c r="G129" s="5">
        <f t="shared" si="1"/>
        <v>0.92307692307692313</v>
      </c>
    </row>
    <row r="130" spans="1:7" x14ac:dyDescent="0.25">
      <c r="A130" s="3">
        <v>45432</v>
      </c>
      <c r="B130" s="3">
        <v>45438</v>
      </c>
      <c r="C130" t="s">
        <v>2058</v>
      </c>
      <c r="D130">
        <f>COUNTIFS('Исходник — лиды'!$H$2:$H$1567,"&gt;="&amp;A130,'Исходник — лиды'!$H$2:$H$1567,"&lt;"&amp;B130+1)</f>
        <v>15</v>
      </c>
      <c r="E130">
        <f>COUNTIFS('Исходник — лиды'!$H$2:$H$1567,"&gt;="&amp;A130,'Исходник — лиды'!$H$2:$H$1567,"&lt;"&amp;B130+1,'Исходник — лиды'!$C$2:$C$1567,"Качественный лид")</f>
        <v>15</v>
      </c>
      <c r="F130">
        <v>63</v>
      </c>
      <c r="G130" s="5">
        <f t="shared" si="1"/>
        <v>1</v>
      </c>
    </row>
    <row r="131" spans="1:7" x14ac:dyDescent="0.25">
      <c r="A131" s="3">
        <v>45439</v>
      </c>
      <c r="B131" s="3">
        <v>45445</v>
      </c>
      <c r="C131" t="s">
        <v>2059</v>
      </c>
      <c r="D131">
        <f>COUNTIFS('Исходник — лиды'!$H$2:$H$1567,"&gt;="&amp;A131,'Исходник — лиды'!$H$2:$H$1567,"&lt;"&amp;B131+1)</f>
        <v>8</v>
      </c>
      <c r="E131">
        <f>COUNTIFS('Исходник — лиды'!$H$2:$H$1567,"&gt;="&amp;A131,'Исходник — лиды'!$H$2:$H$1567,"&lt;"&amp;B131+1,'Исходник — лиды'!$C$2:$C$1567,"Качественный лид")</f>
        <v>8</v>
      </c>
      <c r="F131">
        <v>50</v>
      </c>
      <c r="G131" s="5">
        <f t="shared" si="1"/>
        <v>1</v>
      </c>
    </row>
    <row r="132" spans="1:7" x14ac:dyDescent="0.25">
      <c r="A132" s="3">
        <v>45446</v>
      </c>
      <c r="B132" s="3">
        <v>45452</v>
      </c>
      <c r="C132" t="s">
        <v>2060</v>
      </c>
      <c r="D132">
        <f>COUNTIFS('Исходник — лиды'!$H$2:$H$1567,"&gt;="&amp;A132,'Исходник — лиды'!$H$2:$H$1567,"&lt;"&amp;B132+1)</f>
        <v>12</v>
      </c>
      <c r="E132">
        <f>COUNTIFS('Исходник — лиды'!$H$2:$H$1567,"&gt;="&amp;A132,'Исходник — лиды'!$H$2:$H$1567,"&lt;"&amp;B132+1,'Исходник — лиды'!$C$2:$C$1567,"Качественный лид")</f>
        <v>11</v>
      </c>
      <c r="F132">
        <v>63</v>
      </c>
      <c r="G132" s="5">
        <f t="shared" si="1"/>
        <v>0.91666666666666663</v>
      </c>
    </row>
    <row r="133" spans="1:7" x14ac:dyDescent="0.25">
      <c r="A133" s="3">
        <v>45453</v>
      </c>
      <c r="B133" s="3">
        <v>45459</v>
      </c>
      <c r="C133" t="s">
        <v>2061</v>
      </c>
      <c r="D133">
        <f>COUNTIFS('Исходник — лиды'!$H$2:$H$1567,"&gt;="&amp;A133,'Исходник — лиды'!$H$2:$H$1567,"&lt;"&amp;B133+1)</f>
        <v>9</v>
      </c>
      <c r="E133">
        <f>COUNTIFS('Исходник — лиды'!$H$2:$H$1567,"&gt;="&amp;A133,'Исходник — лиды'!$H$2:$H$1567,"&lt;"&amp;B133+1,'Исходник — лиды'!$C$2:$C$1567,"Качественный лид")</f>
        <v>9</v>
      </c>
      <c r="F133">
        <v>43</v>
      </c>
      <c r="G133" s="5">
        <f t="shared" ref="G133:G196" si="2">IFERROR(E133/D133,0)</f>
        <v>1</v>
      </c>
    </row>
    <row r="134" spans="1:7" x14ac:dyDescent="0.25">
      <c r="A134" s="3">
        <v>45460</v>
      </c>
      <c r="B134" s="3">
        <v>45466</v>
      </c>
      <c r="C134" t="s">
        <v>2062</v>
      </c>
      <c r="D134">
        <f>COUNTIFS('Исходник — лиды'!$H$2:$H$1567,"&gt;="&amp;A134,'Исходник — лиды'!$H$2:$H$1567,"&lt;"&amp;B134+1)</f>
        <v>10</v>
      </c>
      <c r="E134">
        <f>COUNTIFS('Исходник — лиды'!$H$2:$H$1567,"&gt;="&amp;A134,'Исходник — лиды'!$H$2:$H$1567,"&lt;"&amp;B134+1,'Исходник — лиды'!$C$2:$C$1567,"Качественный лид")</f>
        <v>10</v>
      </c>
      <c r="F134">
        <v>83</v>
      </c>
      <c r="G134" s="5">
        <f t="shared" si="2"/>
        <v>1</v>
      </c>
    </row>
    <row r="135" spans="1:7" x14ac:dyDescent="0.25">
      <c r="A135" s="3">
        <v>45467</v>
      </c>
      <c r="B135" s="3">
        <v>45473</v>
      </c>
      <c r="C135" t="s">
        <v>2063</v>
      </c>
      <c r="D135">
        <f>COUNTIFS('Исходник — лиды'!$H$2:$H$1567,"&gt;="&amp;A135,'Исходник — лиды'!$H$2:$H$1567,"&lt;"&amp;B135+1)</f>
        <v>13</v>
      </c>
      <c r="E135">
        <f>COUNTIFS('Исходник — лиды'!$H$2:$H$1567,"&gt;="&amp;A135,'Исходник — лиды'!$H$2:$H$1567,"&lt;"&amp;B135+1,'Исходник — лиды'!$C$2:$C$1567,"Качественный лид")</f>
        <v>13</v>
      </c>
      <c r="F135">
        <v>52</v>
      </c>
      <c r="G135" s="5">
        <f t="shared" si="2"/>
        <v>1</v>
      </c>
    </row>
    <row r="136" spans="1:7" x14ac:dyDescent="0.25">
      <c r="A136" s="3">
        <v>45474</v>
      </c>
      <c r="B136" s="3">
        <v>45480</v>
      </c>
      <c r="C136" t="s">
        <v>2064</v>
      </c>
      <c r="D136">
        <f>COUNTIFS('Исходник — лиды'!$H$2:$H$1567,"&gt;="&amp;A136,'Исходник — лиды'!$H$2:$H$1567,"&lt;"&amp;B136+1)</f>
        <v>8</v>
      </c>
      <c r="E136">
        <f>COUNTIFS('Исходник — лиды'!$H$2:$H$1567,"&gt;="&amp;A136,'Исходник — лиды'!$H$2:$H$1567,"&lt;"&amp;B136+1,'Исходник — лиды'!$C$2:$C$1567,"Качественный лид")</f>
        <v>8</v>
      </c>
      <c r="F136">
        <v>54</v>
      </c>
      <c r="G136" s="5">
        <f t="shared" si="2"/>
        <v>1</v>
      </c>
    </row>
    <row r="137" spans="1:7" x14ac:dyDescent="0.25">
      <c r="A137" s="3">
        <v>45481</v>
      </c>
      <c r="B137" s="3">
        <v>45487</v>
      </c>
      <c r="C137" t="s">
        <v>2065</v>
      </c>
      <c r="D137">
        <f>COUNTIFS('Исходник — лиды'!$H$2:$H$1567,"&gt;="&amp;A137,'Исходник — лиды'!$H$2:$H$1567,"&lt;"&amp;B137+1)</f>
        <v>23</v>
      </c>
      <c r="E137">
        <f>COUNTIFS('Исходник — лиды'!$H$2:$H$1567,"&gt;="&amp;A137,'Исходник — лиды'!$H$2:$H$1567,"&lt;"&amp;B137+1,'Исходник — лиды'!$C$2:$C$1567,"Качественный лид")</f>
        <v>23</v>
      </c>
      <c r="F137">
        <v>62</v>
      </c>
      <c r="G137" s="5">
        <f t="shared" si="2"/>
        <v>1</v>
      </c>
    </row>
    <row r="138" spans="1:7" x14ac:dyDescent="0.25">
      <c r="A138" s="3">
        <v>45488</v>
      </c>
      <c r="B138" s="3">
        <v>45494</v>
      </c>
      <c r="C138" t="s">
        <v>2066</v>
      </c>
      <c r="D138">
        <f>COUNTIFS('Исходник — лиды'!$H$2:$H$1567,"&gt;="&amp;A138,'Исходник — лиды'!$H$2:$H$1567,"&lt;"&amp;B138+1)</f>
        <v>12</v>
      </c>
      <c r="E138">
        <f>COUNTIFS('Исходник — лиды'!$H$2:$H$1567,"&gt;="&amp;A138,'Исходник — лиды'!$H$2:$H$1567,"&lt;"&amp;B138+1,'Исходник — лиды'!$C$2:$C$1567,"Качественный лид")</f>
        <v>12</v>
      </c>
      <c r="F138">
        <v>56</v>
      </c>
      <c r="G138" s="5">
        <f t="shared" si="2"/>
        <v>1</v>
      </c>
    </row>
    <row r="139" spans="1:7" x14ac:dyDescent="0.25">
      <c r="A139" s="3">
        <v>45495</v>
      </c>
      <c r="B139" s="3">
        <v>45501</v>
      </c>
      <c r="C139" t="s">
        <v>2067</v>
      </c>
      <c r="D139">
        <f>COUNTIFS('Исходник — лиды'!$H$2:$H$1567,"&gt;="&amp;A139,'Исходник — лиды'!$H$2:$H$1567,"&lt;"&amp;B139+1)</f>
        <v>10</v>
      </c>
      <c r="E139">
        <f>COUNTIFS('Исходник — лиды'!$H$2:$H$1567,"&gt;="&amp;A139,'Исходник — лиды'!$H$2:$H$1567,"&lt;"&amp;B139+1,'Исходник — лиды'!$C$2:$C$1567,"Качественный лид")</f>
        <v>10</v>
      </c>
      <c r="F139">
        <v>61</v>
      </c>
      <c r="G139" s="5">
        <f t="shared" si="2"/>
        <v>1</v>
      </c>
    </row>
    <row r="140" spans="1:7" x14ac:dyDescent="0.25">
      <c r="A140" s="3">
        <v>45502</v>
      </c>
      <c r="B140" s="3">
        <v>45508</v>
      </c>
      <c r="C140" t="s">
        <v>2068</v>
      </c>
      <c r="D140">
        <f>COUNTIFS('Исходник — лиды'!$H$2:$H$1567,"&gt;="&amp;A140,'Исходник — лиды'!$H$2:$H$1567,"&lt;"&amp;B140+1)</f>
        <v>18</v>
      </c>
      <c r="E140">
        <f>COUNTIFS('Исходник — лиды'!$H$2:$H$1567,"&gt;="&amp;A140,'Исходник — лиды'!$H$2:$H$1567,"&lt;"&amp;B140+1,'Исходник — лиды'!$C$2:$C$1567,"Качественный лид")</f>
        <v>18</v>
      </c>
      <c r="F140">
        <v>46</v>
      </c>
      <c r="G140" s="5">
        <f t="shared" si="2"/>
        <v>1</v>
      </c>
    </row>
    <row r="141" spans="1:7" x14ac:dyDescent="0.25">
      <c r="A141" s="3">
        <v>45509</v>
      </c>
      <c r="B141" s="3">
        <v>45515</v>
      </c>
      <c r="C141" t="s">
        <v>2069</v>
      </c>
      <c r="D141">
        <f>COUNTIFS('Исходник — лиды'!$H$2:$H$1567,"&gt;="&amp;A141,'Исходник — лиды'!$H$2:$H$1567,"&lt;"&amp;B141+1)</f>
        <v>12</v>
      </c>
      <c r="E141">
        <f>COUNTIFS('Исходник — лиды'!$H$2:$H$1567,"&gt;="&amp;A141,'Исходник — лиды'!$H$2:$H$1567,"&lt;"&amp;B141+1,'Исходник — лиды'!$C$2:$C$1567,"Качественный лид")</f>
        <v>12</v>
      </c>
      <c r="F141">
        <v>48</v>
      </c>
      <c r="G141" s="5">
        <f t="shared" si="2"/>
        <v>1</v>
      </c>
    </row>
    <row r="142" spans="1:7" x14ac:dyDescent="0.25">
      <c r="A142" s="3">
        <v>45516</v>
      </c>
      <c r="B142" s="3">
        <v>45522</v>
      </c>
      <c r="C142" t="s">
        <v>2070</v>
      </c>
      <c r="D142">
        <f>COUNTIFS('Исходник — лиды'!$H$2:$H$1567,"&gt;="&amp;A142,'Исходник — лиды'!$H$2:$H$1567,"&lt;"&amp;B142+1)</f>
        <v>8</v>
      </c>
      <c r="E142">
        <f>COUNTIFS('Исходник — лиды'!$H$2:$H$1567,"&gt;="&amp;A142,'Исходник — лиды'!$H$2:$H$1567,"&lt;"&amp;B142+1,'Исходник — лиды'!$C$2:$C$1567,"Качественный лид")</f>
        <v>8</v>
      </c>
      <c r="F142">
        <v>41</v>
      </c>
      <c r="G142" s="5">
        <f t="shared" si="2"/>
        <v>1</v>
      </c>
    </row>
    <row r="143" spans="1:7" x14ac:dyDescent="0.25">
      <c r="A143" s="3">
        <v>45523</v>
      </c>
      <c r="B143" s="3">
        <v>45529</v>
      </c>
      <c r="C143" t="s">
        <v>2071</v>
      </c>
      <c r="D143">
        <f>COUNTIFS('Исходник — лиды'!$H$2:$H$1567,"&gt;="&amp;A143,'Исходник — лиды'!$H$2:$H$1567,"&lt;"&amp;B143+1)</f>
        <v>8</v>
      </c>
      <c r="E143">
        <f>COUNTIFS('Исходник — лиды'!$H$2:$H$1567,"&gt;="&amp;A143,'Исходник — лиды'!$H$2:$H$1567,"&lt;"&amp;B143+1,'Исходник — лиды'!$C$2:$C$1567,"Качественный лид")</f>
        <v>7</v>
      </c>
      <c r="F143">
        <v>42</v>
      </c>
      <c r="G143" s="5">
        <f t="shared" si="2"/>
        <v>0.875</v>
      </c>
    </row>
    <row r="144" spans="1:7" x14ac:dyDescent="0.25">
      <c r="A144" s="3">
        <v>45530</v>
      </c>
      <c r="B144" s="3">
        <v>45536</v>
      </c>
      <c r="C144" t="s">
        <v>2072</v>
      </c>
      <c r="D144">
        <f>COUNTIFS('Исходник — лиды'!$H$2:$H$1567,"&gt;="&amp;A144,'Исходник — лиды'!$H$2:$H$1567,"&lt;"&amp;B144+1)</f>
        <v>14</v>
      </c>
      <c r="E144">
        <f>COUNTIFS('Исходник — лиды'!$H$2:$H$1567,"&gt;="&amp;A144,'Исходник — лиды'!$H$2:$H$1567,"&lt;"&amp;B144+1,'Исходник — лиды'!$C$2:$C$1567,"Качественный лид")</f>
        <v>14</v>
      </c>
      <c r="F144">
        <v>62</v>
      </c>
      <c r="G144" s="5">
        <f t="shared" si="2"/>
        <v>1</v>
      </c>
    </row>
    <row r="145" spans="1:7" x14ac:dyDescent="0.25">
      <c r="A145" s="3">
        <v>45537</v>
      </c>
      <c r="B145" s="3">
        <v>45543</v>
      </c>
      <c r="C145" t="s">
        <v>2073</v>
      </c>
      <c r="D145">
        <f>COUNTIFS('Исходник — лиды'!$H$2:$H$1567,"&gt;="&amp;A145,'Исходник — лиды'!$H$2:$H$1567,"&lt;"&amp;B145+1)</f>
        <v>13</v>
      </c>
      <c r="E145">
        <f>COUNTIFS('Исходник — лиды'!$H$2:$H$1567,"&gt;="&amp;A145,'Исходник — лиды'!$H$2:$H$1567,"&lt;"&amp;B145+1,'Исходник — лиды'!$C$2:$C$1567,"Качественный лид")</f>
        <v>13</v>
      </c>
      <c r="F145">
        <v>37</v>
      </c>
      <c r="G145" s="5">
        <f t="shared" si="2"/>
        <v>1</v>
      </c>
    </row>
    <row r="146" spans="1:7" x14ac:dyDescent="0.25">
      <c r="A146" s="3">
        <v>45544</v>
      </c>
      <c r="B146" s="3">
        <v>45550</v>
      </c>
      <c r="C146" t="s">
        <v>2074</v>
      </c>
      <c r="D146">
        <f>COUNTIFS('Исходник — лиды'!$H$2:$H$1567,"&gt;="&amp;A146,'Исходник — лиды'!$H$2:$H$1567,"&lt;"&amp;B146+1)</f>
        <v>13</v>
      </c>
      <c r="E146">
        <f>COUNTIFS('Исходник — лиды'!$H$2:$H$1567,"&gt;="&amp;A146,'Исходник — лиды'!$H$2:$H$1567,"&lt;"&amp;B146+1,'Исходник — лиды'!$C$2:$C$1567,"Качественный лид")</f>
        <v>13</v>
      </c>
      <c r="F146">
        <v>50</v>
      </c>
      <c r="G146" s="5">
        <f t="shared" si="2"/>
        <v>1</v>
      </c>
    </row>
    <row r="147" spans="1:7" x14ac:dyDescent="0.25">
      <c r="A147" s="3">
        <v>45551</v>
      </c>
      <c r="B147" s="3">
        <v>45557</v>
      </c>
      <c r="C147" t="s">
        <v>2075</v>
      </c>
      <c r="D147">
        <f>COUNTIFS('Исходник — лиды'!$H$2:$H$1567,"&gt;="&amp;A147,'Исходник — лиды'!$H$2:$H$1567,"&lt;"&amp;B147+1)</f>
        <v>10</v>
      </c>
      <c r="E147">
        <f>COUNTIFS('Исходник — лиды'!$H$2:$H$1567,"&gt;="&amp;A147,'Исходник — лиды'!$H$2:$H$1567,"&lt;"&amp;B147+1,'Исходник — лиды'!$C$2:$C$1567,"Качественный лид")</f>
        <v>10</v>
      </c>
      <c r="F147">
        <v>70</v>
      </c>
      <c r="G147" s="5">
        <f t="shared" si="2"/>
        <v>1</v>
      </c>
    </row>
    <row r="148" spans="1:7" x14ac:dyDescent="0.25">
      <c r="A148" s="3">
        <v>45558</v>
      </c>
      <c r="B148" s="3">
        <v>45564</v>
      </c>
      <c r="C148" t="s">
        <v>2076</v>
      </c>
      <c r="D148">
        <f>COUNTIFS('Исходник — лиды'!$H$2:$H$1567,"&gt;="&amp;A148,'Исходник — лиды'!$H$2:$H$1567,"&lt;"&amp;B148+1)</f>
        <v>19</v>
      </c>
      <c r="E148">
        <f>COUNTIFS('Исходник — лиды'!$H$2:$H$1567,"&gt;="&amp;A148,'Исходник — лиды'!$H$2:$H$1567,"&lt;"&amp;B148+1,'Исходник — лиды'!$C$2:$C$1567,"Качественный лид")</f>
        <v>19</v>
      </c>
      <c r="F148">
        <v>66</v>
      </c>
      <c r="G148" s="5">
        <f t="shared" si="2"/>
        <v>1</v>
      </c>
    </row>
    <row r="149" spans="1:7" x14ac:dyDescent="0.25">
      <c r="A149" s="3">
        <v>45565</v>
      </c>
      <c r="B149" s="3">
        <v>45571</v>
      </c>
      <c r="C149" t="s">
        <v>2077</v>
      </c>
      <c r="D149">
        <f>COUNTIFS('Исходник — лиды'!$H$2:$H$1567,"&gt;="&amp;A149,'Исходник — лиды'!$H$2:$H$1567,"&lt;"&amp;B149+1)</f>
        <v>4</v>
      </c>
      <c r="E149">
        <f>COUNTIFS('Исходник — лиды'!$H$2:$H$1567,"&gt;="&amp;A149,'Исходник — лиды'!$H$2:$H$1567,"&lt;"&amp;B149+1,'Исходник — лиды'!$C$2:$C$1567,"Качественный лид")</f>
        <v>4</v>
      </c>
      <c r="F149">
        <v>52</v>
      </c>
      <c r="G149" s="5">
        <f t="shared" si="2"/>
        <v>1</v>
      </c>
    </row>
    <row r="150" spans="1:7" x14ac:dyDescent="0.25">
      <c r="A150" s="3">
        <v>45572</v>
      </c>
      <c r="B150" s="3">
        <v>45578</v>
      </c>
      <c r="C150" t="s">
        <v>2078</v>
      </c>
      <c r="D150">
        <f>COUNTIFS('Исходник — лиды'!$H$2:$H$1567,"&gt;="&amp;A150,'Исходник — лиды'!$H$2:$H$1567,"&lt;"&amp;B150+1)</f>
        <v>9</v>
      </c>
      <c r="E150">
        <f>COUNTIFS('Исходник — лиды'!$H$2:$H$1567,"&gt;="&amp;A150,'Исходник — лиды'!$H$2:$H$1567,"&lt;"&amp;B150+1,'Исходник — лиды'!$C$2:$C$1567,"Качественный лид")</f>
        <v>9</v>
      </c>
      <c r="F150">
        <v>41</v>
      </c>
      <c r="G150" s="5">
        <f t="shared" si="2"/>
        <v>1</v>
      </c>
    </row>
    <row r="151" spans="1:7" x14ac:dyDescent="0.25">
      <c r="A151" s="3">
        <v>45579</v>
      </c>
      <c r="B151" s="3">
        <v>45585</v>
      </c>
      <c r="C151" t="s">
        <v>2079</v>
      </c>
      <c r="D151">
        <f>COUNTIFS('Исходник — лиды'!$H$2:$H$1567,"&gt;="&amp;A151,'Исходник — лиды'!$H$2:$H$1567,"&lt;"&amp;B151+1)</f>
        <v>4</v>
      </c>
      <c r="E151">
        <f>COUNTIFS('Исходник — лиды'!$H$2:$H$1567,"&gt;="&amp;A151,'Исходник — лиды'!$H$2:$H$1567,"&lt;"&amp;B151+1,'Исходник — лиды'!$C$2:$C$1567,"Качественный лид")</f>
        <v>4</v>
      </c>
      <c r="F151">
        <v>63</v>
      </c>
      <c r="G151" s="5">
        <f t="shared" si="2"/>
        <v>1</v>
      </c>
    </row>
    <row r="152" spans="1:7" x14ac:dyDescent="0.25">
      <c r="A152" s="3">
        <v>45586</v>
      </c>
      <c r="B152" s="3">
        <v>45592</v>
      </c>
      <c r="C152" t="s">
        <v>2080</v>
      </c>
      <c r="D152">
        <f>COUNTIFS('Исходник — лиды'!$H$2:$H$1567,"&gt;="&amp;A152,'Исходник — лиды'!$H$2:$H$1567,"&lt;"&amp;B152+1)</f>
        <v>6</v>
      </c>
      <c r="E152">
        <f>COUNTIFS('Исходник — лиды'!$H$2:$H$1567,"&gt;="&amp;A152,'Исходник — лиды'!$H$2:$H$1567,"&lt;"&amp;B152+1,'Исходник — лиды'!$C$2:$C$1567,"Качественный лид")</f>
        <v>6</v>
      </c>
      <c r="F152">
        <v>50</v>
      </c>
      <c r="G152" s="5">
        <f t="shared" si="2"/>
        <v>1</v>
      </c>
    </row>
    <row r="153" spans="1:7" x14ac:dyDescent="0.25">
      <c r="A153" s="3">
        <v>45593</v>
      </c>
      <c r="B153" s="3">
        <v>45599</v>
      </c>
      <c r="C153" t="s">
        <v>2081</v>
      </c>
      <c r="D153">
        <f>COUNTIFS('Исходник — лиды'!$H$2:$H$1567,"&gt;="&amp;A153,'Исходник — лиды'!$H$2:$H$1567,"&lt;"&amp;B153+1)</f>
        <v>9</v>
      </c>
      <c r="E153">
        <f>COUNTIFS('Исходник — лиды'!$H$2:$H$1567,"&gt;="&amp;A153,'Исходник — лиды'!$H$2:$H$1567,"&lt;"&amp;B153+1,'Исходник — лиды'!$C$2:$C$1567,"Качественный лид")</f>
        <v>9</v>
      </c>
      <c r="F153">
        <v>46</v>
      </c>
      <c r="G153" s="5">
        <f t="shared" si="2"/>
        <v>1</v>
      </c>
    </row>
    <row r="154" spans="1:7" x14ac:dyDescent="0.25">
      <c r="A154" s="3">
        <v>45600</v>
      </c>
      <c r="B154" s="3">
        <v>45606</v>
      </c>
      <c r="C154" t="s">
        <v>2082</v>
      </c>
      <c r="D154">
        <f>COUNTIFS('Исходник — лиды'!$H$2:$H$1567,"&gt;="&amp;A154,'Исходник — лиды'!$H$2:$H$1567,"&lt;"&amp;B154+1)</f>
        <v>7</v>
      </c>
      <c r="E154">
        <f>COUNTIFS('Исходник — лиды'!$H$2:$H$1567,"&gt;="&amp;A154,'Исходник — лиды'!$H$2:$H$1567,"&lt;"&amp;B154+1,'Исходник — лиды'!$C$2:$C$1567,"Качественный лид")</f>
        <v>7</v>
      </c>
      <c r="F154">
        <v>38</v>
      </c>
      <c r="G154" s="5">
        <f t="shared" si="2"/>
        <v>1</v>
      </c>
    </row>
    <row r="155" spans="1:7" x14ac:dyDescent="0.25">
      <c r="A155" s="3">
        <v>45607</v>
      </c>
      <c r="B155" s="3">
        <v>45613</v>
      </c>
      <c r="C155" t="s">
        <v>2083</v>
      </c>
      <c r="D155">
        <f>COUNTIFS('Исходник — лиды'!$H$2:$H$1567,"&gt;="&amp;A155,'Исходник — лиды'!$H$2:$H$1567,"&lt;"&amp;B155+1)</f>
        <v>9</v>
      </c>
      <c r="E155">
        <f>COUNTIFS('Исходник — лиды'!$H$2:$H$1567,"&gt;="&amp;A155,'Исходник — лиды'!$H$2:$H$1567,"&lt;"&amp;B155+1,'Исходник — лиды'!$C$2:$C$1567,"Качественный лид")</f>
        <v>8</v>
      </c>
      <c r="F155">
        <v>26</v>
      </c>
      <c r="G155" s="5">
        <f t="shared" si="2"/>
        <v>0.88888888888888884</v>
      </c>
    </row>
    <row r="156" spans="1:7" x14ac:dyDescent="0.25">
      <c r="A156" s="3">
        <v>45614</v>
      </c>
      <c r="B156" s="3">
        <v>45620</v>
      </c>
      <c r="C156" t="s">
        <v>2084</v>
      </c>
      <c r="D156">
        <f>COUNTIFS('Исходник — лиды'!$H$2:$H$1567,"&gt;="&amp;A156,'Исходник — лиды'!$H$2:$H$1567,"&lt;"&amp;B156+1)</f>
        <v>2</v>
      </c>
      <c r="E156">
        <f>COUNTIFS('Исходник — лиды'!$H$2:$H$1567,"&gt;="&amp;A156,'Исходник — лиды'!$H$2:$H$1567,"&lt;"&amp;B156+1,'Исходник — лиды'!$C$2:$C$1567,"Качественный лид")</f>
        <v>2</v>
      </c>
      <c r="F156">
        <v>39</v>
      </c>
      <c r="G156" s="5">
        <f t="shared" si="2"/>
        <v>1</v>
      </c>
    </row>
    <row r="157" spans="1:7" x14ac:dyDescent="0.25">
      <c r="A157" s="3">
        <v>45621</v>
      </c>
      <c r="B157" s="3">
        <v>45627</v>
      </c>
      <c r="C157" t="s">
        <v>2085</v>
      </c>
      <c r="D157">
        <f>COUNTIFS('Исходник — лиды'!$H$2:$H$1567,"&gt;="&amp;A157,'Исходник — лиды'!$H$2:$H$1567,"&lt;"&amp;B157+1)</f>
        <v>8</v>
      </c>
      <c r="E157">
        <f>COUNTIFS('Исходник — лиды'!$H$2:$H$1567,"&gt;="&amp;A157,'Исходник — лиды'!$H$2:$H$1567,"&lt;"&amp;B157+1,'Исходник — лиды'!$C$2:$C$1567,"Качественный лид")</f>
        <v>7</v>
      </c>
      <c r="F157">
        <v>43</v>
      </c>
      <c r="G157" s="5">
        <f t="shared" si="2"/>
        <v>0.875</v>
      </c>
    </row>
    <row r="158" spans="1:7" x14ac:dyDescent="0.25">
      <c r="A158" s="3">
        <v>45628</v>
      </c>
      <c r="B158" s="3">
        <v>45634</v>
      </c>
      <c r="C158" t="s">
        <v>2086</v>
      </c>
      <c r="D158">
        <f>COUNTIFS('Исходник — лиды'!$H$2:$H$1567,"&gt;="&amp;A158,'Исходник — лиды'!$H$2:$H$1567,"&lt;"&amp;B158+1)</f>
        <v>4</v>
      </c>
      <c r="E158">
        <f>COUNTIFS('Исходник — лиды'!$H$2:$H$1567,"&gt;="&amp;A158,'Исходник — лиды'!$H$2:$H$1567,"&lt;"&amp;B158+1,'Исходник — лиды'!$C$2:$C$1567,"Качественный лид")</f>
        <v>4</v>
      </c>
      <c r="F158">
        <v>47</v>
      </c>
      <c r="G158" s="5">
        <f t="shared" si="2"/>
        <v>1</v>
      </c>
    </row>
    <row r="159" spans="1:7" x14ac:dyDescent="0.25">
      <c r="A159" s="3">
        <v>45635</v>
      </c>
      <c r="B159" s="3">
        <v>45641</v>
      </c>
      <c r="C159" t="s">
        <v>2087</v>
      </c>
      <c r="D159">
        <f>COUNTIFS('Исходник — лиды'!$H$2:$H$1567,"&gt;="&amp;A159,'Исходник — лиды'!$H$2:$H$1567,"&lt;"&amp;B159+1)</f>
        <v>2</v>
      </c>
      <c r="E159">
        <f>COUNTIFS('Исходник — лиды'!$H$2:$H$1567,"&gt;="&amp;A159,'Исходник — лиды'!$H$2:$H$1567,"&lt;"&amp;B159+1,'Исходник — лиды'!$C$2:$C$1567,"Качественный лид")</f>
        <v>1</v>
      </c>
      <c r="F159">
        <v>39</v>
      </c>
      <c r="G159" s="5">
        <f t="shared" si="2"/>
        <v>0.5</v>
      </c>
    </row>
    <row r="160" spans="1:7" x14ac:dyDescent="0.25">
      <c r="A160" s="3">
        <v>45642</v>
      </c>
      <c r="B160" s="3">
        <v>45648</v>
      </c>
      <c r="C160" t="s">
        <v>2088</v>
      </c>
      <c r="D160">
        <f>COUNTIFS('Исходник — лиды'!$H$2:$H$1567,"&gt;="&amp;A160,'Исходник — лиды'!$H$2:$H$1567,"&lt;"&amp;B160+1)</f>
        <v>4</v>
      </c>
      <c r="E160">
        <f>COUNTIFS('Исходник — лиды'!$H$2:$H$1567,"&gt;="&amp;A160,'Исходник — лиды'!$H$2:$H$1567,"&lt;"&amp;B160+1,'Исходник — лиды'!$C$2:$C$1567,"Качественный лид")</f>
        <v>3</v>
      </c>
      <c r="F160">
        <v>28</v>
      </c>
      <c r="G160" s="5">
        <f t="shared" si="2"/>
        <v>0.75</v>
      </c>
    </row>
    <row r="161" spans="1:7" x14ac:dyDescent="0.25">
      <c r="A161" s="3">
        <v>45649</v>
      </c>
      <c r="B161" s="3">
        <v>45655</v>
      </c>
      <c r="C161" t="s">
        <v>2089</v>
      </c>
      <c r="D161">
        <f>COUNTIFS('Исходник — лиды'!$H$2:$H$1567,"&gt;="&amp;A161,'Исходник — лиды'!$H$2:$H$1567,"&lt;"&amp;B161+1)</f>
        <v>3</v>
      </c>
      <c r="E161">
        <f>COUNTIFS('Исходник — лиды'!$H$2:$H$1567,"&gt;="&amp;A161,'Исходник — лиды'!$H$2:$H$1567,"&lt;"&amp;B161+1,'Исходник — лиды'!$C$2:$C$1567,"Качественный лид")</f>
        <v>3</v>
      </c>
      <c r="F161">
        <v>27</v>
      </c>
      <c r="G161" s="5">
        <f t="shared" si="2"/>
        <v>1</v>
      </c>
    </row>
    <row r="162" spans="1:7" x14ac:dyDescent="0.25">
      <c r="A162" s="3">
        <v>45656</v>
      </c>
      <c r="B162" s="3">
        <v>45662</v>
      </c>
      <c r="C162" t="s">
        <v>2090</v>
      </c>
      <c r="D162">
        <f>COUNTIFS('Исходник — лиды'!$H$2:$H$1567,"&gt;="&amp;A162,'Исходник — лиды'!$H$2:$H$1567,"&lt;"&amp;B162+1)</f>
        <v>0</v>
      </c>
      <c r="E162">
        <f>COUNTIFS('Исходник — лиды'!$H$2:$H$1567,"&gt;="&amp;A162,'Исходник — лиды'!$H$2:$H$1567,"&lt;"&amp;B162+1,'Исходник — лиды'!$C$2:$C$1567,"Качественный лид")</f>
        <v>0</v>
      </c>
      <c r="F162">
        <v>16</v>
      </c>
      <c r="G162" s="5">
        <f t="shared" si="2"/>
        <v>0</v>
      </c>
    </row>
    <row r="163" spans="1:7" x14ac:dyDescent="0.25">
      <c r="A163" s="3">
        <v>45663</v>
      </c>
      <c r="B163" s="3">
        <v>45669</v>
      </c>
      <c r="C163" t="s">
        <v>2091</v>
      </c>
      <c r="D163">
        <f>COUNTIFS('Исходник — лиды'!$H$2:$H$1567,"&gt;="&amp;A163,'Исходник — лиды'!$H$2:$H$1567,"&lt;"&amp;B163+1)</f>
        <v>4</v>
      </c>
      <c r="E163">
        <f>COUNTIFS('Исходник — лиды'!$H$2:$H$1567,"&gt;="&amp;A163,'Исходник — лиды'!$H$2:$H$1567,"&lt;"&amp;B163+1,'Исходник — лиды'!$C$2:$C$1567,"Качественный лид")</f>
        <v>4</v>
      </c>
      <c r="F163">
        <v>46</v>
      </c>
      <c r="G163" s="5">
        <f t="shared" si="2"/>
        <v>1</v>
      </c>
    </row>
    <row r="164" spans="1:7" x14ac:dyDescent="0.25">
      <c r="A164" s="3">
        <v>45670</v>
      </c>
      <c r="B164" s="3">
        <v>45676</v>
      </c>
      <c r="C164" t="s">
        <v>2092</v>
      </c>
      <c r="D164">
        <f>COUNTIFS('Исходник — лиды'!$H$2:$H$1567,"&gt;="&amp;A164,'Исходник — лиды'!$H$2:$H$1567,"&lt;"&amp;B164+1)</f>
        <v>3</v>
      </c>
      <c r="E164">
        <f>COUNTIFS('Исходник — лиды'!$H$2:$H$1567,"&gt;="&amp;A164,'Исходник — лиды'!$H$2:$H$1567,"&lt;"&amp;B164+1,'Исходник — лиды'!$C$2:$C$1567,"Качественный лид")</f>
        <v>3</v>
      </c>
      <c r="F164">
        <v>45</v>
      </c>
      <c r="G164" s="5">
        <f t="shared" si="2"/>
        <v>1</v>
      </c>
    </row>
    <row r="165" spans="1:7" x14ac:dyDescent="0.25">
      <c r="A165" s="3">
        <v>45677</v>
      </c>
      <c r="B165" s="3">
        <v>45683</v>
      </c>
      <c r="C165" t="s">
        <v>2093</v>
      </c>
      <c r="D165">
        <f>COUNTIFS('Исходник — лиды'!$H$2:$H$1567,"&gt;="&amp;A165,'Исходник — лиды'!$H$2:$H$1567,"&lt;"&amp;B165+1)</f>
        <v>4</v>
      </c>
      <c r="E165">
        <f>COUNTIFS('Исходник — лиды'!$H$2:$H$1567,"&gt;="&amp;A165,'Исходник — лиды'!$H$2:$H$1567,"&lt;"&amp;B165+1,'Исходник — лиды'!$C$2:$C$1567,"Качественный лид")</f>
        <v>4</v>
      </c>
      <c r="F165">
        <v>29</v>
      </c>
      <c r="G165" s="5">
        <f t="shared" si="2"/>
        <v>1</v>
      </c>
    </row>
    <row r="166" spans="1:7" x14ac:dyDescent="0.25">
      <c r="A166" s="3">
        <v>45684</v>
      </c>
      <c r="B166" s="3">
        <v>45690</v>
      </c>
      <c r="C166" t="s">
        <v>2094</v>
      </c>
      <c r="D166">
        <f>COUNTIFS('Исходник — лиды'!$H$2:$H$1567,"&gt;="&amp;A166,'Исходник — лиды'!$H$2:$H$1567,"&lt;"&amp;B166+1)</f>
        <v>5</v>
      </c>
      <c r="E166">
        <f>COUNTIFS('Исходник — лиды'!$H$2:$H$1567,"&gt;="&amp;A166,'Исходник — лиды'!$H$2:$H$1567,"&lt;"&amp;B166+1,'Исходник — лиды'!$C$2:$C$1567,"Качественный лид")</f>
        <v>4</v>
      </c>
      <c r="F166">
        <v>43</v>
      </c>
      <c r="G166" s="5">
        <f t="shared" si="2"/>
        <v>0.8</v>
      </c>
    </row>
    <row r="167" spans="1:7" x14ac:dyDescent="0.25">
      <c r="A167" s="3">
        <v>45691</v>
      </c>
      <c r="B167" s="3">
        <v>45697</v>
      </c>
      <c r="C167" t="s">
        <v>2095</v>
      </c>
      <c r="D167">
        <f>COUNTIFS('Исходник — лиды'!$H$2:$H$1567,"&gt;="&amp;A167,'Исходник — лиды'!$H$2:$H$1567,"&lt;"&amp;B167+1)</f>
        <v>5</v>
      </c>
      <c r="E167">
        <f>COUNTIFS('Исходник — лиды'!$H$2:$H$1567,"&gt;="&amp;A167,'Исходник — лиды'!$H$2:$H$1567,"&lt;"&amp;B167+1,'Исходник — лиды'!$C$2:$C$1567,"Качественный лид")</f>
        <v>5</v>
      </c>
      <c r="F167">
        <v>42</v>
      </c>
      <c r="G167" s="5">
        <f t="shared" si="2"/>
        <v>1</v>
      </c>
    </row>
    <row r="168" spans="1:7" x14ac:dyDescent="0.25">
      <c r="A168" s="3">
        <v>45698</v>
      </c>
      <c r="B168" s="3">
        <v>45704</v>
      </c>
      <c r="C168" t="s">
        <v>2096</v>
      </c>
      <c r="D168">
        <f>COUNTIFS('Исходник — лиды'!$H$2:$H$1567,"&gt;="&amp;A168,'Исходник — лиды'!$H$2:$H$1567,"&lt;"&amp;B168+1)</f>
        <v>5</v>
      </c>
      <c r="E168">
        <f>COUNTIFS('Исходник — лиды'!$H$2:$H$1567,"&gt;="&amp;A168,'Исходник — лиды'!$H$2:$H$1567,"&lt;"&amp;B168+1,'Исходник — лиды'!$C$2:$C$1567,"Качественный лид")</f>
        <v>5</v>
      </c>
      <c r="F168">
        <v>48</v>
      </c>
      <c r="G168" s="5">
        <f t="shared" si="2"/>
        <v>1</v>
      </c>
    </row>
    <row r="169" spans="1:7" x14ac:dyDescent="0.25">
      <c r="A169" s="3">
        <v>45705</v>
      </c>
      <c r="B169" s="3">
        <v>45711</v>
      </c>
      <c r="C169" t="s">
        <v>2097</v>
      </c>
      <c r="D169">
        <f>COUNTIFS('Исходник — лиды'!$H$2:$H$1567,"&gt;="&amp;A169,'Исходник — лиды'!$H$2:$H$1567,"&lt;"&amp;B169+1)</f>
        <v>5</v>
      </c>
      <c r="E169">
        <f>COUNTIFS('Исходник — лиды'!$H$2:$H$1567,"&gt;="&amp;A169,'Исходник — лиды'!$H$2:$H$1567,"&lt;"&amp;B169+1,'Исходник — лиды'!$C$2:$C$1567,"Качественный лид")</f>
        <v>5</v>
      </c>
      <c r="F169">
        <v>32</v>
      </c>
      <c r="G169" s="5">
        <f t="shared" si="2"/>
        <v>1</v>
      </c>
    </row>
    <row r="170" spans="1:7" x14ac:dyDescent="0.25">
      <c r="A170" s="3">
        <v>45712</v>
      </c>
      <c r="B170" s="3">
        <v>45718</v>
      </c>
      <c r="C170" t="s">
        <v>2098</v>
      </c>
      <c r="D170">
        <f>COUNTIFS('Исходник — лиды'!$H$2:$H$1567,"&gt;="&amp;A170,'Исходник — лиды'!$H$2:$H$1567,"&lt;"&amp;B170+1)</f>
        <v>9</v>
      </c>
      <c r="E170">
        <f>COUNTIFS('Исходник — лиды'!$H$2:$H$1567,"&gt;="&amp;A170,'Исходник — лиды'!$H$2:$H$1567,"&lt;"&amp;B170+1,'Исходник — лиды'!$C$2:$C$1567,"Качественный лид")</f>
        <v>9</v>
      </c>
      <c r="F170">
        <v>26</v>
      </c>
      <c r="G170" s="5">
        <f t="shared" si="2"/>
        <v>1</v>
      </c>
    </row>
    <row r="171" spans="1:7" x14ac:dyDescent="0.25">
      <c r="A171" s="3">
        <v>45719</v>
      </c>
      <c r="B171" s="3">
        <v>45725</v>
      </c>
      <c r="C171" t="s">
        <v>2099</v>
      </c>
      <c r="D171">
        <f>COUNTIFS('Исходник — лиды'!$H$2:$H$1567,"&gt;="&amp;A171,'Исходник — лиды'!$H$2:$H$1567,"&lt;"&amp;B171+1)</f>
        <v>13</v>
      </c>
      <c r="E171">
        <f>COUNTIFS('Исходник — лиды'!$H$2:$H$1567,"&gt;="&amp;A171,'Исходник — лиды'!$H$2:$H$1567,"&lt;"&amp;B171+1,'Исходник — лиды'!$C$2:$C$1567,"Качественный лид")</f>
        <v>13</v>
      </c>
      <c r="F171">
        <v>40</v>
      </c>
      <c r="G171" s="5">
        <f t="shared" si="2"/>
        <v>1</v>
      </c>
    </row>
    <row r="172" spans="1:7" x14ac:dyDescent="0.25">
      <c r="A172" s="3">
        <v>45726</v>
      </c>
      <c r="B172" s="3">
        <v>45732</v>
      </c>
      <c r="C172" t="s">
        <v>2100</v>
      </c>
      <c r="D172">
        <f>COUNTIFS('Исходник — лиды'!$H$2:$H$1567,"&gt;="&amp;A172,'Исходник — лиды'!$H$2:$H$1567,"&lt;"&amp;B172+1)</f>
        <v>6</v>
      </c>
      <c r="E172">
        <f>COUNTIFS('Исходник — лиды'!$H$2:$H$1567,"&gt;="&amp;A172,'Исходник — лиды'!$H$2:$H$1567,"&lt;"&amp;B172+1,'Исходник — лиды'!$C$2:$C$1567,"Качественный лид")</f>
        <v>6</v>
      </c>
      <c r="F172">
        <v>54</v>
      </c>
      <c r="G172" s="5">
        <f t="shared" si="2"/>
        <v>1</v>
      </c>
    </row>
    <row r="173" spans="1:7" x14ac:dyDescent="0.25">
      <c r="A173" s="3">
        <v>45733</v>
      </c>
      <c r="B173" s="3">
        <v>45739</v>
      </c>
      <c r="C173" t="s">
        <v>2101</v>
      </c>
      <c r="D173">
        <f>COUNTIFS('Исходник — лиды'!$H$2:$H$1567,"&gt;="&amp;A173,'Исходник — лиды'!$H$2:$H$1567,"&lt;"&amp;B173+1)</f>
        <v>3</v>
      </c>
      <c r="E173">
        <f>COUNTIFS('Исходник — лиды'!$H$2:$H$1567,"&gt;="&amp;A173,'Исходник — лиды'!$H$2:$H$1567,"&lt;"&amp;B173+1,'Исходник — лиды'!$C$2:$C$1567,"Качественный лид")</f>
        <v>3</v>
      </c>
      <c r="F173">
        <v>62</v>
      </c>
      <c r="G173" s="5">
        <f t="shared" si="2"/>
        <v>1</v>
      </c>
    </row>
    <row r="174" spans="1:7" x14ac:dyDescent="0.25">
      <c r="A174" s="3">
        <v>45740</v>
      </c>
      <c r="B174" s="3">
        <v>45746</v>
      </c>
      <c r="C174" t="s">
        <v>2102</v>
      </c>
      <c r="D174">
        <f>COUNTIFS('Исходник — лиды'!$H$2:$H$1567,"&gt;="&amp;A174,'Исходник — лиды'!$H$2:$H$1567,"&lt;"&amp;B174+1)</f>
        <v>4</v>
      </c>
      <c r="E174">
        <f>COUNTIFS('Исходник — лиды'!$H$2:$H$1567,"&gt;="&amp;A174,'Исходник — лиды'!$H$2:$H$1567,"&lt;"&amp;B174+1,'Исходник — лиды'!$C$2:$C$1567,"Качественный лид")</f>
        <v>4</v>
      </c>
      <c r="F174">
        <v>77</v>
      </c>
      <c r="G174" s="5">
        <f t="shared" si="2"/>
        <v>1</v>
      </c>
    </row>
    <row r="175" spans="1:7" x14ac:dyDescent="0.25">
      <c r="A175" s="3">
        <v>45747</v>
      </c>
      <c r="B175" s="3">
        <v>45753</v>
      </c>
      <c r="C175" t="s">
        <v>2103</v>
      </c>
      <c r="D175">
        <f>COUNTIFS('Исходник — лиды'!$H$2:$H$1567,"&gt;="&amp;A175,'Исходник — лиды'!$H$2:$H$1567,"&lt;"&amp;B175+1)</f>
        <v>5</v>
      </c>
      <c r="E175">
        <f>COUNTIFS('Исходник — лиды'!$H$2:$H$1567,"&gt;="&amp;A175,'Исходник — лиды'!$H$2:$H$1567,"&lt;"&amp;B175+1,'Исходник — лиды'!$C$2:$C$1567,"Качественный лид")</f>
        <v>4</v>
      </c>
      <c r="F175">
        <v>81</v>
      </c>
      <c r="G175" s="5">
        <f t="shared" si="2"/>
        <v>0.8</v>
      </c>
    </row>
    <row r="176" spans="1:7" x14ac:dyDescent="0.25">
      <c r="A176" s="3">
        <v>45754</v>
      </c>
      <c r="B176" s="3">
        <v>45760</v>
      </c>
      <c r="C176" t="s">
        <v>2104</v>
      </c>
      <c r="D176">
        <f>COUNTIFS('Исходник — лиды'!$H$2:$H$1567,"&gt;="&amp;A176,'Исходник — лиды'!$H$2:$H$1567,"&lt;"&amp;B176+1)</f>
        <v>10</v>
      </c>
      <c r="E176">
        <f>COUNTIFS('Исходник — лиды'!$H$2:$H$1567,"&gt;="&amp;A176,'Исходник — лиды'!$H$2:$H$1567,"&lt;"&amp;B176+1,'Исходник — лиды'!$C$2:$C$1567,"Качественный лид")</f>
        <v>10</v>
      </c>
      <c r="F176">
        <v>68</v>
      </c>
      <c r="G176" s="5">
        <f t="shared" si="2"/>
        <v>1</v>
      </c>
    </row>
    <row r="177" spans="1:7" x14ac:dyDescent="0.25">
      <c r="A177" s="3">
        <v>45761</v>
      </c>
      <c r="B177" s="3">
        <v>45767</v>
      </c>
      <c r="C177" t="s">
        <v>2105</v>
      </c>
      <c r="D177">
        <f>COUNTIFS('Исходник — лиды'!$H$2:$H$1567,"&gt;="&amp;A177,'Исходник — лиды'!$H$2:$H$1567,"&lt;"&amp;B177+1)</f>
        <v>8</v>
      </c>
      <c r="E177">
        <f>COUNTIFS('Исходник — лиды'!$H$2:$H$1567,"&gt;="&amp;A177,'Исходник — лиды'!$H$2:$H$1567,"&lt;"&amp;B177+1,'Исходник — лиды'!$C$2:$C$1567,"Качественный лид")</f>
        <v>8</v>
      </c>
      <c r="F177">
        <v>65</v>
      </c>
      <c r="G177" s="5">
        <f t="shared" si="2"/>
        <v>1</v>
      </c>
    </row>
    <row r="178" spans="1:7" x14ac:dyDescent="0.25">
      <c r="A178" s="3">
        <v>45768</v>
      </c>
      <c r="B178" s="3">
        <v>45774</v>
      </c>
      <c r="C178" t="s">
        <v>2106</v>
      </c>
      <c r="D178">
        <f>COUNTIFS('Исходник — лиды'!$H$2:$H$1567,"&gt;="&amp;A178,'Исходник — лиды'!$H$2:$H$1567,"&lt;"&amp;B178+1)</f>
        <v>7</v>
      </c>
      <c r="E178">
        <f>COUNTIFS('Исходник — лиды'!$H$2:$H$1567,"&gt;="&amp;A178,'Исходник — лиды'!$H$2:$H$1567,"&lt;"&amp;B178+1,'Исходник — лиды'!$C$2:$C$1567,"Качественный лид")</f>
        <v>6</v>
      </c>
      <c r="F178">
        <v>62</v>
      </c>
      <c r="G178" s="5">
        <f t="shared" si="2"/>
        <v>0.8571428571428571</v>
      </c>
    </row>
    <row r="179" spans="1:7" x14ac:dyDescent="0.25">
      <c r="A179" s="3">
        <v>45775</v>
      </c>
      <c r="B179" s="3">
        <v>45781</v>
      </c>
      <c r="C179" t="s">
        <v>2107</v>
      </c>
      <c r="D179">
        <f>COUNTIFS('Исходник — лиды'!$H$2:$H$1567,"&gt;="&amp;A179,'Исходник — лиды'!$H$2:$H$1567,"&lt;"&amp;B179+1)</f>
        <v>3</v>
      </c>
      <c r="E179">
        <f>COUNTIFS('Исходник — лиды'!$H$2:$H$1567,"&gt;="&amp;A179,'Исходник — лиды'!$H$2:$H$1567,"&lt;"&amp;B179+1,'Исходник — лиды'!$C$2:$C$1567,"Качественный лид")</f>
        <v>3</v>
      </c>
      <c r="F179">
        <v>52</v>
      </c>
      <c r="G179" s="5">
        <f t="shared" si="2"/>
        <v>1</v>
      </c>
    </row>
    <row r="180" spans="1:7" x14ac:dyDescent="0.25">
      <c r="A180" s="3">
        <v>45782</v>
      </c>
      <c r="B180" s="3">
        <v>45788</v>
      </c>
      <c r="C180" t="s">
        <v>2108</v>
      </c>
      <c r="D180">
        <f>COUNTIFS('Исходник — лиды'!$H$2:$H$1567,"&gt;="&amp;A180,'Исходник — лиды'!$H$2:$H$1567,"&lt;"&amp;B180+1)</f>
        <v>3</v>
      </c>
      <c r="E180">
        <f>COUNTIFS('Исходник — лиды'!$H$2:$H$1567,"&gt;="&amp;A180,'Исходник — лиды'!$H$2:$H$1567,"&lt;"&amp;B180+1,'Исходник — лиды'!$C$2:$C$1567,"Качественный лид")</f>
        <v>3</v>
      </c>
      <c r="F180">
        <v>43</v>
      </c>
      <c r="G180" s="5">
        <f t="shared" si="2"/>
        <v>1</v>
      </c>
    </row>
    <row r="181" spans="1:7" x14ac:dyDescent="0.25">
      <c r="A181" s="3">
        <v>45789</v>
      </c>
      <c r="B181" s="3">
        <v>45795</v>
      </c>
      <c r="C181" t="s">
        <v>2109</v>
      </c>
      <c r="D181">
        <f>COUNTIFS('Исходник — лиды'!$H$2:$H$1567,"&gt;="&amp;A181,'Исходник — лиды'!$H$2:$H$1567,"&lt;"&amp;B181+1)</f>
        <v>4</v>
      </c>
      <c r="E181">
        <f>COUNTIFS('Исходник — лиды'!$H$2:$H$1567,"&gt;="&amp;A181,'Исходник — лиды'!$H$2:$H$1567,"&lt;"&amp;B181+1,'Исходник — лиды'!$C$2:$C$1567,"Качественный лид")</f>
        <v>4</v>
      </c>
      <c r="F181">
        <v>54</v>
      </c>
      <c r="G181" s="5">
        <f t="shared" si="2"/>
        <v>1</v>
      </c>
    </row>
    <row r="182" spans="1:7" x14ac:dyDescent="0.25">
      <c r="A182" s="3">
        <v>45796</v>
      </c>
      <c r="B182" s="3">
        <v>45802</v>
      </c>
      <c r="C182" t="s">
        <v>2110</v>
      </c>
      <c r="D182">
        <f>COUNTIFS('Исходник — лиды'!$H$2:$H$1567,"&gt;="&amp;A182,'Исходник — лиды'!$H$2:$H$1567,"&lt;"&amp;B182+1)</f>
        <v>6</v>
      </c>
      <c r="E182">
        <f>COUNTIFS('Исходник — лиды'!$H$2:$H$1567,"&gt;="&amp;A182,'Исходник — лиды'!$H$2:$H$1567,"&lt;"&amp;B182+1,'Исходник — лиды'!$C$2:$C$1567,"Качественный лид")</f>
        <v>6</v>
      </c>
      <c r="F182">
        <v>50</v>
      </c>
      <c r="G182" s="5">
        <f t="shared" si="2"/>
        <v>1</v>
      </c>
    </row>
    <row r="183" spans="1:7" x14ac:dyDescent="0.25">
      <c r="A183" s="3">
        <v>45803</v>
      </c>
      <c r="B183" s="3">
        <v>45809</v>
      </c>
      <c r="C183" t="s">
        <v>2111</v>
      </c>
      <c r="D183">
        <f>COUNTIFS('Исходник — лиды'!$H$2:$H$1567,"&gt;="&amp;A183,'Исходник — лиды'!$H$2:$H$1567,"&lt;"&amp;B183+1)</f>
        <v>6</v>
      </c>
      <c r="E183">
        <f>COUNTIFS('Исходник — лиды'!$H$2:$H$1567,"&gt;="&amp;A183,'Исходник — лиды'!$H$2:$H$1567,"&lt;"&amp;B183+1,'Исходник — лиды'!$C$2:$C$1567,"Качественный лид")</f>
        <v>6</v>
      </c>
      <c r="F183">
        <v>63</v>
      </c>
      <c r="G183" s="5">
        <f t="shared" si="2"/>
        <v>1</v>
      </c>
    </row>
    <row r="184" spans="1:7" x14ac:dyDescent="0.25">
      <c r="A184" s="3">
        <v>45810</v>
      </c>
      <c r="B184" s="3">
        <v>45816</v>
      </c>
      <c r="C184" t="s">
        <v>2112</v>
      </c>
      <c r="D184">
        <f>COUNTIFS('Исходник — лиды'!$H$2:$H$1567,"&gt;="&amp;A184,'Исходник — лиды'!$H$2:$H$1567,"&lt;"&amp;B184+1)</f>
        <v>13</v>
      </c>
      <c r="E184">
        <f>COUNTIFS('Исходник — лиды'!$H$2:$H$1567,"&gt;="&amp;A184,'Исходник — лиды'!$H$2:$H$1567,"&lt;"&amp;B184+1,'Исходник — лиды'!$C$2:$C$1567,"Качественный лид")</f>
        <v>13</v>
      </c>
      <c r="F184">
        <v>76</v>
      </c>
      <c r="G184" s="5">
        <f t="shared" si="2"/>
        <v>1</v>
      </c>
    </row>
    <row r="185" spans="1:7" x14ac:dyDescent="0.25">
      <c r="A185" s="3">
        <v>45817</v>
      </c>
      <c r="B185" s="3">
        <v>45823</v>
      </c>
      <c r="C185" t="s">
        <v>2113</v>
      </c>
      <c r="D185">
        <f>COUNTIFS('Исходник — лиды'!$H$2:$H$1567,"&gt;="&amp;A185,'Исходник — лиды'!$H$2:$H$1567,"&lt;"&amp;B185+1)</f>
        <v>1</v>
      </c>
      <c r="E185">
        <f>COUNTIFS('Исходник — лиды'!$H$2:$H$1567,"&gt;="&amp;A185,'Исходник — лиды'!$H$2:$H$1567,"&lt;"&amp;B185+1,'Исходник — лиды'!$C$2:$C$1567,"Качественный лид")</f>
        <v>1</v>
      </c>
      <c r="F185">
        <v>82</v>
      </c>
      <c r="G185" s="5">
        <f t="shared" si="2"/>
        <v>1</v>
      </c>
    </row>
    <row r="186" spans="1:7" x14ac:dyDescent="0.25">
      <c r="A186" s="3">
        <v>45824</v>
      </c>
      <c r="B186" s="3">
        <v>45830</v>
      </c>
      <c r="C186" t="s">
        <v>2114</v>
      </c>
      <c r="D186">
        <f>COUNTIFS('Исходник — лиды'!$H$2:$H$1567,"&gt;="&amp;A186,'Исходник — лиды'!$H$2:$H$1567,"&lt;"&amp;B186+1)</f>
        <v>12</v>
      </c>
      <c r="E186">
        <f>COUNTIFS('Исходник — лиды'!$H$2:$H$1567,"&gt;="&amp;A186,'Исходник — лиды'!$H$2:$H$1567,"&lt;"&amp;B186+1,'Исходник — лиды'!$C$2:$C$1567,"Качественный лид")</f>
        <v>12</v>
      </c>
      <c r="F186">
        <v>61</v>
      </c>
      <c r="G186" s="5">
        <f t="shared" si="2"/>
        <v>1</v>
      </c>
    </row>
    <row r="187" spans="1:7" x14ac:dyDescent="0.25">
      <c r="A187" s="3">
        <v>45831</v>
      </c>
      <c r="B187" s="3">
        <v>45837</v>
      </c>
      <c r="C187" t="s">
        <v>2115</v>
      </c>
      <c r="D187">
        <f>COUNTIFS('Исходник — лиды'!$H$2:$H$1567,"&gt;="&amp;A187,'Исходник — лиды'!$H$2:$H$1567,"&lt;"&amp;B187+1)</f>
        <v>11</v>
      </c>
      <c r="E187">
        <f>COUNTIFS('Исходник — лиды'!$H$2:$H$1567,"&gt;="&amp;A187,'Исходник — лиды'!$H$2:$H$1567,"&lt;"&amp;B187+1,'Исходник — лиды'!$C$2:$C$1567,"Качественный лид")</f>
        <v>11</v>
      </c>
      <c r="F187">
        <v>69</v>
      </c>
      <c r="G187" s="5">
        <f t="shared" si="2"/>
        <v>1</v>
      </c>
    </row>
    <row r="188" spans="1:7" x14ac:dyDescent="0.25">
      <c r="A188" s="3">
        <v>45838</v>
      </c>
      <c r="B188" s="3">
        <v>45844</v>
      </c>
      <c r="C188" t="s">
        <v>2116</v>
      </c>
      <c r="D188">
        <f>COUNTIFS('Исходник — лиды'!$H$2:$H$1567,"&gt;="&amp;A188,'Исходник — лиды'!$H$2:$H$1567,"&lt;"&amp;B188+1)</f>
        <v>4</v>
      </c>
      <c r="E188">
        <f>COUNTIFS('Исходник — лиды'!$H$2:$H$1567,"&gt;="&amp;A188,'Исходник — лиды'!$H$2:$H$1567,"&lt;"&amp;B188+1,'Исходник — лиды'!$C$2:$C$1567,"Качественный лид")</f>
        <v>4</v>
      </c>
      <c r="F188">
        <v>80</v>
      </c>
      <c r="G188" s="5">
        <f t="shared" si="2"/>
        <v>1</v>
      </c>
    </row>
    <row r="189" spans="1:7" x14ac:dyDescent="0.25">
      <c r="A189" s="3">
        <v>45845</v>
      </c>
      <c r="B189" s="3">
        <v>45851</v>
      </c>
      <c r="C189" t="s">
        <v>2117</v>
      </c>
      <c r="D189">
        <f>COUNTIFS('Исходник — лиды'!$H$2:$H$1567,"&gt;="&amp;A189,'Исходник — лиды'!$H$2:$H$1567,"&lt;"&amp;B189+1)</f>
        <v>5</v>
      </c>
      <c r="E189">
        <f>COUNTIFS('Исходник — лиды'!$H$2:$H$1567,"&gt;="&amp;A189,'Исходник — лиды'!$H$2:$H$1567,"&lt;"&amp;B189+1,'Исходник — лиды'!$C$2:$C$1567,"Качественный лид")</f>
        <v>5</v>
      </c>
      <c r="F189">
        <v>72</v>
      </c>
      <c r="G189" s="5">
        <f t="shared" si="2"/>
        <v>1</v>
      </c>
    </row>
    <row r="190" spans="1:7" x14ac:dyDescent="0.25">
      <c r="A190" s="3">
        <v>45852</v>
      </c>
      <c r="B190" s="3">
        <v>45858</v>
      </c>
      <c r="C190" t="s">
        <v>2118</v>
      </c>
      <c r="D190">
        <f>COUNTIFS('Исходник — лиды'!$H$2:$H$1567,"&gt;="&amp;A190,'Исходник — лиды'!$H$2:$H$1567,"&lt;"&amp;B190+1)</f>
        <v>6</v>
      </c>
      <c r="E190">
        <f>COUNTIFS('Исходник — лиды'!$H$2:$H$1567,"&gt;="&amp;A190,'Исходник — лиды'!$H$2:$H$1567,"&lt;"&amp;B190+1,'Исходник — лиды'!$C$2:$C$1567,"Качественный лид")</f>
        <v>6</v>
      </c>
      <c r="F190">
        <v>80</v>
      </c>
      <c r="G190" s="5">
        <f t="shared" si="2"/>
        <v>1</v>
      </c>
    </row>
    <row r="191" spans="1:7" x14ac:dyDescent="0.25">
      <c r="A191" s="3">
        <v>45859</v>
      </c>
      <c r="B191" s="3">
        <v>45865</v>
      </c>
      <c r="C191" t="s">
        <v>2119</v>
      </c>
      <c r="D191">
        <f>COUNTIFS('Исходник — лиды'!$H$2:$H$1567,"&gt;="&amp;A191,'Исходник — лиды'!$H$2:$H$1567,"&lt;"&amp;B191+1)</f>
        <v>4</v>
      </c>
      <c r="E191">
        <f>COUNTIFS('Исходник — лиды'!$H$2:$H$1567,"&gt;="&amp;A191,'Исходник — лиды'!$H$2:$H$1567,"&lt;"&amp;B191+1,'Исходник — лиды'!$C$2:$C$1567,"Качественный лид")</f>
        <v>4</v>
      </c>
      <c r="F191">
        <v>70</v>
      </c>
      <c r="G191" s="5">
        <f t="shared" si="2"/>
        <v>1</v>
      </c>
    </row>
    <row r="192" spans="1:7" x14ac:dyDescent="0.25">
      <c r="A192" s="3">
        <v>45866</v>
      </c>
      <c r="B192" s="3">
        <v>45872</v>
      </c>
      <c r="C192" t="s">
        <v>2120</v>
      </c>
      <c r="D192">
        <f>COUNTIFS('Исходник — лиды'!$H$2:$H$1567,"&gt;="&amp;A192,'Исходник — лиды'!$H$2:$H$1567,"&lt;"&amp;B192+1)</f>
        <v>4</v>
      </c>
      <c r="E192">
        <f>COUNTIFS('Исходник — лиды'!$H$2:$H$1567,"&gt;="&amp;A192,'Исходник — лиды'!$H$2:$H$1567,"&lt;"&amp;B192+1,'Исходник — лиды'!$C$2:$C$1567,"Качественный лид")</f>
        <v>4</v>
      </c>
      <c r="F192">
        <v>64</v>
      </c>
      <c r="G192" s="5">
        <f t="shared" si="2"/>
        <v>1</v>
      </c>
    </row>
    <row r="193" spans="1:7" x14ac:dyDescent="0.25">
      <c r="A193" s="3">
        <v>45873</v>
      </c>
      <c r="B193" s="3">
        <v>45879</v>
      </c>
      <c r="C193" t="s">
        <v>2121</v>
      </c>
      <c r="D193">
        <f>COUNTIFS('Исходник — лиды'!$H$2:$H$1567,"&gt;="&amp;A193,'Исходник — лиды'!$H$2:$H$1567,"&lt;"&amp;B193+1)</f>
        <v>0</v>
      </c>
      <c r="E193">
        <f>COUNTIFS('Исходник — лиды'!$H$2:$H$1567,"&gt;="&amp;A193,'Исходник — лиды'!$H$2:$H$1567,"&lt;"&amp;B193+1,'Исходник — лиды'!$C$2:$C$1567,"Качественный лид")</f>
        <v>0</v>
      </c>
      <c r="F193">
        <v>82</v>
      </c>
      <c r="G193" s="5">
        <f t="shared" si="2"/>
        <v>0</v>
      </c>
    </row>
    <row r="194" spans="1:7" x14ac:dyDescent="0.25">
      <c r="A194" s="3">
        <v>45880</v>
      </c>
      <c r="B194" s="3">
        <v>45886</v>
      </c>
      <c r="C194" t="s">
        <v>2122</v>
      </c>
      <c r="D194">
        <f>COUNTIFS('Исходник — лиды'!$H$2:$H$1567,"&gt;="&amp;A194,'Исходник — лиды'!$H$2:$H$1567,"&lt;"&amp;B194+1)</f>
        <v>7</v>
      </c>
      <c r="E194">
        <f>COUNTIFS('Исходник — лиды'!$H$2:$H$1567,"&gt;="&amp;A194,'Исходник — лиды'!$H$2:$H$1567,"&lt;"&amp;B194+1,'Исходник — лиды'!$C$2:$C$1567,"Качественный лид")</f>
        <v>6</v>
      </c>
      <c r="F194">
        <v>75</v>
      </c>
      <c r="G194" s="5">
        <f t="shared" si="2"/>
        <v>0.8571428571428571</v>
      </c>
    </row>
    <row r="195" spans="1:7" x14ac:dyDescent="0.25">
      <c r="A195" s="3">
        <v>45887</v>
      </c>
      <c r="B195" s="3">
        <v>45893</v>
      </c>
      <c r="C195" t="s">
        <v>2123</v>
      </c>
      <c r="D195">
        <f>COUNTIFS('Исходник — лиды'!$H$2:$H$1567,"&gt;="&amp;A195,'Исходник — лиды'!$H$2:$H$1567,"&lt;"&amp;B195+1)</f>
        <v>4</v>
      </c>
      <c r="E195">
        <f>COUNTIFS('Исходник — лиды'!$H$2:$H$1567,"&gt;="&amp;A195,'Исходник — лиды'!$H$2:$H$1567,"&lt;"&amp;B195+1,'Исходник — лиды'!$C$2:$C$1567,"Качественный лид")</f>
        <v>4</v>
      </c>
      <c r="F195">
        <v>80</v>
      </c>
      <c r="G195" s="5">
        <f t="shared" si="2"/>
        <v>1</v>
      </c>
    </row>
    <row r="196" spans="1:7" x14ac:dyDescent="0.25">
      <c r="A196" s="3">
        <v>45894</v>
      </c>
      <c r="B196" s="3">
        <v>45900</v>
      </c>
      <c r="C196" t="s">
        <v>2124</v>
      </c>
      <c r="D196">
        <f>COUNTIFS('Исходник — лиды'!$H$2:$H$1567,"&gt;="&amp;A196,'Исходник — лиды'!$H$2:$H$1567,"&lt;"&amp;B196+1)</f>
        <v>4</v>
      </c>
      <c r="E196">
        <f>COUNTIFS('Исходник — лиды'!$H$2:$H$1567,"&gt;="&amp;A196,'Исходник — лиды'!$H$2:$H$1567,"&lt;"&amp;B196+1,'Исходник — лиды'!$C$2:$C$1567,"Качественный лид")</f>
        <v>4</v>
      </c>
      <c r="F196">
        <v>42</v>
      </c>
      <c r="G196" s="5">
        <f t="shared" si="2"/>
        <v>1</v>
      </c>
    </row>
    <row r="197" spans="1:7" x14ac:dyDescent="0.25">
      <c r="A197" s="3">
        <v>45901</v>
      </c>
      <c r="B197" s="3">
        <v>45907</v>
      </c>
      <c r="C197" t="s">
        <v>2125</v>
      </c>
      <c r="D197">
        <f>COUNTIFS('Исходник — лиды'!$H$2:$H$1567,"&gt;="&amp;A197,'Исходник — лиды'!$H$2:$H$1567,"&lt;"&amp;B197+1)</f>
        <v>1</v>
      </c>
      <c r="E197">
        <f>COUNTIFS('Исходник — лиды'!$H$2:$H$1567,"&gt;="&amp;A197,'Исходник — лиды'!$H$2:$H$1567,"&lt;"&amp;B197+1,'Исходник — лиды'!$C$2:$C$1567,"Качественный лид")</f>
        <v>1</v>
      </c>
      <c r="F197">
        <v>61</v>
      </c>
      <c r="G197" s="5">
        <f t="shared" ref="G197:G241" si="3">IFERROR(E197/D197,0)</f>
        <v>1</v>
      </c>
    </row>
    <row r="198" spans="1:7" x14ac:dyDescent="0.25">
      <c r="A198" s="3">
        <v>45908</v>
      </c>
      <c r="B198" s="3">
        <v>45914</v>
      </c>
      <c r="C198" t="s">
        <v>2126</v>
      </c>
      <c r="D198">
        <f>COUNTIFS('Исходник — лиды'!$H$2:$H$1567,"&gt;="&amp;A198,'Исходник — лиды'!$H$2:$H$1567,"&lt;"&amp;B198+1)</f>
        <v>5</v>
      </c>
      <c r="E198">
        <f>COUNTIFS('Исходник — лиды'!$H$2:$H$1567,"&gt;="&amp;A198,'Исходник — лиды'!$H$2:$H$1567,"&lt;"&amp;B198+1,'Исходник — лиды'!$C$2:$C$1567,"Качественный лид")</f>
        <v>5</v>
      </c>
      <c r="F198">
        <v>76</v>
      </c>
      <c r="G198" s="5">
        <f t="shared" si="3"/>
        <v>1</v>
      </c>
    </row>
    <row r="199" spans="1:7" x14ac:dyDescent="0.25">
      <c r="A199" s="3">
        <v>45915</v>
      </c>
      <c r="B199" s="3">
        <v>45921</v>
      </c>
      <c r="C199" t="s">
        <v>2127</v>
      </c>
      <c r="D199">
        <f>COUNTIFS('Исходник — лиды'!$H$2:$H$1567,"&gt;="&amp;A199,'Исходник — лиды'!$H$2:$H$1567,"&lt;"&amp;B199+1)</f>
        <v>4</v>
      </c>
      <c r="E199">
        <f>COUNTIFS('Исходник — лиды'!$H$2:$H$1567,"&gt;="&amp;A199,'Исходник — лиды'!$H$2:$H$1567,"&lt;"&amp;B199+1,'Исходник — лиды'!$C$2:$C$1567,"Качественный лид")</f>
        <v>4</v>
      </c>
      <c r="F199">
        <v>57</v>
      </c>
      <c r="G199" s="5">
        <f t="shared" si="3"/>
        <v>1</v>
      </c>
    </row>
    <row r="200" spans="1:7" x14ac:dyDescent="0.25">
      <c r="A200" s="3">
        <v>45922</v>
      </c>
      <c r="B200" s="3">
        <v>45928</v>
      </c>
      <c r="C200" t="s">
        <v>2128</v>
      </c>
      <c r="D200">
        <f>COUNTIFS('Исходник — лиды'!$H$2:$H$1567,"&gt;="&amp;A200,'Исходник — лиды'!$H$2:$H$1567,"&lt;"&amp;B200+1)</f>
        <v>10</v>
      </c>
      <c r="E200">
        <f>COUNTIFS('Исходник — лиды'!$H$2:$H$1567,"&gt;="&amp;A200,'Исходник — лиды'!$H$2:$H$1567,"&lt;"&amp;B200+1,'Исходник — лиды'!$C$2:$C$1567,"Качественный лид")</f>
        <v>10</v>
      </c>
      <c r="F200">
        <v>62</v>
      </c>
      <c r="G200" s="5">
        <f t="shared" si="3"/>
        <v>1</v>
      </c>
    </row>
    <row r="201" spans="1:7" x14ac:dyDescent="0.25">
      <c r="A201" s="3">
        <v>45929</v>
      </c>
      <c r="B201" s="3">
        <v>45935</v>
      </c>
      <c r="C201" t="s">
        <v>2129</v>
      </c>
      <c r="D201">
        <f>COUNTIFS('Исходник — лиды'!$H$2:$H$1567,"&gt;="&amp;A201,'Исходник — лиды'!$H$2:$H$1567,"&lt;"&amp;B201+1)</f>
        <v>2</v>
      </c>
      <c r="E201">
        <f>COUNTIFS('Исходник — лиды'!$H$2:$H$1567,"&gt;="&amp;A201,'Исходник — лиды'!$H$2:$H$1567,"&lt;"&amp;B201+1,'Исходник — лиды'!$C$2:$C$1567,"Качественный лид")</f>
        <v>1</v>
      </c>
      <c r="F201">
        <v>80</v>
      </c>
      <c r="G201" s="5">
        <f t="shared" si="3"/>
        <v>0.5</v>
      </c>
    </row>
    <row r="202" spans="1:7" x14ac:dyDescent="0.25">
      <c r="A202" s="3">
        <v>45936</v>
      </c>
      <c r="B202" s="3">
        <v>45942</v>
      </c>
      <c r="C202" t="s">
        <v>2130</v>
      </c>
      <c r="D202">
        <f>COUNTIFS('Исходник — лиды'!$H$2:$H$1567,"&gt;="&amp;A202,'Исходник — лиды'!$H$2:$H$1567,"&lt;"&amp;B202+1)</f>
        <v>5</v>
      </c>
      <c r="E202">
        <f>COUNTIFS('Исходник — лиды'!$H$2:$H$1567,"&gt;="&amp;A202,'Исходник — лиды'!$H$2:$H$1567,"&lt;"&amp;B202+1,'Исходник — лиды'!$C$2:$C$1567,"Качественный лид")</f>
        <v>5</v>
      </c>
      <c r="F202">
        <v>81</v>
      </c>
      <c r="G202" s="5">
        <f t="shared" si="3"/>
        <v>1</v>
      </c>
    </row>
    <row r="203" spans="1:7" x14ac:dyDescent="0.25">
      <c r="A203" s="3">
        <v>45943</v>
      </c>
      <c r="B203" s="3">
        <v>45949</v>
      </c>
      <c r="C203" t="s">
        <v>2131</v>
      </c>
      <c r="D203">
        <f>COUNTIFS('Исходник — лиды'!$H$2:$H$1567,"&gt;="&amp;A203,'Исходник — лиды'!$H$2:$H$1567,"&lt;"&amp;B203+1)</f>
        <v>2</v>
      </c>
      <c r="E203">
        <f>COUNTIFS('Исходник — лиды'!$H$2:$H$1567,"&gt;="&amp;A203,'Исходник — лиды'!$H$2:$H$1567,"&lt;"&amp;B203+1,'Исходник — лиды'!$C$2:$C$1567,"Качественный лид")</f>
        <v>2</v>
      </c>
      <c r="F203">
        <v>34</v>
      </c>
      <c r="G203" s="5">
        <f t="shared" si="3"/>
        <v>1</v>
      </c>
    </row>
    <row r="204" spans="1:7" x14ac:dyDescent="0.25">
      <c r="A204" s="3">
        <v>45950</v>
      </c>
      <c r="B204" s="3">
        <v>45956</v>
      </c>
      <c r="C204" t="s">
        <v>2132</v>
      </c>
      <c r="D204">
        <f>COUNTIFS('Исходник — лиды'!$H$2:$H$1567,"&gt;="&amp;A204,'Исходник — лиды'!$H$2:$H$1567,"&lt;"&amp;B204+1)</f>
        <v>0</v>
      </c>
      <c r="E204">
        <f>COUNTIFS('Исходник — лиды'!$H$2:$H$1567,"&gt;="&amp;A204,'Исходник — лиды'!$H$2:$H$1567,"&lt;"&amp;B204+1,'Исходник — лиды'!$C$2:$C$1567,"Качественный лид")</f>
        <v>0</v>
      </c>
      <c r="F204">
        <v>29</v>
      </c>
      <c r="G204" s="5">
        <f t="shared" si="3"/>
        <v>0</v>
      </c>
    </row>
    <row r="205" spans="1:7" x14ac:dyDescent="0.25">
      <c r="A205" s="3">
        <v>45957</v>
      </c>
      <c r="B205" s="3">
        <v>45963</v>
      </c>
      <c r="C205" t="s">
        <v>2133</v>
      </c>
      <c r="D205">
        <f>COUNTIFS('Исходник — лиды'!$H$2:$H$1567,"&gt;="&amp;A205,'Исходник — лиды'!$H$2:$H$1567,"&lt;"&amp;B205+1)</f>
        <v>2</v>
      </c>
      <c r="E205">
        <f>COUNTIFS('Исходник — лиды'!$H$2:$H$1567,"&gt;="&amp;A205,'Исходник — лиды'!$H$2:$H$1567,"&lt;"&amp;B205+1,'Исходник — лиды'!$C$2:$C$1567,"Качественный лид")</f>
        <v>2</v>
      </c>
      <c r="F205">
        <v>65</v>
      </c>
      <c r="G205" s="5">
        <f t="shared" si="3"/>
        <v>1</v>
      </c>
    </row>
    <row r="206" spans="1:7" x14ac:dyDescent="0.25">
      <c r="A206" s="3">
        <v>45964</v>
      </c>
      <c r="B206" s="3">
        <v>45970</v>
      </c>
      <c r="C206" t="s">
        <v>2134</v>
      </c>
      <c r="D206">
        <f>COUNTIFS('Исходник — лиды'!$H$2:$H$1567,"&gt;="&amp;A206,'Исходник — лиды'!$H$2:$H$1567,"&lt;"&amp;B206+1)</f>
        <v>1</v>
      </c>
      <c r="E206">
        <f>COUNTIFS('Исходник — лиды'!$H$2:$H$1567,"&gt;="&amp;A206,'Исходник — лиды'!$H$2:$H$1567,"&lt;"&amp;B206+1,'Исходник — лиды'!$C$2:$C$1567,"Качественный лид")</f>
        <v>1</v>
      </c>
      <c r="F206">
        <v>68</v>
      </c>
      <c r="G206" s="5">
        <f t="shared" si="3"/>
        <v>1</v>
      </c>
    </row>
    <row r="207" spans="1:7" x14ac:dyDescent="0.25">
      <c r="A207" s="3">
        <v>45971</v>
      </c>
      <c r="B207" s="3">
        <v>45977</v>
      </c>
      <c r="C207" t="s">
        <v>2135</v>
      </c>
      <c r="D207">
        <f>COUNTIFS('Исходник — лиды'!$H$2:$H$1567,"&gt;="&amp;A207,'Исходник — лиды'!$H$2:$H$1567,"&lt;"&amp;B207+1)</f>
        <v>4</v>
      </c>
      <c r="E207">
        <f>COUNTIFS('Исходник — лиды'!$H$2:$H$1567,"&gt;="&amp;A207,'Исходник — лиды'!$H$2:$H$1567,"&lt;"&amp;B207+1,'Исходник — лиды'!$C$2:$C$1567,"Качественный лид")</f>
        <v>4</v>
      </c>
      <c r="F207">
        <v>48</v>
      </c>
      <c r="G207" s="5">
        <f t="shared" si="3"/>
        <v>1</v>
      </c>
    </row>
    <row r="208" spans="1:7" x14ac:dyDescent="0.25">
      <c r="A208" s="3">
        <v>45978</v>
      </c>
      <c r="B208" s="3">
        <v>45984</v>
      </c>
      <c r="C208" t="s">
        <v>2136</v>
      </c>
      <c r="D208">
        <f>COUNTIFS('Исходник — лиды'!$H$2:$H$1567,"&gt;="&amp;A208,'Исходник — лиды'!$H$2:$H$1567,"&lt;"&amp;B208+1)</f>
        <v>2</v>
      </c>
      <c r="E208">
        <f>COUNTIFS('Исходник — лиды'!$H$2:$H$1567,"&gt;="&amp;A208,'Исходник — лиды'!$H$2:$H$1567,"&lt;"&amp;B208+1,'Исходник — лиды'!$C$2:$C$1567,"Качественный лид")</f>
        <v>2</v>
      </c>
      <c r="F208">
        <v>51</v>
      </c>
      <c r="G208" s="5">
        <f t="shared" si="3"/>
        <v>1</v>
      </c>
    </row>
    <row r="209" spans="1:7" x14ac:dyDescent="0.25">
      <c r="A209" s="3">
        <v>45985</v>
      </c>
      <c r="B209" s="3">
        <v>45991</v>
      </c>
      <c r="C209" t="s">
        <v>2137</v>
      </c>
      <c r="D209">
        <f>COUNTIFS('Исходник — лиды'!$H$2:$H$1567,"&gt;="&amp;A209,'Исходник — лиды'!$H$2:$H$1567,"&lt;"&amp;B209+1)</f>
        <v>3</v>
      </c>
      <c r="E209">
        <f>COUNTIFS('Исходник — лиды'!$H$2:$H$1567,"&gt;="&amp;A209,'Исходник — лиды'!$H$2:$H$1567,"&lt;"&amp;B209+1,'Исходник — лиды'!$C$2:$C$1567,"Качественный лид")</f>
        <v>3</v>
      </c>
      <c r="F209">
        <v>34</v>
      </c>
      <c r="G209" s="5">
        <f t="shared" si="3"/>
        <v>1</v>
      </c>
    </row>
    <row r="210" spans="1:7" x14ac:dyDescent="0.25">
      <c r="A210" s="3">
        <v>45992</v>
      </c>
      <c r="B210" s="3">
        <v>45998</v>
      </c>
      <c r="C210" t="s">
        <v>2138</v>
      </c>
      <c r="D210">
        <f>COUNTIFS('Исходник — лиды'!$H$2:$H$1567,"&gt;="&amp;A210,'Исходник — лиды'!$H$2:$H$1567,"&lt;"&amp;B210+1)</f>
        <v>1</v>
      </c>
      <c r="E210">
        <f>COUNTIFS('Исходник — лиды'!$H$2:$H$1567,"&gt;="&amp;A210,'Исходник — лиды'!$H$2:$H$1567,"&lt;"&amp;B210+1,'Исходник — лиды'!$C$2:$C$1567,"Качественный лид")</f>
        <v>1</v>
      </c>
      <c r="F210">
        <v>37</v>
      </c>
      <c r="G210" s="5">
        <f t="shared" si="3"/>
        <v>1</v>
      </c>
    </row>
    <row r="211" spans="1:7" x14ac:dyDescent="0.25">
      <c r="A211" s="3">
        <v>45999</v>
      </c>
      <c r="B211" s="3">
        <v>46005</v>
      </c>
      <c r="C211" t="s">
        <v>2139</v>
      </c>
      <c r="D211">
        <f>COUNTIFS('Исходник — лиды'!$H$2:$H$1567,"&gt;="&amp;A211,'Исходник — лиды'!$H$2:$H$1567,"&lt;"&amp;B211+1)</f>
        <v>3</v>
      </c>
      <c r="E211">
        <f>COUNTIFS('Исходник — лиды'!$H$2:$H$1567,"&gt;="&amp;A211,'Исходник — лиды'!$H$2:$H$1567,"&lt;"&amp;B211+1,'Исходник — лиды'!$C$2:$C$1567,"Качественный лид")</f>
        <v>3</v>
      </c>
      <c r="F211">
        <v>45</v>
      </c>
      <c r="G211" s="5">
        <f t="shared" si="3"/>
        <v>1</v>
      </c>
    </row>
    <row r="212" spans="1:7" x14ac:dyDescent="0.25">
      <c r="A212" s="3">
        <v>46006</v>
      </c>
      <c r="B212" s="3">
        <v>46012</v>
      </c>
      <c r="C212" t="s">
        <v>2140</v>
      </c>
      <c r="D212">
        <f>COUNTIFS('Исходник — лиды'!$H$2:$H$1567,"&gt;="&amp;A212,'Исходник — лиды'!$H$2:$H$1567,"&lt;"&amp;B212+1)</f>
        <v>1</v>
      </c>
      <c r="E212">
        <f>COUNTIFS('Исходник — лиды'!$H$2:$H$1567,"&gt;="&amp;A212,'Исходник — лиды'!$H$2:$H$1567,"&lt;"&amp;B212+1,'Исходник — лиды'!$C$2:$C$1567,"Качественный лид")</f>
        <v>1</v>
      </c>
      <c r="F212">
        <v>22</v>
      </c>
      <c r="G212" s="5">
        <f t="shared" si="3"/>
        <v>1</v>
      </c>
    </row>
    <row r="213" spans="1:7" x14ac:dyDescent="0.25">
      <c r="A213" s="3">
        <v>46013</v>
      </c>
      <c r="B213" s="3">
        <v>46019</v>
      </c>
      <c r="C213" t="s">
        <v>2141</v>
      </c>
      <c r="D213">
        <f>COUNTIFS('Исходник — лиды'!$H$2:$H$1567,"&gt;="&amp;A213,'Исходник — лиды'!$H$2:$H$1567,"&lt;"&amp;B213+1)</f>
        <v>1</v>
      </c>
      <c r="E213">
        <f>COUNTIFS('Исходник — лиды'!$H$2:$H$1567,"&gt;="&amp;A213,'Исходник — лиды'!$H$2:$H$1567,"&lt;"&amp;B213+1,'Исходник — лиды'!$C$2:$C$1567,"Качественный лид")</f>
        <v>1</v>
      </c>
      <c r="F213">
        <v>22</v>
      </c>
      <c r="G213" s="5">
        <f t="shared" si="3"/>
        <v>1</v>
      </c>
    </row>
    <row r="214" spans="1:7" x14ac:dyDescent="0.25">
      <c r="A214" s="3">
        <v>46020</v>
      </c>
      <c r="B214" s="3">
        <v>46026</v>
      </c>
      <c r="C214" t="s">
        <v>2142</v>
      </c>
      <c r="D214">
        <f>COUNTIFS('Исходник — лиды'!$H$2:$H$1567,"&gt;="&amp;A214,'Исходник — лиды'!$H$2:$H$1567,"&lt;"&amp;B214+1)</f>
        <v>0</v>
      </c>
      <c r="E214">
        <f>COUNTIFS('Исходник — лиды'!$H$2:$H$1567,"&gt;="&amp;A214,'Исходник — лиды'!$H$2:$H$1567,"&lt;"&amp;B214+1,'Исходник — лиды'!$C$2:$C$1567,"Качественный лид")</f>
        <v>0</v>
      </c>
      <c r="F214">
        <v>23</v>
      </c>
      <c r="G214" s="5">
        <f t="shared" si="3"/>
        <v>0</v>
      </c>
    </row>
    <row r="215" spans="1:7" x14ac:dyDescent="0.25">
      <c r="A215" s="3">
        <v>46027</v>
      </c>
      <c r="B215" s="3">
        <v>46033</v>
      </c>
      <c r="C215" t="s">
        <v>2143</v>
      </c>
      <c r="D215">
        <f>COUNTIFS('Исходник — лиды'!$H$2:$H$1567,"&gt;="&amp;A215,'Исходник — лиды'!$H$2:$H$1567,"&lt;"&amp;B215+1)</f>
        <v>0</v>
      </c>
      <c r="E215">
        <f>COUNTIFS('Исходник — лиды'!$H$2:$H$1567,"&gt;="&amp;A215,'Исходник — лиды'!$H$2:$H$1567,"&lt;"&amp;B215+1,'Исходник — лиды'!$C$2:$C$1567,"Качественный лид")</f>
        <v>0</v>
      </c>
      <c r="F215">
        <v>23</v>
      </c>
      <c r="G215" s="5">
        <f t="shared" si="3"/>
        <v>0</v>
      </c>
    </row>
    <row r="216" spans="1:7" x14ac:dyDescent="0.25">
      <c r="A216" s="3">
        <v>46034</v>
      </c>
      <c r="B216" s="3">
        <v>46040</v>
      </c>
      <c r="C216" t="s">
        <v>2144</v>
      </c>
      <c r="D216">
        <f>COUNTIFS('Исходник — лиды'!$H$2:$H$1567,"&gt;="&amp;A216,'Исходник — лиды'!$H$2:$H$1567,"&lt;"&amp;B216+1)</f>
        <v>2</v>
      </c>
      <c r="E216">
        <f>COUNTIFS('Исходник — лиды'!$H$2:$H$1567,"&gt;="&amp;A216,'Исходник — лиды'!$H$2:$H$1567,"&lt;"&amp;B216+1,'Исходник — лиды'!$C$2:$C$1567,"Качественный лид")</f>
        <v>2</v>
      </c>
      <c r="F216">
        <v>20</v>
      </c>
      <c r="G216" s="5">
        <f t="shared" si="3"/>
        <v>1</v>
      </c>
    </row>
    <row r="217" spans="1:7" x14ac:dyDescent="0.25">
      <c r="A217" s="3">
        <v>46041</v>
      </c>
      <c r="B217" s="3">
        <v>46047</v>
      </c>
      <c r="C217" t="s">
        <v>2145</v>
      </c>
      <c r="D217">
        <f>COUNTIFS('Исходник — лиды'!$H$2:$H$1567,"&gt;="&amp;A217,'Исходник — лиды'!$H$2:$H$1567,"&lt;"&amp;B217+1)</f>
        <v>0</v>
      </c>
      <c r="E217">
        <f>COUNTIFS('Исходник — лиды'!$H$2:$H$1567,"&gt;="&amp;A217,'Исходник — лиды'!$H$2:$H$1567,"&lt;"&amp;B217+1,'Исходник — лиды'!$C$2:$C$1567,"Качественный лид")</f>
        <v>0</v>
      </c>
      <c r="F217">
        <v>37</v>
      </c>
      <c r="G217" s="5">
        <f t="shared" si="3"/>
        <v>0</v>
      </c>
    </row>
    <row r="218" spans="1:7" x14ac:dyDescent="0.25">
      <c r="A218" s="3">
        <v>46048</v>
      </c>
      <c r="B218" s="3">
        <v>46054</v>
      </c>
      <c r="C218" t="s">
        <v>2146</v>
      </c>
      <c r="D218">
        <f>COUNTIFS('Исходник — лиды'!$H$2:$H$1567,"&gt;="&amp;A218,'Исходник — лиды'!$H$2:$H$1567,"&lt;"&amp;B218+1)</f>
        <v>2</v>
      </c>
      <c r="E218">
        <f>COUNTIFS('Исходник — лиды'!$H$2:$H$1567,"&gt;="&amp;A218,'Исходник — лиды'!$H$2:$H$1567,"&lt;"&amp;B218+1,'Исходник — лиды'!$C$2:$C$1567,"Качественный лид")</f>
        <v>2</v>
      </c>
      <c r="F218">
        <v>39</v>
      </c>
      <c r="G218" s="5">
        <f t="shared" si="3"/>
        <v>1</v>
      </c>
    </row>
    <row r="219" spans="1:7" x14ac:dyDescent="0.25">
      <c r="A219" s="3">
        <v>46055</v>
      </c>
      <c r="B219" s="3">
        <v>46061</v>
      </c>
      <c r="C219" t="s">
        <v>2147</v>
      </c>
      <c r="D219">
        <f>COUNTIFS('Исходник — лиды'!$H$2:$H$1567,"&gt;="&amp;A219,'Исходник — лиды'!$H$2:$H$1567,"&lt;"&amp;B219+1)</f>
        <v>1</v>
      </c>
      <c r="E219">
        <f>COUNTIFS('Исходник — лиды'!$H$2:$H$1567,"&gt;="&amp;A219,'Исходник — лиды'!$H$2:$H$1567,"&lt;"&amp;B219+1,'Исходник — лиды'!$C$2:$C$1567,"Качественный лид")</f>
        <v>1</v>
      </c>
      <c r="F219">
        <v>42</v>
      </c>
      <c r="G219" s="5">
        <f t="shared" si="3"/>
        <v>1</v>
      </c>
    </row>
    <row r="220" spans="1:7" x14ac:dyDescent="0.25">
      <c r="A220" s="3">
        <v>46062</v>
      </c>
      <c r="B220" s="3">
        <v>46068</v>
      </c>
      <c r="C220" t="s">
        <v>2148</v>
      </c>
      <c r="D220">
        <f>COUNTIFS('Исходник — лиды'!$H$2:$H$1567,"&gt;="&amp;A220,'Исходник — лиды'!$H$2:$H$1567,"&lt;"&amp;B220+1)</f>
        <v>0</v>
      </c>
      <c r="E220">
        <f>COUNTIFS('Исходник — лиды'!$H$2:$H$1567,"&gt;="&amp;A220,'Исходник — лиды'!$H$2:$H$1567,"&lt;"&amp;B220+1,'Исходник — лиды'!$C$2:$C$1567,"Качественный лид")</f>
        <v>0</v>
      </c>
      <c r="F220">
        <v>33</v>
      </c>
      <c r="G220" s="5">
        <f t="shared" si="3"/>
        <v>0</v>
      </c>
    </row>
    <row r="221" spans="1:7" x14ac:dyDescent="0.25">
      <c r="A221" s="3">
        <v>46069</v>
      </c>
      <c r="B221" s="3">
        <v>46075</v>
      </c>
      <c r="C221" t="s">
        <v>2149</v>
      </c>
      <c r="D221">
        <f>COUNTIFS('Исходник — лиды'!$H$2:$H$1567,"&gt;="&amp;A221,'Исходник — лиды'!$H$2:$H$1567,"&lt;"&amp;B221+1)</f>
        <v>5</v>
      </c>
      <c r="E221">
        <f>COUNTIFS('Исходник — лиды'!$H$2:$H$1567,"&gt;="&amp;A221,'Исходник — лиды'!$H$2:$H$1567,"&lt;"&amp;B221+1,'Исходник — лиды'!$C$2:$C$1567,"Качественный лид")</f>
        <v>4</v>
      </c>
      <c r="F221">
        <v>28</v>
      </c>
      <c r="G221" s="5">
        <f t="shared" si="3"/>
        <v>0.8</v>
      </c>
    </row>
    <row r="222" spans="1:7" x14ac:dyDescent="0.25">
      <c r="A222" s="3">
        <v>46076</v>
      </c>
      <c r="B222" s="3">
        <v>46082</v>
      </c>
      <c r="C222" t="s">
        <v>2150</v>
      </c>
      <c r="D222">
        <f>COUNTIFS('Исходник — лиды'!$H$2:$H$1567,"&gt;="&amp;A222,'Исходник — лиды'!$H$2:$H$1567,"&lt;"&amp;B222+1)</f>
        <v>1</v>
      </c>
      <c r="E222">
        <f>COUNTIFS('Исходник — лиды'!$H$2:$H$1567,"&gt;="&amp;A222,'Исходник — лиды'!$H$2:$H$1567,"&lt;"&amp;B222+1,'Исходник — лиды'!$C$2:$C$1567,"Качественный лид")</f>
        <v>1</v>
      </c>
      <c r="F222">
        <v>35</v>
      </c>
      <c r="G222" s="5">
        <f t="shared" si="3"/>
        <v>1</v>
      </c>
    </row>
    <row r="223" spans="1:7" x14ac:dyDescent="0.25">
      <c r="A223" s="3">
        <v>46083</v>
      </c>
      <c r="B223" s="3">
        <v>46089</v>
      </c>
      <c r="C223" t="s">
        <v>2151</v>
      </c>
      <c r="D223">
        <f>COUNTIFS('Исходник — лиды'!$H$2:$H$1567,"&gt;="&amp;A223,'Исходник — лиды'!$H$2:$H$1567,"&lt;"&amp;B223+1)</f>
        <v>1</v>
      </c>
      <c r="E223">
        <f>COUNTIFS('Исходник — лиды'!$H$2:$H$1567,"&gt;="&amp;A223,'Исходник — лиды'!$H$2:$H$1567,"&lt;"&amp;B223+1,'Исходник — лиды'!$C$2:$C$1567,"Качественный лид")</f>
        <v>1</v>
      </c>
      <c r="F223">
        <v>31</v>
      </c>
      <c r="G223" s="5">
        <f t="shared" si="3"/>
        <v>1</v>
      </c>
    </row>
    <row r="224" spans="1:7" x14ac:dyDescent="0.25">
      <c r="A224" s="3">
        <v>46090</v>
      </c>
      <c r="B224" s="3">
        <v>46096</v>
      </c>
      <c r="C224" t="s">
        <v>2152</v>
      </c>
      <c r="D224">
        <f>COUNTIFS('Исходник — лиды'!$H$2:$H$1567,"&gt;="&amp;A224,'Исходник — лиды'!$H$2:$H$1567,"&lt;"&amp;B224+1)</f>
        <v>7</v>
      </c>
      <c r="E224">
        <f>COUNTIFS('Исходник — лиды'!$H$2:$H$1567,"&gt;="&amp;A224,'Исходник — лиды'!$H$2:$H$1567,"&lt;"&amp;B224+1,'Исходник — лиды'!$C$2:$C$1567,"Качественный лид")</f>
        <v>7</v>
      </c>
      <c r="F224">
        <v>30</v>
      </c>
      <c r="G224" s="5">
        <f t="shared" si="3"/>
        <v>1</v>
      </c>
    </row>
    <row r="225" spans="1:7" x14ac:dyDescent="0.25">
      <c r="A225" s="3">
        <v>46097</v>
      </c>
      <c r="B225" s="3">
        <v>46103</v>
      </c>
      <c r="C225" t="s">
        <v>2153</v>
      </c>
      <c r="D225">
        <f>COUNTIFS('Исходник — лиды'!$H$2:$H$1567,"&gt;="&amp;A225,'Исходник — лиды'!$H$2:$H$1567,"&lt;"&amp;B225+1)</f>
        <v>2</v>
      </c>
      <c r="E225">
        <f>COUNTIFS('Исходник — лиды'!$H$2:$H$1567,"&gt;="&amp;A225,'Исходник — лиды'!$H$2:$H$1567,"&lt;"&amp;B225+1,'Исходник — лиды'!$C$2:$C$1567,"Качественный лид")</f>
        <v>2</v>
      </c>
      <c r="F225">
        <v>56</v>
      </c>
      <c r="G225" s="5">
        <f t="shared" si="3"/>
        <v>1</v>
      </c>
    </row>
    <row r="226" spans="1:7" x14ac:dyDescent="0.25">
      <c r="A226" s="3">
        <v>46104</v>
      </c>
      <c r="B226" s="3">
        <v>46110</v>
      </c>
      <c r="C226" t="s">
        <v>2154</v>
      </c>
      <c r="D226">
        <f>COUNTIFS('Исходник — лиды'!$H$2:$H$1567,"&gt;="&amp;A226,'Исходник — лиды'!$H$2:$H$1567,"&lt;"&amp;B226+1)</f>
        <v>3</v>
      </c>
      <c r="E226">
        <f>COUNTIFS('Исходник — лиды'!$H$2:$H$1567,"&gt;="&amp;A226,'Исходник — лиды'!$H$2:$H$1567,"&lt;"&amp;B226+1,'Исходник — лиды'!$C$2:$C$1567,"Качественный лид")</f>
        <v>3</v>
      </c>
      <c r="F226">
        <v>43</v>
      </c>
      <c r="G226" s="5">
        <f t="shared" si="3"/>
        <v>1</v>
      </c>
    </row>
    <row r="227" spans="1:7" x14ac:dyDescent="0.25">
      <c r="A227" s="3">
        <v>46111</v>
      </c>
      <c r="B227" s="3">
        <v>46117</v>
      </c>
      <c r="C227" t="s">
        <v>2155</v>
      </c>
      <c r="D227">
        <f>COUNTIFS('Исходник — лиды'!$H$2:$H$1567,"&gt;="&amp;A227,'Исходник — лиды'!$H$2:$H$1567,"&lt;"&amp;B227+1)</f>
        <v>2</v>
      </c>
      <c r="E227">
        <f>COUNTIFS('Исходник — лиды'!$H$2:$H$1567,"&gt;="&amp;A227,'Исходник — лиды'!$H$2:$H$1567,"&lt;"&amp;B227+1,'Исходник — лиды'!$C$2:$C$1567,"Качественный лид")</f>
        <v>2</v>
      </c>
      <c r="F227">
        <v>87</v>
      </c>
      <c r="G227" s="5">
        <f t="shared" si="3"/>
        <v>1</v>
      </c>
    </row>
    <row r="228" spans="1:7" x14ac:dyDescent="0.25">
      <c r="A228" s="3">
        <v>46118</v>
      </c>
      <c r="B228" s="3">
        <v>46124</v>
      </c>
      <c r="C228" t="s">
        <v>2156</v>
      </c>
      <c r="D228">
        <f>COUNTIFS('Исходник — лиды'!$H$2:$H$1567,"&gt;="&amp;A228,'Исходник — лиды'!$H$2:$H$1567,"&lt;"&amp;B228+1)</f>
        <v>3</v>
      </c>
      <c r="E228">
        <f>COUNTIFS('Исходник — лиды'!$H$2:$H$1567,"&gt;="&amp;A228,'Исходник — лиды'!$H$2:$H$1567,"&lt;"&amp;B228+1,'Исходник — лиды'!$C$2:$C$1567,"Качественный лид")</f>
        <v>3</v>
      </c>
      <c r="F228">
        <v>60</v>
      </c>
      <c r="G228" s="5">
        <f t="shared" si="3"/>
        <v>1</v>
      </c>
    </row>
    <row r="229" spans="1:7" x14ac:dyDescent="0.25">
      <c r="A229" s="3">
        <v>46125</v>
      </c>
      <c r="B229" s="3">
        <v>46131</v>
      </c>
      <c r="C229" t="s">
        <v>2157</v>
      </c>
      <c r="D229">
        <f>COUNTIFS('Исходник — лиды'!$H$2:$H$1567,"&gt;="&amp;A229,'Исходник — лиды'!$H$2:$H$1567,"&lt;"&amp;B229+1)</f>
        <v>6</v>
      </c>
      <c r="E229">
        <f>COUNTIFS('Исходник — лиды'!$H$2:$H$1567,"&gt;="&amp;A229,'Исходник — лиды'!$H$2:$H$1567,"&lt;"&amp;B229+1,'Исходник — лиды'!$C$2:$C$1567,"Качественный лид")</f>
        <v>6</v>
      </c>
      <c r="F229">
        <v>56</v>
      </c>
      <c r="G229" s="5">
        <f t="shared" si="3"/>
        <v>1</v>
      </c>
    </row>
    <row r="230" spans="1:7" x14ac:dyDescent="0.25">
      <c r="A230" s="3">
        <v>46132</v>
      </c>
      <c r="B230" s="3">
        <v>46138</v>
      </c>
      <c r="C230" t="s">
        <v>2158</v>
      </c>
      <c r="D230">
        <f>COUNTIFS('Исходник — лиды'!$H$2:$H$1567,"&gt;="&amp;A230,'Исходник — лиды'!$H$2:$H$1567,"&lt;"&amp;B230+1)</f>
        <v>3</v>
      </c>
      <c r="E230">
        <f>COUNTIFS('Исходник — лиды'!$H$2:$H$1567,"&gt;="&amp;A230,'Исходник — лиды'!$H$2:$H$1567,"&lt;"&amp;B230+1,'Исходник — лиды'!$C$2:$C$1567,"Качественный лид")</f>
        <v>3</v>
      </c>
      <c r="F230">
        <v>83</v>
      </c>
      <c r="G230" s="5">
        <f t="shared" si="3"/>
        <v>1</v>
      </c>
    </row>
    <row r="231" spans="1:7" x14ac:dyDescent="0.25">
      <c r="A231" s="3">
        <v>46139</v>
      </c>
      <c r="B231" s="3">
        <v>46145</v>
      </c>
      <c r="C231" t="s">
        <v>2159</v>
      </c>
      <c r="D231">
        <f>COUNTIFS('Исходник — лиды'!$H$2:$H$1567,"&gt;="&amp;A231,'Исходник — лиды'!$H$2:$H$1567,"&lt;"&amp;B231+1)</f>
        <v>2</v>
      </c>
      <c r="E231">
        <f>COUNTIFS('Исходник — лиды'!$H$2:$H$1567,"&gt;="&amp;A231,'Исходник — лиды'!$H$2:$H$1567,"&lt;"&amp;B231+1,'Исходник — лиды'!$C$2:$C$1567,"Качественный лид")</f>
        <v>2</v>
      </c>
      <c r="F231">
        <v>78</v>
      </c>
      <c r="G231" s="5">
        <f t="shared" si="3"/>
        <v>1</v>
      </c>
    </row>
    <row r="232" spans="1:7" x14ac:dyDescent="0.25">
      <c r="A232" s="3">
        <v>46146</v>
      </c>
      <c r="B232" s="3">
        <v>46152</v>
      </c>
      <c r="C232" t="s">
        <v>2160</v>
      </c>
      <c r="D232">
        <f>COUNTIFS('Исходник — лиды'!$H$2:$H$1567,"&gt;="&amp;A232,'Исходник — лиды'!$H$2:$H$1567,"&lt;"&amp;B232+1)</f>
        <v>2</v>
      </c>
      <c r="E232">
        <f>COUNTIFS('Исходник — лиды'!$H$2:$H$1567,"&gt;="&amp;A232,'Исходник — лиды'!$H$2:$H$1567,"&lt;"&amp;B232+1,'Исходник — лиды'!$C$2:$C$1567,"Качественный лид")</f>
        <v>2</v>
      </c>
      <c r="F232">
        <v>64</v>
      </c>
      <c r="G232" s="5">
        <f t="shared" si="3"/>
        <v>1</v>
      </c>
    </row>
    <row r="233" spans="1:7" x14ac:dyDescent="0.25">
      <c r="A233" s="3">
        <v>46153</v>
      </c>
      <c r="B233" s="3">
        <v>46159</v>
      </c>
      <c r="C233" t="s">
        <v>2161</v>
      </c>
      <c r="D233">
        <f>COUNTIFS('Исходник — лиды'!$H$2:$H$1567,"&gt;="&amp;A233,'Исходник — лиды'!$H$2:$H$1567,"&lt;"&amp;B233+1)</f>
        <v>0</v>
      </c>
      <c r="E233">
        <f>COUNTIFS('Исходник — лиды'!$H$2:$H$1567,"&gt;="&amp;A233,'Исходник — лиды'!$H$2:$H$1567,"&lt;"&amp;B233+1,'Исходник — лиды'!$C$2:$C$1567,"Качественный лид")</f>
        <v>0</v>
      </c>
      <c r="F233">
        <v>71</v>
      </c>
      <c r="G233" s="5">
        <f t="shared" si="3"/>
        <v>0</v>
      </c>
    </row>
    <row r="234" spans="1:7" x14ac:dyDescent="0.25">
      <c r="A234" s="3">
        <v>46160</v>
      </c>
      <c r="B234" s="3">
        <v>46166</v>
      </c>
      <c r="C234" t="s">
        <v>2162</v>
      </c>
      <c r="D234">
        <f>COUNTIFS('Исходник — лиды'!$H$2:$H$1567,"&gt;="&amp;A234,'Исходник — лиды'!$H$2:$H$1567,"&lt;"&amp;B234+1)</f>
        <v>2</v>
      </c>
      <c r="E234">
        <f>COUNTIFS('Исходник — лиды'!$H$2:$H$1567,"&gt;="&amp;A234,'Исходник — лиды'!$H$2:$H$1567,"&lt;"&amp;B234+1,'Исходник — лиды'!$C$2:$C$1567,"Качественный лид")</f>
        <v>1</v>
      </c>
      <c r="F234">
        <v>89</v>
      </c>
      <c r="G234" s="5">
        <f t="shared" si="3"/>
        <v>0.5</v>
      </c>
    </row>
    <row r="235" spans="1:7" x14ac:dyDescent="0.25">
      <c r="A235" s="3">
        <v>46167</v>
      </c>
      <c r="B235" s="3">
        <v>46173</v>
      </c>
      <c r="C235" t="s">
        <v>2163</v>
      </c>
      <c r="D235">
        <f>COUNTIFS('Исходник — лиды'!$H$2:$H$1567,"&gt;="&amp;A235,'Исходник — лиды'!$H$2:$H$1567,"&lt;"&amp;B235+1)</f>
        <v>1</v>
      </c>
      <c r="E235">
        <f>COUNTIFS('Исходник — лиды'!$H$2:$H$1567,"&gt;="&amp;A235,'Исходник — лиды'!$H$2:$H$1567,"&lt;"&amp;B235+1,'Исходник — лиды'!$C$2:$C$1567,"Качественный лид")</f>
        <v>0</v>
      </c>
      <c r="F235">
        <v>62</v>
      </c>
      <c r="G235" s="5">
        <f t="shared" si="3"/>
        <v>0</v>
      </c>
    </row>
    <row r="236" spans="1:7" x14ac:dyDescent="0.25">
      <c r="A236" s="3">
        <v>46174</v>
      </c>
      <c r="B236" s="3">
        <v>46180</v>
      </c>
      <c r="C236" t="s">
        <v>2164</v>
      </c>
      <c r="D236">
        <f>COUNTIFS('Исходник — лиды'!$H$2:$H$1567,"&gt;="&amp;A236,'Исходник — лиды'!$H$2:$H$1567,"&lt;"&amp;B236+1)</f>
        <v>3</v>
      </c>
      <c r="E236">
        <f>COUNTIFS('Исходник — лиды'!$H$2:$H$1567,"&gt;="&amp;A236,'Исходник — лиды'!$H$2:$H$1567,"&lt;"&amp;B236+1,'Исходник — лиды'!$C$2:$C$1567,"Качественный лид")</f>
        <v>1</v>
      </c>
      <c r="F236">
        <v>89</v>
      </c>
      <c r="G236" s="5">
        <f t="shared" si="3"/>
        <v>0.33333333333333331</v>
      </c>
    </row>
    <row r="237" spans="1:7" x14ac:dyDescent="0.25">
      <c r="A237" s="3">
        <v>46181</v>
      </c>
      <c r="B237" s="3">
        <v>46187</v>
      </c>
      <c r="C237" t="s">
        <v>2165</v>
      </c>
      <c r="D237">
        <f>COUNTIFS('Исходник — лиды'!$H$2:$H$1567,"&gt;="&amp;A237,'Исходник — лиды'!$H$2:$H$1567,"&lt;"&amp;B237+1)</f>
        <v>6</v>
      </c>
      <c r="E237">
        <f>COUNTIFS('Исходник — лиды'!$H$2:$H$1567,"&gt;="&amp;A237,'Исходник — лиды'!$H$2:$H$1567,"&lt;"&amp;B237+1,'Исходник — лиды'!$C$2:$C$1567,"Качественный лид")</f>
        <v>5</v>
      </c>
      <c r="F237">
        <v>61</v>
      </c>
      <c r="G237" s="5">
        <f t="shared" si="3"/>
        <v>0.83333333333333337</v>
      </c>
    </row>
    <row r="238" spans="1:7" x14ac:dyDescent="0.25">
      <c r="A238" s="3">
        <v>46188</v>
      </c>
      <c r="B238" s="3">
        <v>46194</v>
      </c>
      <c r="C238" t="s">
        <v>2166</v>
      </c>
      <c r="D238">
        <f>COUNTIFS('Исходник — лиды'!$H$2:$H$1567,"&gt;="&amp;A238,'Исходник — лиды'!$H$2:$H$1567,"&lt;"&amp;B238+1)</f>
        <v>10</v>
      </c>
      <c r="E238">
        <f>COUNTIFS('Исходник — лиды'!$H$2:$H$1567,"&gt;="&amp;A238,'Исходник — лиды'!$H$2:$H$1567,"&lt;"&amp;B238+1,'Исходник — лиды'!$C$2:$C$1567,"Качественный лид")</f>
        <v>7</v>
      </c>
      <c r="F238">
        <v>53</v>
      </c>
      <c r="G238" s="5">
        <f t="shared" si="3"/>
        <v>0.7</v>
      </c>
    </row>
    <row r="239" spans="1:7" x14ac:dyDescent="0.25">
      <c r="A239" s="3">
        <v>46195</v>
      </c>
      <c r="B239" s="3">
        <v>46201</v>
      </c>
      <c r="C239" t="s">
        <v>2167</v>
      </c>
      <c r="D239">
        <f>COUNTIFS('Исходник — лиды'!$H$2:$H$1567,"&gt;="&amp;A239,'Исходник — лиды'!$H$2:$H$1567,"&lt;"&amp;B239+1)</f>
        <v>2</v>
      </c>
      <c r="E239">
        <f>COUNTIFS('Исходник — лиды'!$H$2:$H$1567,"&gt;="&amp;A239,'Исходник — лиды'!$H$2:$H$1567,"&lt;"&amp;B239+1,'Исходник — лиды'!$C$2:$C$1567,"Качественный лид")</f>
        <v>2</v>
      </c>
      <c r="F239">
        <v>39</v>
      </c>
      <c r="G239" s="5">
        <f t="shared" si="3"/>
        <v>1</v>
      </c>
    </row>
    <row r="240" spans="1:7" x14ac:dyDescent="0.25">
      <c r="A240" s="3">
        <v>46202</v>
      </c>
      <c r="B240" s="3">
        <v>46208</v>
      </c>
      <c r="C240" t="s">
        <v>2168</v>
      </c>
      <c r="D240">
        <f>COUNTIFS('Исходник — лиды'!$H$2:$H$1567,"&gt;="&amp;A240,'Исходник — лиды'!$H$2:$H$1567,"&lt;"&amp;B240+1)</f>
        <v>1</v>
      </c>
      <c r="E240">
        <f>COUNTIFS('Исходник — лиды'!$H$2:$H$1567,"&gt;="&amp;A240,'Исходник — лиды'!$H$2:$H$1567,"&lt;"&amp;B240+1,'Исходник — лиды'!$C$2:$C$1567,"Качественный лид")</f>
        <v>1</v>
      </c>
      <c r="F240">
        <v>52</v>
      </c>
      <c r="G240" s="5">
        <f t="shared" si="3"/>
        <v>1</v>
      </c>
    </row>
    <row r="241" spans="1:7" x14ac:dyDescent="0.25">
      <c r="A241" s="3">
        <v>46209</v>
      </c>
      <c r="B241" s="3">
        <v>46215</v>
      </c>
      <c r="C241" t="s">
        <v>2169</v>
      </c>
      <c r="D241">
        <f>COUNTIFS('Исходник — лиды'!$H$2:$H$1567,"&gt;="&amp;A241,'Исходник — лиды'!$H$2:$H$1567,"&lt;"&amp;B241+1)</f>
        <v>3</v>
      </c>
      <c r="E241">
        <f>COUNTIFS('Исходник — лиды'!$H$2:$H$1567,"&gt;="&amp;A241,'Исходник — лиды'!$H$2:$H$1567,"&lt;"&amp;B241+1,'Исходник — лиды'!$C$2:$C$1567,"Качественный лид")</f>
        <v>2</v>
      </c>
      <c r="F241">
        <v>85</v>
      </c>
      <c r="G241" s="5">
        <f t="shared" si="3"/>
        <v>0.66666666666666663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1567"/>
  <sheetViews>
    <sheetView workbookViewId="0"/>
  </sheetViews>
  <sheetFormatPr defaultRowHeight="15" x14ac:dyDescent="0.25"/>
  <cols>
    <col min="1" max="3" width="28.7109375" customWidth="1"/>
    <col min="4" max="4" width="14.28515625" bestFit="1" customWidth="1"/>
    <col min="5" max="5" width="28.7109375" customWidth="1"/>
    <col min="6" max="6" width="11.5703125" bestFit="1" customWidth="1"/>
    <col min="7" max="7" width="21.425781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19" bestFit="1" customWidth="1"/>
    <col min="14" max="14" width="15.140625" bestFit="1" customWidth="1"/>
    <col min="15" max="15" width="28.7109375" customWidth="1"/>
    <col min="16" max="16" width="15.7109375" bestFit="1" customWidth="1"/>
    <col min="17" max="17" width="16.5703125" bestFit="1" customWidth="1"/>
    <col min="18" max="18" width="18.7109375" bestFit="1" customWidth="1"/>
    <col min="19" max="19" width="13.42578125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16.85546875" bestFit="1" customWidth="1"/>
    <col min="25" max="25" width="22.140625" bestFit="1" customWidth="1"/>
    <col min="26" max="26" width="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42</v>
      </c>
      <c r="B2" t="s">
        <v>43</v>
      </c>
      <c r="C2" t="s">
        <v>44</v>
      </c>
      <c r="E2" t="s">
        <v>45</v>
      </c>
      <c r="G2" t="s">
        <v>46</v>
      </c>
      <c r="H2" s="2">
        <v>46218.800694444442</v>
      </c>
      <c r="I2" t="s">
        <v>28</v>
      </c>
      <c r="Z2">
        <v>114114</v>
      </c>
    </row>
    <row r="3" spans="1:26" x14ac:dyDescent="0.25">
      <c r="A3" t="s">
        <v>50</v>
      </c>
      <c r="B3" t="s">
        <v>38</v>
      </c>
      <c r="C3" t="s">
        <v>44</v>
      </c>
      <c r="E3" t="s">
        <v>41</v>
      </c>
      <c r="H3" s="2">
        <v>46217.831944444442</v>
      </c>
      <c r="I3" t="s">
        <v>28</v>
      </c>
      <c r="Z3">
        <v>114067</v>
      </c>
    </row>
    <row r="4" spans="1:26" x14ac:dyDescent="0.25">
      <c r="A4" t="s">
        <v>2187</v>
      </c>
      <c r="B4" t="s">
        <v>43</v>
      </c>
      <c r="C4" t="s">
        <v>44</v>
      </c>
      <c r="E4" t="s">
        <v>45</v>
      </c>
      <c r="G4" t="s">
        <v>46</v>
      </c>
      <c r="H4" s="2">
        <v>46217.742361111108</v>
      </c>
      <c r="I4" t="s">
        <v>47</v>
      </c>
      <c r="Z4">
        <v>114063</v>
      </c>
    </row>
    <row r="5" spans="1:26" x14ac:dyDescent="0.25">
      <c r="A5" t="s">
        <v>51</v>
      </c>
      <c r="B5" t="s">
        <v>38</v>
      </c>
      <c r="C5" t="s">
        <v>44</v>
      </c>
      <c r="E5" t="s">
        <v>52</v>
      </c>
      <c r="H5" s="2">
        <v>46217.553472222222</v>
      </c>
      <c r="I5" t="s">
        <v>28</v>
      </c>
      <c r="Z5">
        <v>114042</v>
      </c>
    </row>
    <row r="6" spans="1:26" x14ac:dyDescent="0.25">
      <c r="A6" t="s">
        <v>53</v>
      </c>
      <c r="B6" t="s">
        <v>38</v>
      </c>
      <c r="C6" t="s">
        <v>44</v>
      </c>
      <c r="E6" t="s">
        <v>54</v>
      </c>
      <c r="H6" s="2">
        <v>46217.540972222225</v>
      </c>
      <c r="I6" t="s">
        <v>28</v>
      </c>
      <c r="Z6">
        <v>114041</v>
      </c>
    </row>
    <row r="7" spans="1:26" x14ac:dyDescent="0.25">
      <c r="A7" t="s">
        <v>56</v>
      </c>
      <c r="B7" t="s">
        <v>38</v>
      </c>
      <c r="C7" t="s">
        <v>44</v>
      </c>
      <c r="E7" t="s">
        <v>57</v>
      </c>
      <c r="H7" s="2">
        <v>46217.375694444447</v>
      </c>
      <c r="I7" t="s">
        <v>28</v>
      </c>
      <c r="Z7">
        <v>114022</v>
      </c>
    </row>
    <row r="8" spans="1:26" x14ac:dyDescent="0.25">
      <c r="A8" t="s">
        <v>58</v>
      </c>
      <c r="B8" t="s">
        <v>38</v>
      </c>
      <c r="C8" t="s">
        <v>44</v>
      </c>
      <c r="E8" t="s">
        <v>59</v>
      </c>
      <c r="H8" s="2">
        <v>46217.373611111114</v>
      </c>
      <c r="I8" t="s">
        <v>28</v>
      </c>
      <c r="Z8">
        <v>114021</v>
      </c>
    </row>
    <row r="9" spans="1:26" x14ac:dyDescent="0.25">
      <c r="A9" t="s">
        <v>60</v>
      </c>
      <c r="B9" t="s">
        <v>38</v>
      </c>
      <c r="C9" t="s">
        <v>27</v>
      </c>
      <c r="E9" t="s">
        <v>61</v>
      </c>
      <c r="H9" s="2">
        <v>46211.991666666669</v>
      </c>
      <c r="I9" t="s">
        <v>28</v>
      </c>
      <c r="Z9">
        <v>113895</v>
      </c>
    </row>
    <row r="10" spans="1:26" x14ac:dyDescent="0.25">
      <c r="A10" t="s">
        <v>2188</v>
      </c>
      <c r="B10" t="s">
        <v>38</v>
      </c>
      <c r="C10" t="s">
        <v>27</v>
      </c>
      <c r="E10" t="s">
        <v>62</v>
      </c>
      <c r="H10" s="2">
        <v>46211.790972222225</v>
      </c>
      <c r="I10" t="s">
        <v>28</v>
      </c>
      <c r="Z10">
        <v>113891</v>
      </c>
    </row>
    <row r="11" spans="1:26" x14ac:dyDescent="0.25">
      <c r="A11" t="s">
        <v>2189</v>
      </c>
      <c r="C11" t="s">
        <v>67</v>
      </c>
      <c r="E11" t="s">
        <v>68</v>
      </c>
      <c r="H11" s="2">
        <v>46209.696527777778</v>
      </c>
      <c r="I11" t="s">
        <v>29</v>
      </c>
      <c r="K11" t="s">
        <v>63</v>
      </c>
      <c r="L11" t="s">
        <v>31</v>
      </c>
      <c r="M11">
        <v>708209804</v>
      </c>
      <c r="N11">
        <v>17710448884</v>
      </c>
      <c r="O11" t="s">
        <v>69</v>
      </c>
      <c r="Z11">
        <v>113811</v>
      </c>
    </row>
    <row r="12" spans="1:26" x14ac:dyDescent="0.25">
      <c r="A12" t="s">
        <v>2190</v>
      </c>
      <c r="C12" t="s">
        <v>27</v>
      </c>
      <c r="E12" t="s">
        <v>54</v>
      </c>
      <c r="H12" s="2">
        <v>46204.645833333336</v>
      </c>
      <c r="I12" t="s">
        <v>47</v>
      </c>
      <c r="K12" t="s">
        <v>63</v>
      </c>
      <c r="L12" t="s">
        <v>31</v>
      </c>
      <c r="M12">
        <v>708209804</v>
      </c>
      <c r="N12">
        <v>17710448884</v>
      </c>
      <c r="O12" t="s">
        <v>49</v>
      </c>
      <c r="Z12">
        <v>113646</v>
      </c>
    </row>
    <row r="13" spans="1:26" x14ac:dyDescent="0.25">
      <c r="A13" t="s">
        <v>77</v>
      </c>
      <c r="C13" t="s">
        <v>27</v>
      </c>
      <c r="E13" t="s">
        <v>78</v>
      </c>
      <c r="H13" s="2">
        <v>46200.643055555556</v>
      </c>
      <c r="I13" t="s">
        <v>47</v>
      </c>
      <c r="K13" t="s">
        <v>63</v>
      </c>
      <c r="L13" t="s">
        <v>31</v>
      </c>
      <c r="M13">
        <v>708209804</v>
      </c>
      <c r="N13">
        <v>17710448884</v>
      </c>
      <c r="O13" t="s">
        <v>49</v>
      </c>
      <c r="Z13">
        <v>113535</v>
      </c>
    </row>
    <row r="14" spans="1:26" x14ac:dyDescent="0.25">
      <c r="A14" t="s">
        <v>86</v>
      </c>
      <c r="C14" t="s">
        <v>27</v>
      </c>
      <c r="E14" t="s">
        <v>80</v>
      </c>
      <c r="H14" s="2">
        <v>46198.631249999999</v>
      </c>
      <c r="I14" t="s">
        <v>47</v>
      </c>
      <c r="K14" t="s">
        <v>63</v>
      </c>
      <c r="L14" t="s">
        <v>31</v>
      </c>
      <c r="M14">
        <v>708209804</v>
      </c>
      <c r="N14">
        <v>17710448884</v>
      </c>
      <c r="O14" t="s">
        <v>49</v>
      </c>
      <c r="Z14">
        <v>113469</v>
      </c>
    </row>
    <row r="15" spans="1:26" x14ac:dyDescent="0.25">
      <c r="A15" t="s">
        <v>82</v>
      </c>
      <c r="B15" t="s">
        <v>43</v>
      </c>
      <c r="C15" t="s">
        <v>27</v>
      </c>
      <c r="E15" t="s">
        <v>83</v>
      </c>
      <c r="G15" t="s">
        <v>84</v>
      </c>
      <c r="H15" s="2">
        <v>46193.902083333334</v>
      </c>
      <c r="I15" t="s">
        <v>29</v>
      </c>
      <c r="Z15">
        <v>113317</v>
      </c>
    </row>
    <row r="16" spans="1:26" x14ac:dyDescent="0.25">
      <c r="A16" t="s">
        <v>2191</v>
      </c>
      <c r="B16" t="s">
        <v>26</v>
      </c>
      <c r="C16" t="s">
        <v>27</v>
      </c>
      <c r="H16" s="2">
        <v>46193.661805555559</v>
      </c>
      <c r="I16" t="s">
        <v>29</v>
      </c>
      <c r="Z16">
        <v>113311</v>
      </c>
    </row>
    <row r="17" spans="1:26" x14ac:dyDescent="0.25">
      <c r="A17" t="s">
        <v>87</v>
      </c>
      <c r="B17" t="s">
        <v>43</v>
      </c>
      <c r="C17" t="s">
        <v>27</v>
      </c>
      <c r="E17" t="s">
        <v>85</v>
      </c>
      <c r="G17" t="s">
        <v>88</v>
      </c>
      <c r="H17" s="2">
        <v>46192.597222222219</v>
      </c>
      <c r="I17" t="s">
        <v>29</v>
      </c>
      <c r="Z17">
        <v>113276</v>
      </c>
    </row>
    <row r="18" spans="1:26" x14ac:dyDescent="0.25">
      <c r="A18" t="s">
        <v>89</v>
      </c>
      <c r="C18" t="s">
        <v>27</v>
      </c>
      <c r="E18" t="s">
        <v>90</v>
      </c>
      <c r="H18" s="2">
        <v>46191.402083333334</v>
      </c>
      <c r="I18" t="s">
        <v>47</v>
      </c>
      <c r="K18" t="s">
        <v>63</v>
      </c>
      <c r="L18" t="s">
        <v>31</v>
      </c>
      <c r="M18">
        <v>708209804</v>
      </c>
      <c r="N18">
        <v>17710448884</v>
      </c>
      <c r="O18" t="s">
        <v>49</v>
      </c>
      <c r="Z18">
        <v>113234</v>
      </c>
    </row>
    <row r="19" spans="1:26" x14ac:dyDescent="0.25">
      <c r="A19" t="s">
        <v>94</v>
      </c>
      <c r="B19" t="s">
        <v>91</v>
      </c>
      <c r="C19" t="s">
        <v>44</v>
      </c>
      <c r="E19" s="1" t="s">
        <v>95</v>
      </c>
      <c r="H19" s="2">
        <v>46189.49722222222</v>
      </c>
      <c r="I19" t="s">
        <v>37</v>
      </c>
      <c r="Z19">
        <v>113165</v>
      </c>
    </row>
    <row r="20" spans="1:26" x14ac:dyDescent="0.25">
      <c r="A20" t="s">
        <v>96</v>
      </c>
      <c r="B20" t="s">
        <v>48</v>
      </c>
      <c r="C20" t="s">
        <v>97</v>
      </c>
      <c r="E20" t="s">
        <v>81</v>
      </c>
      <c r="H20" s="2">
        <v>46189.364583333336</v>
      </c>
      <c r="I20" t="s">
        <v>98</v>
      </c>
      <c r="Z20">
        <v>113152</v>
      </c>
    </row>
    <row r="21" spans="1:26" x14ac:dyDescent="0.25">
      <c r="A21" t="s">
        <v>100</v>
      </c>
      <c r="B21" t="s">
        <v>26</v>
      </c>
      <c r="C21" t="s">
        <v>27</v>
      </c>
      <c r="H21" s="2">
        <v>46188.590277777781</v>
      </c>
      <c r="I21" t="s">
        <v>29</v>
      </c>
      <c r="Z21">
        <v>113118</v>
      </c>
    </row>
    <row r="22" spans="1:26" x14ac:dyDescent="0.25">
      <c r="A22" t="s">
        <v>101</v>
      </c>
      <c r="B22" t="s">
        <v>91</v>
      </c>
      <c r="C22" t="s">
        <v>27</v>
      </c>
      <c r="E22" s="1" t="s">
        <v>95</v>
      </c>
      <c r="H22" s="2">
        <v>46188.500694444447</v>
      </c>
      <c r="I22" t="s">
        <v>29</v>
      </c>
      <c r="Z22">
        <v>113105</v>
      </c>
    </row>
    <row r="23" spans="1:26" x14ac:dyDescent="0.25">
      <c r="A23" t="s">
        <v>102</v>
      </c>
      <c r="B23" t="s">
        <v>91</v>
      </c>
      <c r="C23" t="s">
        <v>103</v>
      </c>
      <c r="E23" s="1" t="s">
        <v>95</v>
      </c>
      <c r="H23" s="2">
        <v>46188.500694444447</v>
      </c>
      <c r="I23" t="s">
        <v>29</v>
      </c>
      <c r="Z23">
        <v>113103</v>
      </c>
    </row>
    <row r="24" spans="1:26" x14ac:dyDescent="0.25">
      <c r="A24" t="s">
        <v>104</v>
      </c>
      <c r="B24" t="s">
        <v>91</v>
      </c>
      <c r="C24" t="s">
        <v>27</v>
      </c>
      <c r="E24" s="1" t="s">
        <v>95</v>
      </c>
      <c r="H24" s="2">
        <v>46188.500694444447</v>
      </c>
      <c r="I24" t="s">
        <v>29</v>
      </c>
      <c r="Z24">
        <v>113102</v>
      </c>
    </row>
    <row r="25" spans="1:26" x14ac:dyDescent="0.25">
      <c r="A25" t="s">
        <v>105</v>
      </c>
      <c r="B25" t="s">
        <v>91</v>
      </c>
      <c r="C25" t="s">
        <v>27</v>
      </c>
      <c r="E25" s="1" t="s">
        <v>95</v>
      </c>
      <c r="H25" s="2">
        <v>46186.65625</v>
      </c>
      <c r="I25" t="s">
        <v>29</v>
      </c>
      <c r="Z25">
        <v>113064</v>
      </c>
    </row>
    <row r="26" spans="1:26" x14ac:dyDescent="0.25">
      <c r="A26" t="s">
        <v>393</v>
      </c>
      <c r="B26" t="s">
        <v>43</v>
      </c>
      <c r="C26" t="s">
        <v>27</v>
      </c>
      <c r="E26" t="s">
        <v>54</v>
      </c>
      <c r="G26" t="s">
        <v>106</v>
      </c>
      <c r="H26" s="2">
        <v>46186.468055555553</v>
      </c>
      <c r="I26" t="s">
        <v>29</v>
      </c>
      <c r="Z26">
        <v>113050</v>
      </c>
    </row>
    <row r="27" spans="1:26" x14ac:dyDescent="0.25">
      <c r="A27" t="s">
        <v>107</v>
      </c>
      <c r="B27" t="s">
        <v>43</v>
      </c>
      <c r="C27" t="s">
        <v>27</v>
      </c>
      <c r="E27" t="s">
        <v>108</v>
      </c>
      <c r="G27" t="s">
        <v>109</v>
      </c>
      <c r="H27" s="2">
        <v>46184.952777777777</v>
      </c>
      <c r="I27" t="s">
        <v>36</v>
      </c>
      <c r="Z27">
        <v>113028</v>
      </c>
    </row>
    <row r="28" spans="1:26" x14ac:dyDescent="0.25">
      <c r="A28" t="s">
        <v>110</v>
      </c>
      <c r="B28" t="s">
        <v>26</v>
      </c>
      <c r="C28" t="s">
        <v>27</v>
      </c>
      <c r="H28" s="2">
        <v>46182.486805555556</v>
      </c>
      <c r="I28" t="s">
        <v>29</v>
      </c>
      <c r="Z28">
        <v>112933</v>
      </c>
    </row>
    <row r="29" spans="1:26" x14ac:dyDescent="0.25">
      <c r="A29" t="s">
        <v>2192</v>
      </c>
      <c r="B29" t="s">
        <v>43</v>
      </c>
      <c r="C29" t="s">
        <v>44</v>
      </c>
      <c r="E29" t="s">
        <v>111</v>
      </c>
      <c r="G29" t="s">
        <v>112</v>
      </c>
      <c r="H29" s="2">
        <v>46181.783333333333</v>
      </c>
      <c r="I29" t="s">
        <v>47</v>
      </c>
      <c r="Z29">
        <v>112917</v>
      </c>
    </row>
    <row r="30" spans="1:26" x14ac:dyDescent="0.25">
      <c r="A30" t="s">
        <v>113</v>
      </c>
      <c r="B30" t="s">
        <v>91</v>
      </c>
      <c r="C30" t="s">
        <v>27</v>
      </c>
      <c r="E30" s="1" t="s">
        <v>95</v>
      </c>
      <c r="H30" s="2">
        <v>46181.462500000001</v>
      </c>
      <c r="I30" t="s">
        <v>29</v>
      </c>
      <c r="Z30">
        <v>112880</v>
      </c>
    </row>
    <row r="31" spans="1:26" x14ac:dyDescent="0.25">
      <c r="A31" t="s">
        <v>114</v>
      </c>
      <c r="B31" t="s">
        <v>43</v>
      </c>
      <c r="C31" t="s">
        <v>44</v>
      </c>
      <c r="E31" t="s">
        <v>74</v>
      </c>
      <c r="G31" t="s">
        <v>115</v>
      </c>
      <c r="H31" s="2">
        <v>46180.793749999997</v>
      </c>
      <c r="I31" t="s">
        <v>29</v>
      </c>
      <c r="Z31">
        <v>112870</v>
      </c>
    </row>
    <row r="32" spans="1:26" x14ac:dyDescent="0.25">
      <c r="A32" t="s">
        <v>2193</v>
      </c>
      <c r="B32" t="s">
        <v>26</v>
      </c>
      <c r="C32" t="s">
        <v>27</v>
      </c>
      <c r="H32" s="2">
        <v>46176.677083333336</v>
      </c>
      <c r="I32" t="s">
        <v>29</v>
      </c>
      <c r="Z32">
        <v>112736</v>
      </c>
    </row>
    <row r="33" spans="1:26" x14ac:dyDescent="0.25">
      <c r="A33" t="s">
        <v>2194</v>
      </c>
      <c r="B33" t="s">
        <v>91</v>
      </c>
      <c r="C33" t="s">
        <v>67</v>
      </c>
      <c r="E33" s="1" t="s">
        <v>95</v>
      </c>
      <c r="H33" s="2">
        <v>46176.456944444442</v>
      </c>
      <c r="I33" t="s">
        <v>29</v>
      </c>
      <c r="Z33">
        <v>112719</v>
      </c>
    </row>
    <row r="34" spans="1:26" x14ac:dyDescent="0.25">
      <c r="A34" t="s">
        <v>121</v>
      </c>
      <c r="B34" t="s">
        <v>91</v>
      </c>
      <c r="C34" t="s">
        <v>67</v>
      </c>
      <c r="E34" s="1" t="s">
        <v>95</v>
      </c>
      <c r="H34" s="2">
        <v>46170.463888888888</v>
      </c>
      <c r="I34" t="s">
        <v>37</v>
      </c>
      <c r="Z34">
        <v>112542</v>
      </c>
    </row>
    <row r="35" spans="1:26" x14ac:dyDescent="0.25">
      <c r="A35" t="s">
        <v>2195</v>
      </c>
      <c r="B35" t="s">
        <v>91</v>
      </c>
      <c r="C35" t="s">
        <v>67</v>
      </c>
      <c r="E35" s="1" t="s">
        <v>95</v>
      </c>
      <c r="H35" s="2">
        <v>46161.469444444447</v>
      </c>
      <c r="I35" t="s">
        <v>29</v>
      </c>
      <c r="Z35">
        <v>112247</v>
      </c>
    </row>
    <row r="36" spans="1:26" x14ac:dyDescent="0.25">
      <c r="A36" t="s">
        <v>124</v>
      </c>
      <c r="B36" t="s">
        <v>26</v>
      </c>
      <c r="C36" t="s">
        <v>27</v>
      </c>
      <c r="H36" s="2">
        <v>46160.684027777781</v>
      </c>
      <c r="I36" t="s">
        <v>37</v>
      </c>
      <c r="Z36">
        <v>112224</v>
      </c>
    </row>
    <row r="37" spans="1:26" x14ac:dyDescent="0.25">
      <c r="A37" t="s">
        <v>2196</v>
      </c>
      <c r="B37" t="s">
        <v>26</v>
      </c>
      <c r="C37" t="s">
        <v>27</v>
      </c>
      <c r="H37" s="2">
        <v>46150.494444444441</v>
      </c>
      <c r="I37" t="s">
        <v>29</v>
      </c>
      <c r="Z37">
        <v>111869</v>
      </c>
    </row>
    <row r="38" spans="1:26" x14ac:dyDescent="0.25">
      <c r="A38" t="s">
        <v>125</v>
      </c>
      <c r="B38" t="s">
        <v>26</v>
      </c>
      <c r="C38" t="s">
        <v>27</v>
      </c>
      <c r="H38" s="2">
        <v>46148.683333333334</v>
      </c>
      <c r="I38" t="s">
        <v>37</v>
      </c>
      <c r="Z38">
        <v>111825</v>
      </c>
    </row>
    <row r="39" spans="1:26" x14ac:dyDescent="0.25">
      <c r="A39" t="s">
        <v>126</v>
      </c>
      <c r="B39" t="s">
        <v>93</v>
      </c>
      <c r="C39" t="s">
        <v>27</v>
      </c>
      <c r="E39" t="s">
        <v>300</v>
      </c>
      <c r="H39" s="2">
        <v>46141.890277777777</v>
      </c>
      <c r="I39" t="s">
        <v>37</v>
      </c>
      <c r="Z39">
        <v>111586</v>
      </c>
    </row>
    <row r="40" spans="1:26" x14ac:dyDescent="0.25">
      <c r="A40" t="s">
        <v>127</v>
      </c>
      <c r="B40" t="s">
        <v>26</v>
      </c>
      <c r="C40" t="s">
        <v>27</v>
      </c>
      <c r="H40" s="2">
        <v>46140.603472222225</v>
      </c>
      <c r="I40" t="s">
        <v>128</v>
      </c>
      <c r="Z40">
        <v>111520</v>
      </c>
    </row>
    <row r="41" spans="1:26" x14ac:dyDescent="0.25">
      <c r="A41" t="s">
        <v>129</v>
      </c>
      <c r="B41" t="s">
        <v>34</v>
      </c>
      <c r="C41" t="s">
        <v>27</v>
      </c>
      <c r="E41" t="s">
        <v>130</v>
      </c>
      <c r="H41" s="2">
        <v>46136.683333333334</v>
      </c>
      <c r="I41" t="s">
        <v>37</v>
      </c>
      <c r="K41" t="s">
        <v>35</v>
      </c>
      <c r="Z41">
        <v>111402</v>
      </c>
    </row>
    <row r="42" spans="1:26" x14ac:dyDescent="0.25">
      <c r="A42" t="s">
        <v>131</v>
      </c>
      <c r="B42" t="s">
        <v>26</v>
      </c>
      <c r="C42" t="s">
        <v>27</v>
      </c>
      <c r="H42" s="2">
        <v>46133.681944444441</v>
      </c>
      <c r="I42" t="s">
        <v>128</v>
      </c>
      <c r="Z42">
        <v>111307</v>
      </c>
    </row>
    <row r="43" spans="1:26" x14ac:dyDescent="0.25">
      <c r="A43" t="s">
        <v>132</v>
      </c>
      <c r="B43" t="s">
        <v>26</v>
      </c>
      <c r="C43" t="s">
        <v>27</v>
      </c>
      <c r="H43" s="2">
        <v>46132.492361111108</v>
      </c>
      <c r="I43" t="s">
        <v>128</v>
      </c>
      <c r="Z43">
        <v>111273</v>
      </c>
    </row>
    <row r="44" spans="1:26" x14ac:dyDescent="0.25">
      <c r="A44" t="s">
        <v>133</v>
      </c>
      <c r="B44" t="s">
        <v>26</v>
      </c>
      <c r="C44" t="s">
        <v>27</v>
      </c>
      <c r="H44" s="2">
        <v>46128.656944444447</v>
      </c>
      <c r="I44" t="s">
        <v>128</v>
      </c>
      <c r="Z44">
        <v>111162</v>
      </c>
    </row>
    <row r="45" spans="1:26" x14ac:dyDescent="0.25">
      <c r="A45" t="s">
        <v>134</v>
      </c>
      <c r="B45" t="s">
        <v>26</v>
      </c>
      <c r="C45" t="s">
        <v>27</v>
      </c>
      <c r="H45" s="2">
        <v>46128.606249999997</v>
      </c>
      <c r="I45" t="s">
        <v>128</v>
      </c>
      <c r="Z45">
        <v>111153</v>
      </c>
    </row>
    <row r="46" spans="1:26" x14ac:dyDescent="0.25">
      <c r="A46" t="s">
        <v>136</v>
      </c>
      <c r="B46" t="s">
        <v>43</v>
      </c>
      <c r="C46" t="s">
        <v>27</v>
      </c>
      <c r="E46" t="s">
        <v>137</v>
      </c>
      <c r="G46" t="s">
        <v>32</v>
      </c>
      <c r="H46" s="2">
        <v>46127.554861111108</v>
      </c>
      <c r="I46" t="s">
        <v>128</v>
      </c>
      <c r="Z46">
        <v>111102</v>
      </c>
    </row>
    <row r="47" spans="1:26" x14ac:dyDescent="0.25">
      <c r="A47" t="s">
        <v>138</v>
      </c>
      <c r="B47" t="s">
        <v>26</v>
      </c>
      <c r="C47" t="s">
        <v>27</v>
      </c>
      <c r="H47" s="2">
        <v>46126.576388888891</v>
      </c>
      <c r="I47" t="s">
        <v>128</v>
      </c>
      <c r="Z47">
        <v>111054</v>
      </c>
    </row>
    <row r="48" spans="1:26" x14ac:dyDescent="0.25">
      <c r="A48" t="s">
        <v>139</v>
      </c>
      <c r="B48" t="s">
        <v>93</v>
      </c>
      <c r="C48" t="s">
        <v>27</v>
      </c>
      <c r="E48" t="s">
        <v>140</v>
      </c>
      <c r="H48" s="2">
        <v>46126.547222222223</v>
      </c>
      <c r="I48" t="s">
        <v>128</v>
      </c>
      <c r="Z48">
        <v>111049</v>
      </c>
    </row>
    <row r="49" spans="1:26" x14ac:dyDescent="0.25">
      <c r="A49" t="s">
        <v>141</v>
      </c>
      <c r="B49" t="s">
        <v>26</v>
      </c>
      <c r="C49" t="s">
        <v>27</v>
      </c>
      <c r="H49" s="2">
        <v>46126.525694444441</v>
      </c>
      <c r="I49" t="s">
        <v>128</v>
      </c>
      <c r="Z49">
        <v>111048</v>
      </c>
    </row>
    <row r="50" spans="1:26" x14ac:dyDescent="0.25">
      <c r="A50" t="s">
        <v>144</v>
      </c>
      <c r="B50" t="s">
        <v>43</v>
      </c>
      <c r="C50" t="s">
        <v>27</v>
      </c>
      <c r="E50" t="s">
        <v>140</v>
      </c>
      <c r="G50" t="s">
        <v>145</v>
      </c>
      <c r="H50" s="2">
        <v>46120.661805555559</v>
      </c>
      <c r="I50" t="s">
        <v>128</v>
      </c>
      <c r="Z50">
        <v>110855</v>
      </c>
    </row>
    <row r="51" spans="1:26" x14ac:dyDescent="0.25">
      <c r="A51" t="s">
        <v>146</v>
      </c>
      <c r="B51" t="s">
        <v>26</v>
      </c>
      <c r="C51" t="s">
        <v>27</v>
      </c>
      <c r="H51" s="2">
        <v>46120.440972222219</v>
      </c>
      <c r="I51" t="s">
        <v>128</v>
      </c>
      <c r="Z51">
        <v>110830</v>
      </c>
    </row>
    <row r="52" spans="1:26" x14ac:dyDescent="0.25">
      <c r="A52" t="s">
        <v>147</v>
      </c>
      <c r="B52" t="s">
        <v>43</v>
      </c>
      <c r="C52" t="s">
        <v>27</v>
      </c>
      <c r="E52" t="s">
        <v>148</v>
      </c>
      <c r="G52" t="s">
        <v>149</v>
      </c>
      <c r="H52" s="2">
        <v>46120.025000000001</v>
      </c>
      <c r="I52" t="s">
        <v>128</v>
      </c>
      <c r="Z52">
        <v>110818</v>
      </c>
    </row>
    <row r="53" spans="1:26" x14ac:dyDescent="0.25">
      <c r="A53" t="s">
        <v>150</v>
      </c>
      <c r="B53" t="s">
        <v>26</v>
      </c>
      <c r="C53" t="s">
        <v>27</v>
      </c>
      <c r="H53" s="2">
        <v>46114.630555555559</v>
      </c>
      <c r="I53" t="s">
        <v>128</v>
      </c>
      <c r="Z53">
        <v>110618</v>
      </c>
    </row>
    <row r="54" spans="1:26" x14ac:dyDescent="0.25">
      <c r="A54" t="s">
        <v>151</v>
      </c>
      <c r="B54" t="s">
        <v>34</v>
      </c>
      <c r="C54" t="s">
        <v>27</v>
      </c>
      <c r="E54" t="s">
        <v>152</v>
      </c>
      <c r="H54" s="2">
        <v>46112.479166666664</v>
      </c>
      <c r="I54" t="s">
        <v>37</v>
      </c>
      <c r="K54" t="s">
        <v>35</v>
      </c>
      <c r="Z54">
        <v>110474</v>
      </c>
    </row>
    <row r="55" spans="1:26" x14ac:dyDescent="0.25">
      <c r="A55" t="s">
        <v>139</v>
      </c>
      <c r="B55" t="s">
        <v>93</v>
      </c>
      <c r="C55" t="s">
        <v>27</v>
      </c>
      <c r="E55" t="s">
        <v>40</v>
      </c>
      <c r="H55" s="2">
        <v>46109.647222222222</v>
      </c>
      <c r="I55" t="s">
        <v>128</v>
      </c>
      <c r="Z55">
        <v>110308</v>
      </c>
    </row>
    <row r="56" spans="1:26" x14ac:dyDescent="0.25">
      <c r="A56" t="s">
        <v>153</v>
      </c>
      <c r="B56" t="s">
        <v>26</v>
      </c>
      <c r="C56" t="s">
        <v>27</v>
      </c>
      <c r="H56" s="2">
        <v>46109.506944444445</v>
      </c>
      <c r="I56" t="s">
        <v>128</v>
      </c>
      <c r="Z56">
        <v>110287</v>
      </c>
    </row>
    <row r="57" spans="1:26" x14ac:dyDescent="0.25">
      <c r="A57" t="s">
        <v>154</v>
      </c>
      <c r="B57" t="s">
        <v>26</v>
      </c>
      <c r="C57" t="s">
        <v>27</v>
      </c>
      <c r="H57" s="2">
        <v>46108.442361111112</v>
      </c>
      <c r="I57" t="s">
        <v>128</v>
      </c>
      <c r="Z57">
        <v>110221</v>
      </c>
    </row>
    <row r="58" spans="1:26" x14ac:dyDescent="0.25">
      <c r="A58" t="s">
        <v>155</v>
      </c>
      <c r="B58" t="s">
        <v>26</v>
      </c>
      <c r="C58" t="s">
        <v>27</v>
      </c>
      <c r="H58" s="2">
        <v>46098.675000000003</v>
      </c>
      <c r="I58" t="s">
        <v>128</v>
      </c>
      <c r="Z58">
        <v>109797</v>
      </c>
    </row>
    <row r="59" spans="1:26" x14ac:dyDescent="0.25">
      <c r="A59" t="s">
        <v>156</v>
      </c>
      <c r="B59" t="s">
        <v>43</v>
      </c>
      <c r="C59" t="s">
        <v>27</v>
      </c>
      <c r="E59" t="s">
        <v>157</v>
      </c>
      <c r="G59" t="s">
        <v>158</v>
      </c>
      <c r="H59" s="2">
        <v>46098.529166666667</v>
      </c>
      <c r="I59" t="s">
        <v>128</v>
      </c>
      <c r="Z59">
        <v>109784</v>
      </c>
    </row>
    <row r="60" spans="1:26" x14ac:dyDescent="0.25">
      <c r="A60" t="s">
        <v>151</v>
      </c>
      <c r="B60" t="s">
        <v>34</v>
      </c>
      <c r="C60" t="s">
        <v>27</v>
      </c>
      <c r="E60" t="s">
        <v>229</v>
      </c>
      <c r="H60" s="2">
        <v>46096.809027777781</v>
      </c>
      <c r="I60" t="s">
        <v>128</v>
      </c>
      <c r="K60" t="s">
        <v>35</v>
      </c>
      <c r="Z60">
        <v>109721</v>
      </c>
    </row>
    <row r="61" spans="1:26" x14ac:dyDescent="0.25">
      <c r="A61" t="s">
        <v>2197</v>
      </c>
      <c r="B61" t="s">
        <v>26</v>
      </c>
      <c r="C61" t="s">
        <v>27</v>
      </c>
      <c r="H61" s="2">
        <v>46094.484027777777</v>
      </c>
      <c r="I61" t="s">
        <v>36</v>
      </c>
      <c r="Z61">
        <v>109658</v>
      </c>
    </row>
    <row r="62" spans="1:26" x14ac:dyDescent="0.25">
      <c r="A62" t="s">
        <v>160</v>
      </c>
      <c r="B62" t="s">
        <v>26</v>
      </c>
      <c r="C62" t="s">
        <v>27</v>
      </c>
      <c r="H62" s="2">
        <v>46092.768055555556</v>
      </c>
      <c r="I62" t="s">
        <v>128</v>
      </c>
      <c r="Z62">
        <v>109623</v>
      </c>
    </row>
    <row r="63" spans="1:26" x14ac:dyDescent="0.25">
      <c r="A63" t="s">
        <v>161</v>
      </c>
      <c r="B63" t="s">
        <v>43</v>
      </c>
      <c r="C63" t="s">
        <v>27</v>
      </c>
      <c r="E63" t="s">
        <v>85</v>
      </c>
      <c r="G63" t="s">
        <v>162</v>
      </c>
      <c r="H63" s="2">
        <v>46092.635416666664</v>
      </c>
      <c r="I63" t="s">
        <v>128</v>
      </c>
      <c r="Z63">
        <v>109612</v>
      </c>
    </row>
    <row r="64" spans="1:26" x14ac:dyDescent="0.25">
      <c r="A64" t="s">
        <v>163</v>
      </c>
      <c r="B64" t="s">
        <v>43</v>
      </c>
      <c r="C64" t="s">
        <v>27</v>
      </c>
      <c r="E64" t="s">
        <v>74</v>
      </c>
      <c r="G64" t="s">
        <v>164</v>
      </c>
      <c r="H64" s="2">
        <v>46092.442361111112</v>
      </c>
      <c r="I64" t="s">
        <v>128</v>
      </c>
      <c r="Z64">
        <v>109600</v>
      </c>
    </row>
    <row r="65" spans="1:26" x14ac:dyDescent="0.25">
      <c r="A65" t="s">
        <v>165</v>
      </c>
      <c r="B65" t="s">
        <v>26</v>
      </c>
      <c r="C65" t="s">
        <v>27</v>
      </c>
      <c r="H65" s="2">
        <v>46091.381249999999</v>
      </c>
      <c r="I65" t="s">
        <v>128</v>
      </c>
      <c r="Z65">
        <v>109567</v>
      </c>
    </row>
    <row r="66" spans="1:26" x14ac:dyDescent="0.25">
      <c r="A66" t="s">
        <v>166</v>
      </c>
      <c r="B66" t="s">
        <v>26</v>
      </c>
      <c r="C66" t="s">
        <v>27</v>
      </c>
      <c r="H66" s="2">
        <v>46090.51666666667</v>
      </c>
      <c r="I66" t="s">
        <v>128</v>
      </c>
      <c r="Z66">
        <v>109544</v>
      </c>
    </row>
    <row r="67" spans="1:26" x14ac:dyDescent="0.25">
      <c r="A67" t="s">
        <v>168</v>
      </c>
      <c r="B67" t="s">
        <v>43</v>
      </c>
      <c r="C67" t="s">
        <v>27</v>
      </c>
      <c r="E67" t="s">
        <v>169</v>
      </c>
      <c r="G67" t="s">
        <v>170</v>
      </c>
      <c r="H67" s="2">
        <v>46088.790277777778</v>
      </c>
      <c r="I67" t="s">
        <v>36</v>
      </c>
      <c r="Z67">
        <v>109518</v>
      </c>
    </row>
    <row r="68" spans="1:26" x14ac:dyDescent="0.25">
      <c r="A68" t="s">
        <v>171</v>
      </c>
      <c r="B68" t="s">
        <v>26</v>
      </c>
      <c r="C68" t="s">
        <v>27</v>
      </c>
      <c r="H68" s="2">
        <v>46080.604166666664</v>
      </c>
      <c r="I68" t="s">
        <v>128</v>
      </c>
      <c r="Z68">
        <v>109325</v>
      </c>
    </row>
    <row r="69" spans="1:26" x14ac:dyDescent="0.25">
      <c r="A69" t="s">
        <v>172</v>
      </c>
      <c r="B69" t="s">
        <v>26</v>
      </c>
      <c r="C69" t="s">
        <v>27</v>
      </c>
      <c r="H69" s="2">
        <v>46074.611111111109</v>
      </c>
      <c r="I69" t="s">
        <v>128</v>
      </c>
      <c r="Z69">
        <v>109162</v>
      </c>
    </row>
    <row r="70" spans="1:26" x14ac:dyDescent="0.25">
      <c r="A70" t="s">
        <v>50</v>
      </c>
      <c r="B70" t="s">
        <v>38</v>
      </c>
      <c r="C70" t="s">
        <v>27</v>
      </c>
      <c r="E70" t="s">
        <v>41</v>
      </c>
      <c r="H70" s="2">
        <v>46073.725694444445</v>
      </c>
      <c r="I70" t="s">
        <v>128</v>
      </c>
      <c r="Z70">
        <v>109145</v>
      </c>
    </row>
    <row r="71" spans="1:26" x14ac:dyDescent="0.25">
      <c r="A71" t="s">
        <v>2198</v>
      </c>
      <c r="B71" t="s">
        <v>91</v>
      </c>
      <c r="C71" t="s">
        <v>71</v>
      </c>
      <c r="E71" s="1" t="s">
        <v>95</v>
      </c>
      <c r="H71" s="2">
        <v>46072.609027777777</v>
      </c>
      <c r="I71" t="s">
        <v>29</v>
      </c>
      <c r="Z71">
        <v>109117</v>
      </c>
    </row>
    <row r="72" spans="1:26" x14ac:dyDescent="0.25">
      <c r="A72" t="s">
        <v>173</v>
      </c>
      <c r="B72" t="s">
        <v>26</v>
      </c>
      <c r="C72" t="s">
        <v>27</v>
      </c>
      <c r="H72" s="2">
        <v>46072.438194444447</v>
      </c>
      <c r="I72" t="s">
        <v>128</v>
      </c>
      <c r="Z72">
        <v>109100</v>
      </c>
    </row>
    <row r="73" spans="1:26" x14ac:dyDescent="0.25">
      <c r="A73" t="s">
        <v>174</v>
      </c>
      <c r="B73" t="s">
        <v>26</v>
      </c>
      <c r="C73" t="s">
        <v>27</v>
      </c>
      <c r="H73" s="2">
        <v>46072.400694444441</v>
      </c>
      <c r="I73" t="s">
        <v>128</v>
      </c>
      <c r="Z73">
        <v>109099</v>
      </c>
    </row>
    <row r="74" spans="1:26" x14ac:dyDescent="0.25">
      <c r="A74" t="s">
        <v>175</v>
      </c>
      <c r="B74" t="s">
        <v>26</v>
      </c>
      <c r="C74" t="s">
        <v>27</v>
      </c>
      <c r="H74" s="2">
        <v>46061.40347222222</v>
      </c>
      <c r="I74" t="s">
        <v>128</v>
      </c>
      <c r="Z74">
        <v>108831</v>
      </c>
    </row>
    <row r="75" spans="1:26" x14ac:dyDescent="0.25">
      <c r="A75" t="s">
        <v>176</v>
      </c>
      <c r="B75" t="s">
        <v>26</v>
      </c>
      <c r="C75" t="s">
        <v>27</v>
      </c>
      <c r="H75" s="2">
        <v>46049.611111111109</v>
      </c>
      <c r="I75" t="s">
        <v>128</v>
      </c>
      <c r="Z75">
        <v>108557</v>
      </c>
    </row>
    <row r="76" spans="1:26" x14ac:dyDescent="0.25">
      <c r="A76" t="s">
        <v>177</v>
      </c>
      <c r="B76" t="s">
        <v>26</v>
      </c>
      <c r="C76" t="s">
        <v>27</v>
      </c>
      <c r="H76" s="2">
        <v>46048.497916666667</v>
      </c>
      <c r="I76" t="s">
        <v>128</v>
      </c>
      <c r="Z76">
        <v>108526</v>
      </c>
    </row>
    <row r="77" spans="1:26" x14ac:dyDescent="0.25">
      <c r="A77" t="s">
        <v>178</v>
      </c>
      <c r="B77" t="s">
        <v>26</v>
      </c>
      <c r="C77" t="s">
        <v>27</v>
      </c>
      <c r="H77" s="2">
        <v>46037.609027777777</v>
      </c>
      <c r="I77" t="s">
        <v>128</v>
      </c>
      <c r="K77" t="s">
        <v>179</v>
      </c>
      <c r="L77" t="s">
        <v>180</v>
      </c>
      <c r="M77" t="s">
        <v>181</v>
      </c>
      <c r="Z77">
        <v>108165</v>
      </c>
    </row>
    <row r="78" spans="1:26" x14ac:dyDescent="0.25">
      <c r="A78" t="s">
        <v>182</v>
      </c>
      <c r="B78" t="s">
        <v>26</v>
      </c>
      <c r="C78" t="s">
        <v>27</v>
      </c>
      <c r="H78" s="2">
        <v>46037.605555555558</v>
      </c>
      <c r="I78" t="s">
        <v>128</v>
      </c>
      <c r="Z78">
        <v>108162</v>
      </c>
    </row>
    <row r="79" spans="1:26" x14ac:dyDescent="0.25">
      <c r="A79" t="s">
        <v>183</v>
      </c>
      <c r="B79" t="s">
        <v>26</v>
      </c>
      <c r="C79" t="s">
        <v>27</v>
      </c>
      <c r="H79" s="2">
        <v>46019.804166666669</v>
      </c>
      <c r="I79" t="s">
        <v>128</v>
      </c>
      <c r="Z79">
        <v>107805</v>
      </c>
    </row>
    <row r="80" spans="1:26" x14ac:dyDescent="0.25">
      <c r="A80" t="s">
        <v>184</v>
      </c>
      <c r="B80" t="s">
        <v>26</v>
      </c>
      <c r="C80" t="s">
        <v>27</v>
      </c>
      <c r="H80" s="2">
        <v>46006.581250000003</v>
      </c>
      <c r="I80" t="s">
        <v>128</v>
      </c>
      <c r="Z80">
        <v>107384</v>
      </c>
    </row>
    <row r="81" spans="1:26" x14ac:dyDescent="0.25">
      <c r="A81" t="s">
        <v>185</v>
      </c>
      <c r="B81" t="s">
        <v>26</v>
      </c>
      <c r="C81" t="s">
        <v>27</v>
      </c>
      <c r="H81" s="2">
        <v>46002.725694444445</v>
      </c>
      <c r="I81" t="s">
        <v>128</v>
      </c>
      <c r="Z81">
        <v>107299</v>
      </c>
    </row>
    <row r="82" spans="1:26" x14ac:dyDescent="0.25">
      <c r="A82" t="s">
        <v>186</v>
      </c>
      <c r="B82" t="s">
        <v>26</v>
      </c>
      <c r="C82" t="s">
        <v>27</v>
      </c>
      <c r="H82" s="2">
        <v>46001.552777777775</v>
      </c>
      <c r="I82" t="s">
        <v>128</v>
      </c>
      <c r="Z82">
        <v>107241</v>
      </c>
    </row>
    <row r="83" spans="1:26" x14ac:dyDescent="0.25">
      <c r="A83" t="s">
        <v>187</v>
      </c>
      <c r="B83" t="s">
        <v>26</v>
      </c>
      <c r="C83" t="s">
        <v>27</v>
      </c>
      <c r="H83" s="2">
        <v>45999.652777777781</v>
      </c>
      <c r="I83" t="s">
        <v>36</v>
      </c>
      <c r="Z83">
        <v>107145</v>
      </c>
    </row>
    <row r="84" spans="1:26" x14ac:dyDescent="0.25">
      <c r="A84" t="s">
        <v>189</v>
      </c>
      <c r="B84" t="s">
        <v>26</v>
      </c>
      <c r="C84" t="s">
        <v>27</v>
      </c>
      <c r="H84" s="2">
        <v>45994.439583333333</v>
      </c>
      <c r="I84" t="s">
        <v>128</v>
      </c>
      <c r="Z84">
        <v>106985</v>
      </c>
    </row>
    <row r="85" spans="1:26" x14ac:dyDescent="0.25">
      <c r="A85" t="s">
        <v>190</v>
      </c>
      <c r="B85" t="s">
        <v>26</v>
      </c>
      <c r="C85" t="s">
        <v>27</v>
      </c>
      <c r="H85" s="2">
        <v>45990.484027777777</v>
      </c>
      <c r="I85" t="s">
        <v>128</v>
      </c>
      <c r="Z85">
        <v>106877</v>
      </c>
    </row>
    <row r="86" spans="1:26" x14ac:dyDescent="0.25">
      <c r="A86" t="s">
        <v>191</v>
      </c>
      <c r="B86" t="s">
        <v>43</v>
      </c>
      <c r="C86" t="s">
        <v>27</v>
      </c>
      <c r="E86" t="s">
        <v>117</v>
      </c>
      <c r="G86" t="s">
        <v>192</v>
      </c>
      <c r="H86" s="2">
        <v>45988.664583333331</v>
      </c>
      <c r="I86" t="s">
        <v>128</v>
      </c>
      <c r="K86" t="s">
        <v>30</v>
      </c>
      <c r="L86" t="s">
        <v>31</v>
      </c>
      <c r="M86" t="s">
        <v>167</v>
      </c>
      <c r="N86">
        <v>16978047696</v>
      </c>
      <c r="O86" t="s">
        <v>123</v>
      </c>
      <c r="Z86">
        <v>106828</v>
      </c>
    </row>
    <row r="87" spans="1:26" x14ac:dyDescent="0.25">
      <c r="A87" t="s">
        <v>193</v>
      </c>
      <c r="B87" t="s">
        <v>43</v>
      </c>
      <c r="C87" t="s">
        <v>27</v>
      </c>
      <c r="E87" t="s">
        <v>40</v>
      </c>
      <c r="G87" t="s">
        <v>194</v>
      </c>
      <c r="H87" s="2">
        <v>45987.408333333333</v>
      </c>
      <c r="I87" t="s">
        <v>36</v>
      </c>
      <c r="Z87">
        <v>106777</v>
      </c>
    </row>
    <row r="88" spans="1:26" x14ac:dyDescent="0.25">
      <c r="A88" t="s">
        <v>196</v>
      </c>
      <c r="B88" t="s">
        <v>26</v>
      </c>
      <c r="C88" t="s">
        <v>27</v>
      </c>
      <c r="H88" s="2">
        <v>45982.420138888891</v>
      </c>
      <c r="I88" t="s">
        <v>128</v>
      </c>
      <c r="Z88">
        <v>106618</v>
      </c>
    </row>
    <row r="89" spans="1:26" x14ac:dyDescent="0.25">
      <c r="A89" t="s">
        <v>197</v>
      </c>
      <c r="B89" t="s">
        <v>26</v>
      </c>
      <c r="C89" t="s">
        <v>27</v>
      </c>
      <c r="H89" s="2">
        <v>45978.80972222222</v>
      </c>
      <c r="I89" t="s">
        <v>128</v>
      </c>
      <c r="Z89">
        <v>106480</v>
      </c>
    </row>
    <row r="90" spans="1:26" x14ac:dyDescent="0.25">
      <c r="A90" t="s">
        <v>198</v>
      </c>
      <c r="B90" t="s">
        <v>43</v>
      </c>
      <c r="C90" t="s">
        <v>27</v>
      </c>
      <c r="E90" t="s">
        <v>99</v>
      </c>
      <c r="G90" t="s">
        <v>199</v>
      </c>
      <c r="H90" s="2">
        <v>45976.637499999997</v>
      </c>
      <c r="I90" t="s">
        <v>128</v>
      </c>
      <c r="Z90">
        <v>106397</v>
      </c>
    </row>
    <row r="91" spans="1:26" x14ac:dyDescent="0.25">
      <c r="A91" t="s">
        <v>203</v>
      </c>
      <c r="B91" t="s">
        <v>26</v>
      </c>
      <c r="C91" t="s">
        <v>27</v>
      </c>
      <c r="H91" s="2">
        <v>45972.693055555559</v>
      </c>
      <c r="I91" t="s">
        <v>128</v>
      </c>
      <c r="Z91">
        <v>106251</v>
      </c>
    </row>
    <row r="92" spans="1:26" x14ac:dyDescent="0.25">
      <c r="A92" t="s">
        <v>204</v>
      </c>
      <c r="B92" t="s">
        <v>26</v>
      </c>
      <c r="C92" t="s">
        <v>27</v>
      </c>
      <c r="H92" s="2">
        <v>45972.676388888889</v>
      </c>
      <c r="I92" t="s">
        <v>128</v>
      </c>
      <c r="Z92">
        <v>106248</v>
      </c>
    </row>
    <row r="93" spans="1:26" x14ac:dyDescent="0.25">
      <c r="A93" t="s">
        <v>205</v>
      </c>
      <c r="B93" t="s">
        <v>26</v>
      </c>
      <c r="C93" t="s">
        <v>27</v>
      </c>
      <c r="H93" s="2">
        <v>45972.603472222225</v>
      </c>
      <c r="I93" t="s">
        <v>128</v>
      </c>
      <c r="Z93">
        <v>106244</v>
      </c>
    </row>
    <row r="94" spans="1:26" x14ac:dyDescent="0.25">
      <c r="A94" t="s">
        <v>208</v>
      </c>
      <c r="B94" t="s">
        <v>26</v>
      </c>
      <c r="C94" t="s">
        <v>27</v>
      </c>
      <c r="H94" s="2">
        <v>45965.384027777778</v>
      </c>
      <c r="I94" t="s">
        <v>128</v>
      </c>
      <c r="Z94">
        <v>106005</v>
      </c>
    </row>
    <row r="95" spans="1:26" x14ac:dyDescent="0.25">
      <c r="A95" t="s">
        <v>209</v>
      </c>
      <c r="B95" t="s">
        <v>26</v>
      </c>
      <c r="C95" t="s">
        <v>27</v>
      </c>
      <c r="H95" s="2">
        <v>45960.611111111109</v>
      </c>
      <c r="I95" t="s">
        <v>128</v>
      </c>
      <c r="Z95">
        <v>105891</v>
      </c>
    </row>
    <row r="96" spans="1:26" x14ac:dyDescent="0.25">
      <c r="A96" t="s">
        <v>210</v>
      </c>
      <c r="B96" t="s">
        <v>38</v>
      </c>
      <c r="C96" t="s">
        <v>27</v>
      </c>
      <c r="E96" t="s">
        <v>92</v>
      </c>
      <c r="H96" s="2">
        <v>45958.982638888891</v>
      </c>
      <c r="I96" t="s">
        <v>128</v>
      </c>
      <c r="Z96">
        <v>105828</v>
      </c>
    </row>
    <row r="97" spans="1:26" x14ac:dyDescent="0.25">
      <c r="A97" t="s">
        <v>211</v>
      </c>
      <c r="B97" t="s">
        <v>26</v>
      </c>
      <c r="C97" t="s">
        <v>27</v>
      </c>
      <c r="H97" s="2">
        <v>45948.662499999999</v>
      </c>
      <c r="I97" t="s">
        <v>37</v>
      </c>
      <c r="Z97">
        <v>105485</v>
      </c>
    </row>
    <row r="98" spans="1:26" x14ac:dyDescent="0.25">
      <c r="A98" t="s">
        <v>212</v>
      </c>
      <c r="B98" t="s">
        <v>26</v>
      </c>
      <c r="C98" t="s">
        <v>27</v>
      </c>
      <c r="H98" s="2">
        <v>45948.501388888886</v>
      </c>
      <c r="I98" t="s">
        <v>128</v>
      </c>
      <c r="Z98">
        <v>105478</v>
      </c>
    </row>
    <row r="99" spans="1:26" x14ac:dyDescent="0.25">
      <c r="A99" t="s">
        <v>215</v>
      </c>
      <c r="B99" t="s">
        <v>26</v>
      </c>
      <c r="C99" t="s">
        <v>27</v>
      </c>
      <c r="H99" s="2">
        <v>45942.515277777777</v>
      </c>
      <c r="I99" t="s">
        <v>128</v>
      </c>
      <c r="Z99">
        <v>105312</v>
      </c>
    </row>
    <row r="100" spans="1:26" x14ac:dyDescent="0.25">
      <c r="A100" t="s">
        <v>139</v>
      </c>
      <c r="B100" t="s">
        <v>93</v>
      </c>
      <c r="C100" t="s">
        <v>27</v>
      </c>
      <c r="E100" t="s">
        <v>116</v>
      </c>
      <c r="H100" s="2">
        <v>45942.456944444442</v>
      </c>
      <c r="I100" t="s">
        <v>37</v>
      </c>
      <c r="Z100">
        <v>105310</v>
      </c>
    </row>
    <row r="101" spans="1:26" x14ac:dyDescent="0.25">
      <c r="A101" t="s">
        <v>216</v>
      </c>
      <c r="B101" t="s">
        <v>26</v>
      </c>
      <c r="C101" t="s">
        <v>27</v>
      </c>
      <c r="H101" s="2">
        <v>45940.554861111108</v>
      </c>
      <c r="I101" t="s">
        <v>128</v>
      </c>
      <c r="Z101">
        <v>105269</v>
      </c>
    </row>
    <row r="102" spans="1:26" x14ac:dyDescent="0.25">
      <c r="A102" t="s">
        <v>219</v>
      </c>
      <c r="B102" t="s">
        <v>26</v>
      </c>
      <c r="C102" t="s">
        <v>27</v>
      </c>
      <c r="H102" s="2">
        <v>45936.618055555555</v>
      </c>
      <c r="I102" t="s">
        <v>128</v>
      </c>
      <c r="Z102">
        <v>105147</v>
      </c>
    </row>
    <row r="103" spans="1:26" x14ac:dyDescent="0.25">
      <c r="A103" t="s">
        <v>220</v>
      </c>
      <c r="B103" t="s">
        <v>26</v>
      </c>
      <c r="C103" t="s">
        <v>27</v>
      </c>
      <c r="H103" s="2">
        <v>45936.463194444441</v>
      </c>
      <c r="I103" t="s">
        <v>202</v>
      </c>
      <c r="Z103">
        <v>105134</v>
      </c>
    </row>
    <row r="104" spans="1:26" x14ac:dyDescent="0.25">
      <c r="A104" t="s">
        <v>151</v>
      </c>
      <c r="B104" t="s">
        <v>34</v>
      </c>
      <c r="C104" t="s">
        <v>27</v>
      </c>
      <c r="E104" t="s">
        <v>65</v>
      </c>
      <c r="H104" s="2">
        <v>45934.675000000003</v>
      </c>
      <c r="I104" t="s">
        <v>47</v>
      </c>
      <c r="K104" t="s">
        <v>35</v>
      </c>
      <c r="Z104">
        <v>105089</v>
      </c>
    </row>
    <row r="105" spans="1:26" x14ac:dyDescent="0.25">
      <c r="A105" t="s">
        <v>222</v>
      </c>
      <c r="B105" t="s">
        <v>43</v>
      </c>
      <c r="C105" t="s">
        <v>44</v>
      </c>
      <c r="E105" t="s">
        <v>54</v>
      </c>
      <c r="G105" t="s">
        <v>223</v>
      </c>
      <c r="H105" s="2">
        <v>45933.840277777781</v>
      </c>
      <c r="I105" t="s">
        <v>29</v>
      </c>
      <c r="Z105">
        <v>105075</v>
      </c>
    </row>
    <row r="106" spans="1:26" x14ac:dyDescent="0.25">
      <c r="A106" t="s">
        <v>227</v>
      </c>
      <c r="B106" t="s">
        <v>26</v>
      </c>
      <c r="C106" t="s">
        <v>27</v>
      </c>
      <c r="H106" s="2">
        <v>45928.552777777775</v>
      </c>
      <c r="I106" t="s">
        <v>29</v>
      </c>
      <c r="Z106">
        <v>104889</v>
      </c>
    </row>
    <row r="107" spans="1:26" x14ac:dyDescent="0.25">
      <c r="A107" t="s">
        <v>228</v>
      </c>
      <c r="B107" t="s">
        <v>43</v>
      </c>
      <c r="C107" t="s">
        <v>27</v>
      </c>
      <c r="E107" t="s">
        <v>229</v>
      </c>
      <c r="G107" t="s">
        <v>230</v>
      </c>
      <c r="H107" s="2">
        <v>45927.634027777778</v>
      </c>
      <c r="I107" t="s">
        <v>29</v>
      </c>
      <c r="Z107">
        <v>104874</v>
      </c>
    </row>
    <row r="108" spans="1:26" x14ac:dyDescent="0.25">
      <c r="A108" t="s">
        <v>232</v>
      </c>
      <c r="B108" t="s">
        <v>26</v>
      </c>
      <c r="C108" t="s">
        <v>27</v>
      </c>
      <c r="H108" s="2">
        <v>45924.626388888886</v>
      </c>
      <c r="I108" t="s">
        <v>128</v>
      </c>
      <c r="Z108">
        <v>104803</v>
      </c>
    </row>
    <row r="109" spans="1:26" x14ac:dyDescent="0.25">
      <c r="A109" t="s">
        <v>233</v>
      </c>
      <c r="B109" t="s">
        <v>43</v>
      </c>
      <c r="C109" t="s">
        <v>27</v>
      </c>
      <c r="E109" t="s">
        <v>234</v>
      </c>
      <c r="G109" t="s">
        <v>235</v>
      </c>
      <c r="H109" s="2">
        <v>45923.867361111108</v>
      </c>
      <c r="I109" t="s">
        <v>128</v>
      </c>
      <c r="Z109">
        <v>104778</v>
      </c>
    </row>
    <row r="110" spans="1:26" x14ac:dyDescent="0.25">
      <c r="A110" t="s">
        <v>236</v>
      </c>
      <c r="B110" t="s">
        <v>26</v>
      </c>
      <c r="C110" t="s">
        <v>27</v>
      </c>
      <c r="H110" s="2">
        <v>45923.69027777778</v>
      </c>
      <c r="I110" t="s">
        <v>128</v>
      </c>
      <c r="Z110">
        <v>104765</v>
      </c>
    </row>
    <row r="111" spans="1:26" x14ac:dyDescent="0.25">
      <c r="A111" t="s">
        <v>237</v>
      </c>
      <c r="B111" t="s">
        <v>26</v>
      </c>
      <c r="C111" t="s">
        <v>27</v>
      </c>
      <c r="H111" s="2">
        <v>45923.689583333333</v>
      </c>
      <c r="I111" t="s">
        <v>128</v>
      </c>
      <c r="Z111">
        <v>104764</v>
      </c>
    </row>
    <row r="112" spans="1:26" x14ac:dyDescent="0.25">
      <c r="A112" t="s">
        <v>238</v>
      </c>
      <c r="B112" t="s">
        <v>26</v>
      </c>
      <c r="C112" t="s">
        <v>27</v>
      </c>
      <c r="H112" s="2">
        <v>45923.688194444447</v>
      </c>
      <c r="I112" t="s">
        <v>128</v>
      </c>
      <c r="Z112">
        <v>104763</v>
      </c>
    </row>
    <row r="113" spans="1:26" x14ac:dyDescent="0.25">
      <c r="A113" t="s">
        <v>151</v>
      </c>
      <c r="B113" t="s">
        <v>34</v>
      </c>
      <c r="C113" t="s">
        <v>27</v>
      </c>
      <c r="E113" t="s">
        <v>41</v>
      </c>
      <c r="H113" s="2">
        <v>45922.945138888892</v>
      </c>
      <c r="I113" t="s">
        <v>128</v>
      </c>
      <c r="K113" t="s">
        <v>35</v>
      </c>
      <c r="Z113">
        <v>104736</v>
      </c>
    </row>
    <row r="114" spans="1:26" x14ac:dyDescent="0.25">
      <c r="A114" t="s">
        <v>239</v>
      </c>
      <c r="B114" t="s">
        <v>26</v>
      </c>
      <c r="C114" t="s">
        <v>27</v>
      </c>
      <c r="H114" s="2">
        <v>45922.607638888891</v>
      </c>
      <c r="I114" t="s">
        <v>128</v>
      </c>
      <c r="Z114">
        <v>104711</v>
      </c>
    </row>
    <row r="115" spans="1:26" x14ac:dyDescent="0.25">
      <c r="A115" t="s">
        <v>240</v>
      </c>
      <c r="B115" t="s">
        <v>26</v>
      </c>
      <c r="C115" t="s">
        <v>27</v>
      </c>
      <c r="H115" s="2">
        <v>45922.589583333334</v>
      </c>
      <c r="I115" t="s">
        <v>128</v>
      </c>
      <c r="Z115">
        <v>104710</v>
      </c>
    </row>
    <row r="116" spans="1:26" x14ac:dyDescent="0.25">
      <c r="A116" t="s">
        <v>241</v>
      </c>
      <c r="B116" t="s">
        <v>26</v>
      </c>
      <c r="C116" t="s">
        <v>27</v>
      </c>
      <c r="E116" t="s">
        <v>242</v>
      </c>
      <c r="H116" s="2">
        <v>45920.684027777781</v>
      </c>
      <c r="I116" t="s">
        <v>37</v>
      </c>
      <c r="Z116">
        <v>104672</v>
      </c>
    </row>
    <row r="117" spans="1:26" x14ac:dyDescent="0.25">
      <c r="A117" t="s">
        <v>243</v>
      </c>
      <c r="B117" t="s">
        <v>43</v>
      </c>
      <c r="C117" t="s">
        <v>27</v>
      </c>
      <c r="E117" t="s">
        <v>244</v>
      </c>
      <c r="G117" t="s">
        <v>245</v>
      </c>
      <c r="H117" s="2">
        <v>45918.631249999999</v>
      </c>
      <c r="I117" t="s">
        <v>128</v>
      </c>
      <c r="K117" t="s">
        <v>30</v>
      </c>
      <c r="L117" t="s">
        <v>31</v>
      </c>
      <c r="M117" t="s">
        <v>201</v>
      </c>
      <c r="N117">
        <v>16990012916</v>
      </c>
      <c r="O117" t="s">
        <v>123</v>
      </c>
      <c r="Z117">
        <v>104607</v>
      </c>
    </row>
    <row r="118" spans="1:26" x14ac:dyDescent="0.25">
      <c r="A118" t="s">
        <v>247</v>
      </c>
      <c r="B118" t="s">
        <v>26</v>
      </c>
      <c r="C118" t="s">
        <v>27</v>
      </c>
      <c r="H118" s="2">
        <v>45916.738194444442</v>
      </c>
      <c r="I118" t="s">
        <v>128</v>
      </c>
      <c r="Z118">
        <v>104552</v>
      </c>
    </row>
    <row r="119" spans="1:26" x14ac:dyDescent="0.25">
      <c r="A119" t="s">
        <v>248</v>
      </c>
      <c r="B119" t="s">
        <v>93</v>
      </c>
      <c r="C119" t="s">
        <v>27</v>
      </c>
      <c r="E119" t="s">
        <v>54</v>
      </c>
      <c r="H119" s="2">
        <v>45915.741666666669</v>
      </c>
      <c r="I119" t="s">
        <v>128</v>
      </c>
      <c r="K119" t="s">
        <v>30</v>
      </c>
      <c r="L119" t="s">
        <v>31</v>
      </c>
      <c r="M119" t="s">
        <v>167</v>
      </c>
      <c r="N119">
        <v>16978047697</v>
      </c>
      <c r="O119" t="s">
        <v>217</v>
      </c>
      <c r="Z119">
        <v>104508</v>
      </c>
    </row>
    <row r="120" spans="1:26" x14ac:dyDescent="0.25">
      <c r="A120" t="s">
        <v>249</v>
      </c>
      <c r="B120" t="s">
        <v>43</v>
      </c>
      <c r="C120" t="s">
        <v>27</v>
      </c>
      <c r="E120" t="s">
        <v>70</v>
      </c>
      <c r="G120" t="s">
        <v>250</v>
      </c>
      <c r="H120" s="2">
        <v>45912.299305555556</v>
      </c>
      <c r="I120" t="s">
        <v>29</v>
      </c>
      <c r="Z120">
        <v>104450</v>
      </c>
    </row>
    <row r="121" spans="1:26" x14ac:dyDescent="0.25">
      <c r="A121" t="s">
        <v>251</v>
      </c>
      <c r="B121" t="s">
        <v>26</v>
      </c>
      <c r="C121" t="s">
        <v>27</v>
      </c>
      <c r="H121" s="2">
        <v>45911.693749999999</v>
      </c>
      <c r="I121" t="s">
        <v>128</v>
      </c>
      <c r="Z121">
        <v>104439</v>
      </c>
    </row>
    <row r="122" spans="1:26" x14ac:dyDescent="0.25">
      <c r="A122" t="s">
        <v>252</v>
      </c>
      <c r="B122" t="s">
        <v>43</v>
      </c>
      <c r="C122" t="s">
        <v>27</v>
      </c>
      <c r="E122" t="s">
        <v>83</v>
      </c>
      <c r="G122" t="s">
        <v>253</v>
      </c>
      <c r="H122" s="2">
        <v>45911.535416666666</v>
      </c>
      <c r="I122" t="s">
        <v>128</v>
      </c>
      <c r="Z122">
        <v>104425</v>
      </c>
    </row>
    <row r="123" spans="1:26" x14ac:dyDescent="0.25">
      <c r="A123" t="s">
        <v>254</v>
      </c>
      <c r="B123" t="s">
        <v>26</v>
      </c>
      <c r="C123" t="s">
        <v>27</v>
      </c>
      <c r="H123" s="2">
        <v>45909.498611111114</v>
      </c>
      <c r="I123" t="s">
        <v>29</v>
      </c>
      <c r="Z123">
        <v>104378</v>
      </c>
    </row>
    <row r="124" spans="1:26" x14ac:dyDescent="0.25">
      <c r="A124" t="s">
        <v>255</v>
      </c>
      <c r="B124" t="s">
        <v>26</v>
      </c>
      <c r="C124" t="s">
        <v>27</v>
      </c>
      <c r="H124" s="2">
        <v>45908.53402777778</v>
      </c>
      <c r="I124" t="s">
        <v>128</v>
      </c>
      <c r="Z124">
        <v>104347</v>
      </c>
    </row>
    <row r="125" spans="1:26" x14ac:dyDescent="0.25">
      <c r="A125" t="s">
        <v>257</v>
      </c>
      <c r="B125" t="s">
        <v>26</v>
      </c>
      <c r="C125" t="s">
        <v>27</v>
      </c>
      <c r="H125" s="2">
        <v>45902.554861111108</v>
      </c>
      <c r="I125" t="s">
        <v>128</v>
      </c>
      <c r="Z125">
        <v>104199</v>
      </c>
    </row>
    <row r="126" spans="1:26" x14ac:dyDescent="0.25">
      <c r="A126" t="s">
        <v>258</v>
      </c>
      <c r="B126" t="s">
        <v>26</v>
      </c>
      <c r="C126" t="s">
        <v>27</v>
      </c>
      <c r="H126" s="2">
        <v>45900.694444444445</v>
      </c>
      <c r="I126" t="s">
        <v>128</v>
      </c>
      <c r="Z126">
        <v>104140</v>
      </c>
    </row>
    <row r="127" spans="1:26" x14ac:dyDescent="0.25">
      <c r="A127" t="s">
        <v>139</v>
      </c>
      <c r="B127" t="s">
        <v>93</v>
      </c>
      <c r="C127" t="s">
        <v>27</v>
      </c>
      <c r="E127" t="s">
        <v>1401</v>
      </c>
      <c r="H127" s="2">
        <v>45899.838888888888</v>
      </c>
      <c r="I127" t="s">
        <v>128</v>
      </c>
      <c r="Z127">
        <v>104131</v>
      </c>
    </row>
    <row r="128" spans="1:26" x14ac:dyDescent="0.25">
      <c r="A128" t="s">
        <v>259</v>
      </c>
      <c r="B128" t="s">
        <v>26</v>
      </c>
      <c r="C128" t="s">
        <v>27</v>
      </c>
      <c r="H128" s="2">
        <v>45899.513194444444</v>
      </c>
      <c r="I128" t="s">
        <v>128</v>
      </c>
      <c r="Z128">
        <v>104116</v>
      </c>
    </row>
    <row r="129" spans="1:26" x14ac:dyDescent="0.25">
      <c r="A129" t="s">
        <v>151</v>
      </c>
      <c r="B129" t="s">
        <v>34</v>
      </c>
      <c r="C129" t="s">
        <v>27</v>
      </c>
      <c r="E129" t="s">
        <v>92</v>
      </c>
      <c r="H129" s="2">
        <v>45895.595833333333</v>
      </c>
      <c r="I129" t="s">
        <v>128</v>
      </c>
      <c r="K129" t="s">
        <v>35</v>
      </c>
      <c r="Z129">
        <v>103983</v>
      </c>
    </row>
    <row r="130" spans="1:26" x14ac:dyDescent="0.25">
      <c r="A130" t="s">
        <v>263</v>
      </c>
      <c r="B130" t="s">
        <v>26</v>
      </c>
      <c r="C130" t="s">
        <v>27</v>
      </c>
      <c r="H130" s="2">
        <v>45889.475694444445</v>
      </c>
      <c r="I130" t="s">
        <v>128</v>
      </c>
      <c r="Z130">
        <v>103773</v>
      </c>
    </row>
    <row r="131" spans="1:26" x14ac:dyDescent="0.25">
      <c r="A131" t="s">
        <v>264</v>
      </c>
      <c r="B131" t="s">
        <v>26</v>
      </c>
      <c r="C131" t="s">
        <v>27</v>
      </c>
      <c r="H131" s="2">
        <v>45888.71875</v>
      </c>
      <c r="I131" t="s">
        <v>128</v>
      </c>
      <c r="Z131">
        <v>103759</v>
      </c>
    </row>
    <row r="132" spans="1:26" x14ac:dyDescent="0.25">
      <c r="A132" t="s">
        <v>265</v>
      </c>
      <c r="B132" t="s">
        <v>26</v>
      </c>
      <c r="C132" t="s">
        <v>27</v>
      </c>
      <c r="H132" s="2">
        <v>45888.696527777778</v>
      </c>
      <c r="I132" t="s">
        <v>128</v>
      </c>
      <c r="Z132">
        <v>103758</v>
      </c>
    </row>
    <row r="133" spans="1:26" x14ac:dyDescent="0.25">
      <c r="A133" t="s">
        <v>266</v>
      </c>
      <c r="B133" t="s">
        <v>26</v>
      </c>
      <c r="C133" t="s">
        <v>27</v>
      </c>
      <c r="H133" s="2">
        <v>45887.553472222222</v>
      </c>
      <c r="I133" t="s">
        <v>128</v>
      </c>
      <c r="Z133">
        <v>103726</v>
      </c>
    </row>
    <row r="134" spans="1:26" x14ac:dyDescent="0.25">
      <c r="A134" t="s">
        <v>268</v>
      </c>
      <c r="B134" t="s">
        <v>43</v>
      </c>
      <c r="C134" t="s">
        <v>71</v>
      </c>
      <c r="E134" t="s">
        <v>41</v>
      </c>
      <c r="G134" t="s">
        <v>269</v>
      </c>
      <c r="H134" s="2">
        <v>45885.394444444442</v>
      </c>
      <c r="I134" t="s">
        <v>36</v>
      </c>
      <c r="Z134">
        <v>103662</v>
      </c>
    </row>
    <row r="135" spans="1:26" x14ac:dyDescent="0.25">
      <c r="A135" t="s">
        <v>270</v>
      </c>
      <c r="B135" t="s">
        <v>26</v>
      </c>
      <c r="C135" t="s">
        <v>27</v>
      </c>
      <c r="H135" s="2">
        <v>45884.776388888888</v>
      </c>
      <c r="I135" t="s">
        <v>128</v>
      </c>
      <c r="Z135">
        <v>103657</v>
      </c>
    </row>
    <row r="136" spans="1:26" x14ac:dyDescent="0.25">
      <c r="A136" t="s">
        <v>271</v>
      </c>
      <c r="B136" t="s">
        <v>26</v>
      </c>
      <c r="C136" t="s">
        <v>27</v>
      </c>
      <c r="H136" s="2">
        <v>45884.429861111108</v>
      </c>
      <c r="I136" t="s">
        <v>128</v>
      </c>
      <c r="Z136">
        <v>103640</v>
      </c>
    </row>
    <row r="137" spans="1:26" x14ac:dyDescent="0.25">
      <c r="A137" t="s">
        <v>272</v>
      </c>
      <c r="B137" t="s">
        <v>26</v>
      </c>
      <c r="C137" t="s">
        <v>27</v>
      </c>
      <c r="H137" s="2">
        <v>45882.703472222223</v>
      </c>
      <c r="I137" t="s">
        <v>128</v>
      </c>
      <c r="Z137">
        <v>103596</v>
      </c>
    </row>
    <row r="138" spans="1:26" x14ac:dyDescent="0.25">
      <c r="A138" t="s">
        <v>273</v>
      </c>
      <c r="B138" t="s">
        <v>26</v>
      </c>
      <c r="C138" t="s">
        <v>27</v>
      </c>
      <c r="H138" s="2">
        <v>45881.607638888891</v>
      </c>
      <c r="I138" t="s">
        <v>128</v>
      </c>
      <c r="Z138">
        <v>103563</v>
      </c>
    </row>
    <row r="139" spans="1:26" x14ac:dyDescent="0.25">
      <c r="A139" t="s">
        <v>274</v>
      </c>
      <c r="B139" t="s">
        <v>26</v>
      </c>
      <c r="C139" t="s">
        <v>27</v>
      </c>
      <c r="H139" s="2">
        <v>45881.532638888886</v>
      </c>
      <c r="I139" t="s">
        <v>128</v>
      </c>
      <c r="Z139">
        <v>103558</v>
      </c>
    </row>
    <row r="140" spans="1:26" x14ac:dyDescent="0.25">
      <c r="A140" t="s">
        <v>275</v>
      </c>
      <c r="B140" t="s">
        <v>26</v>
      </c>
      <c r="C140" t="s">
        <v>27</v>
      </c>
      <c r="H140" s="2">
        <v>45881.460416666669</v>
      </c>
      <c r="I140" t="s">
        <v>128</v>
      </c>
      <c r="Z140">
        <v>103554</v>
      </c>
    </row>
    <row r="141" spans="1:26" x14ac:dyDescent="0.25">
      <c r="A141" t="s">
        <v>278</v>
      </c>
      <c r="B141" t="s">
        <v>26</v>
      </c>
      <c r="C141" t="s">
        <v>27</v>
      </c>
      <c r="H141" s="2">
        <v>45872.49722222222</v>
      </c>
      <c r="I141" t="s">
        <v>128</v>
      </c>
      <c r="Z141">
        <v>103271</v>
      </c>
    </row>
    <row r="142" spans="1:26" x14ac:dyDescent="0.25">
      <c r="A142" t="s">
        <v>279</v>
      </c>
      <c r="B142" t="s">
        <v>26</v>
      </c>
      <c r="C142" t="s">
        <v>27</v>
      </c>
      <c r="H142" s="2">
        <v>45869.564583333333</v>
      </c>
      <c r="I142" t="s">
        <v>128</v>
      </c>
      <c r="Z142">
        <v>103197</v>
      </c>
    </row>
    <row r="143" spans="1:26" x14ac:dyDescent="0.25">
      <c r="A143" t="s">
        <v>280</v>
      </c>
      <c r="B143" t="s">
        <v>26</v>
      </c>
      <c r="C143" t="s">
        <v>27</v>
      </c>
      <c r="H143" s="2">
        <v>45868.425694444442</v>
      </c>
      <c r="I143" t="s">
        <v>29</v>
      </c>
      <c r="Z143">
        <v>103151</v>
      </c>
    </row>
    <row r="144" spans="1:26" x14ac:dyDescent="0.25">
      <c r="A144" t="s">
        <v>281</v>
      </c>
      <c r="B144" t="s">
        <v>26</v>
      </c>
      <c r="C144" t="s">
        <v>27</v>
      </c>
      <c r="H144" s="2">
        <v>45866.679166666669</v>
      </c>
      <c r="I144" t="s">
        <v>128</v>
      </c>
      <c r="Z144">
        <v>103091</v>
      </c>
    </row>
    <row r="145" spans="1:26" x14ac:dyDescent="0.25">
      <c r="A145" t="s">
        <v>282</v>
      </c>
      <c r="B145" t="s">
        <v>276</v>
      </c>
      <c r="C145" t="s">
        <v>27</v>
      </c>
      <c r="E145" t="s">
        <v>283</v>
      </c>
      <c r="H145" s="2">
        <v>45865.559027777781</v>
      </c>
      <c r="I145" t="s">
        <v>128</v>
      </c>
      <c r="Z145">
        <v>103046</v>
      </c>
    </row>
    <row r="146" spans="1:26" x14ac:dyDescent="0.25">
      <c r="A146" t="s">
        <v>284</v>
      </c>
      <c r="B146" t="s">
        <v>26</v>
      </c>
      <c r="C146" t="s">
        <v>27</v>
      </c>
      <c r="H146" s="2">
        <v>45861.457638888889</v>
      </c>
      <c r="I146" t="s">
        <v>36</v>
      </c>
      <c r="Z146">
        <v>102908</v>
      </c>
    </row>
    <row r="147" spans="1:26" x14ac:dyDescent="0.25">
      <c r="A147" t="s">
        <v>285</v>
      </c>
      <c r="B147" t="s">
        <v>26</v>
      </c>
      <c r="C147" t="s">
        <v>27</v>
      </c>
      <c r="H147" s="2">
        <v>45859.794444444444</v>
      </c>
      <c r="I147" t="s">
        <v>128</v>
      </c>
      <c r="Z147">
        <v>102857</v>
      </c>
    </row>
    <row r="148" spans="1:26" x14ac:dyDescent="0.25">
      <c r="A148" t="s">
        <v>286</v>
      </c>
      <c r="B148" t="s">
        <v>26</v>
      </c>
      <c r="C148" t="s">
        <v>27</v>
      </c>
      <c r="H148" s="2">
        <v>45859.552083333336</v>
      </c>
      <c r="I148" t="s">
        <v>128</v>
      </c>
      <c r="Z148">
        <v>102840</v>
      </c>
    </row>
    <row r="149" spans="1:26" x14ac:dyDescent="0.25">
      <c r="A149" t="s">
        <v>288</v>
      </c>
      <c r="B149" t="s">
        <v>26</v>
      </c>
      <c r="C149" t="s">
        <v>27</v>
      </c>
      <c r="H149" s="2">
        <v>45855.734722222223</v>
      </c>
      <c r="I149" t="s">
        <v>29</v>
      </c>
      <c r="Z149">
        <v>102709</v>
      </c>
    </row>
    <row r="150" spans="1:26" x14ac:dyDescent="0.25">
      <c r="A150" t="s">
        <v>151</v>
      </c>
      <c r="B150" t="s">
        <v>34</v>
      </c>
      <c r="C150" t="s">
        <v>27</v>
      </c>
      <c r="E150" t="s">
        <v>140</v>
      </c>
      <c r="H150" s="2">
        <v>45854.593055555553</v>
      </c>
      <c r="I150" t="s">
        <v>289</v>
      </c>
      <c r="K150" t="s">
        <v>35</v>
      </c>
      <c r="Z150">
        <v>102663</v>
      </c>
    </row>
    <row r="151" spans="1:26" x14ac:dyDescent="0.25">
      <c r="A151" t="s">
        <v>290</v>
      </c>
      <c r="B151" t="s">
        <v>26</v>
      </c>
      <c r="C151" t="s">
        <v>27</v>
      </c>
      <c r="H151" s="2">
        <v>45854.375</v>
      </c>
      <c r="I151" t="s">
        <v>289</v>
      </c>
      <c r="Z151">
        <v>102650</v>
      </c>
    </row>
    <row r="152" spans="1:26" x14ac:dyDescent="0.25">
      <c r="A152" t="s">
        <v>291</v>
      </c>
      <c r="B152" t="s">
        <v>43</v>
      </c>
      <c r="C152" t="s">
        <v>27</v>
      </c>
      <c r="E152" t="s">
        <v>81</v>
      </c>
      <c r="G152" t="s">
        <v>292</v>
      </c>
      <c r="H152" s="2">
        <v>45852.820138888892</v>
      </c>
      <c r="I152" t="s">
        <v>289</v>
      </c>
      <c r="Z152">
        <v>102607</v>
      </c>
    </row>
    <row r="153" spans="1:26" x14ac:dyDescent="0.25">
      <c r="A153" t="s">
        <v>293</v>
      </c>
      <c r="B153" t="s">
        <v>276</v>
      </c>
      <c r="C153" t="s">
        <v>27</v>
      </c>
      <c r="E153" t="s">
        <v>81</v>
      </c>
      <c r="H153" s="2">
        <v>45852.818055555559</v>
      </c>
      <c r="I153" t="s">
        <v>289</v>
      </c>
      <c r="Z153">
        <v>102606</v>
      </c>
    </row>
    <row r="154" spans="1:26" x14ac:dyDescent="0.25">
      <c r="A154" t="s">
        <v>294</v>
      </c>
      <c r="B154" t="s">
        <v>26</v>
      </c>
      <c r="C154" t="s">
        <v>27</v>
      </c>
      <c r="H154" s="2">
        <v>45852.409722222219</v>
      </c>
      <c r="I154" t="s">
        <v>36</v>
      </c>
      <c r="Z154">
        <v>102566</v>
      </c>
    </row>
    <row r="155" spans="1:26" x14ac:dyDescent="0.25">
      <c r="A155" t="s">
        <v>295</v>
      </c>
      <c r="B155" t="s">
        <v>26</v>
      </c>
      <c r="C155" t="s">
        <v>27</v>
      </c>
      <c r="H155" s="2">
        <v>45851.848611111112</v>
      </c>
      <c r="I155" t="s">
        <v>128</v>
      </c>
      <c r="Z155">
        <v>102561</v>
      </c>
    </row>
    <row r="156" spans="1:26" x14ac:dyDescent="0.25">
      <c r="A156" t="s">
        <v>296</v>
      </c>
      <c r="B156" t="s">
        <v>26</v>
      </c>
      <c r="C156" t="s">
        <v>27</v>
      </c>
      <c r="H156" s="2">
        <v>45849.783333333333</v>
      </c>
      <c r="I156" t="s">
        <v>289</v>
      </c>
      <c r="Z156">
        <v>102491</v>
      </c>
    </row>
    <row r="157" spans="1:26" x14ac:dyDescent="0.25">
      <c r="A157" t="s">
        <v>301</v>
      </c>
      <c r="B157" t="s">
        <v>276</v>
      </c>
      <c r="C157" t="s">
        <v>27</v>
      </c>
      <c r="E157" t="s">
        <v>302</v>
      </c>
      <c r="G157" t="s">
        <v>303</v>
      </c>
      <c r="H157" s="2">
        <v>45847.902083333334</v>
      </c>
      <c r="I157" t="s">
        <v>289</v>
      </c>
      <c r="Z157">
        <v>102427</v>
      </c>
    </row>
    <row r="158" spans="1:26" x14ac:dyDescent="0.25">
      <c r="A158" t="s">
        <v>304</v>
      </c>
      <c r="B158" t="s">
        <v>276</v>
      </c>
      <c r="C158" t="s">
        <v>27</v>
      </c>
      <c r="E158" t="s">
        <v>305</v>
      </c>
      <c r="H158" s="2">
        <v>45846.294444444444</v>
      </c>
      <c r="I158" t="s">
        <v>289</v>
      </c>
      <c r="Z158">
        <v>102339</v>
      </c>
    </row>
    <row r="159" spans="1:26" x14ac:dyDescent="0.25">
      <c r="A159" t="s">
        <v>2199</v>
      </c>
      <c r="B159" t="s">
        <v>43</v>
      </c>
      <c r="C159" t="s">
        <v>27</v>
      </c>
      <c r="E159" t="s">
        <v>306</v>
      </c>
      <c r="G159" t="s">
        <v>307</v>
      </c>
      <c r="H159" s="2">
        <v>45845.965277777781</v>
      </c>
      <c r="I159" t="s">
        <v>29</v>
      </c>
      <c r="Z159">
        <v>102338</v>
      </c>
    </row>
    <row r="160" spans="1:26" x14ac:dyDescent="0.25">
      <c r="A160" t="s">
        <v>308</v>
      </c>
      <c r="B160" t="s">
        <v>26</v>
      </c>
      <c r="C160" t="s">
        <v>27</v>
      </c>
      <c r="H160" s="2">
        <v>45843.719444444447</v>
      </c>
      <c r="I160" t="s">
        <v>289</v>
      </c>
      <c r="Z160">
        <v>102242</v>
      </c>
    </row>
    <row r="161" spans="1:26" x14ac:dyDescent="0.25">
      <c r="A161" t="s">
        <v>309</v>
      </c>
      <c r="B161" t="s">
        <v>276</v>
      </c>
      <c r="C161" t="s">
        <v>27</v>
      </c>
      <c r="E161" t="s">
        <v>287</v>
      </c>
      <c r="H161" s="2">
        <v>45840.533333333333</v>
      </c>
      <c r="I161" t="s">
        <v>29</v>
      </c>
      <c r="K161" t="s">
        <v>30</v>
      </c>
      <c r="L161" t="s">
        <v>31</v>
      </c>
      <c r="M161" t="s">
        <v>213</v>
      </c>
      <c r="N161">
        <v>16989226752</v>
      </c>
      <c r="O161" t="s">
        <v>310</v>
      </c>
      <c r="Z161">
        <v>102111</v>
      </c>
    </row>
    <row r="162" spans="1:26" x14ac:dyDescent="0.25">
      <c r="A162" t="s">
        <v>2200</v>
      </c>
      <c r="B162" t="s">
        <v>34</v>
      </c>
      <c r="C162" t="s">
        <v>27</v>
      </c>
      <c r="E162" t="s">
        <v>116</v>
      </c>
      <c r="H162" s="2">
        <v>45838.887499999997</v>
      </c>
      <c r="I162" t="s">
        <v>29</v>
      </c>
      <c r="K162" t="s">
        <v>35</v>
      </c>
      <c r="Z162">
        <v>102061</v>
      </c>
    </row>
    <row r="163" spans="1:26" x14ac:dyDescent="0.25">
      <c r="A163" t="s">
        <v>2201</v>
      </c>
      <c r="B163" t="s">
        <v>26</v>
      </c>
      <c r="C163" t="s">
        <v>27</v>
      </c>
      <c r="H163" s="2">
        <v>45838.823611111111</v>
      </c>
      <c r="I163" t="s">
        <v>29</v>
      </c>
      <c r="Z163">
        <v>102059</v>
      </c>
    </row>
    <row r="164" spans="1:26" x14ac:dyDescent="0.25">
      <c r="A164" t="s">
        <v>311</v>
      </c>
      <c r="B164" t="s">
        <v>26</v>
      </c>
      <c r="C164" t="s">
        <v>27</v>
      </c>
      <c r="H164" s="2">
        <v>45837.454861111109</v>
      </c>
      <c r="I164" t="s">
        <v>36</v>
      </c>
      <c r="Z164">
        <v>102003</v>
      </c>
    </row>
    <row r="165" spans="1:26" x14ac:dyDescent="0.25">
      <c r="A165" t="s">
        <v>2202</v>
      </c>
      <c r="B165" t="s">
        <v>43</v>
      </c>
      <c r="C165" t="s">
        <v>27</v>
      </c>
      <c r="E165" t="s">
        <v>74</v>
      </c>
      <c r="G165" t="s">
        <v>224</v>
      </c>
      <c r="H165" s="2">
        <v>45836.902083333334</v>
      </c>
      <c r="I165" t="s">
        <v>36</v>
      </c>
      <c r="Z165">
        <v>101998</v>
      </c>
    </row>
    <row r="166" spans="1:26" x14ac:dyDescent="0.25">
      <c r="A166" t="s">
        <v>312</v>
      </c>
      <c r="B166" t="s">
        <v>26</v>
      </c>
      <c r="C166" t="s">
        <v>27</v>
      </c>
      <c r="H166" s="2">
        <v>45835.704861111109</v>
      </c>
      <c r="I166" t="s">
        <v>289</v>
      </c>
      <c r="Z166">
        <v>101963</v>
      </c>
    </row>
    <row r="167" spans="1:26" x14ac:dyDescent="0.25">
      <c r="A167" t="s">
        <v>313</v>
      </c>
      <c r="B167" t="s">
        <v>26</v>
      </c>
      <c r="C167" t="s">
        <v>27</v>
      </c>
      <c r="H167" s="2">
        <v>45835.636111111111</v>
      </c>
      <c r="I167" t="s">
        <v>128</v>
      </c>
      <c r="Z167">
        <v>101956</v>
      </c>
    </row>
    <row r="168" spans="1:26" x14ac:dyDescent="0.25">
      <c r="A168" t="s">
        <v>314</v>
      </c>
      <c r="B168" t="s">
        <v>43</v>
      </c>
      <c r="C168" t="s">
        <v>27</v>
      </c>
      <c r="E168" t="s">
        <v>40</v>
      </c>
      <c r="G168" t="s">
        <v>315</v>
      </c>
      <c r="H168" s="2">
        <v>45835.527083333334</v>
      </c>
      <c r="I168" t="s">
        <v>29</v>
      </c>
      <c r="Z168">
        <v>101945</v>
      </c>
    </row>
    <row r="169" spans="1:26" x14ac:dyDescent="0.25">
      <c r="A169" t="s">
        <v>316</v>
      </c>
      <c r="B169" t="s">
        <v>26</v>
      </c>
      <c r="C169" t="s">
        <v>27</v>
      </c>
      <c r="H169" s="2">
        <v>45835.406944444447</v>
      </c>
      <c r="I169" t="s">
        <v>289</v>
      </c>
      <c r="Z169">
        <v>101939</v>
      </c>
    </row>
    <row r="170" spans="1:26" x14ac:dyDescent="0.25">
      <c r="A170" t="s">
        <v>317</v>
      </c>
      <c r="B170" t="s">
        <v>26</v>
      </c>
      <c r="C170" t="s">
        <v>27</v>
      </c>
      <c r="H170" s="2">
        <v>45834.836805555555</v>
      </c>
      <c r="I170" t="s">
        <v>128</v>
      </c>
      <c r="Z170">
        <v>101937</v>
      </c>
    </row>
    <row r="171" spans="1:26" x14ac:dyDescent="0.25">
      <c r="A171" t="s">
        <v>318</v>
      </c>
      <c r="B171" t="s">
        <v>26</v>
      </c>
      <c r="C171" t="s">
        <v>27</v>
      </c>
      <c r="H171" s="2">
        <v>45833.831250000003</v>
      </c>
      <c r="I171" t="s">
        <v>128</v>
      </c>
      <c r="Z171">
        <v>101919</v>
      </c>
    </row>
    <row r="172" spans="1:26" x14ac:dyDescent="0.25">
      <c r="A172" t="s">
        <v>319</v>
      </c>
      <c r="B172" t="s">
        <v>26</v>
      </c>
      <c r="C172" t="s">
        <v>27</v>
      </c>
      <c r="H172" s="2">
        <v>45833.806250000001</v>
      </c>
      <c r="I172" t="s">
        <v>128</v>
      </c>
      <c r="Z172">
        <v>101917</v>
      </c>
    </row>
    <row r="173" spans="1:26" x14ac:dyDescent="0.25">
      <c r="A173" t="s">
        <v>73</v>
      </c>
      <c r="B173" t="s">
        <v>26</v>
      </c>
      <c r="C173" t="s">
        <v>27</v>
      </c>
      <c r="H173" s="2">
        <v>45832.432638888888</v>
      </c>
      <c r="I173" t="s">
        <v>289</v>
      </c>
      <c r="Z173">
        <v>101852</v>
      </c>
    </row>
    <row r="174" spans="1:26" x14ac:dyDescent="0.25">
      <c r="A174" t="s">
        <v>320</v>
      </c>
      <c r="B174" t="s">
        <v>26</v>
      </c>
      <c r="C174" t="s">
        <v>27</v>
      </c>
      <c r="H174" s="2">
        <v>45831.650694444441</v>
      </c>
      <c r="I174" t="s">
        <v>289</v>
      </c>
      <c r="Z174">
        <v>101825</v>
      </c>
    </row>
    <row r="175" spans="1:26" x14ac:dyDescent="0.25">
      <c r="A175" t="s">
        <v>321</v>
      </c>
      <c r="B175" t="s">
        <v>276</v>
      </c>
      <c r="C175" t="s">
        <v>27</v>
      </c>
      <c r="E175" t="s">
        <v>322</v>
      </c>
      <c r="H175" s="2">
        <v>45830.700694444444</v>
      </c>
      <c r="I175" t="s">
        <v>289</v>
      </c>
      <c r="Z175">
        <v>101778</v>
      </c>
    </row>
    <row r="176" spans="1:26" x14ac:dyDescent="0.25">
      <c r="A176" t="s">
        <v>323</v>
      </c>
      <c r="B176" t="s">
        <v>26</v>
      </c>
      <c r="C176" t="s">
        <v>27</v>
      </c>
      <c r="H176" s="2">
        <v>45830.634722222225</v>
      </c>
      <c r="I176" t="s">
        <v>289</v>
      </c>
      <c r="Z176">
        <v>101776</v>
      </c>
    </row>
    <row r="177" spans="1:26" x14ac:dyDescent="0.25">
      <c r="A177" t="s">
        <v>324</v>
      </c>
      <c r="B177" t="s">
        <v>26</v>
      </c>
      <c r="C177" t="s">
        <v>27</v>
      </c>
      <c r="H177" s="2">
        <v>45830.590277777781</v>
      </c>
      <c r="I177" t="s">
        <v>289</v>
      </c>
      <c r="Z177">
        <v>101773</v>
      </c>
    </row>
    <row r="178" spans="1:26" x14ac:dyDescent="0.25">
      <c r="A178" t="s">
        <v>325</v>
      </c>
      <c r="B178" t="s">
        <v>43</v>
      </c>
      <c r="C178" t="s">
        <v>27</v>
      </c>
      <c r="E178" t="s">
        <v>195</v>
      </c>
      <c r="G178" t="s">
        <v>326</v>
      </c>
      <c r="H178" s="2">
        <v>45830.570833333331</v>
      </c>
      <c r="I178" t="s">
        <v>289</v>
      </c>
      <c r="Z178">
        <v>101770</v>
      </c>
    </row>
    <row r="179" spans="1:26" x14ac:dyDescent="0.25">
      <c r="A179" t="s">
        <v>129</v>
      </c>
      <c r="B179" t="s">
        <v>34</v>
      </c>
      <c r="C179" t="s">
        <v>27</v>
      </c>
      <c r="E179" t="s">
        <v>64</v>
      </c>
      <c r="H179" s="2">
        <v>45829.59652777778</v>
      </c>
      <c r="I179" t="s">
        <v>128</v>
      </c>
      <c r="K179" t="s">
        <v>30</v>
      </c>
      <c r="L179" t="s">
        <v>31</v>
      </c>
      <c r="M179" t="s">
        <v>213</v>
      </c>
      <c r="N179">
        <v>16989226752</v>
      </c>
      <c r="O179" t="s">
        <v>327</v>
      </c>
      <c r="Z179">
        <v>101753</v>
      </c>
    </row>
    <row r="180" spans="1:26" x14ac:dyDescent="0.25">
      <c r="A180" t="s">
        <v>328</v>
      </c>
      <c r="B180" t="s">
        <v>26</v>
      </c>
      <c r="C180" t="s">
        <v>27</v>
      </c>
      <c r="H180" s="2">
        <v>45827.663194444445</v>
      </c>
      <c r="I180" t="s">
        <v>128</v>
      </c>
      <c r="Z180">
        <v>101690</v>
      </c>
    </row>
    <row r="181" spans="1:26" x14ac:dyDescent="0.25">
      <c r="A181" t="s">
        <v>393</v>
      </c>
      <c r="B181" t="s">
        <v>276</v>
      </c>
      <c r="C181" t="s">
        <v>27</v>
      </c>
      <c r="E181" t="s">
        <v>329</v>
      </c>
      <c r="H181" s="2">
        <v>45827.033333333333</v>
      </c>
      <c r="I181" t="s">
        <v>29</v>
      </c>
      <c r="Z181">
        <v>101637</v>
      </c>
    </row>
    <row r="182" spans="1:26" x14ac:dyDescent="0.25">
      <c r="A182" t="s">
        <v>330</v>
      </c>
      <c r="B182" t="s">
        <v>276</v>
      </c>
      <c r="C182" t="s">
        <v>27</v>
      </c>
      <c r="E182" t="s">
        <v>331</v>
      </c>
      <c r="G182" t="s">
        <v>332</v>
      </c>
      <c r="H182" s="2">
        <v>45826.466666666667</v>
      </c>
      <c r="I182" t="s">
        <v>128</v>
      </c>
      <c r="Z182">
        <v>101614</v>
      </c>
    </row>
    <row r="183" spans="1:26" x14ac:dyDescent="0.25">
      <c r="A183" t="s">
        <v>333</v>
      </c>
      <c r="B183" t="s">
        <v>26</v>
      </c>
      <c r="C183" t="s">
        <v>27</v>
      </c>
      <c r="H183" s="2">
        <v>45825.727777777778</v>
      </c>
      <c r="I183" t="s">
        <v>289</v>
      </c>
      <c r="Z183">
        <v>101601</v>
      </c>
    </row>
    <row r="184" spans="1:26" x14ac:dyDescent="0.25">
      <c r="A184" t="s">
        <v>151</v>
      </c>
      <c r="B184" t="s">
        <v>34</v>
      </c>
      <c r="C184" t="s">
        <v>27</v>
      </c>
      <c r="E184" t="s">
        <v>334</v>
      </c>
      <c r="H184" s="2">
        <v>45824.945138888892</v>
      </c>
      <c r="I184" t="s">
        <v>289</v>
      </c>
      <c r="K184" t="s">
        <v>35</v>
      </c>
      <c r="Z184">
        <v>101566</v>
      </c>
    </row>
    <row r="185" spans="1:26" x14ac:dyDescent="0.25">
      <c r="A185" t="s">
        <v>335</v>
      </c>
      <c r="B185" t="s">
        <v>26</v>
      </c>
      <c r="C185" t="s">
        <v>27</v>
      </c>
      <c r="H185" s="2">
        <v>45824.848611111112</v>
      </c>
      <c r="I185" t="s">
        <v>128</v>
      </c>
      <c r="Z185">
        <v>101564</v>
      </c>
    </row>
    <row r="186" spans="1:26" x14ac:dyDescent="0.25">
      <c r="A186" t="s">
        <v>336</v>
      </c>
      <c r="B186" t="s">
        <v>26</v>
      </c>
      <c r="C186" t="s">
        <v>27</v>
      </c>
      <c r="H186" s="2">
        <v>45824.423611111109</v>
      </c>
      <c r="I186" t="s">
        <v>128</v>
      </c>
      <c r="Z186">
        <v>101528</v>
      </c>
    </row>
    <row r="187" spans="1:26" x14ac:dyDescent="0.25">
      <c r="A187" t="s">
        <v>337</v>
      </c>
      <c r="B187" t="s">
        <v>26</v>
      </c>
      <c r="C187" t="s">
        <v>27</v>
      </c>
      <c r="H187" s="2">
        <v>45817.773611111108</v>
      </c>
      <c r="I187" t="s">
        <v>128</v>
      </c>
      <c r="Z187">
        <v>101337</v>
      </c>
    </row>
    <row r="188" spans="1:26" x14ac:dyDescent="0.25">
      <c r="A188" t="s">
        <v>338</v>
      </c>
      <c r="B188" t="s">
        <v>43</v>
      </c>
      <c r="C188" t="s">
        <v>27</v>
      </c>
      <c r="E188" t="s">
        <v>41</v>
      </c>
      <c r="G188" t="s">
        <v>339</v>
      </c>
      <c r="H188" s="2">
        <v>45816.817361111112</v>
      </c>
      <c r="I188" t="s">
        <v>128</v>
      </c>
      <c r="Z188">
        <v>101297</v>
      </c>
    </row>
    <row r="189" spans="1:26" x14ac:dyDescent="0.25">
      <c r="A189" t="s">
        <v>340</v>
      </c>
      <c r="B189" t="s">
        <v>276</v>
      </c>
      <c r="C189" t="s">
        <v>27</v>
      </c>
      <c r="E189" t="s">
        <v>341</v>
      </c>
      <c r="G189" t="s">
        <v>342</v>
      </c>
      <c r="H189" s="2">
        <v>45816.811111111114</v>
      </c>
      <c r="I189" t="s">
        <v>128</v>
      </c>
      <c r="Z189">
        <v>101296</v>
      </c>
    </row>
    <row r="190" spans="1:26" x14ac:dyDescent="0.25">
      <c r="A190" t="s">
        <v>343</v>
      </c>
      <c r="B190" t="s">
        <v>43</v>
      </c>
      <c r="C190" t="s">
        <v>27</v>
      </c>
      <c r="E190" t="s">
        <v>344</v>
      </c>
      <c r="G190" t="s">
        <v>345</v>
      </c>
      <c r="H190" s="2">
        <v>45816.527083333334</v>
      </c>
      <c r="I190" t="s">
        <v>128</v>
      </c>
      <c r="Z190">
        <v>101279</v>
      </c>
    </row>
    <row r="191" spans="1:26" x14ac:dyDescent="0.25">
      <c r="A191" t="s">
        <v>346</v>
      </c>
      <c r="B191" t="s">
        <v>26</v>
      </c>
      <c r="C191" t="s">
        <v>27</v>
      </c>
      <c r="H191" s="2">
        <v>45815.4</v>
      </c>
      <c r="I191" t="s">
        <v>128</v>
      </c>
      <c r="Z191">
        <v>101229</v>
      </c>
    </row>
    <row r="192" spans="1:26" x14ac:dyDescent="0.25">
      <c r="A192" t="s">
        <v>347</v>
      </c>
      <c r="B192" t="s">
        <v>26</v>
      </c>
      <c r="C192" t="s">
        <v>27</v>
      </c>
      <c r="H192" s="2">
        <v>45815.375694444447</v>
      </c>
      <c r="I192" t="s">
        <v>128</v>
      </c>
      <c r="Z192">
        <v>101227</v>
      </c>
    </row>
    <row r="193" spans="1:26" x14ac:dyDescent="0.25">
      <c r="A193" t="s">
        <v>348</v>
      </c>
      <c r="C193" t="s">
        <v>27</v>
      </c>
      <c r="E193" t="s">
        <v>349</v>
      </c>
      <c r="H193" s="2">
        <v>45814.676388888889</v>
      </c>
      <c r="I193" t="s">
        <v>128</v>
      </c>
      <c r="Z193">
        <v>101216</v>
      </c>
    </row>
    <row r="194" spans="1:26" x14ac:dyDescent="0.25">
      <c r="A194" t="s">
        <v>350</v>
      </c>
      <c r="B194" t="s">
        <v>26</v>
      </c>
      <c r="C194" t="s">
        <v>27</v>
      </c>
      <c r="H194" s="2">
        <v>45814.499305555553</v>
      </c>
      <c r="I194" t="s">
        <v>128</v>
      </c>
      <c r="Z194">
        <v>101202</v>
      </c>
    </row>
    <row r="195" spans="1:26" x14ac:dyDescent="0.25">
      <c r="A195" t="s">
        <v>351</v>
      </c>
      <c r="B195" t="s">
        <v>26</v>
      </c>
      <c r="C195" t="s">
        <v>27</v>
      </c>
      <c r="H195" s="2">
        <v>45812.693055555559</v>
      </c>
      <c r="I195" t="s">
        <v>289</v>
      </c>
      <c r="Z195">
        <v>101144</v>
      </c>
    </row>
    <row r="196" spans="1:26" x14ac:dyDescent="0.25">
      <c r="A196" t="s">
        <v>352</v>
      </c>
      <c r="B196" t="s">
        <v>43</v>
      </c>
      <c r="C196" t="s">
        <v>27</v>
      </c>
      <c r="E196" t="s">
        <v>54</v>
      </c>
      <c r="G196" t="s">
        <v>353</v>
      </c>
      <c r="H196" s="2">
        <v>45812.524305555555</v>
      </c>
      <c r="I196" t="s">
        <v>289</v>
      </c>
      <c r="Z196">
        <v>101129</v>
      </c>
    </row>
    <row r="197" spans="1:26" x14ac:dyDescent="0.25">
      <c r="A197" t="s">
        <v>354</v>
      </c>
      <c r="B197" t="s">
        <v>26</v>
      </c>
      <c r="C197" t="s">
        <v>27</v>
      </c>
      <c r="H197" s="2">
        <v>45811.402083333334</v>
      </c>
      <c r="I197" t="s">
        <v>289</v>
      </c>
      <c r="Z197">
        <v>101064</v>
      </c>
    </row>
    <row r="198" spans="1:26" x14ac:dyDescent="0.25">
      <c r="A198" t="s">
        <v>355</v>
      </c>
      <c r="B198" t="s">
        <v>26</v>
      </c>
      <c r="C198" t="s">
        <v>27</v>
      </c>
      <c r="H198" s="2">
        <v>45810.597222222219</v>
      </c>
      <c r="I198" t="s">
        <v>289</v>
      </c>
      <c r="Z198">
        <v>101046</v>
      </c>
    </row>
    <row r="199" spans="1:26" x14ac:dyDescent="0.25">
      <c r="A199" t="s">
        <v>356</v>
      </c>
      <c r="B199" t="s">
        <v>26</v>
      </c>
      <c r="C199" t="s">
        <v>27</v>
      </c>
      <c r="H199" s="2">
        <v>45810.523611111108</v>
      </c>
      <c r="I199" t="s">
        <v>128</v>
      </c>
      <c r="Z199">
        <v>101038</v>
      </c>
    </row>
    <row r="200" spans="1:26" x14ac:dyDescent="0.25">
      <c r="A200" t="s">
        <v>357</v>
      </c>
      <c r="B200" t="s">
        <v>26</v>
      </c>
      <c r="C200" t="s">
        <v>27</v>
      </c>
      <c r="H200" s="2">
        <v>45810.522222222222</v>
      </c>
      <c r="I200" t="s">
        <v>128</v>
      </c>
      <c r="Z200">
        <v>101037</v>
      </c>
    </row>
    <row r="201" spans="1:26" x14ac:dyDescent="0.25">
      <c r="A201" t="s">
        <v>358</v>
      </c>
      <c r="B201" t="s">
        <v>26</v>
      </c>
      <c r="C201" t="s">
        <v>27</v>
      </c>
      <c r="H201" s="2">
        <v>45809.839583333334</v>
      </c>
      <c r="I201" t="s">
        <v>128</v>
      </c>
      <c r="Z201">
        <v>101026</v>
      </c>
    </row>
    <row r="202" spans="1:26" x14ac:dyDescent="0.25">
      <c r="A202" t="s">
        <v>359</v>
      </c>
      <c r="B202" t="s">
        <v>26</v>
      </c>
      <c r="C202" t="s">
        <v>27</v>
      </c>
      <c r="H202" s="2">
        <v>45809.417361111111</v>
      </c>
      <c r="I202" t="s">
        <v>128</v>
      </c>
      <c r="Z202">
        <v>101007</v>
      </c>
    </row>
    <row r="203" spans="1:26" x14ac:dyDescent="0.25">
      <c r="A203" t="s">
        <v>360</v>
      </c>
      <c r="B203" t="s">
        <v>26</v>
      </c>
      <c r="C203" t="s">
        <v>27</v>
      </c>
      <c r="H203" s="2">
        <v>45807.558333333334</v>
      </c>
      <c r="I203" t="s">
        <v>128</v>
      </c>
      <c r="Z203">
        <v>100957</v>
      </c>
    </row>
    <row r="204" spans="1:26" x14ac:dyDescent="0.25">
      <c r="A204" t="s">
        <v>362</v>
      </c>
      <c r="B204" t="s">
        <v>26</v>
      </c>
      <c r="C204" t="s">
        <v>27</v>
      </c>
      <c r="H204" s="2">
        <v>45804.525694444441</v>
      </c>
      <c r="I204" t="s">
        <v>128</v>
      </c>
      <c r="Z204">
        <v>100845</v>
      </c>
    </row>
    <row r="205" spans="1:26" x14ac:dyDescent="0.25">
      <c r="A205" t="s">
        <v>363</v>
      </c>
      <c r="B205" t="s">
        <v>26</v>
      </c>
      <c r="C205" t="s">
        <v>27</v>
      </c>
      <c r="H205" s="2">
        <v>45804.375</v>
      </c>
      <c r="I205" t="s">
        <v>289</v>
      </c>
      <c r="Z205">
        <v>100827</v>
      </c>
    </row>
    <row r="206" spans="1:26" x14ac:dyDescent="0.25">
      <c r="A206" t="s">
        <v>129</v>
      </c>
      <c r="C206" t="s">
        <v>27</v>
      </c>
      <c r="E206" t="s">
        <v>364</v>
      </c>
      <c r="H206" s="2">
        <v>45803.462500000001</v>
      </c>
      <c r="I206" t="s">
        <v>128</v>
      </c>
      <c r="Z206">
        <v>100780</v>
      </c>
    </row>
    <row r="207" spans="1:26" x14ac:dyDescent="0.25">
      <c r="A207" t="s">
        <v>151</v>
      </c>
      <c r="C207" t="s">
        <v>27</v>
      </c>
      <c r="E207" t="s">
        <v>364</v>
      </c>
      <c r="H207" s="2">
        <v>45802.942361111112</v>
      </c>
      <c r="I207" t="s">
        <v>128</v>
      </c>
      <c r="Z207">
        <v>100768</v>
      </c>
    </row>
    <row r="208" spans="1:26" x14ac:dyDescent="0.25">
      <c r="A208" t="s">
        <v>365</v>
      </c>
      <c r="B208" t="s">
        <v>26</v>
      </c>
      <c r="C208" t="s">
        <v>27</v>
      </c>
      <c r="H208" s="2">
        <v>45800.527083333334</v>
      </c>
      <c r="I208" t="s">
        <v>289</v>
      </c>
      <c r="Z208">
        <v>100683</v>
      </c>
    </row>
    <row r="209" spans="1:26" x14ac:dyDescent="0.25">
      <c r="A209" t="s">
        <v>366</v>
      </c>
      <c r="B209" t="s">
        <v>276</v>
      </c>
      <c r="C209" t="s">
        <v>27</v>
      </c>
      <c r="E209" t="s">
        <v>367</v>
      </c>
      <c r="H209" s="2">
        <v>45798.657638888886</v>
      </c>
      <c r="I209" t="s">
        <v>289</v>
      </c>
      <c r="Z209">
        <v>100608</v>
      </c>
    </row>
    <row r="210" spans="1:26" x14ac:dyDescent="0.25">
      <c r="A210" t="s">
        <v>368</v>
      </c>
      <c r="B210" t="s">
        <v>26</v>
      </c>
      <c r="C210" t="s">
        <v>27</v>
      </c>
      <c r="H210" s="2">
        <v>45797.851388888892</v>
      </c>
      <c r="I210" t="s">
        <v>128</v>
      </c>
      <c r="Z210">
        <v>100586</v>
      </c>
    </row>
    <row r="211" spans="1:26" x14ac:dyDescent="0.25">
      <c r="A211" t="s">
        <v>369</v>
      </c>
      <c r="B211" t="s">
        <v>370</v>
      </c>
      <c r="C211" t="s">
        <v>27</v>
      </c>
      <c r="E211" t="s">
        <v>371</v>
      </c>
      <c r="H211" s="2">
        <v>45797.689583333333</v>
      </c>
      <c r="I211" t="s">
        <v>29</v>
      </c>
      <c r="Z211">
        <v>100575</v>
      </c>
    </row>
    <row r="212" spans="1:26" x14ac:dyDescent="0.25">
      <c r="A212" t="s">
        <v>372</v>
      </c>
      <c r="B212" t="s">
        <v>26</v>
      </c>
      <c r="C212" t="s">
        <v>27</v>
      </c>
      <c r="H212" s="2">
        <v>45796.576388888891</v>
      </c>
      <c r="I212" t="s">
        <v>128</v>
      </c>
      <c r="Z212">
        <v>100530</v>
      </c>
    </row>
    <row r="213" spans="1:26" x14ac:dyDescent="0.25">
      <c r="A213" t="s">
        <v>373</v>
      </c>
      <c r="B213" t="s">
        <v>370</v>
      </c>
      <c r="C213" t="s">
        <v>27</v>
      </c>
      <c r="E213" t="s">
        <v>92</v>
      </c>
      <c r="H213" s="2">
        <v>45794.720833333333</v>
      </c>
      <c r="I213" t="s">
        <v>36</v>
      </c>
      <c r="Z213">
        <v>100476</v>
      </c>
    </row>
    <row r="214" spans="1:26" x14ac:dyDescent="0.25">
      <c r="A214" t="s">
        <v>375</v>
      </c>
      <c r="B214" t="s">
        <v>43</v>
      </c>
      <c r="C214" t="s">
        <v>27</v>
      </c>
      <c r="E214" t="s">
        <v>40</v>
      </c>
      <c r="G214" t="s">
        <v>376</v>
      </c>
      <c r="H214" s="2">
        <v>45792.576388888891</v>
      </c>
      <c r="I214" t="s">
        <v>289</v>
      </c>
      <c r="Z214">
        <v>100396</v>
      </c>
    </row>
    <row r="215" spans="1:26" x14ac:dyDescent="0.25">
      <c r="A215" t="s">
        <v>293</v>
      </c>
      <c r="B215" t="s">
        <v>370</v>
      </c>
      <c r="C215" t="s">
        <v>27</v>
      </c>
      <c r="E215" t="s">
        <v>81</v>
      </c>
      <c r="H215" s="2">
        <v>45789.797222222223</v>
      </c>
      <c r="I215" t="s">
        <v>289</v>
      </c>
      <c r="Z215">
        <v>100307</v>
      </c>
    </row>
    <row r="216" spans="1:26" x14ac:dyDescent="0.25">
      <c r="A216" t="s">
        <v>293</v>
      </c>
      <c r="B216" t="s">
        <v>276</v>
      </c>
      <c r="C216" t="s">
        <v>27</v>
      </c>
      <c r="E216" t="s">
        <v>81</v>
      </c>
      <c r="H216" s="2">
        <v>45789.793749999997</v>
      </c>
      <c r="I216" t="s">
        <v>289</v>
      </c>
      <c r="Z216">
        <v>100306</v>
      </c>
    </row>
    <row r="217" spans="1:26" x14ac:dyDescent="0.25">
      <c r="A217" t="s">
        <v>377</v>
      </c>
      <c r="B217" t="s">
        <v>26</v>
      </c>
      <c r="C217" t="s">
        <v>27</v>
      </c>
      <c r="H217" s="2">
        <v>45788.863194444442</v>
      </c>
      <c r="I217" t="s">
        <v>289</v>
      </c>
      <c r="Z217">
        <v>100259</v>
      </c>
    </row>
    <row r="218" spans="1:26" x14ac:dyDescent="0.25">
      <c r="A218" t="s">
        <v>379</v>
      </c>
      <c r="B218" t="s">
        <v>26</v>
      </c>
      <c r="C218" t="s">
        <v>27</v>
      </c>
      <c r="H218" s="2">
        <v>45784.745833333334</v>
      </c>
      <c r="I218" t="s">
        <v>128</v>
      </c>
      <c r="Z218">
        <v>100154</v>
      </c>
    </row>
    <row r="219" spans="1:26" x14ac:dyDescent="0.25">
      <c r="A219" t="s">
        <v>380</v>
      </c>
      <c r="B219" t="s">
        <v>26</v>
      </c>
      <c r="C219" t="s">
        <v>27</v>
      </c>
      <c r="H219" s="2">
        <v>45782.692361111112</v>
      </c>
      <c r="I219" t="s">
        <v>289</v>
      </c>
      <c r="Z219">
        <v>100067</v>
      </c>
    </row>
    <row r="220" spans="1:26" x14ac:dyDescent="0.25">
      <c r="A220" t="s">
        <v>381</v>
      </c>
      <c r="B220" t="s">
        <v>370</v>
      </c>
      <c r="C220" t="s">
        <v>27</v>
      </c>
      <c r="E220" t="s">
        <v>382</v>
      </c>
      <c r="H220" s="2">
        <v>45779.451388888891</v>
      </c>
      <c r="I220" t="s">
        <v>29</v>
      </c>
      <c r="Z220">
        <v>99946</v>
      </c>
    </row>
    <row r="221" spans="1:26" x14ac:dyDescent="0.25">
      <c r="A221" t="s">
        <v>384</v>
      </c>
      <c r="B221" t="s">
        <v>276</v>
      </c>
      <c r="C221" t="s">
        <v>27</v>
      </c>
      <c r="E221" t="s">
        <v>385</v>
      </c>
      <c r="H221" s="2">
        <v>45777.555555555555</v>
      </c>
      <c r="I221" t="s">
        <v>289</v>
      </c>
      <c r="Z221">
        <v>99895</v>
      </c>
    </row>
    <row r="222" spans="1:26" x14ac:dyDescent="0.25">
      <c r="A222" t="s">
        <v>151</v>
      </c>
      <c r="C222" t="s">
        <v>27</v>
      </c>
      <c r="E222" t="s">
        <v>116</v>
      </c>
      <c r="H222" s="2">
        <v>45777.408333333333</v>
      </c>
      <c r="I222" t="s">
        <v>29</v>
      </c>
      <c r="Z222">
        <v>99887</v>
      </c>
    </row>
    <row r="223" spans="1:26" x14ac:dyDescent="0.25">
      <c r="A223" t="s">
        <v>386</v>
      </c>
      <c r="B223" t="s">
        <v>26</v>
      </c>
      <c r="C223" t="s">
        <v>27</v>
      </c>
      <c r="H223" s="2">
        <v>45774.786111111112</v>
      </c>
      <c r="I223" t="s">
        <v>128</v>
      </c>
      <c r="Z223">
        <v>99811</v>
      </c>
    </row>
    <row r="224" spans="1:26" x14ac:dyDescent="0.25">
      <c r="A224" t="s">
        <v>387</v>
      </c>
      <c r="C224" t="s">
        <v>44</v>
      </c>
      <c r="E224" t="s">
        <v>387</v>
      </c>
      <c r="H224" s="2">
        <v>45772.679861111108</v>
      </c>
      <c r="I224" t="s">
        <v>29</v>
      </c>
      <c r="Z224">
        <v>99754</v>
      </c>
    </row>
    <row r="225" spans="1:26" x14ac:dyDescent="0.25">
      <c r="A225" t="s">
        <v>388</v>
      </c>
      <c r="B225" t="s">
        <v>26</v>
      </c>
      <c r="C225" t="s">
        <v>27</v>
      </c>
      <c r="H225" s="2">
        <v>45772.522222222222</v>
      </c>
      <c r="I225" t="s">
        <v>128</v>
      </c>
      <c r="Z225">
        <v>99746</v>
      </c>
    </row>
    <row r="226" spans="1:26" x14ac:dyDescent="0.25">
      <c r="A226" t="s">
        <v>389</v>
      </c>
      <c r="B226" t="s">
        <v>26</v>
      </c>
      <c r="C226" t="s">
        <v>27</v>
      </c>
      <c r="E226" t="s">
        <v>169</v>
      </c>
      <c r="G226" t="s">
        <v>390</v>
      </c>
      <c r="H226" s="2">
        <v>45770.547222222223</v>
      </c>
      <c r="I226" t="s">
        <v>289</v>
      </c>
      <c r="Z226">
        <v>99676</v>
      </c>
    </row>
    <row r="227" spans="1:26" x14ac:dyDescent="0.25">
      <c r="A227" t="s">
        <v>391</v>
      </c>
      <c r="B227" t="s">
        <v>26</v>
      </c>
      <c r="C227" t="s">
        <v>27</v>
      </c>
      <c r="H227" s="2">
        <v>45769.690972222219</v>
      </c>
      <c r="I227" t="s">
        <v>289</v>
      </c>
      <c r="Z227">
        <v>99642</v>
      </c>
    </row>
    <row r="228" spans="1:26" x14ac:dyDescent="0.25">
      <c r="A228" t="s">
        <v>392</v>
      </c>
      <c r="B228" t="s">
        <v>26</v>
      </c>
      <c r="C228" t="s">
        <v>27</v>
      </c>
      <c r="H228" s="2">
        <v>45769.657638888886</v>
      </c>
      <c r="I228" t="s">
        <v>289</v>
      </c>
      <c r="Z228">
        <v>99637</v>
      </c>
    </row>
    <row r="229" spans="1:26" x14ac:dyDescent="0.25">
      <c r="A229" t="s">
        <v>225</v>
      </c>
      <c r="B229" t="s">
        <v>26</v>
      </c>
      <c r="C229" t="s">
        <v>27</v>
      </c>
      <c r="H229" s="2">
        <v>45769.415972222225</v>
      </c>
      <c r="I229" t="s">
        <v>289</v>
      </c>
      <c r="Z229">
        <v>99602</v>
      </c>
    </row>
    <row r="230" spans="1:26" x14ac:dyDescent="0.25">
      <c r="A230" t="s">
        <v>151</v>
      </c>
      <c r="C230" t="s">
        <v>27</v>
      </c>
      <c r="E230" t="s">
        <v>394</v>
      </c>
      <c r="H230" s="2">
        <v>45767.926388888889</v>
      </c>
      <c r="I230" t="s">
        <v>128</v>
      </c>
      <c r="Z230">
        <v>99528</v>
      </c>
    </row>
    <row r="231" spans="1:26" x14ac:dyDescent="0.25">
      <c r="A231" t="s">
        <v>395</v>
      </c>
      <c r="B231" t="s">
        <v>26</v>
      </c>
      <c r="C231" t="s">
        <v>27</v>
      </c>
      <c r="H231" s="2">
        <v>45767.449305555558</v>
      </c>
      <c r="I231" t="s">
        <v>128</v>
      </c>
      <c r="Z231">
        <v>99501</v>
      </c>
    </row>
    <row r="232" spans="1:26" x14ac:dyDescent="0.25">
      <c r="A232" t="s">
        <v>396</v>
      </c>
      <c r="B232" t="s">
        <v>43</v>
      </c>
      <c r="C232" t="s">
        <v>27</v>
      </c>
      <c r="E232" t="s">
        <v>169</v>
      </c>
      <c r="G232" t="s">
        <v>397</v>
      </c>
      <c r="H232" s="2">
        <v>45766.850694444445</v>
      </c>
      <c r="I232" t="s">
        <v>128</v>
      </c>
      <c r="Z232">
        <v>99493</v>
      </c>
    </row>
    <row r="233" spans="1:26" x14ac:dyDescent="0.25">
      <c r="A233" t="s">
        <v>2203</v>
      </c>
      <c r="B233" t="s">
        <v>370</v>
      </c>
      <c r="C233" t="s">
        <v>27</v>
      </c>
      <c r="E233" t="s">
        <v>135</v>
      </c>
      <c r="H233" s="2">
        <v>45764.685416666667</v>
      </c>
      <c r="I233" t="s">
        <v>289</v>
      </c>
      <c r="Z233">
        <v>99404</v>
      </c>
    </row>
    <row r="234" spans="1:26" x14ac:dyDescent="0.25">
      <c r="A234" t="s">
        <v>399</v>
      </c>
      <c r="B234" t="s">
        <v>43</v>
      </c>
      <c r="C234" t="s">
        <v>27</v>
      </c>
      <c r="E234" t="s">
        <v>55</v>
      </c>
      <c r="G234" t="s">
        <v>400</v>
      </c>
      <c r="H234" s="2">
        <v>45762.668749999997</v>
      </c>
      <c r="I234" t="s">
        <v>128</v>
      </c>
      <c r="Z234">
        <v>99290</v>
      </c>
    </row>
    <row r="235" spans="1:26" x14ac:dyDescent="0.25">
      <c r="A235" t="s">
        <v>401</v>
      </c>
      <c r="B235" t="s">
        <v>276</v>
      </c>
      <c r="C235" t="s">
        <v>27</v>
      </c>
      <c r="E235" t="s">
        <v>402</v>
      </c>
      <c r="G235" t="s">
        <v>403</v>
      </c>
      <c r="H235" s="2">
        <v>45762.667361111111</v>
      </c>
      <c r="I235" t="s">
        <v>128</v>
      </c>
      <c r="Z235">
        <v>99289</v>
      </c>
    </row>
    <row r="236" spans="1:26" x14ac:dyDescent="0.25">
      <c r="A236" t="s">
        <v>129</v>
      </c>
      <c r="C236" t="s">
        <v>27</v>
      </c>
      <c r="E236" t="s">
        <v>40</v>
      </c>
      <c r="H236" s="2">
        <v>45762.638194444444</v>
      </c>
      <c r="I236" t="s">
        <v>289</v>
      </c>
      <c r="Z236">
        <v>99285</v>
      </c>
    </row>
    <row r="237" spans="1:26" x14ac:dyDescent="0.25">
      <c r="A237" t="s">
        <v>151</v>
      </c>
      <c r="C237" t="s">
        <v>27</v>
      </c>
      <c r="E237" t="s">
        <v>64</v>
      </c>
      <c r="H237" s="2">
        <v>45762.361111111109</v>
      </c>
      <c r="I237" t="s">
        <v>128</v>
      </c>
      <c r="Z237">
        <v>99248</v>
      </c>
    </row>
    <row r="238" spans="1:26" x14ac:dyDescent="0.25">
      <c r="A238" t="s">
        <v>405</v>
      </c>
      <c r="B238" t="s">
        <v>26</v>
      </c>
      <c r="C238" t="s">
        <v>27</v>
      </c>
      <c r="H238" s="2">
        <v>45760.504861111112</v>
      </c>
      <c r="I238" t="s">
        <v>128</v>
      </c>
      <c r="Z238">
        <v>99180</v>
      </c>
    </row>
    <row r="239" spans="1:26" x14ac:dyDescent="0.25">
      <c r="A239" t="s">
        <v>406</v>
      </c>
      <c r="B239" t="s">
        <v>26</v>
      </c>
      <c r="C239" t="s">
        <v>27</v>
      </c>
      <c r="H239" s="2">
        <v>45758.566666666666</v>
      </c>
      <c r="I239" t="s">
        <v>289</v>
      </c>
      <c r="Z239">
        <v>99111</v>
      </c>
    </row>
    <row r="240" spans="1:26" x14ac:dyDescent="0.25">
      <c r="A240" t="s">
        <v>2204</v>
      </c>
      <c r="B240" t="s">
        <v>26</v>
      </c>
      <c r="C240" t="s">
        <v>27</v>
      </c>
      <c r="H240" s="2">
        <v>45757.790972222225</v>
      </c>
      <c r="I240" t="s">
        <v>36</v>
      </c>
      <c r="Z240">
        <v>99089</v>
      </c>
    </row>
    <row r="241" spans="1:26" x14ac:dyDescent="0.25">
      <c r="A241" t="s">
        <v>407</v>
      </c>
      <c r="B241" t="s">
        <v>370</v>
      </c>
      <c r="C241" t="s">
        <v>27</v>
      </c>
      <c r="E241" t="s">
        <v>408</v>
      </c>
      <c r="H241" s="2">
        <v>45757.661111111112</v>
      </c>
      <c r="I241" t="s">
        <v>289</v>
      </c>
      <c r="Z241">
        <v>99070</v>
      </c>
    </row>
    <row r="242" spans="1:26" x14ac:dyDescent="0.25">
      <c r="A242" t="s">
        <v>409</v>
      </c>
      <c r="B242" t="s">
        <v>276</v>
      </c>
      <c r="C242" t="s">
        <v>27</v>
      </c>
      <c r="E242" t="s">
        <v>408</v>
      </c>
      <c r="H242" s="2">
        <v>45757.658333333333</v>
      </c>
      <c r="I242" t="s">
        <v>289</v>
      </c>
      <c r="Z242">
        <v>99069</v>
      </c>
    </row>
    <row r="243" spans="1:26" x14ac:dyDescent="0.25">
      <c r="A243" t="s">
        <v>410</v>
      </c>
      <c r="B243" t="s">
        <v>26</v>
      </c>
      <c r="C243" t="s">
        <v>27</v>
      </c>
      <c r="H243" s="2">
        <v>45756.865277777775</v>
      </c>
      <c r="I243" t="s">
        <v>128</v>
      </c>
      <c r="Z243">
        <v>99044</v>
      </c>
    </row>
    <row r="244" spans="1:26" x14ac:dyDescent="0.25">
      <c r="A244" t="s">
        <v>411</v>
      </c>
      <c r="B244" t="s">
        <v>26</v>
      </c>
      <c r="C244" t="s">
        <v>27</v>
      </c>
      <c r="H244" s="2">
        <v>45756.799305555556</v>
      </c>
      <c r="I244" t="s">
        <v>128</v>
      </c>
      <c r="Z244">
        <v>99039</v>
      </c>
    </row>
    <row r="245" spans="1:26" x14ac:dyDescent="0.25">
      <c r="A245" t="s">
        <v>412</v>
      </c>
      <c r="B245" t="s">
        <v>26</v>
      </c>
      <c r="C245" t="s">
        <v>27</v>
      </c>
      <c r="H245" s="2">
        <v>45756.798611111109</v>
      </c>
      <c r="I245" t="s">
        <v>289</v>
      </c>
      <c r="Z245">
        <v>99038</v>
      </c>
    </row>
    <row r="246" spans="1:26" x14ac:dyDescent="0.25">
      <c r="A246" t="s">
        <v>413</v>
      </c>
      <c r="B246" t="s">
        <v>43</v>
      </c>
      <c r="C246" t="s">
        <v>27</v>
      </c>
      <c r="E246" t="s">
        <v>414</v>
      </c>
      <c r="G246" t="s">
        <v>415</v>
      </c>
      <c r="H246" s="2">
        <v>45756.368055555555</v>
      </c>
      <c r="I246" t="s">
        <v>128</v>
      </c>
      <c r="Z246">
        <v>98999</v>
      </c>
    </row>
    <row r="247" spans="1:26" x14ac:dyDescent="0.25">
      <c r="A247" t="s">
        <v>416</v>
      </c>
      <c r="B247" t="s">
        <v>26</v>
      </c>
      <c r="C247" t="s">
        <v>27</v>
      </c>
      <c r="H247" s="2">
        <v>45755.474999999999</v>
      </c>
      <c r="I247" t="s">
        <v>128</v>
      </c>
      <c r="Z247">
        <v>98965</v>
      </c>
    </row>
    <row r="248" spans="1:26" x14ac:dyDescent="0.25">
      <c r="A248" t="s">
        <v>417</v>
      </c>
      <c r="B248" t="s">
        <v>26</v>
      </c>
      <c r="C248" t="s">
        <v>27</v>
      </c>
      <c r="H248" s="2">
        <v>45751.575694444444</v>
      </c>
      <c r="I248" t="s">
        <v>36</v>
      </c>
      <c r="Z248">
        <v>98809</v>
      </c>
    </row>
    <row r="249" spans="1:26" x14ac:dyDescent="0.25">
      <c r="A249" t="s">
        <v>418</v>
      </c>
      <c r="B249" t="s">
        <v>26</v>
      </c>
      <c r="C249" t="s">
        <v>27</v>
      </c>
      <c r="H249" s="2">
        <v>45751.248611111114</v>
      </c>
      <c r="I249" t="s">
        <v>128</v>
      </c>
      <c r="Z249">
        <v>98783</v>
      </c>
    </row>
    <row r="250" spans="1:26" x14ac:dyDescent="0.25">
      <c r="A250" t="s">
        <v>419</v>
      </c>
      <c r="B250" t="s">
        <v>26</v>
      </c>
      <c r="C250" t="s">
        <v>27</v>
      </c>
      <c r="H250" s="2">
        <v>45750.513888888891</v>
      </c>
      <c r="I250" t="s">
        <v>128</v>
      </c>
      <c r="Z250">
        <v>98755</v>
      </c>
    </row>
    <row r="251" spans="1:26" x14ac:dyDescent="0.25">
      <c r="A251" t="s">
        <v>420</v>
      </c>
      <c r="B251" t="s">
        <v>26</v>
      </c>
      <c r="C251" t="s">
        <v>27</v>
      </c>
      <c r="H251" s="2">
        <v>45750.459027777775</v>
      </c>
      <c r="I251" t="s">
        <v>128</v>
      </c>
      <c r="Z251">
        <v>98743</v>
      </c>
    </row>
    <row r="252" spans="1:26" x14ac:dyDescent="0.25">
      <c r="A252" t="s">
        <v>67</v>
      </c>
      <c r="B252" t="s">
        <v>276</v>
      </c>
      <c r="C252" t="s">
        <v>67</v>
      </c>
      <c r="E252" t="s">
        <v>421</v>
      </c>
      <c r="H252" s="2">
        <v>45748.561805555553</v>
      </c>
      <c r="I252" t="s">
        <v>128</v>
      </c>
      <c r="Z252">
        <v>98628</v>
      </c>
    </row>
    <row r="253" spans="1:26" x14ac:dyDescent="0.25">
      <c r="A253" t="s">
        <v>423</v>
      </c>
      <c r="B253" t="s">
        <v>26</v>
      </c>
      <c r="C253" t="s">
        <v>27</v>
      </c>
      <c r="H253" s="2">
        <v>45745.374305555553</v>
      </c>
      <c r="I253" t="s">
        <v>289</v>
      </c>
      <c r="Z253">
        <v>98440</v>
      </c>
    </row>
    <row r="254" spans="1:26" x14ac:dyDescent="0.25">
      <c r="A254" t="s">
        <v>139</v>
      </c>
      <c r="B254" t="s">
        <v>93</v>
      </c>
      <c r="C254" t="s">
        <v>27</v>
      </c>
      <c r="E254" t="s">
        <v>79</v>
      </c>
      <c r="H254" s="2">
        <v>45743.94027777778</v>
      </c>
      <c r="I254" t="s">
        <v>128</v>
      </c>
      <c r="K254" t="s">
        <v>30</v>
      </c>
      <c r="L254" t="s">
        <v>31</v>
      </c>
      <c r="M254">
        <v>55887089</v>
      </c>
      <c r="N254">
        <v>9754619213</v>
      </c>
      <c r="O254" t="s">
        <v>123</v>
      </c>
      <c r="Z254">
        <v>98384</v>
      </c>
    </row>
    <row r="255" spans="1:26" x14ac:dyDescent="0.25">
      <c r="A255" t="s">
        <v>424</v>
      </c>
      <c r="B255" t="s">
        <v>276</v>
      </c>
      <c r="C255" t="s">
        <v>27</v>
      </c>
      <c r="E255" t="s">
        <v>425</v>
      </c>
      <c r="H255" s="2">
        <v>45740.629166666666</v>
      </c>
      <c r="I255" t="s">
        <v>36</v>
      </c>
      <c r="Z255">
        <v>98104</v>
      </c>
    </row>
    <row r="256" spans="1:26" x14ac:dyDescent="0.25">
      <c r="A256" t="s">
        <v>426</v>
      </c>
      <c r="C256" t="s">
        <v>27</v>
      </c>
      <c r="E256" t="s">
        <v>74</v>
      </c>
      <c r="H256" s="2">
        <v>45740.470833333333</v>
      </c>
      <c r="I256" t="s">
        <v>289</v>
      </c>
      <c r="Z256">
        <v>98063</v>
      </c>
    </row>
    <row r="257" spans="1:26" x14ac:dyDescent="0.25">
      <c r="A257" t="s">
        <v>427</v>
      </c>
      <c r="B257" t="s">
        <v>93</v>
      </c>
      <c r="C257" t="s">
        <v>27</v>
      </c>
      <c r="E257" t="s">
        <v>41</v>
      </c>
      <c r="H257" s="2">
        <v>45739.745138888888</v>
      </c>
      <c r="I257" t="s">
        <v>36</v>
      </c>
      <c r="K257" t="s">
        <v>30</v>
      </c>
      <c r="L257" t="s">
        <v>31</v>
      </c>
      <c r="M257">
        <v>55887089</v>
      </c>
      <c r="N257">
        <v>9754619174</v>
      </c>
      <c r="O257" t="s">
        <v>428</v>
      </c>
      <c r="Z257">
        <v>98033</v>
      </c>
    </row>
    <row r="258" spans="1:26" x14ac:dyDescent="0.25">
      <c r="A258" t="s">
        <v>429</v>
      </c>
      <c r="B258" t="s">
        <v>43</v>
      </c>
      <c r="C258" t="s">
        <v>27</v>
      </c>
      <c r="E258" t="s">
        <v>364</v>
      </c>
      <c r="G258" t="s">
        <v>430</v>
      </c>
      <c r="H258" s="2">
        <v>45738.447222222225</v>
      </c>
      <c r="I258" t="s">
        <v>289</v>
      </c>
      <c r="Z258">
        <v>97916</v>
      </c>
    </row>
    <row r="259" spans="1:26" x14ac:dyDescent="0.25">
      <c r="A259" t="s">
        <v>431</v>
      </c>
      <c r="B259" t="s">
        <v>26</v>
      </c>
      <c r="C259" t="s">
        <v>27</v>
      </c>
      <c r="H259" s="2">
        <v>45736.691666666666</v>
      </c>
      <c r="I259" t="s">
        <v>128</v>
      </c>
      <c r="Z259">
        <v>97826</v>
      </c>
    </row>
    <row r="260" spans="1:26" x14ac:dyDescent="0.25">
      <c r="A260" t="s">
        <v>432</v>
      </c>
      <c r="B260" t="s">
        <v>370</v>
      </c>
      <c r="C260" t="s">
        <v>27</v>
      </c>
      <c r="E260" t="s">
        <v>70</v>
      </c>
      <c r="H260" s="2">
        <v>45731.513194444444</v>
      </c>
      <c r="I260" t="s">
        <v>128</v>
      </c>
      <c r="Z260">
        <v>97573</v>
      </c>
    </row>
    <row r="261" spans="1:26" x14ac:dyDescent="0.25">
      <c r="A261" t="s">
        <v>434</v>
      </c>
      <c r="B261" t="s">
        <v>26</v>
      </c>
      <c r="C261" t="s">
        <v>27</v>
      </c>
      <c r="H261" s="2">
        <v>45728.520833333336</v>
      </c>
      <c r="I261" t="s">
        <v>289</v>
      </c>
      <c r="Z261">
        <v>97452</v>
      </c>
    </row>
    <row r="262" spans="1:26" x14ac:dyDescent="0.25">
      <c r="A262" t="s">
        <v>435</v>
      </c>
      <c r="B262" t="s">
        <v>26</v>
      </c>
      <c r="C262" t="s">
        <v>27</v>
      </c>
      <c r="H262" s="2">
        <v>45727.663888888892</v>
      </c>
      <c r="I262" t="s">
        <v>289</v>
      </c>
      <c r="Z262">
        <v>97427</v>
      </c>
    </row>
    <row r="263" spans="1:26" x14ac:dyDescent="0.25">
      <c r="A263" t="s">
        <v>436</v>
      </c>
      <c r="B263" t="s">
        <v>370</v>
      </c>
      <c r="C263" t="s">
        <v>27</v>
      </c>
      <c r="E263" t="s">
        <v>122</v>
      </c>
      <c r="G263" t="s">
        <v>437</v>
      </c>
      <c r="H263" s="2">
        <v>45727.613888888889</v>
      </c>
      <c r="I263" t="s">
        <v>36</v>
      </c>
      <c r="Z263">
        <v>97422</v>
      </c>
    </row>
    <row r="264" spans="1:26" x14ac:dyDescent="0.25">
      <c r="A264" t="s">
        <v>438</v>
      </c>
      <c r="B264" t="s">
        <v>26</v>
      </c>
      <c r="C264" t="s">
        <v>27</v>
      </c>
      <c r="H264" s="2">
        <v>45726.568055555559</v>
      </c>
      <c r="I264" t="s">
        <v>128</v>
      </c>
      <c r="Z264">
        <v>97367</v>
      </c>
    </row>
    <row r="265" spans="1:26" x14ac:dyDescent="0.25">
      <c r="A265" t="s">
        <v>439</v>
      </c>
      <c r="B265" t="s">
        <v>26</v>
      </c>
      <c r="C265" t="s">
        <v>27</v>
      </c>
      <c r="H265" s="2">
        <v>45726.498611111114</v>
      </c>
      <c r="I265" t="s">
        <v>289</v>
      </c>
      <c r="Z265">
        <v>97358</v>
      </c>
    </row>
    <row r="266" spans="1:26" x14ac:dyDescent="0.25">
      <c r="A266" t="s">
        <v>440</v>
      </c>
      <c r="B266" t="s">
        <v>43</v>
      </c>
      <c r="C266" t="s">
        <v>27</v>
      </c>
      <c r="E266" t="s">
        <v>70</v>
      </c>
      <c r="G266" t="s">
        <v>441</v>
      </c>
      <c r="H266" s="2">
        <v>45725.977083333331</v>
      </c>
      <c r="I266" t="s">
        <v>289</v>
      </c>
      <c r="Z266">
        <v>97344</v>
      </c>
    </row>
    <row r="267" spans="1:26" x14ac:dyDescent="0.25">
      <c r="A267" t="s">
        <v>442</v>
      </c>
      <c r="B267" t="s">
        <v>370</v>
      </c>
      <c r="C267" t="s">
        <v>27</v>
      </c>
      <c r="E267" t="s">
        <v>443</v>
      </c>
      <c r="H267" s="2">
        <v>45725.932638888888</v>
      </c>
      <c r="I267" t="s">
        <v>289</v>
      </c>
      <c r="Z267">
        <v>97343</v>
      </c>
    </row>
    <row r="268" spans="1:26" x14ac:dyDescent="0.25">
      <c r="A268" t="s">
        <v>444</v>
      </c>
      <c r="B268" t="s">
        <v>43</v>
      </c>
      <c r="C268" t="s">
        <v>27</v>
      </c>
      <c r="E268" t="s">
        <v>99</v>
      </c>
      <c r="G268" t="s">
        <v>445</v>
      </c>
      <c r="H268" s="2">
        <v>45725.741666666669</v>
      </c>
      <c r="I268" t="s">
        <v>128</v>
      </c>
      <c r="Z268">
        <v>97336</v>
      </c>
    </row>
    <row r="269" spans="1:26" x14ac:dyDescent="0.25">
      <c r="A269" t="s">
        <v>446</v>
      </c>
      <c r="B269" t="s">
        <v>26</v>
      </c>
      <c r="C269" t="s">
        <v>27</v>
      </c>
      <c r="H269" s="2">
        <v>45725.693055555559</v>
      </c>
      <c r="I269" t="s">
        <v>128</v>
      </c>
      <c r="Z269">
        <v>97334</v>
      </c>
    </row>
    <row r="270" spans="1:26" x14ac:dyDescent="0.25">
      <c r="A270" t="s">
        <v>151</v>
      </c>
      <c r="C270" t="s">
        <v>27</v>
      </c>
      <c r="E270" t="s">
        <v>447</v>
      </c>
      <c r="H270" s="2">
        <v>45724.595138888886</v>
      </c>
      <c r="I270" t="s">
        <v>29</v>
      </c>
      <c r="Z270">
        <v>97302</v>
      </c>
    </row>
    <row r="271" spans="1:26" x14ac:dyDescent="0.25">
      <c r="A271" t="s">
        <v>448</v>
      </c>
      <c r="B271" t="s">
        <v>43</v>
      </c>
      <c r="C271" t="s">
        <v>27</v>
      </c>
      <c r="E271" t="s">
        <v>120</v>
      </c>
      <c r="G271" t="s">
        <v>361</v>
      </c>
      <c r="H271" s="2">
        <v>45722.866666666669</v>
      </c>
      <c r="I271" t="s">
        <v>289</v>
      </c>
      <c r="Z271">
        <v>97267</v>
      </c>
    </row>
    <row r="272" spans="1:26" x14ac:dyDescent="0.25">
      <c r="A272" t="s">
        <v>449</v>
      </c>
      <c r="B272" t="s">
        <v>276</v>
      </c>
      <c r="C272" t="s">
        <v>27</v>
      </c>
      <c r="E272" t="s">
        <v>450</v>
      </c>
      <c r="H272" s="2">
        <v>45722.863888888889</v>
      </c>
      <c r="I272" t="s">
        <v>289</v>
      </c>
      <c r="Z272">
        <v>97266</v>
      </c>
    </row>
    <row r="273" spans="1:26" x14ac:dyDescent="0.25">
      <c r="A273" t="s">
        <v>451</v>
      </c>
      <c r="B273" t="s">
        <v>26</v>
      </c>
      <c r="C273" t="s">
        <v>27</v>
      </c>
      <c r="H273" s="2">
        <v>45721.627083333333</v>
      </c>
      <c r="I273" t="s">
        <v>289</v>
      </c>
      <c r="Z273">
        <v>97233</v>
      </c>
    </row>
    <row r="274" spans="1:26" x14ac:dyDescent="0.25">
      <c r="A274" t="s">
        <v>452</v>
      </c>
      <c r="B274" t="s">
        <v>26</v>
      </c>
      <c r="C274" t="s">
        <v>27</v>
      </c>
      <c r="H274" s="2">
        <v>45721.583333333336</v>
      </c>
      <c r="I274" t="s">
        <v>289</v>
      </c>
      <c r="Z274">
        <v>97226</v>
      </c>
    </row>
    <row r="275" spans="1:26" x14ac:dyDescent="0.25">
      <c r="A275" t="s">
        <v>453</v>
      </c>
      <c r="B275" t="s">
        <v>276</v>
      </c>
      <c r="C275" t="s">
        <v>27</v>
      </c>
      <c r="E275" t="s">
        <v>454</v>
      </c>
      <c r="G275" t="s">
        <v>455</v>
      </c>
      <c r="H275" s="2">
        <v>45720.582638888889</v>
      </c>
      <c r="I275" t="s">
        <v>289</v>
      </c>
      <c r="Z275">
        <v>97197</v>
      </c>
    </row>
    <row r="276" spans="1:26" x14ac:dyDescent="0.25">
      <c r="A276" t="s">
        <v>2205</v>
      </c>
      <c r="B276" t="s">
        <v>26</v>
      </c>
      <c r="C276" t="s">
        <v>27</v>
      </c>
      <c r="H276" s="2">
        <v>45720.581944444442</v>
      </c>
      <c r="I276" t="s">
        <v>128</v>
      </c>
      <c r="Z276">
        <v>97196</v>
      </c>
    </row>
    <row r="277" spans="1:26" x14ac:dyDescent="0.25">
      <c r="A277" t="s">
        <v>456</v>
      </c>
      <c r="B277" t="s">
        <v>26</v>
      </c>
      <c r="C277" t="s">
        <v>27</v>
      </c>
      <c r="H277" s="2">
        <v>45720.522916666669</v>
      </c>
      <c r="I277" t="s">
        <v>289</v>
      </c>
      <c r="Z277">
        <v>97192</v>
      </c>
    </row>
    <row r="278" spans="1:26" x14ac:dyDescent="0.25">
      <c r="A278" t="s">
        <v>457</v>
      </c>
      <c r="B278" t="s">
        <v>26</v>
      </c>
      <c r="C278" t="s">
        <v>27</v>
      </c>
      <c r="H278" s="2">
        <v>45719.672222222223</v>
      </c>
      <c r="I278" t="s">
        <v>128</v>
      </c>
      <c r="Z278">
        <v>97172</v>
      </c>
    </row>
    <row r="279" spans="1:26" x14ac:dyDescent="0.25">
      <c r="A279" t="s">
        <v>458</v>
      </c>
      <c r="B279" t="s">
        <v>26</v>
      </c>
      <c r="C279" t="s">
        <v>27</v>
      </c>
      <c r="E279" t="s">
        <v>459</v>
      </c>
      <c r="H279" s="2">
        <v>45716.793055555558</v>
      </c>
      <c r="I279" t="s">
        <v>289</v>
      </c>
      <c r="Z279">
        <v>97098</v>
      </c>
    </row>
    <row r="280" spans="1:26" x14ac:dyDescent="0.25">
      <c r="A280" t="s">
        <v>2206</v>
      </c>
      <c r="B280" t="s">
        <v>26</v>
      </c>
      <c r="C280" t="s">
        <v>27</v>
      </c>
      <c r="H280" s="2">
        <v>45715.87777777778</v>
      </c>
      <c r="I280" t="s">
        <v>36</v>
      </c>
      <c r="Z280">
        <v>97070</v>
      </c>
    </row>
    <row r="281" spans="1:26" x14ac:dyDescent="0.25">
      <c r="A281" t="s">
        <v>460</v>
      </c>
      <c r="B281" t="s">
        <v>26</v>
      </c>
      <c r="C281" t="s">
        <v>27</v>
      </c>
      <c r="H281" s="2">
        <v>45715.864583333336</v>
      </c>
      <c r="I281" t="s">
        <v>289</v>
      </c>
      <c r="Z281">
        <v>97069</v>
      </c>
    </row>
    <row r="282" spans="1:26" x14ac:dyDescent="0.25">
      <c r="A282" t="s">
        <v>2207</v>
      </c>
      <c r="B282" t="s">
        <v>370</v>
      </c>
      <c r="C282" t="s">
        <v>27</v>
      </c>
      <c r="E282" t="s">
        <v>54</v>
      </c>
      <c r="G282" t="s">
        <v>461</v>
      </c>
      <c r="H282" s="2">
        <v>45715.381249999999</v>
      </c>
      <c r="I282" t="s">
        <v>36</v>
      </c>
      <c r="Z282">
        <v>97042</v>
      </c>
    </row>
    <row r="283" spans="1:26" x14ac:dyDescent="0.25">
      <c r="A283" t="s">
        <v>462</v>
      </c>
      <c r="B283" t="s">
        <v>26</v>
      </c>
      <c r="C283" t="s">
        <v>27</v>
      </c>
      <c r="H283" s="2">
        <v>45714.784722222219</v>
      </c>
      <c r="I283" t="s">
        <v>289</v>
      </c>
      <c r="Z283">
        <v>97034</v>
      </c>
    </row>
    <row r="284" spans="1:26" x14ac:dyDescent="0.25">
      <c r="A284" t="s">
        <v>463</v>
      </c>
      <c r="B284" t="s">
        <v>26</v>
      </c>
      <c r="C284" t="s">
        <v>27</v>
      </c>
      <c r="H284" s="2">
        <v>45714.539583333331</v>
      </c>
      <c r="I284" t="s">
        <v>128</v>
      </c>
      <c r="Z284">
        <v>97019</v>
      </c>
    </row>
    <row r="285" spans="1:26" x14ac:dyDescent="0.25">
      <c r="A285" t="s">
        <v>464</v>
      </c>
      <c r="B285" t="s">
        <v>43</v>
      </c>
      <c r="C285" t="s">
        <v>27</v>
      </c>
      <c r="E285" t="s">
        <v>349</v>
      </c>
      <c r="G285" t="s">
        <v>465</v>
      </c>
      <c r="H285" s="2">
        <v>45714.52847222222</v>
      </c>
      <c r="I285" t="s">
        <v>128</v>
      </c>
      <c r="Z285">
        <v>97018</v>
      </c>
    </row>
    <row r="286" spans="1:26" x14ac:dyDescent="0.25">
      <c r="A286" t="s">
        <v>466</v>
      </c>
      <c r="B286" t="s">
        <v>276</v>
      </c>
      <c r="C286" t="s">
        <v>27</v>
      </c>
      <c r="E286" t="s">
        <v>349</v>
      </c>
      <c r="H286" s="2">
        <v>45714.500694444447</v>
      </c>
      <c r="I286" t="s">
        <v>128</v>
      </c>
      <c r="Z286">
        <v>97013</v>
      </c>
    </row>
    <row r="287" spans="1:26" x14ac:dyDescent="0.25">
      <c r="A287" t="s">
        <v>467</v>
      </c>
      <c r="B287" t="s">
        <v>26</v>
      </c>
      <c r="C287" t="s">
        <v>27</v>
      </c>
      <c r="H287" s="2">
        <v>45713.552777777775</v>
      </c>
      <c r="I287" t="s">
        <v>128</v>
      </c>
      <c r="Z287">
        <v>96991</v>
      </c>
    </row>
    <row r="288" spans="1:26" x14ac:dyDescent="0.25">
      <c r="A288" t="s">
        <v>2208</v>
      </c>
      <c r="B288" t="s">
        <v>43</v>
      </c>
      <c r="C288" t="s">
        <v>27</v>
      </c>
      <c r="E288" t="s">
        <v>468</v>
      </c>
      <c r="G288" t="s">
        <v>469</v>
      </c>
      <c r="H288" s="2">
        <v>45710.793055555558</v>
      </c>
      <c r="I288" t="s">
        <v>36</v>
      </c>
      <c r="Z288">
        <v>96908</v>
      </c>
    </row>
    <row r="289" spans="1:26" x14ac:dyDescent="0.25">
      <c r="A289" t="s">
        <v>470</v>
      </c>
      <c r="B289" t="s">
        <v>26</v>
      </c>
      <c r="C289" t="s">
        <v>27</v>
      </c>
      <c r="H289" s="2">
        <v>45710.40347222222</v>
      </c>
      <c r="I289" t="s">
        <v>36</v>
      </c>
      <c r="Z289">
        <v>96883</v>
      </c>
    </row>
    <row r="290" spans="1:26" x14ac:dyDescent="0.25">
      <c r="A290" t="s">
        <v>471</v>
      </c>
      <c r="B290" t="s">
        <v>472</v>
      </c>
      <c r="C290" t="s">
        <v>27</v>
      </c>
      <c r="E290" t="s">
        <v>116</v>
      </c>
      <c r="H290" s="2">
        <v>45707.368055555555</v>
      </c>
      <c r="I290" t="s">
        <v>29</v>
      </c>
      <c r="Z290">
        <v>96785</v>
      </c>
    </row>
    <row r="291" spans="1:26" x14ac:dyDescent="0.25">
      <c r="A291" t="s">
        <v>473</v>
      </c>
      <c r="B291" t="s">
        <v>43</v>
      </c>
      <c r="C291" t="s">
        <v>27</v>
      </c>
      <c r="E291" t="s">
        <v>116</v>
      </c>
      <c r="G291" t="s">
        <v>474</v>
      </c>
      <c r="H291" s="2">
        <v>45706.699305555558</v>
      </c>
      <c r="I291" t="s">
        <v>128</v>
      </c>
      <c r="Z291">
        <v>96778</v>
      </c>
    </row>
    <row r="292" spans="1:26" x14ac:dyDescent="0.25">
      <c r="A292" t="s">
        <v>475</v>
      </c>
      <c r="B292" t="s">
        <v>26</v>
      </c>
      <c r="C292" t="s">
        <v>27</v>
      </c>
      <c r="H292" s="2">
        <v>45705.759027777778</v>
      </c>
      <c r="I292" t="s">
        <v>476</v>
      </c>
      <c r="Z292">
        <v>96746</v>
      </c>
    </row>
    <row r="293" spans="1:26" x14ac:dyDescent="0.25">
      <c r="A293" t="s">
        <v>139</v>
      </c>
      <c r="B293" t="s">
        <v>93</v>
      </c>
      <c r="C293" t="s">
        <v>27</v>
      </c>
      <c r="E293" t="s">
        <v>74</v>
      </c>
      <c r="H293" s="2">
        <v>45702.450694444444</v>
      </c>
      <c r="I293" t="s">
        <v>128</v>
      </c>
      <c r="Z293">
        <v>96618</v>
      </c>
    </row>
    <row r="294" spans="1:26" x14ac:dyDescent="0.25">
      <c r="A294" t="s">
        <v>477</v>
      </c>
      <c r="B294" t="s">
        <v>370</v>
      </c>
      <c r="C294" t="s">
        <v>27</v>
      </c>
      <c r="E294" t="s">
        <v>478</v>
      </c>
      <c r="H294" s="2">
        <v>45702.4375</v>
      </c>
      <c r="I294" t="s">
        <v>289</v>
      </c>
      <c r="Z294">
        <v>96616</v>
      </c>
    </row>
    <row r="295" spans="1:26" x14ac:dyDescent="0.25">
      <c r="A295" t="s">
        <v>479</v>
      </c>
      <c r="B295" t="s">
        <v>43</v>
      </c>
      <c r="C295" t="s">
        <v>27</v>
      </c>
      <c r="E295" t="s">
        <v>40</v>
      </c>
      <c r="G295" t="s">
        <v>480</v>
      </c>
      <c r="H295" s="2">
        <v>45700.65</v>
      </c>
      <c r="I295" t="s">
        <v>29</v>
      </c>
      <c r="K295" t="s">
        <v>30</v>
      </c>
      <c r="L295" t="s">
        <v>31</v>
      </c>
      <c r="M295">
        <v>55887089</v>
      </c>
      <c r="N295">
        <v>9754619198</v>
      </c>
      <c r="O295" t="s">
        <v>123</v>
      </c>
      <c r="Z295">
        <v>96540</v>
      </c>
    </row>
    <row r="296" spans="1:26" x14ac:dyDescent="0.25">
      <c r="A296" t="s">
        <v>2209</v>
      </c>
      <c r="C296" t="s">
        <v>27</v>
      </c>
      <c r="E296" t="s">
        <v>260</v>
      </c>
      <c r="H296" s="2">
        <v>45700.582638888889</v>
      </c>
      <c r="I296" t="s">
        <v>29</v>
      </c>
      <c r="Z296">
        <v>96536</v>
      </c>
    </row>
    <row r="297" spans="1:26" x14ac:dyDescent="0.25">
      <c r="A297" t="s">
        <v>481</v>
      </c>
      <c r="B297" t="s">
        <v>26</v>
      </c>
      <c r="C297" t="s">
        <v>27</v>
      </c>
      <c r="H297" s="2">
        <v>45698.734027777777</v>
      </c>
      <c r="I297" t="s">
        <v>289</v>
      </c>
      <c r="Z297">
        <v>96464</v>
      </c>
    </row>
    <row r="298" spans="1:26" x14ac:dyDescent="0.25">
      <c r="A298" t="s">
        <v>482</v>
      </c>
      <c r="B298" t="s">
        <v>26</v>
      </c>
      <c r="C298" t="s">
        <v>27</v>
      </c>
      <c r="H298" s="2">
        <v>45696.720138888886</v>
      </c>
      <c r="I298" t="s">
        <v>289</v>
      </c>
      <c r="Z298">
        <v>96380</v>
      </c>
    </row>
    <row r="299" spans="1:26" x14ac:dyDescent="0.25">
      <c r="A299" t="s">
        <v>483</v>
      </c>
      <c r="B299" t="s">
        <v>26</v>
      </c>
      <c r="C299" t="s">
        <v>27</v>
      </c>
      <c r="H299" s="2">
        <v>45694.774305555555</v>
      </c>
      <c r="I299" t="s">
        <v>128</v>
      </c>
      <c r="Z299">
        <v>96287</v>
      </c>
    </row>
    <row r="300" spans="1:26" x14ac:dyDescent="0.25">
      <c r="A300" t="s">
        <v>484</v>
      </c>
      <c r="B300" t="s">
        <v>26</v>
      </c>
      <c r="C300" t="s">
        <v>27</v>
      </c>
      <c r="H300" s="2">
        <v>45692.737500000003</v>
      </c>
      <c r="I300" t="s">
        <v>289</v>
      </c>
      <c r="Z300">
        <v>96177</v>
      </c>
    </row>
    <row r="301" spans="1:26" x14ac:dyDescent="0.25">
      <c r="A301" t="s">
        <v>486</v>
      </c>
      <c r="B301" t="s">
        <v>26</v>
      </c>
      <c r="C301" t="s">
        <v>27</v>
      </c>
      <c r="H301" s="2">
        <v>45691.775694444441</v>
      </c>
      <c r="I301" t="s">
        <v>289</v>
      </c>
      <c r="Z301">
        <v>96150</v>
      </c>
    </row>
    <row r="302" spans="1:26" x14ac:dyDescent="0.25">
      <c r="A302" t="s">
        <v>487</v>
      </c>
      <c r="B302" t="s">
        <v>276</v>
      </c>
      <c r="C302" t="s">
        <v>27</v>
      </c>
      <c r="E302" t="s">
        <v>76</v>
      </c>
      <c r="H302" s="2">
        <v>45691.374305555553</v>
      </c>
      <c r="I302" t="s">
        <v>36</v>
      </c>
      <c r="Z302">
        <v>96132</v>
      </c>
    </row>
    <row r="303" spans="1:26" x14ac:dyDescent="0.25">
      <c r="A303" t="s">
        <v>488</v>
      </c>
      <c r="C303" t="s">
        <v>67</v>
      </c>
      <c r="E303" t="s">
        <v>75</v>
      </c>
      <c r="H303" s="2">
        <v>45690.940972222219</v>
      </c>
      <c r="I303" t="s">
        <v>36</v>
      </c>
      <c r="Z303">
        <v>96131</v>
      </c>
    </row>
    <row r="304" spans="1:26" x14ac:dyDescent="0.25">
      <c r="A304" t="s">
        <v>489</v>
      </c>
      <c r="B304" t="s">
        <v>43</v>
      </c>
      <c r="C304" t="s">
        <v>27</v>
      </c>
      <c r="E304" t="s">
        <v>490</v>
      </c>
      <c r="G304" t="s">
        <v>491</v>
      </c>
      <c r="H304" s="2">
        <v>45686.525694444441</v>
      </c>
      <c r="I304" t="s">
        <v>289</v>
      </c>
      <c r="Z304">
        <v>96016</v>
      </c>
    </row>
    <row r="305" spans="1:26" x14ac:dyDescent="0.25">
      <c r="A305" t="s">
        <v>492</v>
      </c>
      <c r="B305" t="s">
        <v>26</v>
      </c>
      <c r="C305" t="s">
        <v>27</v>
      </c>
      <c r="H305" s="2">
        <v>45685.382638888892</v>
      </c>
      <c r="I305" t="s">
        <v>289</v>
      </c>
      <c r="Z305">
        <v>95978</v>
      </c>
    </row>
    <row r="306" spans="1:26" x14ac:dyDescent="0.25">
      <c r="A306" t="s">
        <v>493</v>
      </c>
      <c r="B306" t="s">
        <v>370</v>
      </c>
      <c r="C306" t="s">
        <v>27</v>
      </c>
      <c r="E306" t="s">
        <v>494</v>
      </c>
      <c r="H306" s="2">
        <v>45684.677777777775</v>
      </c>
      <c r="I306" t="s">
        <v>128</v>
      </c>
      <c r="Z306">
        <v>95967</v>
      </c>
    </row>
    <row r="307" spans="1:26" x14ac:dyDescent="0.25">
      <c r="A307" t="s">
        <v>496</v>
      </c>
      <c r="B307" t="s">
        <v>26</v>
      </c>
      <c r="C307" t="s">
        <v>27</v>
      </c>
      <c r="H307" s="2">
        <v>45684.388888888891</v>
      </c>
      <c r="I307" t="s">
        <v>128</v>
      </c>
      <c r="Z307">
        <v>95951</v>
      </c>
    </row>
    <row r="308" spans="1:26" x14ac:dyDescent="0.25">
      <c r="A308" t="s">
        <v>497</v>
      </c>
      <c r="B308" t="s">
        <v>26</v>
      </c>
      <c r="C308" t="s">
        <v>27</v>
      </c>
      <c r="H308" s="2">
        <v>45682.425694444442</v>
      </c>
      <c r="I308" t="s">
        <v>128</v>
      </c>
      <c r="Z308">
        <v>95901</v>
      </c>
    </row>
    <row r="309" spans="1:26" x14ac:dyDescent="0.25">
      <c r="A309" t="s">
        <v>498</v>
      </c>
      <c r="B309" t="s">
        <v>276</v>
      </c>
      <c r="C309" t="s">
        <v>27</v>
      </c>
      <c r="E309" t="s">
        <v>99</v>
      </c>
      <c r="G309" t="s">
        <v>499</v>
      </c>
      <c r="H309" s="2">
        <v>45680.575694444444</v>
      </c>
      <c r="I309" t="s">
        <v>36</v>
      </c>
      <c r="Z309">
        <v>95841</v>
      </c>
    </row>
    <row r="310" spans="1:26" x14ac:dyDescent="0.25">
      <c r="A310" t="s">
        <v>500</v>
      </c>
      <c r="B310" t="s">
        <v>370</v>
      </c>
      <c r="C310" t="s">
        <v>27</v>
      </c>
      <c r="E310" t="s">
        <v>92</v>
      </c>
      <c r="G310" t="s">
        <v>501</v>
      </c>
      <c r="H310" s="2">
        <v>45679.579861111109</v>
      </c>
      <c r="I310" t="s">
        <v>128</v>
      </c>
      <c r="Z310">
        <v>95788</v>
      </c>
    </row>
    <row r="311" spans="1:26" x14ac:dyDescent="0.25">
      <c r="A311" t="s">
        <v>502</v>
      </c>
      <c r="B311" t="s">
        <v>276</v>
      </c>
      <c r="C311" t="s">
        <v>27</v>
      </c>
      <c r="E311" t="s">
        <v>135</v>
      </c>
      <c r="G311" t="s">
        <v>503</v>
      </c>
      <c r="H311" s="2">
        <v>45677.59097222222</v>
      </c>
      <c r="I311" t="s">
        <v>128</v>
      </c>
      <c r="Z311">
        <v>95692</v>
      </c>
    </row>
    <row r="312" spans="1:26" x14ac:dyDescent="0.25">
      <c r="A312" t="s">
        <v>504</v>
      </c>
      <c r="B312" t="s">
        <v>370</v>
      </c>
      <c r="C312" t="s">
        <v>27</v>
      </c>
      <c r="E312" t="s">
        <v>505</v>
      </c>
      <c r="G312" t="s">
        <v>92</v>
      </c>
      <c r="H312" s="2">
        <v>45676.859027777777</v>
      </c>
      <c r="I312" t="s">
        <v>128</v>
      </c>
      <c r="K312" t="s">
        <v>30</v>
      </c>
      <c r="L312" t="s">
        <v>31</v>
      </c>
      <c r="M312">
        <v>55887089</v>
      </c>
      <c r="N312">
        <v>9754619198</v>
      </c>
      <c r="O312" t="s">
        <v>123</v>
      </c>
      <c r="Z312">
        <v>95672</v>
      </c>
    </row>
    <row r="313" spans="1:26" x14ac:dyDescent="0.25">
      <c r="A313" t="s">
        <v>506</v>
      </c>
      <c r="B313" t="s">
        <v>276</v>
      </c>
      <c r="C313" t="s">
        <v>27</v>
      </c>
      <c r="E313" t="s">
        <v>507</v>
      </c>
      <c r="H313" s="2">
        <v>45672.584027777775</v>
      </c>
      <c r="I313" t="s">
        <v>289</v>
      </c>
      <c r="Z313">
        <v>95557</v>
      </c>
    </row>
    <row r="314" spans="1:26" x14ac:dyDescent="0.25">
      <c r="A314" t="s">
        <v>508</v>
      </c>
      <c r="B314" t="s">
        <v>26</v>
      </c>
      <c r="C314" t="s">
        <v>27</v>
      </c>
      <c r="H314" s="2">
        <v>45672.584027777775</v>
      </c>
      <c r="I314" t="s">
        <v>289</v>
      </c>
      <c r="Z314">
        <v>95556</v>
      </c>
    </row>
    <row r="315" spans="1:26" x14ac:dyDescent="0.25">
      <c r="A315" t="s">
        <v>2210</v>
      </c>
      <c r="B315" t="s">
        <v>26</v>
      </c>
      <c r="C315" t="s">
        <v>27</v>
      </c>
      <c r="H315" s="2">
        <v>45668.757638888892</v>
      </c>
      <c r="I315" t="s">
        <v>36</v>
      </c>
      <c r="Z315">
        <v>95457</v>
      </c>
    </row>
    <row r="316" spans="1:26" x14ac:dyDescent="0.25">
      <c r="A316" t="s">
        <v>509</v>
      </c>
      <c r="B316" t="s">
        <v>26</v>
      </c>
      <c r="C316" t="s">
        <v>27</v>
      </c>
      <c r="H316" s="2">
        <v>45667.590277777781</v>
      </c>
      <c r="I316" t="s">
        <v>289</v>
      </c>
      <c r="Z316">
        <v>95429</v>
      </c>
    </row>
    <row r="317" spans="1:26" x14ac:dyDescent="0.25">
      <c r="A317" t="s">
        <v>510</v>
      </c>
      <c r="B317" t="s">
        <v>26</v>
      </c>
      <c r="C317" t="s">
        <v>27</v>
      </c>
      <c r="H317" s="2">
        <v>45666.82708333333</v>
      </c>
      <c r="I317" t="s">
        <v>128</v>
      </c>
      <c r="Z317">
        <v>95419</v>
      </c>
    </row>
    <row r="318" spans="1:26" x14ac:dyDescent="0.25">
      <c r="A318" t="s">
        <v>511</v>
      </c>
      <c r="B318" t="s">
        <v>26</v>
      </c>
      <c r="C318" t="s">
        <v>27</v>
      </c>
      <c r="H318" s="2">
        <v>45666.785416666666</v>
      </c>
      <c r="I318" t="s">
        <v>128</v>
      </c>
      <c r="Z318">
        <v>95418</v>
      </c>
    </row>
    <row r="319" spans="1:26" x14ac:dyDescent="0.25">
      <c r="A319" t="s">
        <v>514</v>
      </c>
      <c r="B319" t="s">
        <v>26</v>
      </c>
      <c r="C319" t="s">
        <v>27</v>
      </c>
      <c r="H319" s="2">
        <v>45654.628472222219</v>
      </c>
      <c r="I319" t="s">
        <v>128</v>
      </c>
      <c r="Z319">
        <v>95202</v>
      </c>
    </row>
    <row r="320" spans="1:26" x14ac:dyDescent="0.25">
      <c r="A320" t="s">
        <v>139</v>
      </c>
      <c r="B320" t="s">
        <v>93</v>
      </c>
      <c r="C320" t="s">
        <v>27</v>
      </c>
      <c r="E320" t="s">
        <v>41</v>
      </c>
      <c r="H320" s="2">
        <v>45654.567361111112</v>
      </c>
      <c r="I320" t="s">
        <v>128</v>
      </c>
      <c r="Z320">
        <v>95197</v>
      </c>
    </row>
    <row r="321" spans="1:26" x14ac:dyDescent="0.25">
      <c r="A321" t="s">
        <v>515</v>
      </c>
      <c r="B321" t="s">
        <v>43</v>
      </c>
      <c r="C321" t="s">
        <v>27</v>
      </c>
      <c r="E321" t="s">
        <v>76</v>
      </c>
      <c r="G321" t="s">
        <v>516</v>
      </c>
      <c r="H321" s="2">
        <v>45649.847222222219</v>
      </c>
      <c r="I321" t="s">
        <v>289</v>
      </c>
      <c r="Z321">
        <v>95036</v>
      </c>
    </row>
    <row r="322" spans="1:26" x14ac:dyDescent="0.25">
      <c r="A322" t="s">
        <v>517</v>
      </c>
      <c r="B322" t="s">
        <v>472</v>
      </c>
      <c r="C322" t="s">
        <v>518</v>
      </c>
      <c r="E322" t="s">
        <v>519</v>
      </c>
      <c r="G322" t="s">
        <v>520</v>
      </c>
      <c r="H322" s="2">
        <v>45646.579861111109</v>
      </c>
      <c r="I322" t="s">
        <v>521</v>
      </c>
      <c r="Z322">
        <v>94925</v>
      </c>
    </row>
    <row r="323" spans="1:26" x14ac:dyDescent="0.25">
      <c r="A323" t="s">
        <v>522</v>
      </c>
      <c r="B323" t="s">
        <v>26</v>
      </c>
      <c r="C323" t="s">
        <v>27</v>
      </c>
      <c r="H323" s="2">
        <v>45645.59097222222</v>
      </c>
      <c r="I323" t="s">
        <v>36</v>
      </c>
      <c r="Z323">
        <v>94893</v>
      </c>
    </row>
    <row r="324" spans="1:26" x14ac:dyDescent="0.25">
      <c r="A324" t="s">
        <v>226</v>
      </c>
      <c r="B324" t="s">
        <v>26</v>
      </c>
      <c r="C324" t="s">
        <v>27</v>
      </c>
      <c r="H324" s="2">
        <v>45645.524305555555</v>
      </c>
      <c r="I324" t="s">
        <v>36</v>
      </c>
      <c r="Z324">
        <v>94888</v>
      </c>
    </row>
    <row r="325" spans="1:26" x14ac:dyDescent="0.25">
      <c r="A325" t="s">
        <v>523</v>
      </c>
      <c r="B325" t="s">
        <v>26</v>
      </c>
      <c r="C325" t="s">
        <v>27</v>
      </c>
      <c r="H325" s="2">
        <v>45642.790277777778</v>
      </c>
      <c r="I325" t="s">
        <v>128</v>
      </c>
      <c r="Z325">
        <v>94825</v>
      </c>
    </row>
    <row r="326" spans="1:26" x14ac:dyDescent="0.25">
      <c r="A326" t="s">
        <v>524</v>
      </c>
      <c r="B326" t="s">
        <v>26</v>
      </c>
      <c r="C326" t="s">
        <v>27</v>
      </c>
      <c r="H326" s="2">
        <v>45639.574999999997</v>
      </c>
      <c r="I326" t="s">
        <v>289</v>
      </c>
      <c r="Z326">
        <v>94756</v>
      </c>
    </row>
    <row r="327" spans="1:26" x14ac:dyDescent="0.25">
      <c r="A327" t="s">
        <v>527</v>
      </c>
      <c r="B327" t="s">
        <v>26</v>
      </c>
      <c r="C327" t="s">
        <v>67</v>
      </c>
      <c r="H327" s="2">
        <v>45635.694444444445</v>
      </c>
      <c r="I327" t="s">
        <v>36</v>
      </c>
      <c r="Z327">
        <v>94642</v>
      </c>
    </row>
    <row r="328" spans="1:26" x14ac:dyDescent="0.25">
      <c r="A328" t="s">
        <v>528</v>
      </c>
      <c r="B328" t="s">
        <v>26</v>
      </c>
      <c r="C328" t="s">
        <v>27</v>
      </c>
      <c r="H328" s="2">
        <v>45632.731249999997</v>
      </c>
      <c r="I328" t="s">
        <v>128</v>
      </c>
      <c r="Z328">
        <v>94523</v>
      </c>
    </row>
    <row r="329" spans="1:26" x14ac:dyDescent="0.25">
      <c r="A329" t="s">
        <v>529</v>
      </c>
      <c r="B329" t="s">
        <v>26</v>
      </c>
      <c r="C329" t="s">
        <v>27</v>
      </c>
      <c r="H329" s="2">
        <v>45632.424305555556</v>
      </c>
      <c r="I329" t="s">
        <v>128</v>
      </c>
      <c r="Z329">
        <v>94488</v>
      </c>
    </row>
    <row r="330" spans="1:26" x14ac:dyDescent="0.25">
      <c r="A330" t="s">
        <v>530</v>
      </c>
      <c r="C330" t="s">
        <v>27</v>
      </c>
      <c r="E330" t="s">
        <v>90</v>
      </c>
      <c r="H330" s="2">
        <v>45631.511111111111</v>
      </c>
      <c r="I330" t="s">
        <v>29</v>
      </c>
      <c r="Z330">
        <v>94466</v>
      </c>
    </row>
    <row r="331" spans="1:26" x14ac:dyDescent="0.25">
      <c r="A331" t="s">
        <v>531</v>
      </c>
      <c r="B331" t="s">
        <v>26</v>
      </c>
      <c r="C331" t="s">
        <v>27</v>
      </c>
      <c r="H331" s="2">
        <v>45628.395833333336</v>
      </c>
      <c r="I331" t="s">
        <v>289</v>
      </c>
      <c r="Z331">
        <v>94337</v>
      </c>
    </row>
    <row r="332" spans="1:26" x14ac:dyDescent="0.25">
      <c r="A332" t="s">
        <v>2211</v>
      </c>
      <c r="B332" t="s">
        <v>276</v>
      </c>
      <c r="C332" t="s">
        <v>27</v>
      </c>
      <c r="E332" t="s">
        <v>532</v>
      </c>
      <c r="G332" t="s">
        <v>533</v>
      </c>
      <c r="H332" s="2">
        <v>45627.542361111111</v>
      </c>
      <c r="I332" t="s">
        <v>36</v>
      </c>
      <c r="Z332">
        <v>94309</v>
      </c>
    </row>
    <row r="333" spans="1:26" x14ac:dyDescent="0.25">
      <c r="A333" t="s">
        <v>534</v>
      </c>
      <c r="B333" t="s">
        <v>276</v>
      </c>
      <c r="C333" t="s">
        <v>103</v>
      </c>
      <c r="E333" t="s">
        <v>535</v>
      </c>
      <c r="H333" s="2">
        <v>45624.991666666669</v>
      </c>
      <c r="I333" t="s">
        <v>536</v>
      </c>
      <c r="Z333">
        <v>94234</v>
      </c>
    </row>
    <row r="334" spans="1:26" x14ac:dyDescent="0.25">
      <c r="A334" t="s">
        <v>537</v>
      </c>
      <c r="C334" t="s">
        <v>27</v>
      </c>
      <c r="E334" t="s">
        <v>300</v>
      </c>
      <c r="H334" s="2">
        <v>45624.98333333333</v>
      </c>
      <c r="I334" t="s">
        <v>536</v>
      </c>
      <c r="Z334">
        <v>94233</v>
      </c>
    </row>
    <row r="335" spans="1:26" x14ac:dyDescent="0.25">
      <c r="A335" t="s">
        <v>538</v>
      </c>
      <c r="B335" t="s">
        <v>26</v>
      </c>
      <c r="C335" t="s">
        <v>27</v>
      </c>
      <c r="H335" s="2">
        <v>45624.634722222225</v>
      </c>
      <c r="I335" t="s">
        <v>536</v>
      </c>
      <c r="Z335">
        <v>94215</v>
      </c>
    </row>
    <row r="336" spans="1:26" x14ac:dyDescent="0.25">
      <c r="A336" t="s">
        <v>539</v>
      </c>
      <c r="B336" t="s">
        <v>26</v>
      </c>
      <c r="C336" t="s">
        <v>27</v>
      </c>
      <c r="H336" s="2">
        <v>45624.558333333334</v>
      </c>
      <c r="I336" t="s">
        <v>289</v>
      </c>
      <c r="Z336">
        <v>94204</v>
      </c>
    </row>
    <row r="337" spans="1:26" x14ac:dyDescent="0.25">
      <c r="A337" t="s">
        <v>540</v>
      </c>
      <c r="B337" t="s">
        <v>541</v>
      </c>
      <c r="C337" t="s">
        <v>27</v>
      </c>
      <c r="E337" t="s">
        <v>40</v>
      </c>
      <c r="G337" t="s">
        <v>542</v>
      </c>
      <c r="H337" s="2">
        <v>45622.697222222225</v>
      </c>
      <c r="I337" t="s">
        <v>36</v>
      </c>
      <c r="Z337">
        <v>94102</v>
      </c>
    </row>
    <row r="338" spans="1:26" x14ac:dyDescent="0.25">
      <c r="A338" t="s">
        <v>543</v>
      </c>
      <c r="B338" t="s">
        <v>26</v>
      </c>
      <c r="C338" t="s">
        <v>27</v>
      </c>
      <c r="H338" s="2">
        <v>45622.62777777778</v>
      </c>
      <c r="I338" t="s">
        <v>536</v>
      </c>
      <c r="Z338">
        <v>94095</v>
      </c>
    </row>
    <row r="339" spans="1:26" x14ac:dyDescent="0.25">
      <c r="A339" t="s">
        <v>544</v>
      </c>
      <c r="C339" t="s">
        <v>27</v>
      </c>
      <c r="E339" t="s">
        <v>545</v>
      </c>
      <c r="H339" s="2">
        <v>45622.415972222225</v>
      </c>
      <c r="I339" t="s">
        <v>536</v>
      </c>
      <c r="Z339">
        <v>94066</v>
      </c>
    </row>
    <row r="340" spans="1:26" x14ac:dyDescent="0.25">
      <c r="A340" t="s">
        <v>548</v>
      </c>
      <c r="B340" t="s">
        <v>26</v>
      </c>
      <c r="C340" t="s">
        <v>27</v>
      </c>
      <c r="H340" s="2">
        <v>45618.740972222222</v>
      </c>
      <c r="I340" t="s">
        <v>128</v>
      </c>
      <c r="Z340">
        <v>93923</v>
      </c>
    </row>
    <row r="341" spans="1:26" x14ac:dyDescent="0.25">
      <c r="A341" t="s">
        <v>2212</v>
      </c>
      <c r="B341" t="s">
        <v>370</v>
      </c>
      <c r="C341" t="s">
        <v>27</v>
      </c>
      <c r="E341" t="s">
        <v>551</v>
      </c>
      <c r="G341" t="s">
        <v>552</v>
      </c>
      <c r="H341" s="2">
        <v>45614.533333333333</v>
      </c>
      <c r="I341" t="s">
        <v>29</v>
      </c>
      <c r="Z341">
        <v>93746</v>
      </c>
    </row>
    <row r="342" spans="1:26" x14ac:dyDescent="0.25">
      <c r="A342" t="s">
        <v>553</v>
      </c>
      <c r="B342" t="s">
        <v>26</v>
      </c>
      <c r="C342" t="s">
        <v>27</v>
      </c>
      <c r="H342" s="2">
        <v>45612.644444444442</v>
      </c>
      <c r="I342" t="s">
        <v>128</v>
      </c>
      <c r="Z342">
        <v>93693</v>
      </c>
    </row>
    <row r="343" spans="1:26" x14ac:dyDescent="0.25">
      <c r="A343" t="s">
        <v>554</v>
      </c>
      <c r="C343" t="s">
        <v>27</v>
      </c>
      <c r="E343" t="s">
        <v>555</v>
      </c>
      <c r="H343" s="2">
        <v>45612.309027777781</v>
      </c>
      <c r="I343" t="s">
        <v>128</v>
      </c>
      <c r="Z343">
        <v>93675</v>
      </c>
    </row>
    <row r="344" spans="1:26" x14ac:dyDescent="0.25">
      <c r="A344" t="s">
        <v>556</v>
      </c>
      <c r="B344" t="s">
        <v>26</v>
      </c>
      <c r="C344" t="s">
        <v>27</v>
      </c>
      <c r="H344" s="2">
        <v>45611.77847222222</v>
      </c>
      <c r="I344" t="s">
        <v>289</v>
      </c>
      <c r="Z344">
        <v>93671</v>
      </c>
    </row>
    <row r="345" spans="1:26" x14ac:dyDescent="0.25">
      <c r="A345" t="s">
        <v>557</v>
      </c>
      <c r="B345" t="s">
        <v>26</v>
      </c>
      <c r="C345" t="s">
        <v>27</v>
      </c>
      <c r="H345" s="2">
        <v>45610.566666666666</v>
      </c>
      <c r="I345" t="s">
        <v>289</v>
      </c>
      <c r="Z345">
        <v>93616</v>
      </c>
    </row>
    <row r="346" spans="1:26" x14ac:dyDescent="0.25">
      <c r="A346" t="s">
        <v>559</v>
      </c>
      <c r="B346" t="s">
        <v>472</v>
      </c>
      <c r="C346" t="s">
        <v>27</v>
      </c>
      <c r="E346" t="s">
        <v>140</v>
      </c>
      <c r="H346" s="2">
        <v>45609.770833333336</v>
      </c>
      <c r="I346" t="s">
        <v>36</v>
      </c>
      <c r="Z346">
        <v>93592</v>
      </c>
    </row>
    <row r="347" spans="1:26" x14ac:dyDescent="0.25">
      <c r="A347" t="s">
        <v>560</v>
      </c>
      <c r="B347" t="s">
        <v>26</v>
      </c>
      <c r="C347" t="s">
        <v>27</v>
      </c>
      <c r="H347" s="2">
        <v>45609.738194444442</v>
      </c>
      <c r="I347" t="s">
        <v>36</v>
      </c>
      <c r="Z347">
        <v>93586</v>
      </c>
    </row>
    <row r="348" spans="1:26" x14ac:dyDescent="0.25">
      <c r="A348" t="s">
        <v>2213</v>
      </c>
      <c r="B348" t="s">
        <v>541</v>
      </c>
      <c r="C348" t="s">
        <v>27</v>
      </c>
      <c r="E348" t="s">
        <v>450</v>
      </c>
      <c r="G348" t="s">
        <v>561</v>
      </c>
      <c r="H348" s="2">
        <v>45609.509027777778</v>
      </c>
      <c r="I348" t="s">
        <v>29</v>
      </c>
      <c r="Z348">
        <v>93562</v>
      </c>
    </row>
    <row r="349" spans="1:26" x14ac:dyDescent="0.25">
      <c r="A349" t="s">
        <v>562</v>
      </c>
      <c r="B349" t="s">
        <v>26</v>
      </c>
      <c r="C349" t="s">
        <v>44</v>
      </c>
      <c r="H349" s="2">
        <v>45607.685416666667</v>
      </c>
      <c r="I349" t="s">
        <v>536</v>
      </c>
      <c r="Z349">
        <v>93453</v>
      </c>
    </row>
    <row r="350" spans="1:26" x14ac:dyDescent="0.25">
      <c r="A350" t="s">
        <v>393</v>
      </c>
      <c r="B350" t="s">
        <v>26</v>
      </c>
      <c r="C350" t="s">
        <v>27</v>
      </c>
      <c r="H350" s="2">
        <v>45607.5</v>
      </c>
      <c r="I350" t="s">
        <v>128</v>
      </c>
      <c r="Z350">
        <v>93418</v>
      </c>
    </row>
    <row r="351" spans="1:26" x14ac:dyDescent="0.25">
      <c r="A351" t="s">
        <v>564</v>
      </c>
      <c r="B351" t="s">
        <v>276</v>
      </c>
      <c r="C351" t="s">
        <v>27</v>
      </c>
      <c r="E351" t="s">
        <v>81</v>
      </c>
      <c r="G351" t="s">
        <v>565</v>
      </c>
      <c r="H351" s="2">
        <v>45606.82708333333</v>
      </c>
      <c r="I351" t="s">
        <v>128</v>
      </c>
      <c r="Z351">
        <v>93391</v>
      </c>
    </row>
    <row r="352" spans="1:26" x14ac:dyDescent="0.25">
      <c r="A352" t="s">
        <v>2214</v>
      </c>
      <c r="B352" t="s">
        <v>370</v>
      </c>
      <c r="C352" t="s">
        <v>27</v>
      </c>
      <c r="E352" t="s">
        <v>566</v>
      </c>
      <c r="G352" t="s">
        <v>567</v>
      </c>
      <c r="H352" s="2">
        <v>45605.984722222223</v>
      </c>
      <c r="I352" t="s">
        <v>289</v>
      </c>
      <c r="Z352">
        <v>93348</v>
      </c>
    </row>
    <row r="353" spans="1:26" x14ac:dyDescent="0.25">
      <c r="A353" t="s">
        <v>568</v>
      </c>
      <c r="B353" t="s">
        <v>276</v>
      </c>
      <c r="C353" t="s">
        <v>27</v>
      </c>
      <c r="E353" t="s">
        <v>569</v>
      </c>
      <c r="G353" t="s">
        <v>570</v>
      </c>
      <c r="H353" s="2">
        <v>45605.982638888891</v>
      </c>
      <c r="I353" t="s">
        <v>128</v>
      </c>
      <c r="Z353">
        <v>93347</v>
      </c>
    </row>
    <row r="354" spans="1:26" x14ac:dyDescent="0.25">
      <c r="A354" t="s">
        <v>571</v>
      </c>
      <c r="B354" t="s">
        <v>43</v>
      </c>
      <c r="C354" t="s">
        <v>27</v>
      </c>
      <c r="E354" t="s">
        <v>512</v>
      </c>
      <c r="G354" t="s">
        <v>513</v>
      </c>
      <c r="H354" s="2">
        <v>45605.023611111108</v>
      </c>
      <c r="I354" t="s">
        <v>128</v>
      </c>
      <c r="Z354">
        <v>93311</v>
      </c>
    </row>
    <row r="355" spans="1:26" x14ac:dyDescent="0.25">
      <c r="A355" t="s">
        <v>572</v>
      </c>
      <c r="B355" t="s">
        <v>26</v>
      </c>
      <c r="C355" t="s">
        <v>27</v>
      </c>
      <c r="H355" s="2">
        <v>45602.688888888886</v>
      </c>
      <c r="I355" t="s">
        <v>128</v>
      </c>
      <c r="Z355">
        <v>93202</v>
      </c>
    </row>
    <row r="356" spans="1:26" x14ac:dyDescent="0.25">
      <c r="A356" t="s">
        <v>573</v>
      </c>
      <c r="B356" t="s">
        <v>26</v>
      </c>
      <c r="C356" t="s">
        <v>27</v>
      </c>
      <c r="H356" s="2">
        <v>45601.70208333333</v>
      </c>
      <c r="I356" t="s">
        <v>289</v>
      </c>
      <c r="Z356">
        <v>93122</v>
      </c>
    </row>
    <row r="357" spans="1:26" x14ac:dyDescent="0.25">
      <c r="A357" t="s">
        <v>574</v>
      </c>
      <c r="B357" t="s">
        <v>370</v>
      </c>
      <c r="C357" t="s">
        <v>27</v>
      </c>
      <c r="E357" t="s">
        <v>54</v>
      </c>
      <c r="G357" t="s">
        <v>575</v>
      </c>
      <c r="H357" s="2">
        <v>45600.65</v>
      </c>
      <c r="I357" t="s">
        <v>289</v>
      </c>
      <c r="Z357">
        <v>93002</v>
      </c>
    </row>
    <row r="358" spans="1:26" x14ac:dyDescent="0.25">
      <c r="A358" t="s">
        <v>576</v>
      </c>
      <c r="B358" t="s">
        <v>26</v>
      </c>
      <c r="C358" t="s">
        <v>27</v>
      </c>
      <c r="H358" s="2">
        <v>45598.544444444444</v>
      </c>
      <c r="I358" t="s">
        <v>36</v>
      </c>
      <c r="Z358">
        <v>92806</v>
      </c>
    </row>
    <row r="359" spans="1:26" x14ac:dyDescent="0.25">
      <c r="A359" t="s">
        <v>2215</v>
      </c>
      <c r="B359" t="s">
        <v>26</v>
      </c>
      <c r="C359" t="s">
        <v>27</v>
      </c>
      <c r="H359" s="2">
        <v>45597.67291666667</v>
      </c>
      <c r="I359" t="s">
        <v>36</v>
      </c>
      <c r="Z359">
        <v>92759</v>
      </c>
    </row>
    <row r="360" spans="1:26" x14ac:dyDescent="0.25">
      <c r="A360" t="s">
        <v>129</v>
      </c>
      <c r="C360" t="s">
        <v>27</v>
      </c>
      <c r="E360" t="s">
        <v>40</v>
      </c>
      <c r="H360" s="2">
        <v>45597.515277777777</v>
      </c>
      <c r="I360" t="s">
        <v>128</v>
      </c>
      <c r="Z360">
        <v>92728</v>
      </c>
    </row>
    <row r="361" spans="1:26" x14ac:dyDescent="0.25">
      <c r="A361" t="s">
        <v>577</v>
      </c>
      <c r="B361" t="s">
        <v>26</v>
      </c>
      <c r="C361" t="s">
        <v>27</v>
      </c>
      <c r="H361" s="2">
        <v>45595.765972222223</v>
      </c>
      <c r="I361" t="s">
        <v>128</v>
      </c>
      <c r="Z361">
        <v>92631</v>
      </c>
    </row>
    <row r="362" spans="1:26" x14ac:dyDescent="0.25">
      <c r="A362" t="s">
        <v>578</v>
      </c>
      <c r="B362" t="s">
        <v>26</v>
      </c>
      <c r="C362" t="s">
        <v>27</v>
      </c>
      <c r="H362" s="2">
        <v>45595.585416666669</v>
      </c>
      <c r="I362" t="s">
        <v>289</v>
      </c>
      <c r="Z362">
        <v>92612</v>
      </c>
    </row>
    <row r="363" spans="1:26" x14ac:dyDescent="0.25">
      <c r="A363" t="s">
        <v>579</v>
      </c>
      <c r="B363" t="s">
        <v>26</v>
      </c>
      <c r="C363" t="s">
        <v>27</v>
      </c>
      <c r="H363" s="2">
        <v>45594.705555555556</v>
      </c>
      <c r="I363" t="s">
        <v>476</v>
      </c>
      <c r="Z363">
        <v>92581</v>
      </c>
    </row>
    <row r="364" spans="1:26" x14ac:dyDescent="0.25">
      <c r="A364" t="s">
        <v>580</v>
      </c>
      <c r="B364" t="s">
        <v>26</v>
      </c>
      <c r="C364" t="s">
        <v>27</v>
      </c>
      <c r="H364" s="2">
        <v>45594.678472222222</v>
      </c>
      <c r="I364" t="s">
        <v>289</v>
      </c>
      <c r="Z364">
        <v>92579</v>
      </c>
    </row>
    <row r="365" spans="1:26" x14ac:dyDescent="0.25">
      <c r="A365" t="s">
        <v>581</v>
      </c>
      <c r="B365" t="s">
        <v>43</v>
      </c>
      <c r="C365" t="s">
        <v>27</v>
      </c>
      <c r="E365" t="s">
        <v>582</v>
      </c>
      <c r="G365" t="s">
        <v>583</v>
      </c>
      <c r="H365" s="2">
        <v>45593.920138888891</v>
      </c>
      <c r="I365" t="s">
        <v>289</v>
      </c>
      <c r="Z365">
        <v>92527</v>
      </c>
    </row>
    <row r="366" spans="1:26" x14ac:dyDescent="0.25">
      <c r="A366" t="s">
        <v>585</v>
      </c>
      <c r="B366" t="s">
        <v>26</v>
      </c>
      <c r="C366" t="s">
        <v>27</v>
      </c>
      <c r="H366" s="2">
        <v>45593.679861111108</v>
      </c>
      <c r="I366" t="s">
        <v>289</v>
      </c>
      <c r="Z366">
        <v>92509</v>
      </c>
    </row>
    <row r="367" spans="1:26" x14ac:dyDescent="0.25">
      <c r="A367" t="s">
        <v>226</v>
      </c>
      <c r="B367" t="s">
        <v>26</v>
      </c>
      <c r="C367" t="s">
        <v>27</v>
      </c>
      <c r="E367" t="s">
        <v>586</v>
      </c>
      <c r="G367" t="s">
        <v>586</v>
      </c>
      <c r="H367" s="2">
        <v>45591.240277777775</v>
      </c>
      <c r="I367" t="s">
        <v>128</v>
      </c>
      <c r="Z367">
        <v>92389</v>
      </c>
    </row>
    <row r="368" spans="1:26" x14ac:dyDescent="0.25">
      <c r="A368" t="s">
        <v>587</v>
      </c>
      <c r="B368" t="s">
        <v>26</v>
      </c>
      <c r="C368" t="s">
        <v>27</v>
      </c>
      <c r="H368" s="2">
        <v>45588.692361111112</v>
      </c>
      <c r="I368" t="s">
        <v>289</v>
      </c>
      <c r="Z368">
        <v>92291</v>
      </c>
    </row>
    <row r="369" spans="1:26" x14ac:dyDescent="0.25">
      <c r="A369" t="s">
        <v>588</v>
      </c>
      <c r="B369" t="s">
        <v>26</v>
      </c>
      <c r="C369" t="s">
        <v>27</v>
      </c>
      <c r="H369" s="2">
        <v>45588.681944444441</v>
      </c>
      <c r="I369" t="s">
        <v>128</v>
      </c>
      <c r="Z369">
        <v>92289</v>
      </c>
    </row>
    <row r="370" spans="1:26" x14ac:dyDescent="0.25">
      <c r="A370" t="s">
        <v>589</v>
      </c>
      <c r="B370" t="s">
        <v>26</v>
      </c>
      <c r="C370" t="s">
        <v>27</v>
      </c>
      <c r="H370" s="2">
        <v>45587.587500000001</v>
      </c>
      <c r="I370" t="s">
        <v>289</v>
      </c>
      <c r="Z370">
        <v>92215</v>
      </c>
    </row>
    <row r="371" spans="1:26" x14ac:dyDescent="0.25">
      <c r="A371" t="s">
        <v>590</v>
      </c>
      <c r="B371" t="s">
        <v>26</v>
      </c>
      <c r="C371" t="s">
        <v>27</v>
      </c>
      <c r="H371" s="2">
        <v>45587.498611111114</v>
      </c>
      <c r="I371" t="s">
        <v>36</v>
      </c>
      <c r="Z371">
        <v>92207</v>
      </c>
    </row>
    <row r="372" spans="1:26" x14ac:dyDescent="0.25">
      <c r="A372" t="s">
        <v>591</v>
      </c>
      <c r="C372" t="s">
        <v>27</v>
      </c>
      <c r="E372" t="s">
        <v>41</v>
      </c>
      <c r="H372" s="2">
        <v>45586.510416666664</v>
      </c>
      <c r="I372" t="s">
        <v>36</v>
      </c>
      <c r="Z372">
        <v>92144</v>
      </c>
    </row>
    <row r="373" spans="1:26" x14ac:dyDescent="0.25">
      <c r="A373" t="s">
        <v>593</v>
      </c>
      <c r="B373" t="s">
        <v>276</v>
      </c>
      <c r="C373" t="s">
        <v>27</v>
      </c>
      <c r="E373" t="s">
        <v>532</v>
      </c>
      <c r="G373" t="s">
        <v>533</v>
      </c>
      <c r="H373" s="2">
        <v>45580.749305555553</v>
      </c>
      <c r="I373" t="s">
        <v>289</v>
      </c>
      <c r="Z373">
        <v>91937</v>
      </c>
    </row>
    <row r="374" spans="1:26" x14ac:dyDescent="0.25">
      <c r="A374" t="s">
        <v>139</v>
      </c>
      <c r="B374" t="s">
        <v>93</v>
      </c>
      <c r="C374" t="s">
        <v>27</v>
      </c>
      <c r="E374" t="s">
        <v>246</v>
      </c>
      <c r="H374" s="2">
        <v>45579.675694444442</v>
      </c>
      <c r="I374" t="s">
        <v>128</v>
      </c>
      <c r="Z374">
        <v>91859</v>
      </c>
    </row>
    <row r="375" spans="1:26" x14ac:dyDescent="0.25">
      <c r="A375" t="s">
        <v>594</v>
      </c>
      <c r="C375" t="s">
        <v>27</v>
      </c>
      <c r="E375" t="s">
        <v>140</v>
      </c>
      <c r="H375" s="2">
        <v>45579.565972222219</v>
      </c>
      <c r="I375" t="s">
        <v>36</v>
      </c>
      <c r="Z375">
        <v>91843</v>
      </c>
    </row>
    <row r="376" spans="1:26" x14ac:dyDescent="0.25">
      <c r="A376" t="s">
        <v>595</v>
      </c>
      <c r="B376" t="s">
        <v>26</v>
      </c>
      <c r="C376" t="s">
        <v>27</v>
      </c>
      <c r="E376" t="s">
        <v>596</v>
      </c>
      <c r="H376" s="2">
        <v>45579.390277777777</v>
      </c>
      <c r="I376" t="s">
        <v>128</v>
      </c>
      <c r="Z376">
        <v>91802</v>
      </c>
    </row>
    <row r="377" spans="1:26" x14ac:dyDescent="0.25">
      <c r="A377" t="s">
        <v>597</v>
      </c>
      <c r="B377" t="s">
        <v>276</v>
      </c>
      <c r="C377" t="s">
        <v>27</v>
      </c>
      <c r="E377" t="s">
        <v>267</v>
      </c>
      <c r="H377" s="2">
        <v>45576.345833333333</v>
      </c>
      <c r="I377" t="s">
        <v>36</v>
      </c>
      <c r="Z377">
        <v>91696</v>
      </c>
    </row>
    <row r="378" spans="1:26" x14ac:dyDescent="0.25">
      <c r="A378" t="s">
        <v>598</v>
      </c>
      <c r="B378" t="s">
        <v>26</v>
      </c>
      <c r="C378" t="s">
        <v>27</v>
      </c>
      <c r="H378" s="2">
        <v>45575.506249999999</v>
      </c>
      <c r="I378" t="s">
        <v>128</v>
      </c>
      <c r="Z378">
        <v>91664</v>
      </c>
    </row>
    <row r="379" spans="1:26" x14ac:dyDescent="0.25">
      <c r="A379" t="s">
        <v>599</v>
      </c>
      <c r="B379" t="s">
        <v>26</v>
      </c>
      <c r="C379" t="s">
        <v>27</v>
      </c>
      <c r="H379" s="2">
        <v>45575.430555555555</v>
      </c>
      <c r="I379" t="s">
        <v>36</v>
      </c>
      <c r="Z379">
        <v>91655</v>
      </c>
    </row>
    <row r="380" spans="1:26" x14ac:dyDescent="0.25">
      <c r="A380" t="s">
        <v>600</v>
      </c>
      <c r="C380" t="s">
        <v>27</v>
      </c>
      <c r="E380" t="s">
        <v>601</v>
      </c>
      <c r="H380" s="2">
        <v>45574.573611111111</v>
      </c>
      <c r="I380" t="s">
        <v>128</v>
      </c>
      <c r="Z380">
        <v>91624</v>
      </c>
    </row>
    <row r="381" spans="1:26" x14ac:dyDescent="0.25">
      <c r="A381" t="s">
        <v>602</v>
      </c>
      <c r="B381" t="s">
        <v>43</v>
      </c>
      <c r="C381" t="s">
        <v>27</v>
      </c>
      <c r="E381" t="s">
        <v>41</v>
      </c>
      <c r="G381" t="s">
        <v>603</v>
      </c>
      <c r="H381" s="2">
        <v>45574.54583333333</v>
      </c>
      <c r="I381" t="s">
        <v>36</v>
      </c>
      <c r="Z381">
        <v>91619</v>
      </c>
    </row>
    <row r="382" spans="1:26" x14ac:dyDescent="0.25">
      <c r="A382" t="s">
        <v>604</v>
      </c>
      <c r="B382" t="s">
        <v>276</v>
      </c>
      <c r="C382" t="s">
        <v>27</v>
      </c>
      <c r="E382" t="s">
        <v>605</v>
      </c>
      <c r="G382" t="s">
        <v>606</v>
      </c>
      <c r="H382" s="2">
        <v>45573.710416666669</v>
      </c>
      <c r="I382" t="s">
        <v>36</v>
      </c>
      <c r="Z382">
        <v>91586</v>
      </c>
    </row>
    <row r="383" spans="1:26" x14ac:dyDescent="0.25">
      <c r="A383" t="s">
        <v>2216</v>
      </c>
      <c r="B383" t="s">
        <v>26</v>
      </c>
      <c r="C383" t="s">
        <v>27</v>
      </c>
      <c r="H383" s="2">
        <v>45573.554861111108</v>
      </c>
      <c r="I383" t="s">
        <v>36</v>
      </c>
      <c r="Z383">
        <v>91565</v>
      </c>
    </row>
    <row r="384" spans="1:26" x14ac:dyDescent="0.25">
      <c r="A384" t="s">
        <v>607</v>
      </c>
      <c r="B384" t="s">
        <v>276</v>
      </c>
      <c r="C384" t="s">
        <v>27</v>
      </c>
      <c r="E384" t="s">
        <v>608</v>
      </c>
      <c r="H384" s="2">
        <v>45572.720833333333</v>
      </c>
      <c r="I384" t="s">
        <v>289</v>
      </c>
      <c r="Z384">
        <v>91538</v>
      </c>
    </row>
    <row r="385" spans="1:26" x14ac:dyDescent="0.25">
      <c r="A385" t="s">
        <v>609</v>
      </c>
      <c r="B385" t="s">
        <v>26</v>
      </c>
      <c r="C385" t="s">
        <v>27</v>
      </c>
      <c r="H385" s="2">
        <v>45572.496527777781</v>
      </c>
      <c r="I385" t="s">
        <v>289</v>
      </c>
      <c r="Z385">
        <v>91511</v>
      </c>
    </row>
    <row r="386" spans="1:26" x14ac:dyDescent="0.25">
      <c r="A386" t="s">
        <v>610</v>
      </c>
      <c r="B386" t="s">
        <v>370</v>
      </c>
      <c r="C386" t="s">
        <v>27</v>
      </c>
      <c r="E386" t="s">
        <v>140</v>
      </c>
      <c r="G386" t="s">
        <v>611</v>
      </c>
      <c r="H386" s="2">
        <v>45567.613888888889</v>
      </c>
      <c r="I386" t="s">
        <v>289</v>
      </c>
      <c r="Z386">
        <v>91340</v>
      </c>
    </row>
    <row r="387" spans="1:26" x14ac:dyDescent="0.25">
      <c r="A387" t="s">
        <v>612</v>
      </c>
      <c r="B387" t="s">
        <v>26</v>
      </c>
      <c r="C387" t="s">
        <v>27</v>
      </c>
      <c r="H387" s="2">
        <v>45566.557638888888</v>
      </c>
      <c r="I387" t="s">
        <v>476</v>
      </c>
      <c r="Z387">
        <v>91269</v>
      </c>
    </row>
    <row r="388" spans="1:26" x14ac:dyDescent="0.25">
      <c r="A388" t="s">
        <v>613</v>
      </c>
      <c r="B388" t="s">
        <v>26</v>
      </c>
      <c r="C388" t="s">
        <v>27</v>
      </c>
      <c r="H388" s="2">
        <v>45566.523611111108</v>
      </c>
      <c r="I388" t="s">
        <v>476</v>
      </c>
      <c r="Z388">
        <v>91263</v>
      </c>
    </row>
    <row r="389" spans="1:26" x14ac:dyDescent="0.25">
      <c r="A389" t="s">
        <v>614</v>
      </c>
      <c r="B389" t="s">
        <v>26</v>
      </c>
      <c r="C389" t="s">
        <v>27</v>
      </c>
      <c r="H389" s="2">
        <v>45566.425000000003</v>
      </c>
      <c r="I389" t="s">
        <v>476</v>
      </c>
      <c r="Z389">
        <v>91250</v>
      </c>
    </row>
    <row r="390" spans="1:26" x14ac:dyDescent="0.25">
      <c r="A390" t="s">
        <v>615</v>
      </c>
      <c r="B390" t="s">
        <v>26</v>
      </c>
      <c r="C390" t="s">
        <v>27</v>
      </c>
      <c r="H390" s="2">
        <v>45563.510416666664</v>
      </c>
      <c r="I390" t="s">
        <v>476</v>
      </c>
      <c r="Z390">
        <v>91135</v>
      </c>
    </row>
    <row r="391" spans="1:26" x14ac:dyDescent="0.25">
      <c r="A391" t="s">
        <v>616</v>
      </c>
      <c r="B391" t="s">
        <v>26</v>
      </c>
      <c r="C391" t="s">
        <v>27</v>
      </c>
      <c r="H391" s="2">
        <v>45562.416666666664</v>
      </c>
      <c r="I391" t="s">
        <v>289</v>
      </c>
      <c r="Z391">
        <v>91093</v>
      </c>
    </row>
    <row r="392" spans="1:26" x14ac:dyDescent="0.25">
      <c r="A392" t="s">
        <v>617</v>
      </c>
      <c r="B392" t="s">
        <v>26</v>
      </c>
      <c r="C392" t="s">
        <v>27</v>
      </c>
      <c r="H392" s="2">
        <v>45562.413194444445</v>
      </c>
      <c r="I392" t="s">
        <v>289</v>
      </c>
      <c r="Z392">
        <v>91092</v>
      </c>
    </row>
    <row r="393" spans="1:26" x14ac:dyDescent="0.25">
      <c r="A393" t="s">
        <v>618</v>
      </c>
      <c r="B393" t="s">
        <v>26</v>
      </c>
      <c r="C393" t="s">
        <v>27</v>
      </c>
      <c r="H393" s="2">
        <v>45562.404861111114</v>
      </c>
      <c r="I393" t="s">
        <v>289</v>
      </c>
      <c r="Z393">
        <v>91090</v>
      </c>
    </row>
    <row r="394" spans="1:26" x14ac:dyDescent="0.25">
      <c r="A394" t="s">
        <v>619</v>
      </c>
      <c r="B394" t="s">
        <v>370</v>
      </c>
      <c r="C394" t="s">
        <v>27</v>
      </c>
      <c r="E394" t="s">
        <v>620</v>
      </c>
      <c r="H394" s="2">
        <v>45562.372916666667</v>
      </c>
      <c r="I394" t="s">
        <v>476</v>
      </c>
      <c r="Z394">
        <v>91083</v>
      </c>
    </row>
    <row r="395" spans="1:26" x14ac:dyDescent="0.25">
      <c r="A395" t="s">
        <v>2217</v>
      </c>
      <c r="B395" t="s">
        <v>370</v>
      </c>
      <c r="C395" t="s">
        <v>27</v>
      </c>
      <c r="E395" t="s">
        <v>246</v>
      </c>
      <c r="H395" s="2">
        <v>45562.352083333331</v>
      </c>
      <c r="I395" t="s">
        <v>128</v>
      </c>
      <c r="Z395">
        <v>91081</v>
      </c>
    </row>
    <row r="396" spans="1:26" x14ac:dyDescent="0.25">
      <c r="A396" t="s">
        <v>621</v>
      </c>
      <c r="B396" t="s">
        <v>26</v>
      </c>
      <c r="C396" t="s">
        <v>27</v>
      </c>
      <c r="H396" s="2">
        <v>45561.496527777781</v>
      </c>
      <c r="I396" t="s">
        <v>289</v>
      </c>
      <c r="Z396">
        <v>91044</v>
      </c>
    </row>
    <row r="397" spans="1:26" x14ac:dyDescent="0.25">
      <c r="A397" t="s">
        <v>622</v>
      </c>
      <c r="B397" t="s">
        <v>26</v>
      </c>
      <c r="C397" t="s">
        <v>27</v>
      </c>
      <c r="H397" s="2">
        <v>45561.46597222222</v>
      </c>
      <c r="I397" t="s">
        <v>128</v>
      </c>
      <c r="Z397">
        <v>91038</v>
      </c>
    </row>
    <row r="398" spans="1:26" x14ac:dyDescent="0.25">
      <c r="A398" t="s">
        <v>393</v>
      </c>
      <c r="B398" t="s">
        <v>93</v>
      </c>
      <c r="C398" t="s">
        <v>27</v>
      </c>
      <c r="E398" t="s">
        <v>90</v>
      </c>
      <c r="H398" s="2">
        <v>45561.442361111112</v>
      </c>
      <c r="I398" t="s">
        <v>128</v>
      </c>
      <c r="Z398">
        <v>91036</v>
      </c>
    </row>
    <row r="399" spans="1:26" x14ac:dyDescent="0.25">
      <c r="A399" t="s">
        <v>623</v>
      </c>
      <c r="B399" t="s">
        <v>26</v>
      </c>
      <c r="C399" t="s">
        <v>27</v>
      </c>
      <c r="H399" s="2">
        <v>45560.72152777778</v>
      </c>
      <c r="I399" t="s">
        <v>476</v>
      </c>
      <c r="Z399">
        <v>91013</v>
      </c>
    </row>
    <row r="400" spans="1:26" x14ac:dyDescent="0.25">
      <c r="A400" t="s">
        <v>393</v>
      </c>
      <c r="B400" t="s">
        <v>26</v>
      </c>
      <c r="C400" t="s">
        <v>27</v>
      </c>
      <c r="H400" s="2">
        <v>45560.598611111112</v>
      </c>
      <c r="I400" t="s">
        <v>128</v>
      </c>
      <c r="Z400">
        <v>90997</v>
      </c>
    </row>
    <row r="401" spans="1:26" x14ac:dyDescent="0.25">
      <c r="A401" t="s">
        <v>129</v>
      </c>
      <c r="C401" t="s">
        <v>27</v>
      </c>
      <c r="E401" t="s">
        <v>40</v>
      </c>
      <c r="H401" s="2">
        <v>45559.62222222222</v>
      </c>
      <c r="I401" t="s">
        <v>289</v>
      </c>
      <c r="Z401">
        <v>90933</v>
      </c>
    </row>
    <row r="402" spans="1:26" x14ac:dyDescent="0.25">
      <c r="A402" t="s">
        <v>624</v>
      </c>
      <c r="B402" t="s">
        <v>26</v>
      </c>
      <c r="C402" t="s">
        <v>27</v>
      </c>
      <c r="H402" s="2">
        <v>45559.552777777775</v>
      </c>
      <c r="I402" t="s">
        <v>128</v>
      </c>
      <c r="Z402">
        <v>90924</v>
      </c>
    </row>
    <row r="403" spans="1:26" x14ac:dyDescent="0.25">
      <c r="A403" t="s">
        <v>625</v>
      </c>
      <c r="B403" t="s">
        <v>43</v>
      </c>
      <c r="C403" t="s">
        <v>27</v>
      </c>
      <c r="E403" t="s">
        <v>583</v>
      </c>
      <c r="G403" t="s">
        <v>626</v>
      </c>
      <c r="H403" s="2">
        <v>45558.899305555555</v>
      </c>
      <c r="I403" t="s">
        <v>289</v>
      </c>
      <c r="Z403">
        <v>90901</v>
      </c>
    </row>
    <row r="404" spans="1:26" x14ac:dyDescent="0.25">
      <c r="A404" t="s">
        <v>627</v>
      </c>
      <c r="C404" t="s">
        <v>27</v>
      </c>
      <c r="E404" t="s">
        <v>120</v>
      </c>
      <c r="H404" s="2">
        <v>45558.870833333334</v>
      </c>
      <c r="I404" t="s">
        <v>289</v>
      </c>
      <c r="Z404">
        <v>90900</v>
      </c>
    </row>
    <row r="405" spans="1:26" x14ac:dyDescent="0.25">
      <c r="A405" t="s">
        <v>628</v>
      </c>
      <c r="B405" t="s">
        <v>26</v>
      </c>
      <c r="C405" t="s">
        <v>27</v>
      </c>
      <c r="H405" s="2">
        <v>45558.744444444441</v>
      </c>
      <c r="I405" t="s">
        <v>289</v>
      </c>
      <c r="Z405">
        <v>90892</v>
      </c>
    </row>
    <row r="406" spans="1:26" x14ac:dyDescent="0.25">
      <c r="A406" t="s">
        <v>629</v>
      </c>
      <c r="B406" t="s">
        <v>26</v>
      </c>
      <c r="C406" t="s">
        <v>27</v>
      </c>
      <c r="H406" s="2">
        <v>45558.731944444444</v>
      </c>
      <c r="I406" t="s">
        <v>128</v>
      </c>
      <c r="Z406">
        <v>90891</v>
      </c>
    </row>
    <row r="407" spans="1:26" x14ac:dyDescent="0.25">
      <c r="A407" t="s">
        <v>630</v>
      </c>
      <c r="B407" t="s">
        <v>26</v>
      </c>
      <c r="C407" t="s">
        <v>27</v>
      </c>
      <c r="H407" s="2">
        <v>45558.628472222219</v>
      </c>
      <c r="I407" t="s">
        <v>128</v>
      </c>
      <c r="Z407">
        <v>90880</v>
      </c>
    </row>
    <row r="408" spans="1:26" x14ac:dyDescent="0.25">
      <c r="A408" t="s">
        <v>631</v>
      </c>
      <c r="B408" t="s">
        <v>26</v>
      </c>
      <c r="C408" t="s">
        <v>27</v>
      </c>
      <c r="H408" s="2">
        <v>45558.565972222219</v>
      </c>
      <c r="I408" t="s">
        <v>128</v>
      </c>
      <c r="Z408">
        <v>90865</v>
      </c>
    </row>
    <row r="409" spans="1:26" x14ac:dyDescent="0.25">
      <c r="A409" t="s">
        <v>632</v>
      </c>
      <c r="B409" t="s">
        <v>93</v>
      </c>
      <c r="C409" t="s">
        <v>27</v>
      </c>
      <c r="E409" t="s">
        <v>68</v>
      </c>
      <c r="H409" s="2">
        <v>45557.81527777778</v>
      </c>
      <c r="I409" t="s">
        <v>289</v>
      </c>
      <c r="K409" t="s">
        <v>30</v>
      </c>
      <c r="L409" t="s">
        <v>31</v>
      </c>
      <c r="M409">
        <v>55887113</v>
      </c>
      <c r="N409">
        <v>9754620472</v>
      </c>
      <c r="O409" t="s">
        <v>123</v>
      </c>
      <c r="Z409">
        <v>90817</v>
      </c>
    </row>
    <row r="410" spans="1:26" x14ac:dyDescent="0.25">
      <c r="A410" t="s">
        <v>633</v>
      </c>
      <c r="C410" t="s">
        <v>27</v>
      </c>
      <c r="E410" t="s">
        <v>634</v>
      </c>
      <c r="H410" s="2">
        <v>45556.685416666667</v>
      </c>
      <c r="I410" t="s">
        <v>128</v>
      </c>
      <c r="Z410">
        <v>90802</v>
      </c>
    </row>
    <row r="411" spans="1:26" x14ac:dyDescent="0.25">
      <c r="A411" t="s">
        <v>635</v>
      </c>
      <c r="B411" t="s">
        <v>26</v>
      </c>
      <c r="C411" t="s">
        <v>27</v>
      </c>
      <c r="H411" s="2">
        <v>45555.572916666664</v>
      </c>
      <c r="I411" t="s">
        <v>289</v>
      </c>
      <c r="Z411">
        <v>90768</v>
      </c>
    </row>
    <row r="412" spans="1:26" x14ac:dyDescent="0.25">
      <c r="A412" t="s">
        <v>636</v>
      </c>
      <c r="B412" t="s">
        <v>26</v>
      </c>
      <c r="C412" t="s">
        <v>27</v>
      </c>
      <c r="H412" s="2">
        <v>45555.465277777781</v>
      </c>
      <c r="I412" t="s">
        <v>289</v>
      </c>
      <c r="Z412">
        <v>90753</v>
      </c>
    </row>
    <row r="413" spans="1:26" x14ac:dyDescent="0.25">
      <c r="A413" t="s">
        <v>637</v>
      </c>
      <c r="B413" t="s">
        <v>26</v>
      </c>
      <c r="C413" t="s">
        <v>27</v>
      </c>
      <c r="H413" s="2">
        <v>45554.600694444445</v>
      </c>
      <c r="I413" t="s">
        <v>476</v>
      </c>
      <c r="Z413">
        <v>90712</v>
      </c>
    </row>
    <row r="414" spans="1:26" x14ac:dyDescent="0.25">
      <c r="A414" t="s">
        <v>495</v>
      </c>
      <c r="B414" t="s">
        <v>26</v>
      </c>
      <c r="C414" t="s">
        <v>27</v>
      </c>
      <c r="H414" s="2">
        <v>45553.554166666669</v>
      </c>
      <c r="I414" t="s">
        <v>128</v>
      </c>
      <c r="Z414">
        <v>90664</v>
      </c>
    </row>
    <row r="415" spans="1:26" x14ac:dyDescent="0.25">
      <c r="A415" t="s">
        <v>2218</v>
      </c>
      <c r="B415" t="s">
        <v>26</v>
      </c>
      <c r="C415" t="s">
        <v>27</v>
      </c>
      <c r="H415" s="2">
        <v>45552.749305555553</v>
      </c>
      <c r="I415" t="s">
        <v>128</v>
      </c>
      <c r="Z415">
        <v>90633</v>
      </c>
    </row>
    <row r="416" spans="1:26" x14ac:dyDescent="0.25">
      <c r="A416" t="s">
        <v>638</v>
      </c>
      <c r="B416" t="s">
        <v>26</v>
      </c>
      <c r="C416" t="s">
        <v>27</v>
      </c>
      <c r="H416" s="2">
        <v>45552.507638888892</v>
      </c>
      <c r="I416" t="s">
        <v>289</v>
      </c>
      <c r="Z416">
        <v>90607</v>
      </c>
    </row>
    <row r="417" spans="1:26" x14ac:dyDescent="0.25">
      <c r="A417" t="s">
        <v>639</v>
      </c>
      <c r="B417" t="s">
        <v>472</v>
      </c>
      <c r="C417" t="s">
        <v>27</v>
      </c>
      <c r="E417" t="s">
        <v>640</v>
      </c>
      <c r="H417" s="2">
        <v>45551.740277777775</v>
      </c>
      <c r="I417" t="s">
        <v>476</v>
      </c>
      <c r="Z417">
        <v>90585</v>
      </c>
    </row>
    <row r="418" spans="1:26" x14ac:dyDescent="0.25">
      <c r="A418" t="s">
        <v>641</v>
      </c>
      <c r="B418" t="s">
        <v>26</v>
      </c>
      <c r="C418" t="s">
        <v>27</v>
      </c>
      <c r="H418" s="2">
        <v>45551.472916666666</v>
      </c>
      <c r="I418" t="s">
        <v>476</v>
      </c>
      <c r="Z418">
        <v>90550</v>
      </c>
    </row>
    <row r="419" spans="1:26" x14ac:dyDescent="0.25">
      <c r="A419" t="s">
        <v>642</v>
      </c>
      <c r="B419" t="s">
        <v>276</v>
      </c>
      <c r="C419" t="s">
        <v>27</v>
      </c>
      <c r="E419" t="s">
        <v>584</v>
      </c>
      <c r="H419" s="2">
        <v>45550.396527777775</v>
      </c>
      <c r="I419" t="s">
        <v>128</v>
      </c>
      <c r="Z419">
        <v>90515</v>
      </c>
    </row>
    <row r="420" spans="1:26" x14ac:dyDescent="0.25">
      <c r="A420" t="s">
        <v>643</v>
      </c>
      <c r="B420" t="s">
        <v>472</v>
      </c>
      <c r="C420" t="s">
        <v>27</v>
      </c>
      <c r="E420" t="s">
        <v>644</v>
      </c>
      <c r="H420" s="2">
        <v>45549.813194444447</v>
      </c>
      <c r="I420" t="s">
        <v>289</v>
      </c>
      <c r="Z420">
        <v>90510</v>
      </c>
    </row>
    <row r="421" spans="1:26" x14ac:dyDescent="0.25">
      <c r="A421" t="s">
        <v>645</v>
      </c>
      <c r="B421" t="s">
        <v>26</v>
      </c>
      <c r="C421" t="s">
        <v>27</v>
      </c>
      <c r="H421" s="2">
        <v>45548.481944444444</v>
      </c>
      <c r="I421" t="s">
        <v>289</v>
      </c>
      <c r="Z421">
        <v>90462</v>
      </c>
    </row>
    <row r="422" spans="1:26" x14ac:dyDescent="0.25">
      <c r="A422" t="s">
        <v>646</v>
      </c>
      <c r="B422" t="s">
        <v>472</v>
      </c>
      <c r="C422" t="s">
        <v>27</v>
      </c>
      <c r="E422" t="s">
        <v>120</v>
      </c>
      <c r="H422" s="2">
        <v>45547.956250000003</v>
      </c>
      <c r="I422" t="s">
        <v>128</v>
      </c>
      <c r="Z422">
        <v>90434</v>
      </c>
    </row>
    <row r="423" spans="1:26" x14ac:dyDescent="0.25">
      <c r="A423" t="s">
        <v>647</v>
      </c>
      <c r="B423" t="s">
        <v>276</v>
      </c>
      <c r="C423" t="s">
        <v>27</v>
      </c>
      <c r="E423" t="s">
        <v>648</v>
      </c>
      <c r="G423" t="s">
        <v>649</v>
      </c>
      <c r="H423" s="2">
        <v>45547.788194444445</v>
      </c>
      <c r="I423" t="s">
        <v>128</v>
      </c>
      <c r="Z423">
        <v>90429</v>
      </c>
    </row>
    <row r="424" spans="1:26" x14ac:dyDescent="0.25">
      <c r="A424" t="s">
        <v>650</v>
      </c>
      <c r="C424" t="s">
        <v>27</v>
      </c>
      <c r="E424" t="s">
        <v>41</v>
      </c>
      <c r="H424" s="2">
        <v>45547.681250000001</v>
      </c>
      <c r="I424" t="s">
        <v>29</v>
      </c>
      <c r="Z424">
        <v>90416</v>
      </c>
    </row>
    <row r="425" spans="1:26" x14ac:dyDescent="0.25">
      <c r="A425" t="s">
        <v>651</v>
      </c>
      <c r="B425" t="s">
        <v>26</v>
      </c>
      <c r="C425" t="s">
        <v>27</v>
      </c>
      <c r="H425" s="2">
        <v>45546.574305555558</v>
      </c>
      <c r="I425" t="s">
        <v>476</v>
      </c>
      <c r="Z425">
        <v>90348</v>
      </c>
    </row>
    <row r="426" spans="1:26" x14ac:dyDescent="0.25">
      <c r="A426" t="s">
        <v>652</v>
      </c>
      <c r="B426" t="s">
        <v>370</v>
      </c>
      <c r="C426" t="s">
        <v>27</v>
      </c>
      <c r="E426" t="s">
        <v>653</v>
      </c>
      <c r="H426" s="2">
        <v>45545.810416666667</v>
      </c>
      <c r="I426" t="s">
        <v>128</v>
      </c>
      <c r="Z426">
        <v>90319</v>
      </c>
    </row>
    <row r="427" spans="1:26" x14ac:dyDescent="0.25">
      <c r="A427" t="s">
        <v>206</v>
      </c>
      <c r="B427" t="s">
        <v>26</v>
      </c>
      <c r="C427" t="s">
        <v>27</v>
      </c>
      <c r="H427" s="2">
        <v>45545.473611111112</v>
      </c>
      <c r="I427" t="s">
        <v>289</v>
      </c>
      <c r="Z427">
        <v>90281</v>
      </c>
    </row>
    <row r="428" spans="1:26" x14ac:dyDescent="0.25">
      <c r="A428" t="s">
        <v>654</v>
      </c>
      <c r="B428" t="s">
        <v>26</v>
      </c>
      <c r="C428" t="s">
        <v>27</v>
      </c>
      <c r="H428" s="2">
        <v>45545.454861111109</v>
      </c>
      <c r="I428" t="s">
        <v>289</v>
      </c>
      <c r="Z428">
        <v>90279</v>
      </c>
    </row>
    <row r="429" spans="1:26" x14ac:dyDescent="0.25">
      <c r="A429" t="s">
        <v>226</v>
      </c>
      <c r="B429" t="s">
        <v>276</v>
      </c>
      <c r="C429" t="s">
        <v>27</v>
      </c>
      <c r="E429" t="s">
        <v>298</v>
      </c>
      <c r="G429" t="s">
        <v>299</v>
      </c>
      <c r="H429" s="2">
        <v>45545.351388888892</v>
      </c>
      <c r="I429" t="s">
        <v>476</v>
      </c>
      <c r="Z429">
        <v>90264</v>
      </c>
    </row>
    <row r="430" spans="1:26" x14ac:dyDescent="0.25">
      <c r="A430" t="s">
        <v>655</v>
      </c>
      <c r="B430" t="s">
        <v>26</v>
      </c>
      <c r="C430" t="s">
        <v>27</v>
      </c>
      <c r="H430" s="2">
        <v>45544.535416666666</v>
      </c>
      <c r="I430" t="s">
        <v>128</v>
      </c>
      <c r="Z430">
        <v>90215</v>
      </c>
    </row>
    <row r="431" spans="1:26" x14ac:dyDescent="0.25">
      <c r="A431" t="s">
        <v>656</v>
      </c>
      <c r="B431" t="s">
        <v>26</v>
      </c>
      <c r="C431" t="s">
        <v>27</v>
      </c>
      <c r="H431" s="2">
        <v>45544.52847222222</v>
      </c>
      <c r="I431" t="s">
        <v>128</v>
      </c>
      <c r="Z431">
        <v>90213</v>
      </c>
    </row>
    <row r="432" spans="1:26" x14ac:dyDescent="0.25">
      <c r="A432" t="s">
        <v>657</v>
      </c>
      <c r="B432" t="s">
        <v>26</v>
      </c>
      <c r="C432" t="s">
        <v>27</v>
      </c>
      <c r="H432" s="2">
        <v>45542.53125</v>
      </c>
      <c r="I432" t="s">
        <v>476</v>
      </c>
      <c r="Z432">
        <v>90169</v>
      </c>
    </row>
    <row r="433" spans="1:26" x14ac:dyDescent="0.25">
      <c r="A433" t="s">
        <v>658</v>
      </c>
      <c r="B433" t="s">
        <v>370</v>
      </c>
      <c r="C433" t="s">
        <v>27</v>
      </c>
      <c r="E433" t="s">
        <v>584</v>
      </c>
      <c r="H433" s="2">
        <v>45542.529166666667</v>
      </c>
      <c r="I433" t="s">
        <v>289</v>
      </c>
      <c r="K433" t="s">
        <v>30</v>
      </c>
      <c r="L433" t="s">
        <v>31</v>
      </c>
      <c r="M433">
        <v>55887089</v>
      </c>
      <c r="N433">
        <v>9754619198</v>
      </c>
      <c r="O433" t="s">
        <v>123</v>
      </c>
      <c r="Z433">
        <v>90168</v>
      </c>
    </row>
    <row r="434" spans="1:26" x14ac:dyDescent="0.25">
      <c r="A434" t="s">
        <v>659</v>
      </c>
      <c r="B434" t="s">
        <v>26</v>
      </c>
      <c r="C434" t="s">
        <v>27</v>
      </c>
      <c r="H434" s="2">
        <v>45541.493055555555</v>
      </c>
      <c r="I434" t="s">
        <v>289</v>
      </c>
      <c r="Z434">
        <v>90131</v>
      </c>
    </row>
    <row r="435" spans="1:26" x14ac:dyDescent="0.25">
      <c r="A435" t="s">
        <v>660</v>
      </c>
      <c r="B435" t="s">
        <v>370</v>
      </c>
      <c r="C435" t="s">
        <v>27</v>
      </c>
      <c r="E435" t="s">
        <v>549</v>
      </c>
      <c r="H435" s="2">
        <v>45540.665972222225</v>
      </c>
      <c r="I435" t="s">
        <v>29</v>
      </c>
      <c r="Z435">
        <v>90095</v>
      </c>
    </row>
    <row r="436" spans="1:26" x14ac:dyDescent="0.25">
      <c r="A436" t="s">
        <v>661</v>
      </c>
      <c r="B436" t="s">
        <v>370</v>
      </c>
      <c r="C436" t="s">
        <v>27</v>
      </c>
      <c r="E436" t="s">
        <v>422</v>
      </c>
      <c r="H436" s="2">
        <v>45540.506249999999</v>
      </c>
      <c r="I436" t="s">
        <v>128</v>
      </c>
      <c r="Z436">
        <v>90067</v>
      </c>
    </row>
    <row r="437" spans="1:26" x14ac:dyDescent="0.25">
      <c r="A437" t="s">
        <v>374</v>
      </c>
      <c r="B437" t="s">
        <v>26</v>
      </c>
      <c r="C437" t="s">
        <v>27</v>
      </c>
      <c r="H437" s="2">
        <v>45540.431250000001</v>
      </c>
      <c r="I437" t="s">
        <v>476</v>
      </c>
      <c r="Z437">
        <v>90051</v>
      </c>
    </row>
    <row r="438" spans="1:26" x14ac:dyDescent="0.25">
      <c r="A438" t="s">
        <v>662</v>
      </c>
      <c r="B438" t="s">
        <v>472</v>
      </c>
      <c r="C438" t="s">
        <v>27</v>
      </c>
      <c r="H438" s="2">
        <v>45540.429861111108</v>
      </c>
      <c r="I438" t="s">
        <v>289</v>
      </c>
      <c r="Z438">
        <v>90049</v>
      </c>
    </row>
    <row r="439" spans="1:26" x14ac:dyDescent="0.25">
      <c r="A439" t="s">
        <v>663</v>
      </c>
      <c r="B439" t="s">
        <v>26</v>
      </c>
      <c r="C439" t="s">
        <v>27</v>
      </c>
      <c r="H439" s="2">
        <v>45539.640277777777</v>
      </c>
      <c r="I439" t="s">
        <v>289</v>
      </c>
      <c r="Z439">
        <v>90013</v>
      </c>
    </row>
    <row r="440" spans="1:26" x14ac:dyDescent="0.25">
      <c r="A440" t="s">
        <v>139</v>
      </c>
      <c r="B440" t="s">
        <v>93</v>
      </c>
      <c r="C440" t="s">
        <v>27</v>
      </c>
      <c r="E440" t="s">
        <v>39</v>
      </c>
      <c r="H440" s="2">
        <v>45538.555555555555</v>
      </c>
      <c r="I440" t="s">
        <v>128</v>
      </c>
      <c r="Z440">
        <v>89949</v>
      </c>
    </row>
    <row r="441" spans="1:26" x14ac:dyDescent="0.25">
      <c r="A441" t="s">
        <v>664</v>
      </c>
      <c r="B441" t="s">
        <v>26</v>
      </c>
      <c r="C441" t="s">
        <v>27</v>
      </c>
      <c r="H441" s="2">
        <v>45538.449305555558</v>
      </c>
      <c r="I441" t="s">
        <v>128</v>
      </c>
      <c r="Z441">
        <v>89932</v>
      </c>
    </row>
    <row r="442" spans="1:26" x14ac:dyDescent="0.25">
      <c r="A442" t="s">
        <v>665</v>
      </c>
      <c r="B442" t="s">
        <v>276</v>
      </c>
      <c r="C442" t="s">
        <v>27</v>
      </c>
      <c r="E442" t="s">
        <v>450</v>
      </c>
      <c r="G442" t="s">
        <v>666</v>
      </c>
      <c r="H442" s="2">
        <v>45537.811805555553</v>
      </c>
      <c r="I442" t="s">
        <v>289</v>
      </c>
      <c r="Z442">
        <v>89913</v>
      </c>
    </row>
    <row r="443" spans="1:26" x14ac:dyDescent="0.25">
      <c r="A443" t="s">
        <v>667</v>
      </c>
      <c r="B443" t="s">
        <v>26</v>
      </c>
      <c r="C443" t="s">
        <v>27</v>
      </c>
      <c r="H443" s="2">
        <v>45537.599999999999</v>
      </c>
      <c r="I443" t="s">
        <v>289</v>
      </c>
      <c r="Z443">
        <v>89886</v>
      </c>
    </row>
    <row r="444" spans="1:26" x14ac:dyDescent="0.25">
      <c r="A444" t="s">
        <v>668</v>
      </c>
      <c r="B444" t="s">
        <v>370</v>
      </c>
      <c r="C444" t="s">
        <v>27</v>
      </c>
      <c r="E444" t="s">
        <v>669</v>
      </c>
      <c r="H444" s="2">
        <v>45537.550694444442</v>
      </c>
      <c r="I444" t="s">
        <v>289</v>
      </c>
      <c r="K444" t="s">
        <v>30</v>
      </c>
      <c r="L444" t="s">
        <v>31</v>
      </c>
      <c r="M444">
        <v>67131912</v>
      </c>
      <c r="N444">
        <v>11953101652</v>
      </c>
      <c r="O444" t="s">
        <v>123</v>
      </c>
      <c r="Z444">
        <v>89876</v>
      </c>
    </row>
    <row r="445" spans="1:26" x14ac:dyDescent="0.25">
      <c r="A445" t="s">
        <v>670</v>
      </c>
      <c r="B445" t="s">
        <v>26</v>
      </c>
      <c r="C445" t="s">
        <v>27</v>
      </c>
      <c r="H445" s="2">
        <v>45534.631944444445</v>
      </c>
      <c r="I445" t="s">
        <v>289</v>
      </c>
      <c r="Z445">
        <v>89781</v>
      </c>
    </row>
    <row r="446" spans="1:26" x14ac:dyDescent="0.25">
      <c r="A446" t="s">
        <v>671</v>
      </c>
      <c r="B446" t="s">
        <v>26</v>
      </c>
      <c r="C446" t="s">
        <v>27</v>
      </c>
      <c r="H446" s="2">
        <v>45534.618750000001</v>
      </c>
      <c r="I446" t="s">
        <v>289</v>
      </c>
      <c r="Z446">
        <v>89778</v>
      </c>
    </row>
    <row r="447" spans="1:26" x14ac:dyDescent="0.25">
      <c r="A447" t="s">
        <v>2219</v>
      </c>
      <c r="B447" t="s">
        <v>472</v>
      </c>
      <c r="C447" t="s">
        <v>27</v>
      </c>
      <c r="E447" t="s">
        <v>66</v>
      </c>
      <c r="H447" s="2">
        <v>45534.617361111108</v>
      </c>
      <c r="I447" t="s">
        <v>289</v>
      </c>
      <c r="Z447">
        <v>89777</v>
      </c>
    </row>
    <row r="448" spans="1:26" x14ac:dyDescent="0.25">
      <c r="A448" t="s">
        <v>672</v>
      </c>
      <c r="B448" t="s">
        <v>472</v>
      </c>
      <c r="C448" t="s">
        <v>27</v>
      </c>
      <c r="E448" t="s">
        <v>76</v>
      </c>
      <c r="H448" s="2">
        <v>45534.456944444442</v>
      </c>
      <c r="I448" t="s">
        <v>289</v>
      </c>
      <c r="Z448">
        <v>89756</v>
      </c>
    </row>
    <row r="449" spans="1:26" x14ac:dyDescent="0.25">
      <c r="A449" t="s">
        <v>673</v>
      </c>
      <c r="B449" t="s">
        <v>43</v>
      </c>
      <c r="C449" t="s">
        <v>27</v>
      </c>
      <c r="E449" t="s">
        <v>298</v>
      </c>
      <c r="G449" t="s">
        <v>674</v>
      </c>
      <c r="H449" s="2">
        <v>45534.113194444442</v>
      </c>
      <c r="I449" t="s">
        <v>128</v>
      </c>
      <c r="Z449">
        <v>89736</v>
      </c>
    </row>
    <row r="450" spans="1:26" x14ac:dyDescent="0.25">
      <c r="A450" t="s">
        <v>675</v>
      </c>
      <c r="B450" t="s">
        <v>26</v>
      </c>
      <c r="C450" t="s">
        <v>27</v>
      </c>
      <c r="H450" s="2">
        <v>45533.518750000003</v>
      </c>
      <c r="I450" t="s">
        <v>289</v>
      </c>
      <c r="Z450">
        <v>89698</v>
      </c>
    </row>
    <row r="451" spans="1:26" x14ac:dyDescent="0.25">
      <c r="A451" t="s">
        <v>676</v>
      </c>
      <c r="B451" t="s">
        <v>26</v>
      </c>
      <c r="C451" t="s">
        <v>27</v>
      </c>
      <c r="H451" s="2">
        <v>45533.43472222222</v>
      </c>
      <c r="I451" t="s">
        <v>289</v>
      </c>
      <c r="Z451">
        <v>89685</v>
      </c>
    </row>
    <row r="452" spans="1:26" x14ac:dyDescent="0.25">
      <c r="A452" t="s">
        <v>677</v>
      </c>
      <c r="B452" t="s">
        <v>26</v>
      </c>
      <c r="C452" t="s">
        <v>27</v>
      </c>
      <c r="E452" t="s">
        <v>119</v>
      </c>
      <c r="H452" s="2">
        <v>45532.603472222225</v>
      </c>
      <c r="I452" t="s">
        <v>289</v>
      </c>
      <c r="Z452">
        <v>89647</v>
      </c>
    </row>
    <row r="453" spans="1:26" x14ac:dyDescent="0.25">
      <c r="A453" t="s">
        <v>678</v>
      </c>
      <c r="C453" t="s">
        <v>27</v>
      </c>
      <c r="E453" t="s">
        <v>72</v>
      </c>
      <c r="H453" s="2">
        <v>45532.436805555553</v>
      </c>
      <c r="I453" t="s">
        <v>128</v>
      </c>
      <c r="Z453">
        <v>89623</v>
      </c>
    </row>
    <row r="454" spans="1:26" x14ac:dyDescent="0.25">
      <c r="A454" t="s">
        <v>679</v>
      </c>
      <c r="B454" t="s">
        <v>26</v>
      </c>
      <c r="C454" t="s">
        <v>27</v>
      </c>
      <c r="H454" s="2">
        <v>45531.70416666667</v>
      </c>
      <c r="I454" t="s">
        <v>128</v>
      </c>
      <c r="Z454">
        <v>89597</v>
      </c>
    </row>
    <row r="455" spans="1:26" x14ac:dyDescent="0.25">
      <c r="A455" t="s">
        <v>680</v>
      </c>
      <c r="B455" t="s">
        <v>26</v>
      </c>
      <c r="C455" t="s">
        <v>27</v>
      </c>
      <c r="H455" s="2">
        <v>45531.662499999999</v>
      </c>
      <c r="I455" t="s">
        <v>289</v>
      </c>
      <c r="Z455">
        <v>89591</v>
      </c>
    </row>
    <row r="456" spans="1:26" x14ac:dyDescent="0.25">
      <c r="A456" t="s">
        <v>681</v>
      </c>
      <c r="B456" t="s">
        <v>26</v>
      </c>
      <c r="C456" t="s">
        <v>27</v>
      </c>
      <c r="H456" s="2">
        <v>45531.493055555555</v>
      </c>
      <c r="I456" t="s">
        <v>128</v>
      </c>
      <c r="Z456">
        <v>89561</v>
      </c>
    </row>
    <row r="457" spans="1:26" x14ac:dyDescent="0.25">
      <c r="A457" t="s">
        <v>682</v>
      </c>
      <c r="B457" t="s">
        <v>26</v>
      </c>
      <c r="C457" t="s">
        <v>27</v>
      </c>
      <c r="H457" s="2">
        <v>45530.521527777775</v>
      </c>
      <c r="I457" t="s">
        <v>289</v>
      </c>
      <c r="Z457">
        <v>89472</v>
      </c>
    </row>
    <row r="458" spans="1:26" x14ac:dyDescent="0.25">
      <c r="A458" t="s">
        <v>683</v>
      </c>
      <c r="B458" t="s">
        <v>26</v>
      </c>
      <c r="C458" t="s">
        <v>27</v>
      </c>
      <c r="H458" s="2">
        <v>45530.404166666667</v>
      </c>
      <c r="I458" t="s">
        <v>36</v>
      </c>
      <c r="Z458">
        <v>89445</v>
      </c>
    </row>
    <row r="459" spans="1:26" x14ac:dyDescent="0.25">
      <c r="A459" t="s">
        <v>684</v>
      </c>
      <c r="B459" t="s">
        <v>472</v>
      </c>
      <c r="C459" t="s">
        <v>27</v>
      </c>
      <c r="E459" t="s">
        <v>68</v>
      </c>
      <c r="H459" s="2">
        <v>45528.427777777775</v>
      </c>
      <c r="I459" t="s">
        <v>36</v>
      </c>
      <c r="Z459">
        <v>89396</v>
      </c>
    </row>
    <row r="460" spans="1:26" x14ac:dyDescent="0.25">
      <c r="A460" t="s">
        <v>685</v>
      </c>
      <c r="B460" t="s">
        <v>26</v>
      </c>
      <c r="C460" t="s">
        <v>27</v>
      </c>
      <c r="H460" s="2">
        <v>45528.388888888891</v>
      </c>
      <c r="I460" t="s">
        <v>128</v>
      </c>
      <c r="Z460">
        <v>89394</v>
      </c>
    </row>
    <row r="461" spans="1:26" x14ac:dyDescent="0.25">
      <c r="A461" t="s">
        <v>686</v>
      </c>
      <c r="B461" t="s">
        <v>472</v>
      </c>
      <c r="C461" t="s">
        <v>27</v>
      </c>
      <c r="E461" t="s">
        <v>41</v>
      </c>
      <c r="H461" s="2">
        <v>45526.4375</v>
      </c>
      <c r="I461" t="s">
        <v>128</v>
      </c>
      <c r="Z461">
        <v>89257</v>
      </c>
    </row>
    <row r="462" spans="1:26" x14ac:dyDescent="0.25">
      <c r="A462" t="s">
        <v>687</v>
      </c>
      <c r="B462" t="s">
        <v>472</v>
      </c>
      <c r="C462" t="s">
        <v>103</v>
      </c>
      <c r="E462" t="s">
        <v>260</v>
      </c>
      <c r="G462" t="s">
        <v>261</v>
      </c>
      <c r="H462" s="2">
        <v>45525.678472222222</v>
      </c>
      <c r="I462" t="s">
        <v>536</v>
      </c>
      <c r="Z462">
        <v>89225</v>
      </c>
    </row>
    <row r="463" spans="1:26" x14ac:dyDescent="0.25">
      <c r="A463" t="s">
        <v>688</v>
      </c>
      <c r="B463" t="s">
        <v>472</v>
      </c>
      <c r="C463" t="s">
        <v>27</v>
      </c>
      <c r="E463" t="s">
        <v>689</v>
      </c>
      <c r="H463" s="2">
        <v>45524.813888888886</v>
      </c>
      <c r="I463" t="s">
        <v>289</v>
      </c>
      <c r="Z463">
        <v>89171</v>
      </c>
    </row>
    <row r="464" spans="1:26" x14ac:dyDescent="0.25">
      <c r="A464" t="s">
        <v>2220</v>
      </c>
      <c r="B464" t="s">
        <v>26</v>
      </c>
      <c r="C464" t="s">
        <v>27</v>
      </c>
      <c r="H464" s="2">
        <v>45524.246527777781</v>
      </c>
      <c r="I464" t="s">
        <v>536</v>
      </c>
      <c r="Z464">
        <v>89083</v>
      </c>
    </row>
    <row r="465" spans="1:26" x14ac:dyDescent="0.25">
      <c r="A465" t="s">
        <v>690</v>
      </c>
      <c r="B465" t="s">
        <v>26</v>
      </c>
      <c r="C465" t="s">
        <v>27</v>
      </c>
      <c r="H465" s="2">
        <v>45523.539583333331</v>
      </c>
      <c r="I465" t="s">
        <v>289</v>
      </c>
      <c r="Z465">
        <v>89035</v>
      </c>
    </row>
    <row r="466" spans="1:26" x14ac:dyDescent="0.25">
      <c r="A466" t="s">
        <v>691</v>
      </c>
      <c r="B466" t="s">
        <v>26</v>
      </c>
      <c r="C466" t="s">
        <v>27</v>
      </c>
      <c r="E466" t="s">
        <v>692</v>
      </c>
      <c r="G466" t="s">
        <v>693</v>
      </c>
      <c r="H466" s="2">
        <v>45523.379166666666</v>
      </c>
      <c r="I466" t="s">
        <v>476</v>
      </c>
      <c r="Z466">
        <v>89000</v>
      </c>
    </row>
    <row r="467" spans="1:26" x14ac:dyDescent="0.25">
      <c r="A467" t="s">
        <v>694</v>
      </c>
      <c r="B467" t="s">
        <v>26</v>
      </c>
      <c r="C467" t="s">
        <v>27</v>
      </c>
      <c r="H467" s="2">
        <v>45520.684027777781</v>
      </c>
      <c r="I467" t="s">
        <v>128</v>
      </c>
      <c r="Z467">
        <v>88933</v>
      </c>
    </row>
    <row r="468" spans="1:26" x14ac:dyDescent="0.25">
      <c r="A468" t="s">
        <v>695</v>
      </c>
      <c r="B468" t="s">
        <v>276</v>
      </c>
      <c r="C468" t="s">
        <v>27</v>
      </c>
      <c r="E468" t="s">
        <v>79</v>
      </c>
      <c r="H468" s="2">
        <v>45520.644444444442</v>
      </c>
      <c r="I468" t="s">
        <v>289</v>
      </c>
      <c r="Z468">
        <v>88930</v>
      </c>
    </row>
    <row r="469" spans="1:26" x14ac:dyDescent="0.25">
      <c r="A469" t="s">
        <v>696</v>
      </c>
      <c r="B469" t="s">
        <v>26</v>
      </c>
      <c r="C469" t="s">
        <v>27</v>
      </c>
      <c r="H469" s="2">
        <v>45519.385416666664</v>
      </c>
      <c r="I469" t="s">
        <v>289</v>
      </c>
      <c r="Z469">
        <v>88840</v>
      </c>
    </row>
    <row r="470" spans="1:26" x14ac:dyDescent="0.25">
      <c r="A470" t="s">
        <v>697</v>
      </c>
      <c r="B470" t="s">
        <v>26</v>
      </c>
      <c r="C470" t="s">
        <v>27</v>
      </c>
      <c r="H470" s="2">
        <v>45518.497916666667</v>
      </c>
      <c r="I470" t="s">
        <v>289</v>
      </c>
      <c r="Z470">
        <v>88812</v>
      </c>
    </row>
    <row r="471" spans="1:26" x14ac:dyDescent="0.25">
      <c r="A471" t="s">
        <v>698</v>
      </c>
      <c r="B471" t="s">
        <v>26</v>
      </c>
      <c r="C471" t="s">
        <v>27</v>
      </c>
      <c r="H471" s="2">
        <v>45517.744444444441</v>
      </c>
      <c r="I471" t="s">
        <v>128</v>
      </c>
      <c r="Z471">
        <v>88785</v>
      </c>
    </row>
    <row r="472" spans="1:26" x14ac:dyDescent="0.25">
      <c r="A472" t="s">
        <v>699</v>
      </c>
      <c r="B472" t="s">
        <v>26</v>
      </c>
      <c r="C472" t="s">
        <v>27</v>
      </c>
      <c r="H472" s="2">
        <v>45517.624305555553</v>
      </c>
      <c r="I472" t="s">
        <v>128</v>
      </c>
      <c r="Z472">
        <v>88771</v>
      </c>
    </row>
    <row r="473" spans="1:26" x14ac:dyDescent="0.25">
      <c r="A473" t="s">
        <v>700</v>
      </c>
      <c r="B473" t="s">
        <v>26</v>
      </c>
      <c r="C473" t="s">
        <v>27</v>
      </c>
      <c r="H473" s="2">
        <v>45517.438194444447</v>
      </c>
      <c r="I473" t="s">
        <v>476</v>
      </c>
      <c r="Z473">
        <v>88743</v>
      </c>
    </row>
    <row r="474" spans="1:26" x14ac:dyDescent="0.25">
      <c r="A474" t="s">
        <v>701</v>
      </c>
      <c r="B474" t="s">
        <v>26</v>
      </c>
      <c r="C474" t="s">
        <v>27</v>
      </c>
      <c r="H474" s="2">
        <v>45516.402777777781</v>
      </c>
      <c r="I474" t="s">
        <v>128</v>
      </c>
      <c r="Z474">
        <v>88671</v>
      </c>
    </row>
    <row r="475" spans="1:26" x14ac:dyDescent="0.25">
      <c r="A475" t="s">
        <v>226</v>
      </c>
      <c r="B475" t="s">
        <v>43</v>
      </c>
      <c r="C475" t="s">
        <v>27</v>
      </c>
      <c r="E475" t="s">
        <v>41</v>
      </c>
      <c r="G475" t="s">
        <v>501</v>
      </c>
      <c r="H475" s="2">
        <v>45515.48541666667</v>
      </c>
      <c r="I475" t="s">
        <v>29</v>
      </c>
      <c r="Z475">
        <v>88649</v>
      </c>
    </row>
    <row r="476" spans="1:26" x14ac:dyDescent="0.25">
      <c r="A476" t="s">
        <v>702</v>
      </c>
      <c r="B476" t="s">
        <v>276</v>
      </c>
      <c r="C476" t="s">
        <v>27</v>
      </c>
      <c r="E476" t="s">
        <v>703</v>
      </c>
      <c r="H476" s="2">
        <v>45514.506249999999</v>
      </c>
      <c r="I476" t="s">
        <v>128</v>
      </c>
      <c r="Z476">
        <v>88630</v>
      </c>
    </row>
    <row r="477" spans="1:26" x14ac:dyDescent="0.25">
      <c r="A477" t="s">
        <v>704</v>
      </c>
      <c r="B477" t="s">
        <v>26</v>
      </c>
      <c r="C477" t="s">
        <v>27</v>
      </c>
      <c r="H477" s="2">
        <v>45514.433333333334</v>
      </c>
      <c r="I477" t="s">
        <v>289</v>
      </c>
      <c r="Z477">
        <v>88628</v>
      </c>
    </row>
    <row r="478" spans="1:26" x14ac:dyDescent="0.25">
      <c r="A478" t="s">
        <v>705</v>
      </c>
      <c r="B478" t="s">
        <v>26</v>
      </c>
      <c r="C478" t="s">
        <v>27</v>
      </c>
      <c r="H478" s="2">
        <v>45513.728472222225</v>
      </c>
      <c r="I478" t="s">
        <v>128</v>
      </c>
      <c r="Z478">
        <v>88624</v>
      </c>
    </row>
    <row r="479" spans="1:26" x14ac:dyDescent="0.25">
      <c r="A479" t="s">
        <v>706</v>
      </c>
      <c r="B479" t="s">
        <v>276</v>
      </c>
      <c r="C479" t="s">
        <v>27</v>
      </c>
      <c r="E479" t="s">
        <v>583</v>
      </c>
      <c r="G479" t="s">
        <v>707</v>
      </c>
      <c r="H479" s="2">
        <v>45513.669444444444</v>
      </c>
      <c r="I479" t="s">
        <v>128</v>
      </c>
      <c r="Z479">
        <v>88617</v>
      </c>
    </row>
    <row r="480" spans="1:26" x14ac:dyDescent="0.25">
      <c r="A480" t="s">
        <v>708</v>
      </c>
      <c r="B480" t="s">
        <v>370</v>
      </c>
      <c r="C480" t="s">
        <v>27</v>
      </c>
      <c r="E480" t="s">
        <v>709</v>
      </c>
      <c r="H480" s="2">
        <v>45511.385416666664</v>
      </c>
      <c r="I480" t="s">
        <v>289</v>
      </c>
      <c r="Z480">
        <v>88477</v>
      </c>
    </row>
    <row r="481" spans="1:26" x14ac:dyDescent="0.25">
      <c r="A481" t="s">
        <v>710</v>
      </c>
      <c r="B481" t="s">
        <v>26</v>
      </c>
      <c r="C481" t="s">
        <v>27</v>
      </c>
      <c r="H481" s="2">
        <v>45510.601388888892</v>
      </c>
      <c r="I481" t="s">
        <v>476</v>
      </c>
      <c r="Z481">
        <v>88443</v>
      </c>
    </row>
    <row r="482" spans="1:26" x14ac:dyDescent="0.25">
      <c r="A482" t="s">
        <v>711</v>
      </c>
      <c r="B482" t="s">
        <v>43</v>
      </c>
      <c r="C482" t="s">
        <v>27</v>
      </c>
      <c r="E482" t="s">
        <v>65</v>
      </c>
      <c r="G482" t="s">
        <v>712</v>
      </c>
      <c r="H482" s="2">
        <v>45510.511111111111</v>
      </c>
      <c r="I482" t="s">
        <v>289</v>
      </c>
      <c r="Z482">
        <v>88430</v>
      </c>
    </row>
    <row r="483" spans="1:26" x14ac:dyDescent="0.25">
      <c r="A483" t="s">
        <v>713</v>
      </c>
      <c r="B483" t="s">
        <v>26</v>
      </c>
      <c r="C483" t="s">
        <v>27</v>
      </c>
      <c r="H483" s="2">
        <v>45509.754861111112</v>
      </c>
      <c r="I483" t="s">
        <v>289</v>
      </c>
      <c r="Z483">
        <v>88402</v>
      </c>
    </row>
    <row r="484" spans="1:26" x14ac:dyDescent="0.25">
      <c r="A484" t="s">
        <v>714</v>
      </c>
      <c r="B484" t="s">
        <v>26</v>
      </c>
      <c r="C484" t="s">
        <v>27</v>
      </c>
      <c r="H484" s="2">
        <v>45509.73541666667</v>
      </c>
      <c r="I484" t="s">
        <v>289</v>
      </c>
      <c r="Z484">
        <v>88400</v>
      </c>
    </row>
    <row r="485" spans="1:26" x14ac:dyDescent="0.25">
      <c r="A485" t="s">
        <v>715</v>
      </c>
      <c r="B485" t="s">
        <v>276</v>
      </c>
      <c r="C485" t="s">
        <v>27</v>
      </c>
      <c r="E485" t="s">
        <v>716</v>
      </c>
      <c r="H485" s="2">
        <v>45509.527777777781</v>
      </c>
      <c r="I485" t="s">
        <v>289</v>
      </c>
      <c r="Z485">
        <v>88364</v>
      </c>
    </row>
    <row r="486" spans="1:26" x14ac:dyDescent="0.25">
      <c r="A486" t="s">
        <v>2221</v>
      </c>
      <c r="B486" t="s">
        <v>276</v>
      </c>
      <c r="C486" t="s">
        <v>27</v>
      </c>
      <c r="E486" t="s">
        <v>717</v>
      </c>
      <c r="H486" s="2">
        <v>45509.506249999999</v>
      </c>
      <c r="I486" t="s">
        <v>289</v>
      </c>
      <c r="Z486">
        <v>88359</v>
      </c>
    </row>
    <row r="487" spans="1:26" x14ac:dyDescent="0.25">
      <c r="A487" t="s">
        <v>718</v>
      </c>
      <c r="C487" t="s">
        <v>27</v>
      </c>
      <c r="E487" t="s">
        <v>120</v>
      </c>
      <c r="H487" s="2">
        <v>45507.489583333336</v>
      </c>
      <c r="I487" t="s">
        <v>521</v>
      </c>
      <c r="Z487">
        <v>88307</v>
      </c>
    </row>
    <row r="488" spans="1:26" x14ac:dyDescent="0.25">
      <c r="A488" t="s">
        <v>719</v>
      </c>
      <c r="B488" t="s">
        <v>276</v>
      </c>
      <c r="C488" t="s">
        <v>27</v>
      </c>
      <c r="E488" t="s">
        <v>716</v>
      </c>
      <c r="H488" s="2">
        <v>45506.837500000001</v>
      </c>
      <c r="I488" t="s">
        <v>128</v>
      </c>
      <c r="Z488">
        <v>88298</v>
      </c>
    </row>
    <row r="489" spans="1:26" x14ac:dyDescent="0.25">
      <c r="A489" t="s">
        <v>720</v>
      </c>
      <c r="B489" t="s">
        <v>26</v>
      </c>
      <c r="C489" t="s">
        <v>27</v>
      </c>
      <c r="H489" s="2">
        <v>45506.741666666669</v>
      </c>
      <c r="I489" t="s">
        <v>128</v>
      </c>
      <c r="Z489">
        <v>88294</v>
      </c>
    </row>
    <row r="490" spans="1:26" x14ac:dyDescent="0.25">
      <c r="A490" t="s">
        <v>2222</v>
      </c>
      <c r="B490" t="s">
        <v>26</v>
      </c>
      <c r="C490" t="s">
        <v>27</v>
      </c>
      <c r="H490" s="2">
        <v>45506.550694444442</v>
      </c>
      <c r="I490" t="s">
        <v>36</v>
      </c>
      <c r="Z490">
        <v>88271</v>
      </c>
    </row>
    <row r="491" spans="1:26" x14ac:dyDescent="0.25">
      <c r="A491" t="s">
        <v>721</v>
      </c>
      <c r="B491" t="s">
        <v>26</v>
      </c>
      <c r="C491" t="s">
        <v>27</v>
      </c>
      <c r="H491" s="2">
        <v>45506.421527777777</v>
      </c>
      <c r="I491" t="s">
        <v>289</v>
      </c>
      <c r="Z491">
        <v>88249</v>
      </c>
    </row>
    <row r="492" spans="1:26" x14ac:dyDescent="0.25">
      <c r="A492" t="s">
        <v>2223</v>
      </c>
      <c r="B492" t="s">
        <v>26</v>
      </c>
      <c r="C492" t="s">
        <v>27</v>
      </c>
      <c r="H492" s="2">
        <v>45506.410416666666</v>
      </c>
      <c r="I492" t="s">
        <v>289</v>
      </c>
      <c r="Z492">
        <v>88247</v>
      </c>
    </row>
    <row r="493" spans="1:26" x14ac:dyDescent="0.25">
      <c r="A493" t="s">
        <v>722</v>
      </c>
      <c r="B493" t="s">
        <v>26</v>
      </c>
      <c r="C493" t="s">
        <v>27</v>
      </c>
      <c r="H493" s="2">
        <v>45506.401388888888</v>
      </c>
      <c r="I493" t="s">
        <v>289</v>
      </c>
      <c r="Z493">
        <v>88245</v>
      </c>
    </row>
    <row r="494" spans="1:26" x14ac:dyDescent="0.25">
      <c r="A494" t="s">
        <v>723</v>
      </c>
      <c r="B494" t="s">
        <v>26</v>
      </c>
      <c r="C494" t="s">
        <v>27</v>
      </c>
      <c r="H494" s="2">
        <v>45505.656944444447</v>
      </c>
      <c r="I494" t="s">
        <v>36</v>
      </c>
      <c r="Z494">
        <v>88226</v>
      </c>
    </row>
    <row r="495" spans="1:26" x14ac:dyDescent="0.25">
      <c r="A495" t="s">
        <v>724</v>
      </c>
      <c r="B495" t="s">
        <v>26</v>
      </c>
      <c r="C495" t="s">
        <v>27</v>
      </c>
      <c r="H495" s="2">
        <v>45505.578472222223</v>
      </c>
      <c r="I495" t="s">
        <v>289</v>
      </c>
      <c r="Z495">
        <v>88214</v>
      </c>
    </row>
    <row r="496" spans="1:26" x14ac:dyDescent="0.25">
      <c r="A496" t="s">
        <v>725</v>
      </c>
      <c r="B496" t="s">
        <v>26</v>
      </c>
      <c r="C496" t="s">
        <v>27</v>
      </c>
      <c r="H496" s="2">
        <v>45505.488194444442</v>
      </c>
      <c r="I496" t="s">
        <v>289</v>
      </c>
      <c r="Z496">
        <v>88200</v>
      </c>
    </row>
    <row r="497" spans="1:26" x14ac:dyDescent="0.25">
      <c r="A497" t="s">
        <v>726</v>
      </c>
      <c r="B497" t="s">
        <v>26</v>
      </c>
      <c r="C497" t="s">
        <v>27</v>
      </c>
      <c r="H497" s="2">
        <v>45504.696527777778</v>
      </c>
      <c r="I497" t="s">
        <v>476</v>
      </c>
      <c r="Z497">
        <v>88155</v>
      </c>
    </row>
    <row r="498" spans="1:26" x14ac:dyDescent="0.25">
      <c r="A498" t="s">
        <v>727</v>
      </c>
      <c r="B498" t="s">
        <v>26</v>
      </c>
      <c r="C498" t="s">
        <v>27</v>
      </c>
      <c r="H498" s="2">
        <v>45503.76666666667</v>
      </c>
      <c r="I498" t="s">
        <v>289</v>
      </c>
      <c r="Z498">
        <v>88109</v>
      </c>
    </row>
    <row r="499" spans="1:26" x14ac:dyDescent="0.25">
      <c r="A499" t="s">
        <v>729</v>
      </c>
      <c r="B499" t="s">
        <v>26</v>
      </c>
      <c r="C499" t="s">
        <v>27</v>
      </c>
      <c r="H499" s="2">
        <v>45503.496527777781</v>
      </c>
      <c r="I499" t="s">
        <v>289</v>
      </c>
      <c r="Z499">
        <v>88063</v>
      </c>
    </row>
    <row r="500" spans="1:26" x14ac:dyDescent="0.25">
      <c r="A500" t="s">
        <v>730</v>
      </c>
      <c r="B500" t="s">
        <v>26</v>
      </c>
      <c r="C500" t="s">
        <v>27</v>
      </c>
      <c r="H500" s="2">
        <v>45503.43472222222</v>
      </c>
      <c r="I500" t="s">
        <v>476</v>
      </c>
      <c r="Z500">
        <v>88056</v>
      </c>
    </row>
    <row r="501" spans="1:26" x14ac:dyDescent="0.25">
      <c r="A501" t="s">
        <v>731</v>
      </c>
      <c r="B501" t="s">
        <v>370</v>
      </c>
      <c r="C501" t="s">
        <v>27</v>
      </c>
      <c r="E501" t="s">
        <v>85</v>
      </c>
      <c r="H501" s="2">
        <v>45502.759027777778</v>
      </c>
      <c r="I501" t="s">
        <v>289</v>
      </c>
      <c r="Z501">
        <v>88037</v>
      </c>
    </row>
    <row r="502" spans="1:26" x14ac:dyDescent="0.25">
      <c r="A502" t="s">
        <v>732</v>
      </c>
      <c r="B502" t="s">
        <v>26</v>
      </c>
      <c r="C502" t="s">
        <v>27</v>
      </c>
      <c r="H502" s="2">
        <v>45502.686111111114</v>
      </c>
      <c r="I502" t="s">
        <v>36</v>
      </c>
      <c r="Z502">
        <v>88024</v>
      </c>
    </row>
    <row r="503" spans="1:26" x14ac:dyDescent="0.25">
      <c r="A503" t="s">
        <v>733</v>
      </c>
      <c r="B503" t="s">
        <v>26</v>
      </c>
      <c r="C503" t="s">
        <v>27</v>
      </c>
      <c r="H503" s="2">
        <v>45502.556944444441</v>
      </c>
      <c r="I503" t="s">
        <v>36</v>
      </c>
      <c r="Z503">
        <v>88008</v>
      </c>
    </row>
    <row r="504" spans="1:26" x14ac:dyDescent="0.25">
      <c r="A504" t="s">
        <v>734</v>
      </c>
      <c r="B504" t="s">
        <v>26</v>
      </c>
      <c r="C504" t="s">
        <v>27</v>
      </c>
      <c r="H504" s="2">
        <v>45502.525000000001</v>
      </c>
      <c r="I504" t="s">
        <v>289</v>
      </c>
      <c r="Z504">
        <v>88004</v>
      </c>
    </row>
    <row r="505" spans="1:26" x14ac:dyDescent="0.25">
      <c r="A505" t="s">
        <v>735</v>
      </c>
      <c r="C505" t="s">
        <v>27</v>
      </c>
      <c r="E505" t="s">
        <v>79</v>
      </c>
      <c r="H505" s="2">
        <v>45499.581250000003</v>
      </c>
      <c r="I505" t="s">
        <v>289</v>
      </c>
      <c r="Z505">
        <v>87904</v>
      </c>
    </row>
    <row r="506" spans="1:26" x14ac:dyDescent="0.25">
      <c r="A506" t="s">
        <v>736</v>
      </c>
      <c r="B506" t="s">
        <v>26</v>
      </c>
      <c r="C506" t="s">
        <v>27</v>
      </c>
      <c r="H506" s="2">
        <v>45498.748611111114</v>
      </c>
      <c r="I506" t="s">
        <v>289</v>
      </c>
      <c r="Z506">
        <v>87875</v>
      </c>
    </row>
    <row r="507" spans="1:26" x14ac:dyDescent="0.25">
      <c r="A507" t="s">
        <v>737</v>
      </c>
      <c r="B507" t="s">
        <v>26</v>
      </c>
      <c r="C507" t="s">
        <v>27</v>
      </c>
      <c r="H507" s="2">
        <v>45498.484027777777</v>
      </c>
      <c r="I507" t="s">
        <v>289</v>
      </c>
      <c r="Z507">
        <v>87850</v>
      </c>
    </row>
    <row r="508" spans="1:26" x14ac:dyDescent="0.25">
      <c r="A508" t="s">
        <v>738</v>
      </c>
      <c r="B508" t="s">
        <v>26</v>
      </c>
      <c r="C508" t="s">
        <v>27</v>
      </c>
      <c r="H508" s="2">
        <v>45497.676388888889</v>
      </c>
      <c r="I508" t="s">
        <v>289</v>
      </c>
      <c r="Z508">
        <v>87818</v>
      </c>
    </row>
    <row r="509" spans="1:26" x14ac:dyDescent="0.25">
      <c r="A509" t="s">
        <v>739</v>
      </c>
      <c r="B509" t="s">
        <v>276</v>
      </c>
      <c r="C509" t="s">
        <v>27</v>
      </c>
      <c r="E509" t="s">
        <v>740</v>
      </c>
      <c r="H509" s="2">
        <v>45497.513888888891</v>
      </c>
      <c r="I509" t="s">
        <v>289</v>
      </c>
      <c r="Z509">
        <v>87793</v>
      </c>
    </row>
    <row r="510" spans="1:26" x14ac:dyDescent="0.25">
      <c r="A510" t="s">
        <v>741</v>
      </c>
      <c r="B510" t="s">
        <v>26</v>
      </c>
      <c r="C510" t="s">
        <v>27</v>
      </c>
      <c r="H510" s="2">
        <v>45496.42291666667</v>
      </c>
      <c r="I510" t="s">
        <v>476</v>
      </c>
      <c r="Z510">
        <v>87720</v>
      </c>
    </row>
    <row r="511" spans="1:26" x14ac:dyDescent="0.25">
      <c r="A511" t="s">
        <v>742</v>
      </c>
      <c r="C511" t="s">
        <v>27</v>
      </c>
      <c r="E511" t="s">
        <v>65</v>
      </c>
      <c r="H511" s="2">
        <v>45495.661805555559</v>
      </c>
      <c r="I511" t="s">
        <v>289</v>
      </c>
      <c r="Z511">
        <v>87693</v>
      </c>
    </row>
    <row r="512" spans="1:26" x14ac:dyDescent="0.25">
      <c r="A512" t="s">
        <v>743</v>
      </c>
      <c r="B512" t="s">
        <v>26</v>
      </c>
      <c r="C512" t="s">
        <v>27</v>
      </c>
      <c r="H512" s="2">
        <v>45495.636805555558</v>
      </c>
      <c r="I512" t="s">
        <v>289</v>
      </c>
      <c r="Z512">
        <v>87689</v>
      </c>
    </row>
    <row r="513" spans="1:26" x14ac:dyDescent="0.25">
      <c r="A513" t="s">
        <v>744</v>
      </c>
      <c r="B513" t="s">
        <v>26</v>
      </c>
      <c r="C513" t="s">
        <v>27</v>
      </c>
      <c r="H513" s="2">
        <v>45495.615972222222</v>
      </c>
      <c r="I513" t="s">
        <v>36</v>
      </c>
      <c r="Z513">
        <v>87687</v>
      </c>
    </row>
    <row r="514" spans="1:26" x14ac:dyDescent="0.25">
      <c r="A514" t="s">
        <v>745</v>
      </c>
      <c r="B514" t="s">
        <v>26</v>
      </c>
      <c r="C514" t="s">
        <v>27</v>
      </c>
      <c r="H514" s="2">
        <v>45495.543055555558</v>
      </c>
      <c r="I514" t="s">
        <v>289</v>
      </c>
      <c r="Z514">
        <v>87675</v>
      </c>
    </row>
    <row r="515" spans="1:26" x14ac:dyDescent="0.25">
      <c r="A515" t="s">
        <v>746</v>
      </c>
      <c r="B515" t="s">
        <v>26</v>
      </c>
      <c r="C515" t="s">
        <v>27</v>
      </c>
      <c r="H515" s="2">
        <v>45494.654861111114</v>
      </c>
      <c r="I515" t="s">
        <v>289</v>
      </c>
      <c r="Z515">
        <v>87645</v>
      </c>
    </row>
    <row r="516" spans="1:26" x14ac:dyDescent="0.25">
      <c r="A516" t="s">
        <v>747</v>
      </c>
      <c r="B516" t="s">
        <v>26</v>
      </c>
      <c r="C516" t="s">
        <v>27</v>
      </c>
      <c r="H516" s="2">
        <v>45492.614583333336</v>
      </c>
      <c r="I516" t="s">
        <v>289</v>
      </c>
      <c r="Z516">
        <v>87590</v>
      </c>
    </row>
    <row r="517" spans="1:26" x14ac:dyDescent="0.25">
      <c r="A517" t="s">
        <v>748</v>
      </c>
      <c r="C517" t="s">
        <v>27</v>
      </c>
      <c r="E517" t="s">
        <v>122</v>
      </c>
      <c r="H517" s="2">
        <v>45491.821527777778</v>
      </c>
      <c r="I517" t="s">
        <v>36</v>
      </c>
      <c r="Z517">
        <v>87556</v>
      </c>
    </row>
    <row r="518" spans="1:26" x14ac:dyDescent="0.25">
      <c r="A518" t="s">
        <v>749</v>
      </c>
      <c r="B518" t="s">
        <v>26</v>
      </c>
      <c r="C518" t="s">
        <v>27</v>
      </c>
      <c r="H518" s="2">
        <v>45491.669444444444</v>
      </c>
      <c r="I518" t="s">
        <v>289</v>
      </c>
      <c r="Z518">
        <v>87543</v>
      </c>
    </row>
    <row r="519" spans="1:26" x14ac:dyDescent="0.25">
      <c r="A519" t="s">
        <v>750</v>
      </c>
      <c r="B519" t="s">
        <v>26</v>
      </c>
      <c r="C519" t="s">
        <v>27</v>
      </c>
      <c r="H519" s="2">
        <v>45491.462500000001</v>
      </c>
      <c r="I519" t="s">
        <v>36</v>
      </c>
      <c r="Z519">
        <v>87518</v>
      </c>
    </row>
    <row r="520" spans="1:26" x14ac:dyDescent="0.25">
      <c r="A520" t="s">
        <v>751</v>
      </c>
      <c r="B520" t="s">
        <v>370</v>
      </c>
      <c r="C520" t="s">
        <v>27</v>
      </c>
      <c r="E520" t="s">
        <v>256</v>
      </c>
      <c r="H520" s="2">
        <v>45490.349305555559</v>
      </c>
      <c r="I520" t="s">
        <v>289</v>
      </c>
      <c r="Z520">
        <v>87442</v>
      </c>
    </row>
    <row r="521" spans="1:26" x14ac:dyDescent="0.25">
      <c r="A521" t="s">
        <v>752</v>
      </c>
      <c r="B521" t="s">
        <v>26</v>
      </c>
      <c r="C521" t="s">
        <v>27</v>
      </c>
      <c r="H521" s="2">
        <v>45489.790972222225</v>
      </c>
      <c r="I521" t="s">
        <v>289</v>
      </c>
      <c r="Z521">
        <v>87432</v>
      </c>
    </row>
    <row r="522" spans="1:26" x14ac:dyDescent="0.25">
      <c r="A522" t="s">
        <v>2224</v>
      </c>
      <c r="B522" t="s">
        <v>26</v>
      </c>
      <c r="C522" t="s">
        <v>27</v>
      </c>
      <c r="H522" s="2">
        <v>45489.53125</v>
      </c>
      <c r="I522" t="s">
        <v>36</v>
      </c>
      <c r="Z522">
        <v>87398</v>
      </c>
    </row>
    <row r="523" spans="1:26" x14ac:dyDescent="0.25">
      <c r="A523" t="s">
        <v>2225</v>
      </c>
      <c r="B523" t="s">
        <v>276</v>
      </c>
      <c r="C523" t="s">
        <v>27</v>
      </c>
      <c r="E523" t="s">
        <v>83</v>
      </c>
      <c r="H523" s="2">
        <v>45488.734722222223</v>
      </c>
      <c r="I523" t="s">
        <v>289</v>
      </c>
      <c r="Z523">
        <v>87362</v>
      </c>
    </row>
    <row r="524" spans="1:26" x14ac:dyDescent="0.25">
      <c r="A524" t="s">
        <v>753</v>
      </c>
      <c r="B524" t="s">
        <v>26</v>
      </c>
      <c r="C524" t="s">
        <v>27</v>
      </c>
      <c r="H524" s="2">
        <v>45488.70208333333</v>
      </c>
      <c r="I524" t="s">
        <v>128</v>
      </c>
      <c r="Z524">
        <v>87358</v>
      </c>
    </row>
    <row r="525" spans="1:26" x14ac:dyDescent="0.25">
      <c r="A525" t="s">
        <v>754</v>
      </c>
      <c r="B525" t="s">
        <v>26</v>
      </c>
      <c r="C525" t="s">
        <v>27</v>
      </c>
      <c r="H525" s="2">
        <v>45488.696527777778</v>
      </c>
      <c r="I525" t="s">
        <v>289</v>
      </c>
      <c r="Z525">
        <v>87357</v>
      </c>
    </row>
    <row r="526" spans="1:26" x14ac:dyDescent="0.25">
      <c r="A526" t="s">
        <v>755</v>
      </c>
      <c r="B526" t="s">
        <v>26</v>
      </c>
      <c r="C526" t="s">
        <v>27</v>
      </c>
      <c r="H526" s="2">
        <v>45488.446527777778</v>
      </c>
      <c r="I526" t="s">
        <v>289</v>
      </c>
      <c r="Z526">
        <v>87314</v>
      </c>
    </row>
    <row r="527" spans="1:26" x14ac:dyDescent="0.25">
      <c r="A527" t="s">
        <v>756</v>
      </c>
      <c r="B527" t="s">
        <v>276</v>
      </c>
      <c r="C527" t="s">
        <v>27</v>
      </c>
      <c r="E527" t="s">
        <v>584</v>
      </c>
      <c r="G527" t="s">
        <v>757</v>
      </c>
      <c r="H527" s="2">
        <v>45487.965277777781</v>
      </c>
      <c r="I527" t="s">
        <v>36</v>
      </c>
      <c r="Z527">
        <v>87294</v>
      </c>
    </row>
    <row r="528" spans="1:26" x14ac:dyDescent="0.25">
      <c r="A528" t="s">
        <v>2226</v>
      </c>
      <c r="C528" t="s">
        <v>27</v>
      </c>
      <c r="E528" t="s">
        <v>116</v>
      </c>
      <c r="H528" s="2">
        <v>45487.714583333334</v>
      </c>
      <c r="I528" t="s">
        <v>128</v>
      </c>
      <c r="Z528">
        <v>87285</v>
      </c>
    </row>
    <row r="529" spans="1:26" x14ac:dyDescent="0.25">
      <c r="A529" t="s">
        <v>758</v>
      </c>
      <c r="B529" t="s">
        <v>26</v>
      </c>
      <c r="C529" t="s">
        <v>27</v>
      </c>
      <c r="H529" s="2">
        <v>45485.702777777777</v>
      </c>
      <c r="I529" t="s">
        <v>289</v>
      </c>
      <c r="Z529">
        <v>87247</v>
      </c>
    </row>
    <row r="530" spans="1:26" x14ac:dyDescent="0.25">
      <c r="A530" t="s">
        <v>759</v>
      </c>
      <c r="B530" t="s">
        <v>26</v>
      </c>
      <c r="C530" t="s">
        <v>27</v>
      </c>
      <c r="H530" s="2">
        <v>45484.743750000001</v>
      </c>
      <c r="I530" t="s">
        <v>289</v>
      </c>
      <c r="Z530">
        <v>87194</v>
      </c>
    </row>
    <row r="531" spans="1:26" x14ac:dyDescent="0.25">
      <c r="A531" t="s">
        <v>760</v>
      </c>
      <c r="B531" t="s">
        <v>26</v>
      </c>
      <c r="C531" t="s">
        <v>27</v>
      </c>
      <c r="H531" s="2">
        <v>45484.724999999999</v>
      </c>
      <c r="I531" t="s">
        <v>128</v>
      </c>
      <c r="Z531">
        <v>87193</v>
      </c>
    </row>
    <row r="532" spans="1:26" x14ac:dyDescent="0.25">
      <c r="A532" t="s">
        <v>761</v>
      </c>
      <c r="B532" t="s">
        <v>26</v>
      </c>
      <c r="C532" t="s">
        <v>27</v>
      </c>
      <c r="H532" s="2">
        <v>45484.386805555558</v>
      </c>
      <c r="I532" t="s">
        <v>36</v>
      </c>
      <c r="Z532">
        <v>87158</v>
      </c>
    </row>
    <row r="533" spans="1:26" x14ac:dyDescent="0.25">
      <c r="A533" t="s">
        <v>762</v>
      </c>
      <c r="C533" t="s">
        <v>27</v>
      </c>
      <c r="E533" t="s">
        <v>246</v>
      </c>
      <c r="H533" s="2">
        <v>45483.582638888889</v>
      </c>
      <c r="I533" t="s">
        <v>128</v>
      </c>
      <c r="Z533">
        <v>87121</v>
      </c>
    </row>
    <row r="534" spans="1:26" x14ac:dyDescent="0.25">
      <c r="A534" t="s">
        <v>763</v>
      </c>
      <c r="B534" t="s">
        <v>26</v>
      </c>
      <c r="C534" t="s">
        <v>27</v>
      </c>
      <c r="H534" s="2">
        <v>45483.434027777781</v>
      </c>
      <c r="I534" t="s">
        <v>128</v>
      </c>
      <c r="Z534">
        <v>87107</v>
      </c>
    </row>
    <row r="535" spans="1:26" x14ac:dyDescent="0.25">
      <c r="A535" t="s">
        <v>764</v>
      </c>
      <c r="B535" t="s">
        <v>26</v>
      </c>
      <c r="C535" t="s">
        <v>27</v>
      </c>
      <c r="H535" s="2">
        <v>45483.398611111108</v>
      </c>
      <c r="I535" t="s">
        <v>289</v>
      </c>
      <c r="Z535">
        <v>87101</v>
      </c>
    </row>
    <row r="536" spans="1:26" x14ac:dyDescent="0.25">
      <c r="A536" t="s">
        <v>2227</v>
      </c>
      <c r="B536" t="s">
        <v>472</v>
      </c>
      <c r="C536" t="s">
        <v>27</v>
      </c>
      <c r="E536" t="s">
        <v>122</v>
      </c>
      <c r="G536" t="s">
        <v>765</v>
      </c>
      <c r="H536" s="2">
        <v>45482.887499999997</v>
      </c>
      <c r="I536" t="s">
        <v>128</v>
      </c>
      <c r="Z536">
        <v>87097</v>
      </c>
    </row>
    <row r="537" spans="1:26" x14ac:dyDescent="0.25">
      <c r="A537" t="s">
        <v>766</v>
      </c>
      <c r="B537" t="s">
        <v>26</v>
      </c>
      <c r="C537" t="s">
        <v>27</v>
      </c>
      <c r="H537" s="2">
        <v>45482.821527777778</v>
      </c>
      <c r="I537" t="s">
        <v>289</v>
      </c>
      <c r="Z537">
        <v>87094</v>
      </c>
    </row>
    <row r="538" spans="1:26" x14ac:dyDescent="0.25">
      <c r="A538" t="s">
        <v>2228</v>
      </c>
      <c r="B538" t="s">
        <v>26</v>
      </c>
      <c r="C538" t="s">
        <v>27</v>
      </c>
      <c r="H538" s="2">
        <v>45482.6875</v>
      </c>
      <c r="I538" t="s">
        <v>29</v>
      </c>
      <c r="Z538">
        <v>87081</v>
      </c>
    </row>
    <row r="539" spans="1:26" x14ac:dyDescent="0.25">
      <c r="A539" t="s">
        <v>767</v>
      </c>
      <c r="B539" t="s">
        <v>26</v>
      </c>
      <c r="C539" t="s">
        <v>27</v>
      </c>
      <c r="H539" s="2">
        <v>45482.592361111114</v>
      </c>
      <c r="I539" t="s">
        <v>289</v>
      </c>
      <c r="Z539">
        <v>87064</v>
      </c>
    </row>
    <row r="540" spans="1:26" x14ac:dyDescent="0.25">
      <c r="A540" t="s">
        <v>768</v>
      </c>
      <c r="B540" t="s">
        <v>26</v>
      </c>
      <c r="C540" t="s">
        <v>27</v>
      </c>
      <c r="H540" s="2">
        <v>45482.591666666667</v>
      </c>
      <c r="I540" t="s">
        <v>128</v>
      </c>
      <c r="Z540">
        <v>87063</v>
      </c>
    </row>
    <row r="541" spans="1:26" x14ac:dyDescent="0.25">
      <c r="A541" t="s">
        <v>769</v>
      </c>
      <c r="B541" t="s">
        <v>26</v>
      </c>
      <c r="C541" t="s">
        <v>27</v>
      </c>
      <c r="H541" s="2">
        <v>45482.569444444445</v>
      </c>
      <c r="I541" t="s">
        <v>128</v>
      </c>
      <c r="Z541">
        <v>87060</v>
      </c>
    </row>
    <row r="542" spans="1:26" x14ac:dyDescent="0.25">
      <c r="A542" t="s">
        <v>770</v>
      </c>
      <c r="B542" t="s">
        <v>26</v>
      </c>
      <c r="C542" t="s">
        <v>27</v>
      </c>
      <c r="H542" s="2">
        <v>45482.565972222219</v>
      </c>
      <c r="I542" t="s">
        <v>128</v>
      </c>
      <c r="Z542">
        <v>87058</v>
      </c>
    </row>
    <row r="543" spans="1:26" x14ac:dyDescent="0.25">
      <c r="A543" t="s">
        <v>771</v>
      </c>
      <c r="B543" t="s">
        <v>26</v>
      </c>
      <c r="C543" t="s">
        <v>27</v>
      </c>
      <c r="H543" s="2">
        <v>45482.51666666667</v>
      </c>
      <c r="I543" t="s">
        <v>289</v>
      </c>
      <c r="Z543">
        <v>87044</v>
      </c>
    </row>
    <row r="544" spans="1:26" x14ac:dyDescent="0.25">
      <c r="A544" t="s">
        <v>772</v>
      </c>
      <c r="B544" t="s">
        <v>26</v>
      </c>
      <c r="C544" t="s">
        <v>27</v>
      </c>
      <c r="H544" s="2">
        <v>45481.769444444442</v>
      </c>
      <c r="I544" t="s">
        <v>289</v>
      </c>
      <c r="Z544">
        <v>86995</v>
      </c>
    </row>
    <row r="545" spans="1:26" x14ac:dyDescent="0.25">
      <c r="A545" t="s">
        <v>773</v>
      </c>
      <c r="B545" t="s">
        <v>26</v>
      </c>
      <c r="C545" t="s">
        <v>27</v>
      </c>
      <c r="H545" s="2">
        <v>45481.743055555555</v>
      </c>
      <c r="I545" t="s">
        <v>29</v>
      </c>
      <c r="Z545">
        <v>86990</v>
      </c>
    </row>
    <row r="546" spans="1:26" x14ac:dyDescent="0.25">
      <c r="A546" t="s">
        <v>774</v>
      </c>
      <c r="B546" t="s">
        <v>370</v>
      </c>
      <c r="C546" t="s">
        <v>27</v>
      </c>
      <c r="E546" t="s">
        <v>775</v>
      </c>
      <c r="H546" s="2">
        <v>45481.68472222222</v>
      </c>
      <c r="I546" t="s">
        <v>128</v>
      </c>
      <c r="Z546">
        <v>86984</v>
      </c>
    </row>
    <row r="547" spans="1:26" x14ac:dyDescent="0.25">
      <c r="A547" t="s">
        <v>776</v>
      </c>
      <c r="B547" t="s">
        <v>26</v>
      </c>
      <c r="C547" t="s">
        <v>27</v>
      </c>
      <c r="H547" s="2">
        <v>45481.618055555555</v>
      </c>
      <c r="I547" t="s">
        <v>128</v>
      </c>
      <c r="Z547">
        <v>86973</v>
      </c>
    </row>
    <row r="548" spans="1:26" x14ac:dyDescent="0.25">
      <c r="A548" t="s">
        <v>777</v>
      </c>
      <c r="B548" t="s">
        <v>26</v>
      </c>
      <c r="C548" t="s">
        <v>27</v>
      </c>
      <c r="H548" s="2">
        <v>45481.509027777778</v>
      </c>
      <c r="I548" t="s">
        <v>289</v>
      </c>
      <c r="Z548">
        <v>86949</v>
      </c>
    </row>
    <row r="549" spans="1:26" x14ac:dyDescent="0.25">
      <c r="A549" t="s">
        <v>778</v>
      </c>
      <c r="B549" t="s">
        <v>26</v>
      </c>
      <c r="C549" t="s">
        <v>27</v>
      </c>
      <c r="H549" s="2">
        <v>45481.477777777778</v>
      </c>
      <c r="I549" t="s">
        <v>128</v>
      </c>
      <c r="Z549">
        <v>86942</v>
      </c>
    </row>
    <row r="550" spans="1:26" x14ac:dyDescent="0.25">
      <c r="A550" t="s">
        <v>779</v>
      </c>
      <c r="B550" t="s">
        <v>26</v>
      </c>
      <c r="C550" t="s">
        <v>27</v>
      </c>
      <c r="H550" s="2">
        <v>45480.761805555558</v>
      </c>
      <c r="I550" t="s">
        <v>128</v>
      </c>
      <c r="Z550">
        <v>86910</v>
      </c>
    </row>
    <row r="551" spans="1:26" x14ac:dyDescent="0.25">
      <c r="A551" t="s">
        <v>780</v>
      </c>
      <c r="B551" t="s">
        <v>472</v>
      </c>
      <c r="C551" t="s">
        <v>27</v>
      </c>
      <c r="E551" t="s">
        <v>207</v>
      </c>
      <c r="H551" s="2">
        <v>45480.732638888891</v>
      </c>
      <c r="I551" t="s">
        <v>289</v>
      </c>
      <c r="Z551">
        <v>86906</v>
      </c>
    </row>
    <row r="552" spans="1:26" x14ac:dyDescent="0.25">
      <c r="A552" t="s">
        <v>783</v>
      </c>
      <c r="B552" t="s">
        <v>26</v>
      </c>
      <c r="C552" t="s">
        <v>27</v>
      </c>
      <c r="H552" s="2">
        <v>45476.517361111109</v>
      </c>
      <c r="I552" t="s">
        <v>128</v>
      </c>
      <c r="Z552">
        <v>86647</v>
      </c>
    </row>
    <row r="553" spans="1:26" x14ac:dyDescent="0.25">
      <c r="A553" t="s">
        <v>784</v>
      </c>
      <c r="B553" t="s">
        <v>26</v>
      </c>
      <c r="C553" t="s">
        <v>27</v>
      </c>
      <c r="H553" s="2">
        <v>45475.754166666666</v>
      </c>
      <c r="I553" t="s">
        <v>289</v>
      </c>
      <c r="Z553">
        <v>86615</v>
      </c>
    </row>
    <row r="554" spans="1:26" x14ac:dyDescent="0.25">
      <c r="A554" t="s">
        <v>785</v>
      </c>
      <c r="B554" t="s">
        <v>26</v>
      </c>
      <c r="C554" t="s">
        <v>27</v>
      </c>
      <c r="H554" s="2">
        <v>45475.634027777778</v>
      </c>
      <c r="I554" t="s">
        <v>289</v>
      </c>
      <c r="Z554">
        <v>86596</v>
      </c>
    </row>
    <row r="555" spans="1:26" x14ac:dyDescent="0.25">
      <c r="A555" t="s">
        <v>786</v>
      </c>
      <c r="B555" t="s">
        <v>26</v>
      </c>
      <c r="C555" t="s">
        <v>27</v>
      </c>
      <c r="H555" s="2">
        <v>45475.565972222219</v>
      </c>
      <c r="I555" t="s">
        <v>36</v>
      </c>
      <c r="Z555">
        <v>86590</v>
      </c>
    </row>
    <row r="556" spans="1:26" x14ac:dyDescent="0.25">
      <c r="A556" t="s">
        <v>787</v>
      </c>
      <c r="B556" t="s">
        <v>26</v>
      </c>
      <c r="C556" t="s">
        <v>27</v>
      </c>
      <c r="H556" s="2">
        <v>45474.503472222219</v>
      </c>
      <c r="I556" t="s">
        <v>289</v>
      </c>
      <c r="Z556">
        <v>86509</v>
      </c>
    </row>
    <row r="557" spans="1:26" x14ac:dyDescent="0.25">
      <c r="A557" t="s">
        <v>129</v>
      </c>
      <c r="C557" t="s">
        <v>27</v>
      </c>
      <c r="E557" t="s">
        <v>229</v>
      </c>
      <c r="H557" s="2">
        <v>45474.474305555559</v>
      </c>
      <c r="I557" t="s">
        <v>36</v>
      </c>
      <c r="Z557">
        <v>86504</v>
      </c>
    </row>
    <row r="558" spans="1:26" x14ac:dyDescent="0.25">
      <c r="A558" t="s">
        <v>477</v>
      </c>
      <c r="B558" t="s">
        <v>370</v>
      </c>
      <c r="C558" t="s">
        <v>27</v>
      </c>
      <c r="E558" t="s">
        <v>478</v>
      </c>
      <c r="H558" s="2">
        <v>45473.668055555558</v>
      </c>
      <c r="I558" t="s">
        <v>289</v>
      </c>
      <c r="Z558">
        <v>86458</v>
      </c>
    </row>
    <row r="559" spans="1:26" x14ac:dyDescent="0.25">
      <c r="A559" t="s">
        <v>788</v>
      </c>
      <c r="B559" t="s">
        <v>26</v>
      </c>
      <c r="C559" t="s">
        <v>27</v>
      </c>
      <c r="H559" s="2">
        <v>45473.59652777778</v>
      </c>
      <c r="I559" t="s">
        <v>289</v>
      </c>
      <c r="Z559">
        <v>86448</v>
      </c>
    </row>
    <row r="560" spans="1:26" x14ac:dyDescent="0.25">
      <c r="A560" t="s">
        <v>393</v>
      </c>
      <c r="B560" t="s">
        <v>370</v>
      </c>
      <c r="C560" t="s">
        <v>27</v>
      </c>
      <c r="E560" t="s">
        <v>789</v>
      </c>
      <c r="G560" t="s">
        <v>790</v>
      </c>
      <c r="H560" s="2">
        <v>45473.573611111111</v>
      </c>
      <c r="I560" t="s">
        <v>289</v>
      </c>
      <c r="Z560">
        <v>86447</v>
      </c>
    </row>
    <row r="561" spans="1:26" x14ac:dyDescent="0.25">
      <c r="A561" t="s">
        <v>129</v>
      </c>
      <c r="C561" t="s">
        <v>27</v>
      </c>
      <c r="E561" t="s">
        <v>40</v>
      </c>
      <c r="H561" s="2">
        <v>45473.393750000003</v>
      </c>
      <c r="I561" t="s">
        <v>289</v>
      </c>
      <c r="Z561">
        <v>86426</v>
      </c>
    </row>
    <row r="562" spans="1:26" x14ac:dyDescent="0.25">
      <c r="A562" t="s">
        <v>791</v>
      </c>
      <c r="B562" t="s">
        <v>43</v>
      </c>
      <c r="C562" t="s">
        <v>27</v>
      </c>
      <c r="E562" t="s">
        <v>83</v>
      </c>
      <c r="G562" t="s">
        <v>792</v>
      </c>
      <c r="H562" s="2">
        <v>45472.854166666664</v>
      </c>
      <c r="I562" t="s">
        <v>289</v>
      </c>
      <c r="Z562">
        <v>86419</v>
      </c>
    </row>
    <row r="563" spans="1:26" x14ac:dyDescent="0.25">
      <c r="A563" t="s">
        <v>793</v>
      </c>
      <c r="B563" t="s">
        <v>276</v>
      </c>
      <c r="C563" t="s">
        <v>27</v>
      </c>
      <c r="E563" t="s">
        <v>277</v>
      </c>
      <c r="G563" t="s">
        <v>728</v>
      </c>
      <c r="H563" s="2">
        <v>45472.753472222219</v>
      </c>
      <c r="I563" t="s">
        <v>289</v>
      </c>
      <c r="Z563">
        <v>86417</v>
      </c>
    </row>
    <row r="564" spans="1:26" x14ac:dyDescent="0.25">
      <c r="A564" t="s">
        <v>794</v>
      </c>
      <c r="B564" t="s">
        <v>26</v>
      </c>
      <c r="C564" t="s">
        <v>27</v>
      </c>
      <c r="H564" s="2">
        <v>45470.589583333334</v>
      </c>
      <c r="I564" t="s">
        <v>128</v>
      </c>
      <c r="Z564">
        <v>86283</v>
      </c>
    </row>
    <row r="565" spans="1:26" x14ac:dyDescent="0.25">
      <c r="A565" t="s">
        <v>795</v>
      </c>
      <c r="B565" t="s">
        <v>43</v>
      </c>
      <c r="C565" t="s">
        <v>27</v>
      </c>
      <c r="E565" t="s">
        <v>54</v>
      </c>
      <c r="G565" t="s">
        <v>796</v>
      </c>
      <c r="H565" s="2">
        <v>45470.451388888891</v>
      </c>
      <c r="I565" t="s">
        <v>782</v>
      </c>
      <c r="Z565">
        <v>86260</v>
      </c>
    </row>
    <row r="566" spans="1:26" x14ac:dyDescent="0.25">
      <c r="A566" t="s">
        <v>797</v>
      </c>
      <c r="B566" t="s">
        <v>26</v>
      </c>
      <c r="C566" t="s">
        <v>27</v>
      </c>
      <c r="H566" s="2">
        <v>45469.781944444447</v>
      </c>
      <c r="I566" t="s">
        <v>782</v>
      </c>
      <c r="Z566">
        <v>86246</v>
      </c>
    </row>
    <row r="567" spans="1:26" x14ac:dyDescent="0.25">
      <c r="A567" t="s">
        <v>798</v>
      </c>
      <c r="B567" t="s">
        <v>26</v>
      </c>
      <c r="C567" t="s">
        <v>27</v>
      </c>
      <c r="H567" s="2">
        <v>45469.695138888892</v>
      </c>
      <c r="I567" t="s">
        <v>782</v>
      </c>
      <c r="Z567">
        <v>86237</v>
      </c>
    </row>
    <row r="568" spans="1:26" x14ac:dyDescent="0.25">
      <c r="A568" t="s">
        <v>799</v>
      </c>
      <c r="C568" t="s">
        <v>27</v>
      </c>
      <c r="E568" t="s">
        <v>157</v>
      </c>
      <c r="H568" s="2">
        <v>45469.42083333333</v>
      </c>
      <c r="I568" t="s">
        <v>128</v>
      </c>
      <c r="Z568">
        <v>86192</v>
      </c>
    </row>
    <row r="569" spans="1:26" x14ac:dyDescent="0.25">
      <c r="A569" t="s">
        <v>800</v>
      </c>
      <c r="B569" t="s">
        <v>26</v>
      </c>
      <c r="C569" t="s">
        <v>27</v>
      </c>
      <c r="H569" s="2">
        <v>45469.390972222223</v>
      </c>
      <c r="I569" t="s">
        <v>128</v>
      </c>
      <c r="Z569">
        <v>86189</v>
      </c>
    </row>
    <row r="570" spans="1:26" x14ac:dyDescent="0.25">
      <c r="A570" t="s">
        <v>801</v>
      </c>
      <c r="B570" t="s">
        <v>26</v>
      </c>
      <c r="C570" t="s">
        <v>27</v>
      </c>
      <c r="H570" s="2">
        <v>45468.53402777778</v>
      </c>
      <c r="I570" t="s">
        <v>128</v>
      </c>
      <c r="Z570">
        <v>86142</v>
      </c>
    </row>
    <row r="571" spans="1:26" x14ac:dyDescent="0.25">
      <c r="A571" t="s">
        <v>803</v>
      </c>
      <c r="B571" t="s">
        <v>26</v>
      </c>
      <c r="C571" t="s">
        <v>27</v>
      </c>
      <c r="H571" s="2">
        <v>45465.581944444442</v>
      </c>
      <c r="I571" t="s">
        <v>289</v>
      </c>
      <c r="Z571">
        <v>86000</v>
      </c>
    </row>
    <row r="572" spans="1:26" x14ac:dyDescent="0.25">
      <c r="A572" t="s">
        <v>804</v>
      </c>
      <c r="B572" t="s">
        <v>26</v>
      </c>
      <c r="C572" t="s">
        <v>27</v>
      </c>
      <c r="H572" s="2">
        <v>45464.79791666667</v>
      </c>
      <c r="I572" t="s">
        <v>128</v>
      </c>
      <c r="Z572">
        <v>85981</v>
      </c>
    </row>
    <row r="573" spans="1:26" x14ac:dyDescent="0.25">
      <c r="A573" t="s">
        <v>805</v>
      </c>
      <c r="B573" t="s">
        <v>26</v>
      </c>
      <c r="C573" t="s">
        <v>27</v>
      </c>
      <c r="H573" s="2">
        <v>45464.67291666667</v>
      </c>
      <c r="I573" t="s">
        <v>128</v>
      </c>
      <c r="Z573">
        <v>85972</v>
      </c>
    </row>
    <row r="574" spans="1:26" x14ac:dyDescent="0.25">
      <c r="A574" t="s">
        <v>151</v>
      </c>
      <c r="C574" t="s">
        <v>27</v>
      </c>
      <c r="E574" t="s">
        <v>75</v>
      </c>
      <c r="H574" s="2">
        <v>45464.003472222219</v>
      </c>
      <c r="I574" t="s">
        <v>289</v>
      </c>
      <c r="Z574">
        <v>85934</v>
      </c>
    </row>
    <row r="575" spans="1:26" x14ac:dyDescent="0.25">
      <c r="A575" t="s">
        <v>806</v>
      </c>
      <c r="B575" t="s">
        <v>43</v>
      </c>
      <c r="C575" t="s">
        <v>27</v>
      </c>
      <c r="E575" t="s">
        <v>807</v>
      </c>
      <c r="G575" t="s">
        <v>808</v>
      </c>
      <c r="H575" s="2">
        <v>45463.883333333331</v>
      </c>
      <c r="I575" t="s">
        <v>289</v>
      </c>
      <c r="Z575">
        <v>85931</v>
      </c>
    </row>
    <row r="576" spans="1:26" x14ac:dyDescent="0.25">
      <c r="A576" t="s">
        <v>809</v>
      </c>
      <c r="B576" t="s">
        <v>26</v>
      </c>
      <c r="C576" t="s">
        <v>27</v>
      </c>
      <c r="H576" s="2">
        <v>45463.512499999997</v>
      </c>
      <c r="I576" t="s">
        <v>289</v>
      </c>
      <c r="Z576">
        <v>85887</v>
      </c>
    </row>
    <row r="577" spans="1:26" x14ac:dyDescent="0.25">
      <c r="A577" t="s">
        <v>810</v>
      </c>
      <c r="B577" t="s">
        <v>26</v>
      </c>
      <c r="C577" t="s">
        <v>27</v>
      </c>
      <c r="H577" s="2">
        <v>45462.779166666667</v>
      </c>
      <c r="I577" t="s">
        <v>128</v>
      </c>
      <c r="Z577">
        <v>85861</v>
      </c>
    </row>
    <row r="578" spans="1:26" x14ac:dyDescent="0.25">
      <c r="A578" t="s">
        <v>811</v>
      </c>
      <c r="B578" t="s">
        <v>276</v>
      </c>
      <c r="C578" t="s">
        <v>27</v>
      </c>
      <c r="E578" t="s">
        <v>812</v>
      </c>
      <c r="H578" s="2">
        <v>45461.604861111111</v>
      </c>
      <c r="I578" t="s">
        <v>289</v>
      </c>
      <c r="Z578">
        <v>85776</v>
      </c>
    </row>
    <row r="579" spans="1:26" x14ac:dyDescent="0.25">
      <c r="A579" t="s">
        <v>813</v>
      </c>
      <c r="B579" t="s">
        <v>26</v>
      </c>
      <c r="C579" t="s">
        <v>27</v>
      </c>
      <c r="H579" s="2">
        <v>45461.446527777778</v>
      </c>
      <c r="I579" t="s">
        <v>289</v>
      </c>
      <c r="Z579">
        <v>85755</v>
      </c>
    </row>
    <row r="580" spans="1:26" x14ac:dyDescent="0.25">
      <c r="A580" t="s">
        <v>814</v>
      </c>
      <c r="B580" t="s">
        <v>26</v>
      </c>
      <c r="C580" t="s">
        <v>27</v>
      </c>
      <c r="H580" s="2">
        <v>45460.456250000003</v>
      </c>
      <c r="I580" t="s">
        <v>782</v>
      </c>
      <c r="Z580">
        <v>85669</v>
      </c>
    </row>
    <row r="581" spans="1:26" x14ac:dyDescent="0.25">
      <c r="A581" t="s">
        <v>815</v>
      </c>
      <c r="B581" t="s">
        <v>26</v>
      </c>
      <c r="C581" t="s">
        <v>27</v>
      </c>
      <c r="H581" s="2">
        <v>45458.464583333334</v>
      </c>
      <c r="I581" t="s">
        <v>782</v>
      </c>
      <c r="Z581">
        <v>85553</v>
      </c>
    </row>
    <row r="582" spans="1:26" x14ac:dyDescent="0.25">
      <c r="A582" t="s">
        <v>816</v>
      </c>
      <c r="B582" t="s">
        <v>276</v>
      </c>
      <c r="C582" t="s">
        <v>27</v>
      </c>
      <c r="E582" t="s">
        <v>740</v>
      </c>
      <c r="H582" s="2">
        <v>45457.961805555555</v>
      </c>
      <c r="I582" t="s">
        <v>782</v>
      </c>
      <c r="Z582">
        <v>85546</v>
      </c>
    </row>
    <row r="583" spans="1:26" x14ac:dyDescent="0.25">
      <c r="A583" t="s">
        <v>151</v>
      </c>
      <c r="C583" t="s">
        <v>27</v>
      </c>
      <c r="E583" t="s">
        <v>111</v>
      </c>
      <c r="H583" s="2">
        <v>45457.80972222222</v>
      </c>
      <c r="I583" t="s">
        <v>289</v>
      </c>
      <c r="Z583">
        <v>85531</v>
      </c>
    </row>
    <row r="584" spans="1:26" x14ac:dyDescent="0.25">
      <c r="A584" t="s">
        <v>129</v>
      </c>
      <c r="C584" t="s">
        <v>27</v>
      </c>
      <c r="E584" t="s">
        <v>40</v>
      </c>
      <c r="H584" s="2">
        <v>45457.754166666666</v>
      </c>
      <c r="I584" t="s">
        <v>289</v>
      </c>
      <c r="Z584">
        <v>85527</v>
      </c>
    </row>
    <row r="585" spans="1:26" x14ac:dyDescent="0.25">
      <c r="A585" t="s">
        <v>817</v>
      </c>
      <c r="B585" t="s">
        <v>26</v>
      </c>
      <c r="C585" t="s">
        <v>27</v>
      </c>
      <c r="H585" s="2">
        <v>45456.453472222223</v>
      </c>
      <c r="I585" t="s">
        <v>128</v>
      </c>
      <c r="Z585">
        <v>85410</v>
      </c>
    </row>
    <row r="586" spans="1:26" x14ac:dyDescent="0.25">
      <c r="A586" t="s">
        <v>818</v>
      </c>
      <c r="B586" t="s">
        <v>276</v>
      </c>
      <c r="C586" t="s">
        <v>27</v>
      </c>
      <c r="E586" t="s">
        <v>277</v>
      </c>
      <c r="G586" t="s">
        <v>728</v>
      </c>
      <c r="H586" s="2">
        <v>45454.997916666667</v>
      </c>
      <c r="I586" t="s">
        <v>781</v>
      </c>
      <c r="Z586">
        <v>85349</v>
      </c>
    </row>
    <row r="587" spans="1:26" x14ac:dyDescent="0.25">
      <c r="A587" t="s">
        <v>819</v>
      </c>
      <c r="C587" t="s">
        <v>27</v>
      </c>
      <c r="E587" t="s">
        <v>90</v>
      </c>
      <c r="H587" s="2">
        <v>45454.804166666669</v>
      </c>
      <c r="I587" t="s">
        <v>289</v>
      </c>
      <c r="Z587">
        <v>85334</v>
      </c>
    </row>
    <row r="588" spans="1:26" x14ac:dyDescent="0.25">
      <c r="A588" t="s">
        <v>820</v>
      </c>
      <c r="B588" t="s">
        <v>370</v>
      </c>
      <c r="C588" t="s">
        <v>27</v>
      </c>
      <c r="E588" t="s">
        <v>116</v>
      </c>
      <c r="H588" s="2">
        <v>45454.470833333333</v>
      </c>
      <c r="I588" t="s">
        <v>289</v>
      </c>
      <c r="K588" t="s">
        <v>30</v>
      </c>
      <c r="L588" t="s">
        <v>31</v>
      </c>
      <c r="M588">
        <v>104108031</v>
      </c>
      <c r="N588">
        <v>15719003148</v>
      </c>
      <c r="O588" t="s">
        <v>592</v>
      </c>
      <c r="Z588">
        <v>85281</v>
      </c>
    </row>
    <row r="589" spans="1:26" x14ac:dyDescent="0.25">
      <c r="A589" t="s">
        <v>821</v>
      </c>
      <c r="B589" t="s">
        <v>276</v>
      </c>
      <c r="C589" t="s">
        <v>27</v>
      </c>
      <c r="E589" t="s">
        <v>75</v>
      </c>
      <c r="G589" t="s">
        <v>822</v>
      </c>
      <c r="H589" s="2">
        <v>45453.92083333333</v>
      </c>
      <c r="I589" t="s">
        <v>289</v>
      </c>
      <c r="Z589">
        <v>85261</v>
      </c>
    </row>
    <row r="590" spans="1:26" x14ac:dyDescent="0.25">
      <c r="A590" t="s">
        <v>824</v>
      </c>
      <c r="B590" t="s">
        <v>26</v>
      </c>
      <c r="C590" t="s">
        <v>27</v>
      </c>
      <c r="H590" s="2">
        <v>45452.481249999997</v>
      </c>
      <c r="I590" t="s">
        <v>825</v>
      </c>
      <c r="Z590">
        <v>85142</v>
      </c>
    </row>
    <row r="591" spans="1:26" x14ac:dyDescent="0.25">
      <c r="A591" t="s">
        <v>826</v>
      </c>
      <c r="B591" t="s">
        <v>26</v>
      </c>
      <c r="C591" t="s">
        <v>27</v>
      </c>
      <c r="H591" s="2">
        <v>45452.447222222225</v>
      </c>
      <c r="I591" t="s">
        <v>128</v>
      </c>
      <c r="Z591">
        <v>85134</v>
      </c>
    </row>
    <row r="592" spans="1:26" x14ac:dyDescent="0.25">
      <c r="A592" t="s">
        <v>827</v>
      </c>
      <c r="B592" t="s">
        <v>26</v>
      </c>
      <c r="C592" t="s">
        <v>27</v>
      </c>
      <c r="H592" s="2">
        <v>45451.611805555556</v>
      </c>
      <c r="I592" t="s">
        <v>289</v>
      </c>
      <c r="Z592">
        <v>85114</v>
      </c>
    </row>
    <row r="593" spans="1:26" x14ac:dyDescent="0.25">
      <c r="A593" t="s">
        <v>828</v>
      </c>
      <c r="C593" t="s">
        <v>27</v>
      </c>
      <c r="E593" t="s">
        <v>546</v>
      </c>
      <c r="H593" s="2">
        <v>45451.536805555559</v>
      </c>
      <c r="I593" t="s">
        <v>825</v>
      </c>
      <c r="Z593">
        <v>85109</v>
      </c>
    </row>
    <row r="594" spans="1:26" x14ac:dyDescent="0.25">
      <c r="A594" t="s">
        <v>829</v>
      </c>
      <c r="B594" t="s">
        <v>26</v>
      </c>
      <c r="C594" t="s">
        <v>27</v>
      </c>
      <c r="H594" s="2">
        <v>45450.706944444442</v>
      </c>
      <c r="I594" t="s">
        <v>782</v>
      </c>
      <c r="Z594">
        <v>85070</v>
      </c>
    </row>
    <row r="595" spans="1:26" x14ac:dyDescent="0.25">
      <c r="A595" t="s">
        <v>830</v>
      </c>
      <c r="B595" t="s">
        <v>26</v>
      </c>
      <c r="C595" t="s">
        <v>27</v>
      </c>
      <c r="H595" s="2">
        <v>45450.671527777777</v>
      </c>
      <c r="I595" t="s">
        <v>782</v>
      </c>
      <c r="Z595">
        <v>85065</v>
      </c>
    </row>
    <row r="596" spans="1:26" x14ac:dyDescent="0.25">
      <c r="A596" t="s">
        <v>831</v>
      </c>
      <c r="B596" t="s">
        <v>541</v>
      </c>
      <c r="C596" t="s">
        <v>44</v>
      </c>
      <c r="E596" t="s">
        <v>41</v>
      </c>
      <c r="G596" t="s">
        <v>832</v>
      </c>
      <c r="H596" s="2">
        <v>45448.897222222222</v>
      </c>
      <c r="I596" t="s">
        <v>782</v>
      </c>
      <c r="Z596">
        <v>84957</v>
      </c>
    </row>
    <row r="597" spans="1:26" x14ac:dyDescent="0.25">
      <c r="A597" t="s">
        <v>139</v>
      </c>
      <c r="B597" t="s">
        <v>93</v>
      </c>
      <c r="C597" t="s">
        <v>27</v>
      </c>
      <c r="E597" t="s">
        <v>122</v>
      </c>
      <c r="H597" s="2">
        <v>45448.770138888889</v>
      </c>
      <c r="I597" t="s">
        <v>782</v>
      </c>
      <c r="Z597">
        <v>84947</v>
      </c>
    </row>
    <row r="598" spans="1:26" x14ac:dyDescent="0.25">
      <c r="A598" t="s">
        <v>833</v>
      </c>
      <c r="B598" t="s">
        <v>26</v>
      </c>
      <c r="C598" t="s">
        <v>27</v>
      </c>
      <c r="H598" s="2">
        <v>45448.715277777781</v>
      </c>
      <c r="I598" t="s">
        <v>834</v>
      </c>
      <c r="Z598">
        <v>84939</v>
      </c>
    </row>
    <row r="599" spans="1:26" x14ac:dyDescent="0.25">
      <c r="A599" t="s">
        <v>835</v>
      </c>
      <c r="C599" t="s">
        <v>27</v>
      </c>
      <c r="E599" t="s">
        <v>39</v>
      </c>
      <c r="H599" s="2">
        <v>45448.650694444441</v>
      </c>
      <c r="I599" t="s">
        <v>781</v>
      </c>
      <c r="Z599">
        <v>84931</v>
      </c>
    </row>
    <row r="600" spans="1:26" x14ac:dyDescent="0.25">
      <c r="A600" t="s">
        <v>837</v>
      </c>
      <c r="B600" t="s">
        <v>26</v>
      </c>
      <c r="C600" t="s">
        <v>27</v>
      </c>
      <c r="H600" s="2">
        <v>45446.479861111111</v>
      </c>
      <c r="I600" t="s">
        <v>128</v>
      </c>
      <c r="Z600">
        <v>84735</v>
      </c>
    </row>
    <row r="601" spans="1:26" x14ac:dyDescent="0.25">
      <c r="A601" t="s">
        <v>838</v>
      </c>
      <c r="B601" t="s">
        <v>26</v>
      </c>
      <c r="C601" t="s">
        <v>27</v>
      </c>
      <c r="H601" s="2">
        <v>45446.456250000003</v>
      </c>
      <c r="I601" t="s">
        <v>289</v>
      </c>
      <c r="Z601">
        <v>84731</v>
      </c>
    </row>
    <row r="602" spans="1:26" x14ac:dyDescent="0.25">
      <c r="A602" t="s">
        <v>151</v>
      </c>
      <c r="C602" t="s">
        <v>27</v>
      </c>
      <c r="E602" t="s">
        <v>41</v>
      </c>
      <c r="H602" s="2">
        <v>45445.604166666664</v>
      </c>
      <c r="I602" t="s">
        <v>128</v>
      </c>
      <c r="Z602">
        <v>84686</v>
      </c>
    </row>
    <row r="603" spans="1:26" x14ac:dyDescent="0.25">
      <c r="A603" t="s">
        <v>839</v>
      </c>
      <c r="B603" t="s">
        <v>26</v>
      </c>
      <c r="C603" t="s">
        <v>27</v>
      </c>
      <c r="H603" s="2">
        <v>45443.612500000003</v>
      </c>
      <c r="I603" t="s">
        <v>782</v>
      </c>
      <c r="Z603">
        <v>84574</v>
      </c>
    </row>
    <row r="604" spans="1:26" x14ac:dyDescent="0.25">
      <c r="A604" t="s">
        <v>840</v>
      </c>
      <c r="B604" t="s">
        <v>26</v>
      </c>
      <c r="C604" t="s">
        <v>27</v>
      </c>
      <c r="H604" s="2">
        <v>45443.434027777781</v>
      </c>
      <c r="I604" t="s">
        <v>834</v>
      </c>
      <c r="Z604">
        <v>84547</v>
      </c>
    </row>
    <row r="605" spans="1:26" x14ac:dyDescent="0.25">
      <c r="A605" t="s">
        <v>841</v>
      </c>
      <c r="B605" t="s">
        <v>26</v>
      </c>
      <c r="C605" t="s">
        <v>27</v>
      </c>
      <c r="H605" s="2">
        <v>45443.388888888891</v>
      </c>
      <c r="I605" t="s">
        <v>782</v>
      </c>
      <c r="Z605">
        <v>84534</v>
      </c>
    </row>
    <row r="606" spans="1:26" x14ac:dyDescent="0.25">
      <c r="A606" t="s">
        <v>2229</v>
      </c>
      <c r="C606" t="s">
        <v>27</v>
      </c>
      <c r="E606" t="s">
        <v>844</v>
      </c>
      <c r="H606" s="2">
        <v>45441.749305555553</v>
      </c>
      <c r="I606" t="s">
        <v>289</v>
      </c>
      <c r="Z606">
        <v>84467</v>
      </c>
    </row>
    <row r="607" spans="1:26" x14ac:dyDescent="0.25">
      <c r="A607" t="s">
        <v>846</v>
      </c>
      <c r="B607" t="s">
        <v>26</v>
      </c>
      <c r="C607" t="s">
        <v>27</v>
      </c>
      <c r="H607" s="2">
        <v>45440.385416666664</v>
      </c>
      <c r="I607" t="s">
        <v>289</v>
      </c>
      <c r="Z607">
        <v>84328</v>
      </c>
    </row>
    <row r="608" spans="1:26" x14ac:dyDescent="0.25">
      <c r="A608" t="s">
        <v>847</v>
      </c>
      <c r="B608" t="s">
        <v>26</v>
      </c>
      <c r="C608" t="s">
        <v>27</v>
      </c>
      <c r="H608" s="2">
        <v>45439.59097222222</v>
      </c>
      <c r="I608" t="s">
        <v>289</v>
      </c>
      <c r="Z608">
        <v>84286</v>
      </c>
    </row>
    <row r="609" spans="1:26" x14ac:dyDescent="0.25">
      <c r="A609" t="s">
        <v>848</v>
      </c>
      <c r="B609" t="s">
        <v>26</v>
      </c>
      <c r="C609" t="s">
        <v>27</v>
      </c>
      <c r="H609" s="2">
        <v>45439.572222222225</v>
      </c>
      <c r="I609" t="s">
        <v>128</v>
      </c>
      <c r="Z609">
        <v>84283</v>
      </c>
    </row>
    <row r="610" spans="1:26" x14ac:dyDescent="0.25">
      <c r="A610" t="s">
        <v>393</v>
      </c>
      <c r="B610" t="s">
        <v>93</v>
      </c>
      <c r="C610" t="s">
        <v>27</v>
      </c>
      <c r="E610" t="s">
        <v>74</v>
      </c>
      <c r="H610" s="2">
        <v>45438.644444444442</v>
      </c>
      <c r="I610" t="s">
        <v>782</v>
      </c>
      <c r="Z610">
        <v>84235</v>
      </c>
    </row>
    <row r="611" spans="1:26" x14ac:dyDescent="0.25">
      <c r="A611" t="s">
        <v>849</v>
      </c>
      <c r="B611" t="s">
        <v>26</v>
      </c>
      <c r="C611" t="s">
        <v>27</v>
      </c>
      <c r="H611" s="2">
        <v>45438.513194444444</v>
      </c>
      <c r="I611" t="s">
        <v>782</v>
      </c>
      <c r="Z611">
        <v>84219</v>
      </c>
    </row>
    <row r="612" spans="1:26" x14ac:dyDescent="0.25">
      <c r="A612" t="s">
        <v>831</v>
      </c>
      <c r="B612" t="s">
        <v>541</v>
      </c>
      <c r="C612" t="s">
        <v>27</v>
      </c>
      <c r="E612" t="s">
        <v>41</v>
      </c>
      <c r="G612" t="s">
        <v>832</v>
      </c>
      <c r="H612" s="2">
        <v>45438.347916666666</v>
      </c>
      <c r="I612" t="s">
        <v>782</v>
      </c>
      <c r="Z612">
        <v>84195</v>
      </c>
    </row>
    <row r="613" spans="1:26" x14ac:dyDescent="0.25">
      <c r="A613" t="s">
        <v>850</v>
      </c>
      <c r="B613" t="s">
        <v>26</v>
      </c>
      <c r="C613" t="s">
        <v>27</v>
      </c>
      <c r="H613" s="2">
        <v>45437.86041666667</v>
      </c>
      <c r="I613" t="s">
        <v>782</v>
      </c>
      <c r="Z613">
        <v>84189</v>
      </c>
    </row>
    <row r="614" spans="1:26" x14ac:dyDescent="0.25">
      <c r="A614" t="s">
        <v>129</v>
      </c>
      <c r="C614" t="s">
        <v>27</v>
      </c>
      <c r="E614" t="s">
        <v>852</v>
      </c>
      <c r="H614" s="2">
        <v>45434.738888888889</v>
      </c>
      <c r="I614" t="s">
        <v>289</v>
      </c>
      <c r="Z614">
        <v>83947</v>
      </c>
    </row>
    <row r="615" spans="1:26" x14ac:dyDescent="0.25">
      <c r="A615" t="s">
        <v>802</v>
      </c>
      <c r="B615" t="s">
        <v>26</v>
      </c>
      <c r="C615" t="s">
        <v>27</v>
      </c>
      <c r="H615" s="2">
        <v>45434.696527777778</v>
      </c>
      <c r="I615" t="s">
        <v>289</v>
      </c>
      <c r="Z615">
        <v>83942</v>
      </c>
    </row>
    <row r="616" spans="1:26" x14ac:dyDescent="0.25">
      <c r="A616" t="s">
        <v>853</v>
      </c>
      <c r="B616" t="s">
        <v>26</v>
      </c>
      <c r="C616" t="s">
        <v>27</v>
      </c>
      <c r="H616" s="2">
        <v>45434.663194444445</v>
      </c>
      <c r="I616" t="s">
        <v>289</v>
      </c>
      <c r="Z616">
        <v>83936</v>
      </c>
    </row>
    <row r="617" spans="1:26" x14ac:dyDescent="0.25">
      <c r="A617" t="s">
        <v>854</v>
      </c>
      <c r="B617" t="s">
        <v>541</v>
      </c>
      <c r="C617" t="s">
        <v>27</v>
      </c>
      <c r="E617" t="s">
        <v>39</v>
      </c>
      <c r="H617" s="2">
        <v>45433.90347222222</v>
      </c>
      <c r="I617" t="s">
        <v>128</v>
      </c>
      <c r="K617" t="s">
        <v>30</v>
      </c>
      <c r="L617" t="s">
        <v>31</v>
      </c>
      <c r="M617">
        <v>55887083</v>
      </c>
      <c r="N617">
        <v>9754618982</v>
      </c>
      <c r="O617" t="s">
        <v>123</v>
      </c>
      <c r="Z617">
        <v>83888</v>
      </c>
    </row>
    <row r="618" spans="1:26" x14ac:dyDescent="0.25">
      <c r="A618" t="s">
        <v>855</v>
      </c>
      <c r="B618" t="s">
        <v>43</v>
      </c>
      <c r="C618" t="s">
        <v>27</v>
      </c>
      <c r="E618" t="s">
        <v>260</v>
      </c>
      <c r="G618" t="s">
        <v>856</v>
      </c>
      <c r="H618" s="2">
        <v>45433.633333333331</v>
      </c>
      <c r="I618" t="s">
        <v>289</v>
      </c>
      <c r="K618" t="s">
        <v>30</v>
      </c>
      <c r="L618" t="s">
        <v>31</v>
      </c>
      <c r="M618">
        <v>55887089</v>
      </c>
      <c r="N618">
        <v>12886132963</v>
      </c>
      <c r="O618" t="s">
        <v>857</v>
      </c>
      <c r="Z618">
        <v>83850</v>
      </c>
    </row>
    <row r="619" spans="1:26" x14ac:dyDescent="0.25">
      <c r="A619" t="s">
        <v>858</v>
      </c>
      <c r="B619" t="s">
        <v>26</v>
      </c>
      <c r="C619" t="s">
        <v>27</v>
      </c>
      <c r="H619" s="2">
        <v>45433.620138888888</v>
      </c>
      <c r="I619" t="s">
        <v>289</v>
      </c>
      <c r="Z619">
        <v>83844</v>
      </c>
    </row>
    <row r="620" spans="1:26" x14ac:dyDescent="0.25">
      <c r="A620" t="s">
        <v>860</v>
      </c>
      <c r="B620" t="s">
        <v>26</v>
      </c>
      <c r="C620" t="s">
        <v>27</v>
      </c>
      <c r="H620" s="2">
        <v>45433.51458333333</v>
      </c>
      <c r="I620" t="s">
        <v>289</v>
      </c>
      <c r="Z620">
        <v>83823</v>
      </c>
    </row>
    <row r="621" spans="1:26" x14ac:dyDescent="0.25">
      <c r="A621" t="s">
        <v>861</v>
      </c>
      <c r="B621" t="s">
        <v>26</v>
      </c>
      <c r="C621" t="s">
        <v>27</v>
      </c>
      <c r="H621" s="2">
        <v>45433.511111111111</v>
      </c>
      <c r="I621" t="s">
        <v>128</v>
      </c>
      <c r="Z621">
        <v>83821</v>
      </c>
    </row>
    <row r="622" spans="1:26" x14ac:dyDescent="0.25">
      <c r="A622" t="s">
        <v>862</v>
      </c>
      <c r="B622" t="s">
        <v>370</v>
      </c>
      <c r="C622" t="s">
        <v>27</v>
      </c>
      <c r="E622" t="s">
        <v>863</v>
      </c>
      <c r="G622" t="s">
        <v>864</v>
      </c>
      <c r="H622" s="2">
        <v>45432.913888888892</v>
      </c>
      <c r="I622" t="s">
        <v>289</v>
      </c>
      <c r="Z622">
        <v>83787</v>
      </c>
    </row>
    <row r="623" spans="1:26" x14ac:dyDescent="0.25">
      <c r="A623" t="s">
        <v>865</v>
      </c>
      <c r="B623" t="s">
        <v>26</v>
      </c>
      <c r="C623" t="s">
        <v>27</v>
      </c>
      <c r="E623" t="s">
        <v>79</v>
      </c>
      <c r="G623" t="s">
        <v>866</v>
      </c>
      <c r="H623" s="2">
        <v>45432.51458333333</v>
      </c>
      <c r="I623" t="s">
        <v>782</v>
      </c>
      <c r="Z623">
        <v>83726</v>
      </c>
    </row>
    <row r="624" spans="1:26" x14ac:dyDescent="0.25">
      <c r="A624" t="s">
        <v>526</v>
      </c>
      <c r="B624" t="s">
        <v>26</v>
      </c>
      <c r="C624" t="s">
        <v>27</v>
      </c>
      <c r="H624" s="2">
        <v>45432.405555555553</v>
      </c>
      <c r="I624" t="s">
        <v>782</v>
      </c>
      <c r="Z624">
        <v>83707</v>
      </c>
    </row>
    <row r="625" spans="1:26" x14ac:dyDescent="0.25">
      <c r="A625" t="s">
        <v>867</v>
      </c>
      <c r="B625" t="s">
        <v>370</v>
      </c>
      <c r="C625" t="s">
        <v>27</v>
      </c>
      <c r="E625" t="s">
        <v>868</v>
      </c>
      <c r="H625" s="2">
        <v>45430.370833333334</v>
      </c>
      <c r="I625" t="s">
        <v>782</v>
      </c>
      <c r="Z625">
        <v>83567</v>
      </c>
    </row>
    <row r="626" spans="1:26" x14ac:dyDescent="0.25">
      <c r="A626" t="s">
        <v>869</v>
      </c>
      <c r="B626" t="s">
        <v>26</v>
      </c>
      <c r="C626" t="s">
        <v>27</v>
      </c>
      <c r="H626" s="2">
        <v>45429.768055555556</v>
      </c>
      <c r="I626" t="s">
        <v>781</v>
      </c>
      <c r="Z626">
        <v>83543</v>
      </c>
    </row>
    <row r="627" spans="1:26" x14ac:dyDescent="0.25">
      <c r="A627" t="s">
        <v>870</v>
      </c>
      <c r="B627" t="s">
        <v>26</v>
      </c>
      <c r="C627" t="s">
        <v>27</v>
      </c>
      <c r="H627" s="2">
        <v>45428.71875</v>
      </c>
      <c r="I627" t="s">
        <v>289</v>
      </c>
      <c r="Z627">
        <v>83448</v>
      </c>
    </row>
    <row r="628" spans="1:26" x14ac:dyDescent="0.25">
      <c r="A628" t="s">
        <v>871</v>
      </c>
      <c r="B628" t="s">
        <v>26</v>
      </c>
      <c r="C628" t="s">
        <v>27</v>
      </c>
      <c r="H628" s="2">
        <v>45427.685416666667</v>
      </c>
      <c r="I628" t="s">
        <v>782</v>
      </c>
      <c r="Z628">
        <v>83353</v>
      </c>
    </row>
    <row r="629" spans="1:26" x14ac:dyDescent="0.25">
      <c r="A629" t="s">
        <v>872</v>
      </c>
      <c r="B629" t="s">
        <v>370</v>
      </c>
      <c r="C629" t="s">
        <v>27</v>
      </c>
      <c r="E629" t="s">
        <v>40</v>
      </c>
      <c r="H629" s="2">
        <v>45427.637499999997</v>
      </c>
      <c r="I629" t="s">
        <v>128</v>
      </c>
      <c r="Z629">
        <v>83343</v>
      </c>
    </row>
    <row r="630" spans="1:26" x14ac:dyDescent="0.25">
      <c r="A630" t="s">
        <v>151</v>
      </c>
      <c r="C630" t="s">
        <v>27</v>
      </c>
      <c r="E630" t="s">
        <v>122</v>
      </c>
      <c r="H630" s="2">
        <v>45427.636111111111</v>
      </c>
      <c r="I630" t="s">
        <v>128</v>
      </c>
      <c r="Z630">
        <v>83342</v>
      </c>
    </row>
    <row r="631" spans="1:26" x14ac:dyDescent="0.25">
      <c r="A631" t="s">
        <v>873</v>
      </c>
      <c r="B631" t="s">
        <v>26</v>
      </c>
      <c r="C631" t="s">
        <v>27</v>
      </c>
      <c r="H631" s="2">
        <v>45427.57916666667</v>
      </c>
      <c r="I631" t="s">
        <v>128</v>
      </c>
      <c r="Z631">
        <v>83332</v>
      </c>
    </row>
    <row r="632" spans="1:26" x14ac:dyDescent="0.25">
      <c r="A632" t="s">
        <v>874</v>
      </c>
      <c r="B632" t="s">
        <v>26</v>
      </c>
      <c r="C632" t="s">
        <v>27</v>
      </c>
      <c r="H632" s="2">
        <v>45427.37777777778</v>
      </c>
      <c r="I632" t="s">
        <v>128</v>
      </c>
      <c r="Z632">
        <v>83300</v>
      </c>
    </row>
    <row r="633" spans="1:26" x14ac:dyDescent="0.25">
      <c r="A633" t="s">
        <v>875</v>
      </c>
      <c r="B633" t="s">
        <v>276</v>
      </c>
      <c r="C633" t="s">
        <v>103</v>
      </c>
      <c r="E633" t="s">
        <v>74</v>
      </c>
      <c r="H633" s="2">
        <v>45426.945833333331</v>
      </c>
      <c r="I633" t="s">
        <v>782</v>
      </c>
      <c r="K633" t="s">
        <v>30</v>
      </c>
      <c r="L633" t="s">
        <v>31</v>
      </c>
      <c r="M633">
        <v>67131912</v>
      </c>
      <c r="N633">
        <v>11953101652</v>
      </c>
      <c r="O633" t="s">
        <v>876</v>
      </c>
      <c r="Z633">
        <v>83296</v>
      </c>
    </row>
    <row r="634" spans="1:26" x14ac:dyDescent="0.25">
      <c r="A634" t="s">
        <v>877</v>
      </c>
      <c r="B634" t="s">
        <v>26</v>
      </c>
      <c r="C634" t="s">
        <v>27</v>
      </c>
      <c r="H634" s="2">
        <v>45426.736111111109</v>
      </c>
      <c r="I634" t="s">
        <v>834</v>
      </c>
      <c r="Z634">
        <v>83273</v>
      </c>
    </row>
    <row r="635" spans="1:26" x14ac:dyDescent="0.25">
      <c r="A635" t="s">
        <v>878</v>
      </c>
      <c r="B635" t="s">
        <v>26</v>
      </c>
      <c r="C635" t="s">
        <v>27</v>
      </c>
      <c r="H635" s="2">
        <v>45425.75</v>
      </c>
      <c r="I635" t="s">
        <v>782</v>
      </c>
      <c r="Z635">
        <v>83193</v>
      </c>
    </row>
    <row r="636" spans="1:26" x14ac:dyDescent="0.25">
      <c r="A636" t="s">
        <v>879</v>
      </c>
      <c r="B636" t="s">
        <v>26</v>
      </c>
      <c r="C636" t="s">
        <v>27</v>
      </c>
      <c r="H636" s="2">
        <v>45425.636111111111</v>
      </c>
      <c r="I636" t="s">
        <v>782</v>
      </c>
      <c r="Z636">
        <v>83175</v>
      </c>
    </row>
    <row r="637" spans="1:26" x14ac:dyDescent="0.25">
      <c r="A637" t="s">
        <v>880</v>
      </c>
      <c r="B637" t="s">
        <v>26</v>
      </c>
      <c r="C637" t="s">
        <v>27</v>
      </c>
      <c r="H637" s="2">
        <v>45425.431944444441</v>
      </c>
      <c r="I637" t="s">
        <v>289</v>
      </c>
      <c r="Z637">
        <v>83135</v>
      </c>
    </row>
    <row r="638" spans="1:26" x14ac:dyDescent="0.25">
      <c r="A638" t="s">
        <v>881</v>
      </c>
      <c r="B638" t="s">
        <v>26</v>
      </c>
      <c r="C638" t="s">
        <v>27</v>
      </c>
      <c r="H638" s="2">
        <v>45424.520833333336</v>
      </c>
      <c r="I638" t="s">
        <v>289</v>
      </c>
      <c r="Z638">
        <v>83079</v>
      </c>
    </row>
    <row r="639" spans="1:26" x14ac:dyDescent="0.25">
      <c r="A639" t="s">
        <v>882</v>
      </c>
      <c r="B639" t="s">
        <v>26</v>
      </c>
      <c r="C639" t="s">
        <v>27</v>
      </c>
      <c r="H639" s="2">
        <v>45424.504861111112</v>
      </c>
      <c r="I639" t="s">
        <v>289</v>
      </c>
      <c r="Z639">
        <v>83078</v>
      </c>
    </row>
    <row r="640" spans="1:26" x14ac:dyDescent="0.25">
      <c r="A640" t="s">
        <v>883</v>
      </c>
      <c r="B640" t="s">
        <v>43</v>
      </c>
      <c r="C640" t="s">
        <v>27</v>
      </c>
      <c r="E640" t="s">
        <v>72</v>
      </c>
      <c r="G640" t="s">
        <v>884</v>
      </c>
      <c r="H640" s="2">
        <v>45423.605555555558</v>
      </c>
      <c r="I640" t="s">
        <v>128</v>
      </c>
      <c r="Z640">
        <v>83044</v>
      </c>
    </row>
    <row r="641" spans="1:26" x14ac:dyDescent="0.25">
      <c r="A641" t="s">
        <v>845</v>
      </c>
      <c r="B641" t="s">
        <v>370</v>
      </c>
      <c r="C641" t="s">
        <v>27</v>
      </c>
      <c r="E641" t="s">
        <v>885</v>
      </c>
      <c r="G641" t="s">
        <v>54</v>
      </c>
      <c r="H641" s="2">
        <v>45423.484722222223</v>
      </c>
      <c r="I641" t="s">
        <v>128</v>
      </c>
      <c r="Z641">
        <v>83034</v>
      </c>
    </row>
    <row r="642" spans="1:26" x14ac:dyDescent="0.25">
      <c r="A642" t="s">
        <v>477</v>
      </c>
      <c r="B642" t="s">
        <v>370</v>
      </c>
      <c r="C642" t="s">
        <v>27</v>
      </c>
      <c r="E642" t="s">
        <v>478</v>
      </c>
      <c r="H642" s="2">
        <v>45423.411111111112</v>
      </c>
      <c r="I642" t="s">
        <v>128</v>
      </c>
      <c r="K642" t="s">
        <v>30</v>
      </c>
      <c r="L642" t="s">
        <v>31</v>
      </c>
      <c r="M642">
        <v>55887083</v>
      </c>
      <c r="N642">
        <v>9754618980</v>
      </c>
      <c r="O642" t="s">
        <v>123</v>
      </c>
      <c r="Z642">
        <v>83024</v>
      </c>
    </row>
    <row r="643" spans="1:26" x14ac:dyDescent="0.25">
      <c r="A643" t="s">
        <v>886</v>
      </c>
      <c r="B643" t="s">
        <v>26</v>
      </c>
      <c r="C643" t="s">
        <v>27</v>
      </c>
      <c r="H643" s="2">
        <v>45422.800694444442</v>
      </c>
      <c r="I643" t="s">
        <v>289</v>
      </c>
      <c r="Z643">
        <v>83016</v>
      </c>
    </row>
    <row r="644" spans="1:26" x14ac:dyDescent="0.25">
      <c r="A644" t="s">
        <v>887</v>
      </c>
      <c r="B644" t="s">
        <v>26</v>
      </c>
      <c r="C644" t="s">
        <v>27</v>
      </c>
      <c r="H644" s="2">
        <v>45422.746527777781</v>
      </c>
      <c r="I644" t="s">
        <v>289</v>
      </c>
      <c r="Z644">
        <v>83012</v>
      </c>
    </row>
    <row r="645" spans="1:26" x14ac:dyDescent="0.25">
      <c r="A645" t="s">
        <v>485</v>
      </c>
      <c r="B645" t="s">
        <v>26</v>
      </c>
      <c r="C645" t="s">
        <v>27</v>
      </c>
      <c r="H645" s="2">
        <v>45422.533333333333</v>
      </c>
      <c r="I645" t="s">
        <v>289</v>
      </c>
      <c r="Z645">
        <v>82984</v>
      </c>
    </row>
    <row r="646" spans="1:26" x14ac:dyDescent="0.25">
      <c r="A646" t="s">
        <v>888</v>
      </c>
      <c r="B646" t="s">
        <v>370</v>
      </c>
      <c r="C646" t="s">
        <v>27</v>
      </c>
      <c r="E646" t="s">
        <v>92</v>
      </c>
      <c r="H646" s="2">
        <v>45420.800000000003</v>
      </c>
      <c r="I646" t="s">
        <v>128</v>
      </c>
      <c r="Z646">
        <v>82906</v>
      </c>
    </row>
    <row r="647" spans="1:26" x14ac:dyDescent="0.25">
      <c r="A647" t="s">
        <v>151</v>
      </c>
      <c r="C647" t="s">
        <v>27</v>
      </c>
      <c r="E647" t="s">
        <v>117</v>
      </c>
      <c r="H647" s="2">
        <v>45420.490277777775</v>
      </c>
      <c r="I647" t="s">
        <v>782</v>
      </c>
      <c r="Z647">
        <v>82859</v>
      </c>
    </row>
    <row r="648" spans="1:26" x14ac:dyDescent="0.25">
      <c r="A648" t="s">
        <v>890</v>
      </c>
      <c r="B648" t="s">
        <v>26</v>
      </c>
      <c r="C648" t="s">
        <v>27</v>
      </c>
      <c r="H648" s="2">
        <v>45419.691666666666</v>
      </c>
      <c r="I648" t="s">
        <v>289</v>
      </c>
      <c r="Z648">
        <v>82841</v>
      </c>
    </row>
    <row r="649" spans="1:26" x14ac:dyDescent="0.25">
      <c r="A649" t="s">
        <v>891</v>
      </c>
      <c r="B649" t="s">
        <v>26</v>
      </c>
      <c r="C649" t="s">
        <v>27</v>
      </c>
      <c r="H649" s="2">
        <v>45419.482638888891</v>
      </c>
      <c r="I649" t="s">
        <v>289</v>
      </c>
      <c r="Z649">
        <v>82815</v>
      </c>
    </row>
    <row r="650" spans="1:26" x14ac:dyDescent="0.25">
      <c r="A650" t="s">
        <v>892</v>
      </c>
      <c r="B650" t="s">
        <v>26</v>
      </c>
      <c r="C650" t="s">
        <v>27</v>
      </c>
      <c r="H650" s="2">
        <v>45418.631944444445</v>
      </c>
      <c r="I650" t="s">
        <v>289</v>
      </c>
      <c r="Z650">
        <v>82775</v>
      </c>
    </row>
    <row r="651" spans="1:26" x14ac:dyDescent="0.25">
      <c r="A651" t="s">
        <v>2230</v>
      </c>
      <c r="B651" t="s">
        <v>370</v>
      </c>
      <c r="C651" t="s">
        <v>27</v>
      </c>
      <c r="E651">
        <v>79270076101</v>
      </c>
      <c r="H651" s="2">
        <v>45418.417361111111</v>
      </c>
      <c r="I651" t="s">
        <v>782</v>
      </c>
      <c r="Z651">
        <v>82720</v>
      </c>
    </row>
    <row r="652" spans="1:26" x14ac:dyDescent="0.25">
      <c r="A652" t="s">
        <v>393</v>
      </c>
      <c r="B652" t="s">
        <v>93</v>
      </c>
      <c r="C652" t="s">
        <v>27</v>
      </c>
      <c r="E652" t="s">
        <v>75</v>
      </c>
      <c r="H652" s="2">
        <v>45417.701388888891</v>
      </c>
      <c r="I652" t="s">
        <v>782</v>
      </c>
      <c r="K652" t="s">
        <v>30</v>
      </c>
      <c r="L652" t="s">
        <v>31</v>
      </c>
      <c r="M652">
        <v>55887089</v>
      </c>
      <c r="N652">
        <v>12886132963</v>
      </c>
      <c r="O652" t="s">
        <v>893</v>
      </c>
      <c r="Z652">
        <v>82700</v>
      </c>
    </row>
    <row r="653" spans="1:26" x14ac:dyDescent="0.25">
      <c r="A653" t="s">
        <v>894</v>
      </c>
      <c r="C653" t="s">
        <v>27</v>
      </c>
      <c r="E653" t="s">
        <v>54</v>
      </c>
      <c r="H653" s="2">
        <v>45416.972916666666</v>
      </c>
      <c r="I653" t="s">
        <v>128</v>
      </c>
      <c r="Z653">
        <v>82671</v>
      </c>
    </row>
    <row r="654" spans="1:26" x14ac:dyDescent="0.25">
      <c r="A654" t="s">
        <v>895</v>
      </c>
      <c r="B654" t="s">
        <v>26</v>
      </c>
      <c r="C654" t="s">
        <v>27</v>
      </c>
      <c r="H654" s="2">
        <v>45416.547222222223</v>
      </c>
      <c r="I654" t="s">
        <v>128</v>
      </c>
      <c r="Z654">
        <v>82632</v>
      </c>
    </row>
    <row r="655" spans="1:26" x14ac:dyDescent="0.25">
      <c r="A655" t="s">
        <v>896</v>
      </c>
      <c r="B655" t="s">
        <v>26</v>
      </c>
      <c r="C655" t="s">
        <v>27</v>
      </c>
      <c r="H655" s="2">
        <v>45416.507638888892</v>
      </c>
      <c r="I655" t="s">
        <v>128</v>
      </c>
      <c r="Z655">
        <v>82628</v>
      </c>
    </row>
    <row r="656" spans="1:26" x14ac:dyDescent="0.25">
      <c r="A656" t="s">
        <v>897</v>
      </c>
      <c r="B656" t="s">
        <v>26</v>
      </c>
      <c r="C656" t="s">
        <v>27</v>
      </c>
      <c r="H656" s="2">
        <v>45416.476388888892</v>
      </c>
      <c r="I656" t="s">
        <v>128</v>
      </c>
      <c r="Z656">
        <v>82619</v>
      </c>
    </row>
    <row r="657" spans="1:26" x14ac:dyDescent="0.25">
      <c r="A657" t="s">
        <v>898</v>
      </c>
      <c r="B657" t="s">
        <v>26</v>
      </c>
      <c r="C657" t="s">
        <v>27</v>
      </c>
      <c r="H657" s="2">
        <v>45415.586111111108</v>
      </c>
      <c r="I657" t="s">
        <v>128</v>
      </c>
      <c r="Z657">
        <v>82581</v>
      </c>
    </row>
    <row r="658" spans="1:26" x14ac:dyDescent="0.25">
      <c r="A658" t="s">
        <v>899</v>
      </c>
      <c r="B658" t="s">
        <v>26</v>
      </c>
      <c r="C658" t="s">
        <v>27</v>
      </c>
      <c r="H658" s="2">
        <v>45415.435416666667</v>
      </c>
      <c r="I658" t="s">
        <v>782</v>
      </c>
      <c r="Z658">
        <v>82560</v>
      </c>
    </row>
    <row r="659" spans="1:26" x14ac:dyDescent="0.25">
      <c r="A659" t="s">
        <v>900</v>
      </c>
      <c r="B659" t="s">
        <v>26</v>
      </c>
      <c r="C659" t="s">
        <v>27</v>
      </c>
      <c r="H659" s="2">
        <v>45415.386805555558</v>
      </c>
      <c r="I659" t="s">
        <v>128</v>
      </c>
      <c r="Z659">
        <v>82555</v>
      </c>
    </row>
    <row r="660" spans="1:26" x14ac:dyDescent="0.25">
      <c r="A660" t="s">
        <v>901</v>
      </c>
      <c r="B660" t="s">
        <v>26</v>
      </c>
      <c r="C660" t="s">
        <v>27</v>
      </c>
      <c r="H660" s="2">
        <v>45414.775000000001</v>
      </c>
      <c r="I660" t="s">
        <v>289</v>
      </c>
      <c r="Z660">
        <v>82538</v>
      </c>
    </row>
    <row r="661" spans="1:26" x14ac:dyDescent="0.25">
      <c r="A661" t="s">
        <v>902</v>
      </c>
      <c r="B661" t="s">
        <v>43</v>
      </c>
      <c r="C661" t="s">
        <v>27</v>
      </c>
      <c r="E661" t="s">
        <v>546</v>
      </c>
      <c r="G661" t="s">
        <v>547</v>
      </c>
      <c r="H661" s="2">
        <v>45414.652083333334</v>
      </c>
      <c r="I661" t="s">
        <v>128</v>
      </c>
      <c r="Z661">
        <v>82520</v>
      </c>
    </row>
    <row r="662" spans="1:26" x14ac:dyDescent="0.25">
      <c r="A662" t="s">
        <v>903</v>
      </c>
      <c r="B662" t="s">
        <v>26</v>
      </c>
      <c r="C662" t="s">
        <v>27</v>
      </c>
      <c r="H662" s="2">
        <v>45414.60833333333</v>
      </c>
      <c r="I662" t="s">
        <v>289</v>
      </c>
      <c r="Z662">
        <v>82508</v>
      </c>
    </row>
    <row r="663" spans="1:26" x14ac:dyDescent="0.25">
      <c r="A663" t="s">
        <v>904</v>
      </c>
      <c r="B663" t="s">
        <v>26</v>
      </c>
      <c r="C663" t="s">
        <v>27</v>
      </c>
      <c r="H663" s="2">
        <v>45414.40625</v>
      </c>
      <c r="I663" t="s">
        <v>128</v>
      </c>
      <c r="Z663">
        <v>82466</v>
      </c>
    </row>
    <row r="664" spans="1:26" x14ac:dyDescent="0.25">
      <c r="A664" t="s">
        <v>905</v>
      </c>
      <c r="B664" t="s">
        <v>26</v>
      </c>
      <c r="C664" t="s">
        <v>27</v>
      </c>
      <c r="H664" s="2">
        <v>45414.404166666667</v>
      </c>
      <c r="I664" t="s">
        <v>128</v>
      </c>
      <c r="Z664">
        <v>82465</v>
      </c>
    </row>
    <row r="665" spans="1:26" x14ac:dyDescent="0.25">
      <c r="A665" t="s">
        <v>906</v>
      </c>
      <c r="B665" t="s">
        <v>276</v>
      </c>
      <c r="C665" t="s">
        <v>27</v>
      </c>
      <c r="E665" t="s">
        <v>119</v>
      </c>
      <c r="H665" s="2">
        <v>45414.276388888888</v>
      </c>
      <c r="I665" t="s">
        <v>289</v>
      </c>
      <c r="Z665">
        <v>82460</v>
      </c>
    </row>
    <row r="666" spans="1:26" x14ac:dyDescent="0.25">
      <c r="A666" t="s">
        <v>2231</v>
      </c>
      <c r="B666" t="s">
        <v>43</v>
      </c>
      <c r="C666" t="s">
        <v>27</v>
      </c>
      <c r="E666" t="s">
        <v>75</v>
      </c>
      <c r="G666" t="s">
        <v>907</v>
      </c>
      <c r="H666" s="2">
        <v>45413.811805555553</v>
      </c>
      <c r="I666" t="s">
        <v>128</v>
      </c>
      <c r="Z666">
        <v>82451</v>
      </c>
    </row>
    <row r="667" spans="1:26" x14ac:dyDescent="0.25">
      <c r="A667" t="s">
        <v>908</v>
      </c>
      <c r="B667" t="s">
        <v>26</v>
      </c>
      <c r="C667" t="s">
        <v>27</v>
      </c>
      <c r="H667" s="2">
        <v>45413.443055555559</v>
      </c>
      <c r="I667" t="s">
        <v>289</v>
      </c>
      <c r="Z667">
        <v>82405</v>
      </c>
    </row>
    <row r="668" spans="1:26" x14ac:dyDescent="0.25">
      <c r="A668" t="s">
        <v>909</v>
      </c>
      <c r="B668" t="s">
        <v>26</v>
      </c>
      <c r="C668" t="s">
        <v>27</v>
      </c>
      <c r="H668" s="2">
        <v>45411.490972222222</v>
      </c>
      <c r="I668" t="s">
        <v>781</v>
      </c>
      <c r="Z668">
        <v>82292</v>
      </c>
    </row>
    <row r="669" spans="1:26" x14ac:dyDescent="0.25">
      <c r="A669" t="s">
        <v>151</v>
      </c>
      <c r="C669" t="s">
        <v>27</v>
      </c>
      <c r="E669" t="s">
        <v>76</v>
      </c>
      <c r="H669" s="2">
        <v>45410.553472222222</v>
      </c>
      <c r="I669" t="s">
        <v>289</v>
      </c>
      <c r="Z669">
        <v>82235</v>
      </c>
    </row>
    <row r="670" spans="1:26" x14ac:dyDescent="0.25">
      <c r="A670" t="s">
        <v>910</v>
      </c>
      <c r="B670" t="s">
        <v>370</v>
      </c>
      <c r="C670" t="s">
        <v>27</v>
      </c>
      <c r="E670" t="s">
        <v>433</v>
      </c>
      <c r="H670" s="2">
        <v>45409.666666666664</v>
      </c>
      <c r="I670" t="s">
        <v>289</v>
      </c>
      <c r="Z670">
        <v>82180</v>
      </c>
    </row>
    <row r="671" spans="1:26" x14ac:dyDescent="0.25">
      <c r="A671" t="s">
        <v>911</v>
      </c>
      <c r="B671" t="s">
        <v>26</v>
      </c>
      <c r="C671" t="s">
        <v>27</v>
      </c>
      <c r="H671" s="2">
        <v>45409.470833333333</v>
      </c>
      <c r="I671" t="s">
        <v>289</v>
      </c>
      <c r="Z671">
        <v>82146</v>
      </c>
    </row>
    <row r="672" spans="1:26" x14ac:dyDescent="0.25">
      <c r="A672" t="s">
        <v>912</v>
      </c>
      <c r="B672" t="s">
        <v>26</v>
      </c>
      <c r="C672" t="s">
        <v>27</v>
      </c>
      <c r="H672" s="2">
        <v>45408.704861111109</v>
      </c>
      <c r="I672" t="s">
        <v>782</v>
      </c>
      <c r="Z672">
        <v>82109</v>
      </c>
    </row>
    <row r="673" spans="1:26" x14ac:dyDescent="0.25">
      <c r="A673" t="s">
        <v>913</v>
      </c>
      <c r="B673" t="s">
        <v>370</v>
      </c>
      <c r="C673" t="s">
        <v>27</v>
      </c>
      <c r="E673" t="s">
        <v>169</v>
      </c>
      <c r="H673" s="2">
        <v>45406.849305555559</v>
      </c>
      <c r="I673" t="s">
        <v>782</v>
      </c>
      <c r="K673" t="s">
        <v>30</v>
      </c>
      <c r="L673" t="s">
        <v>31</v>
      </c>
      <c r="M673">
        <v>67175279</v>
      </c>
      <c r="N673">
        <v>11954064519</v>
      </c>
      <c r="Z673">
        <v>81919</v>
      </c>
    </row>
    <row r="674" spans="1:26" x14ac:dyDescent="0.25">
      <c r="A674" t="s">
        <v>914</v>
      </c>
      <c r="B674" t="s">
        <v>26</v>
      </c>
      <c r="C674" t="s">
        <v>27</v>
      </c>
      <c r="H674" s="2">
        <v>45406.743750000001</v>
      </c>
      <c r="I674" t="s">
        <v>781</v>
      </c>
      <c r="Z674">
        <v>81902</v>
      </c>
    </row>
    <row r="675" spans="1:26" x14ac:dyDescent="0.25">
      <c r="A675" t="s">
        <v>393</v>
      </c>
      <c r="C675" t="s">
        <v>27</v>
      </c>
      <c r="E675" t="s">
        <v>851</v>
      </c>
      <c r="H675" s="2">
        <v>45406.706944444442</v>
      </c>
      <c r="I675" t="s">
        <v>782</v>
      </c>
      <c r="Z675">
        <v>81890</v>
      </c>
    </row>
    <row r="676" spans="1:26" x14ac:dyDescent="0.25">
      <c r="A676" t="s">
        <v>915</v>
      </c>
      <c r="B676" t="s">
        <v>276</v>
      </c>
      <c r="C676" t="s">
        <v>27</v>
      </c>
      <c r="E676" t="s">
        <v>916</v>
      </c>
      <c r="H676" s="2">
        <v>45405.986805555556</v>
      </c>
      <c r="I676" t="s">
        <v>782</v>
      </c>
      <c r="Z676">
        <v>81801</v>
      </c>
    </row>
    <row r="677" spans="1:26" x14ac:dyDescent="0.25">
      <c r="A677" t="s">
        <v>917</v>
      </c>
      <c r="B677" t="s">
        <v>370</v>
      </c>
      <c r="C677" t="s">
        <v>27</v>
      </c>
      <c r="E677" t="s">
        <v>116</v>
      </c>
      <c r="H677" s="2">
        <v>45405.589583333334</v>
      </c>
      <c r="I677" t="s">
        <v>289</v>
      </c>
      <c r="Z677">
        <v>81756</v>
      </c>
    </row>
    <row r="678" spans="1:26" x14ac:dyDescent="0.25">
      <c r="A678" t="s">
        <v>918</v>
      </c>
      <c r="B678" t="s">
        <v>26</v>
      </c>
      <c r="C678" t="s">
        <v>27</v>
      </c>
      <c r="H678" s="2">
        <v>45405.518055555556</v>
      </c>
      <c r="I678" t="s">
        <v>128</v>
      </c>
      <c r="Z678">
        <v>81738</v>
      </c>
    </row>
    <row r="679" spans="1:26" x14ac:dyDescent="0.25">
      <c r="A679" t="s">
        <v>393</v>
      </c>
      <c r="B679" t="s">
        <v>43</v>
      </c>
      <c r="C679" t="s">
        <v>71</v>
      </c>
      <c r="E679" t="s">
        <v>68</v>
      </c>
      <c r="G679" t="s">
        <v>889</v>
      </c>
      <c r="H679" s="2">
        <v>45404.945833333331</v>
      </c>
      <c r="I679" t="s">
        <v>289</v>
      </c>
      <c r="Z679">
        <v>81703</v>
      </c>
    </row>
    <row r="680" spans="1:26" x14ac:dyDescent="0.25">
      <c r="A680" t="s">
        <v>919</v>
      </c>
      <c r="B680" t="s">
        <v>370</v>
      </c>
      <c r="C680" t="s">
        <v>27</v>
      </c>
      <c r="E680" t="s">
        <v>920</v>
      </c>
      <c r="H680" s="2">
        <v>45404.746527777781</v>
      </c>
      <c r="I680" t="s">
        <v>781</v>
      </c>
      <c r="K680" t="s">
        <v>30</v>
      </c>
      <c r="L680" t="s">
        <v>31</v>
      </c>
      <c r="M680">
        <v>55887089</v>
      </c>
      <c r="N680">
        <v>12886156207</v>
      </c>
      <c r="O680" t="s">
        <v>921</v>
      </c>
      <c r="Z680">
        <v>81684</v>
      </c>
    </row>
    <row r="681" spans="1:26" x14ac:dyDescent="0.25">
      <c r="A681" t="s">
        <v>922</v>
      </c>
      <c r="B681" t="s">
        <v>26</v>
      </c>
      <c r="C681" t="s">
        <v>27</v>
      </c>
      <c r="H681" s="2">
        <v>45404.690972222219</v>
      </c>
      <c r="I681" t="s">
        <v>128</v>
      </c>
      <c r="Z681">
        <v>81676</v>
      </c>
    </row>
    <row r="682" spans="1:26" x14ac:dyDescent="0.25">
      <c r="A682" t="s">
        <v>923</v>
      </c>
      <c r="B682" t="s">
        <v>26</v>
      </c>
      <c r="C682" t="s">
        <v>27</v>
      </c>
      <c r="H682" s="2">
        <v>45404.654861111114</v>
      </c>
      <c r="I682" t="s">
        <v>128</v>
      </c>
      <c r="Z682">
        <v>81665</v>
      </c>
    </row>
    <row r="683" spans="1:26" x14ac:dyDescent="0.25">
      <c r="A683" t="s">
        <v>924</v>
      </c>
      <c r="B683" t="s">
        <v>26</v>
      </c>
      <c r="C683" t="s">
        <v>27</v>
      </c>
      <c r="H683" s="2">
        <v>45404.531944444447</v>
      </c>
      <c r="I683" t="s">
        <v>289</v>
      </c>
      <c r="Z683">
        <v>81631</v>
      </c>
    </row>
    <row r="684" spans="1:26" x14ac:dyDescent="0.25">
      <c r="A684" t="s">
        <v>925</v>
      </c>
      <c r="B684" t="s">
        <v>26</v>
      </c>
      <c r="C684" t="s">
        <v>27</v>
      </c>
      <c r="H684" s="2">
        <v>45403.54583333333</v>
      </c>
      <c r="I684" t="s">
        <v>825</v>
      </c>
      <c r="Z684">
        <v>81515</v>
      </c>
    </row>
    <row r="685" spans="1:26" x14ac:dyDescent="0.25">
      <c r="A685" t="s">
        <v>2232</v>
      </c>
      <c r="B685" t="s">
        <v>43</v>
      </c>
      <c r="C685" t="s">
        <v>27</v>
      </c>
      <c r="E685" t="s">
        <v>92</v>
      </c>
      <c r="G685" t="s">
        <v>926</v>
      </c>
      <c r="H685" s="2">
        <v>45402.494444444441</v>
      </c>
      <c r="I685" t="s">
        <v>782</v>
      </c>
      <c r="Z685">
        <v>81426</v>
      </c>
    </row>
    <row r="686" spans="1:26" x14ac:dyDescent="0.25">
      <c r="A686" t="s">
        <v>927</v>
      </c>
      <c r="B686" t="s">
        <v>26</v>
      </c>
      <c r="C686" t="s">
        <v>27</v>
      </c>
      <c r="H686" s="2">
        <v>45401.697916666664</v>
      </c>
      <c r="I686" t="s">
        <v>782</v>
      </c>
      <c r="Z686">
        <v>81375</v>
      </c>
    </row>
    <row r="687" spans="1:26" x14ac:dyDescent="0.25">
      <c r="A687" t="s">
        <v>928</v>
      </c>
      <c r="B687" t="s">
        <v>26</v>
      </c>
      <c r="C687" t="s">
        <v>27</v>
      </c>
      <c r="H687" s="2">
        <v>45398.71875</v>
      </c>
      <c r="I687" t="s">
        <v>128</v>
      </c>
      <c r="Z687">
        <v>81020</v>
      </c>
    </row>
    <row r="688" spans="1:26" x14ac:dyDescent="0.25">
      <c r="A688" t="s">
        <v>929</v>
      </c>
      <c r="B688" t="s">
        <v>43</v>
      </c>
      <c r="C688" t="s">
        <v>27</v>
      </c>
      <c r="E688" t="s">
        <v>930</v>
      </c>
      <c r="G688" t="s">
        <v>931</v>
      </c>
      <c r="H688" s="2">
        <v>45398.477777777778</v>
      </c>
      <c r="I688" t="s">
        <v>289</v>
      </c>
      <c r="Z688">
        <v>80954</v>
      </c>
    </row>
    <row r="689" spans="1:26" x14ac:dyDescent="0.25">
      <c r="A689" t="s">
        <v>932</v>
      </c>
      <c r="C689" t="s">
        <v>27</v>
      </c>
      <c r="E689" t="s">
        <v>551</v>
      </c>
      <c r="H689" s="2">
        <v>45397.77847222222</v>
      </c>
      <c r="I689" t="s">
        <v>289</v>
      </c>
      <c r="Z689">
        <v>80920</v>
      </c>
    </row>
    <row r="690" spans="1:26" x14ac:dyDescent="0.25">
      <c r="A690" t="s">
        <v>933</v>
      </c>
      <c r="B690" t="s">
        <v>26</v>
      </c>
      <c r="C690" t="s">
        <v>27</v>
      </c>
      <c r="H690" s="2">
        <v>45397.619444444441</v>
      </c>
      <c r="I690" t="s">
        <v>289</v>
      </c>
      <c r="Z690">
        <v>80889</v>
      </c>
    </row>
    <row r="691" spans="1:26" x14ac:dyDescent="0.25">
      <c r="A691" t="s">
        <v>129</v>
      </c>
      <c r="C691" t="s">
        <v>27</v>
      </c>
      <c r="E691" t="s">
        <v>75</v>
      </c>
      <c r="H691" s="2">
        <v>45397.551388888889</v>
      </c>
      <c r="I691" t="s">
        <v>289</v>
      </c>
      <c r="Z691">
        <v>80877</v>
      </c>
    </row>
    <row r="692" spans="1:26" x14ac:dyDescent="0.25">
      <c r="A692" t="s">
        <v>2233</v>
      </c>
      <c r="B692" t="s">
        <v>26</v>
      </c>
      <c r="C692" t="s">
        <v>27</v>
      </c>
      <c r="H692" s="2">
        <v>45397.447222222225</v>
      </c>
      <c r="I692" t="s">
        <v>825</v>
      </c>
      <c r="Z692">
        <v>80858</v>
      </c>
    </row>
    <row r="693" spans="1:26" x14ac:dyDescent="0.25">
      <c r="A693" t="s">
        <v>934</v>
      </c>
      <c r="B693" t="s">
        <v>26</v>
      </c>
      <c r="C693" t="s">
        <v>27</v>
      </c>
      <c r="H693" s="2">
        <v>45397.4375</v>
      </c>
      <c r="I693" t="s">
        <v>289</v>
      </c>
      <c r="Z693">
        <v>80854</v>
      </c>
    </row>
    <row r="694" spans="1:26" x14ac:dyDescent="0.25">
      <c r="A694" t="s">
        <v>151</v>
      </c>
      <c r="C694" t="s">
        <v>27</v>
      </c>
      <c r="E694" t="s">
        <v>92</v>
      </c>
      <c r="H694" s="2">
        <v>45397.419444444444</v>
      </c>
      <c r="I694" t="s">
        <v>289</v>
      </c>
      <c r="Z694">
        <v>80848</v>
      </c>
    </row>
    <row r="695" spans="1:26" x14ac:dyDescent="0.25">
      <c r="A695" t="s">
        <v>935</v>
      </c>
      <c r="B695" t="s">
        <v>26</v>
      </c>
      <c r="C695" t="s">
        <v>27</v>
      </c>
      <c r="H695" s="2">
        <v>45397.379166666666</v>
      </c>
      <c r="I695" t="s">
        <v>289</v>
      </c>
      <c r="Z695">
        <v>80842</v>
      </c>
    </row>
    <row r="696" spans="1:26" x14ac:dyDescent="0.25">
      <c r="A696" t="s">
        <v>936</v>
      </c>
      <c r="B696" t="s">
        <v>26</v>
      </c>
      <c r="C696" t="s">
        <v>27</v>
      </c>
      <c r="H696" s="2">
        <v>45396.794444444444</v>
      </c>
      <c r="I696" t="s">
        <v>289</v>
      </c>
      <c r="Z696">
        <v>80824</v>
      </c>
    </row>
    <row r="697" spans="1:26" x14ac:dyDescent="0.25">
      <c r="A697" t="s">
        <v>937</v>
      </c>
      <c r="B697" t="s">
        <v>26</v>
      </c>
      <c r="C697" t="s">
        <v>27</v>
      </c>
      <c r="H697" s="2">
        <v>45396.627083333333</v>
      </c>
      <c r="I697" t="s">
        <v>289</v>
      </c>
      <c r="Z697">
        <v>80799</v>
      </c>
    </row>
    <row r="698" spans="1:26" x14ac:dyDescent="0.25">
      <c r="A698" t="s">
        <v>938</v>
      </c>
      <c r="B698" t="s">
        <v>370</v>
      </c>
      <c r="C698" t="s">
        <v>27</v>
      </c>
      <c r="E698" t="s">
        <v>262</v>
      </c>
      <c r="H698" s="2">
        <v>45396.388888888891</v>
      </c>
      <c r="I698" t="s">
        <v>289</v>
      </c>
      <c r="Z698">
        <v>80754</v>
      </c>
    </row>
    <row r="699" spans="1:26" x14ac:dyDescent="0.25">
      <c r="A699" t="s">
        <v>2234</v>
      </c>
      <c r="B699" t="s">
        <v>43</v>
      </c>
      <c r="C699" t="s">
        <v>27</v>
      </c>
      <c r="E699" t="s">
        <v>940</v>
      </c>
      <c r="G699" t="s">
        <v>941</v>
      </c>
      <c r="H699" s="2">
        <v>45394.876388888886</v>
      </c>
      <c r="I699" t="s">
        <v>289</v>
      </c>
      <c r="Z699">
        <v>80655</v>
      </c>
    </row>
    <row r="700" spans="1:26" x14ac:dyDescent="0.25">
      <c r="A700" t="s">
        <v>942</v>
      </c>
      <c r="B700" t="s">
        <v>26</v>
      </c>
      <c r="C700" t="s">
        <v>27</v>
      </c>
      <c r="H700" s="2">
        <v>45394.816666666666</v>
      </c>
      <c r="I700" t="s">
        <v>476</v>
      </c>
      <c r="Z700">
        <v>80649</v>
      </c>
    </row>
    <row r="701" spans="1:26" x14ac:dyDescent="0.25">
      <c r="A701" t="s">
        <v>393</v>
      </c>
      <c r="B701" t="s">
        <v>26</v>
      </c>
      <c r="C701" t="s">
        <v>27</v>
      </c>
      <c r="E701" t="s">
        <v>584</v>
      </c>
      <c r="G701" t="s">
        <v>943</v>
      </c>
      <c r="H701" s="2">
        <v>45394.670138888891</v>
      </c>
      <c r="I701" t="s">
        <v>782</v>
      </c>
      <c r="Z701">
        <v>80618</v>
      </c>
    </row>
    <row r="702" spans="1:26" x14ac:dyDescent="0.25">
      <c r="A702" t="s">
        <v>944</v>
      </c>
      <c r="B702" t="s">
        <v>26</v>
      </c>
      <c r="C702" t="s">
        <v>27</v>
      </c>
      <c r="H702" s="2">
        <v>45392.806944444441</v>
      </c>
      <c r="I702" t="s">
        <v>289</v>
      </c>
      <c r="Z702">
        <v>80393</v>
      </c>
    </row>
    <row r="703" spans="1:26" x14ac:dyDescent="0.25">
      <c r="A703" t="s">
        <v>945</v>
      </c>
      <c r="B703" t="s">
        <v>26</v>
      </c>
      <c r="C703" t="s">
        <v>27</v>
      </c>
      <c r="H703" s="2">
        <v>45392.468055555553</v>
      </c>
      <c r="I703" t="s">
        <v>128</v>
      </c>
      <c r="Z703">
        <v>80312</v>
      </c>
    </row>
    <row r="704" spans="1:26" x14ac:dyDescent="0.25">
      <c r="A704" t="s">
        <v>946</v>
      </c>
      <c r="B704" t="s">
        <v>26</v>
      </c>
      <c r="C704" t="s">
        <v>27</v>
      </c>
      <c r="H704" s="2">
        <v>45390.771527777775</v>
      </c>
      <c r="I704" t="s">
        <v>289</v>
      </c>
      <c r="Z704">
        <v>80126</v>
      </c>
    </row>
    <row r="705" spans="1:26" x14ac:dyDescent="0.25">
      <c r="A705" t="s">
        <v>947</v>
      </c>
      <c r="B705" t="s">
        <v>26</v>
      </c>
      <c r="C705" t="s">
        <v>27</v>
      </c>
      <c r="H705" s="2">
        <v>45390.765972222223</v>
      </c>
      <c r="I705" t="s">
        <v>289</v>
      </c>
      <c r="Z705">
        <v>80124</v>
      </c>
    </row>
    <row r="706" spans="1:26" x14ac:dyDescent="0.25">
      <c r="A706" t="s">
        <v>948</v>
      </c>
      <c r="C706" t="s">
        <v>27</v>
      </c>
      <c r="E706" t="s">
        <v>54</v>
      </c>
      <c r="H706" s="2">
        <v>45390.697222222225</v>
      </c>
      <c r="I706" t="s">
        <v>289</v>
      </c>
      <c r="Z706">
        <v>80110</v>
      </c>
    </row>
    <row r="707" spans="1:26" x14ac:dyDescent="0.25">
      <c r="A707" t="s">
        <v>949</v>
      </c>
      <c r="B707" t="s">
        <v>26</v>
      </c>
      <c r="C707" t="s">
        <v>27</v>
      </c>
      <c r="H707" s="2">
        <v>45388.423611111109</v>
      </c>
      <c r="I707" t="s">
        <v>782</v>
      </c>
      <c r="Z707">
        <v>79822</v>
      </c>
    </row>
    <row r="708" spans="1:26" x14ac:dyDescent="0.25">
      <c r="A708" t="s">
        <v>139</v>
      </c>
      <c r="B708" t="s">
        <v>93</v>
      </c>
      <c r="C708" t="s">
        <v>27</v>
      </c>
      <c r="E708" t="s">
        <v>41</v>
      </c>
      <c r="H708" s="2">
        <v>45387.500694444447</v>
      </c>
      <c r="I708" t="s">
        <v>128</v>
      </c>
      <c r="Z708">
        <v>79723</v>
      </c>
    </row>
    <row r="709" spans="1:26" x14ac:dyDescent="0.25">
      <c r="A709" t="s">
        <v>950</v>
      </c>
      <c r="B709" t="s">
        <v>26</v>
      </c>
      <c r="C709" t="s">
        <v>27</v>
      </c>
      <c r="H709" s="2">
        <v>45386.59097222222</v>
      </c>
      <c r="I709" t="s">
        <v>289</v>
      </c>
      <c r="Z709">
        <v>79623</v>
      </c>
    </row>
    <row r="710" spans="1:26" x14ac:dyDescent="0.25">
      <c r="A710" t="s">
        <v>951</v>
      </c>
      <c r="B710" t="s">
        <v>370</v>
      </c>
      <c r="C710" t="s">
        <v>27</v>
      </c>
      <c r="E710" t="s">
        <v>54</v>
      </c>
      <c r="G710" t="s">
        <v>952</v>
      </c>
      <c r="H710" s="2">
        <v>45386.575694444444</v>
      </c>
      <c r="I710" t="s">
        <v>939</v>
      </c>
      <c r="Z710">
        <v>79618</v>
      </c>
    </row>
    <row r="711" spans="1:26" x14ac:dyDescent="0.25">
      <c r="A711" t="s">
        <v>129</v>
      </c>
      <c r="C711" t="s">
        <v>27</v>
      </c>
      <c r="E711" t="s">
        <v>64</v>
      </c>
      <c r="H711" s="2">
        <v>45385.604861111111</v>
      </c>
      <c r="I711" t="s">
        <v>289</v>
      </c>
      <c r="Z711">
        <v>79506</v>
      </c>
    </row>
    <row r="712" spans="1:26" x14ac:dyDescent="0.25">
      <c r="A712" t="s">
        <v>953</v>
      </c>
      <c r="B712" t="s">
        <v>26</v>
      </c>
      <c r="C712" t="s">
        <v>27</v>
      </c>
      <c r="H712" s="2">
        <v>45383.591666666667</v>
      </c>
      <c r="I712" t="s">
        <v>781</v>
      </c>
      <c r="Z712">
        <v>79292</v>
      </c>
    </row>
    <row r="713" spans="1:26" x14ac:dyDescent="0.25">
      <c r="A713" t="s">
        <v>954</v>
      </c>
      <c r="B713" t="s">
        <v>370</v>
      </c>
      <c r="C713" t="s">
        <v>27</v>
      </c>
      <c r="E713" t="s">
        <v>118</v>
      </c>
      <c r="G713">
        <v>515</v>
      </c>
      <c r="H713" s="2">
        <v>45382.57916666667</v>
      </c>
      <c r="I713" t="s">
        <v>782</v>
      </c>
      <c r="Z713">
        <v>79212</v>
      </c>
    </row>
    <row r="714" spans="1:26" x14ac:dyDescent="0.25">
      <c r="A714" t="s">
        <v>955</v>
      </c>
      <c r="B714" t="s">
        <v>370</v>
      </c>
      <c r="C714" t="s">
        <v>27</v>
      </c>
      <c r="E714" t="s">
        <v>956</v>
      </c>
      <c r="H714" s="2">
        <v>45381.595833333333</v>
      </c>
      <c r="I714" t="s">
        <v>128</v>
      </c>
      <c r="Z714">
        <v>79173</v>
      </c>
    </row>
    <row r="715" spans="1:26" x14ac:dyDescent="0.25">
      <c r="A715" t="s">
        <v>957</v>
      </c>
      <c r="B715" t="s">
        <v>26</v>
      </c>
      <c r="C715" t="s">
        <v>27</v>
      </c>
      <c r="H715" s="2">
        <v>45380.554166666669</v>
      </c>
      <c r="I715" t="s">
        <v>289</v>
      </c>
      <c r="Z715">
        <v>79078</v>
      </c>
    </row>
    <row r="716" spans="1:26" x14ac:dyDescent="0.25">
      <c r="A716" t="s">
        <v>958</v>
      </c>
      <c r="B716" t="s">
        <v>26</v>
      </c>
      <c r="C716" t="s">
        <v>27</v>
      </c>
      <c r="H716" s="2">
        <v>45380.387499999997</v>
      </c>
      <c r="I716" t="s">
        <v>289</v>
      </c>
      <c r="Z716">
        <v>79056</v>
      </c>
    </row>
    <row r="717" spans="1:26" x14ac:dyDescent="0.25">
      <c r="A717" t="s">
        <v>959</v>
      </c>
      <c r="B717" t="s">
        <v>26</v>
      </c>
      <c r="C717" t="s">
        <v>27</v>
      </c>
      <c r="E717" t="s">
        <v>601</v>
      </c>
      <c r="G717" t="s">
        <v>960</v>
      </c>
      <c r="H717" s="2">
        <v>45379.762499999997</v>
      </c>
      <c r="I717" t="s">
        <v>289</v>
      </c>
      <c r="Z717">
        <v>79047</v>
      </c>
    </row>
    <row r="718" spans="1:26" x14ac:dyDescent="0.25">
      <c r="A718" t="s">
        <v>961</v>
      </c>
      <c r="B718" t="s">
        <v>26</v>
      </c>
      <c r="C718" t="s">
        <v>27</v>
      </c>
      <c r="H718" s="2">
        <v>45379.39166666667</v>
      </c>
      <c r="I718" t="s">
        <v>782</v>
      </c>
      <c r="Z718">
        <v>79004</v>
      </c>
    </row>
    <row r="719" spans="1:26" x14ac:dyDescent="0.25">
      <c r="A719" t="s">
        <v>962</v>
      </c>
      <c r="B719" t="s">
        <v>26</v>
      </c>
      <c r="C719" t="s">
        <v>27</v>
      </c>
      <c r="H719" s="2">
        <v>45378.597916666666</v>
      </c>
      <c r="I719" t="s">
        <v>289</v>
      </c>
      <c r="Z719">
        <v>78979</v>
      </c>
    </row>
    <row r="720" spans="1:26" x14ac:dyDescent="0.25">
      <c r="A720" t="s">
        <v>963</v>
      </c>
      <c r="B720" t="s">
        <v>26</v>
      </c>
      <c r="C720" t="s">
        <v>27</v>
      </c>
      <c r="H720" s="2">
        <v>45378.46597222222</v>
      </c>
      <c r="I720" t="s">
        <v>289</v>
      </c>
      <c r="Z720">
        <v>78966</v>
      </c>
    </row>
    <row r="721" spans="1:26" x14ac:dyDescent="0.25">
      <c r="A721" t="s">
        <v>964</v>
      </c>
      <c r="B721" t="s">
        <v>26</v>
      </c>
      <c r="C721" t="s">
        <v>27</v>
      </c>
      <c r="H721" s="2">
        <v>45374.693055555559</v>
      </c>
      <c r="I721" t="s">
        <v>289</v>
      </c>
      <c r="Z721">
        <v>78770</v>
      </c>
    </row>
    <row r="722" spans="1:26" x14ac:dyDescent="0.25">
      <c r="A722" t="s">
        <v>965</v>
      </c>
      <c r="B722" t="s">
        <v>26</v>
      </c>
      <c r="C722" t="s">
        <v>27</v>
      </c>
      <c r="H722" s="2">
        <v>45373.814583333333</v>
      </c>
      <c r="I722" t="s">
        <v>289</v>
      </c>
      <c r="Z722">
        <v>78726</v>
      </c>
    </row>
    <row r="723" spans="1:26" x14ac:dyDescent="0.25">
      <c r="A723" t="s">
        <v>966</v>
      </c>
      <c r="B723" t="s">
        <v>26</v>
      </c>
      <c r="C723" t="s">
        <v>27</v>
      </c>
      <c r="H723" s="2">
        <v>45373.732638888891</v>
      </c>
      <c r="I723" t="s">
        <v>289</v>
      </c>
      <c r="Z723">
        <v>78715</v>
      </c>
    </row>
    <row r="724" spans="1:26" x14ac:dyDescent="0.25">
      <c r="A724" t="s">
        <v>967</v>
      </c>
      <c r="B724" t="s">
        <v>26</v>
      </c>
      <c r="C724" t="s">
        <v>27</v>
      </c>
      <c r="H724" s="2">
        <v>45373.498611111114</v>
      </c>
      <c r="I724" t="s">
        <v>289</v>
      </c>
      <c r="Z724">
        <v>78679</v>
      </c>
    </row>
    <row r="725" spans="1:26" x14ac:dyDescent="0.25">
      <c r="A725" t="s">
        <v>968</v>
      </c>
      <c r="C725" t="s">
        <v>27</v>
      </c>
      <c r="E725" t="s">
        <v>74</v>
      </c>
      <c r="H725" s="2">
        <v>45372.828472222223</v>
      </c>
      <c r="I725" t="s">
        <v>289</v>
      </c>
      <c r="Z725">
        <v>78654</v>
      </c>
    </row>
    <row r="726" spans="1:26" x14ac:dyDescent="0.25">
      <c r="A726" t="s">
        <v>151</v>
      </c>
      <c r="C726" t="s">
        <v>27</v>
      </c>
      <c r="E726" t="s">
        <v>349</v>
      </c>
      <c r="H726" s="2">
        <v>45372.591666666667</v>
      </c>
      <c r="I726" t="s">
        <v>289</v>
      </c>
      <c r="Z726">
        <v>78628</v>
      </c>
    </row>
    <row r="727" spans="1:26" x14ac:dyDescent="0.25">
      <c r="A727" t="s">
        <v>2235</v>
      </c>
      <c r="B727" t="s">
        <v>43</v>
      </c>
      <c r="C727" t="s">
        <v>27</v>
      </c>
      <c r="E727" t="s">
        <v>969</v>
      </c>
      <c r="G727" t="s">
        <v>822</v>
      </c>
      <c r="H727" s="2">
        <v>45370.861805555556</v>
      </c>
      <c r="I727" t="s">
        <v>782</v>
      </c>
      <c r="Z727">
        <v>78528</v>
      </c>
    </row>
    <row r="728" spans="1:26" x14ac:dyDescent="0.25">
      <c r="A728" t="s">
        <v>970</v>
      </c>
      <c r="B728" t="s">
        <v>26</v>
      </c>
      <c r="C728" t="s">
        <v>27</v>
      </c>
      <c r="H728" s="2">
        <v>45368.554861111108</v>
      </c>
      <c r="I728" t="s">
        <v>128</v>
      </c>
      <c r="Z728">
        <v>78345</v>
      </c>
    </row>
    <row r="729" spans="1:26" x14ac:dyDescent="0.25">
      <c r="A729" t="s">
        <v>971</v>
      </c>
      <c r="B729" t="s">
        <v>26</v>
      </c>
      <c r="C729" t="s">
        <v>27</v>
      </c>
      <c r="H729" s="2">
        <v>45367.813194444447</v>
      </c>
      <c r="I729" t="s">
        <v>128</v>
      </c>
      <c r="Z729">
        <v>78320</v>
      </c>
    </row>
    <row r="730" spans="1:26" x14ac:dyDescent="0.25">
      <c r="A730" t="s">
        <v>129</v>
      </c>
      <c r="C730" t="s">
        <v>27</v>
      </c>
      <c r="E730" t="s">
        <v>41</v>
      </c>
      <c r="H730" s="2">
        <v>45367.48333333333</v>
      </c>
      <c r="I730" t="s">
        <v>289</v>
      </c>
      <c r="Z730">
        <v>78284</v>
      </c>
    </row>
    <row r="731" spans="1:26" x14ac:dyDescent="0.25">
      <c r="A731" t="s">
        <v>972</v>
      </c>
      <c r="B731" t="s">
        <v>26</v>
      </c>
      <c r="C731" t="s">
        <v>27</v>
      </c>
      <c r="H731" s="2">
        <v>45366.786805555559</v>
      </c>
      <c r="I731" t="s">
        <v>782</v>
      </c>
      <c r="Z731">
        <v>78261</v>
      </c>
    </row>
    <row r="732" spans="1:26" x14ac:dyDescent="0.25">
      <c r="A732" t="s">
        <v>973</v>
      </c>
      <c r="B732" t="s">
        <v>26</v>
      </c>
      <c r="C732" t="s">
        <v>27</v>
      </c>
      <c r="H732" s="2">
        <v>45366.785416666666</v>
      </c>
      <c r="I732" t="s">
        <v>289</v>
      </c>
      <c r="Z732">
        <v>78260</v>
      </c>
    </row>
    <row r="733" spans="1:26" x14ac:dyDescent="0.25">
      <c r="A733" t="s">
        <v>129</v>
      </c>
      <c r="C733" t="s">
        <v>27</v>
      </c>
      <c r="E733" t="s">
        <v>40</v>
      </c>
      <c r="H733" s="2">
        <v>45366.661111111112</v>
      </c>
      <c r="I733" t="s">
        <v>289</v>
      </c>
      <c r="Z733">
        <v>78239</v>
      </c>
    </row>
    <row r="734" spans="1:26" x14ac:dyDescent="0.25">
      <c r="A734" t="s">
        <v>974</v>
      </c>
      <c r="B734" t="s">
        <v>276</v>
      </c>
      <c r="C734" t="s">
        <v>27</v>
      </c>
      <c r="E734" t="s">
        <v>975</v>
      </c>
      <c r="H734" s="2">
        <v>45366.6</v>
      </c>
      <c r="I734" t="s">
        <v>782</v>
      </c>
      <c r="Z734">
        <v>78237</v>
      </c>
    </row>
    <row r="735" spans="1:26" x14ac:dyDescent="0.25">
      <c r="A735" t="s">
        <v>976</v>
      </c>
      <c r="B735" t="s">
        <v>26</v>
      </c>
      <c r="C735" t="s">
        <v>27</v>
      </c>
      <c r="H735" s="2">
        <v>45366.444444444445</v>
      </c>
      <c r="I735" t="s">
        <v>289</v>
      </c>
      <c r="Z735">
        <v>78214</v>
      </c>
    </row>
    <row r="736" spans="1:26" x14ac:dyDescent="0.25">
      <c r="A736" t="s">
        <v>977</v>
      </c>
      <c r="B736" t="s">
        <v>370</v>
      </c>
      <c r="C736" t="s">
        <v>27</v>
      </c>
      <c r="E736" t="s">
        <v>74</v>
      </c>
      <c r="H736" s="2">
        <v>45364.915972222225</v>
      </c>
      <c r="I736" t="s">
        <v>782</v>
      </c>
      <c r="Z736">
        <v>78137</v>
      </c>
    </row>
    <row r="737" spans="1:26" x14ac:dyDescent="0.25">
      <c r="A737" t="s">
        <v>978</v>
      </c>
      <c r="B737" t="s">
        <v>26</v>
      </c>
      <c r="C737" t="s">
        <v>27</v>
      </c>
      <c r="H737" s="2">
        <v>45364.465277777781</v>
      </c>
      <c r="I737" t="s">
        <v>29</v>
      </c>
      <c r="Z737">
        <v>78076</v>
      </c>
    </row>
    <row r="738" spans="1:26" x14ac:dyDescent="0.25">
      <c r="A738" t="s">
        <v>979</v>
      </c>
      <c r="B738" t="s">
        <v>26</v>
      </c>
      <c r="C738" t="s">
        <v>27</v>
      </c>
      <c r="H738" s="2">
        <v>45363.620138888888</v>
      </c>
      <c r="I738" t="s">
        <v>128</v>
      </c>
      <c r="Z738">
        <v>78048</v>
      </c>
    </row>
    <row r="739" spans="1:26" x14ac:dyDescent="0.25">
      <c r="A739" t="s">
        <v>980</v>
      </c>
      <c r="B739" t="s">
        <v>26</v>
      </c>
      <c r="C739" t="s">
        <v>27</v>
      </c>
      <c r="H739" s="2">
        <v>45363.443749999999</v>
      </c>
      <c r="I739" t="s">
        <v>128</v>
      </c>
      <c r="Z739">
        <v>78015</v>
      </c>
    </row>
    <row r="740" spans="1:26" x14ac:dyDescent="0.25">
      <c r="A740" t="s">
        <v>1206</v>
      </c>
      <c r="B740" t="s">
        <v>370</v>
      </c>
      <c r="C740" t="s">
        <v>27</v>
      </c>
      <c r="E740">
        <v>79376543898</v>
      </c>
      <c r="H740" s="2">
        <v>45362.552777777775</v>
      </c>
      <c r="I740" t="s">
        <v>128</v>
      </c>
      <c r="K740" t="s">
        <v>30</v>
      </c>
      <c r="L740" t="s">
        <v>31</v>
      </c>
      <c r="M740">
        <v>55887089</v>
      </c>
      <c r="N740">
        <v>12886132962</v>
      </c>
      <c r="O740" t="s">
        <v>981</v>
      </c>
      <c r="Z740">
        <v>77971</v>
      </c>
    </row>
    <row r="741" spans="1:26" x14ac:dyDescent="0.25">
      <c r="A741" t="s">
        <v>982</v>
      </c>
      <c r="B741" t="s">
        <v>26</v>
      </c>
      <c r="C741" t="s">
        <v>27</v>
      </c>
      <c r="H741" s="2">
        <v>45361.623611111114</v>
      </c>
      <c r="I741" t="s">
        <v>289</v>
      </c>
      <c r="Z741">
        <v>77924</v>
      </c>
    </row>
    <row r="742" spans="1:26" x14ac:dyDescent="0.25">
      <c r="A742" t="s">
        <v>983</v>
      </c>
      <c r="B742" t="s">
        <v>370</v>
      </c>
      <c r="C742" t="s">
        <v>27</v>
      </c>
      <c r="E742" t="s">
        <v>984</v>
      </c>
      <c r="H742" s="2">
        <v>45359.861111111109</v>
      </c>
      <c r="I742" t="s">
        <v>289</v>
      </c>
      <c r="K742" t="s">
        <v>30</v>
      </c>
      <c r="L742" t="s">
        <v>31</v>
      </c>
      <c r="M742">
        <v>55887101</v>
      </c>
      <c r="N742">
        <v>9754620252</v>
      </c>
      <c r="O742" t="s">
        <v>123</v>
      </c>
      <c r="Z742">
        <v>77860</v>
      </c>
    </row>
    <row r="743" spans="1:26" x14ac:dyDescent="0.25">
      <c r="A743" t="s">
        <v>985</v>
      </c>
      <c r="B743" t="s">
        <v>26</v>
      </c>
      <c r="C743" t="s">
        <v>27</v>
      </c>
      <c r="H743" s="2">
        <v>45357.768055555556</v>
      </c>
      <c r="I743" t="s">
        <v>781</v>
      </c>
      <c r="Z743">
        <v>77745</v>
      </c>
    </row>
    <row r="744" spans="1:26" x14ac:dyDescent="0.25">
      <c r="A744" t="s">
        <v>986</v>
      </c>
      <c r="B744" t="s">
        <v>26</v>
      </c>
      <c r="C744" t="s">
        <v>27</v>
      </c>
      <c r="H744" s="2">
        <v>45357.615277777775</v>
      </c>
      <c r="I744" t="s">
        <v>128</v>
      </c>
      <c r="Z744">
        <v>77726</v>
      </c>
    </row>
    <row r="745" spans="1:26" x14ac:dyDescent="0.25">
      <c r="A745" t="s">
        <v>987</v>
      </c>
      <c r="B745" t="s">
        <v>26</v>
      </c>
      <c r="C745" t="s">
        <v>27</v>
      </c>
      <c r="H745" s="2">
        <v>45356.595833333333</v>
      </c>
      <c r="I745" t="s">
        <v>29</v>
      </c>
      <c r="Z745">
        <v>77660</v>
      </c>
    </row>
    <row r="746" spans="1:26" x14ac:dyDescent="0.25">
      <c r="A746" t="s">
        <v>988</v>
      </c>
      <c r="B746" t="s">
        <v>276</v>
      </c>
      <c r="C746" t="s">
        <v>27</v>
      </c>
      <c r="E746" t="s">
        <v>989</v>
      </c>
      <c r="H746" s="2">
        <v>45355.85833333333</v>
      </c>
      <c r="I746" t="s">
        <v>289</v>
      </c>
      <c r="Z746">
        <v>77632</v>
      </c>
    </row>
    <row r="747" spans="1:26" x14ac:dyDescent="0.25">
      <c r="A747" t="s">
        <v>990</v>
      </c>
      <c r="B747" t="s">
        <v>276</v>
      </c>
      <c r="C747" t="s">
        <v>27</v>
      </c>
      <c r="E747" t="s">
        <v>74</v>
      </c>
      <c r="H747" s="2">
        <v>45355.707638888889</v>
      </c>
      <c r="I747" t="s">
        <v>29</v>
      </c>
      <c r="Z747">
        <v>77615</v>
      </c>
    </row>
    <row r="748" spans="1:26" x14ac:dyDescent="0.25">
      <c r="A748" t="s">
        <v>991</v>
      </c>
      <c r="B748" t="s">
        <v>26</v>
      </c>
      <c r="C748" t="s">
        <v>27</v>
      </c>
      <c r="H748" s="2">
        <v>45355.59097222222</v>
      </c>
      <c r="I748" t="s">
        <v>128</v>
      </c>
      <c r="Z748">
        <v>77600</v>
      </c>
    </row>
    <row r="749" spans="1:26" x14ac:dyDescent="0.25">
      <c r="A749" t="s">
        <v>992</v>
      </c>
      <c r="B749" t="s">
        <v>26</v>
      </c>
      <c r="C749" t="s">
        <v>27</v>
      </c>
      <c r="H749" s="2">
        <v>45355.590277777781</v>
      </c>
      <c r="I749" t="s">
        <v>289</v>
      </c>
      <c r="Z749">
        <v>77599</v>
      </c>
    </row>
    <row r="750" spans="1:26" x14ac:dyDescent="0.25">
      <c r="A750" t="s">
        <v>993</v>
      </c>
      <c r="B750" t="s">
        <v>276</v>
      </c>
      <c r="C750" t="s">
        <v>27</v>
      </c>
      <c r="E750" t="s">
        <v>994</v>
      </c>
      <c r="H750" s="2">
        <v>45352.737500000003</v>
      </c>
      <c r="I750" t="s">
        <v>782</v>
      </c>
      <c r="Z750">
        <v>77437</v>
      </c>
    </row>
    <row r="751" spans="1:26" x14ac:dyDescent="0.25">
      <c r="A751" t="s">
        <v>995</v>
      </c>
      <c r="B751" t="s">
        <v>43</v>
      </c>
      <c r="C751" t="s">
        <v>27</v>
      </c>
      <c r="E751" t="s">
        <v>74</v>
      </c>
      <c r="G751" t="s">
        <v>996</v>
      </c>
      <c r="H751" s="2">
        <v>45352.604166666664</v>
      </c>
      <c r="I751" t="s">
        <v>782</v>
      </c>
      <c r="Z751">
        <v>77422</v>
      </c>
    </row>
    <row r="752" spans="1:26" x14ac:dyDescent="0.25">
      <c r="A752" t="s">
        <v>997</v>
      </c>
      <c r="B752" t="s">
        <v>26</v>
      </c>
      <c r="C752" t="s">
        <v>27</v>
      </c>
      <c r="H752" s="2">
        <v>45350.793749999997</v>
      </c>
      <c r="I752" t="s">
        <v>289</v>
      </c>
      <c r="Z752">
        <v>77314</v>
      </c>
    </row>
    <row r="753" spans="1:26" x14ac:dyDescent="0.25">
      <c r="A753" t="s">
        <v>2236</v>
      </c>
      <c r="B753" t="s">
        <v>276</v>
      </c>
      <c r="C753" t="s">
        <v>27</v>
      </c>
      <c r="E753" t="s">
        <v>120</v>
      </c>
      <c r="G753" t="s">
        <v>998</v>
      </c>
      <c r="H753" s="2">
        <v>45350.505555555559</v>
      </c>
      <c r="I753" t="s">
        <v>289</v>
      </c>
      <c r="Z753">
        <v>77269</v>
      </c>
    </row>
    <row r="754" spans="1:26" x14ac:dyDescent="0.25">
      <c r="A754" t="s">
        <v>471</v>
      </c>
      <c r="B754" t="s">
        <v>370</v>
      </c>
      <c r="C754" t="s">
        <v>27</v>
      </c>
      <c r="E754" t="s">
        <v>116</v>
      </c>
      <c r="H754" s="2">
        <v>45349.53402777778</v>
      </c>
      <c r="I754" t="s">
        <v>289</v>
      </c>
      <c r="Z754">
        <v>77192</v>
      </c>
    </row>
    <row r="755" spans="1:26" x14ac:dyDescent="0.25">
      <c r="A755" t="s">
        <v>999</v>
      </c>
      <c r="B755" t="s">
        <v>26</v>
      </c>
      <c r="C755" t="s">
        <v>27</v>
      </c>
      <c r="H755" s="2">
        <v>45349.431250000001</v>
      </c>
      <c r="I755" t="s">
        <v>289</v>
      </c>
      <c r="Z755">
        <v>77181</v>
      </c>
    </row>
    <row r="756" spans="1:26" x14ac:dyDescent="0.25">
      <c r="A756" t="s">
        <v>1000</v>
      </c>
      <c r="B756" t="s">
        <v>26</v>
      </c>
      <c r="C756" t="s">
        <v>27</v>
      </c>
      <c r="H756" s="2">
        <v>45349.393055555556</v>
      </c>
      <c r="I756" t="s">
        <v>29</v>
      </c>
      <c r="Z756">
        <v>77172</v>
      </c>
    </row>
    <row r="757" spans="1:26" x14ac:dyDescent="0.25">
      <c r="A757" t="s">
        <v>1001</v>
      </c>
      <c r="B757" t="s">
        <v>26</v>
      </c>
      <c r="C757" t="s">
        <v>27</v>
      </c>
      <c r="E757" t="s">
        <v>1002</v>
      </c>
      <c r="H757" s="2">
        <v>45347.53402777778</v>
      </c>
      <c r="I757" t="s">
        <v>782</v>
      </c>
      <c r="Z757">
        <v>77058</v>
      </c>
    </row>
    <row r="758" spans="1:26" x14ac:dyDescent="0.25">
      <c r="A758" t="s">
        <v>1003</v>
      </c>
      <c r="B758" t="s">
        <v>26</v>
      </c>
      <c r="C758" t="s">
        <v>27</v>
      </c>
      <c r="H758" s="2">
        <v>45347.441666666666</v>
      </c>
      <c r="I758" t="s">
        <v>1004</v>
      </c>
      <c r="Z758">
        <v>77044</v>
      </c>
    </row>
    <row r="759" spans="1:26" x14ac:dyDescent="0.25">
      <c r="A759" t="s">
        <v>1005</v>
      </c>
      <c r="B759" t="s">
        <v>43</v>
      </c>
      <c r="C759" t="s">
        <v>27</v>
      </c>
      <c r="E759" t="s">
        <v>40</v>
      </c>
      <c r="G759" t="s">
        <v>1006</v>
      </c>
      <c r="H759" s="2">
        <v>45346.355555555558</v>
      </c>
      <c r="I759" t="s">
        <v>782</v>
      </c>
      <c r="Z759">
        <v>77001</v>
      </c>
    </row>
    <row r="760" spans="1:26" x14ac:dyDescent="0.25">
      <c r="A760" t="s">
        <v>1007</v>
      </c>
      <c r="B760" t="s">
        <v>26</v>
      </c>
      <c r="C760" t="s">
        <v>27</v>
      </c>
      <c r="H760" s="2">
        <v>45345.501388888886</v>
      </c>
      <c r="I760" t="s">
        <v>128</v>
      </c>
      <c r="Z760">
        <v>76954</v>
      </c>
    </row>
    <row r="761" spans="1:26" x14ac:dyDescent="0.25">
      <c r="A761" t="s">
        <v>1008</v>
      </c>
      <c r="B761" t="s">
        <v>26</v>
      </c>
      <c r="C761" t="s">
        <v>27</v>
      </c>
      <c r="H761" s="2">
        <v>45344.59375</v>
      </c>
      <c r="I761" t="s">
        <v>289</v>
      </c>
      <c r="Z761">
        <v>76910</v>
      </c>
    </row>
    <row r="762" spans="1:26" x14ac:dyDescent="0.25">
      <c r="A762" t="s">
        <v>1009</v>
      </c>
      <c r="B762" t="s">
        <v>26</v>
      </c>
      <c r="C762" t="s">
        <v>27</v>
      </c>
      <c r="H762" s="2">
        <v>45344.552777777775</v>
      </c>
      <c r="I762" t="s">
        <v>1004</v>
      </c>
      <c r="Z762">
        <v>76901</v>
      </c>
    </row>
    <row r="763" spans="1:26" x14ac:dyDescent="0.25">
      <c r="A763" t="s">
        <v>1010</v>
      </c>
      <c r="B763" t="s">
        <v>43</v>
      </c>
      <c r="C763" t="s">
        <v>27</v>
      </c>
      <c r="E763" t="s">
        <v>1011</v>
      </c>
      <c r="G763" t="s">
        <v>1012</v>
      </c>
      <c r="H763" s="2">
        <v>45343.513888888891</v>
      </c>
      <c r="I763" t="s">
        <v>289</v>
      </c>
      <c r="Z763">
        <v>76833</v>
      </c>
    </row>
    <row r="764" spans="1:26" x14ac:dyDescent="0.25">
      <c r="A764" t="s">
        <v>151</v>
      </c>
      <c r="C764" t="s">
        <v>27</v>
      </c>
      <c r="E764" t="s">
        <v>65</v>
      </c>
      <c r="H764" s="2">
        <v>45342.609722222223</v>
      </c>
      <c r="I764" t="s">
        <v>289</v>
      </c>
      <c r="Z764">
        <v>76775</v>
      </c>
    </row>
    <row r="765" spans="1:26" x14ac:dyDescent="0.25">
      <c r="A765" t="s">
        <v>1013</v>
      </c>
      <c r="B765" t="s">
        <v>26</v>
      </c>
      <c r="C765" t="s">
        <v>27</v>
      </c>
      <c r="H765" s="2">
        <v>45342.51666666667</v>
      </c>
      <c r="I765" t="s">
        <v>289</v>
      </c>
      <c r="Z765">
        <v>76758</v>
      </c>
    </row>
    <row r="766" spans="1:26" x14ac:dyDescent="0.25">
      <c r="A766" t="s">
        <v>1014</v>
      </c>
      <c r="B766" t="s">
        <v>276</v>
      </c>
      <c r="C766" t="s">
        <v>27</v>
      </c>
      <c r="E766" t="s">
        <v>1015</v>
      </c>
      <c r="H766" s="2">
        <v>45342.479861111111</v>
      </c>
      <c r="I766" t="s">
        <v>289</v>
      </c>
      <c r="Z766">
        <v>76752</v>
      </c>
    </row>
    <row r="767" spans="1:26" x14ac:dyDescent="0.25">
      <c r="A767" t="s">
        <v>1016</v>
      </c>
      <c r="B767" t="s">
        <v>370</v>
      </c>
      <c r="C767" t="s">
        <v>27</v>
      </c>
      <c r="E767" t="s">
        <v>41</v>
      </c>
      <c r="G767" t="s">
        <v>1017</v>
      </c>
      <c r="H767" s="2">
        <v>45342.420138888891</v>
      </c>
      <c r="I767" t="s">
        <v>29</v>
      </c>
      <c r="Z767">
        <v>76739</v>
      </c>
    </row>
    <row r="768" spans="1:26" x14ac:dyDescent="0.25">
      <c r="A768" t="s">
        <v>139</v>
      </c>
      <c r="B768" t="s">
        <v>93</v>
      </c>
      <c r="C768" t="s">
        <v>27</v>
      </c>
      <c r="E768" t="s">
        <v>81</v>
      </c>
      <c r="H768" s="2">
        <v>45341.910416666666</v>
      </c>
      <c r="I768" t="s">
        <v>289</v>
      </c>
      <c r="Z768">
        <v>76732</v>
      </c>
    </row>
    <row r="769" spans="1:26" x14ac:dyDescent="0.25">
      <c r="A769" t="s">
        <v>1018</v>
      </c>
      <c r="B769" t="s">
        <v>26</v>
      </c>
      <c r="C769" t="s">
        <v>27</v>
      </c>
      <c r="H769" s="2">
        <v>45338.784722222219</v>
      </c>
      <c r="I769" t="s">
        <v>289</v>
      </c>
      <c r="Z769">
        <v>76548</v>
      </c>
    </row>
    <row r="770" spans="1:26" x14ac:dyDescent="0.25">
      <c r="A770" t="s">
        <v>1019</v>
      </c>
      <c r="B770" t="s">
        <v>26</v>
      </c>
      <c r="C770" t="s">
        <v>27</v>
      </c>
      <c r="H770" s="2">
        <v>45337.771527777775</v>
      </c>
      <c r="I770" t="s">
        <v>289</v>
      </c>
      <c r="Z770">
        <v>76482</v>
      </c>
    </row>
    <row r="771" spans="1:26" x14ac:dyDescent="0.25">
      <c r="A771" t="s">
        <v>1020</v>
      </c>
      <c r="B771" t="s">
        <v>43</v>
      </c>
      <c r="C771" t="s">
        <v>27</v>
      </c>
      <c r="E771" t="s">
        <v>1021</v>
      </c>
      <c r="G771" t="s">
        <v>1022</v>
      </c>
      <c r="H771" s="2">
        <v>45336.86041666667</v>
      </c>
      <c r="I771" t="s">
        <v>289</v>
      </c>
      <c r="Z771">
        <v>76417</v>
      </c>
    </row>
    <row r="772" spans="1:26" x14ac:dyDescent="0.25">
      <c r="A772" t="s">
        <v>1023</v>
      </c>
      <c r="B772" t="s">
        <v>26</v>
      </c>
      <c r="C772" t="s">
        <v>27</v>
      </c>
      <c r="H772" s="2">
        <v>45336.744444444441</v>
      </c>
      <c r="I772" t="s">
        <v>289</v>
      </c>
      <c r="Z772">
        <v>76412</v>
      </c>
    </row>
    <row r="773" spans="1:26" x14ac:dyDescent="0.25">
      <c r="A773" t="s">
        <v>2237</v>
      </c>
      <c r="B773" t="s">
        <v>26</v>
      </c>
      <c r="C773" t="s">
        <v>27</v>
      </c>
      <c r="H773" s="2">
        <v>45336.626388888886</v>
      </c>
      <c r="I773" t="s">
        <v>289</v>
      </c>
      <c r="Z773">
        <v>76396</v>
      </c>
    </row>
    <row r="774" spans="1:26" x14ac:dyDescent="0.25">
      <c r="A774" t="s">
        <v>836</v>
      </c>
      <c r="B774" t="s">
        <v>370</v>
      </c>
      <c r="C774" t="s">
        <v>27</v>
      </c>
      <c r="E774" t="s">
        <v>39</v>
      </c>
      <c r="H774" s="2">
        <v>45336.429166666669</v>
      </c>
      <c r="I774" t="s">
        <v>289</v>
      </c>
      <c r="Z774">
        <v>76369</v>
      </c>
    </row>
    <row r="775" spans="1:26" x14ac:dyDescent="0.25">
      <c r="A775" t="s">
        <v>151</v>
      </c>
      <c r="C775" t="s">
        <v>71</v>
      </c>
      <c r="E775" t="s">
        <v>1024</v>
      </c>
      <c r="H775" s="2">
        <v>45334.660416666666</v>
      </c>
      <c r="I775" t="s">
        <v>782</v>
      </c>
      <c r="Z775">
        <v>76296</v>
      </c>
    </row>
    <row r="776" spans="1:26" x14ac:dyDescent="0.25">
      <c r="A776" t="s">
        <v>1025</v>
      </c>
      <c r="B776" t="s">
        <v>26</v>
      </c>
      <c r="C776" t="s">
        <v>27</v>
      </c>
      <c r="H776" s="2">
        <v>45332.42083333333</v>
      </c>
      <c r="I776" t="s">
        <v>1004</v>
      </c>
      <c r="Z776">
        <v>76099</v>
      </c>
    </row>
    <row r="777" spans="1:26" x14ac:dyDescent="0.25">
      <c r="A777" t="s">
        <v>1026</v>
      </c>
      <c r="B777" t="s">
        <v>26</v>
      </c>
      <c r="C777" t="s">
        <v>27</v>
      </c>
      <c r="H777" s="2">
        <v>45331.665277777778</v>
      </c>
      <c r="I777" t="s">
        <v>289</v>
      </c>
      <c r="Z777">
        <v>76047</v>
      </c>
    </row>
    <row r="778" spans="1:26" x14ac:dyDescent="0.25">
      <c r="A778" t="s">
        <v>1027</v>
      </c>
      <c r="B778" t="s">
        <v>26</v>
      </c>
      <c r="C778" t="s">
        <v>27</v>
      </c>
      <c r="H778" s="2">
        <v>45330.699305555558</v>
      </c>
      <c r="I778" t="s">
        <v>782</v>
      </c>
      <c r="Z778">
        <v>75989</v>
      </c>
    </row>
    <row r="779" spans="1:26" x14ac:dyDescent="0.25">
      <c r="A779" t="s">
        <v>1028</v>
      </c>
      <c r="B779" t="s">
        <v>26</v>
      </c>
      <c r="C779" t="s">
        <v>27</v>
      </c>
      <c r="H779" s="2">
        <v>45324.57916666667</v>
      </c>
      <c r="I779" t="s">
        <v>289</v>
      </c>
      <c r="Z779">
        <v>75679</v>
      </c>
    </row>
    <row r="780" spans="1:26" x14ac:dyDescent="0.25">
      <c r="A780" t="s">
        <v>1029</v>
      </c>
      <c r="B780" t="s">
        <v>276</v>
      </c>
      <c r="C780" t="s">
        <v>27</v>
      </c>
      <c r="E780" t="s">
        <v>1030</v>
      </c>
      <c r="G780" t="s">
        <v>1031</v>
      </c>
      <c r="H780" s="2">
        <v>45322.672222222223</v>
      </c>
      <c r="I780" t="s">
        <v>782</v>
      </c>
      <c r="Z780">
        <v>75583</v>
      </c>
    </row>
    <row r="781" spans="1:26" x14ac:dyDescent="0.25">
      <c r="A781" t="s">
        <v>1034</v>
      </c>
      <c r="B781" t="s">
        <v>26</v>
      </c>
      <c r="C781" t="s">
        <v>27</v>
      </c>
      <c r="H781" s="2">
        <v>45320.523611111108</v>
      </c>
      <c r="I781" t="s">
        <v>289</v>
      </c>
      <c r="Z781">
        <v>75426</v>
      </c>
    </row>
    <row r="782" spans="1:26" x14ac:dyDescent="0.25">
      <c r="A782" t="s">
        <v>1035</v>
      </c>
      <c r="B782" t="s">
        <v>26</v>
      </c>
      <c r="C782" t="s">
        <v>27</v>
      </c>
      <c r="H782" s="2">
        <v>45319.434027777781</v>
      </c>
      <c r="I782" t="s">
        <v>128</v>
      </c>
      <c r="Z782">
        <v>75359</v>
      </c>
    </row>
    <row r="783" spans="1:26" x14ac:dyDescent="0.25">
      <c r="A783" t="s">
        <v>1036</v>
      </c>
      <c r="B783" t="s">
        <v>370</v>
      </c>
      <c r="C783" t="s">
        <v>27</v>
      </c>
      <c r="E783" t="s">
        <v>79</v>
      </c>
      <c r="H783" s="2">
        <v>45318.929166666669</v>
      </c>
      <c r="I783" t="s">
        <v>825</v>
      </c>
      <c r="Z783">
        <v>75353</v>
      </c>
    </row>
    <row r="784" spans="1:26" x14ac:dyDescent="0.25">
      <c r="A784" t="s">
        <v>1039</v>
      </c>
      <c r="B784" t="s">
        <v>26</v>
      </c>
      <c r="C784" t="s">
        <v>27</v>
      </c>
      <c r="H784" s="2">
        <v>45318.534722222219</v>
      </c>
      <c r="I784" t="s">
        <v>825</v>
      </c>
      <c r="Z784">
        <v>75324</v>
      </c>
    </row>
    <row r="785" spans="1:26" x14ac:dyDescent="0.25">
      <c r="A785" t="s">
        <v>1040</v>
      </c>
      <c r="B785" t="s">
        <v>43</v>
      </c>
      <c r="C785" t="s">
        <v>27</v>
      </c>
      <c r="E785" t="s">
        <v>1041</v>
      </c>
      <c r="G785" t="s">
        <v>1042</v>
      </c>
      <c r="H785" s="2">
        <v>45317.892361111109</v>
      </c>
      <c r="I785" t="s">
        <v>29</v>
      </c>
      <c r="Z785">
        <v>75299</v>
      </c>
    </row>
    <row r="786" spans="1:26" x14ac:dyDescent="0.25">
      <c r="A786" t="s">
        <v>1043</v>
      </c>
      <c r="B786" t="s">
        <v>276</v>
      </c>
      <c r="C786" t="s">
        <v>27</v>
      </c>
      <c r="E786" t="s">
        <v>1044</v>
      </c>
      <c r="H786" s="2">
        <v>45316.880555555559</v>
      </c>
      <c r="I786" t="s">
        <v>289</v>
      </c>
      <c r="Z786">
        <v>75249</v>
      </c>
    </row>
    <row r="787" spans="1:26" x14ac:dyDescent="0.25">
      <c r="A787" t="s">
        <v>1045</v>
      </c>
      <c r="B787" t="s">
        <v>26</v>
      </c>
      <c r="C787" t="s">
        <v>27</v>
      </c>
      <c r="H787" s="2">
        <v>45316.429166666669</v>
      </c>
      <c r="I787" t="s">
        <v>289</v>
      </c>
      <c r="Z787">
        <v>75190</v>
      </c>
    </row>
    <row r="788" spans="1:26" x14ac:dyDescent="0.25">
      <c r="A788" t="s">
        <v>1046</v>
      </c>
      <c r="B788" t="s">
        <v>26</v>
      </c>
      <c r="C788" t="s">
        <v>27</v>
      </c>
      <c r="H788" s="2">
        <v>45314.521527777775</v>
      </c>
      <c r="I788" t="s">
        <v>825</v>
      </c>
      <c r="Z788">
        <v>75057</v>
      </c>
    </row>
    <row r="789" spans="1:26" x14ac:dyDescent="0.25">
      <c r="A789" t="s">
        <v>1047</v>
      </c>
      <c r="B789" t="s">
        <v>26</v>
      </c>
      <c r="C789" t="s">
        <v>563</v>
      </c>
      <c r="H789" s="2">
        <v>45314.495138888888</v>
      </c>
      <c r="I789" t="s">
        <v>1004</v>
      </c>
      <c r="Z789">
        <v>75051</v>
      </c>
    </row>
    <row r="790" spans="1:26" x14ac:dyDescent="0.25">
      <c r="A790" t="s">
        <v>1048</v>
      </c>
      <c r="B790" t="s">
        <v>26</v>
      </c>
      <c r="C790" t="s">
        <v>27</v>
      </c>
      <c r="H790" s="2">
        <v>45312.493055555555</v>
      </c>
      <c r="I790" t="s">
        <v>825</v>
      </c>
      <c r="Z790">
        <v>74889</v>
      </c>
    </row>
    <row r="791" spans="1:26" x14ac:dyDescent="0.25">
      <c r="A791" t="s">
        <v>1037</v>
      </c>
      <c r="B791" t="s">
        <v>370</v>
      </c>
      <c r="C791" t="s">
        <v>27</v>
      </c>
      <c r="E791" t="s">
        <v>1038</v>
      </c>
      <c r="H791" s="2">
        <v>45310.623611111114</v>
      </c>
      <c r="I791" t="s">
        <v>289</v>
      </c>
      <c r="Z791">
        <v>74818</v>
      </c>
    </row>
    <row r="792" spans="1:26" x14ac:dyDescent="0.25">
      <c r="A792" t="s">
        <v>151</v>
      </c>
      <c r="C792" t="s">
        <v>27</v>
      </c>
      <c r="E792" t="s">
        <v>519</v>
      </c>
      <c r="H792" s="2">
        <v>45309.809027777781</v>
      </c>
      <c r="I792" t="s">
        <v>128</v>
      </c>
      <c r="Z792">
        <v>74772</v>
      </c>
    </row>
    <row r="793" spans="1:26" x14ac:dyDescent="0.25">
      <c r="A793" t="s">
        <v>1049</v>
      </c>
      <c r="B793" t="s">
        <v>26</v>
      </c>
      <c r="C793" t="s">
        <v>27</v>
      </c>
      <c r="H793" s="2">
        <v>45309.572222222225</v>
      </c>
      <c r="I793" t="s">
        <v>1004</v>
      </c>
      <c r="Z793">
        <v>74749</v>
      </c>
    </row>
    <row r="794" spans="1:26" x14ac:dyDescent="0.25">
      <c r="A794" t="s">
        <v>1050</v>
      </c>
      <c r="B794" t="s">
        <v>276</v>
      </c>
      <c r="C794" t="s">
        <v>27</v>
      </c>
      <c r="E794" t="s">
        <v>1051</v>
      </c>
      <c r="H794" s="2">
        <v>45309.527083333334</v>
      </c>
      <c r="I794" t="s">
        <v>128</v>
      </c>
      <c r="Z794">
        <v>74744</v>
      </c>
    </row>
    <row r="795" spans="1:26" x14ac:dyDescent="0.25">
      <c r="A795" t="s">
        <v>1052</v>
      </c>
      <c r="B795" t="s">
        <v>370</v>
      </c>
      <c r="C795" t="s">
        <v>27</v>
      </c>
      <c r="E795" t="s">
        <v>1053</v>
      </c>
      <c r="G795" t="s">
        <v>1054</v>
      </c>
      <c r="H795" s="2">
        <v>45309.472916666666</v>
      </c>
      <c r="I795" t="s">
        <v>1004</v>
      </c>
      <c r="K795" t="s">
        <v>30</v>
      </c>
      <c r="L795" t="s">
        <v>31</v>
      </c>
      <c r="M795">
        <v>67127941</v>
      </c>
      <c r="N795">
        <v>15675662683</v>
      </c>
      <c r="O795" t="s">
        <v>1055</v>
      </c>
      <c r="Z795">
        <v>74735</v>
      </c>
    </row>
    <row r="796" spans="1:26" x14ac:dyDescent="0.25">
      <c r="A796" t="s">
        <v>1056</v>
      </c>
      <c r="B796" t="s">
        <v>26</v>
      </c>
      <c r="C796" t="s">
        <v>27</v>
      </c>
      <c r="H796" s="2">
        <v>45308.688194444447</v>
      </c>
      <c r="I796" t="s">
        <v>128</v>
      </c>
      <c r="Z796">
        <v>74702</v>
      </c>
    </row>
    <row r="797" spans="1:26" x14ac:dyDescent="0.25">
      <c r="A797" t="s">
        <v>1057</v>
      </c>
      <c r="B797" t="s">
        <v>26</v>
      </c>
      <c r="C797" t="s">
        <v>27</v>
      </c>
      <c r="H797" s="2">
        <v>45308.397916666669</v>
      </c>
      <c r="I797" t="s">
        <v>1004</v>
      </c>
      <c r="Z797">
        <v>74657</v>
      </c>
    </row>
    <row r="798" spans="1:26" x14ac:dyDescent="0.25">
      <c r="A798" t="s">
        <v>2238</v>
      </c>
      <c r="B798" t="s">
        <v>26</v>
      </c>
      <c r="C798" t="s">
        <v>27</v>
      </c>
      <c r="H798" s="2">
        <v>45308.370833333334</v>
      </c>
      <c r="I798" t="s">
        <v>1004</v>
      </c>
      <c r="Z798">
        <v>74651</v>
      </c>
    </row>
    <row r="799" spans="1:26" x14ac:dyDescent="0.25">
      <c r="A799" t="s">
        <v>1058</v>
      </c>
      <c r="B799" t="s">
        <v>26</v>
      </c>
      <c r="C799" t="s">
        <v>27</v>
      </c>
      <c r="H799" s="2">
        <v>45300.669444444444</v>
      </c>
      <c r="I799" t="s">
        <v>289</v>
      </c>
      <c r="Z799">
        <v>74178</v>
      </c>
    </row>
    <row r="800" spans="1:26" x14ac:dyDescent="0.25">
      <c r="A800" t="s">
        <v>1059</v>
      </c>
      <c r="B800" t="s">
        <v>26</v>
      </c>
      <c r="C800" t="s">
        <v>27</v>
      </c>
      <c r="H800" s="2">
        <v>45300.586805555555</v>
      </c>
      <c r="I800" t="s">
        <v>1004</v>
      </c>
      <c r="Z800">
        <v>74159</v>
      </c>
    </row>
    <row r="801" spans="1:26" x14ac:dyDescent="0.25">
      <c r="A801" t="s">
        <v>1060</v>
      </c>
      <c r="B801" t="s">
        <v>26</v>
      </c>
      <c r="C801" t="s">
        <v>27</v>
      </c>
      <c r="H801" s="2">
        <v>45298.616666666669</v>
      </c>
      <c r="I801" t="s">
        <v>289</v>
      </c>
      <c r="Z801">
        <v>74021</v>
      </c>
    </row>
    <row r="802" spans="1:26" x14ac:dyDescent="0.25">
      <c r="A802" t="s">
        <v>1061</v>
      </c>
      <c r="B802" t="s">
        <v>26</v>
      </c>
      <c r="C802" t="s">
        <v>27</v>
      </c>
      <c r="H802" s="2">
        <v>45297.775000000001</v>
      </c>
      <c r="I802" t="s">
        <v>128</v>
      </c>
      <c r="Z802">
        <v>73986</v>
      </c>
    </row>
    <row r="803" spans="1:26" x14ac:dyDescent="0.25">
      <c r="A803" t="s">
        <v>1062</v>
      </c>
      <c r="B803" t="s">
        <v>26</v>
      </c>
      <c r="C803" t="s">
        <v>27</v>
      </c>
      <c r="H803" s="2">
        <v>45295.65347222222</v>
      </c>
      <c r="I803" t="s">
        <v>289</v>
      </c>
      <c r="Z803">
        <v>73820</v>
      </c>
    </row>
    <row r="804" spans="1:26" x14ac:dyDescent="0.25">
      <c r="A804" t="s">
        <v>1063</v>
      </c>
      <c r="B804" t="s">
        <v>370</v>
      </c>
      <c r="C804" t="s">
        <v>27</v>
      </c>
      <c r="E804" t="s">
        <v>68</v>
      </c>
      <c r="H804" s="2">
        <v>45294.625694444447</v>
      </c>
      <c r="I804" t="s">
        <v>289</v>
      </c>
      <c r="Z804">
        <v>73742</v>
      </c>
    </row>
    <row r="805" spans="1:26" x14ac:dyDescent="0.25">
      <c r="A805" t="s">
        <v>1065</v>
      </c>
      <c r="B805" t="s">
        <v>276</v>
      </c>
      <c r="C805" t="s">
        <v>27</v>
      </c>
      <c r="E805" t="s">
        <v>1066</v>
      </c>
      <c r="H805" s="2">
        <v>45290.751388888886</v>
      </c>
      <c r="I805" t="s">
        <v>128</v>
      </c>
      <c r="Z805">
        <v>72606</v>
      </c>
    </row>
    <row r="806" spans="1:26" x14ac:dyDescent="0.25">
      <c r="A806" t="s">
        <v>1067</v>
      </c>
      <c r="B806" t="s">
        <v>26</v>
      </c>
      <c r="C806" t="s">
        <v>27</v>
      </c>
      <c r="H806" s="2">
        <v>45290.469444444447</v>
      </c>
      <c r="I806" t="s">
        <v>825</v>
      </c>
      <c r="Z806">
        <v>72584</v>
      </c>
    </row>
    <row r="807" spans="1:26" x14ac:dyDescent="0.25">
      <c r="A807" t="s">
        <v>1068</v>
      </c>
      <c r="B807" t="s">
        <v>26</v>
      </c>
      <c r="C807" t="s">
        <v>27</v>
      </c>
      <c r="H807" s="2">
        <v>45289.468055555553</v>
      </c>
      <c r="I807" t="s">
        <v>1004</v>
      </c>
      <c r="Z807">
        <v>72506</v>
      </c>
    </row>
    <row r="808" spans="1:26" x14ac:dyDescent="0.25">
      <c r="A808" t="s">
        <v>1069</v>
      </c>
      <c r="B808" t="s">
        <v>26</v>
      </c>
      <c r="C808" t="s">
        <v>27</v>
      </c>
      <c r="H808" s="2">
        <v>45286.651388888888</v>
      </c>
      <c r="I808" t="s">
        <v>128</v>
      </c>
      <c r="Z808">
        <v>72331</v>
      </c>
    </row>
    <row r="809" spans="1:26" x14ac:dyDescent="0.25">
      <c r="A809" t="s">
        <v>139</v>
      </c>
      <c r="B809" t="s">
        <v>93</v>
      </c>
      <c r="C809" t="s">
        <v>27</v>
      </c>
      <c r="E809" t="s">
        <v>1070</v>
      </c>
      <c r="H809" s="2">
        <v>45285.872916666667</v>
      </c>
      <c r="I809" t="s">
        <v>128</v>
      </c>
      <c r="Z809">
        <v>72279</v>
      </c>
    </row>
    <row r="810" spans="1:26" x14ac:dyDescent="0.25">
      <c r="A810" t="s">
        <v>1072</v>
      </c>
      <c r="B810" t="s">
        <v>26</v>
      </c>
      <c r="C810" t="s">
        <v>27</v>
      </c>
      <c r="H810" s="2">
        <v>45283.51666666667</v>
      </c>
      <c r="I810" t="s">
        <v>782</v>
      </c>
      <c r="Z810">
        <v>72158</v>
      </c>
    </row>
    <row r="811" spans="1:26" x14ac:dyDescent="0.25">
      <c r="A811" t="s">
        <v>1073</v>
      </c>
      <c r="B811" t="s">
        <v>26</v>
      </c>
      <c r="C811" t="s">
        <v>27</v>
      </c>
      <c r="H811" s="2">
        <v>45282.686111111114</v>
      </c>
      <c r="I811" t="s">
        <v>782</v>
      </c>
      <c r="Z811">
        <v>72129</v>
      </c>
    </row>
    <row r="812" spans="1:26" x14ac:dyDescent="0.25">
      <c r="A812" t="s">
        <v>1074</v>
      </c>
      <c r="B812" t="s">
        <v>26</v>
      </c>
      <c r="C812" t="s">
        <v>27</v>
      </c>
      <c r="H812" s="2">
        <v>45282.502083333333</v>
      </c>
      <c r="I812" t="s">
        <v>825</v>
      </c>
      <c r="Z812">
        <v>72102</v>
      </c>
    </row>
    <row r="813" spans="1:26" x14ac:dyDescent="0.25">
      <c r="A813" t="s">
        <v>1075</v>
      </c>
      <c r="B813" t="s">
        <v>26</v>
      </c>
      <c r="C813" t="s">
        <v>27</v>
      </c>
      <c r="H813" s="2">
        <v>45281.685416666667</v>
      </c>
      <c r="I813" t="s">
        <v>825</v>
      </c>
      <c r="Z813">
        <v>72061</v>
      </c>
    </row>
    <row r="814" spans="1:26" x14ac:dyDescent="0.25">
      <c r="A814" t="s">
        <v>1076</v>
      </c>
      <c r="B814" t="s">
        <v>26</v>
      </c>
      <c r="C814" t="s">
        <v>27</v>
      </c>
      <c r="H814" s="2">
        <v>45274.488194444442</v>
      </c>
      <c r="I814" t="s">
        <v>29</v>
      </c>
      <c r="Z814">
        <v>71602</v>
      </c>
    </row>
    <row r="815" spans="1:26" x14ac:dyDescent="0.25">
      <c r="A815" t="s">
        <v>1077</v>
      </c>
      <c r="B815" t="s">
        <v>26</v>
      </c>
      <c r="C815" t="s">
        <v>71</v>
      </c>
      <c r="H815" s="2">
        <v>45273.477777777778</v>
      </c>
      <c r="I815" t="s">
        <v>536</v>
      </c>
      <c r="Z815">
        <v>71502</v>
      </c>
    </row>
    <row r="816" spans="1:26" x14ac:dyDescent="0.25">
      <c r="A816" t="s">
        <v>1078</v>
      </c>
      <c r="B816" t="s">
        <v>370</v>
      </c>
      <c r="C816" t="s">
        <v>27</v>
      </c>
      <c r="E816" t="s">
        <v>851</v>
      </c>
      <c r="H816" s="2">
        <v>45271.84375</v>
      </c>
      <c r="I816" t="s">
        <v>782</v>
      </c>
      <c r="K816" t="s">
        <v>30</v>
      </c>
      <c r="L816" t="s">
        <v>31</v>
      </c>
      <c r="M816">
        <v>67131912</v>
      </c>
      <c r="N816">
        <v>11953101698</v>
      </c>
      <c r="O816" t="s">
        <v>123</v>
      </c>
      <c r="Z816">
        <v>71397</v>
      </c>
    </row>
    <row r="817" spans="1:26" x14ac:dyDescent="0.25">
      <c r="A817" t="s">
        <v>1079</v>
      </c>
      <c r="B817" t="s">
        <v>26</v>
      </c>
      <c r="C817" t="s">
        <v>27</v>
      </c>
      <c r="H817" s="2">
        <v>45271.512499999997</v>
      </c>
      <c r="I817" t="s">
        <v>825</v>
      </c>
      <c r="Z817">
        <v>71350</v>
      </c>
    </row>
    <row r="818" spans="1:26" x14ac:dyDescent="0.25">
      <c r="A818" t="s">
        <v>1080</v>
      </c>
      <c r="B818" t="s">
        <v>26</v>
      </c>
      <c r="C818" t="s">
        <v>27</v>
      </c>
      <c r="H818" s="2">
        <v>45269.618750000001</v>
      </c>
      <c r="I818" t="s">
        <v>1004</v>
      </c>
      <c r="Z818">
        <v>71234</v>
      </c>
    </row>
    <row r="819" spans="1:26" x14ac:dyDescent="0.25">
      <c r="A819" t="s">
        <v>1081</v>
      </c>
      <c r="B819" t="s">
        <v>26</v>
      </c>
      <c r="C819" t="s">
        <v>27</v>
      </c>
      <c r="H819" s="2">
        <v>45269.463194444441</v>
      </c>
      <c r="I819" t="s">
        <v>128</v>
      </c>
      <c r="Z819">
        <v>71198</v>
      </c>
    </row>
    <row r="820" spans="1:26" x14ac:dyDescent="0.25">
      <c r="A820" t="s">
        <v>1082</v>
      </c>
      <c r="B820" t="s">
        <v>276</v>
      </c>
      <c r="C820" t="s">
        <v>27</v>
      </c>
      <c r="E820" t="s">
        <v>1083</v>
      </c>
      <c r="H820" s="2">
        <v>45269.427777777775</v>
      </c>
      <c r="I820" t="s">
        <v>128</v>
      </c>
      <c r="Z820">
        <v>71193</v>
      </c>
    </row>
    <row r="821" spans="1:26" x14ac:dyDescent="0.25">
      <c r="A821" t="s">
        <v>1084</v>
      </c>
      <c r="B821" t="s">
        <v>26</v>
      </c>
      <c r="C821" t="s">
        <v>27</v>
      </c>
      <c r="H821" s="2">
        <v>45268.469444444447</v>
      </c>
      <c r="I821" t="s">
        <v>128</v>
      </c>
      <c r="Z821">
        <v>71114</v>
      </c>
    </row>
    <row r="822" spans="1:26" x14ac:dyDescent="0.25">
      <c r="A822" t="s">
        <v>1085</v>
      </c>
      <c r="B822" t="s">
        <v>472</v>
      </c>
      <c r="C822" t="s">
        <v>27</v>
      </c>
      <c r="H822" s="2">
        <v>45268.450694444444</v>
      </c>
      <c r="I822" t="s">
        <v>128</v>
      </c>
      <c r="Z822">
        <v>71108</v>
      </c>
    </row>
    <row r="823" spans="1:26" x14ac:dyDescent="0.25">
      <c r="A823" t="s">
        <v>1086</v>
      </c>
      <c r="B823" t="s">
        <v>370</v>
      </c>
      <c r="C823" t="s">
        <v>27</v>
      </c>
      <c r="E823" t="s">
        <v>1087</v>
      </c>
      <c r="G823" t="s">
        <v>1088</v>
      </c>
      <c r="H823" s="2">
        <v>45265.868055555555</v>
      </c>
      <c r="I823" t="s">
        <v>782</v>
      </c>
      <c r="Z823">
        <v>70885</v>
      </c>
    </row>
    <row r="824" spans="1:26" x14ac:dyDescent="0.25">
      <c r="A824" t="s">
        <v>1089</v>
      </c>
      <c r="B824" t="s">
        <v>26</v>
      </c>
      <c r="C824" t="s">
        <v>27</v>
      </c>
      <c r="H824" s="2">
        <v>45265.806250000001</v>
      </c>
      <c r="I824" t="s">
        <v>825</v>
      </c>
      <c r="Z824">
        <v>70880</v>
      </c>
    </row>
    <row r="825" spans="1:26" x14ac:dyDescent="0.25">
      <c r="A825" t="s">
        <v>1090</v>
      </c>
      <c r="B825" t="s">
        <v>26</v>
      </c>
      <c r="C825" t="s">
        <v>27</v>
      </c>
      <c r="H825" s="2">
        <v>45264.537499999999</v>
      </c>
      <c r="I825" t="s">
        <v>782</v>
      </c>
      <c r="Z825">
        <v>70733</v>
      </c>
    </row>
    <row r="826" spans="1:26" x14ac:dyDescent="0.25">
      <c r="A826" t="s">
        <v>129</v>
      </c>
      <c r="C826" t="s">
        <v>27</v>
      </c>
      <c r="E826" t="s">
        <v>74</v>
      </c>
      <c r="H826" s="2">
        <v>45261.706944444442</v>
      </c>
      <c r="I826" t="s">
        <v>128</v>
      </c>
      <c r="Z826">
        <v>70588</v>
      </c>
    </row>
    <row r="827" spans="1:26" x14ac:dyDescent="0.25">
      <c r="A827" t="s">
        <v>1091</v>
      </c>
      <c r="B827" t="s">
        <v>26</v>
      </c>
      <c r="C827" t="s">
        <v>27</v>
      </c>
      <c r="H827" s="2">
        <v>45261.702777777777</v>
      </c>
      <c r="I827" t="s">
        <v>128</v>
      </c>
      <c r="Z827">
        <v>70586</v>
      </c>
    </row>
    <row r="828" spans="1:26" x14ac:dyDescent="0.25">
      <c r="A828" t="s">
        <v>1093</v>
      </c>
      <c r="B828" t="s">
        <v>43</v>
      </c>
      <c r="C828" t="s">
        <v>27</v>
      </c>
      <c r="E828" t="s">
        <v>300</v>
      </c>
      <c r="G828" t="s">
        <v>1094</v>
      </c>
      <c r="H828" s="2">
        <v>45257.512499999997</v>
      </c>
      <c r="I828" t="s">
        <v>128</v>
      </c>
      <c r="Z828">
        <v>70259</v>
      </c>
    </row>
    <row r="829" spans="1:26" x14ac:dyDescent="0.25">
      <c r="A829" t="s">
        <v>1095</v>
      </c>
      <c r="B829" t="s">
        <v>26</v>
      </c>
      <c r="C829" t="s">
        <v>27</v>
      </c>
      <c r="H829" s="2">
        <v>45256.631944444445</v>
      </c>
      <c r="I829" t="s">
        <v>825</v>
      </c>
      <c r="Z829">
        <v>70217</v>
      </c>
    </row>
    <row r="830" spans="1:26" x14ac:dyDescent="0.25">
      <c r="A830" t="s">
        <v>1096</v>
      </c>
      <c r="B830" t="s">
        <v>370</v>
      </c>
      <c r="C830" t="s">
        <v>27</v>
      </c>
      <c r="E830" t="s">
        <v>169</v>
      </c>
      <c r="H830" s="2">
        <v>45256.447222222225</v>
      </c>
      <c r="I830" t="s">
        <v>128</v>
      </c>
      <c r="K830" t="s">
        <v>30</v>
      </c>
      <c r="L830" t="s">
        <v>31</v>
      </c>
      <c r="M830">
        <v>55887089</v>
      </c>
      <c r="N830">
        <v>12886132962</v>
      </c>
      <c r="O830" t="s">
        <v>1097</v>
      </c>
      <c r="Z830">
        <v>70201</v>
      </c>
    </row>
    <row r="831" spans="1:26" x14ac:dyDescent="0.25">
      <c r="A831" t="s">
        <v>471</v>
      </c>
      <c r="B831" t="s">
        <v>276</v>
      </c>
      <c r="C831" t="s">
        <v>27</v>
      </c>
      <c r="E831" t="s">
        <v>116</v>
      </c>
      <c r="H831" s="2">
        <v>45255.865277777775</v>
      </c>
      <c r="I831" t="s">
        <v>128</v>
      </c>
      <c r="Z831">
        <v>70190</v>
      </c>
    </row>
    <row r="832" spans="1:26" x14ac:dyDescent="0.25">
      <c r="A832" t="s">
        <v>1098</v>
      </c>
      <c r="B832" t="s">
        <v>43</v>
      </c>
      <c r="C832" t="s">
        <v>27</v>
      </c>
      <c r="E832" t="s">
        <v>76</v>
      </c>
      <c r="G832" t="s">
        <v>1099</v>
      </c>
      <c r="H832" s="2">
        <v>45253.382638888892</v>
      </c>
      <c r="I832" t="s">
        <v>782</v>
      </c>
      <c r="Z832">
        <v>70043</v>
      </c>
    </row>
    <row r="833" spans="1:26" x14ac:dyDescent="0.25">
      <c r="A833" t="s">
        <v>1100</v>
      </c>
      <c r="B833" t="s">
        <v>26</v>
      </c>
      <c r="C833" t="s">
        <v>27</v>
      </c>
      <c r="H833" s="2">
        <v>45252.854166666664</v>
      </c>
      <c r="I833" t="s">
        <v>782</v>
      </c>
      <c r="Z833">
        <v>70031</v>
      </c>
    </row>
    <row r="834" spans="1:26" x14ac:dyDescent="0.25">
      <c r="A834" t="s">
        <v>2239</v>
      </c>
      <c r="B834" t="s">
        <v>26</v>
      </c>
      <c r="C834" t="s">
        <v>27</v>
      </c>
      <c r="H834" s="2">
        <v>45252.734027777777</v>
      </c>
      <c r="I834" t="s">
        <v>29</v>
      </c>
      <c r="Z834">
        <v>70019</v>
      </c>
    </row>
    <row r="835" spans="1:26" x14ac:dyDescent="0.25">
      <c r="A835" t="s">
        <v>1101</v>
      </c>
      <c r="B835" t="s">
        <v>370</v>
      </c>
      <c r="C835" t="s">
        <v>27</v>
      </c>
      <c r="E835" t="s">
        <v>135</v>
      </c>
      <c r="H835" s="2">
        <v>45251.619444444441</v>
      </c>
      <c r="I835" t="s">
        <v>128</v>
      </c>
      <c r="Z835">
        <v>69935</v>
      </c>
    </row>
    <row r="836" spans="1:26" x14ac:dyDescent="0.25">
      <c r="A836" t="s">
        <v>1102</v>
      </c>
      <c r="B836" t="s">
        <v>26</v>
      </c>
      <c r="C836" t="s">
        <v>27</v>
      </c>
      <c r="H836" s="2">
        <v>45251.440972222219</v>
      </c>
      <c r="I836" t="s">
        <v>128</v>
      </c>
      <c r="Z836">
        <v>69909</v>
      </c>
    </row>
    <row r="837" spans="1:26" x14ac:dyDescent="0.25">
      <c r="A837" t="s">
        <v>1103</v>
      </c>
      <c r="B837" t="s">
        <v>26</v>
      </c>
      <c r="C837" t="s">
        <v>27</v>
      </c>
      <c r="H837" s="2">
        <v>45251.433333333334</v>
      </c>
      <c r="I837" t="s">
        <v>128</v>
      </c>
      <c r="Z837">
        <v>69907</v>
      </c>
    </row>
    <row r="838" spans="1:26" x14ac:dyDescent="0.25">
      <c r="A838" t="s">
        <v>1104</v>
      </c>
      <c r="B838" t="s">
        <v>26</v>
      </c>
      <c r="C838" t="s">
        <v>27</v>
      </c>
      <c r="H838" s="2">
        <v>45250.432638888888</v>
      </c>
      <c r="I838" t="s">
        <v>128</v>
      </c>
      <c r="Z838">
        <v>69825</v>
      </c>
    </row>
    <row r="839" spans="1:26" x14ac:dyDescent="0.25">
      <c r="A839" t="s">
        <v>1105</v>
      </c>
      <c r="B839" t="s">
        <v>26</v>
      </c>
      <c r="C839" t="s">
        <v>563</v>
      </c>
      <c r="H839" s="2">
        <v>45249.722916666666</v>
      </c>
      <c r="I839" t="s">
        <v>536</v>
      </c>
      <c r="Z839">
        <v>69792</v>
      </c>
    </row>
    <row r="840" spans="1:26" x14ac:dyDescent="0.25">
      <c r="A840" t="s">
        <v>1106</v>
      </c>
      <c r="B840" t="s">
        <v>26</v>
      </c>
      <c r="C840" t="s">
        <v>27</v>
      </c>
      <c r="H840" s="2">
        <v>45249.569444444445</v>
      </c>
      <c r="I840" t="s">
        <v>128</v>
      </c>
      <c r="Z840">
        <v>69763</v>
      </c>
    </row>
    <row r="841" spans="1:26" x14ac:dyDescent="0.25">
      <c r="A841" t="s">
        <v>1107</v>
      </c>
      <c r="B841" t="s">
        <v>26</v>
      </c>
      <c r="C841" t="s">
        <v>27</v>
      </c>
      <c r="H841" s="2">
        <v>45248.563194444447</v>
      </c>
      <c r="I841" t="s">
        <v>1004</v>
      </c>
      <c r="Z841">
        <v>69680</v>
      </c>
    </row>
    <row r="842" spans="1:26" x14ac:dyDescent="0.25">
      <c r="A842" t="s">
        <v>1108</v>
      </c>
      <c r="B842" t="s">
        <v>26</v>
      </c>
      <c r="C842" t="s">
        <v>27</v>
      </c>
      <c r="E842">
        <v>79297064414</v>
      </c>
      <c r="H842" s="2">
        <v>45248.480555555558</v>
      </c>
      <c r="I842" t="s">
        <v>782</v>
      </c>
      <c r="Z842">
        <v>69661</v>
      </c>
    </row>
    <row r="843" spans="1:26" x14ac:dyDescent="0.25">
      <c r="A843" t="s">
        <v>466</v>
      </c>
      <c r="B843" t="s">
        <v>370</v>
      </c>
      <c r="C843" t="s">
        <v>27</v>
      </c>
      <c r="E843" t="s">
        <v>349</v>
      </c>
      <c r="H843" s="2">
        <v>45248.47152777778</v>
      </c>
      <c r="I843" t="s">
        <v>782</v>
      </c>
      <c r="K843" t="s">
        <v>30</v>
      </c>
      <c r="L843" t="s">
        <v>31</v>
      </c>
      <c r="M843">
        <v>55887083</v>
      </c>
      <c r="N843">
        <v>9754618980</v>
      </c>
      <c r="O843" t="s">
        <v>1109</v>
      </c>
      <c r="Z843">
        <v>69657</v>
      </c>
    </row>
    <row r="844" spans="1:26" x14ac:dyDescent="0.25">
      <c r="A844" t="s">
        <v>1110</v>
      </c>
      <c r="B844" t="s">
        <v>370</v>
      </c>
      <c r="C844" t="s">
        <v>27</v>
      </c>
      <c r="E844" t="s">
        <v>1111</v>
      </c>
      <c r="H844" s="2">
        <v>45246.57916666667</v>
      </c>
      <c r="I844" t="s">
        <v>782</v>
      </c>
      <c r="Z844">
        <v>69478</v>
      </c>
    </row>
    <row r="845" spans="1:26" x14ac:dyDescent="0.25">
      <c r="A845" t="s">
        <v>1112</v>
      </c>
      <c r="B845" t="s">
        <v>26</v>
      </c>
      <c r="C845" t="s">
        <v>27</v>
      </c>
      <c r="H845" s="2">
        <v>45246.50277777778</v>
      </c>
      <c r="I845" t="s">
        <v>128</v>
      </c>
      <c r="Z845">
        <v>69457</v>
      </c>
    </row>
    <row r="846" spans="1:26" x14ac:dyDescent="0.25">
      <c r="A846" t="s">
        <v>1113</v>
      </c>
      <c r="B846" t="s">
        <v>26</v>
      </c>
      <c r="C846" t="s">
        <v>27</v>
      </c>
      <c r="H846" s="2">
        <v>45246.479861111111</v>
      </c>
      <c r="I846" t="s">
        <v>1004</v>
      </c>
      <c r="Z846">
        <v>69454</v>
      </c>
    </row>
    <row r="847" spans="1:26" x14ac:dyDescent="0.25">
      <c r="A847" t="s">
        <v>1114</v>
      </c>
      <c r="B847" t="s">
        <v>26</v>
      </c>
      <c r="C847" t="s">
        <v>27</v>
      </c>
      <c r="H847" s="2">
        <v>45246.413888888892</v>
      </c>
      <c r="I847" t="s">
        <v>1004</v>
      </c>
      <c r="Z847">
        <v>69434</v>
      </c>
    </row>
    <row r="848" spans="1:26" x14ac:dyDescent="0.25">
      <c r="A848" t="s">
        <v>1115</v>
      </c>
      <c r="B848" t="s">
        <v>541</v>
      </c>
      <c r="C848" t="s">
        <v>27</v>
      </c>
      <c r="E848" t="s">
        <v>246</v>
      </c>
      <c r="H848" s="2">
        <v>45245.866666666669</v>
      </c>
      <c r="I848" t="s">
        <v>782</v>
      </c>
      <c r="K848" t="s">
        <v>30</v>
      </c>
      <c r="L848" t="s">
        <v>31</v>
      </c>
      <c r="M848">
        <v>55887089</v>
      </c>
      <c r="N848">
        <v>9754619162</v>
      </c>
      <c r="O848" t="s">
        <v>1116</v>
      </c>
      <c r="Z848">
        <v>69426</v>
      </c>
    </row>
    <row r="849" spans="1:26" x14ac:dyDescent="0.25">
      <c r="A849" t="s">
        <v>1117</v>
      </c>
      <c r="B849" t="s">
        <v>26</v>
      </c>
      <c r="C849" t="s">
        <v>27</v>
      </c>
      <c r="H849" s="2">
        <v>45245.783333333333</v>
      </c>
      <c r="I849" t="s">
        <v>1004</v>
      </c>
      <c r="Z849">
        <v>69410</v>
      </c>
    </row>
    <row r="850" spans="1:26" x14ac:dyDescent="0.25">
      <c r="A850" t="s">
        <v>1118</v>
      </c>
      <c r="B850" t="s">
        <v>26</v>
      </c>
      <c r="C850" t="s">
        <v>27</v>
      </c>
      <c r="H850" s="2">
        <v>45245.525000000001</v>
      </c>
      <c r="I850" t="s">
        <v>29</v>
      </c>
      <c r="Z850">
        <v>69362</v>
      </c>
    </row>
    <row r="851" spans="1:26" x14ac:dyDescent="0.25">
      <c r="A851" t="s">
        <v>1119</v>
      </c>
      <c r="B851" t="s">
        <v>276</v>
      </c>
      <c r="C851" t="s">
        <v>27</v>
      </c>
      <c r="E851" t="s">
        <v>1120</v>
      </c>
      <c r="H851" s="2">
        <v>45242.453472222223</v>
      </c>
      <c r="I851" t="s">
        <v>782</v>
      </c>
      <c r="Z851">
        <v>69080</v>
      </c>
    </row>
    <row r="852" spans="1:26" x14ac:dyDescent="0.25">
      <c r="A852" t="s">
        <v>1121</v>
      </c>
      <c r="B852" t="s">
        <v>26</v>
      </c>
      <c r="C852" t="s">
        <v>27</v>
      </c>
      <c r="H852" s="2">
        <v>45240.643055555556</v>
      </c>
      <c r="I852" t="s">
        <v>825</v>
      </c>
      <c r="Z852">
        <v>68945</v>
      </c>
    </row>
    <row r="853" spans="1:26" x14ac:dyDescent="0.25">
      <c r="A853" t="s">
        <v>1122</v>
      </c>
      <c r="B853" t="s">
        <v>26</v>
      </c>
      <c r="C853" t="s">
        <v>27</v>
      </c>
      <c r="H853" s="2">
        <v>45238.624305555553</v>
      </c>
      <c r="I853" t="s">
        <v>128</v>
      </c>
      <c r="Z853">
        <v>68804</v>
      </c>
    </row>
    <row r="854" spans="1:26" x14ac:dyDescent="0.25">
      <c r="A854" t="s">
        <v>1123</v>
      </c>
      <c r="B854" t="s">
        <v>26</v>
      </c>
      <c r="C854" t="s">
        <v>27</v>
      </c>
      <c r="H854" s="2">
        <v>45238.482638888891</v>
      </c>
      <c r="I854" t="s">
        <v>825</v>
      </c>
      <c r="Z854">
        <v>68767</v>
      </c>
    </row>
    <row r="855" spans="1:26" x14ac:dyDescent="0.25">
      <c r="A855" t="s">
        <v>151</v>
      </c>
      <c r="C855" t="s">
        <v>27</v>
      </c>
      <c r="E855" t="s">
        <v>1124</v>
      </c>
      <c r="H855" s="2">
        <v>45237.749305555553</v>
      </c>
      <c r="I855" t="s">
        <v>128</v>
      </c>
      <c r="Z855">
        <v>68741</v>
      </c>
    </row>
    <row r="856" spans="1:26" x14ac:dyDescent="0.25">
      <c r="A856" t="s">
        <v>1126</v>
      </c>
      <c r="B856" t="s">
        <v>26</v>
      </c>
      <c r="C856" t="s">
        <v>27</v>
      </c>
      <c r="H856" s="2">
        <v>45237.524305555555</v>
      </c>
      <c r="I856" t="s">
        <v>128</v>
      </c>
      <c r="Z856">
        <v>68696</v>
      </c>
    </row>
    <row r="857" spans="1:26" x14ac:dyDescent="0.25">
      <c r="A857" t="s">
        <v>1127</v>
      </c>
      <c r="B857" t="s">
        <v>472</v>
      </c>
      <c r="C857" t="s">
        <v>27</v>
      </c>
      <c r="E857" t="s">
        <v>143</v>
      </c>
      <c r="G857" t="s">
        <v>1128</v>
      </c>
      <c r="H857" s="2">
        <v>45236.400694444441</v>
      </c>
      <c r="I857" t="s">
        <v>782</v>
      </c>
      <c r="Z857">
        <v>68584</v>
      </c>
    </row>
    <row r="858" spans="1:26" x14ac:dyDescent="0.25">
      <c r="A858" t="s">
        <v>151</v>
      </c>
      <c r="C858" t="s">
        <v>27</v>
      </c>
      <c r="E858" t="s">
        <v>75</v>
      </c>
      <c r="H858" s="2">
        <v>45235.446527777778</v>
      </c>
      <c r="I858" t="s">
        <v>782</v>
      </c>
      <c r="Z858">
        <v>68513</v>
      </c>
    </row>
    <row r="859" spans="1:26" x14ac:dyDescent="0.25">
      <c r="A859" t="s">
        <v>2240</v>
      </c>
      <c r="B859" t="s">
        <v>472</v>
      </c>
      <c r="C859" t="s">
        <v>71</v>
      </c>
      <c r="E859" t="s">
        <v>135</v>
      </c>
      <c r="H859" s="2">
        <v>45234.76458333333</v>
      </c>
      <c r="I859" t="s">
        <v>29</v>
      </c>
      <c r="Z859">
        <v>68502</v>
      </c>
    </row>
    <row r="860" spans="1:26" x14ac:dyDescent="0.25">
      <c r="A860" t="s">
        <v>1129</v>
      </c>
      <c r="B860" t="s">
        <v>26</v>
      </c>
      <c r="C860" t="s">
        <v>27</v>
      </c>
      <c r="H860" s="2">
        <v>45233.730555555558</v>
      </c>
      <c r="I860" t="s">
        <v>825</v>
      </c>
      <c r="Z860">
        <v>68426</v>
      </c>
    </row>
    <row r="861" spans="1:26" x14ac:dyDescent="0.25">
      <c r="A861" t="s">
        <v>1130</v>
      </c>
      <c r="B861" t="s">
        <v>26</v>
      </c>
      <c r="C861" t="s">
        <v>27</v>
      </c>
      <c r="H861" s="2">
        <v>45233.622916666667</v>
      </c>
      <c r="I861" t="s">
        <v>825</v>
      </c>
      <c r="Z861">
        <v>68387</v>
      </c>
    </row>
    <row r="862" spans="1:26" x14ac:dyDescent="0.25">
      <c r="A862" t="s">
        <v>1131</v>
      </c>
      <c r="B862" t="s">
        <v>26</v>
      </c>
      <c r="C862" t="s">
        <v>27</v>
      </c>
      <c r="H862" s="2">
        <v>45232.695138888892</v>
      </c>
      <c r="I862" t="s">
        <v>128</v>
      </c>
      <c r="Z862">
        <v>68298</v>
      </c>
    </row>
    <row r="863" spans="1:26" x14ac:dyDescent="0.25">
      <c r="A863" t="s">
        <v>1132</v>
      </c>
      <c r="B863" t="s">
        <v>472</v>
      </c>
      <c r="C863" t="s">
        <v>27</v>
      </c>
      <c r="E863" t="s">
        <v>116</v>
      </c>
      <c r="G863" t="s">
        <v>1133</v>
      </c>
      <c r="H863" s="2">
        <v>45230.929861111108</v>
      </c>
      <c r="I863" t="s">
        <v>782</v>
      </c>
      <c r="Z863">
        <v>68175</v>
      </c>
    </row>
    <row r="864" spans="1:26" x14ac:dyDescent="0.25">
      <c r="A864" t="s">
        <v>1134</v>
      </c>
      <c r="B864" t="s">
        <v>26</v>
      </c>
      <c r="C864" t="s">
        <v>27</v>
      </c>
      <c r="H864" s="2">
        <v>45230.615277777775</v>
      </c>
      <c r="I864" t="s">
        <v>1004</v>
      </c>
      <c r="Z864">
        <v>68142</v>
      </c>
    </row>
    <row r="865" spans="1:26" x14ac:dyDescent="0.25">
      <c r="A865" t="s">
        <v>1135</v>
      </c>
      <c r="B865" t="s">
        <v>26</v>
      </c>
      <c r="C865" t="s">
        <v>27</v>
      </c>
      <c r="H865" s="2">
        <v>45230.488888888889</v>
      </c>
      <c r="I865" t="s">
        <v>782</v>
      </c>
      <c r="Z865">
        <v>68119</v>
      </c>
    </row>
    <row r="866" spans="1:26" x14ac:dyDescent="0.25">
      <c r="A866" t="s">
        <v>1136</v>
      </c>
      <c r="B866" t="s">
        <v>26</v>
      </c>
      <c r="C866" t="s">
        <v>27</v>
      </c>
      <c r="H866" s="2">
        <v>45228.806944444441</v>
      </c>
      <c r="I866" t="s">
        <v>29</v>
      </c>
      <c r="Z866">
        <v>67983</v>
      </c>
    </row>
    <row r="867" spans="1:26" x14ac:dyDescent="0.25">
      <c r="A867" t="s">
        <v>1137</v>
      </c>
      <c r="B867" t="s">
        <v>43</v>
      </c>
      <c r="C867" t="s">
        <v>27</v>
      </c>
      <c r="E867" t="s">
        <v>122</v>
      </c>
      <c r="G867" t="s">
        <v>1138</v>
      </c>
      <c r="H867" s="2">
        <v>45228.782638888886</v>
      </c>
      <c r="I867" t="s">
        <v>128</v>
      </c>
      <c r="Z867">
        <v>67982</v>
      </c>
    </row>
    <row r="868" spans="1:26" x14ac:dyDescent="0.25">
      <c r="A868" t="s">
        <v>1139</v>
      </c>
      <c r="B868" t="s">
        <v>26</v>
      </c>
      <c r="C868" t="s">
        <v>27</v>
      </c>
      <c r="H868" s="2">
        <v>45228.606944444444</v>
      </c>
      <c r="I868" t="s">
        <v>128</v>
      </c>
      <c r="Z868">
        <v>67966</v>
      </c>
    </row>
    <row r="869" spans="1:26" x14ac:dyDescent="0.25">
      <c r="A869" t="s">
        <v>1140</v>
      </c>
      <c r="B869" t="s">
        <v>26</v>
      </c>
      <c r="C869" t="s">
        <v>27</v>
      </c>
      <c r="E869">
        <v>79263897920</v>
      </c>
      <c r="H869" s="2">
        <v>45227.525694444441</v>
      </c>
      <c r="I869" t="s">
        <v>128</v>
      </c>
      <c r="Z869">
        <v>67915</v>
      </c>
    </row>
    <row r="870" spans="1:26" x14ac:dyDescent="0.25">
      <c r="A870" t="s">
        <v>2241</v>
      </c>
      <c r="B870" t="s">
        <v>26</v>
      </c>
      <c r="C870" t="s">
        <v>27</v>
      </c>
      <c r="H870" s="2">
        <v>45226.521527777775</v>
      </c>
      <c r="I870" t="s">
        <v>29</v>
      </c>
      <c r="Z870">
        <v>67837</v>
      </c>
    </row>
    <row r="871" spans="1:26" x14ac:dyDescent="0.25">
      <c r="A871" t="s">
        <v>1141</v>
      </c>
      <c r="B871" t="s">
        <v>26</v>
      </c>
      <c r="C871" t="s">
        <v>27</v>
      </c>
      <c r="H871" s="2">
        <v>45225.79791666667</v>
      </c>
      <c r="I871" t="s">
        <v>782</v>
      </c>
      <c r="Z871">
        <v>67784</v>
      </c>
    </row>
    <row r="872" spans="1:26" x14ac:dyDescent="0.25">
      <c r="A872" t="s">
        <v>2242</v>
      </c>
      <c r="B872" t="s">
        <v>26</v>
      </c>
      <c r="C872" t="s">
        <v>27</v>
      </c>
      <c r="H872" s="2">
        <v>45225.686111111114</v>
      </c>
      <c r="I872" t="s">
        <v>536</v>
      </c>
      <c r="Z872">
        <v>67770</v>
      </c>
    </row>
    <row r="873" spans="1:26" x14ac:dyDescent="0.25">
      <c r="A873" t="s">
        <v>1142</v>
      </c>
      <c r="B873" t="s">
        <v>26</v>
      </c>
      <c r="C873" t="s">
        <v>27</v>
      </c>
      <c r="H873" s="2">
        <v>45225.542361111111</v>
      </c>
      <c r="I873" t="s">
        <v>782</v>
      </c>
      <c r="Z873">
        <v>67739</v>
      </c>
    </row>
    <row r="874" spans="1:26" x14ac:dyDescent="0.25">
      <c r="A874" t="s">
        <v>1143</v>
      </c>
      <c r="B874" t="s">
        <v>26</v>
      </c>
      <c r="C874" t="s">
        <v>27</v>
      </c>
      <c r="H874" s="2">
        <v>45225.469444444447</v>
      </c>
      <c r="I874" t="s">
        <v>825</v>
      </c>
      <c r="Z874">
        <v>67730</v>
      </c>
    </row>
    <row r="875" spans="1:26" x14ac:dyDescent="0.25">
      <c r="A875" t="s">
        <v>1144</v>
      </c>
      <c r="B875" t="s">
        <v>370</v>
      </c>
      <c r="C875" t="s">
        <v>27</v>
      </c>
      <c r="E875" t="s">
        <v>551</v>
      </c>
      <c r="H875" s="2">
        <v>45224.563888888886</v>
      </c>
      <c r="I875" t="s">
        <v>782</v>
      </c>
      <c r="Z875">
        <v>67658</v>
      </c>
    </row>
    <row r="876" spans="1:26" x14ac:dyDescent="0.25">
      <c r="A876" t="s">
        <v>1145</v>
      </c>
      <c r="B876" t="s">
        <v>26</v>
      </c>
      <c r="C876" t="s">
        <v>27</v>
      </c>
      <c r="H876" s="2">
        <v>45224.463888888888</v>
      </c>
      <c r="I876" t="s">
        <v>536</v>
      </c>
      <c r="Z876">
        <v>67631</v>
      </c>
    </row>
    <row r="877" spans="1:26" x14ac:dyDescent="0.25">
      <c r="A877" t="s">
        <v>1146</v>
      </c>
      <c r="B877" t="s">
        <v>26</v>
      </c>
      <c r="C877" t="s">
        <v>27</v>
      </c>
      <c r="H877" s="2">
        <v>45224.433333333334</v>
      </c>
      <c r="I877" t="s">
        <v>781</v>
      </c>
      <c r="Z877">
        <v>67621</v>
      </c>
    </row>
    <row r="878" spans="1:26" x14ac:dyDescent="0.25">
      <c r="A878" t="s">
        <v>1147</v>
      </c>
      <c r="B878" t="s">
        <v>26</v>
      </c>
      <c r="C878" t="s">
        <v>27</v>
      </c>
      <c r="H878" s="2">
        <v>45224.405555555553</v>
      </c>
      <c r="I878" t="s">
        <v>536</v>
      </c>
      <c r="Z878">
        <v>67610</v>
      </c>
    </row>
    <row r="879" spans="1:26" x14ac:dyDescent="0.25">
      <c r="A879" t="s">
        <v>1148</v>
      </c>
      <c r="B879" t="s">
        <v>370</v>
      </c>
      <c r="C879" t="s">
        <v>27</v>
      </c>
      <c r="E879">
        <v>79179454595</v>
      </c>
      <c r="H879" s="2">
        <v>45224.095833333333</v>
      </c>
      <c r="I879" t="s">
        <v>782</v>
      </c>
      <c r="Z879">
        <v>67598</v>
      </c>
    </row>
    <row r="880" spans="1:26" x14ac:dyDescent="0.25">
      <c r="A880" t="s">
        <v>1148</v>
      </c>
      <c r="B880" t="s">
        <v>370</v>
      </c>
      <c r="C880" t="s">
        <v>27</v>
      </c>
      <c r="E880">
        <v>79179454595</v>
      </c>
      <c r="H880" s="2">
        <v>45223.459722222222</v>
      </c>
      <c r="I880" t="s">
        <v>782</v>
      </c>
      <c r="Z880">
        <v>67508</v>
      </c>
    </row>
    <row r="881" spans="1:26" x14ac:dyDescent="0.25">
      <c r="A881" t="s">
        <v>1149</v>
      </c>
      <c r="B881" t="s">
        <v>26</v>
      </c>
      <c r="C881" t="s">
        <v>27</v>
      </c>
      <c r="H881" s="2">
        <v>45222.675694444442</v>
      </c>
      <c r="I881" t="s">
        <v>1004</v>
      </c>
      <c r="Z881">
        <v>67440</v>
      </c>
    </row>
    <row r="882" spans="1:26" x14ac:dyDescent="0.25">
      <c r="A882" t="s">
        <v>1150</v>
      </c>
      <c r="B882" t="s">
        <v>26</v>
      </c>
      <c r="C882" t="s">
        <v>27</v>
      </c>
      <c r="H882" s="2">
        <v>45222.632638888892</v>
      </c>
      <c r="I882" t="s">
        <v>1004</v>
      </c>
      <c r="Z882">
        <v>67425</v>
      </c>
    </row>
    <row r="883" spans="1:26" x14ac:dyDescent="0.25">
      <c r="A883" t="s">
        <v>1151</v>
      </c>
      <c r="B883" t="s">
        <v>26</v>
      </c>
      <c r="C883" t="s">
        <v>27</v>
      </c>
      <c r="H883" s="2">
        <v>45222.600694444445</v>
      </c>
      <c r="I883" t="s">
        <v>825</v>
      </c>
      <c r="Z883">
        <v>67414</v>
      </c>
    </row>
    <row r="884" spans="1:26" x14ac:dyDescent="0.25">
      <c r="A884" t="s">
        <v>2243</v>
      </c>
      <c r="C884" t="s">
        <v>27</v>
      </c>
      <c r="E884" t="s">
        <v>608</v>
      </c>
      <c r="H884" s="2">
        <v>45222.586111111108</v>
      </c>
      <c r="I884" t="s">
        <v>29</v>
      </c>
      <c r="Z884">
        <v>67410</v>
      </c>
    </row>
    <row r="885" spans="1:26" x14ac:dyDescent="0.25">
      <c r="A885" t="s">
        <v>1152</v>
      </c>
      <c r="B885" t="s">
        <v>26</v>
      </c>
      <c r="C885" t="s">
        <v>27</v>
      </c>
      <c r="H885" s="2">
        <v>45222.381944444445</v>
      </c>
      <c r="I885" t="s">
        <v>128</v>
      </c>
      <c r="Z885">
        <v>67336</v>
      </c>
    </row>
    <row r="886" spans="1:26" x14ac:dyDescent="0.25">
      <c r="A886" t="s">
        <v>1153</v>
      </c>
      <c r="B886" t="s">
        <v>26</v>
      </c>
      <c r="C886" t="s">
        <v>27</v>
      </c>
      <c r="H886" s="2">
        <v>45221.752083333333</v>
      </c>
      <c r="I886" t="s">
        <v>128</v>
      </c>
      <c r="Z886">
        <v>67323</v>
      </c>
    </row>
    <row r="887" spans="1:26" x14ac:dyDescent="0.25">
      <c r="A887" t="s">
        <v>1154</v>
      </c>
      <c r="B887" t="s">
        <v>26</v>
      </c>
      <c r="C887" t="s">
        <v>103</v>
      </c>
      <c r="H887" s="2">
        <v>45218.440972222219</v>
      </c>
      <c r="I887" t="s">
        <v>536</v>
      </c>
      <c r="Z887">
        <v>67059</v>
      </c>
    </row>
    <row r="888" spans="1:26" x14ac:dyDescent="0.25">
      <c r="A888" t="s">
        <v>1155</v>
      </c>
      <c r="B888" t="s">
        <v>472</v>
      </c>
      <c r="C888" t="s">
        <v>27</v>
      </c>
      <c r="E888" t="s">
        <v>1156</v>
      </c>
      <c r="H888" s="2">
        <v>45216.748611111114</v>
      </c>
      <c r="I888" t="s">
        <v>1004</v>
      </c>
      <c r="Z888">
        <v>66946</v>
      </c>
    </row>
    <row r="889" spans="1:26" x14ac:dyDescent="0.25">
      <c r="A889" t="s">
        <v>1157</v>
      </c>
      <c r="B889" t="s">
        <v>26</v>
      </c>
      <c r="C889" t="s">
        <v>27</v>
      </c>
      <c r="H889" s="2">
        <v>45214.588888888888</v>
      </c>
      <c r="I889" t="s">
        <v>128</v>
      </c>
      <c r="Z889">
        <v>66750</v>
      </c>
    </row>
    <row r="890" spans="1:26" x14ac:dyDescent="0.25">
      <c r="A890" t="s">
        <v>477</v>
      </c>
      <c r="B890" t="s">
        <v>276</v>
      </c>
      <c r="C890" t="s">
        <v>27</v>
      </c>
      <c r="E890" t="s">
        <v>478</v>
      </c>
      <c r="H890" s="2">
        <v>45213.718055555553</v>
      </c>
      <c r="I890" t="s">
        <v>782</v>
      </c>
      <c r="Z890">
        <v>66715</v>
      </c>
    </row>
    <row r="891" spans="1:26" x14ac:dyDescent="0.25">
      <c r="A891" t="s">
        <v>1158</v>
      </c>
      <c r="B891" t="s">
        <v>370</v>
      </c>
      <c r="C891" t="s">
        <v>27</v>
      </c>
      <c r="E891" t="s">
        <v>1159</v>
      </c>
      <c r="H891" s="2">
        <v>45212.935416666667</v>
      </c>
      <c r="I891" t="s">
        <v>782</v>
      </c>
      <c r="K891" t="s">
        <v>30</v>
      </c>
      <c r="L891" t="s">
        <v>31</v>
      </c>
      <c r="M891">
        <v>67127941</v>
      </c>
      <c r="N891">
        <v>13178684975</v>
      </c>
      <c r="O891" t="s">
        <v>123</v>
      </c>
      <c r="Z891">
        <v>66665</v>
      </c>
    </row>
    <row r="892" spans="1:26" x14ac:dyDescent="0.25">
      <c r="A892" t="s">
        <v>1160</v>
      </c>
      <c r="B892" t="s">
        <v>370</v>
      </c>
      <c r="C892" t="s">
        <v>27</v>
      </c>
      <c r="E892" t="s">
        <v>1161</v>
      </c>
      <c r="G892" t="s">
        <v>1162</v>
      </c>
      <c r="H892" s="2">
        <v>45211.785416666666</v>
      </c>
      <c r="I892" t="s">
        <v>782</v>
      </c>
      <c r="Z892">
        <v>66583</v>
      </c>
    </row>
    <row r="893" spans="1:26" x14ac:dyDescent="0.25">
      <c r="A893" t="s">
        <v>1163</v>
      </c>
      <c r="B893" t="s">
        <v>26</v>
      </c>
      <c r="C893" t="s">
        <v>27</v>
      </c>
      <c r="H893" s="2">
        <v>45211.649305555555</v>
      </c>
      <c r="I893" t="s">
        <v>1004</v>
      </c>
      <c r="Z893">
        <v>66562</v>
      </c>
    </row>
    <row r="894" spans="1:26" x14ac:dyDescent="0.25">
      <c r="A894" t="s">
        <v>1165</v>
      </c>
      <c r="B894" t="s">
        <v>370</v>
      </c>
      <c r="C894" t="s">
        <v>27</v>
      </c>
      <c r="E894" t="s">
        <v>1166</v>
      </c>
      <c r="G894" t="s">
        <v>122</v>
      </c>
      <c r="H894" s="2">
        <v>45211.593055555553</v>
      </c>
      <c r="I894" t="s">
        <v>782</v>
      </c>
      <c r="K894" t="s">
        <v>30</v>
      </c>
      <c r="L894" t="s">
        <v>31</v>
      </c>
      <c r="M894">
        <v>55887089</v>
      </c>
      <c r="N894">
        <v>9754619208</v>
      </c>
      <c r="O894" t="s">
        <v>1167</v>
      </c>
      <c r="Z894">
        <v>66555</v>
      </c>
    </row>
    <row r="895" spans="1:26" x14ac:dyDescent="0.25">
      <c r="A895" t="s">
        <v>1112</v>
      </c>
      <c r="B895" t="s">
        <v>26</v>
      </c>
      <c r="C895" t="s">
        <v>27</v>
      </c>
      <c r="H895" s="2">
        <v>45211.443749999999</v>
      </c>
      <c r="I895" t="s">
        <v>1004</v>
      </c>
      <c r="Z895">
        <v>66528</v>
      </c>
    </row>
    <row r="896" spans="1:26" x14ac:dyDescent="0.25">
      <c r="A896" t="s">
        <v>1168</v>
      </c>
      <c r="B896" t="s">
        <v>370</v>
      </c>
      <c r="C896" t="s">
        <v>27</v>
      </c>
      <c r="E896" t="s">
        <v>122</v>
      </c>
      <c r="H896" s="2">
        <v>45210.936805555553</v>
      </c>
      <c r="I896" t="s">
        <v>782</v>
      </c>
      <c r="Z896">
        <v>66513</v>
      </c>
    </row>
    <row r="897" spans="1:26" x14ac:dyDescent="0.25">
      <c r="A897" t="s">
        <v>1169</v>
      </c>
      <c r="B897" t="s">
        <v>26</v>
      </c>
      <c r="C897" t="s">
        <v>27</v>
      </c>
      <c r="H897" s="2">
        <v>45210.577777777777</v>
      </c>
      <c r="I897" t="s">
        <v>128</v>
      </c>
      <c r="Z897">
        <v>66475</v>
      </c>
    </row>
    <row r="898" spans="1:26" x14ac:dyDescent="0.25">
      <c r="A898" t="s">
        <v>1170</v>
      </c>
      <c r="B898" t="s">
        <v>26</v>
      </c>
      <c r="C898" t="s">
        <v>27</v>
      </c>
      <c r="H898" s="2">
        <v>45206.612500000003</v>
      </c>
      <c r="I898" t="s">
        <v>1004</v>
      </c>
      <c r="Z898">
        <v>66244</v>
      </c>
    </row>
    <row r="899" spans="1:26" x14ac:dyDescent="0.25">
      <c r="A899" t="s">
        <v>1171</v>
      </c>
      <c r="B899" t="s">
        <v>26</v>
      </c>
      <c r="C899" t="s">
        <v>27</v>
      </c>
      <c r="H899" s="2">
        <v>45205.711111111108</v>
      </c>
      <c r="I899" t="s">
        <v>289</v>
      </c>
      <c r="Z899">
        <v>66205</v>
      </c>
    </row>
    <row r="900" spans="1:26" x14ac:dyDescent="0.25">
      <c r="A900" t="s">
        <v>1172</v>
      </c>
      <c r="B900" t="s">
        <v>26</v>
      </c>
      <c r="C900" t="s">
        <v>27</v>
      </c>
      <c r="H900" s="2">
        <v>45205.602083333331</v>
      </c>
      <c r="I900" t="s">
        <v>289</v>
      </c>
      <c r="Z900">
        <v>66185</v>
      </c>
    </row>
    <row r="901" spans="1:26" x14ac:dyDescent="0.25">
      <c r="A901" t="s">
        <v>550</v>
      </c>
      <c r="B901" t="s">
        <v>370</v>
      </c>
      <c r="C901" t="s">
        <v>27</v>
      </c>
      <c r="E901" t="s">
        <v>120</v>
      </c>
      <c r="H901" s="2">
        <v>45205.540972222225</v>
      </c>
      <c r="I901" t="s">
        <v>782</v>
      </c>
      <c r="Z901">
        <v>66178</v>
      </c>
    </row>
    <row r="902" spans="1:26" x14ac:dyDescent="0.25">
      <c r="A902" t="s">
        <v>1173</v>
      </c>
      <c r="B902" t="s">
        <v>541</v>
      </c>
      <c r="C902" t="s">
        <v>27</v>
      </c>
      <c r="E902" t="s">
        <v>1174</v>
      </c>
      <c r="H902" s="2">
        <v>45205.440972222219</v>
      </c>
      <c r="I902" t="s">
        <v>782</v>
      </c>
      <c r="Z902">
        <v>66167</v>
      </c>
    </row>
    <row r="903" spans="1:26" x14ac:dyDescent="0.25">
      <c r="A903" t="s">
        <v>1175</v>
      </c>
      <c r="B903" t="s">
        <v>370</v>
      </c>
      <c r="C903" t="s">
        <v>27</v>
      </c>
      <c r="E903" t="s">
        <v>1176</v>
      </c>
      <c r="H903" s="2">
        <v>45205.411805555559</v>
      </c>
      <c r="I903" t="s">
        <v>782</v>
      </c>
      <c r="Z903">
        <v>66158</v>
      </c>
    </row>
    <row r="904" spans="1:26" x14ac:dyDescent="0.25">
      <c r="A904" t="s">
        <v>1177</v>
      </c>
      <c r="B904" t="s">
        <v>26</v>
      </c>
      <c r="C904" t="s">
        <v>27</v>
      </c>
      <c r="H904" s="2">
        <v>45204.754861111112</v>
      </c>
      <c r="I904" t="s">
        <v>1004</v>
      </c>
      <c r="Z904">
        <v>66147</v>
      </c>
    </row>
    <row r="905" spans="1:26" x14ac:dyDescent="0.25">
      <c r="A905" t="s">
        <v>1178</v>
      </c>
      <c r="B905" t="s">
        <v>26</v>
      </c>
      <c r="C905" t="s">
        <v>27</v>
      </c>
      <c r="H905" s="2">
        <v>45204.722916666666</v>
      </c>
      <c r="I905" t="s">
        <v>29</v>
      </c>
      <c r="Z905">
        <v>66142</v>
      </c>
    </row>
    <row r="906" spans="1:26" x14ac:dyDescent="0.25">
      <c r="A906" t="s">
        <v>1179</v>
      </c>
      <c r="B906" t="s">
        <v>26</v>
      </c>
      <c r="C906" t="s">
        <v>27</v>
      </c>
      <c r="H906" s="2">
        <v>45203.399305555555</v>
      </c>
      <c r="I906" t="s">
        <v>128</v>
      </c>
      <c r="Z906">
        <v>66034</v>
      </c>
    </row>
    <row r="907" spans="1:26" x14ac:dyDescent="0.25">
      <c r="A907" t="s">
        <v>1180</v>
      </c>
      <c r="B907" t="s">
        <v>370</v>
      </c>
      <c r="C907" t="s">
        <v>27</v>
      </c>
      <c r="E907" t="s">
        <v>1181</v>
      </c>
      <c r="H907" s="2">
        <v>45202.61041666667</v>
      </c>
      <c r="I907" t="s">
        <v>536</v>
      </c>
      <c r="Z907">
        <v>65999</v>
      </c>
    </row>
    <row r="908" spans="1:26" x14ac:dyDescent="0.25">
      <c r="A908" t="s">
        <v>1182</v>
      </c>
      <c r="B908" t="s">
        <v>26</v>
      </c>
      <c r="C908" t="s">
        <v>27</v>
      </c>
      <c r="H908" s="2">
        <v>45202.585416666669</v>
      </c>
      <c r="I908" t="s">
        <v>128</v>
      </c>
      <c r="Z908">
        <v>65992</v>
      </c>
    </row>
    <row r="909" spans="1:26" x14ac:dyDescent="0.25">
      <c r="A909" t="s">
        <v>1183</v>
      </c>
      <c r="B909" t="s">
        <v>276</v>
      </c>
      <c r="C909" t="s">
        <v>27</v>
      </c>
      <c r="E909" t="s">
        <v>54</v>
      </c>
      <c r="G909" t="s">
        <v>1184</v>
      </c>
      <c r="H909" s="2">
        <v>45202.537499999999</v>
      </c>
      <c r="I909" t="s">
        <v>536</v>
      </c>
      <c r="Z909">
        <v>65988</v>
      </c>
    </row>
    <row r="910" spans="1:26" x14ac:dyDescent="0.25">
      <c r="A910" t="s">
        <v>1185</v>
      </c>
      <c r="B910" t="s">
        <v>26</v>
      </c>
      <c r="C910" t="s">
        <v>27</v>
      </c>
      <c r="H910" s="2">
        <v>45198.624305555553</v>
      </c>
      <c r="I910" t="s">
        <v>289</v>
      </c>
      <c r="Z910">
        <v>65748</v>
      </c>
    </row>
    <row r="911" spans="1:26" x14ac:dyDescent="0.25">
      <c r="A911" t="s">
        <v>1186</v>
      </c>
      <c r="B911" t="s">
        <v>26</v>
      </c>
      <c r="C911" t="s">
        <v>27</v>
      </c>
      <c r="H911" s="2">
        <v>45198.501388888886</v>
      </c>
      <c r="I911" t="s">
        <v>128</v>
      </c>
      <c r="Z911">
        <v>65727</v>
      </c>
    </row>
    <row r="912" spans="1:26" x14ac:dyDescent="0.25">
      <c r="A912" t="s">
        <v>1187</v>
      </c>
      <c r="B912" t="s">
        <v>26</v>
      </c>
      <c r="C912" t="s">
        <v>27</v>
      </c>
      <c r="H912" s="2">
        <v>45197.85833333333</v>
      </c>
      <c r="I912" t="s">
        <v>289</v>
      </c>
      <c r="Z912">
        <v>65703</v>
      </c>
    </row>
    <row r="913" spans="1:26" x14ac:dyDescent="0.25">
      <c r="A913" t="s">
        <v>1188</v>
      </c>
      <c r="B913" t="s">
        <v>26</v>
      </c>
      <c r="C913" t="s">
        <v>27</v>
      </c>
      <c r="H913" s="2">
        <v>45197.729166666664</v>
      </c>
      <c r="I913" t="s">
        <v>128</v>
      </c>
      <c r="Z913">
        <v>65694</v>
      </c>
    </row>
    <row r="914" spans="1:26" x14ac:dyDescent="0.25">
      <c r="A914" t="s">
        <v>1189</v>
      </c>
      <c r="B914" t="s">
        <v>26</v>
      </c>
      <c r="C914" t="s">
        <v>27</v>
      </c>
      <c r="H914" s="2">
        <v>45197.536111111112</v>
      </c>
      <c r="I914" t="s">
        <v>128</v>
      </c>
      <c r="Z914">
        <v>65668</v>
      </c>
    </row>
    <row r="915" spans="1:26" x14ac:dyDescent="0.25">
      <c r="A915" t="s">
        <v>1190</v>
      </c>
      <c r="B915" t="s">
        <v>26</v>
      </c>
      <c r="C915" t="s">
        <v>27</v>
      </c>
      <c r="H915" s="2">
        <v>45196.77847222222</v>
      </c>
      <c r="I915" t="s">
        <v>289</v>
      </c>
      <c r="Z915">
        <v>65633</v>
      </c>
    </row>
    <row r="916" spans="1:26" x14ac:dyDescent="0.25">
      <c r="A916" t="s">
        <v>1191</v>
      </c>
      <c r="B916" t="s">
        <v>26</v>
      </c>
      <c r="C916" t="s">
        <v>27</v>
      </c>
      <c r="H916" s="2">
        <v>45196.771527777775</v>
      </c>
      <c r="I916" t="s">
        <v>289</v>
      </c>
      <c r="Z916">
        <v>65630</v>
      </c>
    </row>
    <row r="917" spans="1:26" x14ac:dyDescent="0.25">
      <c r="A917" t="s">
        <v>1192</v>
      </c>
      <c r="B917" t="s">
        <v>26</v>
      </c>
      <c r="C917" t="s">
        <v>27</v>
      </c>
      <c r="H917" s="2">
        <v>45196.51458333333</v>
      </c>
      <c r="I917" t="s">
        <v>536</v>
      </c>
      <c r="Z917">
        <v>65587</v>
      </c>
    </row>
    <row r="918" spans="1:26" x14ac:dyDescent="0.25">
      <c r="A918" t="s">
        <v>1193</v>
      </c>
      <c r="B918" t="s">
        <v>26</v>
      </c>
      <c r="C918" t="s">
        <v>27</v>
      </c>
      <c r="H918" s="2">
        <v>45196.429166666669</v>
      </c>
      <c r="I918" t="s">
        <v>289</v>
      </c>
      <c r="Z918">
        <v>65571</v>
      </c>
    </row>
    <row r="919" spans="1:26" x14ac:dyDescent="0.25">
      <c r="A919" t="s">
        <v>1194</v>
      </c>
      <c r="B919" t="s">
        <v>26</v>
      </c>
      <c r="C919" t="s">
        <v>27</v>
      </c>
      <c r="E919">
        <v>79879067665</v>
      </c>
      <c r="H919" s="2">
        <v>45195.82916666667</v>
      </c>
      <c r="I919" t="s">
        <v>782</v>
      </c>
      <c r="Z919">
        <v>65555</v>
      </c>
    </row>
    <row r="920" spans="1:26" x14ac:dyDescent="0.25">
      <c r="A920" t="s">
        <v>1195</v>
      </c>
      <c r="B920" t="s">
        <v>26</v>
      </c>
      <c r="C920" t="s">
        <v>27</v>
      </c>
      <c r="H920" s="2">
        <v>45195.531944444447</v>
      </c>
      <c r="I920" t="s">
        <v>1004</v>
      </c>
      <c r="Z920">
        <v>65506</v>
      </c>
    </row>
    <row r="921" spans="1:26" x14ac:dyDescent="0.25">
      <c r="A921" t="s">
        <v>1196</v>
      </c>
      <c r="B921" t="s">
        <v>26</v>
      </c>
      <c r="C921" t="s">
        <v>27</v>
      </c>
      <c r="H921" s="2">
        <v>45194.53125</v>
      </c>
      <c r="I921" t="s">
        <v>1004</v>
      </c>
      <c r="Z921">
        <v>65415</v>
      </c>
    </row>
    <row r="922" spans="1:26" x14ac:dyDescent="0.25">
      <c r="A922" t="s">
        <v>1197</v>
      </c>
      <c r="B922" t="s">
        <v>370</v>
      </c>
      <c r="C922" t="s">
        <v>27</v>
      </c>
      <c r="E922" t="s">
        <v>1198</v>
      </c>
      <c r="H922" s="2">
        <v>45193.880555555559</v>
      </c>
      <c r="I922" t="s">
        <v>782</v>
      </c>
      <c r="Z922">
        <v>65384</v>
      </c>
    </row>
    <row r="923" spans="1:26" x14ac:dyDescent="0.25">
      <c r="A923" t="s">
        <v>1199</v>
      </c>
      <c r="B923" t="s">
        <v>370</v>
      </c>
      <c r="C923" t="s">
        <v>27</v>
      </c>
      <c r="E923" t="s">
        <v>1200</v>
      </c>
      <c r="H923" s="2">
        <v>45193.487500000003</v>
      </c>
      <c r="I923" t="s">
        <v>29</v>
      </c>
      <c r="K923" t="s">
        <v>30</v>
      </c>
      <c r="L923" t="s">
        <v>31</v>
      </c>
      <c r="M923">
        <v>55887083</v>
      </c>
      <c r="N923">
        <v>9754618980</v>
      </c>
      <c r="O923" t="s">
        <v>1109</v>
      </c>
      <c r="Z923">
        <v>65355</v>
      </c>
    </row>
    <row r="924" spans="1:26" x14ac:dyDescent="0.25">
      <c r="A924" t="s">
        <v>1201</v>
      </c>
      <c r="B924" t="s">
        <v>541</v>
      </c>
      <c r="C924" t="s">
        <v>71</v>
      </c>
      <c r="E924" t="s">
        <v>200</v>
      </c>
      <c r="G924" t="s">
        <v>1202</v>
      </c>
      <c r="H924" s="2">
        <v>45193.484027777777</v>
      </c>
      <c r="I924" t="s">
        <v>782</v>
      </c>
      <c r="Z924">
        <v>65354</v>
      </c>
    </row>
    <row r="925" spans="1:26" x14ac:dyDescent="0.25">
      <c r="A925" t="s">
        <v>1203</v>
      </c>
      <c r="B925" t="s">
        <v>26</v>
      </c>
      <c r="C925" t="s">
        <v>27</v>
      </c>
      <c r="H925" s="2">
        <v>45192.530555555553</v>
      </c>
      <c r="I925" t="s">
        <v>289</v>
      </c>
      <c r="Z925">
        <v>65308</v>
      </c>
    </row>
    <row r="926" spans="1:26" x14ac:dyDescent="0.25">
      <c r="A926" t="s">
        <v>1204</v>
      </c>
      <c r="B926" t="s">
        <v>26</v>
      </c>
      <c r="C926" t="s">
        <v>27</v>
      </c>
      <c r="H926" s="2">
        <v>45192.510416666664</v>
      </c>
      <c r="I926" t="s">
        <v>289</v>
      </c>
      <c r="Z926">
        <v>65304</v>
      </c>
    </row>
    <row r="927" spans="1:26" x14ac:dyDescent="0.25">
      <c r="A927" t="s">
        <v>1205</v>
      </c>
      <c r="B927" t="s">
        <v>26</v>
      </c>
      <c r="C927" t="s">
        <v>27</v>
      </c>
      <c r="H927" s="2">
        <v>45192.48541666667</v>
      </c>
      <c r="I927" t="s">
        <v>289</v>
      </c>
      <c r="Z927">
        <v>65302</v>
      </c>
    </row>
    <row r="928" spans="1:26" x14ac:dyDescent="0.25">
      <c r="A928" t="s">
        <v>393</v>
      </c>
      <c r="B928" t="s">
        <v>26</v>
      </c>
      <c r="C928" t="s">
        <v>27</v>
      </c>
      <c r="H928" s="2">
        <v>45191.51458333333</v>
      </c>
      <c r="I928" t="s">
        <v>825</v>
      </c>
      <c r="Z928">
        <v>65247</v>
      </c>
    </row>
    <row r="929" spans="1:26" x14ac:dyDescent="0.25">
      <c r="A929" t="s">
        <v>1207</v>
      </c>
      <c r="B929" t="s">
        <v>276</v>
      </c>
      <c r="C929" t="s">
        <v>27</v>
      </c>
      <c r="E929" t="s">
        <v>74</v>
      </c>
      <c r="G929" t="s">
        <v>1208</v>
      </c>
      <c r="H929" s="2">
        <v>45189.575694444444</v>
      </c>
      <c r="I929" t="s">
        <v>782</v>
      </c>
      <c r="Z929">
        <v>65079</v>
      </c>
    </row>
    <row r="930" spans="1:26" x14ac:dyDescent="0.25">
      <c r="A930" t="s">
        <v>1207</v>
      </c>
      <c r="B930" t="s">
        <v>276</v>
      </c>
      <c r="C930" t="s">
        <v>27</v>
      </c>
      <c r="E930" t="s">
        <v>74</v>
      </c>
      <c r="G930" t="s">
        <v>1208</v>
      </c>
      <c r="H930" s="2">
        <v>45189.003472222219</v>
      </c>
      <c r="I930" t="s">
        <v>782</v>
      </c>
      <c r="K930" t="s">
        <v>30</v>
      </c>
      <c r="L930" t="s">
        <v>31</v>
      </c>
      <c r="M930">
        <v>67131912</v>
      </c>
      <c r="N930">
        <v>11953101698</v>
      </c>
      <c r="O930" t="s">
        <v>383</v>
      </c>
      <c r="Z930">
        <v>65030</v>
      </c>
    </row>
    <row r="931" spans="1:26" x14ac:dyDescent="0.25">
      <c r="A931" t="s">
        <v>1173</v>
      </c>
      <c r="B931" t="s">
        <v>541</v>
      </c>
      <c r="C931" t="s">
        <v>27</v>
      </c>
      <c r="E931" t="s">
        <v>1174</v>
      </c>
      <c r="H931" s="2">
        <v>45188.413194444445</v>
      </c>
      <c r="I931" t="s">
        <v>782</v>
      </c>
      <c r="Z931">
        <v>64954</v>
      </c>
    </row>
    <row r="932" spans="1:26" x14ac:dyDescent="0.25">
      <c r="A932" t="s">
        <v>1209</v>
      </c>
      <c r="B932" t="s">
        <v>276</v>
      </c>
      <c r="C932" t="s">
        <v>27</v>
      </c>
      <c r="E932" t="s">
        <v>1210</v>
      </c>
      <c r="H932" s="2">
        <v>45187.274305555555</v>
      </c>
      <c r="I932" t="s">
        <v>289</v>
      </c>
      <c r="K932" t="s">
        <v>30</v>
      </c>
      <c r="L932" t="s">
        <v>31</v>
      </c>
      <c r="M932">
        <v>67131912</v>
      </c>
      <c r="N932">
        <v>11953101664</v>
      </c>
      <c r="O932" t="s">
        <v>1211</v>
      </c>
      <c r="Z932">
        <v>64867</v>
      </c>
    </row>
    <row r="933" spans="1:26" x14ac:dyDescent="0.25">
      <c r="A933" t="s">
        <v>129</v>
      </c>
      <c r="C933" t="s">
        <v>27</v>
      </c>
      <c r="E933" t="s">
        <v>1212</v>
      </c>
      <c r="H933" s="2">
        <v>45186.575694444444</v>
      </c>
      <c r="I933" t="s">
        <v>128</v>
      </c>
      <c r="Z933">
        <v>64830</v>
      </c>
    </row>
    <row r="934" spans="1:26" x14ac:dyDescent="0.25">
      <c r="A934" t="s">
        <v>1213</v>
      </c>
      <c r="B934" t="s">
        <v>26</v>
      </c>
      <c r="C934" t="s">
        <v>27</v>
      </c>
      <c r="H934" s="2">
        <v>45184.473611111112</v>
      </c>
      <c r="I934" t="s">
        <v>521</v>
      </c>
      <c r="Z934">
        <v>64689</v>
      </c>
    </row>
    <row r="935" spans="1:26" x14ac:dyDescent="0.25">
      <c r="A935" t="s">
        <v>1214</v>
      </c>
      <c r="B935" t="s">
        <v>43</v>
      </c>
      <c r="C935" t="s">
        <v>27</v>
      </c>
      <c r="E935" t="s">
        <v>74</v>
      </c>
      <c r="G935" t="s">
        <v>1215</v>
      </c>
      <c r="H935" s="2">
        <v>45182.67291666667</v>
      </c>
      <c r="I935" t="s">
        <v>939</v>
      </c>
      <c r="K935" t="s">
        <v>30</v>
      </c>
      <c r="L935" t="s">
        <v>31</v>
      </c>
      <c r="M935">
        <v>67131912</v>
      </c>
      <c r="N935">
        <v>11953101694</v>
      </c>
      <c r="O935" t="s">
        <v>123</v>
      </c>
      <c r="Z935">
        <v>64594</v>
      </c>
    </row>
    <row r="936" spans="1:26" x14ac:dyDescent="0.25">
      <c r="A936" t="s">
        <v>1216</v>
      </c>
      <c r="B936" t="s">
        <v>26</v>
      </c>
      <c r="C936" t="s">
        <v>27</v>
      </c>
      <c r="H936" s="2">
        <v>45181.728472222225</v>
      </c>
      <c r="I936" t="s">
        <v>782</v>
      </c>
      <c r="Z936">
        <v>64506</v>
      </c>
    </row>
    <row r="937" spans="1:26" x14ac:dyDescent="0.25">
      <c r="A937" t="s">
        <v>1217</v>
      </c>
      <c r="B937" t="s">
        <v>26</v>
      </c>
      <c r="C937" t="s">
        <v>27</v>
      </c>
      <c r="H937" s="2">
        <v>45181.559027777781</v>
      </c>
      <c r="I937" t="s">
        <v>782</v>
      </c>
      <c r="Z937">
        <v>64478</v>
      </c>
    </row>
    <row r="938" spans="1:26" x14ac:dyDescent="0.25">
      <c r="A938" t="s">
        <v>1218</v>
      </c>
      <c r="B938" t="s">
        <v>26</v>
      </c>
      <c r="C938" t="s">
        <v>27</v>
      </c>
      <c r="H938" s="2">
        <v>45181.438888888886</v>
      </c>
      <c r="I938" t="s">
        <v>1004</v>
      </c>
      <c r="Z938">
        <v>64461</v>
      </c>
    </row>
    <row r="939" spans="1:26" x14ac:dyDescent="0.25">
      <c r="A939" t="s">
        <v>1219</v>
      </c>
      <c r="B939" t="s">
        <v>276</v>
      </c>
      <c r="C939" t="s">
        <v>27</v>
      </c>
      <c r="E939" t="s">
        <v>1220</v>
      </c>
      <c r="H939" s="2">
        <v>45179.459722222222</v>
      </c>
      <c r="I939" t="s">
        <v>128</v>
      </c>
      <c r="K939" t="s">
        <v>30</v>
      </c>
      <c r="L939" t="s">
        <v>31</v>
      </c>
      <c r="M939">
        <v>66964239</v>
      </c>
      <c r="N939">
        <v>12403661581</v>
      </c>
      <c r="O939" t="s">
        <v>1109</v>
      </c>
      <c r="Z939">
        <v>64343</v>
      </c>
    </row>
    <row r="940" spans="1:26" x14ac:dyDescent="0.25">
      <c r="A940" t="s">
        <v>151</v>
      </c>
      <c r="C940" t="s">
        <v>27</v>
      </c>
      <c r="E940" t="s">
        <v>1221</v>
      </c>
      <c r="H940" s="2">
        <v>45178.335416666669</v>
      </c>
      <c r="I940" t="s">
        <v>289</v>
      </c>
      <c r="Z940">
        <v>64296</v>
      </c>
    </row>
    <row r="941" spans="1:26" x14ac:dyDescent="0.25">
      <c r="A941" t="s">
        <v>1222</v>
      </c>
      <c r="B941" t="s">
        <v>26</v>
      </c>
      <c r="C941" t="s">
        <v>27</v>
      </c>
      <c r="H941" s="2">
        <v>45176.784722222219</v>
      </c>
      <c r="I941" t="s">
        <v>782</v>
      </c>
      <c r="Z941">
        <v>64214</v>
      </c>
    </row>
    <row r="942" spans="1:26" x14ac:dyDescent="0.25">
      <c r="A942" t="s">
        <v>1223</v>
      </c>
      <c r="B942" t="s">
        <v>26</v>
      </c>
      <c r="C942" t="s">
        <v>27</v>
      </c>
      <c r="H942" s="2">
        <v>45175.515277777777</v>
      </c>
      <c r="I942" t="s">
        <v>29</v>
      </c>
      <c r="Z942">
        <v>64110</v>
      </c>
    </row>
    <row r="943" spans="1:26" x14ac:dyDescent="0.25">
      <c r="A943" t="s">
        <v>1224</v>
      </c>
      <c r="B943" t="s">
        <v>26</v>
      </c>
      <c r="C943" t="s">
        <v>27</v>
      </c>
      <c r="H943" s="2">
        <v>45174.78125</v>
      </c>
      <c r="I943" t="s">
        <v>128</v>
      </c>
      <c r="Z943">
        <v>64078</v>
      </c>
    </row>
    <row r="944" spans="1:26" x14ac:dyDescent="0.25">
      <c r="A944" t="s">
        <v>1225</v>
      </c>
      <c r="B944" t="s">
        <v>370</v>
      </c>
      <c r="C944" t="s">
        <v>27</v>
      </c>
      <c r="E944">
        <v>79027423753</v>
      </c>
      <c r="H944" s="2">
        <v>45174.693749999999</v>
      </c>
      <c r="I944" t="s">
        <v>289</v>
      </c>
      <c r="Z944">
        <v>64069</v>
      </c>
    </row>
    <row r="945" spans="1:26" x14ac:dyDescent="0.25">
      <c r="A945" t="s">
        <v>1226</v>
      </c>
      <c r="B945" t="s">
        <v>26</v>
      </c>
      <c r="C945" t="s">
        <v>27</v>
      </c>
      <c r="H945" s="2">
        <v>45174.625</v>
      </c>
      <c r="I945" t="s">
        <v>289</v>
      </c>
      <c r="Z945">
        <v>64062</v>
      </c>
    </row>
    <row r="946" spans="1:26" x14ac:dyDescent="0.25">
      <c r="A946" t="s">
        <v>1228</v>
      </c>
      <c r="B946" t="s">
        <v>26</v>
      </c>
      <c r="C946" t="s">
        <v>27</v>
      </c>
      <c r="H946" s="2">
        <v>45174.423611111109</v>
      </c>
      <c r="I946" t="s">
        <v>128</v>
      </c>
      <c r="Z946">
        <v>64037</v>
      </c>
    </row>
    <row r="947" spans="1:26" x14ac:dyDescent="0.25">
      <c r="A947" t="s">
        <v>2244</v>
      </c>
      <c r="B947" t="s">
        <v>26</v>
      </c>
      <c r="C947" t="s">
        <v>27</v>
      </c>
      <c r="H947" s="2">
        <v>45173.773611111108</v>
      </c>
      <c r="I947" t="s">
        <v>29</v>
      </c>
      <c r="Z947">
        <v>64017</v>
      </c>
    </row>
    <row r="948" spans="1:26" x14ac:dyDescent="0.25">
      <c r="A948" t="s">
        <v>1229</v>
      </c>
      <c r="B948" t="s">
        <v>370</v>
      </c>
      <c r="C948" t="s">
        <v>27</v>
      </c>
      <c r="E948" t="s">
        <v>99</v>
      </c>
      <c r="H948" s="2">
        <v>45169.615277777775</v>
      </c>
      <c r="I948" t="s">
        <v>782</v>
      </c>
      <c r="Z948">
        <v>63749</v>
      </c>
    </row>
    <row r="949" spans="1:26" x14ac:dyDescent="0.25">
      <c r="A949" t="s">
        <v>1230</v>
      </c>
      <c r="B949" t="s">
        <v>370</v>
      </c>
      <c r="C949" t="s">
        <v>27</v>
      </c>
      <c r="E949" t="s">
        <v>1231</v>
      </c>
      <c r="H949" s="2">
        <v>45167.90902777778</v>
      </c>
      <c r="I949" t="s">
        <v>29</v>
      </c>
      <c r="K949" t="s">
        <v>30</v>
      </c>
      <c r="L949" t="s">
        <v>31</v>
      </c>
      <c r="M949">
        <v>55887089</v>
      </c>
      <c r="N949">
        <v>9754619189</v>
      </c>
      <c r="O949" t="s">
        <v>1232</v>
      </c>
      <c r="Z949">
        <v>63636</v>
      </c>
    </row>
    <row r="950" spans="1:26" x14ac:dyDescent="0.25">
      <c r="A950" t="s">
        <v>1233</v>
      </c>
      <c r="B950" t="s">
        <v>26</v>
      </c>
      <c r="C950" t="s">
        <v>27</v>
      </c>
      <c r="H950" s="2">
        <v>45167.779861111114</v>
      </c>
      <c r="I950" t="s">
        <v>128</v>
      </c>
      <c r="Z950">
        <v>63627</v>
      </c>
    </row>
    <row r="951" spans="1:26" x14ac:dyDescent="0.25">
      <c r="A951" t="s">
        <v>1234</v>
      </c>
      <c r="B951" t="s">
        <v>26</v>
      </c>
      <c r="C951" t="s">
        <v>27</v>
      </c>
      <c r="H951" s="2">
        <v>45167.447222222225</v>
      </c>
      <c r="I951" t="s">
        <v>128</v>
      </c>
      <c r="Z951">
        <v>63566</v>
      </c>
    </row>
    <row r="952" spans="1:26" x14ac:dyDescent="0.25">
      <c r="A952" t="s">
        <v>1235</v>
      </c>
      <c r="B952" t="s">
        <v>43</v>
      </c>
      <c r="C952" t="s">
        <v>27</v>
      </c>
      <c r="E952" t="s">
        <v>41</v>
      </c>
      <c r="G952" t="s">
        <v>1236</v>
      </c>
      <c r="H952" s="2">
        <v>45165.385416666664</v>
      </c>
      <c r="I952" t="s">
        <v>782</v>
      </c>
      <c r="Z952">
        <v>63471</v>
      </c>
    </row>
    <row r="953" spans="1:26" x14ac:dyDescent="0.25">
      <c r="A953" t="s">
        <v>1096</v>
      </c>
      <c r="B953" t="s">
        <v>370</v>
      </c>
      <c r="C953" t="s">
        <v>27</v>
      </c>
      <c r="E953" t="s">
        <v>169</v>
      </c>
      <c r="H953" s="2">
        <v>45164.800000000003</v>
      </c>
      <c r="I953" t="s">
        <v>782</v>
      </c>
      <c r="K953" t="s">
        <v>30</v>
      </c>
      <c r="L953" t="s">
        <v>31</v>
      </c>
      <c r="M953">
        <v>55887089</v>
      </c>
      <c r="N953">
        <v>12886132963</v>
      </c>
      <c r="O953" t="s">
        <v>1097</v>
      </c>
      <c r="Z953">
        <v>63464</v>
      </c>
    </row>
    <row r="954" spans="1:26" x14ac:dyDescent="0.25">
      <c r="A954" t="s">
        <v>1237</v>
      </c>
      <c r="B954" t="s">
        <v>26</v>
      </c>
      <c r="C954" t="s">
        <v>27</v>
      </c>
      <c r="H954" s="2">
        <v>45164.479166666664</v>
      </c>
      <c r="I954" t="s">
        <v>782</v>
      </c>
      <c r="Z954">
        <v>63438</v>
      </c>
    </row>
    <row r="955" spans="1:26" x14ac:dyDescent="0.25">
      <c r="A955" t="s">
        <v>1238</v>
      </c>
      <c r="B955" t="s">
        <v>26</v>
      </c>
      <c r="C955" t="s">
        <v>27</v>
      </c>
      <c r="H955" s="2">
        <v>45164.447222222225</v>
      </c>
      <c r="I955" t="s">
        <v>289</v>
      </c>
      <c r="Z955">
        <v>63433</v>
      </c>
    </row>
    <row r="956" spans="1:26" x14ac:dyDescent="0.25">
      <c r="A956" t="s">
        <v>1239</v>
      </c>
      <c r="B956" t="s">
        <v>43</v>
      </c>
      <c r="C956" t="s">
        <v>27</v>
      </c>
      <c r="E956" t="s">
        <v>41</v>
      </c>
      <c r="G956" t="s">
        <v>1236</v>
      </c>
      <c r="H956" s="2">
        <v>45163.950694444444</v>
      </c>
      <c r="I956" t="s">
        <v>782</v>
      </c>
      <c r="Z956">
        <v>63421</v>
      </c>
    </row>
    <row r="957" spans="1:26" x14ac:dyDescent="0.25">
      <c r="A957" t="s">
        <v>151</v>
      </c>
      <c r="C957" t="s">
        <v>27</v>
      </c>
      <c r="E957" t="s">
        <v>135</v>
      </c>
      <c r="H957" s="2">
        <v>45162.548611111109</v>
      </c>
      <c r="I957" t="s">
        <v>128</v>
      </c>
      <c r="Z957">
        <v>63306</v>
      </c>
    </row>
    <row r="958" spans="1:26" x14ac:dyDescent="0.25">
      <c r="A958" t="s">
        <v>1241</v>
      </c>
      <c r="B958" t="s">
        <v>26</v>
      </c>
      <c r="C958" t="s">
        <v>27</v>
      </c>
      <c r="H958" s="2">
        <v>45160.48333333333</v>
      </c>
      <c r="I958" t="s">
        <v>128</v>
      </c>
      <c r="Z958">
        <v>63135</v>
      </c>
    </row>
    <row r="959" spans="1:26" x14ac:dyDescent="0.25">
      <c r="A959" t="s">
        <v>1242</v>
      </c>
      <c r="B959" t="s">
        <v>26</v>
      </c>
      <c r="C959" t="s">
        <v>27</v>
      </c>
      <c r="H959" s="2">
        <v>45160.413194444445</v>
      </c>
      <c r="I959" t="s">
        <v>289</v>
      </c>
      <c r="Z959">
        <v>63117</v>
      </c>
    </row>
    <row r="960" spans="1:26" x14ac:dyDescent="0.25">
      <c r="A960" t="s">
        <v>1243</v>
      </c>
      <c r="B960" t="s">
        <v>276</v>
      </c>
      <c r="C960" t="s">
        <v>27</v>
      </c>
      <c r="E960" t="s">
        <v>1244</v>
      </c>
      <c r="H960" s="2">
        <v>45159.748611111114</v>
      </c>
      <c r="I960" t="s">
        <v>782</v>
      </c>
      <c r="Z960">
        <v>63106</v>
      </c>
    </row>
    <row r="961" spans="1:26" x14ac:dyDescent="0.25">
      <c r="A961" t="s">
        <v>151</v>
      </c>
      <c r="C961" t="s">
        <v>27</v>
      </c>
      <c r="E961" t="s">
        <v>122</v>
      </c>
      <c r="H961" s="2">
        <v>45159.747916666667</v>
      </c>
      <c r="I961" t="s">
        <v>782</v>
      </c>
      <c r="Z961">
        <v>63105</v>
      </c>
    </row>
    <row r="962" spans="1:26" x14ac:dyDescent="0.25">
      <c r="A962" t="s">
        <v>1246</v>
      </c>
      <c r="B962" t="s">
        <v>276</v>
      </c>
      <c r="C962" t="s">
        <v>27</v>
      </c>
      <c r="E962" t="s">
        <v>1247</v>
      </c>
      <c r="H962" s="2">
        <v>45157.328472222223</v>
      </c>
      <c r="I962" t="s">
        <v>782</v>
      </c>
      <c r="Z962">
        <v>62954</v>
      </c>
    </row>
    <row r="963" spans="1:26" x14ac:dyDescent="0.25">
      <c r="A963" t="s">
        <v>1248</v>
      </c>
      <c r="B963" t="s">
        <v>26</v>
      </c>
      <c r="C963" t="s">
        <v>27</v>
      </c>
      <c r="H963" s="2">
        <v>45156.542361111111</v>
      </c>
      <c r="I963" t="s">
        <v>128</v>
      </c>
      <c r="Z963">
        <v>62917</v>
      </c>
    </row>
    <row r="964" spans="1:26" x14ac:dyDescent="0.25">
      <c r="A964" t="s">
        <v>1249</v>
      </c>
      <c r="B964" t="s">
        <v>26</v>
      </c>
      <c r="C964" t="s">
        <v>27</v>
      </c>
      <c r="H964" s="2">
        <v>45154.512499999997</v>
      </c>
      <c r="I964" t="s">
        <v>128</v>
      </c>
      <c r="Z964">
        <v>62756</v>
      </c>
    </row>
    <row r="965" spans="1:26" x14ac:dyDescent="0.25">
      <c r="A965" t="s">
        <v>151</v>
      </c>
      <c r="C965" t="s">
        <v>27</v>
      </c>
      <c r="E965" t="s">
        <v>40</v>
      </c>
      <c r="H965" s="2">
        <v>45149.870138888888</v>
      </c>
      <c r="I965" t="s">
        <v>128</v>
      </c>
      <c r="Z965">
        <v>62475</v>
      </c>
    </row>
    <row r="966" spans="1:26" x14ac:dyDescent="0.25">
      <c r="A966" t="s">
        <v>1250</v>
      </c>
      <c r="B966" t="s">
        <v>26</v>
      </c>
      <c r="C966" t="s">
        <v>103</v>
      </c>
      <c r="H966" s="2">
        <v>45148.666666666664</v>
      </c>
      <c r="I966" t="s">
        <v>128</v>
      </c>
      <c r="Z966">
        <v>62369</v>
      </c>
    </row>
    <row r="967" spans="1:26" x14ac:dyDescent="0.25">
      <c r="A967" t="s">
        <v>1251</v>
      </c>
      <c r="B967" t="s">
        <v>370</v>
      </c>
      <c r="C967" t="s">
        <v>27</v>
      </c>
      <c r="E967" t="s">
        <v>1252</v>
      </c>
      <c r="H967" s="2">
        <v>45147.609722222223</v>
      </c>
      <c r="I967" t="s">
        <v>782</v>
      </c>
      <c r="Z967">
        <v>62267</v>
      </c>
    </row>
    <row r="968" spans="1:26" x14ac:dyDescent="0.25">
      <c r="A968" t="s">
        <v>1253</v>
      </c>
      <c r="B968" t="s">
        <v>43</v>
      </c>
      <c r="C968" t="s">
        <v>27</v>
      </c>
      <c r="E968" t="s">
        <v>65</v>
      </c>
      <c r="G968" t="s">
        <v>297</v>
      </c>
      <c r="H968" s="2">
        <v>45146.932638888888</v>
      </c>
      <c r="I968" t="s">
        <v>782</v>
      </c>
      <c r="Z968">
        <v>62220</v>
      </c>
    </row>
    <row r="969" spans="1:26" x14ac:dyDescent="0.25">
      <c r="A969" t="s">
        <v>1254</v>
      </c>
      <c r="B969" t="s">
        <v>26</v>
      </c>
      <c r="C969" t="s">
        <v>27</v>
      </c>
      <c r="H969" s="2">
        <v>45146.636805555558</v>
      </c>
      <c r="I969" t="s">
        <v>289</v>
      </c>
      <c r="Z969">
        <v>62179</v>
      </c>
    </row>
    <row r="970" spans="1:26" x14ac:dyDescent="0.25">
      <c r="A970" t="s">
        <v>129</v>
      </c>
      <c r="C970" t="s">
        <v>27</v>
      </c>
      <c r="E970" t="s">
        <v>140</v>
      </c>
      <c r="H970" s="2">
        <v>45145.673611111109</v>
      </c>
      <c r="I970" t="s">
        <v>781</v>
      </c>
      <c r="Z970">
        <v>62093</v>
      </c>
    </row>
    <row r="971" spans="1:26" x14ac:dyDescent="0.25">
      <c r="A971" t="s">
        <v>471</v>
      </c>
      <c r="B971" t="s">
        <v>276</v>
      </c>
      <c r="C971" t="s">
        <v>27</v>
      </c>
      <c r="E971" t="s">
        <v>116</v>
      </c>
      <c r="H971" s="2">
        <v>45143.512499999997</v>
      </c>
      <c r="I971" t="s">
        <v>939</v>
      </c>
      <c r="Z971">
        <v>61898</v>
      </c>
    </row>
    <row r="972" spans="1:26" x14ac:dyDescent="0.25">
      <c r="A972" t="s">
        <v>1255</v>
      </c>
      <c r="B972" t="s">
        <v>26</v>
      </c>
      <c r="C972" t="s">
        <v>27</v>
      </c>
      <c r="H972" s="2">
        <v>45143.491666666669</v>
      </c>
      <c r="I972" t="s">
        <v>128</v>
      </c>
      <c r="Z972">
        <v>61894</v>
      </c>
    </row>
    <row r="973" spans="1:26" x14ac:dyDescent="0.25">
      <c r="A973" t="s">
        <v>1256</v>
      </c>
      <c r="B973" t="s">
        <v>26</v>
      </c>
      <c r="C973" t="s">
        <v>27</v>
      </c>
      <c r="H973" s="2">
        <v>45140.689583333333</v>
      </c>
      <c r="I973" t="s">
        <v>128</v>
      </c>
      <c r="Z973">
        <v>61674</v>
      </c>
    </row>
    <row r="974" spans="1:26" x14ac:dyDescent="0.25">
      <c r="A974" t="s">
        <v>151</v>
      </c>
      <c r="C974" t="s">
        <v>27</v>
      </c>
      <c r="E974" t="s">
        <v>119</v>
      </c>
      <c r="H974" s="2">
        <v>45140.585416666669</v>
      </c>
      <c r="I974" t="s">
        <v>128</v>
      </c>
      <c r="Z974">
        <v>61651</v>
      </c>
    </row>
    <row r="975" spans="1:26" x14ac:dyDescent="0.25">
      <c r="A975" t="s">
        <v>1258</v>
      </c>
      <c r="B975" t="s">
        <v>26</v>
      </c>
      <c r="C975" t="s">
        <v>71</v>
      </c>
      <c r="H975" s="2">
        <v>45136.59652777778</v>
      </c>
      <c r="I975" t="s">
        <v>1245</v>
      </c>
      <c r="Z975">
        <v>61326</v>
      </c>
    </row>
    <row r="976" spans="1:26" x14ac:dyDescent="0.25">
      <c r="A976" t="s">
        <v>1260</v>
      </c>
      <c r="B976" t="s">
        <v>370</v>
      </c>
      <c r="C976" t="s">
        <v>27</v>
      </c>
      <c r="E976" t="s">
        <v>1261</v>
      </c>
      <c r="H976" s="2">
        <v>45128.893750000003</v>
      </c>
      <c r="I976" t="s">
        <v>128</v>
      </c>
      <c r="Z976">
        <v>60691</v>
      </c>
    </row>
    <row r="977" spans="1:26" x14ac:dyDescent="0.25">
      <c r="A977" t="s">
        <v>1262</v>
      </c>
      <c r="B977" t="s">
        <v>370</v>
      </c>
      <c r="C977" t="s">
        <v>27</v>
      </c>
      <c r="E977" t="s">
        <v>1240</v>
      </c>
      <c r="G977" t="s">
        <v>1263</v>
      </c>
      <c r="H977" s="2">
        <v>45128.488194444442</v>
      </c>
      <c r="I977" t="s">
        <v>128</v>
      </c>
      <c r="Z977">
        <v>60619</v>
      </c>
    </row>
    <row r="978" spans="1:26" x14ac:dyDescent="0.25">
      <c r="A978" t="s">
        <v>823</v>
      </c>
      <c r="B978" t="s">
        <v>370</v>
      </c>
      <c r="C978" t="s">
        <v>27</v>
      </c>
      <c r="E978" t="s">
        <v>41</v>
      </c>
      <c r="H978" s="2">
        <v>45126.938888888886</v>
      </c>
      <c r="I978" t="s">
        <v>782</v>
      </c>
      <c r="Z978">
        <v>60503</v>
      </c>
    </row>
    <row r="979" spans="1:26" x14ac:dyDescent="0.25">
      <c r="A979" t="s">
        <v>1264</v>
      </c>
      <c r="B979" t="s">
        <v>26</v>
      </c>
      <c r="C979" t="s">
        <v>27</v>
      </c>
      <c r="H979" s="2">
        <v>45126.507638888892</v>
      </c>
      <c r="I979" t="s">
        <v>782</v>
      </c>
      <c r="Z979">
        <v>60440</v>
      </c>
    </row>
    <row r="980" spans="1:26" x14ac:dyDescent="0.25">
      <c r="A980" t="s">
        <v>1265</v>
      </c>
      <c r="B980" t="s">
        <v>26</v>
      </c>
      <c r="C980" t="s">
        <v>27</v>
      </c>
      <c r="H980" s="2">
        <v>45125.643055555556</v>
      </c>
      <c r="I980" t="s">
        <v>128</v>
      </c>
      <c r="Z980">
        <v>60379</v>
      </c>
    </row>
    <row r="981" spans="1:26" x14ac:dyDescent="0.25">
      <c r="A981" t="s">
        <v>1266</v>
      </c>
      <c r="B981" t="s">
        <v>43</v>
      </c>
      <c r="C981" t="s">
        <v>27</v>
      </c>
      <c r="E981" t="s">
        <v>68</v>
      </c>
      <c r="G981" t="s">
        <v>1267</v>
      </c>
      <c r="H981" s="2">
        <v>45125.597916666666</v>
      </c>
      <c r="I981" t="s">
        <v>128</v>
      </c>
      <c r="Z981">
        <v>60371</v>
      </c>
    </row>
    <row r="982" spans="1:26" x14ac:dyDescent="0.25">
      <c r="A982" t="s">
        <v>1268</v>
      </c>
      <c r="B982" t="s">
        <v>26</v>
      </c>
      <c r="C982" t="s">
        <v>27</v>
      </c>
      <c r="H982" s="2">
        <v>45123.75</v>
      </c>
      <c r="I982" t="s">
        <v>128</v>
      </c>
      <c r="Z982">
        <v>60210</v>
      </c>
    </row>
    <row r="983" spans="1:26" x14ac:dyDescent="0.25">
      <c r="A983" t="s">
        <v>1269</v>
      </c>
      <c r="B983" t="s">
        <v>26</v>
      </c>
      <c r="C983" t="s">
        <v>27</v>
      </c>
      <c r="H983" s="2">
        <v>45122.436805555553</v>
      </c>
      <c r="I983" t="s">
        <v>289</v>
      </c>
      <c r="Z983">
        <v>60144</v>
      </c>
    </row>
    <row r="984" spans="1:26" x14ac:dyDescent="0.25">
      <c r="A984" t="s">
        <v>1270</v>
      </c>
      <c r="B984" t="s">
        <v>26</v>
      </c>
      <c r="C984" t="s">
        <v>27</v>
      </c>
      <c r="H984" s="2">
        <v>45114.79583333333</v>
      </c>
      <c r="I984" t="s">
        <v>29</v>
      </c>
      <c r="Z984">
        <v>59625</v>
      </c>
    </row>
    <row r="985" spans="1:26" x14ac:dyDescent="0.25">
      <c r="A985" t="s">
        <v>1271</v>
      </c>
      <c r="B985" t="s">
        <v>26</v>
      </c>
      <c r="C985" t="s">
        <v>27</v>
      </c>
      <c r="H985" s="2">
        <v>45114.689583333333</v>
      </c>
      <c r="I985" t="s">
        <v>29</v>
      </c>
      <c r="Z985">
        <v>59612</v>
      </c>
    </row>
    <row r="986" spans="1:26" x14ac:dyDescent="0.25">
      <c r="A986" t="s">
        <v>1272</v>
      </c>
      <c r="B986" t="s">
        <v>26</v>
      </c>
      <c r="C986" t="s">
        <v>27</v>
      </c>
      <c r="H986" s="2">
        <v>45113.728472222225</v>
      </c>
      <c r="I986" t="s">
        <v>128</v>
      </c>
      <c r="Z986">
        <v>59544</v>
      </c>
    </row>
    <row r="987" spans="1:26" x14ac:dyDescent="0.25">
      <c r="A987" t="s">
        <v>1273</v>
      </c>
      <c r="B987" t="s">
        <v>26</v>
      </c>
      <c r="C987" t="s">
        <v>27</v>
      </c>
      <c r="H987" s="2">
        <v>45113.504166666666</v>
      </c>
      <c r="I987" t="s">
        <v>29</v>
      </c>
      <c r="Z987">
        <v>59503</v>
      </c>
    </row>
    <row r="988" spans="1:26" x14ac:dyDescent="0.25">
      <c r="A988" t="s">
        <v>1274</v>
      </c>
      <c r="B988" t="s">
        <v>370</v>
      </c>
      <c r="C988" t="s">
        <v>27</v>
      </c>
      <c r="E988" t="s">
        <v>1275</v>
      </c>
      <c r="H988" s="2">
        <v>45113.28125</v>
      </c>
      <c r="I988" t="s">
        <v>29</v>
      </c>
      <c r="Z988">
        <v>59481</v>
      </c>
    </row>
    <row r="989" spans="1:26" x14ac:dyDescent="0.25">
      <c r="A989" t="s">
        <v>1276</v>
      </c>
      <c r="B989" t="s">
        <v>26</v>
      </c>
      <c r="C989" t="s">
        <v>27</v>
      </c>
      <c r="H989" s="2">
        <v>45112.572222222225</v>
      </c>
      <c r="I989" t="s">
        <v>128</v>
      </c>
      <c r="Z989">
        <v>59439</v>
      </c>
    </row>
    <row r="990" spans="1:26" x14ac:dyDescent="0.25">
      <c r="A990" t="s">
        <v>1277</v>
      </c>
      <c r="B990" t="s">
        <v>43</v>
      </c>
      <c r="C990" t="s">
        <v>27</v>
      </c>
      <c r="E990" t="s">
        <v>116</v>
      </c>
      <c r="G990" t="s">
        <v>1278</v>
      </c>
      <c r="H990" s="2">
        <v>45112.449305555558</v>
      </c>
      <c r="I990" t="s">
        <v>1245</v>
      </c>
      <c r="Z990">
        <v>59411</v>
      </c>
    </row>
    <row r="991" spans="1:26" x14ac:dyDescent="0.25">
      <c r="A991" t="s">
        <v>1279</v>
      </c>
      <c r="B991" t="s">
        <v>26</v>
      </c>
      <c r="C991" t="s">
        <v>27</v>
      </c>
      <c r="H991" s="2">
        <v>45107.743055555555</v>
      </c>
      <c r="I991" t="s">
        <v>128</v>
      </c>
      <c r="Z991">
        <v>59118</v>
      </c>
    </row>
    <row r="992" spans="1:26" x14ac:dyDescent="0.25">
      <c r="A992" t="s">
        <v>151</v>
      </c>
      <c r="C992" t="s">
        <v>27</v>
      </c>
      <c r="E992" t="s">
        <v>122</v>
      </c>
      <c r="H992" s="2">
        <v>45107.618055555555</v>
      </c>
      <c r="I992" t="s">
        <v>128</v>
      </c>
      <c r="Z992">
        <v>59104</v>
      </c>
    </row>
    <row r="993" spans="1:26" x14ac:dyDescent="0.25">
      <c r="A993" t="s">
        <v>1280</v>
      </c>
      <c r="B993" t="s">
        <v>26</v>
      </c>
      <c r="C993" t="s">
        <v>27</v>
      </c>
      <c r="H993" s="2">
        <v>45107.55972222222</v>
      </c>
      <c r="I993" t="s">
        <v>128</v>
      </c>
      <c r="Z993">
        <v>59092</v>
      </c>
    </row>
    <row r="994" spans="1:26" x14ac:dyDescent="0.25">
      <c r="A994" t="s">
        <v>1281</v>
      </c>
      <c r="B994" t="s">
        <v>26</v>
      </c>
      <c r="C994" t="s">
        <v>27</v>
      </c>
      <c r="H994" s="2">
        <v>45107.395833333336</v>
      </c>
      <c r="I994" t="s">
        <v>128</v>
      </c>
      <c r="Z994">
        <v>59062</v>
      </c>
    </row>
    <row r="995" spans="1:26" x14ac:dyDescent="0.25">
      <c r="A995" t="s">
        <v>129</v>
      </c>
      <c r="C995" t="s">
        <v>27</v>
      </c>
      <c r="E995" t="s">
        <v>41</v>
      </c>
      <c r="H995" s="2">
        <v>45105.663888888892</v>
      </c>
      <c r="I995" t="s">
        <v>128</v>
      </c>
      <c r="Z995">
        <v>58957</v>
      </c>
    </row>
    <row r="996" spans="1:26" x14ac:dyDescent="0.25">
      <c r="A996" t="s">
        <v>1284</v>
      </c>
      <c r="B996" t="s">
        <v>26</v>
      </c>
      <c r="C996" t="s">
        <v>27</v>
      </c>
      <c r="H996" s="2">
        <v>45105.504166666666</v>
      </c>
      <c r="I996" t="s">
        <v>289</v>
      </c>
      <c r="Z996">
        <v>58932</v>
      </c>
    </row>
    <row r="997" spans="1:26" x14ac:dyDescent="0.25">
      <c r="A997" t="s">
        <v>129</v>
      </c>
      <c r="C997" t="s">
        <v>27</v>
      </c>
      <c r="E997" t="s">
        <v>64</v>
      </c>
      <c r="H997" s="2">
        <v>45104.796527777777</v>
      </c>
      <c r="I997" t="s">
        <v>782</v>
      </c>
      <c r="Z997">
        <v>58897</v>
      </c>
    </row>
    <row r="998" spans="1:26" x14ac:dyDescent="0.25">
      <c r="A998" t="s">
        <v>1285</v>
      </c>
      <c r="B998" t="s">
        <v>26</v>
      </c>
      <c r="C998" t="s">
        <v>27</v>
      </c>
      <c r="H998" s="2">
        <v>45104.614583333336</v>
      </c>
      <c r="I998" t="s">
        <v>782</v>
      </c>
      <c r="Z998">
        <v>58879</v>
      </c>
    </row>
    <row r="999" spans="1:26" x14ac:dyDescent="0.25">
      <c r="A999" t="s">
        <v>1096</v>
      </c>
      <c r="B999" t="s">
        <v>370</v>
      </c>
      <c r="C999" t="s">
        <v>27</v>
      </c>
      <c r="E999" t="s">
        <v>169</v>
      </c>
      <c r="H999" s="2">
        <v>45103.839583333334</v>
      </c>
      <c r="I999" t="s">
        <v>782</v>
      </c>
      <c r="K999" t="s">
        <v>30</v>
      </c>
      <c r="L999" t="s">
        <v>31</v>
      </c>
      <c r="M999">
        <v>55887089</v>
      </c>
      <c r="N999">
        <v>9754619162</v>
      </c>
      <c r="O999" t="s">
        <v>1282</v>
      </c>
      <c r="Z999">
        <v>58843</v>
      </c>
    </row>
    <row r="1000" spans="1:26" x14ac:dyDescent="0.25">
      <c r="A1000" t="s">
        <v>1286</v>
      </c>
      <c r="B1000" t="s">
        <v>26</v>
      </c>
      <c r="C1000" t="s">
        <v>27</v>
      </c>
      <c r="H1000" s="2">
        <v>45103.802777777775</v>
      </c>
      <c r="I1000" t="s">
        <v>782</v>
      </c>
      <c r="Z1000">
        <v>58841</v>
      </c>
    </row>
    <row r="1001" spans="1:26" x14ac:dyDescent="0.25">
      <c r="A1001" t="s">
        <v>471</v>
      </c>
      <c r="B1001" t="s">
        <v>276</v>
      </c>
      <c r="C1001" t="s">
        <v>27</v>
      </c>
      <c r="E1001" t="s">
        <v>116</v>
      </c>
      <c r="H1001" s="2">
        <v>45098.634722222225</v>
      </c>
      <c r="I1001" t="s">
        <v>782</v>
      </c>
      <c r="Z1001">
        <v>58502</v>
      </c>
    </row>
    <row r="1002" spans="1:26" x14ac:dyDescent="0.25">
      <c r="A1002" t="s">
        <v>1288</v>
      </c>
      <c r="B1002" t="s">
        <v>26</v>
      </c>
      <c r="C1002" t="s">
        <v>27</v>
      </c>
      <c r="H1002" s="2">
        <v>45097.726388888892</v>
      </c>
      <c r="I1002" t="s">
        <v>781</v>
      </c>
      <c r="Z1002">
        <v>58444</v>
      </c>
    </row>
    <row r="1003" spans="1:26" x14ac:dyDescent="0.25">
      <c r="A1003" t="s">
        <v>129</v>
      </c>
      <c r="C1003" t="s">
        <v>27</v>
      </c>
      <c r="E1003" t="s">
        <v>122</v>
      </c>
      <c r="H1003" s="2">
        <v>45097.475694444445</v>
      </c>
      <c r="I1003" t="s">
        <v>289</v>
      </c>
      <c r="Z1003">
        <v>58417</v>
      </c>
    </row>
    <row r="1004" spans="1:26" x14ac:dyDescent="0.25">
      <c r="A1004" t="s">
        <v>1289</v>
      </c>
      <c r="B1004" t="s">
        <v>26</v>
      </c>
      <c r="C1004" t="s">
        <v>27</v>
      </c>
      <c r="H1004" s="2">
        <v>45095.543055555558</v>
      </c>
      <c r="I1004" t="s">
        <v>128</v>
      </c>
      <c r="Z1004">
        <v>58290</v>
      </c>
    </row>
    <row r="1005" spans="1:26" x14ac:dyDescent="0.25">
      <c r="A1005" t="s">
        <v>1290</v>
      </c>
      <c r="B1005" t="s">
        <v>370</v>
      </c>
      <c r="C1005" t="s">
        <v>27</v>
      </c>
      <c r="E1005" t="s">
        <v>1291</v>
      </c>
      <c r="G1005" t="s">
        <v>54</v>
      </c>
      <c r="H1005" s="2">
        <v>45093.929861111108</v>
      </c>
      <c r="I1005" t="s">
        <v>128</v>
      </c>
      <c r="Z1005">
        <v>58192</v>
      </c>
    </row>
    <row r="1006" spans="1:26" x14ac:dyDescent="0.25">
      <c r="A1006" t="s">
        <v>1292</v>
      </c>
      <c r="B1006" t="s">
        <v>541</v>
      </c>
      <c r="C1006" t="s">
        <v>27</v>
      </c>
      <c r="E1006" t="s">
        <v>1293</v>
      </c>
      <c r="H1006" s="2">
        <v>45093.679861111108</v>
      </c>
      <c r="I1006" t="s">
        <v>782</v>
      </c>
      <c r="K1006" t="s">
        <v>30</v>
      </c>
      <c r="L1006" t="s">
        <v>31</v>
      </c>
      <c r="M1006">
        <v>55887089</v>
      </c>
      <c r="N1006">
        <v>9754619162</v>
      </c>
      <c r="O1006" t="s">
        <v>1116</v>
      </c>
      <c r="Z1006">
        <v>58168</v>
      </c>
    </row>
    <row r="1007" spans="1:26" x14ac:dyDescent="0.25">
      <c r="A1007" t="s">
        <v>823</v>
      </c>
      <c r="B1007" t="s">
        <v>370</v>
      </c>
      <c r="C1007" t="s">
        <v>27</v>
      </c>
      <c r="E1007" t="s">
        <v>41</v>
      </c>
      <c r="H1007" s="2">
        <v>45093.586805555555</v>
      </c>
      <c r="I1007" t="s">
        <v>289</v>
      </c>
      <c r="Z1007">
        <v>58155</v>
      </c>
    </row>
    <row r="1008" spans="1:26" x14ac:dyDescent="0.25">
      <c r="A1008" t="s">
        <v>1294</v>
      </c>
      <c r="B1008" t="s">
        <v>370</v>
      </c>
      <c r="C1008" t="s">
        <v>27</v>
      </c>
      <c r="E1008" t="s">
        <v>1295</v>
      </c>
      <c r="H1008" s="2">
        <v>45092.879861111112</v>
      </c>
      <c r="I1008" t="s">
        <v>782</v>
      </c>
      <c r="Z1008">
        <v>58105</v>
      </c>
    </row>
    <row r="1009" spans="1:26" x14ac:dyDescent="0.25">
      <c r="A1009" t="s">
        <v>1296</v>
      </c>
      <c r="B1009" t="s">
        <v>370</v>
      </c>
      <c r="C1009" t="s">
        <v>27</v>
      </c>
      <c r="E1009" t="s">
        <v>1297</v>
      </c>
      <c r="G1009" t="s">
        <v>1298</v>
      </c>
      <c r="H1009" s="2">
        <v>45091.727083333331</v>
      </c>
      <c r="I1009" t="s">
        <v>782</v>
      </c>
      <c r="Z1009">
        <v>58017</v>
      </c>
    </row>
    <row r="1010" spans="1:26" x14ac:dyDescent="0.25">
      <c r="A1010" t="s">
        <v>1299</v>
      </c>
      <c r="B1010" t="s">
        <v>276</v>
      </c>
      <c r="C1010" t="s">
        <v>71</v>
      </c>
      <c r="E1010" t="s">
        <v>1297</v>
      </c>
      <c r="G1010" t="s">
        <v>1300</v>
      </c>
      <c r="H1010" s="2">
        <v>45091.724305555559</v>
      </c>
      <c r="I1010" t="s">
        <v>782</v>
      </c>
      <c r="Z1010">
        <v>58016</v>
      </c>
    </row>
    <row r="1011" spans="1:26" x14ac:dyDescent="0.25">
      <c r="A1011" t="s">
        <v>1301</v>
      </c>
      <c r="B1011" t="s">
        <v>26</v>
      </c>
      <c r="C1011" t="s">
        <v>27</v>
      </c>
      <c r="H1011" s="2">
        <v>45090.758333333331</v>
      </c>
      <c r="I1011" t="s">
        <v>128</v>
      </c>
      <c r="Z1011">
        <v>57966</v>
      </c>
    </row>
    <row r="1012" spans="1:26" x14ac:dyDescent="0.25">
      <c r="A1012" t="s">
        <v>1302</v>
      </c>
      <c r="B1012" t="s">
        <v>370</v>
      </c>
      <c r="C1012" t="s">
        <v>27</v>
      </c>
      <c r="E1012" t="s">
        <v>1303</v>
      </c>
      <c r="H1012" s="2">
        <v>45090.411111111112</v>
      </c>
      <c r="I1012" t="s">
        <v>128</v>
      </c>
      <c r="K1012" t="s">
        <v>30</v>
      </c>
      <c r="L1012" t="s">
        <v>31</v>
      </c>
      <c r="M1012">
        <v>55887089</v>
      </c>
      <c r="N1012">
        <v>12886121812</v>
      </c>
      <c r="O1012" t="s">
        <v>1304</v>
      </c>
      <c r="Z1012">
        <v>57898</v>
      </c>
    </row>
    <row r="1013" spans="1:26" x14ac:dyDescent="0.25">
      <c r="A1013" t="s">
        <v>1305</v>
      </c>
      <c r="B1013" t="s">
        <v>276</v>
      </c>
      <c r="C1013" t="s">
        <v>27</v>
      </c>
      <c r="E1013" t="s">
        <v>1306</v>
      </c>
      <c r="G1013" t="s">
        <v>40</v>
      </c>
      <c r="H1013" s="2">
        <v>45089.43472222222</v>
      </c>
      <c r="I1013" t="s">
        <v>128</v>
      </c>
      <c r="Z1013">
        <v>57851</v>
      </c>
    </row>
    <row r="1014" spans="1:26" x14ac:dyDescent="0.25">
      <c r="A1014" t="s">
        <v>1307</v>
      </c>
      <c r="B1014" t="s">
        <v>26</v>
      </c>
      <c r="C1014" t="s">
        <v>27</v>
      </c>
      <c r="H1014" s="2">
        <v>45088.69027777778</v>
      </c>
      <c r="I1014" t="s">
        <v>128</v>
      </c>
      <c r="Z1014">
        <v>57833</v>
      </c>
    </row>
    <row r="1015" spans="1:26" x14ac:dyDescent="0.25">
      <c r="A1015" t="s">
        <v>1308</v>
      </c>
      <c r="B1015" t="s">
        <v>26</v>
      </c>
      <c r="C1015" t="s">
        <v>27</v>
      </c>
      <c r="H1015" s="2">
        <v>45088.586805555555</v>
      </c>
      <c r="I1015" t="s">
        <v>128</v>
      </c>
      <c r="Z1015">
        <v>57820</v>
      </c>
    </row>
    <row r="1016" spans="1:26" x14ac:dyDescent="0.25">
      <c r="A1016" t="s">
        <v>2245</v>
      </c>
      <c r="B1016" t="s">
        <v>26</v>
      </c>
      <c r="C1016" t="s">
        <v>27</v>
      </c>
      <c r="H1016" s="2">
        <v>45088.499305555553</v>
      </c>
      <c r="I1016" t="s">
        <v>29</v>
      </c>
      <c r="Z1016">
        <v>57813</v>
      </c>
    </row>
    <row r="1017" spans="1:26" x14ac:dyDescent="0.25">
      <c r="A1017" t="s">
        <v>1309</v>
      </c>
      <c r="B1017" t="s">
        <v>26</v>
      </c>
      <c r="C1017" t="s">
        <v>27</v>
      </c>
      <c r="H1017" s="2">
        <v>45086.657638888886</v>
      </c>
      <c r="I1017" t="s">
        <v>782</v>
      </c>
      <c r="Z1017">
        <v>57732</v>
      </c>
    </row>
    <row r="1018" spans="1:26" x14ac:dyDescent="0.25">
      <c r="A1018" t="s">
        <v>1259</v>
      </c>
      <c r="B1018" t="s">
        <v>26</v>
      </c>
      <c r="C1018" t="s">
        <v>27</v>
      </c>
      <c r="H1018" s="2">
        <v>45085.475694444445</v>
      </c>
      <c r="I1018" t="s">
        <v>128</v>
      </c>
      <c r="Z1018">
        <v>57624</v>
      </c>
    </row>
    <row r="1019" spans="1:26" x14ac:dyDescent="0.25">
      <c r="A1019" t="s">
        <v>1310</v>
      </c>
      <c r="B1019" t="s">
        <v>370</v>
      </c>
      <c r="C1019" t="s">
        <v>27</v>
      </c>
      <c r="E1019" t="s">
        <v>298</v>
      </c>
      <c r="H1019" s="2">
        <v>45084.387499999997</v>
      </c>
      <c r="I1019" t="s">
        <v>782</v>
      </c>
      <c r="K1019" t="s">
        <v>30</v>
      </c>
      <c r="L1019" t="s">
        <v>31</v>
      </c>
      <c r="M1019">
        <v>55887083</v>
      </c>
      <c r="N1019">
        <v>9754618982</v>
      </c>
      <c r="O1019" t="s">
        <v>1311</v>
      </c>
      <c r="Z1019">
        <v>57518</v>
      </c>
    </row>
    <row r="1020" spans="1:26" x14ac:dyDescent="0.25">
      <c r="A1020" t="s">
        <v>1312</v>
      </c>
      <c r="B1020" t="s">
        <v>26</v>
      </c>
      <c r="C1020" t="s">
        <v>27</v>
      </c>
      <c r="H1020" s="2">
        <v>45083.785416666666</v>
      </c>
      <c r="I1020" t="s">
        <v>476</v>
      </c>
      <c r="Z1020">
        <v>57505</v>
      </c>
    </row>
    <row r="1021" spans="1:26" x14ac:dyDescent="0.25">
      <c r="A1021" t="s">
        <v>1313</v>
      </c>
      <c r="B1021" t="s">
        <v>26</v>
      </c>
      <c r="C1021" t="s">
        <v>27</v>
      </c>
      <c r="H1021" s="2">
        <v>45083.581250000003</v>
      </c>
      <c r="I1021" t="s">
        <v>781</v>
      </c>
      <c r="Z1021">
        <v>57477</v>
      </c>
    </row>
    <row r="1022" spans="1:26" x14ac:dyDescent="0.25">
      <c r="A1022" t="s">
        <v>1315</v>
      </c>
      <c r="B1022" t="s">
        <v>276</v>
      </c>
      <c r="C1022" t="s">
        <v>27</v>
      </c>
      <c r="E1022" t="s">
        <v>40</v>
      </c>
      <c r="H1022" s="2">
        <v>45082.482638888891</v>
      </c>
      <c r="I1022" t="s">
        <v>476</v>
      </c>
      <c r="K1022" t="s">
        <v>30</v>
      </c>
      <c r="L1022" t="s">
        <v>31</v>
      </c>
      <c r="M1022">
        <v>55887089</v>
      </c>
      <c r="N1022">
        <v>9754619198</v>
      </c>
      <c r="O1022" t="s">
        <v>1092</v>
      </c>
      <c r="Z1022">
        <v>57393</v>
      </c>
    </row>
    <row r="1023" spans="1:26" x14ac:dyDescent="0.25">
      <c r="A1023" t="s">
        <v>1316</v>
      </c>
      <c r="B1023" t="s">
        <v>26</v>
      </c>
      <c r="C1023" t="s">
        <v>27</v>
      </c>
      <c r="H1023" s="2">
        <v>45081.780555555553</v>
      </c>
      <c r="I1023" t="s">
        <v>782</v>
      </c>
      <c r="Z1023">
        <v>57363</v>
      </c>
    </row>
    <row r="1024" spans="1:26" x14ac:dyDescent="0.25">
      <c r="A1024" t="s">
        <v>1317</v>
      </c>
      <c r="B1024" t="s">
        <v>472</v>
      </c>
      <c r="C1024" t="s">
        <v>27</v>
      </c>
      <c r="E1024" t="s">
        <v>1318</v>
      </c>
      <c r="G1024" t="s">
        <v>1319</v>
      </c>
      <c r="H1024" s="2">
        <v>45081.46597222222</v>
      </c>
      <c r="I1024" t="s">
        <v>782</v>
      </c>
      <c r="Z1024">
        <v>57328</v>
      </c>
    </row>
    <row r="1025" spans="1:26" x14ac:dyDescent="0.25">
      <c r="A1025" t="s">
        <v>129</v>
      </c>
      <c r="C1025" t="s">
        <v>1320</v>
      </c>
      <c r="E1025" t="s">
        <v>135</v>
      </c>
      <c r="H1025" s="2">
        <v>45080.679861111108</v>
      </c>
      <c r="I1025" t="s">
        <v>782</v>
      </c>
      <c r="Z1025">
        <v>57294</v>
      </c>
    </row>
    <row r="1026" spans="1:26" x14ac:dyDescent="0.25">
      <c r="A1026" t="s">
        <v>1321</v>
      </c>
      <c r="B1026" t="s">
        <v>26</v>
      </c>
      <c r="C1026" t="s">
        <v>71</v>
      </c>
      <c r="H1026" s="2">
        <v>45080.679166666669</v>
      </c>
      <c r="I1026" t="s">
        <v>782</v>
      </c>
      <c r="Z1026">
        <v>57293</v>
      </c>
    </row>
    <row r="1027" spans="1:26" x14ac:dyDescent="0.25">
      <c r="A1027" t="s">
        <v>1322</v>
      </c>
      <c r="B1027" t="s">
        <v>26</v>
      </c>
      <c r="C1027" t="s">
        <v>27</v>
      </c>
      <c r="H1027" s="2">
        <v>45079.518055555556</v>
      </c>
      <c r="I1027" t="s">
        <v>1323</v>
      </c>
      <c r="Z1027">
        <v>57197</v>
      </c>
    </row>
    <row r="1028" spans="1:26" x14ac:dyDescent="0.25">
      <c r="A1028" t="s">
        <v>1324</v>
      </c>
      <c r="B1028" t="s">
        <v>26</v>
      </c>
      <c r="C1028" t="s">
        <v>27</v>
      </c>
      <c r="H1028" s="2">
        <v>45079.50277777778</v>
      </c>
      <c r="I1028" t="s">
        <v>782</v>
      </c>
      <c r="Z1028">
        <v>57194</v>
      </c>
    </row>
    <row r="1029" spans="1:26" x14ac:dyDescent="0.25">
      <c r="A1029" t="s">
        <v>1325</v>
      </c>
      <c r="B1029" t="s">
        <v>541</v>
      </c>
      <c r="C1029" t="s">
        <v>71</v>
      </c>
      <c r="E1029" t="s">
        <v>1326</v>
      </c>
      <c r="H1029" s="2">
        <v>45079.501388888886</v>
      </c>
      <c r="I1029" t="s">
        <v>782</v>
      </c>
      <c r="Z1029">
        <v>57192</v>
      </c>
    </row>
    <row r="1030" spans="1:26" x14ac:dyDescent="0.25">
      <c r="A1030" t="s">
        <v>1327</v>
      </c>
      <c r="B1030" t="s">
        <v>26</v>
      </c>
      <c r="C1030" t="s">
        <v>27</v>
      </c>
      <c r="H1030" s="2">
        <v>45078.72152777778</v>
      </c>
      <c r="I1030" t="s">
        <v>476</v>
      </c>
      <c r="Z1030">
        <v>57148</v>
      </c>
    </row>
    <row r="1031" spans="1:26" x14ac:dyDescent="0.25">
      <c r="A1031" t="s">
        <v>1328</v>
      </c>
      <c r="B1031" t="s">
        <v>26</v>
      </c>
      <c r="C1031" t="s">
        <v>27</v>
      </c>
      <c r="H1031" s="2">
        <v>45078.435416666667</v>
      </c>
      <c r="I1031" t="s">
        <v>476</v>
      </c>
      <c r="Z1031">
        <v>57105</v>
      </c>
    </row>
    <row r="1032" spans="1:26" x14ac:dyDescent="0.25">
      <c r="A1032" t="s">
        <v>1329</v>
      </c>
      <c r="B1032" t="s">
        <v>370</v>
      </c>
      <c r="C1032" t="s">
        <v>27</v>
      </c>
      <c r="E1032" t="s">
        <v>120</v>
      </c>
      <c r="G1032" t="s">
        <v>1330</v>
      </c>
      <c r="H1032" s="2">
        <v>45077.52847222222</v>
      </c>
      <c r="I1032" t="s">
        <v>476</v>
      </c>
      <c r="Z1032">
        <v>57045</v>
      </c>
    </row>
    <row r="1033" spans="1:26" x14ac:dyDescent="0.25">
      <c r="A1033" t="s">
        <v>1331</v>
      </c>
      <c r="B1033" t="s">
        <v>26</v>
      </c>
      <c r="C1033" t="s">
        <v>27</v>
      </c>
      <c r="H1033" s="2">
        <v>45072.824305555558</v>
      </c>
      <c r="I1033" t="s">
        <v>782</v>
      </c>
      <c r="Z1033">
        <v>56766</v>
      </c>
    </row>
    <row r="1034" spans="1:26" x14ac:dyDescent="0.25">
      <c r="A1034" t="s">
        <v>1332</v>
      </c>
      <c r="B1034" t="s">
        <v>26</v>
      </c>
      <c r="C1034" t="s">
        <v>27</v>
      </c>
      <c r="H1034" s="2">
        <v>45072.745138888888</v>
      </c>
      <c r="I1034" t="s">
        <v>782</v>
      </c>
      <c r="Z1034">
        <v>56756</v>
      </c>
    </row>
    <row r="1035" spans="1:26" x14ac:dyDescent="0.25">
      <c r="A1035" t="s">
        <v>139</v>
      </c>
      <c r="B1035" t="s">
        <v>93</v>
      </c>
      <c r="C1035" t="s">
        <v>27</v>
      </c>
      <c r="E1035" t="s">
        <v>989</v>
      </c>
      <c r="H1035" s="2">
        <v>45072.705555555556</v>
      </c>
      <c r="I1035" t="s">
        <v>782</v>
      </c>
      <c r="Z1035">
        <v>56751</v>
      </c>
    </row>
    <row r="1036" spans="1:26" x14ac:dyDescent="0.25">
      <c r="A1036" t="s">
        <v>1064</v>
      </c>
      <c r="B1036" t="s">
        <v>370</v>
      </c>
      <c r="C1036" t="s">
        <v>27</v>
      </c>
      <c r="E1036" t="s">
        <v>65</v>
      </c>
      <c r="H1036" s="2">
        <v>45072.439583333333</v>
      </c>
      <c r="I1036" t="s">
        <v>782</v>
      </c>
      <c r="K1036" t="s">
        <v>30</v>
      </c>
      <c r="L1036" t="s">
        <v>31</v>
      </c>
      <c r="M1036">
        <v>67131912</v>
      </c>
      <c r="N1036">
        <v>11953101645</v>
      </c>
      <c r="O1036" t="s">
        <v>1287</v>
      </c>
      <c r="Z1036">
        <v>56711</v>
      </c>
    </row>
    <row r="1037" spans="1:26" x14ac:dyDescent="0.25">
      <c r="A1037" t="s">
        <v>1334</v>
      </c>
      <c r="B1037" t="s">
        <v>26</v>
      </c>
      <c r="C1037" t="s">
        <v>27</v>
      </c>
      <c r="H1037" s="2">
        <v>45068.508333333331</v>
      </c>
      <c r="I1037" t="s">
        <v>782</v>
      </c>
      <c r="Z1037">
        <v>56395</v>
      </c>
    </row>
    <row r="1038" spans="1:26" x14ac:dyDescent="0.25">
      <c r="A1038" t="s">
        <v>1335</v>
      </c>
      <c r="B1038" t="s">
        <v>276</v>
      </c>
      <c r="C1038" t="s">
        <v>27</v>
      </c>
      <c r="E1038" t="s">
        <v>75</v>
      </c>
      <c r="G1038" t="s">
        <v>1336</v>
      </c>
      <c r="H1038" s="2">
        <v>45068.438888888886</v>
      </c>
      <c r="I1038" t="s">
        <v>782</v>
      </c>
      <c r="Z1038">
        <v>56382</v>
      </c>
    </row>
    <row r="1039" spans="1:26" x14ac:dyDescent="0.25">
      <c r="A1039" t="s">
        <v>2246</v>
      </c>
      <c r="B1039" t="s">
        <v>26</v>
      </c>
      <c r="C1039" t="s">
        <v>27</v>
      </c>
      <c r="H1039" s="2">
        <v>45067.740972222222</v>
      </c>
      <c r="I1039" t="s">
        <v>29</v>
      </c>
      <c r="Z1039">
        <v>56346</v>
      </c>
    </row>
    <row r="1040" spans="1:26" x14ac:dyDescent="0.25">
      <c r="A1040" t="s">
        <v>1338</v>
      </c>
      <c r="B1040" t="s">
        <v>26</v>
      </c>
      <c r="C1040" t="s">
        <v>27</v>
      </c>
      <c r="H1040" s="2">
        <v>45063.414583333331</v>
      </c>
      <c r="I1040" t="s">
        <v>781</v>
      </c>
      <c r="Z1040">
        <v>55964</v>
      </c>
    </row>
    <row r="1041" spans="1:26" x14ac:dyDescent="0.25">
      <c r="A1041" t="s">
        <v>1339</v>
      </c>
      <c r="B1041" t="s">
        <v>26</v>
      </c>
      <c r="C1041" t="s">
        <v>27</v>
      </c>
      <c r="H1041" s="2">
        <v>45062.736111111109</v>
      </c>
      <c r="I1041" t="s">
        <v>1323</v>
      </c>
      <c r="Z1041">
        <v>55921</v>
      </c>
    </row>
    <row r="1042" spans="1:26" x14ac:dyDescent="0.25">
      <c r="A1042" t="s">
        <v>1341</v>
      </c>
      <c r="B1042" t="s">
        <v>26</v>
      </c>
      <c r="C1042" t="s">
        <v>27</v>
      </c>
      <c r="H1042" s="2">
        <v>45061.599999999999</v>
      </c>
      <c r="I1042" t="s">
        <v>1323</v>
      </c>
      <c r="Z1042">
        <v>55823</v>
      </c>
    </row>
    <row r="1043" spans="1:26" x14ac:dyDescent="0.25">
      <c r="A1043" t="s">
        <v>2247</v>
      </c>
      <c r="B1043" t="s">
        <v>370</v>
      </c>
      <c r="C1043" t="s">
        <v>27</v>
      </c>
      <c r="E1043" t="s">
        <v>1342</v>
      </c>
      <c r="H1043" s="2">
        <v>45060.749305555553</v>
      </c>
      <c r="I1043" t="s">
        <v>29</v>
      </c>
      <c r="K1043" t="s">
        <v>30</v>
      </c>
      <c r="L1043" t="s">
        <v>31</v>
      </c>
      <c r="M1043">
        <v>67131912</v>
      </c>
      <c r="N1043">
        <v>11953101647</v>
      </c>
      <c r="O1043" t="s">
        <v>123</v>
      </c>
      <c r="Z1043">
        <v>55759</v>
      </c>
    </row>
    <row r="1044" spans="1:26" x14ac:dyDescent="0.25">
      <c r="A1044" t="s">
        <v>558</v>
      </c>
      <c r="B1044" t="s">
        <v>370</v>
      </c>
      <c r="C1044" t="s">
        <v>27</v>
      </c>
      <c r="E1044" t="s">
        <v>54</v>
      </c>
      <c r="H1044" s="2">
        <v>45060.670138888891</v>
      </c>
      <c r="I1044" t="s">
        <v>782</v>
      </c>
      <c r="Z1044">
        <v>55745</v>
      </c>
    </row>
    <row r="1045" spans="1:26" x14ac:dyDescent="0.25">
      <c r="A1045" t="s">
        <v>1343</v>
      </c>
      <c r="B1045" t="s">
        <v>276</v>
      </c>
      <c r="C1045" t="s">
        <v>27</v>
      </c>
      <c r="E1045" t="s">
        <v>54</v>
      </c>
      <c r="G1045" t="s">
        <v>1344</v>
      </c>
      <c r="H1045" s="2">
        <v>45060.645138888889</v>
      </c>
      <c r="I1045" t="s">
        <v>782</v>
      </c>
      <c r="Z1045">
        <v>55738</v>
      </c>
    </row>
    <row r="1046" spans="1:26" x14ac:dyDescent="0.25">
      <c r="A1046" t="s">
        <v>1345</v>
      </c>
      <c r="B1046" t="s">
        <v>26</v>
      </c>
      <c r="C1046" t="s">
        <v>27</v>
      </c>
      <c r="H1046" s="2">
        <v>45057.603472222225</v>
      </c>
      <c r="I1046" t="s">
        <v>782</v>
      </c>
      <c r="Z1046">
        <v>55540</v>
      </c>
    </row>
    <row r="1047" spans="1:26" x14ac:dyDescent="0.25">
      <c r="A1047" t="s">
        <v>1346</v>
      </c>
      <c r="B1047" t="s">
        <v>26</v>
      </c>
      <c r="C1047" t="s">
        <v>27</v>
      </c>
      <c r="H1047" s="2">
        <v>45057.537499999999</v>
      </c>
      <c r="I1047" t="s">
        <v>1323</v>
      </c>
      <c r="Z1047">
        <v>55526</v>
      </c>
    </row>
    <row r="1048" spans="1:26" x14ac:dyDescent="0.25">
      <c r="A1048" t="s">
        <v>1347</v>
      </c>
      <c r="B1048" t="s">
        <v>370</v>
      </c>
      <c r="C1048" t="s">
        <v>27</v>
      </c>
      <c r="E1048" t="s">
        <v>1348</v>
      </c>
      <c r="H1048" s="2">
        <v>45056.854861111111</v>
      </c>
      <c r="I1048" t="s">
        <v>782</v>
      </c>
      <c r="K1048" t="s">
        <v>30</v>
      </c>
      <c r="L1048" t="s">
        <v>31</v>
      </c>
      <c r="M1048">
        <v>67006012</v>
      </c>
      <c r="N1048">
        <v>12403441023</v>
      </c>
      <c r="O1048" t="s">
        <v>1349</v>
      </c>
      <c r="Z1048">
        <v>55488</v>
      </c>
    </row>
    <row r="1049" spans="1:26" x14ac:dyDescent="0.25">
      <c r="A1049" t="s">
        <v>2248</v>
      </c>
      <c r="B1049" t="s">
        <v>26</v>
      </c>
      <c r="C1049" t="s">
        <v>27</v>
      </c>
      <c r="H1049" s="2">
        <v>45052.652777777781</v>
      </c>
      <c r="I1049" t="s">
        <v>29</v>
      </c>
      <c r="Z1049">
        <v>55221</v>
      </c>
    </row>
    <row r="1050" spans="1:26" x14ac:dyDescent="0.25">
      <c r="A1050" t="s">
        <v>1350</v>
      </c>
      <c r="B1050" t="s">
        <v>276</v>
      </c>
      <c r="C1050" t="s">
        <v>103</v>
      </c>
      <c r="E1050" t="s">
        <v>1351</v>
      </c>
      <c r="H1050" s="2">
        <v>45051.759027777778</v>
      </c>
      <c r="I1050" t="s">
        <v>782</v>
      </c>
      <c r="K1050" t="s">
        <v>30</v>
      </c>
      <c r="L1050" t="s">
        <v>31</v>
      </c>
      <c r="M1050">
        <v>55887089</v>
      </c>
      <c r="N1050">
        <v>9754619208</v>
      </c>
      <c r="O1050" t="s">
        <v>1352</v>
      </c>
      <c r="Z1050">
        <v>55165</v>
      </c>
    </row>
    <row r="1051" spans="1:26" x14ac:dyDescent="0.25">
      <c r="A1051" t="s">
        <v>1353</v>
      </c>
      <c r="B1051" t="s">
        <v>26</v>
      </c>
      <c r="C1051" t="s">
        <v>27</v>
      </c>
      <c r="H1051" s="2">
        <v>45051.74722222222</v>
      </c>
      <c r="I1051" t="s">
        <v>782</v>
      </c>
      <c r="Z1051">
        <v>55161</v>
      </c>
    </row>
    <row r="1052" spans="1:26" x14ac:dyDescent="0.25">
      <c r="A1052" t="s">
        <v>151</v>
      </c>
      <c r="C1052" t="s">
        <v>27</v>
      </c>
      <c r="E1052" t="s">
        <v>64</v>
      </c>
      <c r="H1052" s="2">
        <v>45051.679166666669</v>
      </c>
      <c r="I1052" t="s">
        <v>289</v>
      </c>
      <c r="Z1052">
        <v>55148</v>
      </c>
    </row>
    <row r="1053" spans="1:26" x14ac:dyDescent="0.25">
      <c r="A1053" t="s">
        <v>1354</v>
      </c>
      <c r="B1053" t="s">
        <v>26</v>
      </c>
      <c r="C1053" t="s">
        <v>27</v>
      </c>
      <c r="H1053" s="2">
        <v>45051.436111111114</v>
      </c>
      <c r="I1053" t="s">
        <v>782</v>
      </c>
      <c r="Z1053">
        <v>55116</v>
      </c>
    </row>
    <row r="1054" spans="1:26" x14ac:dyDescent="0.25">
      <c r="A1054" t="s">
        <v>1355</v>
      </c>
      <c r="B1054" t="s">
        <v>472</v>
      </c>
      <c r="C1054" t="s">
        <v>27</v>
      </c>
      <c r="E1054" t="s">
        <v>1356</v>
      </c>
      <c r="H1054" s="2">
        <v>45050.78402777778</v>
      </c>
      <c r="I1054" t="s">
        <v>782</v>
      </c>
      <c r="Z1054">
        <v>55089</v>
      </c>
    </row>
    <row r="1055" spans="1:26" x14ac:dyDescent="0.25">
      <c r="A1055" t="s">
        <v>1357</v>
      </c>
      <c r="B1055" t="s">
        <v>26</v>
      </c>
      <c r="C1055" t="s">
        <v>27</v>
      </c>
      <c r="H1055" s="2">
        <v>45050.640972222223</v>
      </c>
      <c r="I1055" t="s">
        <v>782</v>
      </c>
      <c r="Z1055">
        <v>55065</v>
      </c>
    </row>
    <row r="1056" spans="1:26" x14ac:dyDescent="0.25">
      <c r="A1056" t="s">
        <v>477</v>
      </c>
      <c r="B1056" t="s">
        <v>472</v>
      </c>
      <c r="C1056" t="s">
        <v>27</v>
      </c>
      <c r="E1056" t="s">
        <v>478</v>
      </c>
      <c r="H1056" s="2">
        <v>45049.988888888889</v>
      </c>
      <c r="I1056" t="s">
        <v>1323</v>
      </c>
      <c r="Z1056">
        <v>55010</v>
      </c>
    </row>
    <row r="1057" spans="1:26" x14ac:dyDescent="0.25">
      <c r="A1057" t="s">
        <v>1360</v>
      </c>
      <c r="B1057" t="s">
        <v>26</v>
      </c>
      <c r="C1057" t="s">
        <v>27</v>
      </c>
      <c r="H1057" s="2">
        <v>45045.751388888886</v>
      </c>
      <c r="I1057" t="s">
        <v>782</v>
      </c>
      <c r="Z1057">
        <v>54703</v>
      </c>
    </row>
    <row r="1058" spans="1:26" x14ac:dyDescent="0.25">
      <c r="A1058" t="s">
        <v>1361</v>
      </c>
      <c r="B1058" t="s">
        <v>472</v>
      </c>
      <c r="C1058" t="s">
        <v>27</v>
      </c>
      <c r="E1058" t="s">
        <v>1362</v>
      </c>
      <c r="H1058" s="2">
        <v>45044.796527777777</v>
      </c>
      <c r="I1058" t="s">
        <v>782</v>
      </c>
      <c r="Z1058">
        <v>54632</v>
      </c>
    </row>
    <row r="1059" spans="1:26" x14ac:dyDescent="0.25">
      <c r="A1059" t="s">
        <v>1363</v>
      </c>
      <c r="B1059" t="s">
        <v>26</v>
      </c>
      <c r="C1059" t="s">
        <v>27</v>
      </c>
      <c r="H1059" s="2">
        <v>45044.704861111109</v>
      </c>
      <c r="I1059" t="s">
        <v>782</v>
      </c>
      <c r="Z1059">
        <v>54614</v>
      </c>
    </row>
    <row r="1060" spans="1:26" x14ac:dyDescent="0.25">
      <c r="A1060" t="s">
        <v>1361</v>
      </c>
      <c r="B1060" t="s">
        <v>472</v>
      </c>
      <c r="C1060" t="s">
        <v>27</v>
      </c>
      <c r="E1060" t="s">
        <v>1362</v>
      </c>
      <c r="H1060" s="2">
        <v>45044.493055555555</v>
      </c>
      <c r="I1060" t="s">
        <v>782</v>
      </c>
      <c r="Z1060">
        <v>54564</v>
      </c>
    </row>
    <row r="1061" spans="1:26" x14ac:dyDescent="0.25">
      <c r="A1061" t="s">
        <v>1315</v>
      </c>
      <c r="B1061" t="s">
        <v>472</v>
      </c>
      <c r="C1061" t="s">
        <v>27</v>
      </c>
      <c r="E1061" t="s">
        <v>40</v>
      </c>
      <c r="H1061" s="2">
        <v>45043.043749999997</v>
      </c>
      <c r="I1061" t="s">
        <v>29</v>
      </c>
      <c r="Z1061">
        <v>54425</v>
      </c>
    </row>
    <row r="1062" spans="1:26" x14ac:dyDescent="0.25">
      <c r="A1062" t="s">
        <v>1364</v>
      </c>
      <c r="B1062" t="s">
        <v>370</v>
      </c>
      <c r="C1062" t="s">
        <v>27</v>
      </c>
      <c r="E1062" t="s">
        <v>1365</v>
      </c>
      <c r="G1062" t="s">
        <v>1366</v>
      </c>
      <c r="H1062" s="2">
        <v>45038.757638888892</v>
      </c>
      <c r="I1062" t="s">
        <v>782</v>
      </c>
      <c r="Z1062">
        <v>54106</v>
      </c>
    </row>
    <row r="1063" spans="1:26" x14ac:dyDescent="0.25">
      <c r="A1063" t="s">
        <v>1367</v>
      </c>
      <c r="B1063" t="s">
        <v>26</v>
      </c>
      <c r="C1063" t="s">
        <v>27</v>
      </c>
      <c r="H1063" s="2">
        <v>45038.538194444445</v>
      </c>
      <c r="I1063" t="s">
        <v>1323</v>
      </c>
      <c r="Z1063">
        <v>54075</v>
      </c>
    </row>
    <row r="1064" spans="1:26" x14ac:dyDescent="0.25">
      <c r="A1064" t="s">
        <v>843</v>
      </c>
      <c r="B1064" t="s">
        <v>26</v>
      </c>
      <c r="C1064" t="s">
        <v>27</v>
      </c>
      <c r="H1064" s="2">
        <v>45034.495833333334</v>
      </c>
      <c r="I1064" t="s">
        <v>29</v>
      </c>
      <c r="Z1064">
        <v>53775</v>
      </c>
    </row>
    <row r="1065" spans="1:26" x14ac:dyDescent="0.25">
      <c r="A1065" t="s">
        <v>1368</v>
      </c>
      <c r="B1065" t="s">
        <v>26</v>
      </c>
      <c r="C1065" t="s">
        <v>27</v>
      </c>
      <c r="H1065" s="2">
        <v>45033.873611111114</v>
      </c>
      <c r="I1065" t="s">
        <v>781</v>
      </c>
      <c r="Z1065">
        <v>53746</v>
      </c>
    </row>
    <row r="1066" spans="1:26" x14ac:dyDescent="0.25">
      <c r="A1066" t="s">
        <v>1369</v>
      </c>
      <c r="B1066" t="s">
        <v>26</v>
      </c>
      <c r="C1066" t="s">
        <v>27</v>
      </c>
      <c r="E1066" t="s">
        <v>433</v>
      </c>
      <c r="H1066" s="2">
        <v>45033.861111111109</v>
      </c>
      <c r="I1066" t="s">
        <v>782</v>
      </c>
      <c r="Z1066">
        <v>53745</v>
      </c>
    </row>
    <row r="1067" spans="1:26" x14ac:dyDescent="0.25">
      <c r="A1067" t="s">
        <v>1370</v>
      </c>
      <c r="B1067" t="s">
        <v>26</v>
      </c>
      <c r="C1067" t="s">
        <v>27</v>
      </c>
      <c r="H1067" s="2">
        <v>45033.401388888888</v>
      </c>
      <c r="I1067" t="s">
        <v>289</v>
      </c>
      <c r="Z1067">
        <v>53658</v>
      </c>
    </row>
    <row r="1068" spans="1:26" x14ac:dyDescent="0.25">
      <c r="A1068" t="s">
        <v>1371</v>
      </c>
      <c r="B1068" t="s">
        <v>26</v>
      </c>
      <c r="C1068" t="s">
        <v>27</v>
      </c>
      <c r="H1068" s="2">
        <v>45033.375694444447</v>
      </c>
      <c r="I1068" t="s">
        <v>781</v>
      </c>
      <c r="Z1068">
        <v>53652</v>
      </c>
    </row>
    <row r="1069" spans="1:26" x14ac:dyDescent="0.25">
      <c r="A1069" t="s">
        <v>1374</v>
      </c>
      <c r="B1069" t="s">
        <v>370</v>
      </c>
      <c r="C1069" t="s">
        <v>27</v>
      </c>
      <c r="E1069" t="s">
        <v>1375</v>
      </c>
      <c r="H1069" s="2">
        <v>45029.445138888892</v>
      </c>
      <c r="I1069" t="s">
        <v>289</v>
      </c>
      <c r="Z1069">
        <v>53391</v>
      </c>
    </row>
    <row r="1070" spans="1:26" x14ac:dyDescent="0.25">
      <c r="A1070" t="s">
        <v>859</v>
      </c>
      <c r="B1070" t="s">
        <v>26</v>
      </c>
      <c r="C1070" t="s">
        <v>27</v>
      </c>
      <c r="H1070" s="2">
        <v>45027.523611111108</v>
      </c>
      <c r="I1070" t="s">
        <v>1323</v>
      </c>
      <c r="Z1070">
        <v>53223</v>
      </c>
    </row>
    <row r="1071" spans="1:26" x14ac:dyDescent="0.25">
      <c r="A1071" t="s">
        <v>1376</v>
      </c>
      <c r="B1071" t="s">
        <v>43</v>
      </c>
      <c r="C1071" t="s">
        <v>27</v>
      </c>
      <c r="E1071" t="s">
        <v>83</v>
      </c>
      <c r="G1071" t="s">
        <v>1377</v>
      </c>
      <c r="H1071" s="2">
        <v>45025.810416666667</v>
      </c>
      <c r="I1071" t="s">
        <v>782</v>
      </c>
      <c r="Z1071">
        <v>53073</v>
      </c>
    </row>
    <row r="1072" spans="1:26" x14ac:dyDescent="0.25">
      <c r="A1072" t="s">
        <v>1379</v>
      </c>
      <c r="B1072" t="s">
        <v>26</v>
      </c>
      <c r="C1072" t="s">
        <v>27</v>
      </c>
      <c r="H1072" s="2">
        <v>45020.695833333331</v>
      </c>
      <c r="I1072" t="s">
        <v>781</v>
      </c>
      <c r="Z1072">
        <v>52517</v>
      </c>
    </row>
    <row r="1073" spans="1:26" x14ac:dyDescent="0.25">
      <c r="A1073" t="s">
        <v>1380</v>
      </c>
      <c r="B1073" t="s">
        <v>26</v>
      </c>
      <c r="C1073" t="s">
        <v>27</v>
      </c>
      <c r="H1073" s="2">
        <v>45020.582638888889</v>
      </c>
      <c r="I1073" t="s">
        <v>782</v>
      </c>
      <c r="Z1073">
        <v>52472</v>
      </c>
    </row>
    <row r="1074" spans="1:26" x14ac:dyDescent="0.25">
      <c r="A1074" t="s">
        <v>1381</v>
      </c>
      <c r="B1074" t="s">
        <v>26</v>
      </c>
      <c r="C1074" t="s">
        <v>27</v>
      </c>
      <c r="H1074" s="2">
        <v>45020.498611111114</v>
      </c>
      <c r="I1074" t="s">
        <v>781</v>
      </c>
      <c r="Z1074">
        <v>52446</v>
      </c>
    </row>
    <row r="1075" spans="1:26" x14ac:dyDescent="0.25">
      <c r="A1075" t="s">
        <v>139</v>
      </c>
      <c r="B1075" t="s">
        <v>93</v>
      </c>
      <c r="C1075" t="s">
        <v>27</v>
      </c>
      <c r="E1075" t="s">
        <v>79</v>
      </c>
      <c r="H1075" s="2">
        <v>45020.426388888889</v>
      </c>
      <c r="I1075" t="s">
        <v>782</v>
      </c>
      <c r="K1075" t="s">
        <v>30</v>
      </c>
      <c r="L1075" t="s">
        <v>31</v>
      </c>
      <c r="M1075">
        <v>55887089</v>
      </c>
      <c r="N1075">
        <v>12886156207</v>
      </c>
      <c r="O1075" t="s">
        <v>1071</v>
      </c>
      <c r="Z1075">
        <v>52413</v>
      </c>
    </row>
    <row r="1076" spans="1:26" x14ac:dyDescent="0.25">
      <c r="A1076" t="s">
        <v>1372</v>
      </c>
      <c r="B1076" t="s">
        <v>26</v>
      </c>
      <c r="C1076" t="s">
        <v>27</v>
      </c>
      <c r="H1076" s="2">
        <v>45019.518055555556</v>
      </c>
      <c r="I1076" t="s">
        <v>29</v>
      </c>
      <c r="Z1076">
        <v>52281</v>
      </c>
    </row>
    <row r="1077" spans="1:26" x14ac:dyDescent="0.25">
      <c r="A1077" t="s">
        <v>139</v>
      </c>
      <c r="B1077" t="s">
        <v>93</v>
      </c>
      <c r="C1077" t="s">
        <v>27</v>
      </c>
      <c r="E1077" t="s">
        <v>851</v>
      </c>
      <c r="H1077" s="2">
        <v>45017.836111111108</v>
      </c>
      <c r="I1077" t="s">
        <v>29</v>
      </c>
      <c r="Z1077">
        <v>52087</v>
      </c>
    </row>
    <row r="1078" spans="1:26" x14ac:dyDescent="0.25">
      <c r="A1078" t="s">
        <v>1382</v>
      </c>
      <c r="B1078" t="s">
        <v>26</v>
      </c>
      <c r="C1078" t="s">
        <v>27</v>
      </c>
      <c r="H1078" s="2">
        <v>45015.694444444445</v>
      </c>
      <c r="I1078" t="s">
        <v>1378</v>
      </c>
      <c r="Z1078">
        <v>51856</v>
      </c>
    </row>
    <row r="1079" spans="1:26" x14ac:dyDescent="0.25">
      <c r="A1079" t="s">
        <v>1383</v>
      </c>
      <c r="B1079" t="s">
        <v>26</v>
      </c>
      <c r="C1079" t="s">
        <v>27</v>
      </c>
      <c r="H1079" s="2">
        <v>45014.837500000001</v>
      </c>
      <c r="I1079" t="s">
        <v>1245</v>
      </c>
      <c r="Z1079">
        <v>51757</v>
      </c>
    </row>
    <row r="1080" spans="1:26" x14ac:dyDescent="0.25">
      <c r="A1080" t="s">
        <v>1384</v>
      </c>
      <c r="B1080" t="s">
        <v>541</v>
      </c>
      <c r="C1080" t="s">
        <v>27</v>
      </c>
      <c r="E1080" t="s">
        <v>79</v>
      </c>
      <c r="H1080" s="2">
        <v>45013.586805555555</v>
      </c>
      <c r="I1080" t="s">
        <v>782</v>
      </c>
      <c r="Z1080">
        <v>51608</v>
      </c>
    </row>
    <row r="1081" spans="1:26" x14ac:dyDescent="0.25">
      <c r="A1081" t="s">
        <v>129</v>
      </c>
      <c r="C1081" t="s">
        <v>27</v>
      </c>
      <c r="E1081" t="s">
        <v>1401</v>
      </c>
      <c r="H1081" s="2">
        <v>45012.683333333334</v>
      </c>
      <c r="I1081" t="s">
        <v>782</v>
      </c>
      <c r="Z1081">
        <v>51511</v>
      </c>
    </row>
    <row r="1082" spans="1:26" x14ac:dyDescent="0.25">
      <c r="A1082" t="s">
        <v>1110</v>
      </c>
      <c r="B1082" t="s">
        <v>370</v>
      </c>
      <c r="C1082" t="s">
        <v>27</v>
      </c>
      <c r="E1082" t="s">
        <v>1385</v>
      </c>
      <c r="H1082" s="2">
        <v>45012.590277777781</v>
      </c>
      <c r="I1082" t="s">
        <v>782</v>
      </c>
      <c r="Z1082">
        <v>51482</v>
      </c>
    </row>
    <row r="1083" spans="1:26" x14ac:dyDescent="0.25">
      <c r="A1083" t="s">
        <v>1387</v>
      </c>
      <c r="B1083" t="s">
        <v>26</v>
      </c>
      <c r="C1083" t="s">
        <v>27</v>
      </c>
      <c r="H1083" s="2">
        <v>45010.506944444445</v>
      </c>
      <c r="I1083" t="s">
        <v>1378</v>
      </c>
      <c r="Z1083">
        <v>51172</v>
      </c>
    </row>
    <row r="1084" spans="1:26" x14ac:dyDescent="0.25">
      <c r="A1084" t="s">
        <v>1388</v>
      </c>
      <c r="B1084" t="s">
        <v>472</v>
      </c>
      <c r="C1084" t="s">
        <v>27</v>
      </c>
      <c r="E1084" t="s">
        <v>1389</v>
      </c>
      <c r="H1084" s="2">
        <v>45010.253472222219</v>
      </c>
      <c r="I1084" t="s">
        <v>782</v>
      </c>
      <c r="Z1084">
        <v>51138</v>
      </c>
    </row>
    <row r="1085" spans="1:26" x14ac:dyDescent="0.25">
      <c r="A1085" t="s">
        <v>1391</v>
      </c>
      <c r="B1085" t="s">
        <v>472</v>
      </c>
      <c r="C1085" t="s">
        <v>27</v>
      </c>
      <c r="E1085" t="s">
        <v>119</v>
      </c>
      <c r="H1085" s="2">
        <v>45008.65902777778</v>
      </c>
      <c r="I1085" t="s">
        <v>782</v>
      </c>
      <c r="Z1085">
        <v>50924</v>
      </c>
    </row>
    <row r="1086" spans="1:26" x14ac:dyDescent="0.25">
      <c r="A1086" t="s">
        <v>1392</v>
      </c>
      <c r="B1086" t="s">
        <v>26</v>
      </c>
      <c r="C1086" t="s">
        <v>27</v>
      </c>
      <c r="H1086" s="2">
        <v>45008.464583333334</v>
      </c>
      <c r="I1086" t="s">
        <v>781</v>
      </c>
      <c r="Z1086">
        <v>50876</v>
      </c>
    </row>
    <row r="1087" spans="1:26" x14ac:dyDescent="0.25">
      <c r="A1087" t="s">
        <v>1393</v>
      </c>
      <c r="B1087" t="s">
        <v>43</v>
      </c>
      <c r="C1087" t="s">
        <v>27</v>
      </c>
      <c r="E1087" t="s">
        <v>1394</v>
      </c>
      <c r="G1087" t="s">
        <v>1395</v>
      </c>
      <c r="H1087" s="2">
        <v>45007.564583333333</v>
      </c>
      <c r="I1087" t="s">
        <v>782</v>
      </c>
      <c r="Z1087">
        <v>50781</v>
      </c>
    </row>
    <row r="1088" spans="1:26" x14ac:dyDescent="0.25">
      <c r="A1088" t="s">
        <v>1396</v>
      </c>
      <c r="B1088" t="s">
        <v>370</v>
      </c>
      <c r="C1088" t="s">
        <v>27</v>
      </c>
      <c r="E1088" t="s">
        <v>74</v>
      </c>
      <c r="H1088" s="2">
        <v>45007.529166666667</v>
      </c>
      <c r="I1088" t="s">
        <v>782</v>
      </c>
      <c r="Z1088">
        <v>50776</v>
      </c>
    </row>
    <row r="1089" spans="1:26" x14ac:dyDescent="0.25">
      <c r="A1089" t="s">
        <v>1397</v>
      </c>
      <c r="B1089" t="s">
        <v>472</v>
      </c>
      <c r="C1089" t="s">
        <v>71</v>
      </c>
      <c r="E1089" t="s">
        <v>54</v>
      </c>
      <c r="G1089" t="s">
        <v>1398</v>
      </c>
      <c r="H1089" s="2">
        <v>45006.631249999999</v>
      </c>
      <c r="I1089" t="s">
        <v>29</v>
      </c>
      <c r="Z1089">
        <v>50698</v>
      </c>
    </row>
    <row r="1090" spans="1:26" x14ac:dyDescent="0.25">
      <c r="A1090" t="s">
        <v>2249</v>
      </c>
      <c r="B1090" t="s">
        <v>26</v>
      </c>
      <c r="C1090" t="s">
        <v>27</v>
      </c>
      <c r="H1090" s="2">
        <v>45006.629166666666</v>
      </c>
      <c r="I1090" t="s">
        <v>29</v>
      </c>
      <c r="Z1090">
        <v>50697</v>
      </c>
    </row>
    <row r="1091" spans="1:26" x14ac:dyDescent="0.25">
      <c r="A1091" t="s">
        <v>393</v>
      </c>
      <c r="B1091" t="s">
        <v>26</v>
      </c>
      <c r="C1091" t="s">
        <v>27</v>
      </c>
      <c r="H1091" s="2">
        <v>45006.624305555553</v>
      </c>
      <c r="I1091" t="s">
        <v>1245</v>
      </c>
      <c r="Z1091">
        <v>50695</v>
      </c>
    </row>
    <row r="1092" spans="1:26" x14ac:dyDescent="0.25">
      <c r="A1092" t="s">
        <v>1373</v>
      </c>
      <c r="B1092" t="s">
        <v>26</v>
      </c>
      <c r="C1092" t="s">
        <v>27</v>
      </c>
      <c r="H1092" s="2">
        <v>45002.507638888892</v>
      </c>
      <c r="I1092" t="s">
        <v>1323</v>
      </c>
      <c r="Z1092">
        <v>50406</v>
      </c>
    </row>
    <row r="1093" spans="1:26" x14ac:dyDescent="0.25">
      <c r="A1093" t="s">
        <v>1399</v>
      </c>
      <c r="B1093" t="s">
        <v>26</v>
      </c>
      <c r="C1093" t="s">
        <v>27</v>
      </c>
      <c r="H1093" s="2">
        <v>45001.59097222222</v>
      </c>
      <c r="I1093" t="s">
        <v>289</v>
      </c>
      <c r="Z1093">
        <v>50357</v>
      </c>
    </row>
    <row r="1094" spans="1:26" x14ac:dyDescent="0.25">
      <c r="A1094" t="s">
        <v>1400</v>
      </c>
      <c r="B1094" t="s">
        <v>276</v>
      </c>
      <c r="C1094" t="s">
        <v>27</v>
      </c>
      <c r="E1094" t="s">
        <v>1401</v>
      </c>
      <c r="G1094" t="s">
        <v>1402</v>
      </c>
      <c r="H1094" s="2">
        <v>44995.745833333334</v>
      </c>
      <c r="I1094" t="s">
        <v>29</v>
      </c>
      <c r="Z1094">
        <v>50051</v>
      </c>
    </row>
    <row r="1095" spans="1:26" x14ac:dyDescent="0.25">
      <c r="A1095" t="s">
        <v>1118</v>
      </c>
      <c r="B1095" t="s">
        <v>26</v>
      </c>
      <c r="C1095" t="s">
        <v>27</v>
      </c>
      <c r="H1095" s="2">
        <v>44995.4</v>
      </c>
      <c r="I1095" t="s">
        <v>1323</v>
      </c>
      <c r="Z1095">
        <v>50023</v>
      </c>
    </row>
    <row r="1096" spans="1:26" x14ac:dyDescent="0.25">
      <c r="A1096" t="s">
        <v>1403</v>
      </c>
      <c r="B1096" t="s">
        <v>26</v>
      </c>
      <c r="C1096" t="s">
        <v>27</v>
      </c>
      <c r="H1096" s="2">
        <v>44994.513194444444</v>
      </c>
      <c r="I1096" t="s">
        <v>782</v>
      </c>
      <c r="Z1096">
        <v>50001</v>
      </c>
    </row>
    <row r="1097" spans="1:26" x14ac:dyDescent="0.25">
      <c r="A1097" t="s">
        <v>1404</v>
      </c>
      <c r="B1097" t="s">
        <v>43</v>
      </c>
      <c r="C1097" t="s">
        <v>27</v>
      </c>
      <c r="E1097" t="s">
        <v>169</v>
      </c>
      <c r="G1097" t="s">
        <v>1405</v>
      </c>
      <c r="H1097" s="2">
        <v>44994.009027777778</v>
      </c>
      <c r="I1097" t="s">
        <v>29</v>
      </c>
      <c r="Z1097">
        <v>49986</v>
      </c>
    </row>
    <row r="1098" spans="1:26" x14ac:dyDescent="0.25">
      <c r="A1098" t="s">
        <v>1406</v>
      </c>
      <c r="B1098" t="s">
        <v>26</v>
      </c>
      <c r="C1098" t="s">
        <v>27</v>
      </c>
      <c r="H1098" s="2">
        <v>44991.657638888886</v>
      </c>
      <c r="I1098" t="s">
        <v>289</v>
      </c>
      <c r="Z1098">
        <v>49898</v>
      </c>
    </row>
    <row r="1099" spans="1:26" x14ac:dyDescent="0.25">
      <c r="A1099" t="s">
        <v>1407</v>
      </c>
      <c r="B1099" t="s">
        <v>26</v>
      </c>
      <c r="C1099" t="s">
        <v>27</v>
      </c>
      <c r="H1099" s="2">
        <v>44990.495138888888</v>
      </c>
      <c r="I1099" t="s">
        <v>289</v>
      </c>
      <c r="Z1099">
        <v>49854</v>
      </c>
    </row>
    <row r="1100" spans="1:26" x14ac:dyDescent="0.25">
      <c r="A1100" t="s">
        <v>1408</v>
      </c>
      <c r="B1100" t="s">
        <v>43</v>
      </c>
      <c r="C1100" t="s">
        <v>27</v>
      </c>
      <c r="E1100" t="s">
        <v>92</v>
      </c>
      <c r="G1100" t="s">
        <v>1409</v>
      </c>
      <c r="H1100" s="2">
        <v>44989.018750000003</v>
      </c>
      <c r="I1100" t="s">
        <v>782</v>
      </c>
      <c r="Z1100">
        <v>49813</v>
      </c>
    </row>
    <row r="1101" spans="1:26" x14ac:dyDescent="0.25">
      <c r="A1101" t="s">
        <v>1410</v>
      </c>
      <c r="B1101" t="s">
        <v>26</v>
      </c>
      <c r="C1101" t="s">
        <v>27</v>
      </c>
      <c r="H1101" s="2">
        <v>44988.650694444441</v>
      </c>
      <c r="I1101" t="s">
        <v>1323</v>
      </c>
      <c r="Z1101">
        <v>49795</v>
      </c>
    </row>
    <row r="1102" spans="1:26" x14ac:dyDescent="0.25">
      <c r="A1102" t="s">
        <v>1411</v>
      </c>
      <c r="B1102" t="s">
        <v>26</v>
      </c>
      <c r="C1102" t="s">
        <v>27</v>
      </c>
      <c r="H1102" s="2">
        <v>44988.395833333336</v>
      </c>
      <c r="I1102" t="s">
        <v>29</v>
      </c>
      <c r="Z1102">
        <v>49767</v>
      </c>
    </row>
    <row r="1103" spans="1:26" x14ac:dyDescent="0.25">
      <c r="A1103" t="s">
        <v>1412</v>
      </c>
      <c r="B1103" t="s">
        <v>26</v>
      </c>
      <c r="C1103" t="s">
        <v>27</v>
      </c>
      <c r="H1103" s="2">
        <v>44986.477777777778</v>
      </c>
      <c r="I1103" t="s">
        <v>1378</v>
      </c>
      <c r="Z1103">
        <v>49675</v>
      </c>
    </row>
    <row r="1104" spans="1:26" x14ac:dyDescent="0.25">
      <c r="A1104" t="s">
        <v>1413</v>
      </c>
      <c r="B1104" t="s">
        <v>26</v>
      </c>
      <c r="C1104" t="s">
        <v>27</v>
      </c>
      <c r="H1104" s="2">
        <v>44984.624305555553</v>
      </c>
      <c r="I1104" t="s">
        <v>289</v>
      </c>
      <c r="Z1104">
        <v>49619</v>
      </c>
    </row>
    <row r="1105" spans="1:26" x14ac:dyDescent="0.25">
      <c r="A1105" t="s">
        <v>1414</v>
      </c>
      <c r="B1105" t="s">
        <v>26</v>
      </c>
      <c r="C1105" t="s">
        <v>27</v>
      </c>
      <c r="H1105" s="2">
        <v>44982.381944444445</v>
      </c>
      <c r="I1105" t="s">
        <v>1323</v>
      </c>
      <c r="Z1105">
        <v>49517</v>
      </c>
    </row>
    <row r="1106" spans="1:26" x14ac:dyDescent="0.25">
      <c r="A1106" t="s">
        <v>1415</v>
      </c>
      <c r="B1106" t="s">
        <v>26</v>
      </c>
      <c r="C1106" t="s">
        <v>27</v>
      </c>
      <c r="H1106" s="2">
        <v>44981.466666666667</v>
      </c>
      <c r="I1106" t="s">
        <v>1323</v>
      </c>
      <c r="Z1106">
        <v>49484</v>
      </c>
    </row>
    <row r="1107" spans="1:26" x14ac:dyDescent="0.25">
      <c r="A1107" t="s">
        <v>1416</v>
      </c>
      <c r="B1107" t="s">
        <v>26</v>
      </c>
      <c r="C1107" t="s">
        <v>27</v>
      </c>
      <c r="H1107" s="2">
        <v>44978.656944444447</v>
      </c>
      <c r="I1107" t="s">
        <v>782</v>
      </c>
      <c r="Z1107">
        <v>49382</v>
      </c>
    </row>
    <row r="1108" spans="1:26" x14ac:dyDescent="0.25">
      <c r="A1108" t="s">
        <v>1417</v>
      </c>
      <c r="B1108" t="s">
        <v>26</v>
      </c>
      <c r="C1108" t="s">
        <v>27</v>
      </c>
      <c r="H1108" s="2">
        <v>44978.582638888889</v>
      </c>
      <c r="I1108" t="s">
        <v>782</v>
      </c>
      <c r="Z1108">
        <v>49376</v>
      </c>
    </row>
    <row r="1109" spans="1:26" x14ac:dyDescent="0.25">
      <c r="A1109" t="s">
        <v>1418</v>
      </c>
      <c r="B1109" t="s">
        <v>26</v>
      </c>
      <c r="C1109" t="s">
        <v>27</v>
      </c>
      <c r="H1109" s="2">
        <v>44975.694444444445</v>
      </c>
      <c r="I1109" t="s">
        <v>29</v>
      </c>
      <c r="Z1109">
        <v>49211</v>
      </c>
    </row>
    <row r="1110" spans="1:26" x14ac:dyDescent="0.25">
      <c r="A1110" t="s">
        <v>1359</v>
      </c>
      <c r="B1110" t="s">
        <v>26</v>
      </c>
      <c r="C1110" t="s">
        <v>27</v>
      </c>
      <c r="H1110" s="2">
        <v>44974.507638888892</v>
      </c>
      <c r="I1110" t="s">
        <v>1323</v>
      </c>
      <c r="Z1110">
        <v>49138</v>
      </c>
    </row>
    <row r="1111" spans="1:26" x14ac:dyDescent="0.25">
      <c r="A1111" t="s">
        <v>1420</v>
      </c>
      <c r="B1111" t="s">
        <v>26</v>
      </c>
      <c r="C1111" t="s">
        <v>27</v>
      </c>
      <c r="H1111" s="2">
        <v>44971.558333333334</v>
      </c>
      <c r="I1111" t="s">
        <v>1323</v>
      </c>
      <c r="Z1111">
        <v>48994</v>
      </c>
    </row>
    <row r="1112" spans="1:26" x14ac:dyDescent="0.25">
      <c r="A1112" t="s">
        <v>129</v>
      </c>
      <c r="C1112" t="s">
        <v>27</v>
      </c>
      <c r="E1112" t="s">
        <v>583</v>
      </c>
      <c r="H1112" s="2">
        <v>44970.37777777778</v>
      </c>
      <c r="I1112" t="s">
        <v>289</v>
      </c>
      <c r="Z1112">
        <v>48928</v>
      </c>
    </row>
    <row r="1113" spans="1:26" x14ac:dyDescent="0.25">
      <c r="A1113" t="s">
        <v>1421</v>
      </c>
      <c r="B1113" t="s">
        <v>370</v>
      </c>
      <c r="C1113" t="s">
        <v>27</v>
      </c>
      <c r="E1113" t="s">
        <v>140</v>
      </c>
      <c r="H1113" s="2">
        <v>44969.500694444447</v>
      </c>
      <c r="I1113" t="s">
        <v>29</v>
      </c>
      <c r="K1113" t="s">
        <v>30</v>
      </c>
      <c r="L1113" t="s">
        <v>31</v>
      </c>
      <c r="M1113">
        <v>67131912</v>
      </c>
      <c r="N1113">
        <v>11953101647</v>
      </c>
      <c r="O1113" t="s">
        <v>1211</v>
      </c>
      <c r="Z1113">
        <v>48888</v>
      </c>
    </row>
    <row r="1114" spans="1:26" x14ac:dyDescent="0.25">
      <c r="A1114" t="s">
        <v>151</v>
      </c>
      <c r="C1114" t="s">
        <v>27</v>
      </c>
      <c r="E1114" t="s">
        <v>152</v>
      </c>
      <c r="H1114" s="2">
        <v>44967.838194444441</v>
      </c>
      <c r="I1114" t="s">
        <v>782</v>
      </c>
      <c r="Z1114">
        <v>48825</v>
      </c>
    </row>
    <row r="1115" spans="1:26" x14ac:dyDescent="0.25">
      <c r="A1115" t="s">
        <v>1422</v>
      </c>
      <c r="B1115" t="s">
        <v>26</v>
      </c>
      <c r="C1115" t="s">
        <v>27</v>
      </c>
      <c r="H1115" s="2">
        <v>44967.741666666669</v>
      </c>
      <c r="I1115" t="s">
        <v>1378</v>
      </c>
      <c r="Z1115">
        <v>48812</v>
      </c>
    </row>
    <row r="1116" spans="1:26" x14ac:dyDescent="0.25">
      <c r="A1116" t="s">
        <v>1423</v>
      </c>
      <c r="B1116" t="s">
        <v>541</v>
      </c>
      <c r="C1116" t="s">
        <v>27</v>
      </c>
      <c r="E1116" t="s">
        <v>450</v>
      </c>
      <c r="G1116" t="s">
        <v>1424</v>
      </c>
      <c r="H1116" s="2">
        <v>44966.841666666667</v>
      </c>
      <c r="I1116" t="s">
        <v>782</v>
      </c>
      <c r="Z1116">
        <v>48764</v>
      </c>
    </row>
    <row r="1117" spans="1:26" x14ac:dyDescent="0.25">
      <c r="A1117" t="s">
        <v>1425</v>
      </c>
      <c r="B1117" t="s">
        <v>26</v>
      </c>
      <c r="C1117" t="s">
        <v>27</v>
      </c>
      <c r="H1117" s="2">
        <v>44964.633333333331</v>
      </c>
      <c r="I1117" t="s">
        <v>1378</v>
      </c>
      <c r="Z1117">
        <v>48615</v>
      </c>
    </row>
    <row r="1118" spans="1:26" x14ac:dyDescent="0.25">
      <c r="A1118" t="s">
        <v>1426</v>
      </c>
      <c r="B1118" t="s">
        <v>26</v>
      </c>
      <c r="C1118" t="s">
        <v>27</v>
      </c>
      <c r="H1118" s="2">
        <v>44962.854861111111</v>
      </c>
      <c r="I1118" t="s">
        <v>1378</v>
      </c>
      <c r="Z1118">
        <v>48467</v>
      </c>
    </row>
    <row r="1119" spans="1:26" x14ac:dyDescent="0.25">
      <c r="A1119" t="s">
        <v>1427</v>
      </c>
      <c r="B1119" t="s">
        <v>26</v>
      </c>
      <c r="C1119" t="s">
        <v>27</v>
      </c>
      <c r="H1119" s="2">
        <v>44960.881944444445</v>
      </c>
      <c r="I1119" t="s">
        <v>782</v>
      </c>
      <c r="Z1119">
        <v>48341</v>
      </c>
    </row>
    <row r="1120" spans="1:26" x14ac:dyDescent="0.25">
      <c r="A1120" t="s">
        <v>1430</v>
      </c>
      <c r="B1120" t="s">
        <v>26</v>
      </c>
      <c r="C1120" t="s">
        <v>27</v>
      </c>
      <c r="H1120" s="2">
        <v>44957.401388888888</v>
      </c>
      <c r="I1120" t="s">
        <v>289</v>
      </c>
      <c r="Z1120">
        <v>48149</v>
      </c>
    </row>
    <row r="1121" spans="1:26" x14ac:dyDescent="0.25">
      <c r="A1121" t="s">
        <v>1431</v>
      </c>
      <c r="B1121" t="s">
        <v>43</v>
      </c>
      <c r="C1121" t="s">
        <v>27</v>
      </c>
      <c r="E1121" t="s">
        <v>41</v>
      </c>
      <c r="G1121" t="s">
        <v>1432</v>
      </c>
      <c r="H1121" s="2">
        <v>44955.69027777778</v>
      </c>
      <c r="I1121" t="s">
        <v>1378</v>
      </c>
      <c r="Z1121">
        <v>48084</v>
      </c>
    </row>
    <row r="1122" spans="1:26" x14ac:dyDescent="0.25">
      <c r="A1122" t="s">
        <v>1032</v>
      </c>
      <c r="B1122" t="s">
        <v>48</v>
      </c>
      <c r="C1122" t="s">
        <v>27</v>
      </c>
      <c r="H1122" s="2">
        <v>44954.774305555555</v>
      </c>
      <c r="I1122" t="s">
        <v>1323</v>
      </c>
      <c r="Z1122">
        <v>48041</v>
      </c>
    </row>
    <row r="1123" spans="1:26" x14ac:dyDescent="0.25">
      <c r="A1123" t="s">
        <v>1390</v>
      </c>
      <c r="B1123" t="s">
        <v>26</v>
      </c>
      <c r="C1123" t="s">
        <v>27</v>
      </c>
      <c r="H1123" s="2">
        <v>44954.554861111108</v>
      </c>
      <c r="I1123" t="s">
        <v>782</v>
      </c>
      <c r="Z1123">
        <v>48023</v>
      </c>
    </row>
    <row r="1124" spans="1:26" x14ac:dyDescent="0.25">
      <c r="A1124" t="s">
        <v>1434</v>
      </c>
      <c r="B1124" t="s">
        <v>26</v>
      </c>
      <c r="C1124" t="s">
        <v>27</v>
      </c>
      <c r="H1124" s="2">
        <v>44953.474305555559</v>
      </c>
      <c r="I1124" t="s">
        <v>1323</v>
      </c>
      <c r="Z1124">
        <v>47947</v>
      </c>
    </row>
    <row r="1125" spans="1:26" x14ac:dyDescent="0.25">
      <c r="A1125" t="s">
        <v>1435</v>
      </c>
      <c r="B1125" t="s">
        <v>370</v>
      </c>
      <c r="C1125" t="s">
        <v>27</v>
      </c>
      <c r="E1125" t="s">
        <v>1436</v>
      </c>
      <c r="H1125" s="2">
        <v>44949.759027777778</v>
      </c>
      <c r="I1125" t="s">
        <v>782</v>
      </c>
      <c r="Z1125">
        <v>47733</v>
      </c>
    </row>
    <row r="1126" spans="1:26" x14ac:dyDescent="0.25">
      <c r="A1126" t="s">
        <v>1437</v>
      </c>
      <c r="B1126" t="s">
        <v>26</v>
      </c>
      <c r="C1126" t="s">
        <v>27</v>
      </c>
      <c r="H1126" s="2">
        <v>44944.509722222225</v>
      </c>
      <c r="I1126" t="s">
        <v>1378</v>
      </c>
      <c r="Z1126">
        <v>47442</v>
      </c>
    </row>
    <row r="1127" spans="1:26" x14ac:dyDescent="0.25">
      <c r="A1127" t="s">
        <v>1438</v>
      </c>
      <c r="B1127" t="s">
        <v>26</v>
      </c>
      <c r="C1127" t="s">
        <v>27</v>
      </c>
      <c r="H1127" s="2">
        <v>44940.563194444447</v>
      </c>
      <c r="I1127" t="s">
        <v>782</v>
      </c>
      <c r="Z1127">
        <v>47253</v>
      </c>
    </row>
    <row r="1128" spans="1:26" x14ac:dyDescent="0.25">
      <c r="A1128" t="s">
        <v>1439</v>
      </c>
      <c r="B1128" t="s">
        <v>26</v>
      </c>
      <c r="C1128" t="s">
        <v>27</v>
      </c>
      <c r="H1128" s="2">
        <v>44939.62222222222</v>
      </c>
      <c r="I1128" t="s">
        <v>782</v>
      </c>
      <c r="Z1128">
        <v>47199</v>
      </c>
    </row>
    <row r="1129" spans="1:26" x14ac:dyDescent="0.25">
      <c r="A1129" t="s">
        <v>1283</v>
      </c>
      <c r="B1129" t="s">
        <v>26</v>
      </c>
      <c r="C1129" t="s">
        <v>27</v>
      </c>
      <c r="H1129" s="2">
        <v>44936.669444444444</v>
      </c>
      <c r="I1129" t="s">
        <v>782</v>
      </c>
      <c r="Z1129">
        <v>47044</v>
      </c>
    </row>
    <row r="1130" spans="1:26" x14ac:dyDescent="0.25">
      <c r="A1130" t="s">
        <v>1440</v>
      </c>
      <c r="B1130" t="s">
        <v>43</v>
      </c>
      <c r="C1130" t="s">
        <v>27</v>
      </c>
      <c r="E1130" t="s">
        <v>1200</v>
      </c>
      <c r="G1130" t="s">
        <v>1441</v>
      </c>
      <c r="H1130" s="2">
        <v>44936.559027777781</v>
      </c>
      <c r="I1130" t="s">
        <v>782</v>
      </c>
      <c r="Z1130">
        <v>47024</v>
      </c>
    </row>
    <row r="1131" spans="1:26" x14ac:dyDescent="0.25">
      <c r="A1131" t="s">
        <v>1428</v>
      </c>
      <c r="B1131" t="s">
        <v>26</v>
      </c>
      <c r="C1131" t="s">
        <v>27</v>
      </c>
      <c r="H1131" s="2">
        <v>44932.555555555555</v>
      </c>
      <c r="I1131" t="s">
        <v>1429</v>
      </c>
      <c r="Z1131">
        <v>46740</v>
      </c>
    </row>
    <row r="1132" spans="1:26" x14ac:dyDescent="0.25">
      <c r="A1132" t="s">
        <v>1442</v>
      </c>
      <c r="B1132" t="s">
        <v>26</v>
      </c>
      <c r="C1132" t="s">
        <v>27</v>
      </c>
      <c r="H1132" s="2">
        <v>44930.602083333331</v>
      </c>
      <c r="I1132" t="s">
        <v>1429</v>
      </c>
      <c r="Z1132">
        <v>46618</v>
      </c>
    </row>
    <row r="1133" spans="1:26" x14ac:dyDescent="0.25">
      <c r="A1133" t="s">
        <v>1443</v>
      </c>
      <c r="B1133" t="s">
        <v>26</v>
      </c>
      <c r="C1133" t="s">
        <v>27</v>
      </c>
      <c r="H1133" s="2">
        <v>44923.489583333336</v>
      </c>
      <c r="I1133" t="s">
        <v>1323</v>
      </c>
      <c r="Z1133">
        <v>46384</v>
      </c>
    </row>
    <row r="1134" spans="1:26" x14ac:dyDescent="0.25">
      <c r="A1134" t="s">
        <v>129</v>
      </c>
      <c r="C1134" t="s">
        <v>27</v>
      </c>
      <c r="E1134" t="s">
        <v>1444</v>
      </c>
      <c r="H1134" s="2">
        <v>44922.48541666667</v>
      </c>
      <c r="I1134" t="s">
        <v>1429</v>
      </c>
      <c r="Z1134">
        <v>46297</v>
      </c>
    </row>
    <row r="1135" spans="1:26" x14ac:dyDescent="0.25">
      <c r="A1135" t="s">
        <v>1445</v>
      </c>
      <c r="B1135" t="s">
        <v>26</v>
      </c>
      <c r="C1135" t="s">
        <v>27</v>
      </c>
      <c r="H1135" s="2">
        <v>44922.468055555553</v>
      </c>
      <c r="I1135" t="s">
        <v>782</v>
      </c>
      <c r="Z1135">
        <v>46293</v>
      </c>
    </row>
    <row r="1136" spans="1:26" x14ac:dyDescent="0.25">
      <c r="A1136" t="s">
        <v>1446</v>
      </c>
      <c r="B1136" t="s">
        <v>26</v>
      </c>
      <c r="C1136" t="s">
        <v>27</v>
      </c>
      <c r="H1136" s="2">
        <v>44920.545138888891</v>
      </c>
      <c r="I1136" t="s">
        <v>29</v>
      </c>
      <c r="Z1136">
        <v>46168</v>
      </c>
    </row>
    <row r="1137" spans="1:26" x14ac:dyDescent="0.25">
      <c r="A1137" t="s">
        <v>1447</v>
      </c>
      <c r="B1137" t="s">
        <v>26</v>
      </c>
      <c r="C1137" t="s">
        <v>27</v>
      </c>
      <c r="H1137" s="2">
        <v>44919.538194444445</v>
      </c>
      <c r="I1137" t="s">
        <v>29</v>
      </c>
      <c r="Z1137">
        <v>46104</v>
      </c>
    </row>
    <row r="1138" spans="1:26" x14ac:dyDescent="0.25">
      <c r="A1138" t="s">
        <v>1449</v>
      </c>
      <c r="B1138" t="s">
        <v>26</v>
      </c>
      <c r="C1138" t="s">
        <v>27</v>
      </c>
      <c r="H1138" s="2">
        <v>44914.662499999999</v>
      </c>
      <c r="I1138" t="s">
        <v>782</v>
      </c>
      <c r="Z1138">
        <v>45899</v>
      </c>
    </row>
    <row r="1139" spans="1:26" x14ac:dyDescent="0.25">
      <c r="A1139" t="s">
        <v>1450</v>
      </c>
      <c r="B1139" t="s">
        <v>26</v>
      </c>
      <c r="C1139" t="s">
        <v>27</v>
      </c>
      <c r="H1139" s="2">
        <v>44914.609722222223</v>
      </c>
      <c r="I1139" t="s">
        <v>29</v>
      </c>
      <c r="Z1139">
        <v>45891</v>
      </c>
    </row>
    <row r="1140" spans="1:26" x14ac:dyDescent="0.25">
      <c r="A1140" t="s">
        <v>1454</v>
      </c>
      <c r="B1140" t="s">
        <v>26</v>
      </c>
      <c r="C1140" t="s">
        <v>27</v>
      </c>
      <c r="H1140" s="2">
        <v>44914.417361111111</v>
      </c>
      <c r="I1140" t="s">
        <v>782</v>
      </c>
      <c r="Z1140">
        <v>45858</v>
      </c>
    </row>
    <row r="1141" spans="1:26" x14ac:dyDescent="0.25">
      <c r="A1141" t="s">
        <v>1455</v>
      </c>
      <c r="B1141" t="s">
        <v>26</v>
      </c>
      <c r="C1141" t="s">
        <v>27</v>
      </c>
      <c r="H1141" s="2">
        <v>44912.39166666667</v>
      </c>
      <c r="I1141" t="s">
        <v>29</v>
      </c>
      <c r="Z1141">
        <v>45803</v>
      </c>
    </row>
    <row r="1142" spans="1:26" x14ac:dyDescent="0.25">
      <c r="A1142" t="s">
        <v>1456</v>
      </c>
      <c r="B1142" t="s">
        <v>26</v>
      </c>
      <c r="C1142" t="s">
        <v>27</v>
      </c>
      <c r="H1142" s="2">
        <v>44909.421527777777</v>
      </c>
      <c r="I1142" t="s">
        <v>1448</v>
      </c>
      <c r="Z1142">
        <v>45662</v>
      </c>
    </row>
    <row r="1143" spans="1:26" x14ac:dyDescent="0.25">
      <c r="A1143" t="s">
        <v>1457</v>
      </c>
      <c r="B1143" t="s">
        <v>43</v>
      </c>
      <c r="C1143" t="s">
        <v>27</v>
      </c>
      <c r="E1143" t="s">
        <v>1458</v>
      </c>
      <c r="G1143" t="s">
        <v>1459</v>
      </c>
      <c r="H1143" s="2">
        <v>44906.355555555558</v>
      </c>
      <c r="I1143" t="s">
        <v>29</v>
      </c>
      <c r="Z1143">
        <v>45422</v>
      </c>
    </row>
    <row r="1144" spans="1:26" x14ac:dyDescent="0.25">
      <c r="A1144" t="s">
        <v>1460</v>
      </c>
      <c r="B1144" t="s">
        <v>26</v>
      </c>
      <c r="C1144" t="s">
        <v>27</v>
      </c>
      <c r="H1144" s="2">
        <v>44904.665972222225</v>
      </c>
      <c r="I1144" t="s">
        <v>1323</v>
      </c>
      <c r="Z1144">
        <v>45315</v>
      </c>
    </row>
    <row r="1145" spans="1:26" x14ac:dyDescent="0.25">
      <c r="A1145" t="s">
        <v>1461</v>
      </c>
      <c r="B1145" t="s">
        <v>26</v>
      </c>
      <c r="C1145" t="s">
        <v>27</v>
      </c>
      <c r="H1145" s="2">
        <v>44903.49722222222</v>
      </c>
      <c r="I1145" t="s">
        <v>1429</v>
      </c>
      <c r="Z1145">
        <v>45201</v>
      </c>
    </row>
    <row r="1146" spans="1:26" x14ac:dyDescent="0.25">
      <c r="A1146" t="s">
        <v>1462</v>
      </c>
      <c r="B1146" t="s">
        <v>43</v>
      </c>
      <c r="C1146" t="s">
        <v>27</v>
      </c>
      <c r="E1146" t="s">
        <v>246</v>
      </c>
      <c r="G1146" t="s">
        <v>1463</v>
      </c>
      <c r="H1146" s="2">
        <v>44903.386111111111</v>
      </c>
      <c r="I1146" t="s">
        <v>782</v>
      </c>
      <c r="Z1146">
        <v>45181</v>
      </c>
    </row>
    <row r="1147" spans="1:26" x14ac:dyDescent="0.25">
      <c r="A1147" t="s">
        <v>1464</v>
      </c>
      <c r="B1147" t="s">
        <v>26</v>
      </c>
      <c r="C1147" t="s">
        <v>27</v>
      </c>
      <c r="H1147" s="2">
        <v>44901.417361111111</v>
      </c>
      <c r="I1147" t="s">
        <v>1378</v>
      </c>
      <c r="Z1147">
        <v>45028</v>
      </c>
    </row>
    <row r="1148" spans="1:26" x14ac:dyDescent="0.25">
      <c r="A1148" t="s">
        <v>1465</v>
      </c>
      <c r="B1148" t="s">
        <v>26</v>
      </c>
      <c r="C1148" t="s">
        <v>27</v>
      </c>
      <c r="H1148" s="2">
        <v>44898.62777777778</v>
      </c>
      <c r="I1148" t="s">
        <v>782</v>
      </c>
      <c r="Z1148">
        <v>44876</v>
      </c>
    </row>
    <row r="1149" spans="1:26" x14ac:dyDescent="0.25">
      <c r="A1149" t="s">
        <v>2250</v>
      </c>
      <c r="B1149" t="s">
        <v>370</v>
      </c>
      <c r="C1149" t="s">
        <v>27</v>
      </c>
      <c r="E1149" t="s">
        <v>1467</v>
      </c>
      <c r="H1149" s="2">
        <v>44895.701388888891</v>
      </c>
      <c r="I1149" t="s">
        <v>29</v>
      </c>
      <c r="Z1149">
        <v>44638</v>
      </c>
    </row>
    <row r="1150" spans="1:26" x14ac:dyDescent="0.25">
      <c r="A1150" t="s">
        <v>139</v>
      </c>
      <c r="B1150" t="s">
        <v>1468</v>
      </c>
      <c r="C1150" t="s">
        <v>27</v>
      </c>
      <c r="E1150" t="s">
        <v>79</v>
      </c>
      <c r="H1150" s="2">
        <v>44889.813888888886</v>
      </c>
      <c r="I1150" t="s">
        <v>782</v>
      </c>
      <c r="K1150" t="s">
        <v>30</v>
      </c>
      <c r="L1150" t="s">
        <v>31</v>
      </c>
      <c r="M1150">
        <v>55887089</v>
      </c>
      <c r="N1150">
        <v>9754619162</v>
      </c>
      <c r="O1150" t="s">
        <v>1469</v>
      </c>
      <c r="Z1150">
        <v>43990</v>
      </c>
    </row>
    <row r="1151" spans="1:26" x14ac:dyDescent="0.25">
      <c r="A1151" t="s">
        <v>1470</v>
      </c>
      <c r="B1151" t="s">
        <v>541</v>
      </c>
      <c r="C1151" t="s">
        <v>103</v>
      </c>
      <c r="E1151" t="s">
        <v>74</v>
      </c>
      <c r="G1151" t="s">
        <v>1471</v>
      </c>
      <c r="H1151" s="2">
        <v>44887.532638888886</v>
      </c>
      <c r="I1151" t="s">
        <v>29</v>
      </c>
      <c r="K1151" t="s">
        <v>30</v>
      </c>
      <c r="L1151" t="s">
        <v>31</v>
      </c>
      <c r="M1151">
        <v>55887089</v>
      </c>
      <c r="N1151">
        <v>9754619162</v>
      </c>
      <c r="O1151" t="s">
        <v>1469</v>
      </c>
      <c r="Z1151">
        <v>43812</v>
      </c>
    </row>
    <row r="1152" spans="1:26" x14ac:dyDescent="0.25">
      <c r="A1152" t="s">
        <v>1472</v>
      </c>
      <c r="B1152" t="s">
        <v>276</v>
      </c>
      <c r="C1152" t="s">
        <v>27</v>
      </c>
      <c r="E1152" t="s">
        <v>1473</v>
      </c>
      <c r="H1152" s="2">
        <v>44886.618750000001</v>
      </c>
      <c r="I1152" t="s">
        <v>202</v>
      </c>
      <c r="Z1152">
        <v>43754</v>
      </c>
    </row>
    <row r="1153" spans="1:26" x14ac:dyDescent="0.25">
      <c r="A1153" t="s">
        <v>1474</v>
      </c>
      <c r="B1153" t="s">
        <v>26</v>
      </c>
      <c r="C1153" t="s">
        <v>27</v>
      </c>
      <c r="E1153" t="s">
        <v>1474</v>
      </c>
      <c r="H1153" s="2">
        <v>44886.581944444442</v>
      </c>
      <c r="I1153" t="s">
        <v>1448</v>
      </c>
      <c r="Z1153">
        <v>43748</v>
      </c>
    </row>
    <row r="1154" spans="1:26" x14ac:dyDescent="0.25">
      <c r="A1154" t="s">
        <v>1475</v>
      </c>
      <c r="B1154" t="s">
        <v>26</v>
      </c>
      <c r="C1154" t="s">
        <v>27</v>
      </c>
      <c r="H1154" s="2">
        <v>44886.467361111114</v>
      </c>
      <c r="I1154" t="s">
        <v>1448</v>
      </c>
      <c r="Z1154">
        <v>43733</v>
      </c>
    </row>
    <row r="1155" spans="1:26" x14ac:dyDescent="0.25">
      <c r="A1155" t="s">
        <v>1476</v>
      </c>
      <c r="B1155" t="s">
        <v>26</v>
      </c>
      <c r="C1155" t="s">
        <v>27</v>
      </c>
      <c r="H1155" s="2">
        <v>44884.525694444441</v>
      </c>
      <c r="I1155" t="s">
        <v>1378</v>
      </c>
      <c r="Z1155">
        <v>43675</v>
      </c>
    </row>
    <row r="1156" spans="1:26" x14ac:dyDescent="0.25">
      <c r="A1156" t="s">
        <v>1477</v>
      </c>
      <c r="B1156" t="s">
        <v>26</v>
      </c>
      <c r="C1156" t="s">
        <v>27</v>
      </c>
      <c r="H1156" s="2">
        <v>44883.411805555559</v>
      </c>
      <c r="I1156" t="s">
        <v>1378</v>
      </c>
      <c r="Z1156">
        <v>43612</v>
      </c>
    </row>
    <row r="1157" spans="1:26" x14ac:dyDescent="0.25">
      <c r="A1157" t="s">
        <v>1480</v>
      </c>
      <c r="B1157" t="s">
        <v>26</v>
      </c>
      <c r="C1157" t="s">
        <v>27</v>
      </c>
      <c r="H1157" s="2">
        <v>44875.51666666667</v>
      </c>
      <c r="I1157" t="s">
        <v>29</v>
      </c>
      <c r="Z1157">
        <v>43030</v>
      </c>
    </row>
    <row r="1158" spans="1:26" x14ac:dyDescent="0.25">
      <c r="A1158" t="s">
        <v>1481</v>
      </c>
      <c r="B1158" t="s">
        <v>26</v>
      </c>
      <c r="C1158" t="s">
        <v>27</v>
      </c>
      <c r="H1158" s="2">
        <v>44873.577777777777</v>
      </c>
      <c r="I1158" t="s">
        <v>1323</v>
      </c>
      <c r="Z1158">
        <v>42864</v>
      </c>
    </row>
    <row r="1159" spans="1:26" x14ac:dyDescent="0.25">
      <c r="A1159" t="s">
        <v>1482</v>
      </c>
      <c r="B1159" t="s">
        <v>26</v>
      </c>
      <c r="C1159" t="s">
        <v>27</v>
      </c>
      <c r="D1159" t="s">
        <v>1483</v>
      </c>
      <c r="H1159" s="2">
        <v>44871.65347222222</v>
      </c>
      <c r="I1159" t="s">
        <v>1314</v>
      </c>
      <c r="Z1159">
        <v>42714</v>
      </c>
    </row>
    <row r="1160" spans="1:26" x14ac:dyDescent="0.25">
      <c r="A1160" t="s">
        <v>1386</v>
      </c>
      <c r="B1160" t="s">
        <v>26</v>
      </c>
      <c r="C1160" t="s">
        <v>27</v>
      </c>
      <c r="E1160" t="s">
        <v>1386</v>
      </c>
      <c r="H1160" s="2">
        <v>44870.654166666667</v>
      </c>
      <c r="I1160" t="s">
        <v>1378</v>
      </c>
      <c r="Z1160">
        <v>42644</v>
      </c>
    </row>
    <row r="1161" spans="1:26" x14ac:dyDescent="0.25">
      <c r="A1161" t="s">
        <v>1484</v>
      </c>
      <c r="B1161" t="s">
        <v>26</v>
      </c>
      <c r="C1161" t="s">
        <v>27</v>
      </c>
      <c r="H1161" s="2">
        <v>44870.431944444441</v>
      </c>
      <c r="I1161" t="s">
        <v>29</v>
      </c>
      <c r="Z1161">
        <v>42600</v>
      </c>
    </row>
    <row r="1162" spans="1:26" x14ac:dyDescent="0.25">
      <c r="A1162" t="s">
        <v>1485</v>
      </c>
      <c r="B1162" t="s">
        <v>26</v>
      </c>
      <c r="C1162" t="s">
        <v>27</v>
      </c>
      <c r="H1162" s="2">
        <v>44869.556944444441</v>
      </c>
      <c r="I1162" t="s">
        <v>29</v>
      </c>
      <c r="Z1162">
        <v>42555</v>
      </c>
    </row>
    <row r="1163" spans="1:26" x14ac:dyDescent="0.25">
      <c r="A1163" t="s">
        <v>1486</v>
      </c>
      <c r="B1163" t="s">
        <v>26</v>
      </c>
      <c r="C1163" t="s">
        <v>27</v>
      </c>
      <c r="H1163" s="2">
        <v>44869.428472222222</v>
      </c>
      <c r="I1163" t="s">
        <v>202</v>
      </c>
      <c r="Z1163">
        <v>42532</v>
      </c>
    </row>
    <row r="1164" spans="1:26" x14ac:dyDescent="0.25">
      <c r="A1164" t="s">
        <v>1487</v>
      </c>
      <c r="B1164" t="s">
        <v>26</v>
      </c>
      <c r="C1164" t="s">
        <v>27</v>
      </c>
      <c r="H1164" s="2">
        <v>44869.38958333333</v>
      </c>
      <c r="I1164" t="s">
        <v>1323</v>
      </c>
      <c r="Z1164">
        <v>42527</v>
      </c>
    </row>
    <row r="1165" spans="1:26" x14ac:dyDescent="0.25">
      <c r="A1165" t="s">
        <v>1489</v>
      </c>
      <c r="C1165" t="s">
        <v>27</v>
      </c>
      <c r="E1165" t="s">
        <v>1490</v>
      </c>
      <c r="H1165" s="2">
        <v>44867.713194444441</v>
      </c>
      <c r="I1165" t="s">
        <v>202</v>
      </c>
      <c r="Z1165">
        <v>42440</v>
      </c>
    </row>
    <row r="1166" spans="1:26" x14ac:dyDescent="0.25">
      <c r="A1166" t="s">
        <v>1491</v>
      </c>
      <c r="B1166" t="s">
        <v>43</v>
      </c>
      <c r="C1166" t="s">
        <v>27</v>
      </c>
      <c r="E1166" t="s">
        <v>142</v>
      </c>
      <c r="G1166" t="s">
        <v>1492</v>
      </c>
      <c r="H1166" s="2">
        <v>44866.885416666664</v>
      </c>
      <c r="I1166" t="s">
        <v>782</v>
      </c>
      <c r="Z1166">
        <v>42367</v>
      </c>
    </row>
    <row r="1167" spans="1:26" x14ac:dyDescent="0.25">
      <c r="A1167" t="s">
        <v>1493</v>
      </c>
      <c r="B1167" t="s">
        <v>26</v>
      </c>
      <c r="C1167" t="s">
        <v>27</v>
      </c>
      <c r="H1167" s="2">
        <v>44866.640972222223</v>
      </c>
      <c r="I1167" t="s">
        <v>1448</v>
      </c>
      <c r="Z1167">
        <v>42326</v>
      </c>
    </row>
    <row r="1168" spans="1:26" x14ac:dyDescent="0.25">
      <c r="A1168" t="s">
        <v>1494</v>
      </c>
      <c r="B1168" t="s">
        <v>26</v>
      </c>
      <c r="C1168" t="s">
        <v>27</v>
      </c>
      <c r="H1168" s="2">
        <v>44866.49722222222</v>
      </c>
      <c r="I1168" t="s">
        <v>782</v>
      </c>
      <c r="Z1168">
        <v>42297</v>
      </c>
    </row>
    <row r="1169" spans="1:26" x14ac:dyDescent="0.25">
      <c r="A1169" t="s">
        <v>1495</v>
      </c>
      <c r="B1169" t="s">
        <v>43</v>
      </c>
      <c r="C1169" t="s">
        <v>27</v>
      </c>
      <c r="E1169" t="s">
        <v>596</v>
      </c>
      <c r="G1169" t="s">
        <v>1496</v>
      </c>
      <c r="H1169" s="2">
        <v>44865.654166666667</v>
      </c>
      <c r="I1169" t="s">
        <v>29</v>
      </c>
      <c r="K1169" t="s">
        <v>30</v>
      </c>
      <c r="L1169" t="s">
        <v>31</v>
      </c>
      <c r="M1169">
        <v>67131912</v>
      </c>
      <c r="N1169">
        <v>11953101647</v>
      </c>
      <c r="O1169" t="s">
        <v>1497</v>
      </c>
      <c r="Z1169">
        <v>42247</v>
      </c>
    </row>
    <row r="1170" spans="1:26" x14ac:dyDescent="0.25">
      <c r="A1170" t="s">
        <v>1498</v>
      </c>
      <c r="B1170" t="s">
        <v>26</v>
      </c>
      <c r="C1170" t="s">
        <v>27</v>
      </c>
      <c r="H1170" s="2">
        <v>44865.59375</v>
      </c>
      <c r="I1170" t="s">
        <v>29</v>
      </c>
      <c r="Z1170">
        <v>42237</v>
      </c>
    </row>
    <row r="1171" spans="1:26" x14ac:dyDescent="0.25">
      <c r="A1171" t="s">
        <v>1499</v>
      </c>
      <c r="B1171" t="s">
        <v>26</v>
      </c>
      <c r="C1171" t="s">
        <v>27</v>
      </c>
      <c r="H1171" s="2">
        <v>44863.620138888888</v>
      </c>
      <c r="I1171" t="s">
        <v>289</v>
      </c>
      <c r="Z1171">
        <v>42121</v>
      </c>
    </row>
    <row r="1172" spans="1:26" x14ac:dyDescent="0.25">
      <c r="A1172" t="s">
        <v>1500</v>
      </c>
      <c r="B1172" t="s">
        <v>26</v>
      </c>
      <c r="C1172" t="s">
        <v>27</v>
      </c>
      <c r="H1172" s="2">
        <v>44863.425000000003</v>
      </c>
      <c r="I1172" t="s">
        <v>1448</v>
      </c>
      <c r="Z1172">
        <v>42082</v>
      </c>
    </row>
    <row r="1173" spans="1:26" x14ac:dyDescent="0.25">
      <c r="A1173" t="s">
        <v>1501</v>
      </c>
      <c r="B1173" t="s">
        <v>26</v>
      </c>
      <c r="C1173" t="s">
        <v>27</v>
      </c>
      <c r="H1173" s="2">
        <v>44861.554166666669</v>
      </c>
      <c r="I1173" t="s">
        <v>476</v>
      </c>
      <c r="Z1173">
        <v>41965</v>
      </c>
    </row>
    <row r="1174" spans="1:26" x14ac:dyDescent="0.25">
      <c r="A1174" t="s">
        <v>1502</v>
      </c>
      <c r="B1174" t="s">
        <v>26</v>
      </c>
      <c r="C1174" t="s">
        <v>27</v>
      </c>
      <c r="H1174" s="2">
        <v>44860.737500000003</v>
      </c>
      <c r="I1174" t="s">
        <v>782</v>
      </c>
      <c r="Z1174">
        <v>41910</v>
      </c>
    </row>
    <row r="1175" spans="1:26" x14ac:dyDescent="0.25">
      <c r="A1175" t="s">
        <v>1503</v>
      </c>
      <c r="B1175" t="s">
        <v>26</v>
      </c>
      <c r="C1175" t="s">
        <v>27</v>
      </c>
      <c r="H1175" s="2">
        <v>44860.463194444441</v>
      </c>
      <c r="I1175" t="s">
        <v>476</v>
      </c>
      <c r="Z1175">
        <v>41859</v>
      </c>
    </row>
    <row r="1176" spans="1:26" x14ac:dyDescent="0.25">
      <c r="A1176" t="s">
        <v>1504</v>
      </c>
      <c r="B1176" t="s">
        <v>26</v>
      </c>
      <c r="C1176" t="s">
        <v>27</v>
      </c>
      <c r="H1176" s="2">
        <v>44859.697916666664</v>
      </c>
      <c r="I1176" t="s">
        <v>29</v>
      </c>
      <c r="Z1176">
        <v>41834</v>
      </c>
    </row>
    <row r="1177" spans="1:26" x14ac:dyDescent="0.25">
      <c r="A1177" t="s">
        <v>1505</v>
      </c>
      <c r="B1177" t="s">
        <v>43</v>
      </c>
      <c r="C1177" t="s">
        <v>27</v>
      </c>
      <c r="E1177" t="s">
        <v>404</v>
      </c>
      <c r="G1177" t="s">
        <v>1506</v>
      </c>
      <c r="H1177" s="2">
        <v>44854.672222222223</v>
      </c>
      <c r="I1177" t="s">
        <v>782</v>
      </c>
      <c r="Z1177">
        <v>41516</v>
      </c>
    </row>
    <row r="1178" spans="1:26" x14ac:dyDescent="0.25">
      <c r="A1178" t="s">
        <v>1507</v>
      </c>
      <c r="B1178" t="s">
        <v>26</v>
      </c>
      <c r="C1178" t="s">
        <v>27</v>
      </c>
      <c r="H1178" s="2">
        <v>44853.619444444441</v>
      </c>
      <c r="I1178" t="s">
        <v>29</v>
      </c>
      <c r="Z1178">
        <v>41446</v>
      </c>
    </row>
    <row r="1179" spans="1:26" x14ac:dyDescent="0.25">
      <c r="A1179" t="s">
        <v>1508</v>
      </c>
      <c r="B1179" t="s">
        <v>26</v>
      </c>
      <c r="C1179" t="s">
        <v>27</v>
      </c>
      <c r="H1179" s="2">
        <v>44851.588194444441</v>
      </c>
      <c r="I1179" t="s">
        <v>781</v>
      </c>
      <c r="Z1179">
        <v>41366</v>
      </c>
    </row>
    <row r="1180" spans="1:26" x14ac:dyDescent="0.25">
      <c r="A1180" t="s">
        <v>129</v>
      </c>
      <c r="C1180" t="s">
        <v>27</v>
      </c>
      <c r="E1180" t="s">
        <v>72</v>
      </c>
      <c r="H1180" s="2">
        <v>44851.46875</v>
      </c>
      <c r="I1180" t="s">
        <v>29</v>
      </c>
      <c r="Z1180">
        <v>41343</v>
      </c>
    </row>
    <row r="1181" spans="1:26" x14ac:dyDescent="0.25">
      <c r="A1181" t="s">
        <v>1510</v>
      </c>
      <c r="B1181" t="s">
        <v>26</v>
      </c>
      <c r="C1181" t="s">
        <v>27</v>
      </c>
      <c r="H1181" s="2">
        <v>44850.634027777778</v>
      </c>
      <c r="I1181" t="s">
        <v>1323</v>
      </c>
      <c r="Z1181">
        <v>41305</v>
      </c>
    </row>
    <row r="1182" spans="1:26" x14ac:dyDescent="0.25">
      <c r="A1182" t="s">
        <v>1511</v>
      </c>
      <c r="B1182" t="s">
        <v>472</v>
      </c>
      <c r="C1182" t="s">
        <v>27</v>
      </c>
      <c r="E1182" t="s">
        <v>1512</v>
      </c>
      <c r="G1182" t="s">
        <v>1033</v>
      </c>
      <c r="H1182" s="2">
        <v>44849.61041666667</v>
      </c>
      <c r="I1182" t="s">
        <v>939</v>
      </c>
      <c r="Z1182">
        <v>41255</v>
      </c>
    </row>
    <row r="1183" spans="1:26" x14ac:dyDescent="0.25">
      <c r="A1183" t="s">
        <v>1513</v>
      </c>
      <c r="B1183" t="s">
        <v>26</v>
      </c>
      <c r="C1183" t="s">
        <v>27</v>
      </c>
      <c r="H1183" s="2">
        <v>44849.525000000001</v>
      </c>
      <c r="I1183" t="s">
        <v>1448</v>
      </c>
      <c r="Z1183">
        <v>41240</v>
      </c>
    </row>
    <row r="1184" spans="1:26" x14ac:dyDescent="0.25">
      <c r="A1184" t="s">
        <v>1514</v>
      </c>
      <c r="B1184" t="s">
        <v>26</v>
      </c>
      <c r="C1184" t="s">
        <v>27</v>
      </c>
      <c r="H1184" s="2">
        <v>44848.495138888888</v>
      </c>
      <c r="I1184" t="s">
        <v>29</v>
      </c>
      <c r="Z1184">
        <v>41190</v>
      </c>
    </row>
    <row r="1185" spans="1:26" x14ac:dyDescent="0.25">
      <c r="A1185" t="s">
        <v>1515</v>
      </c>
      <c r="B1185" t="s">
        <v>370</v>
      </c>
      <c r="C1185" t="s">
        <v>27</v>
      </c>
      <c r="E1185" t="s">
        <v>1516</v>
      </c>
      <c r="H1185" s="2">
        <v>44846.427083333336</v>
      </c>
      <c r="I1185" t="s">
        <v>29</v>
      </c>
      <c r="K1185" t="s">
        <v>30</v>
      </c>
      <c r="L1185" t="s">
        <v>31</v>
      </c>
      <c r="M1185">
        <v>67131912</v>
      </c>
      <c r="N1185">
        <v>11953101644</v>
      </c>
      <c r="O1185" t="s">
        <v>1517</v>
      </c>
      <c r="Z1185">
        <v>41121</v>
      </c>
    </row>
    <row r="1186" spans="1:26" x14ac:dyDescent="0.25">
      <c r="A1186" t="s">
        <v>1518</v>
      </c>
      <c r="B1186" t="s">
        <v>26</v>
      </c>
      <c r="C1186" t="s">
        <v>27</v>
      </c>
      <c r="H1186" s="2">
        <v>44845.689583333333</v>
      </c>
      <c r="I1186" t="s">
        <v>781</v>
      </c>
      <c r="Z1186">
        <v>41108</v>
      </c>
    </row>
    <row r="1187" spans="1:26" x14ac:dyDescent="0.25">
      <c r="A1187" t="s">
        <v>1032</v>
      </c>
      <c r="B1187" t="s">
        <v>26</v>
      </c>
      <c r="C1187" t="s">
        <v>27</v>
      </c>
      <c r="H1187" s="2">
        <v>44844.64166666667</v>
      </c>
      <c r="I1187" t="s">
        <v>1429</v>
      </c>
      <c r="Z1187">
        <v>41072</v>
      </c>
    </row>
    <row r="1188" spans="1:26" x14ac:dyDescent="0.25">
      <c r="A1188" t="s">
        <v>1519</v>
      </c>
      <c r="B1188" t="s">
        <v>26</v>
      </c>
      <c r="C1188" t="s">
        <v>27</v>
      </c>
      <c r="H1188" s="2">
        <v>44843.804861111108</v>
      </c>
      <c r="I1188" t="s">
        <v>29</v>
      </c>
      <c r="Z1188">
        <v>41019</v>
      </c>
    </row>
    <row r="1189" spans="1:26" x14ac:dyDescent="0.25">
      <c r="A1189" t="s">
        <v>1520</v>
      </c>
      <c r="B1189" t="s">
        <v>26</v>
      </c>
      <c r="C1189" t="s">
        <v>27</v>
      </c>
      <c r="H1189" s="2">
        <v>44841.675694444442</v>
      </c>
      <c r="I1189" t="s">
        <v>521</v>
      </c>
      <c r="Z1189">
        <v>40903</v>
      </c>
    </row>
    <row r="1190" spans="1:26" x14ac:dyDescent="0.25">
      <c r="A1190" t="s">
        <v>1428</v>
      </c>
      <c r="B1190" t="s">
        <v>26</v>
      </c>
      <c r="C1190" t="s">
        <v>27</v>
      </c>
      <c r="H1190" s="2">
        <v>44840.644444444442</v>
      </c>
      <c r="I1190" t="s">
        <v>1429</v>
      </c>
      <c r="Z1190">
        <v>40852</v>
      </c>
    </row>
    <row r="1191" spans="1:26" x14ac:dyDescent="0.25">
      <c r="A1191" t="s">
        <v>1521</v>
      </c>
      <c r="B1191" t="s">
        <v>43</v>
      </c>
      <c r="C1191" t="s">
        <v>27</v>
      </c>
      <c r="E1191" t="s">
        <v>546</v>
      </c>
      <c r="G1191" t="s">
        <v>1522</v>
      </c>
      <c r="H1191" s="2">
        <v>44839.40347222222</v>
      </c>
      <c r="I1191" t="s">
        <v>521</v>
      </c>
      <c r="Z1191">
        <v>40794</v>
      </c>
    </row>
    <row r="1192" spans="1:26" x14ac:dyDescent="0.25">
      <c r="A1192" t="s">
        <v>1523</v>
      </c>
      <c r="B1192" t="s">
        <v>26</v>
      </c>
      <c r="C1192" t="s">
        <v>27</v>
      </c>
      <c r="H1192" s="2">
        <v>44837.71597222222</v>
      </c>
      <c r="I1192" t="s">
        <v>1323</v>
      </c>
      <c r="Z1192">
        <v>40728</v>
      </c>
    </row>
    <row r="1193" spans="1:26" x14ac:dyDescent="0.25">
      <c r="A1193" t="s">
        <v>1509</v>
      </c>
      <c r="B1193" t="s">
        <v>472</v>
      </c>
      <c r="C1193" t="s">
        <v>27</v>
      </c>
      <c r="E1193" t="s">
        <v>72</v>
      </c>
      <c r="H1193" s="2">
        <v>44837.661111111112</v>
      </c>
      <c r="I1193" t="s">
        <v>1323</v>
      </c>
      <c r="Z1193">
        <v>40724</v>
      </c>
    </row>
    <row r="1194" spans="1:26" x14ac:dyDescent="0.25">
      <c r="A1194" t="s">
        <v>1524</v>
      </c>
      <c r="B1194" t="s">
        <v>26</v>
      </c>
      <c r="C1194" t="s">
        <v>27</v>
      </c>
      <c r="H1194" s="2">
        <v>44837.456250000003</v>
      </c>
      <c r="I1194" t="s">
        <v>781</v>
      </c>
      <c r="Z1194">
        <v>40695</v>
      </c>
    </row>
    <row r="1195" spans="1:26" x14ac:dyDescent="0.25">
      <c r="A1195" t="s">
        <v>1525</v>
      </c>
      <c r="B1195" t="s">
        <v>26</v>
      </c>
      <c r="C1195" t="s">
        <v>27</v>
      </c>
      <c r="H1195" s="2">
        <v>44836.752083333333</v>
      </c>
      <c r="I1195" t="s">
        <v>1378</v>
      </c>
      <c r="Z1195">
        <v>40670</v>
      </c>
    </row>
    <row r="1196" spans="1:26" x14ac:dyDescent="0.25">
      <c r="A1196" t="s">
        <v>1527</v>
      </c>
      <c r="B1196" t="s">
        <v>370</v>
      </c>
      <c r="C1196" t="s">
        <v>27</v>
      </c>
      <c r="E1196" t="s">
        <v>1528</v>
      </c>
      <c r="H1196" s="2">
        <v>44834.561805555553</v>
      </c>
      <c r="I1196" t="s">
        <v>29</v>
      </c>
      <c r="Z1196">
        <v>40557</v>
      </c>
    </row>
    <row r="1197" spans="1:26" x14ac:dyDescent="0.25">
      <c r="A1197" t="s">
        <v>1529</v>
      </c>
      <c r="B1197" t="s">
        <v>26</v>
      </c>
      <c r="C1197" t="s">
        <v>27</v>
      </c>
      <c r="H1197" s="2">
        <v>44834.488888888889</v>
      </c>
      <c r="I1197" t="s">
        <v>781</v>
      </c>
      <c r="Z1197">
        <v>40551</v>
      </c>
    </row>
    <row r="1198" spans="1:26" x14ac:dyDescent="0.25">
      <c r="A1198" t="s">
        <v>1531</v>
      </c>
      <c r="B1198" t="s">
        <v>26</v>
      </c>
      <c r="C1198" t="s">
        <v>27</v>
      </c>
      <c r="H1198" s="2">
        <v>44831.702777777777</v>
      </c>
      <c r="I1198" t="s">
        <v>1448</v>
      </c>
      <c r="Z1198">
        <v>40482</v>
      </c>
    </row>
    <row r="1199" spans="1:26" x14ac:dyDescent="0.25">
      <c r="A1199" t="s">
        <v>1532</v>
      </c>
      <c r="B1199" t="s">
        <v>26</v>
      </c>
      <c r="C1199" t="s">
        <v>27</v>
      </c>
      <c r="H1199" s="2">
        <v>44830.65625</v>
      </c>
      <c r="I1199" t="s">
        <v>1378</v>
      </c>
      <c r="Z1199">
        <v>40450</v>
      </c>
    </row>
    <row r="1200" spans="1:26" x14ac:dyDescent="0.25">
      <c r="A1200" t="s">
        <v>1533</v>
      </c>
      <c r="B1200" t="s">
        <v>370</v>
      </c>
      <c r="C1200" t="s">
        <v>27</v>
      </c>
      <c r="E1200" t="s">
        <v>1534</v>
      </c>
      <c r="H1200" s="2">
        <v>44826.679166666669</v>
      </c>
      <c r="I1200" t="s">
        <v>939</v>
      </c>
      <c r="K1200" t="s">
        <v>30</v>
      </c>
      <c r="L1200" t="s">
        <v>31</v>
      </c>
      <c r="M1200">
        <v>67131912</v>
      </c>
      <c r="N1200">
        <v>11953101646</v>
      </c>
      <c r="O1200" t="s">
        <v>1071</v>
      </c>
      <c r="Z1200">
        <v>40308</v>
      </c>
    </row>
    <row r="1201" spans="1:26" x14ac:dyDescent="0.25">
      <c r="A1201" t="s">
        <v>1535</v>
      </c>
      <c r="B1201" t="s">
        <v>26</v>
      </c>
      <c r="C1201" t="s">
        <v>27</v>
      </c>
      <c r="H1201" s="2">
        <v>44825.779166666667</v>
      </c>
      <c r="I1201" t="s">
        <v>781</v>
      </c>
      <c r="Z1201">
        <v>40269</v>
      </c>
    </row>
    <row r="1202" spans="1:26" x14ac:dyDescent="0.25">
      <c r="A1202" t="s">
        <v>1536</v>
      </c>
      <c r="B1202" t="s">
        <v>26</v>
      </c>
      <c r="C1202" t="s">
        <v>27</v>
      </c>
      <c r="H1202" s="2">
        <v>44825.728472222225</v>
      </c>
      <c r="I1202" t="s">
        <v>1429</v>
      </c>
      <c r="Z1202">
        <v>40266</v>
      </c>
    </row>
    <row r="1203" spans="1:26" x14ac:dyDescent="0.25">
      <c r="A1203" t="s">
        <v>1537</v>
      </c>
      <c r="B1203" t="s">
        <v>26</v>
      </c>
      <c r="C1203" t="s">
        <v>27</v>
      </c>
      <c r="H1203" s="2">
        <v>44825.495833333334</v>
      </c>
      <c r="I1203" t="s">
        <v>781</v>
      </c>
      <c r="Z1203">
        <v>40253</v>
      </c>
    </row>
    <row r="1204" spans="1:26" x14ac:dyDescent="0.25">
      <c r="A1204" t="s">
        <v>1538</v>
      </c>
      <c r="B1204" t="s">
        <v>26</v>
      </c>
      <c r="C1204" t="s">
        <v>27</v>
      </c>
      <c r="H1204" s="2">
        <v>44825.456944444442</v>
      </c>
      <c r="I1204" t="s">
        <v>781</v>
      </c>
      <c r="Z1204">
        <v>40248</v>
      </c>
    </row>
    <row r="1205" spans="1:26" x14ac:dyDescent="0.25">
      <c r="A1205" t="s">
        <v>1539</v>
      </c>
      <c r="B1205" t="s">
        <v>26</v>
      </c>
      <c r="C1205" t="s">
        <v>27</v>
      </c>
      <c r="H1205" s="2">
        <v>44825.413888888892</v>
      </c>
      <c r="I1205" t="s">
        <v>1323</v>
      </c>
      <c r="Z1205">
        <v>40244</v>
      </c>
    </row>
    <row r="1206" spans="1:26" x14ac:dyDescent="0.25">
      <c r="A1206" t="s">
        <v>1540</v>
      </c>
      <c r="B1206" t="s">
        <v>370</v>
      </c>
      <c r="C1206" t="s">
        <v>27</v>
      </c>
      <c r="E1206" t="s">
        <v>221</v>
      </c>
      <c r="H1206" s="2">
        <v>44825.351388888892</v>
      </c>
      <c r="I1206" t="s">
        <v>476</v>
      </c>
      <c r="Z1206">
        <v>40239</v>
      </c>
    </row>
    <row r="1207" spans="1:26" x14ac:dyDescent="0.25">
      <c r="A1207" t="s">
        <v>1541</v>
      </c>
      <c r="B1207" t="s">
        <v>43</v>
      </c>
      <c r="C1207" t="s">
        <v>27</v>
      </c>
      <c r="E1207" t="s">
        <v>39</v>
      </c>
      <c r="G1207" t="s">
        <v>1542</v>
      </c>
      <c r="H1207" s="2">
        <v>44824.615277777775</v>
      </c>
      <c r="I1207" t="s">
        <v>476</v>
      </c>
      <c r="Z1207">
        <v>40225</v>
      </c>
    </row>
    <row r="1208" spans="1:26" x14ac:dyDescent="0.25">
      <c r="A1208" t="s">
        <v>1543</v>
      </c>
      <c r="B1208" t="s">
        <v>26</v>
      </c>
      <c r="C1208" t="s">
        <v>27</v>
      </c>
      <c r="H1208" s="2">
        <v>44824.501388888886</v>
      </c>
      <c r="I1208" t="s">
        <v>1429</v>
      </c>
      <c r="Z1208">
        <v>40214</v>
      </c>
    </row>
    <row r="1209" spans="1:26" x14ac:dyDescent="0.25">
      <c r="A1209" t="s">
        <v>1544</v>
      </c>
      <c r="B1209" t="s">
        <v>26</v>
      </c>
      <c r="C1209" t="s">
        <v>27</v>
      </c>
      <c r="H1209" s="2">
        <v>44820.615972222222</v>
      </c>
      <c r="I1209" t="s">
        <v>289</v>
      </c>
      <c r="Z1209">
        <v>40031</v>
      </c>
    </row>
    <row r="1210" spans="1:26" x14ac:dyDescent="0.25">
      <c r="A1210" t="s">
        <v>1545</v>
      </c>
      <c r="C1210" t="s">
        <v>27</v>
      </c>
      <c r="E1210" t="s">
        <v>169</v>
      </c>
      <c r="H1210" s="2">
        <v>44819.637499999997</v>
      </c>
      <c r="I1210" t="s">
        <v>1323</v>
      </c>
      <c r="Z1210">
        <v>39984</v>
      </c>
    </row>
    <row r="1211" spans="1:26" x14ac:dyDescent="0.25">
      <c r="A1211" t="s">
        <v>1546</v>
      </c>
      <c r="B1211" t="s">
        <v>26</v>
      </c>
      <c r="C1211" t="s">
        <v>27</v>
      </c>
      <c r="H1211" s="2">
        <v>44819.629166666666</v>
      </c>
      <c r="I1211" t="s">
        <v>1323</v>
      </c>
      <c r="Z1211">
        <v>39981</v>
      </c>
    </row>
    <row r="1212" spans="1:26" x14ac:dyDescent="0.25">
      <c r="A1212" t="s">
        <v>1547</v>
      </c>
      <c r="B1212" t="s">
        <v>26</v>
      </c>
      <c r="C1212" t="s">
        <v>27</v>
      </c>
      <c r="H1212" s="2">
        <v>44817.678472222222</v>
      </c>
      <c r="I1212" t="s">
        <v>476</v>
      </c>
      <c r="Z1212">
        <v>39911</v>
      </c>
    </row>
    <row r="1213" spans="1:26" x14ac:dyDescent="0.25">
      <c r="A1213" t="s">
        <v>1548</v>
      </c>
      <c r="B1213" t="s">
        <v>26</v>
      </c>
      <c r="C1213" t="s">
        <v>27</v>
      </c>
      <c r="H1213" s="2">
        <v>44817.456250000003</v>
      </c>
      <c r="I1213" t="s">
        <v>289</v>
      </c>
      <c r="Z1213">
        <v>39889</v>
      </c>
    </row>
    <row r="1214" spans="1:26" x14ac:dyDescent="0.25">
      <c r="A1214" t="s">
        <v>218</v>
      </c>
      <c r="B1214" t="s">
        <v>370</v>
      </c>
      <c r="C1214" t="s">
        <v>27</v>
      </c>
      <c r="E1214" t="s">
        <v>1549</v>
      </c>
      <c r="G1214" t="s">
        <v>1550</v>
      </c>
      <c r="H1214" s="2">
        <v>44816.904861111114</v>
      </c>
      <c r="I1214" t="s">
        <v>29</v>
      </c>
      <c r="Z1214">
        <v>39877</v>
      </c>
    </row>
    <row r="1215" spans="1:26" x14ac:dyDescent="0.25">
      <c r="A1215" t="s">
        <v>1551</v>
      </c>
      <c r="B1215" t="s">
        <v>26</v>
      </c>
      <c r="C1215" t="s">
        <v>27</v>
      </c>
      <c r="H1215" s="2">
        <v>44814.453472222223</v>
      </c>
      <c r="I1215" t="s">
        <v>289</v>
      </c>
      <c r="Z1215">
        <v>39751</v>
      </c>
    </row>
    <row r="1216" spans="1:26" x14ac:dyDescent="0.25">
      <c r="A1216" t="s">
        <v>1552</v>
      </c>
      <c r="B1216" t="s">
        <v>26</v>
      </c>
      <c r="C1216" t="s">
        <v>27</v>
      </c>
      <c r="H1216" s="2">
        <v>44813.548611111109</v>
      </c>
      <c r="I1216" t="s">
        <v>1323</v>
      </c>
      <c r="Z1216">
        <v>39715</v>
      </c>
    </row>
    <row r="1217" spans="1:26" x14ac:dyDescent="0.25">
      <c r="A1217" t="s">
        <v>1553</v>
      </c>
      <c r="B1217" t="s">
        <v>276</v>
      </c>
      <c r="C1217" t="s">
        <v>27</v>
      </c>
      <c r="E1217" t="s">
        <v>414</v>
      </c>
      <c r="G1217" t="s">
        <v>1554</v>
      </c>
      <c r="H1217" s="2">
        <v>44813.540972222225</v>
      </c>
      <c r="I1217" t="s">
        <v>782</v>
      </c>
      <c r="K1217" t="s">
        <v>30</v>
      </c>
      <c r="L1217" t="s">
        <v>31</v>
      </c>
      <c r="M1217">
        <v>67131912</v>
      </c>
      <c r="N1217">
        <v>11953101702</v>
      </c>
      <c r="O1217" t="s">
        <v>1211</v>
      </c>
      <c r="Z1217">
        <v>39713</v>
      </c>
    </row>
    <row r="1218" spans="1:26" x14ac:dyDescent="0.25">
      <c r="A1218" t="s">
        <v>1555</v>
      </c>
      <c r="B1218" t="s">
        <v>26</v>
      </c>
      <c r="C1218" t="s">
        <v>27</v>
      </c>
      <c r="H1218" s="2">
        <v>44813.48333333333</v>
      </c>
      <c r="I1218" t="s">
        <v>1323</v>
      </c>
      <c r="Z1218">
        <v>39702</v>
      </c>
    </row>
    <row r="1219" spans="1:26" x14ac:dyDescent="0.25">
      <c r="A1219" t="s">
        <v>1556</v>
      </c>
      <c r="B1219" t="s">
        <v>26</v>
      </c>
      <c r="C1219" t="s">
        <v>27</v>
      </c>
      <c r="H1219" s="2">
        <v>44812.580555555556</v>
      </c>
      <c r="I1219" t="s">
        <v>1378</v>
      </c>
      <c r="Z1219">
        <v>39671</v>
      </c>
    </row>
    <row r="1220" spans="1:26" x14ac:dyDescent="0.25">
      <c r="A1220" t="s">
        <v>1557</v>
      </c>
      <c r="B1220" t="s">
        <v>26</v>
      </c>
      <c r="C1220" t="s">
        <v>27</v>
      </c>
      <c r="H1220" s="2">
        <v>44812.493750000001</v>
      </c>
      <c r="I1220" t="s">
        <v>1378</v>
      </c>
      <c r="Z1220">
        <v>39662</v>
      </c>
    </row>
    <row r="1221" spans="1:26" x14ac:dyDescent="0.25">
      <c r="A1221" t="s">
        <v>139</v>
      </c>
      <c r="B1221" t="s">
        <v>1468</v>
      </c>
      <c r="C1221" t="s">
        <v>27</v>
      </c>
      <c r="E1221" t="s">
        <v>41</v>
      </c>
      <c r="H1221" s="2">
        <v>44812.338888888888</v>
      </c>
      <c r="I1221" t="s">
        <v>1378</v>
      </c>
      <c r="Z1221">
        <v>39656</v>
      </c>
    </row>
    <row r="1222" spans="1:26" x14ac:dyDescent="0.25">
      <c r="A1222" t="s">
        <v>1558</v>
      </c>
      <c r="B1222" t="s">
        <v>26</v>
      </c>
      <c r="C1222" t="s">
        <v>27</v>
      </c>
      <c r="H1222" s="2">
        <v>44811.65902777778</v>
      </c>
      <c r="I1222" t="s">
        <v>476</v>
      </c>
      <c r="Z1222">
        <v>39635</v>
      </c>
    </row>
    <row r="1223" spans="1:26" x14ac:dyDescent="0.25">
      <c r="A1223" t="s">
        <v>1559</v>
      </c>
      <c r="B1223" t="s">
        <v>26</v>
      </c>
      <c r="C1223" t="s">
        <v>27</v>
      </c>
      <c r="H1223" s="2">
        <v>44809.695833333331</v>
      </c>
      <c r="I1223" t="s">
        <v>289</v>
      </c>
      <c r="Z1223">
        <v>39554</v>
      </c>
    </row>
    <row r="1224" spans="1:26" x14ac:dyDescent="0.25">
      <c r="A1224" t="s">
        <v>1545</v>
      </c>
      <c r="C1224" t="s">
        <v>27</v>
      </c>
      <c r="E1224" t="s">
        <v>99</v>
      </c>
      <c r="H1224" s="2">
        <v>44808.634027777778</v>
      </c>
      <c r="I1224" t="s">
        <v>781</v>
      </c>
      <c r="Z1224">
        <v>39499</v>
      </c>
    </row>
    <row r="1225" spans="1:26" x14ac:dyDescent="0.25">
      <c r="A1225" t="s">
        <v>1560</v>
      </c>
      <c r="B1225" t="s">
        <v>26</v>
      </c>
      <c r="C1225" t="s">
        <v>27</v>
      </c>
      <c r="H1225" s="2">
        <v>44808.560416666667</v>
      </c>
      <c r="I1225" t="s">
        <v>202</v>
      </c>
      <c r="Z1225">
        <v>39495</v>
      </c>
    </row>
    <row r="1226" spans="1:26" x14ac:dyDescent="0.25">
      <c r="A1226" t="s">
        <v>1561</v>
      </c>
      <c r="B1226" t="s">
        <v>26</v>
      </c>
      <c r="C1226" t="s">
        <v>27</v>
      </c>
      <c r="H1226" s="2">
        <v>44808.543055555558</v>
      </c>
      <c r="I1226" t="s">
        <v>289</v>
      </c>
      <c r="Z1226">
        <v>39492</v>
      </c>
    </row>
    <row r="1227" spans="1:26" x14ac:dyDescent="0.25">
      <c r="A1227" t="s">
        <v>1562</v>
      </c>
      <c r="B1227" t="s">
        <v>26</v>
      </c>
      <c r="C1227" t="s">
        <v>27</v>
      </c>
      <c r="H1227" s="2">
        <v>44807.390972222223</v>
      </c>
      <c r="I1227" t="s">
        <v>1448</v>
      </c>
      <c r="Z1227">
        <v>39437</v>
      </c>
    </row>
    <row r="1228" spans="1:26" x14ac:dyDescent="0.25">
      <c r="A1228" t="s">
        <v>1451</v>
      </c>
      <c r="B1228" t="s">
        <v>370</v>
      </c>
      <c r="C1228" t="s">
        <v>27</v>
      </c>
      <c r="E1228" t="s">
        <v>1452</v>
      </c>
      <c r="G1228" t="s">
        <v>1453</v>
      </c>
      <c r="H1228" s="2">
        <v>44804.456250000003</v>
      </c>
      <c r="I1228" t="s">
        <v>939</v>
      </c>
      <c r="Z1228">
        <v>39321</v>
      </c>
    </row>
    <row r="1229" spans="1:26" x14ac:dyDescent="0.25">
      <c r="A1229" t="s">
        <v>1337</v>
      </c>
      <c r="B1229" t="s">
        <v>26</v>
      </c>
      <c r="C1229" t="s">
        <v>27</v>
      </c>
      <c r="H1229" s="2">
        <v>44804.424305555556</v>
      </c>
      <c r="I1229" t="s">
        <v>289</v>
      </c>
      <c r="Z1229">
        <v>39317</v>
      </c>
    </row>
    <row r="1230" spans="1:26" x14ac:dyDescent="0.25">
      <c r="A1230" t="s">
        <v>1564</v>
      </c>
      <c r="B1230" t="s">
        <v>26</v>
      </c>
      <c r="C1230" t="s">
        <v>27</v>
      </c>
      <c r="H1230" s="2">
        <v>44804.382638888892</v>
      </c>
      <c r="I1230" t="s">
        <v>1323</v>
      </c>
      <c r="Z1230">
        <v>39310</v>
      </c>
    </row>
    <row r="1231" spans="1:26" x14ac:dyDescent="0.25">
      <c r="A1231" t="s">
        <v>1565</v>
      </c>
      <c r="B1231" t="s">
        <v>43</v>
      </c>
      <c r="C1231" t="s">
        <v>27</v>
      </c>
      <c r="E1231" t="s">
        <v>75</v>
      </c>
      <c r="G1231" t="s">
        <v>1566</v>
      </c>
      <c r="H1231" s="2">
        <v>44803.609027777777</v>
      </c>
      <c r="I1231" t="s">
        <v>1567</v>
      </c>
      <c r="Z1231">
        <v>39274</v>
      </c>
    </row>
    <row r="1232" spans="1:26" x14ac:dyDescent="0.25">
      <c r="A1232" t="s">
        <v>1568</v>
      </c>
      <c r="B1232" t="s">
        <v>26</v>
      </c>
      <c r="C1232" t="s">
        <v>27</v>
      </c>
      <c r="H1232" s="2">
        <v>44801.591666666667</v>
      </c>
      <c r="I1232" t="s">
        <v>476</v>
      </c>
      <c r="Z1232">
        <v>39183</v>
      </c>
    </row>
    <row r="1233" spans="1:26" x14ac:dyDescent="0.25">
      <c r="A1233" t="s">
        <v>1569</v>
      </c>
      <c r="B1233" t="s">
        <v>26</v>
      </c>
      <c r="C1233" t="s">
        <v>27</v>
      </c>
      <c r="H1233" s="2">
        <v>44801.495833333334</v>
      </c>
      <c r="I1233" t="s">
        <v>1448</v>
      </c>
      <c r="Z1233">
        <v>39172</v>
      </c>
    </row>
    <row r="1234" spans="1:26" x14ac:dyDescent="0.25">
      <c r="A1234" t="s">
        <v>1570</v>
      </c>
      <c r="B1234" t="s">
        <v>26</v>
      </c>
      <c r="C1234" t="s">
        <v>27</v>
      </c>
      <c r="H1234" s="2">
        <v>44800.599305555559</v>
      </c>
      <c r="I1234" t="s">
        <v>782</v>
      </c>
      <c r="Z1234">
        <v>39128</v>
      </c>
    </row>
    <row r="1235" spans="1:26" x14ac:dyDescent="0.25">
      <c r="A1235" t="s">
        <v>1526</v>
      </c>
      <c r="B1235" t="s">
        <v>26</v>
      </c>
      <c r="C1235" t="s">
        <v>27</v>
      </c>
      <c r="H1235" s="2">
        <v>44799.703472222223</v>
      </c>
      <c r="I1235" t="s">
        <v>1429</v>
      </c>
      <c r="Z1235">
        <v>39089</v>
      </c>
    </row>
    <row r="1236" spans="1:26" x14ac:dyDescent="0.25">
      <c r="A1236" t="s">
        <v>1571</v>
      </c>
      <c r="B1236" t="s">
        <v>26</v>
      </c>
      <c r="C1236" t="s">
        <v>27</v>
      </c>
      <c r="H1236" s="2">
        <v>44798.734027777777</v>
      </c>
      <c r="I1236" t="s">
        <v>1323</v>
      </c>
      <c r="Z1236">
        <v>39045</v>
      </c>
    </row>
    <row r="1237" spans="1:26" x14ac:dyDescent="0.25">
      <c r="A1237" t="s">
        <v>139</v>
      </c>
      <c r="B1237" t="s">
        <v>1468</v>
      </c>
      <c r="C1237" t="s">
        <v>27</v>
      </c>
      <c r="E1237" t="s">
        <v>525</v>
      </c>
      <c r="H1237" s="2">
        <v>44798.617361111108</v>
      </c>
      <c r="I1237" t="s">
        <v>1567</v>
      </c>
      <c r="K1237" t="s">
        <v>30</v>
      </c>
      <c r="L1237" t="s">
        <v>31</v>
      </c>
      <c r="M1237">
        <v>55887089</v>
      </c>
      <c r="N1237">
        <v>9754619174</v>
      </c>
      <c r="O1237" t="s">
        <v>1572</v>
      </c>
      <c r="Z1237">
        <v>39026</v>
      </c>
    </row>
    <row r="1238" spans="1:26" x14ac:dyDescent="0.25">
      <c r="A1238" t="s">
        <v>1573</v>
      </c>
      <c r="B1238" t="s">
        <v>26</v>
      </c>
      <c r="C1238" t="s">
        <v>27</v>
      </c>
      <c r="H1238" s="2">
        <v>44798.582638888889</v>
      </c>
      <c r="I1238" t="s">
        <v>1429</v>
      </c>
      <c r="Z1238">
        <v>39021</v>
      </c>
    </row>
    <row r="1239" spans="1:26" x14ac:dyDescent="0.25">
      <c r="A1239" t="s">
        <v>1545</v>
      </c>
      <c r="C1239" t="s">
        <v>27</v>
      </c>
      <c r="E1239" t="s">
        <v>41</v>
      </c>
      <c r="H1239" s="2">
        <v>44798.575694444444</v>
      </c>
      <c r="I1239" t="s">
        <v>781</v>
      </c>
      <c r="Z1239">
        <v>39019</v>
      </c>
    </row>
    <row r="1240" spans="1:26" x14ac:dyDescent="0.25">
      <c r="A1240" t="s">
        <v>1574</v>
      </c>
      <c r="B1240" t="s">
        <v>43</v>
      </c>
      <c r="C1240" t="s">
        <v>27</v>
      </c>
      <c r="E1240" t="s">
        <v>65</v>
      </c>
      <c r="G1240" t="s">
        <v>1575</v>
      </c>
      <c r="H1240" s="2">
        <v>44798.499305555553</v>
      </c>
      <c r="I1240" t="s">
        <v>202</v>
      </c>
      <c r="Z1240">
        <v>39006</v>
      </c>
    </row>
    <row r="1241" spans="1:26" x14ac:dyDescent="0.25">
      <c r="A1241" t="s">
        <v>1577</v>
      </c>
      <c r="B1241" t="s">
        <v>26</v>
      </c>
      <c r="C1241" t="s">
        <v>27</v>
      </c>
      <c r="H1241" s="2">
        <v>44798.379166666666</v>
      </c>
      <c r="I1241" t="s">
        <v>1323</v>
      </c>
      <c r="Z1241">
        <v>38994</v>
      </c>
    </row>
    <row r="1242" spans="1:26" x14ac:dyDescent="0.25">
      <c r="A1242" t="s">
        <v>1358</v>
      </c>
      <c r="B1242" t="s">
        <v>26</v>
      </c>
      <c r="C1242" t="s">
        <v>27</v>
      </c>
      <c r="H1242" s="2">
        <v>44797.576388888891</v>
      </c>
      <c r="I1242" t="s">
        <v>289</v>
      </c>
      <c r="Z1242">
        <v>38968</v>
      </c>
    </row>
    <row r="1243" spans="1:26" x14ac:dyDescent="0.25">
      <c r="A1243" t="s">
        <v>1578</v>
      </c>
      <c r="B1243" t="s">
        <v>26</v>
      </c>
      <c r="C1243" t="s">
        <v>27</v>
      </c>
      <c r="H1243" s="2">
        <v>44796.694444444445</v>
      </c>
      <c r="I1243" t="s">
        <v>1429</v>
      </c>
      <c r="Z1243">
        <v>38927</v>
      </c>
    </row>
    <row r="1244" spans="1:26" x14ac:dyDescent="0.25">
      <c r="A1244" t="s">
        <v>1579</v>
      </c>
      <c r="B1244" t="s">
        <v>26</v>
      </c>
      <c r="C1244" t="s">
        <v>27</v>
      </c>
      <c r="H1244" s="2">
        <v>44796.679166666669</v>
      </c>
      <c r="I1244" t="s">
        <v>289</v>
      </c>
      <c r="Z1244">
        <v>38922</v>
      </c>
    </row>
    <row r="1245" spans="1:26" x14ac:dyDescent="0.25">
      <c r="A1245" t="s">
        <v>1580</v>
      </c>
      <c r="B1245" t="s">
        <v>26</v>
      </c>
      <c r="C1245" t="s">
        <v>27</v>
      </c>
      <c r="H1245" s="2">
        <v>44795.591666666667</v>
      </c>
      <c r="I1245" t="s">
        <v>1448</v>
      </c>
      <c r="Z1245">
        <v>38852</v>
      </c>
    </row>
    <row r="1246" spans="1:26" x14ac:dyDescent="0.25">
      <c r="A1246" t="s">
        <v>218</v>
      </c>
      <c r="B1246" t="s">
        <v>43</v>
      </c>
      <c r="C1246" t="s">
        <v>27</v>
      </c>
      <c r="E1246" t="s">
        <v>116</v>
      </c>
      <c r="G1246" t="s">
        <v>1581</v>
      </c>
      <c r="H1246" s="2">
        <v>44794.720833333333</v>
      </c>
      <c r="I1246" t="s">
        <v>202</v>
      </c>
      <c r="Z1246">
        <v>38804</v>
      </c>
    </row>
    <row r="1247" spans="1:26" x14ac:dyDescent="0.25">
      <c r="A1247" t="s">
        <v>1582</v>
      </c>
      <c r="B1247" t="s">
        <v>370</v>
      </c>
      <c r="C1247" t="s">
        <v>27</v>
      </c>
      <c r="E1247" t="s">
        <v>1583</v>
      </c>
      <c r="H1247" s="2">
        <v>44793.461111111108</v>
      </c>
      <c r="I1247" t="s">
        <v>939</v>
      </c>
      <c r="K1247" t="s">
        <v>30</v>
      </c>
      <c r="L1247" t="s">
        <v>31</v>
      </c>
      <c r="M1247">
        <v>55887089</v>
      </c>
      <c r="N1247">
        <v>9754619174</v>
      </c>
      <c r="O1247" t="s">
        <v>1584</v>
      </c>
      <c r="Z1247">
        <v>38733</v>
      </c>
    </row>
    <row r="1248" spans="1:26" x14ac:dyDescent="0.25">
      <c r="A1248" t="s">
        <v>1585</v>
      </c>
      <c r="B1248" t="s">
        <v>26</v>
      </c>
      <c r="C1248" t="s">
        <v>27</v>
      </c>
      <c r="H1248" s="2">
        <v>44792.536805555559</v>
      </c>
      <c r="I1248" t="s">
        <v>1323</v>
      </c>
      <c r="Z1248">
        <v>38687</v>
      </c>
    </row>
    <row r="1249" spans="1:26" x14ac:dyDescent="0.25">
      <c r="A1249" t="s">
        <v>139</v>
      </c>
      <c r="B1249" t="s">
        <v>1468</v>
      </c>
      <c r="C1249" t="s">
        <v>27</v>
      </c>
      <c r="E1249" t="s">
        <v>1586</v>
      </c>
      <c r="H1249" s="2">
        <v>44792.511805555558</v>
      </c>
      <c r="I1249" t="s">
        <v>1429</v>
      </c>
      <c r="K1249" t="s">
        <v>30</v>
      </c>
      <c r="L1249" t="s">
        <v>31</v>
      </c>
      <c r="M1249">
        <v>55887089</v>
      </c>
      <c r="N1249">
        <v>11200651162</v>
      </c>
      <c r="O1249" t="s">
        <v>1587</v>
      </c>
      <c r="Z1249">
        <v>38685</v>
      </c>
    </row>
    <row r="1250" spans="1:26" x14ac:dyDescent="0.25">
      <c r="A1250" t="s">
        <v>1227</v>
      </c>
      <c r="B1250" t="s">
        <v>26</v>
      </c>
      <c r="C1250" t="s">
        <v>27</v>
      </c>
      <c r="H1250" s="2">
        <v>44791.460416666669</v>
      </c>
      <c r="I1250" t="s">
        <v>781</v>
      </c>
      <c r="Z1250">
        <v>38619</v>
      </c>
    </row>
    <row r="1251" spans="1:26" x14ac:dyDescent="0.25">
      <c r="A1251" t="s">
        <v>1588</v>
      </c>
      <c r="B1251" t="s">
        <v>370</v>
      </c>
      <c r="C1251" t="s">
        <v>27</v>
      </c>
      <c r="E1251" t="s">
        <v>59</v>
      </c>
      <c r="H1251" s="2">
        <v>44790.613888888889</v>
      </c>
      <c r="I1251" t="s">
        <v>1567</v>
      </c>
      <c r="K1251" t="s">
        <v>30</v>
      </c>
      <c r="L1251" t="s">
        <v>31</v>
      </c>
      <c r="M1251">
        <v>67131912</v>
      </c>
      <c r="N1251">
        <v>11953101647</v>
      </c>
      <c r="O1251" t="s">
        <v>214</v>
      </c>
      <c r="Z1251">
        <v>38576</v>
      </c>
    </row>
    <row r="1252" spans="1:26" x14ac:dyDescent="0.25">
      <c r="A1252" t="s">
        <v>1589</v>
      </c>
      <c r="B1252" t="s">
        <v>472</v>
      </c>
      <c r="C1252" t="s">
        <v>27</v>
      </c>
      <c r="E1252" t="s">
        <v>1590</v>
      </c>
      <c r="H1252" s="2">
        <v>44790.492361111108</v>
      </c>
      <c r="I1252" t="s">
        <v>1567</v>
      </c>
      <c r="Z1252">
        <v>38561</v>
      </c>
    </row>
    <row r="1253" spans="1:26" x14ac:dyDescent="0.25">
      <c r="A1253" t="s">
        <v>1591</v>
      </c>
      <c r="B1253" t="s">
        <v>26</v>
      </c>
      <c r="C1253" t="s">
        <v>27</v>
      </c>
      <c r="H1253" s="2">
        <v>44790.414583333331</v>
      </c>
      <c r="I1253" t="s">
        <v>1567</v>
      </c>
      <c r="Z1253">
        <v>38551</v>
      </c>
    </row>
    <row r="1254" spans="1:26" x14ac:dyDescent="0.25">
      <c r="A1254" t="s">
        <v>1592</v>
      </c>
      <c r="B1254" t="s">
        <v>26</v>
      </c>
      <c r="C1254" t="s">
        <v>27</v>
      </c>
      <c r="H1254" s="2">
        <v>44789.772222222222</v>
      </c>
      <c r="I1254" t="s">
        <v>289</v>
      </c>
      <c r="Z1254">
        <v>38532</v>
      </c>
    </row>
    <row r="1255" spans="1:26" x14ac:dyDescent="0.25">
      <c r="A1255" t="s">
        <v>823</v>
      </c>
      <c r="B1255" t="s">
        <v>276</v>
      </c>
      <c r="C1255" t="s">
        <v>27</v>
      </c>
      <c r="E1255" t="s">
        <v>41</v>
      </c>
      <c r="H1255" s="2">
        <v>44789.50277777778</v>
      </c>
      <c r="I1255" t="s">
        <v>782</v>
      </c>
      <c r="K1255" t="s">
        <v>30</v>
      </c>
      <c r="L1255" t="s">
        <v>31</v>
      </c>
      <c r="M1255">
        <v>67852485</v>
      </c>
      <c r="N1255">
        <v>11953056757</v>
      </c>
      <c r="O1255" t="s">
        <v>123</v>
      </c>
      <c r="Z1255">
        <v>38493</v>
      </c>
    </row>
    <row r="1256" spans="1:26" x14ac:dyDescent="0.25">
      <c r="A1256" t="s">
        <v>823</v>
      </c>
      <c r="B1256" t="s">
        <v>370</v>
      </c>
      <c r="C1256" t="s">
        <v>27</v>
      </c>
      <c r="E1256" t="s">
        <v>41</v>
      </c>
      <c r="H1256" s="2">
        <v>44789.502083333333</v>
      </c>
      <c r="I1256" t="s">
        <v>939</v>
      </c>
      <c r="K1256" t="s">
        <v>30</v>
      </c>
      <c r="L1256" t="s">
        <v>31</v>
      </c>
      <c r="M1256">
        <v>67852485</v>
      </c>
      <c r="N1256">
        <v>11953056757</v>
      </c>
      <c r="O1256" t="s">
        <v>123</v>
      </c>
      <c r="Z1256">
        <v>38492</v>
      </c>
    </row>
    <row r="1257" spans="1:26" x14ac:dyDescent="0.25">
      <c r="A1257" t="s">
        <v>1593</v>
      </c>
      <c r="B1257" t="s">
        <v>26</v>
      </c>
      <c r="C1257" t="s">
        <v>1320</v>
      </c>
      <c r="H1257" s="2">
        <v>44788.728472222225</v>
      </c>
      <c r="I1257" t="s">
        <v>1448</v>
      </c>
      <c r="Z1257">
        <v>38469</v>
      </c>
    </row>
    <row r="1258" spans="1:26" x14ac:dyDescent="0.25">
      <c r="A1258" t="s">
        <v>1594</v>
      </c>
      <c r="B1258" t="s">
        <v>26</v>
      </c>
      <c r="C1258" t="s">
        <v>27</v>
      </c>
      <c r="H1258" s="2">
        <v>44787.355555555558</v>
      </c>
      <c r="I1258" t="s">
        <v>476</v>
      </c>
      <c r="Z1258">
        <v>38364</v>
      </c>
    </row>
    <row r="1259" spans="1:26" x14ac:dyDescent="0.25">
      <c r="A1259" t="s">
        <v>1595</v>
      </c>
      <c r="B1259" t="s">
        <v>26</v>
      </c>
      <c r="C1259" t="s">
        <v>27</v>
      </c>
      <c r="H1259" s="2">
        <v>44786.583333333336</v>
      </c>
      <c r="I1259" t="s">
        <v>1567</v>
      </c>
      <c r="Z1259">
        <v>38338</v>
      </c>
    </row>
    <row r="1260" spans="1:26" x14ac:dyDescent="0.25">
      <c r="A1260" t="s">
        <v>1596</v>
      </c>
      <c r="B1260" t="s">
        <v>26</v>
      </c>
      <c r="C1260" t="s">
        <v>27</v>
      </c>
      <c r="H1260" s="2">
        <v>44785.631249999999</v>
      </c>
      <c r="I1260" t="s">
        <v>1567</v>
      </c>
      <c r="Z1260">
        <v>38291</v>
      </c>
    </row>
    <row r="1261" spans="1:26" x14ac:dyDescent="0.25">
      <c r="A1261" t="s">
        <v>1597</v>
      </c>
      <c r="B1261" t="s">
        <v>43</v>
      </c>
      <c r="C1261" t="s">
        <v>27</v>
      </c>
      <c r="E1261" t="s">
        <v>692</v>
      </c>
      <c r="G1261" t="s">
        <v>1598</v>
      </c>
      <c r="H1261" s="2">
        <v>44784.729861111111</v>
      </c>
      <c r="I1261" t="s">
        <v>1567</v>
      </c>
      <c r="Z1261">
        <v>38250</v>
      </c>
    </row>
    <row r="1262" spans="1:26" x14ac:dyDescent="0.25">
      <c r="A1262" t="s">
        <v>1599</v>
      </c>
      <c r="B1262" t="s">
        <v>370</v>
      </c>
      <c r="C1262" t="s">
        <v>27</v>
      </c>
      <c r="E1262" t="s">
        <v>1600</v>
      </c>
      <c r="H1262" s="2">
        <v>44784.578472222223</v>
      </c>
      <c r="I1262" t="s">
        <v>1567</v>
      </c>
      <c r="Z1262">
        <v>38238</v>
      </c>
    </row>
    <row r="1263" spans="1:26" x14ac:dyDescent="0.25">
      <c r="A1263" t="s">
        <v>1601</v>
      </c>
      <c r="B1263" t="s">
        <v>26</v>
      </c>
      <c r="C1263" t="s">
        <v>27</v>
      </c>
      <c r="H1263" s="2">
        <v>44784.55</v>
      </c>
      <c r="I1263" t="s">
        <v>1567</v>
      </c>
      <c r="Z1263">
        <v>38230</v>
      </c>
    </row>
    <row r="1264" spans="1:26" x14ac:dyDescent="0.25">
      <c r="A1264" t="s">
        <v>1602</v>
      </c>
      <c r="B1264" t="s">
        <v>26</v>
      </c>
      <c r="C1264" t="s">
        <v>27</v>
      </c>
      <c r="H1264" s="2">
        <v>44784.476388888892</v>
      </c>
      <c r="I1264" t="s">
        <v>289</v>
      </c>
      <c r="Z1264">
        <v>38216</v>
      </c>
    </row>
    <row r="1265" spans="1:26" x14ac:dyDescent="0.25">
      <c r="A1265" t="s">
        <v>1603</v>
      </c>
      <c r="B1265" t="s">
        <v>26</v>
      </c>
      <c r="C1265" t="s">
        <v>27</v>
      </c>
      <c r="H1265" s="2">
        <v>44784.420138888891</v>
      </c>
      <c r="I1265" t="s">
        <v>1448</v>
      </c>
      <c r="Z1265">
        <v>38208</v>
      </c>
    </row>
    <row r="1266" spans="1:26" x14ac:dyDescent="0.25">
      <c r="A1266" t="s">
        <v>1604</v>
      </c>
      <c r="B1266" t="s">
        <v>26</v>
      </c>
      <c r="C1266" t="s">
        <v>27</v>
      </c>
      <c r="H1266" s="2">
        <v>44782.575694444444</v>
      </c>
      <c r="I1266" t="s">
        <v>476</v>
      </c>
      <c r="Z1266">
        <v>38115</v>
      </c>
    </row>
    <row r="1267" spans="1:26" x14ac:dyDescent="0.25">
      <c r="A1267" t="s">
        <v>1605</v>
      </c>
      <c r="B1267" t="s">
        <v>43</v>
      </c>
      <c r="C1267" t="s">
        <v>27</v>
      </c>
      <c r="E1267" t="s">
        <v>40</v>
      </c>
      <c r="G1267" t="s">
        <v>1606</v>
      </c>
      <c r="H1267" s="2">
        <v>44779.715277777781</v>
      </c>
      <c r="I1267" t="s">
        <v>1567</v>
      </c>
      <c r="Z1267">
        <v>37959</v>
      </c>
    </row>
    <row r="1268" spans="1:26" x14ac:dyDescent="0.25">
      <c r="A1268" t="s">
        <v>1466</v>
      </c>
      <c r="B1268" t="s">
        <v>26</v>
      </c>
      <c r="C1268" t="s">
        <v>27</v>
      </c>
      <c r="H1268" s="2">
        <v>44778.837500000001</v>
      </c>
      <c r="I1268" t="s">
        <v>1567</v>
      </c>
      <c r="Z1268">
        <v>37931</v>
      </c>
    </row>
    <row r="1269" spans="1:26" x14ac:dyDescent="0.25">
      <c r="A1269" t="s">
        <v>1607</v>
      </c>
      <c r="B1269" t="s">
        <v>472</v>
      </c>
      <c r="C1269" t="s">
        <v>27</v>
      </c>
      <c r="E1269" t="s">
        <v>116</v>
      </c>
      <c r="G1269" t="s">
        <v>1575</v>
      </c>
      <c r="H1269" s="2">
        <v>44777.577777777777</v>
      </c>
      <c r="I1269" t="s">
        <v>202</v>
      </c>
      <c r="Z1269">
        <v>37837</v>
      </c>
    </row>
    <row r="1270" spans="1:26" x14ac:dyDescent="0.25">
      <c r="A1270" t="s">
        <v>1608</v>
      </c>
      <c r="B1270" t="s">
        <v>26</v>
      </c>
      <c r="C1270" t="s">
        <v>27</v>
      </c>
      <c r="H1270" s="2">
        <v>44777.378472222219</v>
      </c>
      <c r="I1270" t="s">
        <v>1323</v>
      </c>
      <c r="Z1270">
        <v>37811</v>
      </c>
    </row>
    <row r="1271" spans="1:26" x14ac:dyDescent="0.25">
      <c r="A1271" t="s">
        <v>1609</v>
      </c>
      <c r="B1271" t="s">
        <v>26</v>
      </c>
      <c r="C1271" t="s">
        <v>27</v>
      </c>
      <c r="H1271" s="2">
        <v>44776.529861111114</v>
      </c>
      <c r="I1271" t="s">
        <v>781</v>
      </c>
      <c r="Z1271">
        <v>37770</v>
      </c>
    </row>
    <row r="1272" spans="1:26" x14ac:dyDescent="0.25">
      <c r="A1272" t="s">
        <v>1610</v>
      </c>
      <c r="B1272" t="s">
        <v>26</v>
      </c>
      <c r="C1272" t="s">
        <v>27</v>
      </c>
      <c r="H1272" s="2">
        <v>44775.409722222219</v>
      </c>
      <c r="I1272" t="s">
        <v>1323</v>
      </c>
      <c r="Z1272">
        <v>37691</v>
      </c>
    </row>
    <row r="1273" spans="1:26" x14ac:dyDescent="0.25">
      <c r="A1273" t="s">
        <v>1611</v>
      </c>
      <c r="B1273" t="s">
        <v>370</v>
      </c>
      <c r="C1273" t="s">
        <v>27</v>
      </c>
      <c r="E1273" t="s">
        <v>674</v>
      </c>
      <c r="H1273" s="2">
        <v>44773.738194444442</v>
      </c>
      <c r="I1273" t="s">
        <v>1567</v>
      </c>
      <c r="K1273" t="s">
        <v>30</v>
      </c>
      <c r="L1273" t="s">
        <v>31</v>
      </c>
      <c r="M1273">
        <v>66964239</v>
      </c>
      <c r="N1273">
        <v>12403661575</v>
      </c>
      <c r="O1273" t="s">
        <v>1612</v>
      </c>
      <c r="Z1273">
        <v>37608</v>
      </c>
    </row>
    <row r="1274" spans="1:26" x14ac:dyDescent="0.25">
      <c r="A1274" t="s">
        <v>1614</v>
      </c>
      <c r="B1274" t="s">
        <v>26</v>
      </c>
      <c r="C1274" t="s">
        <v>27</v>
      </c>
      <c r="H1274" s="2">
        <v>44772.705555555556</v>
      </c>
      <c r="I1274" t="s">
        <v>1448</v>
      </c>
      <c r="Z1274">
        <v>37558</v>
      </c>
    </row>
    <row r="1275" spans="1:26" x14ac:dyDescent="0.25">
      <c r="A1275" t="s">
        <v>1615</v>
      </c>
      <c r="B1275" t="s">
        <v>276</v>
      </c>
      <c r="C1275" t="s">
        <v>27</v>
      </c>
      <c r="E1275" t="s">
        <v>1616</v>
      </c>
      <c r="H1275" s="2">
        <v>44771.743055555555</v>
      </c>
      <c r="I1275" t="s">
        <v>781</v>
      </c>
      <c r="Z1275">
        <v>37517</v>
      </c>
    </row>
    <row r="1276" spans="1:26" x14ac:dyDescent="0.25">
      <c r="A1276" t="s">
        <v>1618</v>
      </c>
      <c r="B1276" t="s">
        <v>26</v>
      </c>
      <c r="C1276" t="s">
        <v>27</v>
      </c>
      <c r="H1276" s="2">
        <v>44770.81527777778</v>
      </c>
      <c r="I1276" t="s">
        <v>781</v>
      </c>
      <c r="Z1276">
        <v>37469</v>
      </c>
    </row>
    <row r="1277" spans="1:26" x14ac:dyDescent="0.25">
      <c r="A1277" t="s">
        <v>1619</v>
      </c>
      <c r="B1277" t="s">
        <v>26</v>
      </c>
      <c r="C1277" t="s">
        <v>27</v>
      </c>
      <c r="H1277" s="2">
        <v>44770.556250000001</v>
      </c>
      <c r="I1277" t="s">
        <v>1429</v>
      </c>
      <c r="Z1277">
        <v>37442</v>
      </c>
    </row>
    <row r="1278" spans="1:26" x14ac:dyDescent="0.25">
      <c r="A1278" t="s">
        <v>1620</v>
      </c>
      <c r="B1278" t="s">
        <v>26</v>
      </c>
      <c r="C1278" t="s">
        <v>27</v>
      </c>
      <c r="H1278" s="2">
        <v>44769.574999999997</v>
      </c>
      <c r="I1278" t="s">
        <v>1617</v>
      </c>
      <c r="Z1278">
        <v>37390</v>
      </c>
    </row>
    <row r="1279" spans="1:26" x14ac:dyDescent="0.25">
      <c r="A1279" t="s">
        <v>1621</v>
      </c>
      <c r="B1279" t="s">
        <v>43</v>
      </c>
      <c r="C1279" t="s">
        <v>27</v>
      </c>
      <c r="E1279" t="s">
        <v>169</v>
      </c>
      <c r="G1279" t="s">
        <v>1622</v>
      </c>
      <c r="H1279" s="2">
        <v>44768.626388888886</v>
      </c>
      <c r="I1279" t="s">
        <v>1429</v>
      </c>
      <c r="Z1279">
        <v>37328</v>
      </c>
    </row>
    <row r="1280" spans="1:26" x14ac:dyDescent="0.25">
      <c r="A1280" t="s">
        <v>1625</v>
      </c>
      <c r="B1280" t="s">
        <v>276</v>
      </c>
      <c r="C1280" t="s">
        <v>27</v>
      </c>
      <c r="E1280" t="s">
        <v>1626</v>
      </c>
      <c r="G1280" t="s">
        <v>1627</v>
      </c>
      <c r="H1280" s="2">
        <v>44766.807638888888</v>
      </c>
      <c r="I1280" t="s">
        <v>1567</v>
      </c>
      <c r="K1280" t="s">
        <v>30</v>
      </c>
      <c r="L1280" t="s">
        <v>31</v>
      </c>
      <c r="M1280">
        <v>67131912</v>
      </c>
      <c r="N1280">
        <v>11953101644</v>
      </c>
      <c r="O1280" t="s">
        <v>1211</v>
      </c>
      <c r="Z1280">
        <v>37238</v>
      </c>
    </row>
    <row r="1281" spans="1:26" x14ac:dyDescent="0.25">
      <c r="A1281" t="s">
        <v>1623</v>
      </c>
      <c r="B1281" t="s">
        <v>472</v>
      </c>
      <c r="C1281" t="s">
        <v>27</v>
      </c>
      <c r="E1281" t="s">
        <v>1624</v>
      </c>
      <c r="H1281" s="2">
        <v>44766.695833333331</v>
      </c>
      <c r="I1281" t="s">
        <v>1567</v>
      </c>
      <c r="Z1281">
        <v>37233</v>
      </c>
    </row>
    <row r="1282" spans="1:26" x14ac:dyDescent="0.25">
      <c r="A1282" t="s">
        <v>1628</v>
      </c>
      <c r="B1282" t="s">
        <v>26</v>
      </c>
      <c r="C1282" t="s">
        <v>27</v>
      </c>
      <c r="H1282" s="2">
        <v>44766.573611111111</v>
      </c>
      <c r="I1282" t="s">
        <v>782</v>
      </c>
      <c r="Z1282">
        <v>37213</v>
      </c>
    </row>
    <row r="1283" spans="1:26" x14ac:dyDescent="0.25">
      <c r="A1283" t="s">
        <v>1629</v>
      </c>
      <c r="B1283" t="s">
        <v>370</v>
      </c>
      <c r="C1283" t="s">
        <v>27</v>
      </c>
      <c r="E1283" t="s">
        <v>398</v>
      </c>
      <c r="G1283" t="s">
        <v>116</v>
      </c>
      <c r="H1283" s="2">
        <v>44766.45416666667</v>
      </c>
      <c r="I1283" t="s">
        <v>1567</v>
      </c>
      <c r="K1283" t="s">
        <v>30</v>
      </c>
      <c r="L1283" t="s">
        <v>31</v>
      </c>
      <c r="M1283">
        <v>67131912</v>
      </c>
      <c r="N1283">
        <v>11953101650</v>
      </c>
      <c r="O1283" t="s">
        <v>1092</v>
      </c>
      <c r="Z1283">
        <v>37203</v>
      </c>
    </row>
    <row r="1284" spans="1:26" x14ac:dyDescent="0.25">
      <c r="A1284" t="s">
        <v>1630</v>
      </c>
      <c r="B1284" t="s">
        <v>26</v>
      </c>
      <c r="C1284" t="s">
        <v>27</v>
      </c>
      <c r="H1284" s="2">
        <v>44763.650694444441</v>
      </c>
      <c r="I1284" t="s">
        <v>1429</v>
      </c>
      <c r="Z1284">
        <v>37092</v>
      </c>
    </row>
    <row r="1285" spans="1:26" x14ac:dyDescent="0.25">
      <c r="A1285" t="s">
        <v>1632</v>
      </c>
      <c r="B1285" t="s">
        <v>26</v>
      </c>
      <c r="C1285" t="s">
        <v>27</v>
      </c>
      <c r="H1285" s="2">
        <v>44762.77847222222</v>
      </c>
      <c r="I1285" t="s">
        <v>1631</v>
      </c>
      <c r="Z1285">
        <v>37057</v>
      </c>
    </row>
    <row r="1286" spans="1:26" x14ac:dyDescent="0.25">
      <c r="A1286" t="s">
        <v>1633</v>
      </c>
      <c r="B1286" t="s">
        <v>370</v>
      </c>
      <c r="C1286" t="s">
        <v>27</v>
      </c>
      <c r="E1286" t="s">
        <v>159</v>
      </c>
      <c r="H1286" s="2">
        <v>44761.765972222223</v>
      </c>
      <c r="I1286" t="s">
        <v>1567</v>
      </c>
      <c r="Z1286">
        <v>37013</v>
      </c>
    </row>
    <row r="1287" spans="1:26" x14ac:dyDescent="0.25">
      <c r="A1287" t="s">
        <v>1634</v>
      </c>
      <c r="B1287" t="s">
        <v>26</v>
      </c>
      <c r="C1287" t="s">
        <v>27</v>
      </c>
      <c r="H1287" s="2">
        <v>44761.695833333331</v>
      </c>
      <c r="I1287" t="s">
        <v>1448</v>
      </c>
      <c r="Z1287">
        <v>37009</v>
      </c>
    </row>
    <row r="1288" spans="1:26" x14ac:dyDescent="0.25">
      <c r="A1288" t="s">
        <v>1635</v>
      </c>
      <c r="B1288" t="s">
        <v>26</v>
      </c>
      <c r="C1288" t="s">
        <v>27</v>
      </c>
      <c r="H1288" s="2">
        <v>44760.563194444447</v>
      </c>
      <c r="I1288" t="s">
        <v>1429</v>
      </c>
      <c r="Z1288">
        <v>36935</v>
      </c>
    </row>
    <row r="1289" spans="1:26" x14ac:dyDescent="0.25">
      <c r="A1289" t="s">
        <v>1636</v>
      </c>
      <c r="B1289" t="s">
        <v>26</v>
      </c>
      <c r="C1289" t="s">
        <v>27</v>
      </c>
      <c r="H1289" s="2">
        <v>44760.4</v>
      </c>
      <c r="I1289" t="s">
        <v>1429</v>
      </c>
      <c r="Z1289">
        <v>36900</v>
      </c>
    </row>
    <row r="1290" spans="1:26" x14ac:dyDescent="0.25">
      <c r="A1290" t="s">
        <v>1637</v>
      </c>
      <c r="B1290" t="s">
        <v>26</v>
      </c>
      <c r="C1290" t="s">
        <v>27</v>
      </c>
      <c r="H1290" s="2">
        <v>44758.4375</v>
      </c>
      <c r="I1290" t="s">
        <v>1638</v>
      </c>
      <c r="Z1290">
        <v>36812</v>
      </c>
    </row>
    <row r="1291" spans="1:26" x14ac:dyDescent="0.25">
      <c r="A1291" t="s">
        <v>1428</v>
      </c>
      <c r="B1291" t="s">
        <v>43</v>
      </c>
      <c r="C1291" t="s">
        <v>27</v>
      </c>
      <c r="E1291" t="s">
        <v>169</v>
      </c>
      <c r="G1291" t="s">
        <v>1622</v>
      </c>
      <c r="H1291" s="2">
        <v>44757.578472222223</v>
      </c>
      <c r="I1291" t="s">
        <v>1245</v>
      </c>
      <c r="Z1291">
        <v>36780</v>
      </c>
    </row>
    <row r="1292" spans="1:26" x14ac:dyDescent="0.25">
      <c r="A1292" t="s">
        <v>1639</v>
      </c>
      <c r="B1292" t="s">
        <v>472</v>
      </c>
      <c r="C1292" t="s">
        <v>27</v>
      </c>
      <c r="E1292" t="s">
        <v>1640</v>
      </c>
      <c r="H1292" s="2">
        <v>44755.756249999999</v>
      </c>
      <c r="I1292" t="s">
        <v>1567</v>
      </c>
      <c r="Z1292">
        <v>36723</v>
      </c>
    </row>
    <row r="1293" spans="1:26" x14ac:dyDescent="0.25">
      <c r="A1293" t="s">
        <v>1641</v>
      </c>
      <c r="B1293" t="s">
        <v>43</v>
      </c>
      <c r="C1293" t="s">
        <v>27</v>
      </c>
      <c r="E1293" t="s">
        <v>1642</v>
      </c>
      <c r="G1293" t="s">
        <v>1643</v>
      </c>
      <c r="H1293" s="2">
        <v>44754.752083333333</v>
      </c>
      <c r="I1293" t="s">
        <v>782</v>
      </c>
      <c r="Z1293">
        <v>36653</v>
      </c>
    </row>
    <row r="1294" spans="1:26" x14ac:dyDescent="0.25">
      <c r="A1294" t="s">
        <v>1333</v>
      </c>
      <c r="B1294" t="s">
        <v>26</v>
      </c>
      <c r="C1294" t="s">
        <v>27</v>
      </c>
      <c r="E1294" t="s">
        <v>1644</v>
      </c>
      <c r="H1294" s="2">
        <v>44754.646527777775</v>
      </c>
      <c r="I1294" t="s">
        <v>1567</v>
      </c>
      <c r="Z1294">
        <v>36642</v>
      </c>
    </row>
    <row r="1295" spans="1:26" x14ac:dyDescent="0.25">
      <c r="A1295" t="s">
        <v>129</v>
      </c>
      <c r="C1295" t="s">
        <v>27</v>
      </c>
      <c r="E1295" t="s">
        <v>74</v>
      </c>
      <c r="H1295" s="2">
        <v>44752.745138888888</v>
      </c>
      <c r="I1295" t="s">
        <v>1448</v>
      </c>
      <c r="Z1295">
        <v>36547</v>
      </c>
    </row>
    <row r="1296" spans="1:26" x14ac:dyDescent="0.25">
      <c r="A1296" t="s">
        <v>1645</v>
      </c>
      <c r="B1296" t="s">
        <v>26</v>
      </c>
      <c r="C1296" t="s">
        <v>27</v>
      </c>
      <c r="H1296" s="2">
        <v>44748.598611111112</v>
      </c>
      <c r="I1296" t="s">
        <v>1638</v>
      </c>
      <c r="Z1296">
        <v>36353</v>
      </c>
    </row>
    <row r="1297" spans="1:26" x14ac:dyDescent="0.25">
      <c r="A1297" t="s">
        <v>1646</v>
      </c>
      <c r="B1297" t="s">
        <v>26</v>
      </c>
      <c r="C1297" t="s">
        <v>27</v>
      </c>
      <c r="H1297" s="2">
        <v>44748.595833333333</v>
      </c>
      <c r="I1297" t="s">
        <v>782</v>
      </c>
      <c r="Z1297">
        <v>36352</v>
      </c>
    </row>
    <row r="1298" spans="1:26" x14ac:dyDescent="0.25">
      <c r="A1298" t="s">
        <v>1419</v>
      </c>
      <c r="B1298" t="s">
        <v>26</v>
      </c>
      <c r="C1298" t="s">
        <v>27</v>
      </c>
      <c r="H1298" s="2">
        <v>44746.651388888888</v>
      </c>
      <c r="I1298" t="s">
        <v>1448</v>
      </c>
      <c r="Z1298">
        <v>36260</v>
      </c>
    </row>
    <row r="1299" spans="1:26" x14ac:dyDescent="0.25">
      <c r="A1299" t="s">
        <v>1647</v>
      </c>
      <c r="B1299" t="s">
        <v>26</v>
      </c>
      <c r="C1299" t="s">
        <v>27</v>
      </c>
      <c r="H1299" s="2">
        <v>44743.550694444442</v>
      </c>
      <c r="I1299" t="s">
        <v>782</v>
      </c>
      <c r="Z1299">
        <v>36110</v>
      </c>
    </row>
    <row r="1300" spans="1:26" x14ac:dyDescent="0.25">
      <c r="A1300" t="s">
        <v>1648</v>
      </c>
      <c r="B1300" t="s">
        <v>43</v>
      </c>
      <c r="C1300" t="s">
        <v>27</v>
      </c>
      <c r="E1300" t="s">
        <v>601</v>
      </c>
      <c r="G1300" t="s">
        <v>1649</v>
      </c>
      <c r="H1300" s="2">
        <v>44743.393055555556</v>
      </c>
      <c r="I1300" t="s">
        <v>782</v>
      </c>
      <c r="Z1300">
        <v>36095</v>
      </c>
    </row>
    <row r="1301" spans="1:26" x14ac:dyDescent="0.25">
      <c r="A1301" t="s">
        <v>1563</v>
      </c>
      <c r="C1301" t="s">
        <v>27</v>
      </c>
      <c r="E1301" t="s">
        <v>83</v>
      </c>
      <c r="H1301" s="2">
        <v>44742.77847222222</v>
      </c>
      <c r="I1301" t="s">
        <v>1638</v>
      </c>
      <c r="Z1301">
        <v>36085</v>
      </c>
    </row>
    <row r="1302" spans="1:26" x14ac:dyDescent="0.25">
      <c r="A1302" t="s">
        <v>1650</v>
      </c>
      <c r="B1302" t="s">
        <v>26</v>
      </c>
      <c r="C1302" t="s">
        <v>27</v>
      </c>
      <c r="H1302" s="2">
        <v>44739.623611111114</v>
      </c>
      <c r="I1302" t="s">
        <v>782</v>
      </c>
      <c r="Z1302">
        <v>35928</v>
      </c>
    </row>
    <row r="1303" spans="1:26" x14ac:dyDescent="0.25">
      <c r="A1303" t="s">
        <v>1651</v>
      </c>
      <c r="B1303" t="s">
        <v>26</v>
      </c>
      <c r="C1303" t="s">
        <v>27</v>
      </c>
      <c r="H1303" s="2">
        <v>44738.515277777777</v>
      </c>
      <c r="I1303" t="s">
        <v>1567</v>
      </c>
      <c r="Z1303">
        <v>35876</v>
      </c>
    </row>
    <row r="1304" spans="1:26" x14ac:dyDescent="0.25">
      <c r="A1304" t="s">
        <v>1652</v>
      </c>
      <c r="B1304" t="s">
        <v>472</v>
      </c>
      <c r="C1304" t="s">
        <v>27</v>
      </c>
      <c r="E1304" t="s">
        <v>1653</v>
      </c>
      <c r="H1304" s="2">
        <v>44738.510416666664</v>
      </c>
      <c r="I1304" t="s">
        <v>1567</v>
      </c>
      <c r="Z1304">
        <v>35874</v>
      </c>
    </row>
    <row r="1305" spans="1:26" x14ac:dyDescent="0.25">
      <c r="A1305" t="s">
        <v>1654</v>
      </c>
      <c r="B1305" t="s">
        <v>26</v>
      </c>
      <c r="C1305" t="s">
        <v>27</v>
      </c>
      <c r="H1305" s="2">
        <v>44737.525694444441</v>
      </c>
      <c r="I1305" t="s">
        <v>1567</v>
      </c>
      <c r="Z1305">
        <v>35833</v>
      </c>
    </row>
    <row r="1306" spans="1:26" x14ac:dyDescent="0.25">
      <c r="A1306" t="s">
        <v>1655</v>
      </c>
      <c r="B1306" t="s">
        <v>43</v>
      </c>
      <c r="C1306" t="s">
        <v>27</v>
      </c>
      <c r="E1306" t="s">
        <v>81</v>
      </c>
      <c r="G1306" t="s">
        <v>1656</v>
      </c>
      <c r="H1306" s="2">
        <v>44733.890972222223</v>
      </c>
      <c r="I1306" t="s">
        <v>1617</v>
      </c>
      <c r="K1306" t="s">
        <v>30</v>
      </c>
      <c r="L1306" t="s">
        <v>31</v>
      </c>
      <c r="M1306">
        <v>55887089</v>
      </c>
      <c r="N1306">
        <v>11200651160</v>
      </c>
      <c r="O1306" t="s">
        <v>1428</v>
      </c>
      <c r="Z1306">
        <v>35693</v>
      </c>
    </row>
    <row r="1307" spans="1:26" x14ac:dyDescent="0.25">
      <c r="A1307" t="s">
        <v>1563</v>
      </c>
      <c r="C1307" t="s">
        <v>27</v>
      </c>
      <c r="E1307" t="s">
        <v>1221</v>
      </c>
      <c r="H1307" s="2">
        <v>44733.817361111112</v>
      </c>
      <c r="I1307" t="s">
        <v>1617</v>
      </c>
      <c r="Z1307">
        <v>35690</v>
      </c>
    </row>
    <row r="1308" spans="1:26" x14ac:dyDescent="0.25">
      <c r="A1308" t="s">
        <v>1657</v>
      </c>
      <c r="B1308" t="s">
        <v>26</v>
      </c>
      <c r="C1308" t="s">
        <v>27</v>
      </c>
      <c r="H1308" s="2">
        <v>44731.780555555553</v>
      </c>
      <c r="I1308" t="s">
        <v>1567</v>
      </c>
      <c r="Z1308">
        <v>35612</v>
      </c>
    </row>
    <row r="1309" spans="1:26" x14ac:dyDescent="0.25">
      <c r="A1309" t="s">
        <v>1633</v>
      </c>
      <c r="B1309" t="s">
        <v>370</v>
      </c>
      <c r="C1309" t="s">
        <v>27</v>
      </c>
      <c r="E1309" t="s">
        <v>159</v>
      </c>
      <c r="H1309" s="2">
        <v>44730.969444444447</v>
      </c>
      <c r="I1309" t="s">
        <v>1567</v>
      </c>
      <c r="K1309" t="s">
        <v>30</v>
      </c>
      <c r="L1309" t="s">
        <v>31</v>
      </c>
      <c r="M1309">
        <v>67131912</v>
      </c>
      <c r="N1309">
        <v>11953101646</v>
      </c>
      <c r="O1309" t="s">
        <v>1257</v>
      </c>
      <c r="Z1309">
        <v>35573</v>
      </c>
    </row>
    <row r="1310" spans="1:26" x14ac:dyDescent="0.25">
      <c r="A1310" t="s">
        <v>1658</v>
      </c>
      <c r="B1310" t="s">
        <v>26</v>
      </c>
      <c r="C1310" t="s">
        <v>27</v>
      </c>
      <c r="H1310" s="2">
        <v>44730.481944444444</v>
      </c>
      <c r="I1310" t="s">
        <v>781</v>
      </c>
      <c r="Z1310">
        <v>35536</v>
      </c>
    </row>
    <row r="1311" spans="1:26" x14ac:dyDescent="0.25">
      <c r="A1311" t="s">
        <v>1659</v>
      </c>
      <c r="B1311" t="s">
        <v>26</v>
      </c>
      <c r="C1311" t="s">
        <v>27</v>
      </c>
      <c r="H1311" s="2">
        <v>44729.484027777777</v>
      </c>
      <c r="I1311" t="s">
        <v>1429</v>
      </c>
      <c r="Z1311">
        <v>35498</v>
      </c>
    </row>
    <row r="1312" spans="1:26" x14ac:dyDescent="0.25">
      <c r="A1312" t="s">
        <v>1660</v>
      </c>
      <c r="B1312" t="s">
        <v>541</v>
      </c>
      <c r="C1312" t="s">
        <v>27</v>
      </c>
      <c r="E1312" t="s">
        <v>1661</v>
      </c>
      <c r="H1312" s="2">
        <v>44729.47152777778</v>
      </c>
      <c r="I1312" t="s">
        <v>1617</v>
      </c>
      <c r="K1312" t="s">
        <v>30</v>
      </c>
      <c r="L1312" t="s">
        <v>31</v>
      </c>
      <c r="M1312">
        <v>67131912</v>
      </c>
      <c r="N1312">
        <v>11953101644</v>
      </c>
      <c r="O1312" t="s">
        <v>1662</v>
      </c>
      <c r="Z1312">
        <v>35497</v>
      </c>
    </row>
    <row r="1313" spans="1:26" x14ac:dyDescent="0.25">
      <c r="A1313" t="s">
        <v>1663</v>
      </c>
      <c r="B1313" t="s">
        <v>26</v>
      </c>
      <c r="C1313" t="s">
        <v>27</v>
      </c>
      <c r="H1313" s="2">
        <v>44729.421527777777</v>
      </c>
      <c r="I1313" t="s">
        <v>781</v>
      </c>
      <c r="Z1313">
        <v>35489</v>
      </c>
    </row>
    <row r="1314" spans="1:26" x14ac:dyDescent="0.25">
      <c r="A1314" t="s">
        <v>1664</v>
      </c>
      <c r="B1314" t="s">
        <v>26</v>
      </c>
      <c r="C1314" t="s">
        <v>27</v>
      </c>
      <c r="H1314" s="2">
        <v>44728.727083333331</v>
      </c>
      <c r="I1314" t="s">
        <v>781</v>
      </c>
      <c r="Z1314">
        <v>35474</v>
      </c>
    </row>
    <row r="1315" spans="1:26" x14ac:dyDescent="0.25">
      <c r="A1315" t="s">
        <v>1665</v>
      </c>
      <c r="B1315" t="s">
        <v>26</v>
      </c>
      <c r="C1315" t="s">
        <v>27</v>
      </c>
      <c r="H1315" s="2">
        <v>44728.572222222225</v>
      </c>
      <c r="I1315" t="s">
        <v>781</v>
      </c>
      <c r="Z1315">
        <v>35459</v>
      </c>
    </row>
    <row r="1316" spans="1:26" x14ac:dyDescent="0.25">
      <c r="A1316" t="s">
        <v>1666</v>
      </c>
      <c r="B1316" t="s">
        <v>26</v>
      </c>
      <c r="C1316" t="s">
        <v>27</v>
      </c>
      <c r="H1316" s="2">
        <v>44728.47152777778</v>
      </c>
      <c r="I1316" t="s">
        <v>1617</v>
      </c>
      <c r="Z1316">
        <v>35445</v>
      </c>
    </row>
    <row r="1317" spans="1:26" x14ac:dyDescent="0.25">
      <c r="A1317" t="s">
        <v>1667</v>
      </c>
      <c r="B1317" t="s">
        <v>26</v>
      </c>
      <c r="C1317" t="s">
        <v>27</v>
      </c>
      <c r="H1317" s="2">
        <v>44726.761805555558</v>
      </c>
      <c r="I1317" t="s">
        <v>782</v>
      </c>
      <c r="Z1317">
        <v>35355</v>
      </c>
    </row>
    <row r="1318" spans="1:26" x14ac:dyDescent="0.25">
      <c r="A1318" t="s">
        <v>129</v>
      </c>
      <c r="C1318" t="s">
        <v>27</v>
      </c>
      <c r="E1318" t="s">
        <v>404</v>
      </c>
      <c r="H1318" s="2">
        <v>44726.501388888886</v>
      </c>
      <c r="I1318" t="s">
        <v>1638</v>
      </c>
      <c r="Z1318">
        <v>35329</v>
      </c>
    </row>
    <row r="1319" spans="1:26" x14ac:dyDescent="0.25">
      <c r="A1319" t="s">
        <v>1668</v>
      </c>
      <c r="B1319" t="s">
        <v>93</v>
      </c>
      <c r="C1319" t="s">
        <v>27</v>
      </c>
      <c r="E1319" t="s">
        <v>1669</v>
      </c>
      <c r="G1319" t="s">
        <v>1670</v>
      </c>
      <c r="H1319" s="2">
        <v>44722.927777777775</v>
      </c>
      <c r="I1319" t="s">
        <v>1448</v>
      </c>
      <c r="K1319" t="s">
        <v>30</v>
      </c>
      <c r="L1319" t="s">
        <v>31</v>
      </c>
      <c r="M1319">
        <v>67131912</v>
      </c>
      <c r="N1319">
        <v>11953101696</v>
      </c>
      <c r="O1319" t="s">
        <v>123</v>
      </c>
      <c r="Z1319">
        <v>35155</v>
      </c>
    </row>
    <row r="1320" spans="1:26" x14ac:dyDescent="0.25">
      <c r="A1320" t="s">
        <v>1671</v>
      </c>
      <c r="B1320" t="s">
        <v>370</v>
      </c>
      <c r="C1320" t="s">
        <v>27</v>
      </c>
      <c r="E1320" t="s">
        <v>143</v>
      </c>
      <c r="H1320" s="2">
        <v>44722.845833333333</v>
      </c>
      <c r="I1320" t="s">
        <v>1567</v>
      </c>
      <c r="Z1320">
        <v>35153</v>
      </c>
    </row>
    <row r="1321" spans="1:26" x14ac:dyDescent="0.25">
      <c r="A1321" t="s">
        <v>1672</v>
      </c>
      <c r="B1321" t="s">
        <v>26</v>
      </c>
      <c r="C1321" t="s">
        <v>27</v>
      </c>
      <c r="H1321" s="2">
        <v>44721.686111111114</v>
      </c>
      <c r="I1321" t="s">
        <v>1638</v>
      </c>
      <c r="Z1321">
        <v>35080</v>
      </c>
    </row>
    <row r="1322" spans="1:26" x14ac:dyDescent="0.25">
      <c r="A1322" t="s">
        <v>1673</v>
      </c>
      <c r="B1322" t="s">
        <v>26</v>
      </c>
      <c r="C1322" t="s">
        <v>27</v>
      </c>
      <c r="H1322" s="2">
        <v>44720.588888888888</v>
      </c>
      <c r="I1322" t="s">
        <v>1567</v>
      </c>
      <c r="Z1322">
        <v>35022</v>
      </c>
    </row>
    <row r="1323" spans="1:26" x14ac:dyDescent="0.25">
      <c r="A1323" t="s">
        <v>1674</v>
      </c>
      <c r="B1323" t="s">
        <v>26</v>
      </c>
      <c r="C1323" t="s">
        <v>27</v>
      </c>
      <c r="H1323" s="2">
        <v>44720.445138888892</v>
      </c>
      <c r="I1323" t="s">
        <v>1638</v>
      </c>
      <c r="Z1323">
        <v>35005</v>
      </c>
    </row>
    <row r="1324" spans="1:26" x14ac:dyDescent="0.25">
      <c r="A1324" t="s">
        <v>1675</v>
      </c>
      <c r="B1324" t="s">
        <v>26</v>
      </c>
      <c r="C1324" t="s">
        <v>27</v>
      </c>
      <c r="H1324" s="2">
        <v>44719.59097222222</v>
      </c>
      <c r="I1324" t="s">
        <v>289</v>
      </c>
      <c r="Z1324">
        <v>34965</v>
      </c>
    </row>
    <row r="1325" spans="1:26" x14ac:dyDescent="0.25">
      <c r="A1325" t="s">
        <v>1676</v>
      </c>
      <c r="B1325" t="s">
        <v>26</v>
      </c>
      <c r="C1325" t="s">
        <v>27</v>
      </c>
      <c r="H1325" s="2">
        <v>44719.447222222225</v>
      </c>
      <c r="I1325" t="s">
        <v>289</v>
      </c>
      <c r="Z1325">
        <v>34952</v>
      </c>
    </row>
    <row r="1326" spans="1:26" x14ac:dyDescent="0.25">
      <c r="A1326" t="s">
        <v>1677</v>
      </c>
      <c r="B1326" t="s">
        <v>26</v>
      </c>
      <c r="C1326" t="s">
        <v>27</v>
      </c>
      <c r="H1326" s="2">
        <v>44718.622916666667</v>
      </c>
      <c r="I1326" t="s">
        <v>1567</v>
      </c>
      <c r="Z1326">
        <v>34930</v>
      </c>
    </row>
    <row r="1327" spans="1:26" x14ac:dyDescent="0.25">
      <c r="A1327" t="s">
        <v>1678</v>
      </c>
      <c r="B1327" t="s">
        <v>43</v>
      </c>
      <c r="C1327" t="s">
        <v>27</v>
      </c>
      <c r="E1327" t="s">
        <v>39</v>
      </c>
      <c r="G1327" t="s">
        <v>1679</v>
      </c>
      <c r="H1327" s="2">
        <v>44718.361111111109</v>
      </c>
      <c r="I1327" t="s">
        <v>1567</v>
      </c>
      <c r="Z1327">
        <v>34903</v>
      </c>
    </row>
    <row r="1328" spans="1:26" x14ac:dyDescent="0.25">
      <c r="A1328" t="s">
        <v>1680</v>
      </c>
      <c r="B1328" t="s">
        <v>43</v>
      </c>
      <c r="C1328" t="s">
        <v>27</v>
      </c>
      <c r="E1328" t="s">
        <v>231</v>
      </c>
      <c r="G1328" t="s">
        <v>1681</v>
      </c>
      <c r="H1328" s="2">
        <v>44717.581944444442</v>
      </c>
      <c r="I1328" t="s">
        <v>1638</v>
      </c>
      <c r="Z1328">
        <v>34879</v>
      </c>
    </row>
    <row r="1329" spans="1:26" x14ac:dyDescent="0.25">
      <c r="A1329" t="s">
        <v>1682</v>
      </c>
      <c r="B1329" t="s">
        <v>26</v>
      </c>
      <c r="C1329" t="s">
        <v>27</v>
      </c>
      <c r="H1329" s="2">
        <v>44716.811805555553</v>
      </c>
      <c r="I1329" t="s">
        <v>1617</v>
      </c>
      <c r="Z1329">
        <v>34850</v>
      </c>
    </row>
    <row r="1330" spans="1:26" x14ac:dyDescent="0.25">
      <c r="A1330" t="s">
        <v>1683</v>
      </c>
      <c r="B1330" t="s">
        <v>26</v>
      </c>
      <c r="C1330" t="s">
        <v>27</v>
      </c>
      <c r="H1330" s="2">
        <v>44715.488888888889</v>
      </c>
      <c r="I1330" t="s">
        <v>521</v>
      </c>
      <c r="Z1330">
        <v>34770</v>
      </c>
    </row>
    <row r="1331" spans="1:26" x14ac:dyDescent="0.25">
      <c r="A1331" t="s">
        <v>1684</v>
      </c>
      <c r="B1331" t="s">
        <v>26</v>
      </c>
      <c r="C1331" t="s">
        <v>27</v>
      </c>
      <c r="H1331" s="2">
        <v>44715.400694444441</v>
      </c>
      <c r="I1331" t="s">
        <v>781</v>
      </c>
      <c r="Z1331">
        <v>34754</v>
      </c>
    </row>
    <row r="1332" spans="1:26" x14ac:dyDescent="0.25">
      <c r="A1332" t="s">
        <v>1685</v>
      </c>
      <c r="B1332" t="s">
        <v>370</v>
      </c>
      <c r="C1332" t="s">
        <v>27</v>
      </c>
      <c r="E1332" t="s">
        <v>378</v>
      </c>
      <c r="H1332" s="2">
        <v>44715.328472222223</v>
      </c>
      <c r="I1332" t="s">
        <v>781</v>
      </c>
      <c r="Z1332">
        <v>34747</v>
      </c>
    </row>
    <row r="1333" spans="1:26" x14ac:dyDescent="0.25">
      <c r="A1333" t="s">
        <v>1686</v>
      </c>
      <c r="B1333" t="s">
        <v>26</v>
      </c>
      <c r="C1333" t="s">
        <v>27</v>
      </c>
      <c r="H1333" s="2">
        <v>44714.660416666666</v>
      </c>
      <c r="I1333" t="s">
        <v>782</v>
      </c>
      <c r="Z1333">
        <v>34726</v>
      </c>
    </row>
    <row r="1334" spans="1:26" x14ac:dyDescent="0.25">
      <c r="A1334" t="s">
        <v>1687</v>
      </c>
      <c r="B1334" t="s">
        <v>26</v>
      </c>
      <c r="C1334" t="s">
        <v>27</v>
      </c>
      <c r="H1334" s="2">
        <v>44714.640972222223</v>
      </c>
      <c r="I1334" t="s">
        <v>782</v>
      </c>
      <c r="Z1334">
        <v>34722</v>
      </c>
    </row>
    <row r="1335" spans="1:26" x14ac:dyDescent="0.25">
      <c r="A1335" t="s">
        <v>1688</v>
      </c>
      <c r="B1335" t="s">
        <v>26</v>
      </c>
      <c r="C1335" t="s">
        <v>27</v>
      </c>
      <c r="H1335" s="2">
        <v>44714.472222222219</v>
      </c>
      <c r="I1335" t="s">
        <v>1567</v>
      </c>
      <c r="Z1335">
        <v>34698</v>
      </c>
    </row>
    <row r="1336" spans="1:26" x14ac:dyDescent="0.25">
      <c r="A1336" t="s">
        <v>1689</v>
      </c>
      <c r="B1336" t="s">
        <v>26</v>
      </c>
      <c r="C1336" t="s">
        <v>27</v>
      </c>
      <c r="H1336" s="2">
        <v>44713.638194444444</v>
      </c>
      <c r="I1336" t="s">
        <v>1567</v>
      </c>
      <c r="Z1336">
        <v>34665</v>
      </c>
    </row>
    <row r="1337" spans="1:26" x14ac:dyDescent="0.25">
      <c r="A1337" t="s">
        <v>1690</v>
      </c>
      <c r="B1337" t="s">
        <v>26</v>
      </c>
      <c r="C1337" t="s">
        <v>27</v>
      </c>
      <c r="H1337" s="2">
        <v>44712.651388888888</v>
      </c>
      <c r="I1337" t="s">
        <v>1631</v>
      </c>
      <c r="Z1337">
        <v>34600</v>
      </c>
    </row>
    <row r="1338" spans="1:26" x14ac:dyDescent="0.25">
      <c r="A1338" t="s">
        <v>1478</v>
      </c>
      <c r="B1338" t="s">
        <v>26</v>
      </c>
      <c r="C1338" t="s">
        <v>27</v>
      </c>
      <c r="H1338" s="2">
        <v>44711.56527777778</v>
      </c>
      <c r="I1338" t="s">
        <v>521</v>
      </c>
      <c r="Z1338">
        <v>34502</v>
      </c>
    </row>
    <row r="1339" spans="1:26" x14ac:dyDescent="0.25">
      <c r="A1339" t="s">
        <v>1691</v>
      </c>
      <c r="B1339" t="s">
        <v>26</v>
      </c>
      <c r="C1339" t="s">
        <v>27</v>
      </c>
      <c r="H1339" s="2">
        <v>44710.697222222225</v>
      </c>
      <c r="I1339" t="s">
        <v>1638</v>
      </c>
      <c r="Z1339">
        <v>34459</v>
      </c>
    </row>
    <row r="1340" spans="1:26" x14ac:dyDescent="0.25">
      <c r="A1340" t="s">
        <v>1692</v>
      </c>
      <c r="B1340" t="s">
        <v>26</v>
      </c>
      <c r="C1340" t="s">
        <v>71</v>
      </c>
      <c r="H1340" s="2">
        <v>44708.443749999999</v>
      </c>
      <c r="I1340" t="s">
        <v>1567</v>
      </c>
      <c r="Z1340">
        <v>34359</v>
      </c>
    </row>
    <row r="1341" spans="1:26" x14ac:dyDescent="0.25">
      <c r="A1341" t="s">
        <v>1693</v>
      </c>
      <c r="B1341" t="s">
        <v>26</v>
      </c>
      <c r="C1341" t="s">
        <v>27</v>
      </c>
      <c r="H1341" s="2">
        <v>44707.695138888892</v>
      </c>
      <c r="I1341" t="s">
        <v>1567</v>
      </c>
      <c r="Z1341">
        <v>34328</v>
      </c>
    </row>
    <row r="1342" spans="1:26" x14ac:dyDescent="0.25">
      <c r="A1342" t="s">
        <v>1668</v>
      </c>
      <c r="B1342" t="s">
        <v>93</v>
      </c>
      <c r="C1342" t="s">
        <v>27</v>
      </c>
      <c r="E1342" t="s">
        <v>54</v>
      </c>
      <c r="G1342" t="s">
        <v>1694</v>
      </c>
      <c r="H1342" s="2">
        <v>44706.401388888888</v>
      </c>
      <c r="I1342" t="s">
        <v>1567</v>
      </c>
      <c r="K1342" t="s">
        <v>30</v>
      </c>
      <c r="L1342" t="s">
        <v>31</v>
      </c>
      <c r="M1342">
        <v>67131912</v>
      </c>
      <c r="N1342">
        <v>11953101645</v>
      </c>
      <c r="O1342" t="s">
        <v>1092</v>
      </c>
      <c r="Z1342">
        <v>34233</v>
      </c>
    </row>
    <row r="1343" spans="1:26" x14ac:dyDescent="0.25">
      <c r="A1343" t="s">
        <v>1696</v>
      </c>
      <c r="B1343" t="s">
        <v>26</v>
      </c>
      <c r="C1343" t="s">
        <v>27</v>
      </c>
      <c r="H1343" s="2">
        <v>44704.798611111109</v>
      </c>
      <c r="I1343" t="s">
        <v>781</v>
      </c>
      <c r="Z1343">
        <v>34163</v>
      </c>
    </row>
    <row r="1344" spans="1:26" x14ac:dyDescent="0.25">
      <c r="A1344" t="s">
        <v>1697</v>
      </c>
      <c r="B1344" t="s">
        <v>26</v>
      </c>
      <c r="C1344" t="s">
        <v>27</v>
      </c>
      <c r="H1344" s="2">
        <v>44704.552083333336</v>
      </c>
      <c r="I1344" t="s">
        <v>781</v>
      </c>
      <c r="Z1344">
        <v>34142</v>
      </c>
    </row>
    <row r="1345" spans="1:26" x14ac:dyDescent="0.25">
      <c r="A1345" t="s">
        <v>1698</v>
      </c>
      <c r="B1345" t="s">
        <v>43</v>
      </c>
      <c r="C1345" t="s">
        <v>27</v>
      </c>
      <c r="E1345" t="s">
        <v>930</v>
      </c>
      <c r="G1345" t="s">
        <v>1699</v>
      </c>
      <c r="H1345" s="2">
        <v>44702.525694444441</v>
      </c>
      <c r="I1345" t="s">
        <v>1638</v>
      </c>
      <c r="K1345" t="s">
        <v>30</v>
      </c>
      <c r="L1345" t="s">
        <v>31</v>
      </c>
      <c r="M1345">
        <v>55887089</v>
      </c>
      <c r="N1345">
        <v>9754619211</v>
      </c>
      <c r="O1345" t="s">
        <v>981</v>
      </c>
      <c r="Z1345">
        <v>34059</v>
      </c>
    </row>
    <row r="1346" spans="1:26" x14ac:dyDescent="0.25">
      <c r="A1346" t="s">
        <v>1700</v>
      </c>
      <c r="B1346" t="s">
        <v>472</v>
      </c>
      <c r="C1346" t="s">
        <v>27</v>
      </c>
      <c r="E1346" t="s">
        <v>1701</v>
      </c>
      <c r="H1346" s="2">
        <v>44701.931944444441</v>
      </c>
      <c r="I1346" t="s">
        <v>1638</v>
      </c>
      <c r="Z1346">
        <v>34043</v>
      </c>
    </row>
    <row r="1347" spans="1:26" x14ac:dyDescent="0.25">
      <c r="A1347" t="s">
        <v>1695</v>
      </c>
      <c r="B1347" t="s">
        <v>26</v>
      </c>
      <c r="C1347" t="s">
        <v>27</v>
      </c>
      <c r="H1347" s="2">
        <v>44698.817361111112</v>
      </c>
      <c r="I1347" t="s">
        <v>781</v>
      </c>
      <c r="Z1347">
        <v>33888</v>
      </c>
    </row>
    <row r="1348" spans="1:26" x14ac:dyDescent="0.25">
      <c r="A1348" t="s">
        <v>1702</v>
      </c>
      <c r="B1348" t="s">
        <v>26</v>
      </c>
      <c r="C1348" t="s">
        <v>27</v>
      </c>
      <c r="H1348" s="2">
        <v>44698.400000000001</v>
      </c>
      <c r="I1348" t="s">
        <v>781</v>
      </c>
      <c r="Z1348">
        <v>33845</v>
      </c>
    </row>
    <row r="1349" spans="1:26" x14ac:dyDescent="0.25">
      <c r="A1349" t="s">
        <v>1703</v>
      </c>
      <c r="B1349" t="s">
        <v>26</v>
      </c>
      <c r="C1349" t="s">
        <v>27</v>
      </c>
      <c r="H1349" s="2">
        <v>44697.376388888886</v>
      </c>
      <c r="I1349" t="s">
        <v>1617</v>
      </c>
      <c r="Z1349">
        <v>33799</v>
      </c>
    </row>
    <row r="1350" spans="1:26" x14ac:dyDescent="0.25">
      <c r="A1350" t="s">
        <v>1704</v>
      </c>
      <c r="B1350" t="s">
        <v>26</v>
      </c>
      <c r="C1350" t="s">
        <v>27</v>
      </c>
      <c r="H1350" s="2">
        <v>44696.484027777777</v>
      </c>
      <c r="I1350" t="s">
        <v>1638</v>
      </c>
      <c r="Z1350">
        <v>33768</v>
      </c>
    </row>
    <row r="1351" spans="1:26" x14ac:dyDescent="0.25">
      <c r="A1351" t="s">
        <v>1705</v>
      </c>
      <c r="B1351" t="s">
        <v>26</v>
      </c>
      <c r="C1351" t="s">
        <v>27</v>
      </c>
      <c r="H1351" s="2">
        <v>44695.750694444447</v>
      </c>
      <c r="I1351" t="s">
        <v>1567</v>
      </c>
      <c r="Z1351">
        <v>33748</v>
      </c>
    </row>
    <row r="1352" spans="1:26" x14ac:dyDescent="0.25">
      <c r="A1352" t="s">
        <v>1545</v>
      </c>
      <c r="C1352" t="s">
        <v>27</v>
      </c>
      <c r="E1352" t="s">
        <v>74</v>
      </c>
      <c r="H1352" s="2">
        <v>44694.897222222222</v>
      </c>
      <c r="I1352" t="s">
        <v>1567</v>
      </c>
      <c r="Z1352">
        <v>33706</v>
      </c>
    </row>
    <row r="1353" spans="1:26" x14ac:dyDescent="0.25">
      <c r="A1353" t="s">
        <v>1706</v>
      </c>
      <c r="B1353" t="s">
        <v>26</v>
      </c>
      <c r="C1353" t="s">
        <v>27</v>
      </c>
      <c r="H1353" s="2">
        <v>44694.650694444441</v>
      </c>
      <c r="I1353" t="s">
        <v>1429</v>
      </c>
      <c r="Z1353">
        <v>33686</v>
      </c>
    </row>
    <row r="1354" spans="1:26" x14ac:dyDescent="0.25">
      <c r="A1354" t="s">
        <v>1707</v>
      </c>
      <c r="B1354" t="s">
        <v>43</v>
      </c>
      <c r="C1354" t="s">
        <v>27</v>
      </c>
      <c r="E1354" t="s">
        <v>74</v>
      </c>
      <c r="G1354" t="s">
        <v>1340</v>
      </c>
      <c r="H1354" s="2">
        <v>44693.52847222222</v>
      </c>
      <c r="I1354" t="s">
        <v>1617</v>
      </c>
      <c r="Z1354">
        <v>33643</v>
      </c>
    </row>
    <row r="1355" spans="1:26" x14ac:dyDescent="0.25">
      <c r="A1355" t="s">
        <v>1708</v>
      </c>
      <c r="B1355" t="s">
        <v>472</v>
      </c>
      <c r="C1355" t="s">
        <v>27</v>
      </c>
      <c r="E1355" t="s">
        <v>40</v>
      </c>
      <c r="G1355" t="s">
        <v>269</v>
      </c>
      <c r="H1355" s="2">
        <v>44692.771527777775</v>
      </c>
      <c r="I1355" t="s">
        <v>1617</v>
      </c>
      <c r="Z1355">
        <v>33629</v>
      </c>
    </row>
    <row r="1356" spans="1:26" x14ac:dyDescent="0.25">
      <c r="A1356" t="s">
        <v>1709</v>
      </c>
      <c r="B1356" t="s">
        <v>26</v>
      </c>
      <c r="C1356" t="s">
        <v>27</v>
      </c>
      <c r="H1356" s="2">
        <v>44688.083333333336</v>
      </c>
      <c r="I1356" t="s">
        <v>1617</v>
      </c>
      <c r="Z1356">
        <v>33429</v>
      </c>
    </row>
    <row r="1357" spans="1:26" x14ac:dyDescent="0.25">
      <c r="A1357" t="s">
        <v>1710</v>
      </c>
      <c r="B1357" t="s">
        <v>26</v>
      </c>
      <c r="C1357" t="s">
        <v>27</v>
      </c>
      <c r="H1357" s="2">
        <v>44687.792361111111</v>
      </c>
      <c r="I1357" t="s">
        <v>781</v>
      </c>
      <c r="Z1357">
        <v>33420</v>
      </c>
    </row>
    <row r="1358" spans="1:26" x14ac:dyDescent="0.25">
      <c r="A1358" t="s">
        <v>1711</v>
      </c>
      <c r="B1358" t="s">
        <v>26</v>
      </c>
      <c r="C1358" t="s">
        <v>27</v>
      </c>
      <c r="H1358" s="2">
        <v>44686.552777777775</v>
      </c>
      <c r="I1358" t="s">
        <v>1617</v>
      </c>
      <c r="Z1358">
        <v>33334</v>
      </c>
    </row>
    <row r="1359" spans="1:26" x14ac:dyDescent="0.25">
      <c r="A1359" t="s">
        <v>1712</v>
      </c>
      <c r="B1359" t="s">
        <v>26</v>
      </c>
      <c r="C1359" t="s">
        <v>27</v>
      </c>
      <c r="H1359" s="2">
        <v>44685.533333333333</v>
      </c>
      <c r="I1359" t="s">
        <v>289</v>
      </c>
      <c r="Z1359">
        <v>33265</v>
      </c>
    </row>
    <row r="1360" spans="1:26" x14ac:dyDescent="0.25">
      <c r="A1360" t="s">
        <v>1164</v>
      </c>
      <c r="B1360" t="s">
        <v>26</v>
      </c>
      <c r="C1360" t="s">
        <v>27</v>
      </c>
      <c r="H1360" s="2">
        <v>44685.477777777778</v>
      </c>
      <c r="I1360" t="s">
        <v>1617</v>
      </c>
      <c r="Z1360">
        <v>33247</v>
      </c>
    </row>
    <row r="1361" spans="1:26" x14ac:dyDescent="0.25">
      <c r="A1361" t="s">
        <v>1713</v>
      </c>
      <c r="B1361" t="s">
        <v>26</v>
      </c>
      <c r="C1361" t="s">
        <v>27</v>
      </c>
      <c r="H1361" s="2">
        <v>44680.86041666667</v>
      </c>
      <c r="I1361" t="s">
        <v>1617</v>
      </c>
      <c r="Z1361">
        <v>32958</v>
      </c>
    </row>
    <row r="1362" spans="1:26" x14ac:dyDescent="0.25">
      <c r="A1362" t="s">
        <v>1714</v>
      </c>
      <c r="B1362" t="s">
        <v>26</v>
      </c>
      <c r="C1362" t="s">
        <v>27</v>
      </c>
      <c r="H1362" s="2">
        <v>44680.595833333333</v>
      </c>
      <c r="I1362" t="s">
        <v>781</v>
      </c>
      <c r="Z1362">
        <v>32924</v>
      </c>
    </row>
    <row r="1363" spans="1:26" x14ac:dyDescent="0.25">
      <c r="A1363" t="s">
        <v>1715</v>
      </c>
      <c r="B1363" t="s">
        <v>43</v>
      </c>
      <c r="C1363" t="s">
        <v>27</v>
      </c>
      <c r="E1363" t="s">
        <v>1716</v>
      </c>
      <c r="G1363" t="s">
        <v>1717</v>
      </c>
      <c r="H1363" s="2">
        <v>44680.402083333334</v>
      </c>
      <c r="I1363" t="s">
        <v>1617</v>
      </c>
      <c r="Z1363">
        <v>32896</v>
      </c>
    </row>
    <row r="1364" spans="1:26" x14ac:dyDescent="0.25">
      <c r="A1364" t="s">
        <v>1576</v>
      </c>
      <c r="B1364" t="s">
        <v>26</v>
      </c>
      <c r="C1364" t="s">
        <v>27</v>
      </c>
      <c r="H1364" s="2">
        <v>44679.675000000003</v>
      </c>
      <c r="I1364" t="s">
        <v>1617</v>
      </c>
      <c r="Z1364">
        <v>32860</v>
      </c>
    </row>
    <row r="1365" spans="1:26" x14ac:dyDescent="0.25">
      <c r="A1365" t="s">
        <v>1718</v>
      </c>
      <c r="B1365" t="s">
        <v>26</v>
      </c>
      <c r="C1365" t="s">
        <v>27</v>
      </c>
      <c r="H1365" s="2">
        <v>44678.775000000001</v>
      </c>
      <c r="I1365" t="s">
        <v>1567</v>
      </c>
      <c r="Z1365">
        <v>32801</v>
      </c>
    </row>
    <row r="1366" spans="1:26" x14ac:dyDescent="0.25">
      <c r="A1366" t="s">
        <v>1719</v>
      </c>
      <c r="B1366" t="s">
        <v>26</v>
      </c>
      <c r="C1366" t="s">
        <v>27</v>
      </c>
      <c r="H1366" s="2">
        <v>44677.430555555555</v>
      </c>
      <c r="I1366" t="s">
        <v>1567</v>
      </c>
      <c r="Z1366">
        <v>32680</v>
      </c>
    </row>
    <row r="1367" spans="1:26" x14ac:dyDescent="0.25">
      <c r="A1367" t="s">
        <v>1563</v>
      </c>
      <c r="C1367" t="s">
        <v>27</v>
      </c>
      <c r="E1367" t="s">
        <v>40</v>
      </c>
      <c r="H1367" s="2">
        <v>44677.410416666666</v>
      </c>
      <c r="I1367" t="s">
        <v>1638</v>
      </c>
      <c r="Z1367">
        <v>32671</v>
      </c>
    </row>
    <row r="1368" spans="1:26" x14ac:dyDescent="0.25">
      <c r="A1368" t="s">
        <v>1720</v>
      </c>
      <c r="B1368" t="s">
        <v>43</v>
      </c>
      <c r="C1368" t="s">
        <v>27</v>
      </c>
      <c r="E1368" t="s">
        <v>90</v>
      </c>
      <c r="G1368" t="s">
        <v>1721</v>
      </c>
      <c r="H1368" s="2">
        <v>44676.998611111114</v>
      </c>
      <c r="I1368" t="s">
        <v>1567</v>
      </c>
      <c r="Z1368">
        <v>32664</v>
      </c>
    </row>
    <row r="1369" spans="1:26" x14ac:dyDescent="0.25">
      <c r="A1369" t="s">
        <v>1722</v>
      </c>
      <c r="B1369" t="s">
        <v>26</v>
      </c>
      <c r="C1369" t="s">
        <v>27</v>
      </c>
      <c r="H1369" s="2">
        <v>44675.631944444445</v>
      </c>
      <c r="I1369" t="s">
        <v>1617</v>
      </c>
      <c r="Z1369">
        <v>32542</v>
      </c>
    </row>
    <row r="1370" spans="1:26" x14ac:dyDescent="0.25">
      <c r="A1370" t="s">
        <v>1723</v>
      </c>
      <c r="B1370" t="s">
        <v>26</v>
      </c>
      <c r="C1370" t="s">
        <v>27</v>
      </c>
      <c r="H1370" s="2">
        <v>44675.536805555559</v>
      </c>
      <c r="I1370" t="s">
        <v>781</v>
      </c>
      <c r="Z1370">
        <v>32531</v>
      </c>
    </row>
    <row r="1371" spans="1:26" x14ac:dyDescent="0.25">
      <c r="A1371" t="s">
        <v>1724</v>
      </c>
      <c r="B1371" t="s">
        <v>472</v>
      </c>
      <c r="C1371" t="s">
        <v>27</v>
      </c>
      <c r="E1371" t="s">
        <v>92</v>
      </c>
      <c r="H1371" s="2">
        <v>44674.589583333334</v>
      </c>
      <c r="I1371" t="s">
        <v>1617</v>
      </c>
      <c r="Z1371">
        <v>32462</v>
      </c>
    </row>
    <row r="1372" spans="1:26" x14ac:dyDescent="0.25">
      <c r="A1372" t="s">
        <v>1725</v>
      </c>
      <c r="B1372" t="s">
        <v>26</v>
      </c>
      <c r="C1372" t="s">
        <v>27</v>
      </c>
      <c r="H1372" s="2">
        <v>44674.57708333333</v>
      </c>
      <c r="I1372" t="s">
        <v>1617</v>
      </c>
      <c r="Z1372">
        <v>32458</v>
      </c>
    </row>
    <row r="1373" spans="1:26" x14ac:dyDescent="0.25">
      <c r="A1373" t="s">
        <v>1726</v>
      </c>
      <c r="B1373" t="s">
        <v>43</v>
      </c>
      <c r="C1373" t="s">
        <v>27</v>
      </c>
      <c r="E1373" t="s">
        <v>1727</v>
      </c>
      <c r="G1373" t="s">
        <v>1728</v>
      </c>
      <c r="H1373" s="2">
        <v>44673.916666666664</v>
      </c>
      <c r="I1373" t="s">
        <v>1617</v>
      </c>
      <c r="Z1373">
        <v>32412</v>
      </c>
    </row>
    <row r="1374" spans="1:26" x14ac:dyDescent="0.25">
      <c r="A1374" t="s">
        <v>129</v>
      </c>
      <c r="C1374" t="s">
        <v>27</v>
      </c>
      <c r="E1374" t="s">
        <v>545</v>
      </c>
      <c r="H1374" s="2">
        <v>44673.878472222219</v>
      </c>
      <c r="I1374" t="s">
        <v>289</v>
      </c>
      <c r="Z1374">
        <v>32409</v>
      </c>
    </row>
    <row r="1375" spans="1:26" x14ac:dyDescent="0.25">
      <c r="A1375" t="s">
        <v>1729</v>
      </c>
      <c r="B1375" t="s">
        <v>370</v>
      </c>
      <c r="C1375" t="s">
        <v>27</v>
      </c>
      <c r="E1375" t="s">
        <v>1730</v>
      </c>
      <c r="H1375" s="2">
        <v>44673.454861111109</v>
      </c>
      <c r="I1375" t="s">
        <v>1617</v>
      </c>
      <c r="Z1375">
        <v>32295</v>
      </c>
    </row>
    <row r="1376" spans="1:26" x14ac:dyDescent="0.25">
      <c r="A1376" t="s">
        <v>1731</v>
      </c>
      <c r="B1376" t="s">
        <v>26</v>
      </c>
      <c r="C1376" t="s">
        <v>27</v>
      </c>
      <c r="H1376" s="2">
        <v>44673.415972222225</v>
      </c>
      <c r="I1376" t="s">
        <v>781</v>
      </c>
      <c r="Z1376">
        <v>32284</v>
      </c>
    </row>
    <row r="1377" spans="1:26" x14ac:dyDescent="0.25">
      <c r="A1377" t="s">
        <v>1732</v>
      </c>
      <c r="B1377" t="s">
        <v>26</v>
      </c>
      <c r="C1377" t="s">
        <v>27</v>
      </c>
      <c r="H1377" s="2">
        <v>44672.526388888888</v>
      </c>
      <c r="I1377" t="s">
        <v>521</v>
      </c>
      <c r="Z1377">
        <v>32228</v>
      </c>
    </row>
    <row r="1378" spans="1:26" x14ac:dyDescent="0.25">
      <c r="A1378" t="s">
        <v>1733</v>
      </c>
      <c r="B1378" t="s">
        <v>26</v>
      </c>
      <c r="C1378" t="s">
        <v>27</v>
      </c>
      <c r="H1378" s="2">
        <v>44670.442361111112</v>
      </c>
      <c r="I1378" t="s">
        <v>289</v>
      </c>
      <c r="Z1378">
        <v>32068</v>
      </c>
    </row>
    <row r="1379" spans="1:26" x14ac:dyDescent="0.25">
      <c r="A1379" t="s">
        <v>1734</v>
      </c>
      <c r="B1379" t="s">
        <v>26</v>
      </c>
      <c r="C1379" t="s">
        <v>27</v>
      </c>
      <c r="H1379" s="2">
        <v>44669.53125</v>
      </c>
      <c r="I1379" t="s">
        <v>1617</v>
      </c>
      <c r="Z1379">
        <v>31996</v>
      </c>
    </row>
    <row r="1380" spans="1:26" x14ac:dyDescent="0.25">
      <c r="A1380" t="s">
        <v>1735</v>
      </c>
      <c r="B1380" t="s">
        <v>26</v>
      </c>
      <c r="C1380" t="s">
        <v>27</v>
      </c>
      <c r="H1380" s="2">
        <v>44668.832638888889</v>
      </c>
      <c r="I1380" t="s">
        <v>1617</v>
      </c>
      <c r="Z1380">
        <v>31949</v>
      </c>
    </row>
    <row r="1381" spans="1:26" x14ac:dyDescent="0.25">
      <c r="A1381" t="s">
        <v>1736</v>
      </c>
      <c r="B1381" t="s">
        <v>26</v>
      </c>
      <c r="C1381" t="s">
        <v>27</v>
      </c>
      <c r="H1381" s="2">
        <v>44666.72152777778</v>
      </c>
      <c r="I1381" t="s">
        <v>1245</v>
      </c>
      <c r="Z1381">
        <v>31739</v>
      </c>
    </row>
    <row r="1382" spans="1:26" x14ac:dyDescent="0.25">
      <c r="A1382" t="s">
        <v>1737</v>
      </c>
      <c r="B1382" t="s">
        <v>26</v>
      </c>
      <c r="C1382" t="s">
        <v>27</v>
      </c>
      <c r="H1382" s="2">
        <v>44666.526388888888</v>
      </c>
      <c r="I1382" t="s">
        <v>1567</v>
      </c>
      <c r="Z1382">
        <v>31718</v>
      </c>
    </row>
    <row r="1383" spans="1:26" x14ac:dyDescent="0.25">
      <c r="A1383" t="s">
        <v>1738</v>
      </c>
      <c r="B1383" t="s">
        <v>26</v>
      </c>
      <c r="C1383" t="s">
        <v>27</v>
      </c>
      <c r="H1383" s="2">
        <v>44664.713888888888</v>
      </c>
      <c r="I1383" t="s">
        <v>1567</v>
      </c>
      <c r="Z1383">
        <v>31603</v>
      </c>
    </row>
    <row r="1384" spans="1:26" x14ac:dyDescent="0.25">
      <c r="A1384" t="s">
        <v>1739</v>
      </c>
      <c r="B1384" t="s">
        <v>26</v>
      </c>
      <c r="C1384" t="s">
        <v>27</v>
      </c>
      <c r="H1384" s="2">
        <v>44663.615972222222</v>
      </c>
      <c r="I1384" t="s">
        <v>521</v>
      </c>
      <c r="Z1384">
        <v>31480</v>
      </c>
    </row>
    <row r="1385" spans="1:26" x14ac:dyDescent="0.25">
      <c r="A1385" t="s">
        <v>1740</v>
      </c>
      <c r="B1385" t="s">
        <v>26</v>
      </c>
      <c r="C1385" t="s">
        <v>27</v>
      </c>
      <c r="H1385" s="2">
        <v>44662.69027777778</v>
      </c>
      <c r="I1385" t="s">
        <v>1617</v>
      </c>
      <c r="Z1385">
        <v>31398</v>
      </c>
    </row>
    <row r="1386" spans="1:26" x14ac:dyDescent="0.25">
      <c r="A1386" t="s">
        <v>129</v>
      </c>
      <c r="C1386" t="s">
        <v>27</v>
      </c>
      <c r="E1386" t="s">
        <v>74</v>
      </c>
      <c r="H1386" s="2">
        <v>44662.681944444441</v>
      </c>
      <c r="I1386" t="s">
        <v>289</v>
      </c>
      <c r="Z1386">
        <v>31397</v>
      </c>
    </row>
    <row r="1387" spans="1:26" x14ac:dyDescent="0.25">
      <c r="A1387" t="s">
        <v>1741</v>
      </c>
      <c r="B1387" t="s">
        <v>26</v>
      </c>
      <c r="C1387" t="s">
        <v>27</v>
      </c>
      <c r="H1387" s="2">
        <v>44662.613888888889</v>
      </c>
      <c r="I1387" t="s">
        <v>1617</v>
      </c>
      <c r="Z1387">
        <v>31378</v>
      </c>
    </row>
    <row r="1388" spans="1:26" x14ac:dyDescent="0.25">
      <c r="A1388" t="s">
        <v>1742</v>
      </c>
      <c r="B1388" t="s">
        <v>276</v>
      </c>
      <c r="C1388" t="s">
        <v>27</v>
      </c>
      <c r="E1388" t="s">
        <v>1743</v>
      </c>
      <c r="H1388" s="2">
        <v>44661.79583333333</v>
      </c>
      <c r="I1388" t="s">
        <v>1617</v>
      </c>
      <c r="Z1388">
        <v>31312</v>
      </c>
    </row>
    <row r="1389" spans="1:26" x14ac:dyDescent="0.25">
      <c r="A1389" t="s">
        <v>1744</v>
      </c>
      <c r="B1389" t="s">
        <v>26</v>
      </c>
      <c r="C1389" t="s">
        <v>27</v>
      </c>
      <c r="H1389" s="2">
        <v>44661.443055555559</v>
      </c>
      <c r="I1389" t="s">
        <v>1567</v>
      </c>
      <c r="Z1389">
        <v>31252</v>
      </c>
    </row>
    <row r="1390" spans="1:26" x14ac:dyDescent="0.25">
      <c r="A1390" t="s">
        <v>1745</v>
      </c>
      <c r="B1390" t="s">
        <v>26</v>
      </c>
      <c r="C1390" t="s">
        <v>27</v>
      </c>
      <c r="H1390" s="2">
        <v>44656.693055555559</v>
      </c>
      <c r="I1390" t="s">
        <v>1617</v>
      </c>
      <c r="Z1390">
        <v>30904</v>
      </c>
    </row>
    <row r="1391" spans="1:26" x14ac:dyDescent="0.25">
      <c r="A1391" t="s">
        <v>1746</v>
      </c>
      <c r="B1391" t="s">
        <v>370</v>
      </c>
      <c r="C1391" t="s">
        <v>27</v>
      </c>
      <c r="E1391" t="s">
        <v>1747</v>
      </c>
      <c r="H1391" s="2">
        <v>44656.563888888886</v>
      </c>
      <c r="I1391" t="s">
        <v>1638</v>
      </c>
      <c r="Z1391">
        <v>30861</v>
      </c>
    </row>
    <row r="1392" spans="1:26" x14ac:dyDescent="0.25">
      <c r="A1392" t="s">
        <v>1748</v>
      </c>
      <c r="B1392" t="s">
        <v>370</v>
      </c>
      <c r="C1392" t="s">
        <v>27</v>
      </c>
      <c r="E1392" t="s">
        <v>1749</v>
      </c>
      <c r="H1392" s="2">
        <v>44656.5625</v>
      </c>
      <c r="I1392" t="s">
        <v>1567</v>
      </c>
      <c r="Z1392">
        <v>30853</v>
      </c>
    </row>
    <row r="1393" spans="1:26" x14ac:dyDescent="0.25">
      <c r="A1393" t="s">
        <v>1750</v>
      </c>
      <c r="B1393" t="s">
        <v>370</v>
      </c>
      <c r="C1393" t="s">
        <v>27</v>
      </c>
      <c r="E1393" t="s">
        <v>1751</v>
      </c>
      <c r="H1393" s="2">
        <v>44656.561805555553</v>
      </c>
      <c r="I1393" t="s">
        <v>1638</v>
      </c>
      <c r="Z1393">
        <v>30849</v>
      </c>
    </row>
    <row r="1394" spans="1:26" x14ac:dyDescent="0.25">
      <c r="A1394" t="s">
        <v>1752</v>
      </c>
      <c r="B1394" t="s">
        <v>26</v>
      </c>
      <c r="C1394" t="s">
        <v>27</v>
      </c>
      <c r="H1394" s="2">
        <v>44656.411111111112</v>
      </c>
      <c r="I1394" t="s">
        <v>1617</v>
      </c>
      <c r="Z1394">
        <v>30818</v>
      </c>
    </row>
    <row r="1395" spans="1:26" x14ac:dyDescent="0.25">
      <c r="A1395" t="s">
        <v>1753</v>
      </c>
      <c r="B1395" t="s">
        <v>26</v>
      </c>
      <c r="C1395" t="s">
        <v>27</v>
      </c>
      <c r="H1395" s="2">
        <v>44656.374305555553</v>
      </c>
      <c r="I1395" t="s">
        <v>521</v>
      </c>
      <c r="Z1395">
        <v>30809</v>
      </c>
    </row>
    <row r="1396" spans="1:26" x14ac:dyDescent="0.25">
      <c r="A1396" t="s">
        <v>1754</v>
      </c>
      <c r="C1396" t="s">
        <v>27</v>
      </c>
      <c r="E1396" t="s">
        <v>2251</v>
      </c>
      <c r="H1396" s="2">
        <v>44655.557638888888</v>
      </c>
      <c r="I1396" t="s">
        <v>1567</v>
      </c>
      <c r="Z1396">
        <v>30782</v>
      </c>
    </row>
    <row r="1397" spans="1:26" x14ac:dyDescent="0.25">
      <c r="A1397" t="s">
        <v>1488</v>
      </c>
      <c r="B1397" t="s">
        <v>26</v>
      </c>
      <c r="C1397" t="s">
        <v>27</v>
      </c>
      <c r="H1397" s="2">
        <v>44655.438888888886</v>
      </c>
      <c r="I1397" t="s">
        <v>1567</v>
      </c>
      <c r="Z1397">
        <v>30762</v>
      </c>
    </row>
    <row r="1398" spans="1:26" x14ac:dyDescent="0.25">
      <c r="A1398" t="s">
        <v>1754</v>
      </c>
      <c r="C1398" t="s">
        <v>27</v>
      </c>
      <c r="E1398" t="s">
        <v>2252</v>
      </c>
      <c r="H1398" s="2">
        <v>44654.967361111114</v>
      </c>
      <c r="I1398" t="s">
        <v>1567</v>
      </c>
      <c r="Z1398">
        <v>30747</v>
      </c>
    </row>
    <row r="1399" spans="1:26" x14ac:dyDescent="0.25">
      <c r="A1399" t="s">
        <v>1755</v>
      </c>
      <c r="B1399" t="s">
        <v>26</v>
      </c>
      <c r="C1399" t="s">
        <v>27</v>
      </c>
      <c r="H1399" s="2">
        <v>44654.515972222223</v>
      </c>
      <c r="I1399" t="s">
        <v>521</v>
      </c>
      <c r="Z1399">
        <v>30713</v>
      </c>
    </row>
    <row r="1400" spans="1:26" x14ac:dyDescent="0.25">
      <c r="A1400" t="s">
        <v>1754</v>
      </c>
      <c r="C1400" t="s">
        <v>27</v>
      </c>
      <c r="E1400" t="s">
        <v>1756</v>
      </c>
      <c r="H1400" s="2">
        <v>44653.324999999997</v>
      </c>
      <c r="I1400" t="s">
        <v>1567</v>
      </c>
      <c r="Z1400">
        <v>30660</v>
      </c>
    </row>
    <row r="1401" spans="1:26" x14ac:dyDescent="0.25">
      <c r="A1401" t="s">
        <v>1757</v>
      </c>
      <c r="B1401" t="s">
        <v>26</v>
      </c>
      <c r="C1401" t="s">
        <v>27</v>
      </c>
      <c r="H1401" s="2">
        <v>44652.591666666667</v>
      </c>
      <c r="I1401" t="s">
        <v>289</v>
      </c>
      <c r="Z1401">
        <v>30640</v>
      </c>
    </row>
    <row r="1402" spans="1:26" x14ac:dyDescent="0.25">
      <c r="A1402" t="s">
        <v>1758</v>
      </c>
      <c r="B1402" t="s">
        <v>26</v>
      </c>
      <c r="C1402" t="s">
        <v>27</v>
      </c>
      <c r="H1402" s="2">
        <v>44651.63958333333</v>
      </c>
      <c r="I1402" t="s">
        <v>1638</v>
      </c>
      <c r="Z1402">
        <v>30591</v>
      </c>
    </row>
    <row r="1403" spans="1:26" x14ac:dyDescent="0.25">
      <c r="A1403" t="s">
        <v>1759</v>
      </c>
      <c r="B1403" t="s">
        <v>26</v>
      </c>
      <c r="C1403" t="s">
        <v>27</v>
      </c>
      <c r="H1403" s="2">
        <v>44651.619444444441</v>
      </c>
      <c r="I1403" t="s">
        <v>1638</v>
      </c>
      <c r="Z1403">
        <v>30588</v>
      </c>
    </row>
    <row r="1404" spans="1:26" x14ac:dyDescent="0.25">
      <c r="A1404" t="s">
        <v>1396</v>
      </c>
      <c r="B1404" t="s">
        <v>541</v>
      </c>
      <c r="C1404" t="s">
        <v>27</v>
      </c>
      <c r="E1404" t="s">
        <v>74</v>
      </c>
      <c r="H1404" s="2">
        <v>44651.572916666664</v>
      </c>
      <c r="I1404" t="s">
        <v>289</v>
      </c>
      <c r="Z1404">
        <v>30582</v>
      </c>
    </row>
    <row r="1405" spans="1:26" x14ac:dyDescent="0.25">
      <c r="A1405" t="s">
        <v>1760</v>
      </c>
      <c r="B1405" t="s">
        <v>26</v>
      </c>
      <c r="C1405" t="s">
        <v>27</v>
      </c>
      <c r="H1405" s="2">
        <v>44651.555555555555</v>
      </c>
      <c r="I1405" t="s">
        <v>289</v>
      </c>
      <c r="Z1405">
        <v>30580</v>
      </c>
    </row>
    <row r="1406" spans="1:26" x14ac:dyDescent="0.25">
      <c r="A1406" t="s">
        <v>1761</v>
      </c>
      <c r="B1406" t="s">
        <v>43</v>
      </c>
      <c r="C1406" t="s">
        <v>27</v>
      </c>
      <c r="E1406" t="s">
        <v>1762</v>
      </c>
      <c r="G1406" t="s">
        <v>1763</v>
      </c>
      <c r="H1406" s="2">
        <v>44651.500694444447</v>
      </c>
      <c r="I1406" t="s">
        <v>289</v>
      </c>
      <c r="Z1406">
        <v>30577</v>
      </c>
    </row>
    <row r="1407" spans="1:26" x14ac:dyDescent="0.25">
      <c r="A1407" t="s">
        <v>1754</v>
      </c>
      <c r="C1407" t="s">
        <v>27</v>
      </c>
      <c r="E1407" t="s">
        <v>2253</v>
      </c>
      <c r="H1407" s="2">
        <v>44651.417361111111</v>
      </c>
      <c r="I1407" t="s">
        <v>1638</v>
      </c>
      <c r="Z1407">
        <v>30570</v>
      </c>
    </row>
    <row r="1408" spans="1:26" x14ac:dyDescent="0.25">
      <c r="A1408" t="s">
        <v>1754</v>
      </c>
      <c r="C1408" t="s">
        <v>27</v>
      </c>
      <c r="E1408" t="s">
        <v>1764</v>
      </c>
      <c r="H1408" s="2">
        <v>44651.32708333333</v>
      </c>
      <c r="I1408" t="s">
        <v>1638</v>
      </c>
      <c r="Z1408">
        <v>30559</v>
      </c>
    </row>
    <row r="1409" spans="1:26" x14ac:dyDescent="0.25">
      <c r="A1409" t="s">
        <v>1765</v>
      </c>
      <c r="B1409" t="s">
        <v>26</v>
      </c>
      <c r="C1409" t="s">
        <v>27</v>
      </c>
      <c r="H1409" s="2">
        <v>44649.550694444442</v>
      </c>
      <c r="I1409" t="s">
        <v>521</v>
      </c>
      <c r="Z1409">
        <v>30488</v>
      </c>
    </row>
    <row r="1410" spans="1:26" x14ac:dyDescent="0.25">
      <c r="A1410" t="s">
        <v>1766</v>
      </c>
      <c r="B1410" t="s">
        <v>26</v>
      </c>
      <c r="C1410" t="s">
        <v>27</v>
      </c>
      <c r="H1410" s="2">
        <v>44648.645833333336</v>
      </c>
      <c r="I1410" t="s">
        <v>1567</v>
      </c>
      <c r="Z1410">
        <v>30469</v>
      </c>
    </row>
    <row r="1411" spans="1:26" x14ac:dyDescent="0.25">
      <c r="A1411" t="s">
        <v>1479</v>
      </c>
      <c r="B1411" t="s">
        <v>26</v>
      </c>
      <c r="C1411" t="s">
        <v>27</v>
      </c>
      <c r="H1411" s="2">
        <v>44648.604166666664</v>
      </c>
      <c r="I1411" t="s">
        <v>1567</v>
      </c>
      <c r="Z1411">
        <v>30466</v>
      </c>
    </row>
    <row r="1412" spans="1:26" x14ac:dyDescent="0.25">
      <c r="A1412" t="s">
        <v>1125</v>
      </c>
      <c r="B1412" t="s">
        <v>26</v>
      </c>
      <c r="C1412" t="s">
        <v>27</v>
      </c>
      <c r="H1412" s="2">
        <v>44648.46597222222</v>
      </c>
      <c r="I1412" t="s">
        <v>1567</v>
      </c>
      <c r="Z1412">
        <v>30447</v>
      </c>
    </row>
    <row r="1413" spans="1:26" x14ac:dyDescent="0.25">
      <c r="A1413" t="s">
        <v>1144</v>
      </c>
      <c r="B1413" t="s">
        <v>472</v>
      </c>
      <c r="C1413" t="s">
        <v>27</v>
      </c>
      <c r="E1413" t="s">
        <v>551</v>
      </c>
      <c r="H1413" s="2">
        <v>44646.890277777777</v>
      </c>
      <c r="I1413" t="s">
        <v>521</v>
      </c>
      <c r="Z1413">
        <v>30406</v>
      </c>
    </row>
    <row r="1414" spans="1:26" x14ac:dyDescent="0.25">
      <c r="A1414" t="s">
        <v>1754</v>
      </c>
      <c r="C1414" t="s">
        <v>27</v>
      </c>
      <c r="E1414" t="s">
        <v>1767</v>
      </c>
      <c r="H1414" s="2">
        <v>44646.623611111114</v>
      </c>
      <c r="I1414" t="s">
        <v>1617</v>
      </c>
      <c r="Z1414">
        <v>30388</v>
      </c>
    </row>
    <row r="1415" spans="1:26" x14ac:dyDescent="0.25">
      <c r="A1415" t="s">
        <v>1754</v>
      </c>
      <c r="C1415" t="s">
        <v>27</v>
      </c>
      <c r="E1415" t="s">
        <v>1768</v>
      </c>
      <c r="H1415" s="2">
        <v>44645.849305555559</v>
      </c>
      <c r="I1415" t="s">
        <v>1638</v>
      </c>
      <c r="Z1415">
        <v>30351</v>
      </c>
    </row>
    <row r="1416" spans="1:26" x14ac:dyDescent="0.25">
      <c r="A1416" t="s">
        <v>1769</v>
      </c>
      <c r="B1416" t="s">
        <v>26</v>
      </c>
      <c r="C1416" t="s">
        <v>27</v>
      </c>
      <c r="H1416" s="2">
        <v>44644.432638888888</v>
      </c>
      <c r="I1416" t="s">
        <v>1617</v>
      </c>
      <c r="Z1416">
        <v>30250</v>
      </c>
    </row>
    <row r="1417" spans="1:26" x14ac:dyDescent="0.25">
      <c r="A1417" t="s">
        <v>1754</v>
      </c>
      <c r="C1417" t="s">
        <v>27</v>
      </c>
      <c r="E1417" t="s">
        <v>1770</v>
      </c>
      <c r="H1417" s="2">
        <v>44643.945138888892</v>
      </c>
      <c r="I1417" t="s">
        <v>1638</v>
      </c>
      <c r="Z1417">
        <v>30243</v>
      </c>
    </row>
    <row r="1418" spans="1:26" x14ac:dyDescent="0.25">
      <c r="A1418" t="s">
        <v>1754</v>
      </c>
      <c r="C1418" t="s">
        <v>27</v>
      </c>
      <c r="E1418" t="s">
        <v>1771</v>
      </c>
      <c r="H1418" s="2">
        <v>44643.59652777778</v>
      </c>
      <c r="I1418" t="s">
        <v>1567</v>
      </c>
      <c r="Z1418">
        <v>30215</v>
      </c>
    </row>
    <row r="1419" spans="1:26" x14ac:dyDescent="0.25">
      <c r="A1419" t="s">
        <v>1772</v>
      </c>
      <c r="B1419" t="s">
        <v>26</v>
      </c>
      <c r="C1419" t="s">
        <v>27</v>
      </c>
      <c r="H1419" s="2">
        <v>44643.525694444441</v>
      </c>
      <c r="I1419" t="s">
        <v>521</v>
      </c>
      <c r="Z1419">
        <v>30209</v>
      </c>
    </row>
    <row r="1420" spans="1:26" x14ac:dyDescent="0.25">
      <c r="A1420" t="s">
        <v>1315</v>
      </c>
      <c r="B1420" t="s">
        <v>370</v>
      </c>
      <c r="C1420" t="s">
        <v>27</v>
      </c>
      <c r="E1420" t="s">
        <v>40</v>
      </c>
      <c r="H1420" s="2">
        <v>44642.677083333336</v>
      </c>
      <c r="I1420" t="s">
        <v>1567</v>
      </c>
      <c r="Z1420">
        <v>30176</v>
      </c>
    </row>
    <row r="1421" spans="1:26" x14ac:dyDescent="0.25">
      <c r="A1421" t="s">
        <v>1754</v>
      </c>
      <c r="C1421" t="s">
        <v>27</v>
      </c>
      <c r="E1421" t="s">
        <v>1773</v>
      </c>
      <c r="H1421" s="2">
        <v>44642.067361111112</v>
      </c>
      <c r="I1421" t="s">
        <v>1567</v>
      </c>
      <c r="Z1421">
        <v>30136</v>
      </c>
    </row>
    <row r="1422" spans="1:26" x14ac:dyDescent="0.25">
      <c r="A1422" t="s">
        <v>1774</v>
      </c>
      <c r="B1422" t="s">
        <v>26</v>
      </c>
      <c r="C1422" t="s">
        <v>27</v>
      </c>
      <c r="H1422" s="2">
        <v>44641.606249999997</v>
      </c>
      <c r="I1422" t="s">
        <v>521</v>
      </c>
      <c r="Z1422">
        <v>30117</v>
      </c>
    </row>
    <row r="1423" spans="1:26" x14ac:dyDescent="0.25">
      <c r="A1423" t="s">
        <v>1775</v>
      </c>
      <c r="B1423" t="s">
        <v>276</v>
      </c>
      <c r="C1423" t="s">
        <v>27</v>
      </c>
      <c r="E1423" t="s">
        <v>81</v>
      </c>
      <c r="G1423" t="s">
        <v>1776</v>
      </c>
      <c r="H1423" s="2">
        <v>44641.520833333336</v>
      </c>
      <c r="I1423" t="s">
        <v>521</v>
      </c>
      <c r="Z1423">
        <v>30105</v>
      </c>
    </row>
    <row r="1424" spans="1:26" x14ac:dyDescent="0.25">
      <c r="A1424" t="s">
        <v>1777</v>
      </c>
      <c r="B1424" t="s">
        <v>26</v>
      </c>
      <c r="C1424" t="s">
        <v>27</v>
      </c>
      <c r="H1424" s="2">
        <v>44641.481944444444</v>
      </c>
      <c r="I1424" t="s">
        <v>1567</v>
      </c>
      <c r="Z1424">
        <v>30100</v>
      </c>
    </row>
    <row r="1425" spans="1:26" x14ac:dyDescent="0.25">
      <c r="A1425" t="s">
        <v>1778</v>
      </c>
      <c r="B1425" t="s">
        <v>26</v>
      </c>
      <c r="C1425" t="s">
        <v>27</v>
      </c>
      <c r="H1425" s="2">
        <v>44641.39166666667</v>
      </c>
      <c r="I1425" t="s">
        <v>521</v>
      </c>
      <c r="Z1425">
        <v>30083</v>
      </c>
    </row>
    <row r="1426" spans="1:26" x14ac:dyDescent="0.25">
      <c r="A1426" t="s">
        <v>1779</v>
      </c>
      <c r="B1426" t="s">
        <v>26</v>
      </c>
      <c r="C1426" t="s">
        <v>27</v>
      </c>
      <c r="H1426" s="2">
        <v>44640.515277777777</v>
      </c>
      <c r="I1426" t="s">
        <v>521</v>
      </c>
      <c r="Z1426">
        <v>30051</v>
      </c>
    </row>
    <row r="1427" spans="1:26" x14ac:dyDescent="0.25">
      <c r="A1427" t="s">
        <v>1754</v>
      </c>
      <c r="C1427" t="s">
        <v>27</v>
      </c>
      <c r="E1427" t="s">
        <v>2254</v>
      </c>
      <c r="H1427" s="2">
        <v>44639.493750000001</v>
      </c>
      <c r="I1427" t="s">
        <v>1638</v>
      </c>
      <c r="Z1427">
        <v>29997</v>
      </c>
    </row>
    <row r="1428" spans="1:26" x14ac:dyDescent="0.25">
      <c r="A1428" t="s">
        <v>1780</v>
      </c>
      <c r="B1428" t="s">
        <v>26</v>
      </c>
      <c r="C1428" t="s">
        <v>27</v>
      </c>
      <c r="H1428" s="2">
        <v>44636.579861111109</v>
      </c>
      <c r="I1428" t="s">
        <v>1567</v>
      </c>
      <c r="Z1428">
        <v>29852</v>
      </c>
    </row>
    <row r="1429" spans="1:26" x14ac:dyDescent="0.25">
      <c r="A1429" t="s">
        <v>1781</v>
      </c>
      <c r="B1429" t="s">
        <v>26</v>
      </c>
      <c r="C1429" t="s">
        <v>27</v>
      </c>
      <c r="H1429" s="2">
        <v>44635.643750000003</v>
      </c>
      <c r="I1429" t="s">
        <v>1567</v>
      </c>
      <c r="Z1429">
        <v>29818</v>
      </c>
    </row>
    <row r="1430" spans="1:26" x14ac:dyDescent="0.25">
      <c r="A1430" t="s">
        <v>1782</v>
      </c>
      <c r="B1430" t="s">
        <v>26</v>
      </c>
      <c r="C1430" t="s">
        <v>27</v>
      </c>
      <c r="H1430" s="2">
        <v>44635.492361111108</v>
      </c>
      <c r="I1430" t="s">
        <v>1567</v>
      </c>
      <c r="Z1430">
        <v>29804</v>
      </c>
    </row>
    <row r="1431" spans="1:26" x14ac:dyDescent="0.25">
      <c r="A1431" t="s">
        <v>1783</v>
      </c>
      <c r="B1431" t="s">
        <v>26</v>
      </c>
      <c r="C1431" t="s">
        <v>27</v>
      </c>
      <c r="H1431" s="2">
        <v>44634.799305555556</v>
      </c>
      <c r="I1431" t="s">
        <v>1617</v>
      </c>
      <c r="Z1431">
        <v>29781</v>
      </c>
    </row>
    <row r="1432" spans="1:26" x14ac:dyDescent="0.25">
      <c r="A1432" t="s">
        <v>1784</v>
      </c>
      <c r="B1432" t="s">
        <v>26</v>
      </c>
      <c r="C1432" t="s">
        <v>27</v>
      </c>
      <c r="H1432" s="2">
        <v>44634.649305555555</v>
      </c>
      <c r="I1432" t="s">
        <v>1617</v>
      </c>
      <c r="Z1432">
        <v>29761</v>
      </c>
    </row>
    <row r="1433" spans="1:26" x14ac:dyDescent="0.25">
      <c r="A1433" t="s">
        <v>1785</v>
      </c>
      <c r="B1433" t="s">
        <v>26</v>
      </c>
      <c r="C1433" t="s">
        <v>27</v>
      </c>
      <c r="H1433" s="2">
        <v>44634.525000000001</v>
      </c>
      <c r="I1433" t="s">
        <v>289</v>
      </c>
      <c r="Z1433">
        <v>29753</v>
      </c>
    </row>
    <row r="1434" spans="1:26" x14ac:dyDescent="0.25">
      <c r="A1434" t="s">
        <v>471</v>
      </c>
      <c r="B1434" t="s">
        <v>370</v>
      </c>
      <c r="C1434" t="s">
        <v>27</v>
      </c>
      <c r="E1434" t="s">
        <v>116</v>
      </c>
      <c r="H1434" s="2">
        <v>44634.455555555556</v>
      </c>
      <c r="I1434" t="s">
        <v>1638</v>
      </c>
      <c r="Z1434">
        <v>29746</v>
      </c>
    </row>
    <row r="1435" spans="1:26" x14ac:dyDescent="0.25">
      <c r="A1435" t="s">
        <v>1786</v>
      </c>
      <c r="B1435" t="s">
        <v>26</v>
      </c>
      <c r="C1435" t="s">
        <v>27</v>
      </c>
      <c r="H1435" s="2">
        <v>44633.845833333333</v>
      </c>
      <c r="I1435" t="s">
        <v>1617</v>
      </c>
      <c r="Z1435">
        <v>29730</v>
      </c>
    </row>
    <row r="1436" spans="1:26" x14ac:dyDescent="0.25">
      <c r="A1436" t="s">
        <v>1787</v>
      </c>
      <c r="B1436" t="s">
        <v>26</v>
      </c>
      <c r="C1436" t="s">
        <v>27</v>
      </c>
      <c r="H1436" s="2">
        <v>44633.613888888889</v>
      </c>
      <c r="I1436" t="s">
        <v>1638</v>
      </c>
      <c r="Z1436">
        <v>29705</v>
      </c>
    </row>
    <row r="1437" spans="1:26" x14ac:dyDescent="0.25">
      <c r="A1437" t="s">
        <v>1788</v>
      </c>
      <c r="B1437" t="s">
        <v>26</v>
      </c>
      <c r="C1437" t="s">
        <v>27</v>
      </c>
      <c r="H1437" s="2">
        <v>44633.578472222223</v>
      </c>
      <c r="I1437" t="s">
        <v>1617</v>
      </c>
      <c r="Z1437">
        <v>29696</v>
      </c>
    </row>
    <row r="1438" spans="1:26" x14ac:dyDescent="0.25">
      <c r="A1438" t="s">
        <v>1789</v>
      </c>
      <c r="B1438" t="s">
        <v>26</v>
      </c>
      <c r="C1438" t="s">
        <v>27</v>
      </c>
      <c r="H1438" s="2">
        <v>44632.760416666664</v>
      </c>
      <c r="I1438" t="s">
        <v>1617</v>
      </c>
      <c r="Z1438">
        <v>29656</v>
      </c>
    </row>
    <row r="1439" spans="1:26" x14ac:dyDescent="0.25">
      <c r="A1439" t="s">
        <v>1790</v>
      </c>
      <c r="B1439" t="s">
        <v>26</v>
      </c>
      <c r="C1439" t="s">
        <v>27</v>
      </c>
      <c r="H1439" s="2">
        <v>44632.720138888886</v>
      </c>
      <c r="I1439" t="s">
        <v>1617</v>
      </c>
      <c r="Z1439">
        <v>29651</v>
      </c>
    </row>
    <row r="1440" spans="1:26" x14ac:dyDescent="0.25">
      <c r="A1440" t="s">
        <v>1754</v>
      </c>
      <c r="C1440" t="s">
        <v>27</v>
      </c>
      <c r="E1440" t="s">
        <v>2255</v>
      </c>
      <c r="H1440" s="2">
        <v>44632.645833333336</v>
      </c>
      <c r="I1440" t="s">
        <v>1617</v>
      </c>
      <c r="Z1440">
        <v>29642</v>
      </c>
    </row>
    <row r="1441" spans="1:26" x14ac:dyDescent="0.25">
      <c r="A1441" t="s">
        <v>1791</v>
      </c>
      <c r="B1441" t="s">
        <v>26</v>
      </c>
      <c r="C1441" t="s">
        <v>27</v>
      </c>
      <c r="H1441" s="2">
        <v>44631.643750000003</v>
      </c>
      <c r="I1441" t="s">
        <v>521</v>
      </c>
      <c r="Z1441">
        <v>29568</v>
      </c>
    </row>
    <row r="1442" spans="1:26" x14ac:dyDescent="0.25">
      <c r="A1442" t="s">
        <v>1792</v>
      </c>
      <c r="B1442" t="s">
        <v>26</v>
      </c>
      <c r="C1442" t="s">
        <v>27</v>
      </c>
      <c r="H1442" s="2">
        <v>44631.493055555555</v>
      </c>
      <c r="I1442" t="s">
        <v>1567</v>
      </c>
      <c r="Z1442">
        <v>29540</v>
      </c>
    </row>
    <row r="1443" spans="1:26" x14ac:dyDescent="0.25">
      <c r="A1443" t="s">
        <v>1793</v>
      </c>
      <c r="B1443" t="s">
        <v>370</v>
      </c>
      <c r="C1443" t="s">
        <v>27</v>
      </c>
      <c r="E1443" t="s">
        <v>1452</v>
      </c>
      <c r="H1443" s="2">
        <v>44630.731944444444</v>
      </c>
      <c r="I1443" t="s">
        <v>1567</v>
      </c>
      <c r="Z1443">
        <v>29505</v>
      </c>
    </row>
    <row r="1444" spans="1:26" x14ac:dyDescent="0.25">
      <c r="A1444" t="s">
        <v>1794</v>
      </c>
      <c r="B1444" t="s">
        <v>26</v>
      </c>
      <c r="C1444" t="s">
        <v>27</v>
      </c>
      <c r="H1444" s="2">
        <v>44630.70416666667</v>
      </c>
      <c r="I1444" t="s">
        <v>1567</v>
      </c>
      <c r="Z1444">
        <v>29499</v>
      </c>
    </row>
    <row r="1445" spans="1:26" x14ac:dyDescent="0.25">
      <c r="A1445" t="s">
        <v>1391</v>
      </c>
      <c r="B1445" t="s">
        <v>472</v>
      </c>
      <c r="C1445" t="s">
        <v>71</v>
      </c>
      <c r="E1445" t="s">
        <v>119</v>
      </c>
      <c r="H1445" s="2">
        <v>44629.777777777781</v>
      </c>
      <c r="I1445" t="s">
        <v>521</v>
      </c>
      <c r="Z1445">
        <v>29449</v>
      </c>
    </row>
    <row r="1446" spans="1:26" x14ac:dyDescent="0.25">
      <c r="A1446" t="s">
        <v>1754</v>
      </c>
      <c r="C1446" t="s">
        <v>27</v>
      </c>
      <c r="E1446" t="s">
        <v>122</v>
      </c>
      <c r="H1446" s="2">
        <v>44628.79583333333</v>
      </c>
      <c r="I1446" t="s">
        <v>1617</v>
      </c>
      <c r="Z1446">
        <v>29402</v>
      </c>
    </row>
    <row r="1447" spans="1:26" x14ac:dyDescent="0.25">
      <c r="A1447" t="s">
        <v>1795</v>
      </c>
      <c r="B1447" t="s">
        <v>26</v>
      </c>
      <c r="C1447" t="s">
        <v>27</v>
      </c>
      <c r="H1447" s="2">
        <v>44628.569444444445</v>
      </c>
      <c r="I1447" t="s">
        <v>1617</v>
      </c>
      <c r="Z1447">
        <v>29384</v>
      </c>
    </row>
    <row r="1448" spans="1:26" x14ac:dyDescent="0.25">
      <c r="A1448" t="s">
        <v>1796</v>
      </c>
      <c r="B1448" t="s">
        <v>1797</v>
      </c>
      <c r="C1448" t="s">
        <v>27</v>
      </c>
      <c r="E1448" t="s">
        <v>72</v>
      </c>
      <c r="G1448" t="s">
        <v>1798</v>
      </c>
      <c r="H1448" s="2">
        <v>44628.465277777781</v>
      </c>
      <c r="I1448" t="s">
        <v>1638</v>
      </c>
      <c r="Z1448">
        <v>29371</v>
      </c>
    </row>
    <row r="1449" spans="1:26" x14ac:dyDescent="0.25">
      <c r="A1449" t="s">
        <v>1799</v>
      </c>
      <c r="B1449" t="s">
        <v>26</v>
      </c>
      <c r="C1449" t="s">
        <v>27</v>
      </c>
      <c r="H1449" s="2">
        <v>44627.681944444441</v>
      </c>
      <c r="I1449" t="s">
        <v>1617</v>
      </c>
      <c r="Z1449">
        <v>29354</v>
      </c>
    </row>
    <row r="1450" spans="1:26" x14ac:dyDescent="0.25">
      <c r="A1450" t="s">
        <v>1800</v>
      </c>
      <c r="B1450" t="s">
        <v>26</v>
      </c>
      <c r="C1450" t="s">
        <v>27</v>
      </c>
      <c r="H1450" s="2">
        <v>44625.43472222222</v>
      </c>
      <c r="I1450" t="s">
        <v>521</v>
      </c>
      <c r="Z1450">
        <v>29234</v>
      </c>
    </row>
    <row r="1451" spans="1:26" x14ac:dyDescent="0.25">
      <c r="A1451" t="s">
        <v>1801</v>
      </c>
      <c r="B1451" t="s">
        <v>1797</v>
      </c>
      <c r="C1451" t="s">
        <v>27</v>
      </c>
      <c r="E1451" t="s">
        <v>231</v>
      </c>
      <c r="G1451" t="s">
        <v>1802</v>
      </c>
      <c r="H1451" s="2">
        <v>44624.724305555559</v>
      </c>
      <c r="I1451" t="s">
        <v>521</v>
      </c>
      <c r="Z1451">
        <v>29221</v>
      </c>
    </row>
    <row r="1452" spans="1:26" x14ac:dyDescent="0.25">
      <c r="A1452" t="s">
        <v>1803</v>
      </c>
      <c r="B1452" t="s">
        <v>26</v>
      </c>
      <c r="C1452" t="s">
        <v>27</v>
      </c>
      <c r="H1452" s="2">
        <v>44624.570833333331</v>
      </c>
      <c r="I1452" t="s">
        <v>289</v>
      </c>
      <c r="Z1452">
        <v>29209</v>
      </c>
    </row>
    <row r="1453" spans="1:26" x14ac:dyDescent="0.25">
      <c r="A1453" t="s">
        <v>1391</v>
      </c>
      <c r="B1453" t="s">
        <v>472</v>
      </c>
      <c r="C1453" t="s">
        <v>27</v>
      </c>
      <c r="E1453" t="s">
        <v>119</v>
      </c>
      <c r="H1453" s="2">
        <v>44624.152777777781</v>
      </c>
      <c r="I1453" t="s">
        <v>521</v>
      </c>
      <c r="Z1453">
        <v>29190</v>
      </c>
    </row>
    <row r="1454" spans="1:26" x14ac:dyDescent="0.25">
      <c r="A1454" t="s">
        <v>1804</v>
      </c>
      <c r="B1454" t="s">
        <v>1797</v>
      </c>
      <c r="C1454" t="s">
        <v>27</v>
      </c>
      <c r="E1454" t="s">
        <v>525</v>
      </c>
      <c r="H1454" s="2">
        <v>44623.95</v>
      </c>
      <c r="I1454" t="s">
        <v>521</v>
      </c>
      <c r="Z1454">
        <v>29188</v>
      </c>
    </row>
    <row r="1455" spans="1:26" x14ac:dyDescent="0.25">
      <c r="A1455" t="s">
        <v>1805</v>
      </c>
      <c r="B1455" t="s">
        <v>1797</v>
      </c>
      <c r="C1455" t="s">
        <v>27</v>
      </c>
      <c r="E1455" t="s">
        <v>1806</v>
      </c>
      <c r="H1455" s="2">
        <v>44622.529861111114</v>
      </c>
      <c r="I1455" t="s">
        <v>1617</v>
      </c>
      <c r="Z1455">
        <v>29102</v>
      </c>
    </row>
    <row r="1456" spans="1:26" x14ac:dyDescent="0.25">
      <c r="A1456" t="s">
        <v>1807</v>
      </c>
      <c r="B1456" t="s">
        <v>26</v>
      </c>
      <c r="C1456" t="s">
        <v>27</v>
      </c>
      <c r="H1456" s="2">
        <v>44621.77847222222</v>
      </c>
      <c r="I1456" t="s">
        <v>1638</v>
      </c>
      <c r="Z1456">
        <v>29081</v>
      </c>
    </row>
    <row r="1457" spans="1:26" x14ac:dyDescent="0.25">
      <c r="A1457" t="s">
        <v>1808</v>
      </c>
      <c r="B1457" t="s">
        <v>26</v>
      </c>
      <c r="C1457" t="s">
        <v>27</v>
      </c>
      <c r="H1457" s="2">
        <v>44621.487500000003</v>
      </c>
      <c r="I1457" t="s">
        <v>1617</v>
      </c>
      <c r="Z1457">
        <v>29058</v>
      </c>
    </row>
    <row r="1458" spans="1:26" x14ac:dyDescent="0.25">
      <c r="A1458" t="s">
        <v>1809</v>
      </c>
      <c r="B1458" t="s">
        <v>26</v>
      </c>
      <c r="C1458" t="s">
        <v>27</v>
      </c>
      <c r="H1458" s="2">
        <v>44620.537499999999</v>
      </c>
      <c r="I1458" t="s">
        <v>1638</v>
      </c>
      <c r="Z1458">
        <v>29016</v>
      </c>
    </row>
    <row r="1459" spans="1:26" x14ac:dyDescent="0.25">
      <c r="A1459" t="s">
        <v>1433</v>
      </c>
      <c r="B1459" t="s">
        <v>26</v>
      </c>
      <c r="C1459" t="s">
        <v>27</v>
      </c>
      <c r="H1459" s="2">
        <v>44620.395833333336</v>
      </c>
      <c r="I1459" t="s">
        <v>1638</v>
      </c>
      <c r="Z1459">
        <v>29003</v>
      </c>
    </row>
    <row r="1460" spans="1:26" x14ac:dyDescent="0.25">
      <c r="A1460" t="s">
        <v>1810</v>
      </c>
      <c r="B1460" t="s">
        <v>1797</v>
      </c>
      <c r="C1460" t="s">
        <v>27</v>
      </c>
      <c r="E1460" t="s">
        <v>1811</v>
      </c>
      <c r="G1460" t="s">
        <v>1812</v>
      </c>
      <c r="H1460" s="2">
        <v>44619.900694444441</v>
      </c>
      <c r="I1460" t="s">
        <v>521</v>
      </c>
      <c r="Z1460">
        <v>28995</v>
      </c>
    </row>
    <row r="1461" spans="1:26" x14ac:dyDescent="0.25">
      <c r="A1461" t="s">
        <v>1813</v>
      </c>
      <c r="B1461" t="s">
        <v>26</v>
      </c>
      <c r="C1461" t="s">
        <v>27</v>
      </c>
      <c r="H1461" s="2">
        <v>44617.54583333333</v>
      </c>
      <c r="I1461" t="s">
        <v>521</v>
      </c>
      <c r="Z1461">
        <v>28918</v>
      </c>
    </row>
    <row r="1462" spans="1:26" x14ac:dyDescent="0.25">
      <c r="A1462" t="s">
        <v>1814</v>
      </c>
      <c r="B1462" t="s">
        <v>26</v>
      </c>
      <c r="C1462" t="s">
        <v>27</v>
      </c>
      <c r="H1462" s="2">
        <v>44617.472916666666</v>
      </c>
      <c r="I1462" t="s">
        <v>521</v>
      </c>
      <c r="Z1462">
        <v>28911</v>
      </c>
    </row>
    <row r="1463" spans="1:26" x14ac:dyDescent="0.25">
      <c r="A1463" t="s">
        <v>1815</v>
      </c>
      <c r="B1463" t="s">
        <v>26</v>
      </c>
      <c r="C1463" t="s">
        <v>27</v>
      </c>
      <c r="H1463" s="2">
        <v>44617.415277777778</v>
      </c>
      <c r="I1463" t="s">
        <v>1567</v>
      </c>
      <c r="Z1463">
        <v>28908</v>
      </c>
    </row>
    <row r="1464" spans="1:26" x14ac:dyDescent="0.25">
      <c r="A1464" t="s">
        <v>1816</v>
      </c>
      <c r="B1464" t="s">
        <v>26</v>
      </c>
      <c r="C1464" t="s">
        <v>27</v>
      </c>
      <c r="H1464" s="2">
        <v>44616.42083333333</v>
      </c>
      <c r="I1464" t="s">
        <v>1638</v>
      </c>
      <c r="Z1464">
        <v>28874</v>
      </c>
    </row>
    <row r="1465" spans="1:26" x14ac:dyDescent="0.25">
      <c r="A1465" t="s">
        <v>1754</v>
      </c>
      <c r="C1465" t="s">
        <v>27</v>
      </c>
      <c r="E1465" t="s">
        <v>1817</v>
      </c>
      <c r="H1465" s="2">
        <v>44616.418055555558</v>
      </c>
      <c r="I1465" t="s">
        <v>1617</v>
      </c>
      <c r="Z1465">
        <v>28873</v>
      </c>
    </row>
    <row r="1466" spans="1:26" x14ac:dyDescent="0.25">
      <c r="A1466" t="s">
        <v>1754</v>
      </c>
      <c r="C1466" t="s">
        <v>27</v>
      </c>
      <c r="E1466" t="s">
        <v>2256</v>
      </c>
      <c r="H1466" s="2">
        <v>44616.214583333334</v>
      </c>
      <c r="I1466" t="s">
        <v>1617</v>
      </c>
      <c r="Z1466">
        <v>28870</v>
      </c>
    </row>
    <row r="1467" spans="1:26" x14ac:dyDescent="0.25">
      <c r="A1467" t="s">
        <v>842</v>
      </c>
      <c r="B1467" t="s">
        <v>472</v>
      </c>
      <c r="C1467" t="s">
        <v>71</v>
      </c>
      <c r="E1467" t="s">
        <v>450</v>
      </c>
      <c r="H1467" s="2">
        <v>44615.740277777775</v>
      </c>
      <c r="I1467" t="s">
        <v>1638</v>
      </c>
      <c r="Z1467">
        <v>28862</v>
      </c>
    </row>
    <row r="1468" spans="1:26" x14ac:dyDescent="0.25">
      <c r="A1468" t="s">
        <v>842</v>
      </c>
      <c r="B1468" t="s">
        <v>472</v>
      </c>
      <c r="C1468" t="s">
        <v>27</v>
      </c>
      <c r="E1468" t="s">
        <v>450</v>
      </c>
      <c r="H1468" s="2">
        <v>44615.62222222222</v>
      </c>
      <c r="I1468" t="s">
        <v>1638</v>
      </c>
      <c r="Z1468">
        <v>28852</v>
      </c>
    </row>
    <row r="1469" spans="1:26" x14ac:dyDescent="0.25">
      <c r="A1469" t="s">
        <v>1818</v>
      </c>
      <c r="B1469" t="s">
        <v>43</v>
      </c>
      <c r="C1469" t="s">
        <v>27</v>
      </c>
      <c r="E1469" t="s">
        <v>1819</v>
      </c>
      <c r="G1469" t="s">
        <v>1820</v>
      </c>
      <c r="H1469" s="2">
        <v>44614.60833333333</v>
      </c>
      <c r="I1469" t="s">
        <v>1617</v>
      </c>
      <c r="Z1469">
        <v>28802</v>
      </c>
    </row>
    <row r="1470" spans="1:26" x14ac:dyDescent="0.25">
      <c r="A1470" t="s">
        <v>558</v>
      </c>
      <c r="B1470" t="s">
        <v>472</v>
      </c>
      <c r="C1470" t="s">
        <v>27</v>
      </c>
      <c r="E1470" t="s">
        <v>54</v>
      </c>
      <c r="H1470" s="2">
        <v>44613.53125</v>
      </c>
      <c r="I1470" t="s">
        <v>1567</v>
      </c>
      <c r="Z1470">
        <v>28743</v>
      </c>
    </row>
    <row r="1471" spans="1:26" x14ac:dyDescent="0.25">
      <c r="A1471" t="s">
        <v>1096</v>
      </c>
      <c r="B1471" t="s">
        <v>472</v>
      </c>
      <c r="C1471" t="s">
        <v>103</v>
      </c>
      <c r="E1471" t="s">
        <v>169</v>
      </c>
      <c r="H1471" s="2">
        <v>44613.283333333333</v>
      </c>
      <c r="I1471" t="s">
        <v>1567</v>
      </c>
      <c r="Z1471">
        <v>28718</v>
      </c>
    </row>
    <row r="1472" spans="1:26" x14ac:dyDescent="0.25">
      <c r="A1472" t="s">
        <v>1821</v>
      </c>
      <c r="B1472" t="s">
        <v>1797</v>
      </c>
      <c r="C1472" t="s">
        <v>27</v>
      </c>
      <c r="E1472" t="s">
        <v>1822</v>
      </c>
      <c r="H1472" s="2">
        <v>44612.798611111109</v>
      </c>
      <c r="I1472" t="s">
        <v>521</v>
      </c>
      <c r="Z1472">
        <v>28710</v>
      </c>
    </row>
    <row r="1473" spans="1:26" x14ac:dyDescent="0.25">
      <c r="A1473" t="s">
        <v>1810</v>
      </c>
      <c r="B1473" t="s">
        <v>1797</v>
      </c>
      <c r="C1473" t="s">
        <v>27</v>
      </c>
      <c r="E1473" t="s">
        <v>1811</v>
      </c>
      <c r="G1473" t="s">
        <v>1812</v>
      </c>
      <c r="H1473" s="2">
        <v>44612.524305555555</v>
      </c>
      <c r="I1473" t="s">
        <v>521</v>
      </c>
      <c r="Z1473">
        <v>28700</v>
      </c>
    </row>
    <row r="1474" spans="1:26" x14ac:dyDescent="0.25">
      <c r="A1474" t="s">
        <v>1823</v>
      </c>
      <c r="B1474" t="s">
        <v>26</v>
      </c>
      <c r="C1474" t="s">
        <v>27</v>
      </c>
      <c r="H1474" s="2">
        <v>44612.388888888891</v>
      </c>
      <c r="I1474" t="s">
        <v>521</v>
      </c>
      <c r="Z1474">
        <v>28689</v>
      </c>
    </row>
    <row r="1475" spans="1:26" x14ac:dyDescent="0.25">
      <c r="A1475" t="s">
        <v>1754</v>
      </c>
      <c r="C1475" t="s">
        <v>27</v>
      </c>
      <c r="E1475" t="s">
        <v>2257</v>
      </c>
      <c r="H1475" s="2">
        <v>44611.769444444442</v>
      </c>
      <c r="I1475" t="s">
        <v>289</v>
      </c>
      <c r="Z1475">
        <v>28677</v>
      </c>
    </row>
    <row r="1476" spans="1:26" x14ac:dyDescent="0.25">
      <c r="A1476" t="s">
        <v>1824</v>
      </c>
      <c r="B1476" t="s">
        <v>26</v>
      </c>
      <c r="C1476" t="s">
        <v>27</v>
      </c>
      <c r="H1476" s="2">
        <v>44611.427777777775</v>
      </c>
      <c r="I1476" t="s">
        <v>1567</v>
      </c>
      <c r="Z1476">
        <v>28651</v>
      </c>
    </row>
    <row r="1477" spans="1:26" x14ac:dyDescent="0.25">
      <c r="A1477" t="s">
        <v>1613</v>
      </c>
      <c r="B1477" t="s">
        <v>26</v>
      </c>
      <c r="C1477" t="s">
        <v>27</v>
      </c>
      <c r="H1477" s="2">
        <v>44611.413194444445</v>
      </c>
      <c r="I1477" t="s">
        <v>1567</v>
      </c>
      <c r="Z1477">
        <v>28649</v>
      </c>
    </row>
    <row r="1478" spans="1:26" x14ac:dyDescent="0.25">
      <c r="A1478" t="s">
        <v>1825</v>
      </c>
      <c r="B1478" t="s">
        <v>26</v>
      </c>
      <c r="C1478" t="s">
        <v>27</v>
      </c>
      <c r="H1478" s="2">
        <v>44610.62777777778</v>
      </c>
      <c r="I1478" t="s">
        <v>1617</v>
      </c>
      <c r="Z1478">
        <v>28614</v>
      </c>
    </row>
    <row r="1479" spans="1:26" x14ac:dyDescent="0.25">
      <c r="A1479" t="s">
        <v>1826</v>
      </c>
      <c r="B1479" t="s">
        <v>26</v>
      </c>
      <c r="C1479" t="s">
        <v>27</v>
      </c>
      <c r="H1479" s="2">
        <v>44609.584722222222</v>
      </c>
      <c r="I1479" t="s">
        <v>1617</v>
      </c>
      <c r="Z1479">
        <v>28527</v>
      </c>
    </row>
    <row r="1480" spans="1:26" x14ac:dyDescent="0.25">
      <c r="A1480" t="s">
        <v>1754</v>
      </c>
      <c r="C1480" t="s">
        <v>27</v>
      </c>
      <c r="E1480" t="s">
        <v>1827</v>
      </c>
      <c r="H1480" s="2">
        <v>44608.613194444442</v>
      </c>
      <c r="I1480" t="s">
        <v>1638</v>
      </c>
      <c r="Z1480">
        <v>28460</v>
      </c>
    </row>
    <row r="1481" spans="1:26" x14ac:dyDescent="0.25">
      <c r="A1481" t="s">
        <v>1754</v>
      </c>
      <c r="C1481" t="s">
        <v>27</v>
      </c>
      <c r="E1481" t="s">
        <v>1828</v>
      </c>
      <c r="H1481" s="2">
        <v>44608.607638888891</v>
      </c>
      <c r="I1481" t="s">
        <v>1638</v>
      </c>
      <c r="Z1481">
        <v>28458</v>
      </c>
    </row>
    <row r="1482" spans="1:26" x14ac:dyDescent="0.25">
      <c r="A1482" t="s">
        <v>1754</v>
      </c>
      <c r="C1482" t="s">
        <v>27</v>
      </c>
      <c r="E1482" t="s">
        <v>40</v>
      </c>
      <c r="H1482" s="2">
        <v>44608.570138888892</v>
      </c>
      <c r="I1482" t="s">
        <v>1617</v>
      </c>
      <c r="Z1482">
        <v>28453</v>
      </c>
    </row>
    <row r="1483" spans="1:26" x14ac:dyDescent="0.25">
      <c r="A1483" t="s">
        <v>1829</v>
      </c>
      <c r="B1483" t="s">
        <v>1797</v>
      </c>
      <c r="C1483" t="s">
        <v>71</v>
      </c>
      <c r="E1483" t="s">
        <v>79</v>
      </c>
      <c r="G1483" t="s">
        <v>1830</v>
      </c>
      <c r="H1483" s="2">
        <v>44606.625694444447</v>
      </c>
      <c r="I1483" t="s">
        <v>521</v>
      </c>
      <c r="Z1483">
        <v>28367</v>
      </c>
    </row>
    <row r="1484" spans="1:26" x14ac:dyDescent="0.25">
      <c r="A1484" t="s">
        <v>1831</v>
      </c>
      <c r="B1484" t="s">
        <v>43</v>
      </c>
      <c r="C1484" t="s">
        <v>27</v>
      </c>
      <c r="E1484" t="s">
        <v>1832</v>
      </c>
      <c r="G1484" t="s">
        <v>120</v>
      </c>
      <c r="H1484" s="2">
        <v>44606.571527777778</v>
      </c>
      <c r="I1484" t="s">
        <v>521</v>
      </c>
      <c r="Z1484">
        <v>28364</v>
      </c>
    </row>
    <row r="1485" spans="1:26" x14ac:dyDescent="0.25">
      <c r="A1485" t="s">
        <v>1833</v>
      </c>
      <c r="B1485" t="s">
        <v>26</v>
      </c>
      <c r="C1485" t="s">
        <v>27</v>
      </c>
      <c r="H1485" s="2">
        <v>44606.451388888891</v>
      </c>
      <c r="I1485" t="s">
        <v>1567</v>
      </c>
      <c r="Z1485">
        <v>28347</v>
      </c>
    </row>
    <row r="1486" spans="1:26" x14ac:dyDescent="0.25">
      <c r="A1486" t="s">
        <v>1754</v>
      </c>
      <c r="C1486" t="s">
        <v>27</v>
      </c>
      <c r="E1486" t="s">
        <v>1834</v>
      </c>
      <c r="H1486" s="2">
        <v>44606.431944444441</v>
      </c>
      <c r="I1486" t="s">
        <v>1567</v>
      </c>
      <c r="Z1486">
        <v>28346</v>
      </c>
    </row>
    <row r="1487" spans="1:26" x14ac:dyDescent="0.25">
      <c r="A1487" t="s">
        <v>1835</v>
      </c>
      <c r="B1487" t="s">
        <v>26</v>
      </c>
      <c r="C1487" t="s">
        <v>27</v>
      </c>
      <c r="H1487" s="2">
        <v>44603.802777777775</v>
      </c>
      <c r="I1487" t="s">
        <v>1617</v>
      </c>
      <c r="Z1487">
        <v>28254</v>
      </c>
    </row>
    <row r="1488" spans="1:26" x14ac:dyDescent="0.25">
      <c r="A1488" t="s">
        <v>1836</v>
      </c>
      <c r="B1488" t="s">
        <v>26</v>
      </c>
      <c r="C1488" t="s">
        <v>27</v>
      </c>
      <c r="H1488" s="2">
        <v>44603.729861111111</v>
      </c>
      <c r="I1488" t="s">
        <v>1617</v>
      </c>
      <c r="Z1488">
        <v>28250</v>
      </c>
    </row>
    <row r="1489" spans="1:26" x14ac:dyDescent="0.25">
      <c r="A1489" t="s">
        <v>1837</v>
      </c>
      <c r="B1489" t="s">
        <v>26</v>
      </c>
      <c r="C1489" t="s">
        <v>27</v>
      </c>
      <c r="H1489" s="2">
        <v>44603.536111111112</v>
      </c>
      <c r="I1489" t="s">
        <v>1638</v>
      </c>
      <c r="Z1489">
        <v>28232</v>
      </c>
    </row>
    <row r="1490" spans="1:26" x14ac:dyDescent="0.25">
      <c r="A1490" t="s">
        <v>1754</v>
      </c>
      <c r="C1490" t="s">
        <v>27</v>
      </c>
      <c r="E1490" t="s">
        <v>1838</v>
      </c>
      <c r="H1490" s="2">
        <v>44603.227777777778</v>
      </c>
      <c r="I1490" t="s">
        <v>1638</v>
      </c>
      <c r="Z1490">
        <v>28218</v>
      </c>
    </row>
    <row r="1491" spans="1:26" x14ac:dyDescent="0.25">
      <c r="A1491" t="s">
        <v>1839</v>
      </c>
      <c r="B1491" t="s">
        <v>26</v>
      </c>
      <c r="C1491" t="s">
        <v>27</v>
      </c>
      <c r="H1491" s="2">
        <v>44602.502083333333</v>
      </c>
      <c r="I1491" t="s">
        <v>1617</v>
      </c>
      <c r="Z1491">
        <v>28194</v>
      </c>
    </row>
    <row r="1492" spans="1:26" x14ac:dyDescent="0.25">
      <c r="A1492" t="s">
        <v>1840</v>
      </c>
      <c r="B1492" t="s">
        <v>1797</v>
      </c>
      <c r="C1492" t="s">
        <v>27</v>
      </c>
      <c r="E1492" t="s">
        <v>83</v>
      </c>
      <c r="H1492" s="2">
        <v>44601.652777777781</v>
      </c>
      <c r="I1492" t="s">
        <v>521</v>
      </c>
      <c r="Z1492">
        <v>28161</v>
      </c>
    </row>
    <row r="1493" spans="1:26" x14ac:dyDescent="0.25">
      <c r="A1493" t="s">
        <v>1754</v>
      </c>
      <c r="C1493" t="s">
        <v>27</v>
      </c>
      <c r="E1493" t="s">
        <v>1841</v>
      </c>
      <c r="H1493" s="2">
        <v>44601.581250000003</v>
      </c>
      <c r="I1493" t="s">
        <v>289</v>
      </c>
      <c r="Z1493">
        <v>28157</v>
      </c>
    </row>
    <row r="1494" spans="1:26" x14ac:dyDescent="0.25">
      <c r="A1494" t="s">
        <v>1754</v>
      </c>
      <c r="C1494" t="s">
        <v>27</v>
      </c>
      <c r="E1494" t="s">
        <v>2258</v>
      </c>
      <c r="H1494" s="2">
        <v>44601.321527777778</v>
      </c>
      <c r="I1494" t="s">
        <v>289</v>
      </c>
      <c r="Z1494">
        <v>28141</v>
      </c>
    </row>
    <row r="1495" spans="1:26" x14ac:dyDescent="0.25">
      <c r="A1495" t="s">
        <v>1530</v>
      </c>
      <c r="B1495" t="s">
        <v>43</v>
      </c>
      <c r="C1495" t="s">
        <v>27</v>
      </c>
      <c r="E1495" t="s">
        <v>851</v>
      </c>
      <c r="G1495" t="s">
        <v>567</v>
      </c>
      <c r="H1495" s="2">
        <v>44601.240277777775</v>
      </c>
      <c r="I1495" t="s">
        <v>1567</v>
      </c>
      <c r="Z1495">
        <v>28140</v>
      </c>
    </row>
    <row r="1496" spans="1:26" x14ac:dyDescent="0.25">
      <c r="A1496" t="s">
        <v>1842</v>
      </c>
      <c r="B1496" t="s">
        <v>26</v>
      </c>
      <c r="C1496" t="s">
        <v>27</v>
      </c>
      <c r="H1496" s="2">
        <v>44600.565972222219</v>
      </c>
      <c r="I1496" t="s">
        <v>1567</v>
      </c>
      <c r="Z1496">
        <v>28120</v>
      </c>
    </row>
    <row r="1497" spans="1:26" x14ac:dyDescent="0.25">
      <c r="A1497" t="s">
        <v>1843</v>
      </c>
      <c r="B1497" t="s">
        <v>26</v>
      </c>
      <c r="C1497" t="s">
        <v>27</v>
      </c>
      <c r="H1497" s="2">
        <v>44599.468055555553</v>
      </c>
      <c r="I1497" t="s">
        <v>521</v>
      </c>
      <c r="Z1497">
        <v>28063</v>
      </c>
    </row>
    <row r="1498" spans="1:26" x14ac:dyDescent="0.25">
      <c r="A1498" t="s">
        <v>1844</v>
      </c>
      <c r="B1498" t="s">
        <v>26</v>
      </c>
      <c r="C1498" t="s">
        <v>27</v>
      </c>
      <c r="H1498" s="2">
        <v>44599.395138888889</v>
      </c>
      <c r="I1498" t="s">
        <v>521</v>
      </c>
      <c r="Z1498">
        <v>28056</v>
      </c>
    </row>
    <row r="1499" spans="1:26" x14ac:dyDescent="0.25">
      <c r="A1499" t="s">
        <v>1845</v>
      </c>
      <c r="B1499" t="s">
        <v>370</v>
      </c>
      <c r="C1499" t="s">
        <v>27</v>
      </c>
      <c r="E1499" t="s">
        <v>41</v>
      </c>
      <c r="G1499" t="s">
        <v>1846</v>
      </c>
      <c r="H1499" s="2">
        <v>44598.612500000003</v>
      </c>
      <c r="I1499" t="s">
        <v>1567</v>
      </c>
      <c r="Z1499">
        <v>28039</v>
      </c>
    </row>
    <row r="1500" spans="1:26" x14ac:dyDescent="0.25">
      <c r="A1500" t="s">
        <v>1754</v>
      </c>
      <c r="C1500" t="s">
        <v>27</v>
      </c>
      <c r="E1500" t="s">
        <v>1847</v>
      </c>
      <c r="H1500" s="2">
        <v>44598.506249999999</v>
      </c>
      <c r="I1500" t="s">
        <v>1567</v>
      </c>
      <c r="Z1500">
        <v>28030</v>
      </c>
    </row>
    <row r="1501" spans="1:26" x14ac:dyDescent="0.25">
      <c r="A1501" t="s">
        <v>1848</v>
      </c>
      <c r="B1501" t="s">
        <v>1797</v>
      </c>
      <c r="C1501" t="s">
        <v>27</v>
      </c>
      <c r="E1501" t="s">
        <v>41</v>
      </c>
      <c r="G1501" t="s">
        <v>1849</v>
      </c>
      <c r="H1501" s="2">
        <v>44598.489583333336</v>
      </c>
      <c r="I1501" t="s">
        <v>1617</v>
      </c>
      <c r="Z1501">
        <v>28027</v>
      </c>
    </row>
    <row r="1502" spans="1:26" x14ac:dyDescent="0.25">
      <c r="A1502" t="s">
        <v>1754</v>
      </c>
      <c r="C1502" t="s">
        <v>27</v>
      </c>
      <c r="E1502" t="s">
        <v>1850</v>
      </c>
      <c r="H1502" s="2">
        <v>44598.029166666667</v>
      </c>
      <c r="I1502" t="s">
        <v>289</v>
      </c>
      <c r="Z1502">
        <v>28015</v>
      </c>
    </row>
    <row r="1503" spans="1:26" x14ac:dyDescent="0.25">
      <c r="A1503" t="s">
        <v>1851</v>
      </c>
      <c r="B1503" t="s">
        <v>26</v>
      </c>
      <c r="C1503" t="s">
        <v>27</v>
      </c>
      <c r="H1503" s="2">
        <v>44597.884027777778</v>
      </c>
      <c r="I1503" t="s">
        <v>1617</v>
      </c>
      <c r="Z1503">
        <v>28012</v>
      </c>
    </row>
    <row r="1504" spans="1:26" x14ac:dyDescent="0.25">
      <c r="A1504" t="s">
        <v>1754</v>
      </c>
      <c r="C1504" t="s">
        <v>27</v>
      </c>
      <c r="E1504" t="s">
        <v>1852</v>
      </c>
      <c r="H1504" s="2">
        <v>44597.868750000001</v>
      </c>
      <c r="I1504" t="s">
        <v>1617</v>
      </c>
      <c r="Z1504">
        <v>28011</v>
      </c>
    </row>
    <row r="1505" spans="1:26" x14ac:dyDescent="0.25">
      <c r="A1505" t="s">
        <v>1853</v>
      </c>
      <c r="B1505" t="s">
        <v>370</v>
      </c>
      <c r="C1505" t="s">
        <v>27</v>
      </c>
      <c r="E1505" t="s">
        <v>1854</v>
      </c>
      <c r="G1505" t="s">
        <v>1855</v>
      </c>
      <c r="H1505" s="2">
        <v>44597.818749999999</v>
      </c>
      <c r="I1505" t="s">
        <v>521</v>
      </c>
      <c r="Z1505">
        <v>28008</v>
      </c>
    </row>
    <row r="1506" spans="1:26" x14ac:dyDescent="0.25">
      <c r="A1506" t="s">
        <v>477</v>
      </c>
      <c r="B1506" t="s">
        <v>1856</v>
      </c>
      <c r="C1506" t="s">
        <v>27</v>
      </c>
      <c r="E1506" t="s">
        <v>478</v>
      </c>
      <c r="H1506" s="2">
        <v>44597.590277777781</v>
      </c>
      <c r="I1506" t="s">
        <v>1617</v>
      </c>
      <c r="Z1506">
        <v>27992</v>
      </c>
    </row>
    <row r="1507" spans="1:26" x14ac:dyDescent="0.25">
      <c r="A1507" t="s">
        <v>1857</v>
      </c>
      <c r="B1507" t="s">
        <v>26</v>
      </c>
      <c r="C1507" t="s">
        <v>27</v>
      </c>
      <c r="H1507" s="2">
        <v>44594.8125</v>
      </c>
      <c r="I1507" t="s">
        <v>1567</v>
      </c>
      <c r="Z1507">
        <v>27902</v>
      </c>
    </row>
    <row r="1508" spans="1:26" x14ac:dyDescent="0.25">
      <c r="A1508" t="s">
        <v>1858</v>
      </c>
      <c r="B1508" t="s">
        <v>26</v>
      </c>
      <c r="C1508" t="s">
        <v>27</v>
      </c>
      <c r="H1508" s="2">
        <v>44592.490972222222</v>
      </c>
      <c r="I1508" t="s">
        <v>1617</v>
      </c>
      <c r="Z1508">
        <v>27786</v>
      </c>
    </row>
    <row r="1509" spans="1:26" x14ac:dyDescent="0.25">
      <c r="A1509" t="s">
        <v>1859</v>
      </c>
      <c r="B1509" t="s">
        <v>26</v>
      </c>
      <c r="C1509" t="s">
        <v>27</v>
      </c>
      <c r="H1509" s="2">
        <v>44592.388888888891</v>
      </c>
      <c r="I1509" t="s">
        <v>1638</v>
      </c>
      <c r="Z1509">
        <v>27780</v>
      </c>
    </row>
    <row r="1510" spans="1:26" x14ac:dyDescent="0.25">
      <c r="A1510" t="s">
        <v>1860</v>
      </c>
      <c r="B1510" t="s">
        <v>26</v>
      </c>
      <c r="C1510" t="s">
        <v>27</v>
      </c>
      <c r="E1510" t="s">
        <v>1861</v>
      </c>
      <c r="G1510" t="s">
        <v>1862</v>
      </c>
      <c r="H1510" s="2">
        <v>44591.493750000001</v>
      </c>
      <c r="I1510" t="s">
        <v>1617</v>
      </c>
      <c r="Z1510">
        <v>27756</v>
      </c>
    </row>
    <row r="1511" spans="1:26" x14ac:dyDescent="0.25">
      <c r="A1511" t="s">
        <v>1863</v>
      </c>
      <c r="B1511" t="s">
        <v>1797</v>
      </c>
      <c r="C1511" t="s">
        <v>27</v>
      </c>
      <c r="E1511" t="s">
        <v>1864</v>
      </c>
      <c r="G1511">
        <v>2</v>
      </c>
      <c r="H1511" s="2">
        <v>44591.448611111111</v>
      </c>
      <c r="I1511" t="s">
        <v>1617</v>
      </c>
      <c r="Z1511">
        <v>27750</v>
      </c>
    </row>
    <row r="1512" spans="1:26" x14ac:dyDescent="0.25">
      <c r="A1512" t="s">
        <v>1866</v>
      </c>
      <c r="B1512" t="s">
        <v>26</v>
      </c>
      <c r="C1512" t="s">
        <v>27</v>
      </c>
      <c r="H1512" s="2">
        <v>44589.445138888892</v>
      </c>
      <c r="I1512" t="s">
        <v>521</v>
      </c>
      <c r="Z1512">
        <v>27629</v>
      </c>
    </row>
    <row r="1513" spans="1:26" x14ac:dyDescent="0.25">
      <c r="A1513" t="s">
        <v>1509</v>
      </c>
      <c r="B1513" t="s">
        <v>541</v>
      </c>
      <c r="C1513" t="s">
        <v>27</v>
      </c>
      <c r="E1513" t="s">
        <v>72</v>
      </c>
      <c r="H1513" s="2">
        <v>44589.381944444445</v>
      </c>
      <c r="I1513" t="s">
        <v>521</v>
      </c>
      <c r="K1513" t="s">
        <v>30</v>
      </c>
      <c r="L1513" t="s">
        <v>31</v>
      </c>
      <c r="M1513">
        <v>67131912</v>
      </c>
      <c r="N1513">
        <v>11356760665</v>
      </c>
      <c r="O1513" t="s">
        <v>123</v>
      </c>
      <c r="Z1513">
        <v>27622</v>
      </c>
    </row>
    <row r="1514" spans="1:26" x14ac:dyDescent="0.25">
      <c r="A1514" t="s">
        <v>1867</v>
      </c>
      <c r="B1514" t="s">
        <v>26</v>
      </c>
      <c r="C1514" t="s">
        <v>27</v>
      </c>
      <c r="H1514" s="2">
        <v>44588.76458333333</v>
      </c>
      <c r="I1514" t="s">
        <v>1567</v>
      </c>
      <c r="Z1514">
        <v>27606</v>
      </c>
    </row>
    <row r="1515" spans="1:26" x14ac:dyDescent="0.25">
      <c r="A1515" t="s">
        <v>1868</v>
      </c>
      <c r="B1515" t="s">
        <v>26</v>
      </c>
      <c r="C1515" t="s">
        <v>27</v>
      </c>
      <c r="H1515" s="2">
        <v>44587.723611111112</v>
      </c>
      <c r="I1515" t="s">
        <v>521</v>
      </c>
      <c r="Z1515">
        <v>27568</v>
      </c>
    </row>
    <row r="1516" spans="1:26" x14ac:dyDescent="0.25">
      <c r="A1516" t="s">
        <v>1869</v>
      </c>
      <c r="B1516" t="s">
        <v>370</v>
      </c>
      <c r="C1516" t="s">
        <v>27</v>
      </c>
      <c r="E1516" t="s">
        <v>525</v>
      </c>
      <c r="G1516" t="s">
        <v>1870</v>
      </c>
      <c r="H1516" s="2">
        <v>44587.65625</v>
      </c>
      <c r="I1516" t="s">
        <v>1567</v>
      </c>
      <c r="Z1516">
        <v>27565</v>
      </c>
    </row>
    <row r="1517" spans="1:26" x14ac:dyDescent="0.25">
      <c r="A1517" t="s">
        <v>1871</v>
      </c>
      <c r="B1517" t="s">
        <v>26</v>
      </c>
      <c r="C1517" t="s">
        <v>27</v>
      </c>
      <c r="H1517" s="2">
        <v>44587.64166666667</v>
      </c>
      <c r="I1517" t="s">
        <v>1567</v>
      </c>
      <c r="Z1517">
        <v>27563</v>
      </c>
    </row>
    <row r="1518" spans="1:26" x14ac:dyDescent="0.25">
      <c r="A1518" t="s">
        <v>1754</v>
      </c>
      <c r="C1518" t="s">
        <v>27</v>
      </c>
      <c r="E1518" t="s">
        <v>1872</v>
      </c>
      <c r="H1518" s="2">
        <v>44586.572916666664</v>
      </c>
      <c r="I1518" t="s">
        <v>1638</v>
      </c>
      <c r="Z1518">
        <v>27500</v>
      </c>
    </row>
    <row r="1519" spans="1:26" x14ac:dyDescent="0.25">
      <c r="A1519" t="s">
        <v>1754</v>
      </c>
      <c r="C1519" t="s">
        <v>27</v>
      </c>
      <c r="E1519" t="s">
        <v>1873</v>
      </c>
      <c r="H1519" s="2">
        <v>44586.497916666667</v>
      </c>
      <c r="I1519" t="s">
        <v>1638</v>
      </c>
      <c r="Z1519">
        <v>27488</v>
      </c>
    </row>
    <row r="1520" spans="1:26" x14ac:dyDescent="0.25">
      <c r="A1520" t="s">
        <v>1875</v>
      </c>
      <c r="B1520" t="s">
        <v>26</v>
      </c>
      <c r="C1520" t="s">
        <v>27</v>
      </c>
      <c r="H1520" s="2">
        <v>44586.393750000003</v>
      </c>
      <c r="I1520" t="s">
        <v>1617</v>
      </c>
      <c r="Z1520">
        <v>27476</v>
      </c>
    </row>
    <row r="1521" spans="1:26" x14ac:dyDescent="0.25">
      <c r="A1521" t="s">
        <v>1876</v>
      </c>
      <c r="B1521" t="s">
        <v>26</v>
      </c>
      <c r="C1521" t="s">
        <v>27</v>
      </c>
      <c r="H1521" s="2">
        <v>44585.669444444444</v>
      </c>
      <c r="I1521" t="s">
        <v>1617</v>
      </c>
      <c r="Z1521">
        <v>27453</v>
      </c>
    </row>
    <row r="1522" spans="1:26" x14ac:dyDescent="0.25">
      <c r="A1522" t="s">
        <v>1877</v>
      </c>
      <c r="B1522" t="s">
        <v>43</v>
      </c>
      <c r="C1522" t="s">
        <v>27</v>
      </c>
      <c r="E1522" t="s">
        <v>116</v>
      </c>
      <c r="G1522" t="s">
        <v>1878</v>
      </c>
      <c r="H1522" s="2">
        <v>44585.665972222225</v>
      </c>
      <c r="I1522" t="s">
        <v>1638</v>
      </c>
      <c r="Z1522">
        <v>27451</v>
      </c>
    </row>
    <row r="1523" spans="1:26" x14ac:dyDescent="0.25">
      <c r="A1523" t="s">
        <v>1879</v>
      </c>
      <c r="B1523" t="s">
        <v>26</v>
      </c>
      <c r="C1523" t="s">
        <v>27</v>
      </c>
      <c r="H1523" s="2">
        <v>44584.599305555559</v>
      </c>
      <c r="I1523" t="s">
        <v>1617</v>
      </c>
      <c r="Z1523">
        <v>27382</v>
      </c>
    </row>
    <row r="1524" spans="1:26" x14ac:dyDescent="0.25">
      <c r="A1524" t="s">
        <v>1754</v>
      </c>
      <c r="C1524" t="s">
        <v>27</v>
      </c>
      <c r="E1524" t="s">
        <v>1880</v>
      </c>
      <c r="H1524" s="2">
        <v>44584.544444444444</v>
      </c>
      <c r="I1524" t="s">
        <v>1638</v>
      </c>
      <c r="Z1524">
        <v>27377</v>
      </c>
    </row>
    <row r="1525" spans="1:26" x14ac:dyDescent="0.25">
      <c r="A1525" t="s">
        <v>1881</v>
      </c>
      <c r="B1525" t="s">
        <v>1797</v>
      </c>
      <c r="C1525" t="s">
        <v>27</v>
      </c>
      <c r="E1525" t="s">
        <v>81</v>
      </c>
      <c r="G1525" t="s">
        <v>1882</v>
      </c>
      <c r="H1525" s="2">
        <v>44583.731944444444</v>
      </c>
      <c r="I1525" t="s">
        <v>1638</v>
      </c>
      <c r="Z1525">
        <v>27358</v>
      </c>
    </row>
    <row r="1526" spans="1:26" x14ac:dyDescent="0.25">
      <c r="A1526" t="s">
        <v>1883</v>
      </c>
      <c r="B1526" t="s">
        <v>26</v>
      </c>
      <c r="C1526" t="s">
        <v>27</v>
      </c>
      <c r="H1526" s="2">
        <v>44582.602083333331</v>
      </c>
      <c r="I1526" t="s">
        <v>521</v>
      </c>
      <c r="Z1526">
        <v>27307</v>
      </c>
    </row>
    <row r="1527" spans="1:26" x14ac:dyDescent="0.25">
      <c r="A1527" t="s">
        <v>1884</v>
      </c>
      <c r="B1527" t="s">
        <v>26</v>
      </c>
      <c r="C1527" t="s">
        <v>27</v>
      </c>
      <c r="H1527" s="2">
        <v>44582.56527777778</v>
      </c>
      <c r="I1527" t="s">
        <v>521</v>
      </c>
      <c r="Z1527">
        <v>27301</v>
      </c>
    </row>
    <row r="1528" spans="1:26" x14ac:dyDescent="0.25">
      <c r="A1528" t="s">
        <v>1869</v>
      </c>
      <c r="B1528" t="s">
        <v>370</v>
      </c>
      <c r="C1528" t="s">
        <v>27</v>
      </c>
      <c r="E1528" t="s">
        <v>525</v>
      </c>
      <c r="G1528" t="s">
        <v>1870</v>
      </c>
      <c r="H1528" s="2">
        <v>44582.513194444444</v>
      </c>
      <c r="I1528" t="s">
        <v>1567</v>
      </c>
      <c r="K1528" t="s">
        <v>30</v>
      </c>
      <c r="L1528" t="s">
        <v>31</v>
      </c>
      <c r="M1528">
        <v>67131912</v>
      </c>
      <c r="N1528">
        <v>11356760646</v>
      </c>
      <c r="O1528" t="s">
        <v>1092</v>
      </c>
      <c r="Z1528">
        <v>27293</v>
      </c>
    </row>
    <row r="1529" spans="1:26" x14ac:dyDescent="0.25">
      <c r="A1529" t="s">
        <v>1885</v>
      </c>
      <c r="B1529" t="s">
        <v>26</v>
      </c>
      <c r="C1529" t="s">
        <v>27</v>
      </c>
      <c r="H1529" s="2">
        <v>44581.625</v>
      </c>
      <c r="I1529" t="s">
        <v>521</v>
      </c>
      <c r="Z1529">
        <v>27255</v>
      </c>
    </row>
    <row r="1530" spans="1:26" x14ac:dyDescent="0.25">
      <c r="A1530" t="s">
        <v>1886</v>
      </c>
      <c r="B1530" t="s">
        <v>26</v>
      </c>
      <c r="C1530" t="s">
        <v>27</v>
      </c>
      <c r="H1530" s="2">
        <v>44581.595138888886</v>
      </c>
      <c r="I1530" t="s">
        <v>1567</v>
      </c>
      <c r="Z1530">
        <v>27248</v>
      </c>
    </row>
    <row r="1531" spans="1:26" x14ac:dyDescent="0.25">
      <c r="A1531" t="s">
        <v>1887</v>
      </c>
      <c r="B1531" t="s">
        <v>26</v>
      </c>
      <c r="C1531" t="s">
        <v>27</v>
      </c>
      <c r="H1531" s="2">
        <v>44581.517361111109</v>
      </c>
      <c r="I1531" t="s">
        <v>521</v>
      </c>
      <c r="Z1531">
        <v>27242</v>
      </c>
    </row>
    <row r="1532" spans="1:26" x14ac:dyDescent="0.25">
      <c r="A1532" t="s">
        <v>1888</v>
      </c>
      <c r="B1532" t="s">
        <v>26</v>
      </c>
      <c r="C1532" t="s">
        <v>27</v>
      </c>
      <c r="H1532" s="2">
        <v>44581.505555555559</v>
      </c>
      <c r="I1532" t="s">
        <v>521</v>
      </c>
      <c r="Z1532">
        <v>27240</v>
      </c>
    </row>
    <row r="1533" spans="1:26" x14ac:dyDescent="0.25">
      <c r="A1533" t="s">
        <v>1863</v>
      </c>
      <c r="B1533" t="s">
        <v>1797</v>
      </c>
      <c r="C1533" t="s">
        <v>27</v>
      </c>
      <c r="E1533" t="s">
        <v>1864</v>
      </c>
      <c r="G1533">
        <v>2</v>
      </c>
      <c r="H1533" s="2">
        <v>44580.53125</v>
      </c>
      <c r="I1533" t="s">
        <v>1617</v>
      </c>
      <c r="Z1533">
        <v>27193</v>
      </c>
    </row>
    <row r="1534" spans="1:26" x14ac:dyDescent="0.25">
      <c r="A1534" t="s">
        <v>1890</v>
      </c>
      <c r="B1534" t="s">
        <v>26</v>
      </c>
      <c r="C1534" t="s">
        <v>27</v>
      </c>
      <c r="H1534" s="2">
        <v>44579.587500000001</v>
      </c>
      <c r="I1534" t="s">
        <v>1617</v>
      </c>
      <c r="Z1534">
        <v>27127</v>
      </c>
    </row>
    <row r="1535" spans="1:26" x14ac:dyDescent="0.25">
      <c r="A1535" t="s">
        <v>1754</v>
      </c>
      <c r="C1535" t="s">
        <v>27</v>
      </c>
      <c r="E1535" t="s">
        <v>1891</v>
      </c>
      <c r="H1535" s="2">
        <v>44579.555555555555</v>
      </c>
      <c r="I1535" t="s">
        <v>1638</v>
      </c>
      <c r="Z1535">
        <v>27125</v>
      </c>
    </row>
    <row r="1536" spans="1:26" x14ac:dyDescent="0.25">
      <c r="A1536" t="s">
        <v>1754</v>
      </c>
      <c r="C1536" t="s">
        <v>27</v>
      </c>
      <c r="E1536" t="s">
        <v>1892</v>
      </c>
      <c r="H1536" s="2">
        <v>44579.43472222222</v>
      </c>
      <c r="I1536" t="s">
        <v>1638</v>
      </c>
      <c r="Z1536">
        <v>27109</v>
      </c>
    </row>
    <row r="1537" spans="1:26" x14ac:dyDescent="0.25">
      <c r="A1537" t="s">
        <v>1889</v>
      </c>
      <c r="B1537" t="s">
        <v>26</v>
      </c>
      <c r="C1537" t="s">
        <v>27</v>
      </c>
      <c r="H1537" s="2">
        <v>44578.799305555556</v>
      </c>
      <c r="I1537" t="s">
        <v>1638</v>
      </c>
      <c r="Z1537">
        <v>27097</v>
      </c>
    </row>
    <row r="1538" spans="1:26" x14ac:dyDescent="0.25">
      <c r="A1538" t="s">
        <v>1893</v>
      </c>
      <c r="B1538" t="s">
        <v>26</v>
      </c>
      <c r="C1538" t="s">
        <v>27</v>
      </c>
      <c r="H1538" s="2">
        <v>44578.728472222225</v>
      </c>
      <c r="I1538" t="s">
        <v>1617</v>
      </c>
      <c r="Z1538">
        <v>27091</v>
      </c>
    </row>
    <row r="1539" spans="1:26" x14ac:dyDescent="0.25">
      <c r="A1539" t="s">
        <v>1894</v>
      </c>
      <c r="B1539" t="s">
        <v>472</v>
      </c>
      <c r="C1539" t="s">
        <v>27</v>
      </c>
      <c r="E1539" t="s">
        <v>1895</v>
      </c>
      <c r="H1539" s="2">
        <v>44578.543055555558</v>
      </c>
      <c r="I1539" t="s">
        <v>1617</v>
      </c>
      <c r="Z1539">
        <v>27071</v>
      </c>
    </row>
    <row r="1540" spans="1:26" x14ac:dyDescent="0.25">
      <c r="A1540" t="s">
        <v>1896</v>
      </c>
      <c r="B1540" t="s">
        <v>26</v>
      </c>
      <c r="C1540" t="s">
        <v>27</v>
      </c>
      <c r="H1540" s="2">
        <v>44577.71875</v>
      </c>
      <c r="I1540" t="s">
        <v>521</v>
      </c>
      <c r="Z1540">
        <v>27040</v>
      </c>
    </row>
    <row r="1541" spans="1:26" x14ac:dyDescent="0.25">
      <c r="A1541" t="s">
        <v>1897</v>
      </c>
      <c r="B1541" t="s">
        <v>26</v>
      </c>
      <c r="C1541" t="s">
        <v>27</v>
      </c>
      <c r="H1541" s="2">
        <v>44577.565972222219</v>
      </c>
      <c r="I1541" t="s">
        <v>521</v>
      </c>
      <c r="Z1541">
        <v>27026</v>
      </c>
    </row>
    <row r="1542" spans="1:26" x14ac:dyDescent="0.25">
      <c r="A1542" t="s">
        <v>1829</v>
      </c>
      <c r="B1542" t="s">
        <v>1797</v>
      </c>
      <c r="C1542" t="s">
        <v>27</v>
      </c>
      <c r="E1542" t="s">
        <v>79</v>
      </c>
      <c r="G1542" t="s">
        <v>1830</v>
      </c>
      <c r="H1542" s="2">
        <v>44577.541666666664</v>
      </c>
      <c r="I1542" t="s">
        <v>521</v>
      </c>
      <c r="Z1542">
        <v>27023</v>
      </c>
    </row>
    <row r="1543" spans="1:26" x14ac:dyDescent="0.25">
      <c r="A1543" t="s">
        <v>1898</v>
      </c>
      <c r="B1543" t="s">
        <v>26</v>
      </c>
      <c r="C1543" t="s">
        <v>27</v>
      </c>
      <c r="H1543" s="2">
        <v>44576.800694444442</v>
      </c>
      <c r="I1543" t="s">
        <v>521</v>
      </c>
      <c r="Z1543">
        <v>27010</v>
      </c>
    </row>
    <row r="1544" spans="1:26" x14ac:dyDescent="0.25">
      <c r="A1544" t="s">
        <v>1899</v>
      </c>
      <c r="B1544" t="s">
        <v>26</v>
      </c>
      <c r="C1544" t="s">
        <v>27</v>
      </c>
      <c r="H1544" s="2">
        <v>44575.802083333336</v>
      </c>
      <c r="I1544" t="s">
        <v>521</v>
      </c>
      <c r="Z1544">
        <v>26974</v>
      </c>
    </row>
    <row r="1545" spans="1:26" x14ac:dyDescent="0.25">
      <c r="A1545" t="s">
        <v>1900</v>
      </c>
      <c r="B1545" t="s">
        <v>26</v>
      </c>
      <c r="C1545" t="s">
        <v>27</v>
      </c>
      <c r="H1545" s="2">
        <v>44575.634027777778</v>
      </c>
      <c r="I1545" t="s">
        <v>1567</v>
      </c>
      <c r="Z1545">
        <v>26957</v>
      </c>
    </row>
    <row r="1546" spans="1:26" x14ac:dyDescent="0.25">
      <c r="A1546" t="s">
        <v>1901</v>
      </c>
      <c r="B1546" t="s">
        <v>26</v>
      </c>
      <c r="C1546" t="s">
        <v>563</v>
      </c>
      <c r="H1546" s="2">
        <v>44575.592361111114</v>
      </c>
      <c r="I1546" t="s">
        <v>1567</v>
      </c>
      <c r="Z1546">
        <v>26952</v>
      </c>
    </row>
    <row r="1547" spans="1:26" x14ac:dyDescent="0.25">
      <c r="A1547" t="s">
        <v>1902</v>
      </c>
      <c r="B1547" t="s">
        <v>1797</v>
      </c>
      <c r="C1547" t="s">
        <v>27</v>
      </c>
      <c r="E1547" t="s">
        <v>1903</v>
      </c>
      <c r="G1547" t="s">
        <v>1904</v>
      </c>
      <c r="H1547" s="2">
        <v>44574.920138888891</v>
      </c>
      <c r="I1547" t="s">
        <v>521</v>
      </c>
      <c r="Z1547">
        <v>26927</v>
      </c>
    </row>
    <row r="1548" spans="1:26" x14ac:dyDescent="0.25">
      <c r="A1548" t="s">
        <v>1905</v>
      </c>
      <c r="B1548" t="s">
        <v>26</v>
      </c>
      <c r="C1548" t="s">
        <v>27</v>
      </c>
      <c r="E1548" t="s">
        <v>1906</v>
      </c>
      <c r="H1548" s="2">
        <v>44574.083333333336</v>
      </c>
      <c r="I1548" t="s">
        <v>1617</v>
      </c>
      <c r="Z1548">
        <v>26885</v>
      </c>
    </row>
    <row r="1549" spans="1:26" x14ac:dyDescent="0.25">
      <c r="A1549" t="s">
        <v>1907</v>
      </c>
      <c r="B1549" t="s">
        <v>370</v>
      </c>
      <c r="C1549" t="s">
        <v>27</v>
      </c>
      <c r="E1549" t="s">
        <v>519</v>
      </c>
      <c r="H1549" s="2">
        <v>44573.8</v>
      </c>
      <c r="I1549" t="s">
        <v>1638</v>
      </c>
      <c r="K1549" t="s">
        <v>30</v>
      </c>
      <c r="L1549" t="s">
        <v>31</v>
      </c>
      <c r="M1549">
        <v>67131912</v>
      </c>
      <c r="N1549">
        <v>11356760651</v>
      </c>
      <c r="O1549" t="s">
        <v>1257</v>
      </c>
      <c r="Z1549">
        <v>26874</v>
      </c>
    </row>
    <row r="1550" spans="1:26" x14ac:dyDescent="0.25">
      <c r="A1550" t="s">
        <v>1908</v>
      </c>
      <c r="B1550" t="s">
        <v>26</v>
      </c>
      <c r="C1550" t="s">
        <v>27</v>
      </c>
      <c r="E1550" t="s">
        <v>68</v>
      </c>
      <c r="H1550" s="2">
        <v>44573.542361111111</v>
      </c>
      <c r="I1550" t="s">
        <v>1638</v>
      </c>
      <c r="Z1550">
        <v>26855</v>
      </c>
    </row>
    <row r="1551" spans="1:26" x14ac:dyDescent="0.25">
      <c r="A1551" t="s">
        <v>1909</v>
      </c>
      <c r="B1551" t="s">
        <v>26</v>
      </c>
      <c r="C1551" t="s">
        <v>27</v>
      </c>
      <c r="H1551" s="2">
        <v>44573.530555555553</v>
      </c>
      <c r="I1551" t="s">
        <v>1617</v>
      </c>
      <c r="Z1551">
        <v>26854</v>
      </c>
    </row>
    <row r="1552" spans="1:26" x14ac:dyDescent="0.25">
      <c r="A1552" t="s">
        <v>1754</v>
      </c>
      <c r="C1552" t="s">
        <v>27</v>
      </c>
      <c r="E1552" t="s">
        <v>1910</v>
      </c>
      <c r="H1552" s="2">
        <v>44572.905555555553</v>
      </c>
      <c r="I1552" t="s">
        <v>1638</v>
      </c>
      <c r="Z1552">
        <v>26845</v>
      </c>
    </row>
    <row r="1553" spans="1:26" x14ac:dyDescent="0.25">
      <c r="A1553" t="s">
        <v>1865</v>
      </c>
      <c r="B1553" t="s">
        <v>26</v>
      </c>
      <c r="C1553" t="s">
        <v>27</v>
      </c>
      <c r="E1553" t="s">
        <v>122</v>
      </c>
      <c r="G1553" t="s">
        <v>1911</v>
      </c>
      <c r="H1553" s="2">
        <v>44572.425694444442</v>
      </c>
      <c r="I1553" t="s">
        <v>1638</v>
      </c>
      <c r="Z1553">
        <v>26824</v>
      </c>
    </row>
    <row r="1554" spans="1:26" x14ac:dyDescent="0.25">
      <c r="A1554" t="s">
        <v>1874</v>
      </c>
      <c r="B1554" t="s">
        <v>1797</v>
      </c>
      <c r="C1554" t="s">
        <v>27</v>
      </c>
      <c r="E1554" t="s">
        <v>188</v>
      </c>
      <c r="H1554" s="2">
        <v>44571.863194444442</v>
      </c>
      <c r="I1554" t="s">
        <v>521</v>
      </c>
      <c r="Z1554">
        <v>26816</v>
      </c>
    </row>
    <row r="1555" spans="1:26" x14ac:dyDescent="0.25">
      <c r="A1555" t="s">
        <v>1912</v>
      </c>
      <c r="B1555" t="s">
        <v>26</v>
      </c>
      <c r="C1555" t="s">
        <v>27</v>
      </c>
      <c r="H1555" s="2">
        <v>44571.621527777781</v>
      </c>
      <c r="I1555" t="s">
        <v>521</v>
      </c>
      <c r="K1555" t="s">
        <v>1913</v>
      </c>
      <c r="L1555" t="s">
        <v>33</v>
      </c>
      <c r="M1555" t="s">
        <v>33</v>
      </c>
      <c r="N1555" t="s">
        <v>33</v>
      </c>
      <c r="O1555" t="s">
        <v>33</v>
      </c>
      <c r="Z1555">
        <v>26791</v>
      </c>
    </row>
    <row r="1556" spans="1:26" x14ac:dyDescent="0.25">
      <c r="A1556" t="s">
        <v>1914</v>
      </c>
      <c r="B1556" t="s">
        <v>26</v>
      </c>
      <c r="C1556" t="s">
        <v>27</v>
      </c>
      <c r="H1556" s="2">
        <v>44571.494444444441</v>
      </c>
      <c r="I1556" t="s">
        <v>1567</v>
      </c>
      <c r="Z1556">
        <v>26772</v>
      </c>
    </row>
    <row r="1557" spans="1:26" x14ac:dyDescent="0.25">
      <c r="A1557" t="s">
        <v>1915</v>
      </c>
      <c r="B1557" t="s">
        <v>26</v>
      </c>
      <c r="C1557" t="s">
        <v>27</v>
      </c>
      <c r="H1557" s="2">
        <v>44570.670138888891</v>
      </c>
      <c r="I1557" t="s">
        <v>521</v>
      </c>
      <c r="Z1557">
        <v>26731</v>
      </c>
    </row>
    <row r="1558" spans="1:26" x14ac:dyDescent="0.25">
      <c r="A1558" t="s">
        <v>1509</v>
      </c>
      <c r="B1558" t="s">
        <v>541</v>
      </c>
      <c r="C1558" t="s">
        <v>27</v>
      </c>
      <c r="E1558" t="s">
        <v>72</v>
      </c>
      <c r="H1558" s="2">
        <v>44569.966666666667</v>
      </c>
      <c r="I1558" t="s">
        <v>521</v>
      </c>
      <c r="Z1558">
        <v>26698</v>
      </c>
    </row>
    <row r="1559" spans="1:26" x14ac:dyDescent="0.25">
      <c r="A1559" t="s">
        <v>1916</v>
      </c>
      <c r="B1559" t="s">
        <v>43</v>
      </c>
      <c r="C1559" t="s">
        <v>27</v>
      </c>
      <c r="E1559" t="s">
        <v>79</v>
      </c>
      <c r="G1559" t="s">
        <v>1917</v>
      </c>
      <c r="H1559" s="2">
        <v>44569.640277777777</v>
      </c>
      <c r="I1559" t="s">
        <v>521</v>
      </c>
      <c r="Z1559">
        <v>26681</v>
      </c>
    </row>
    <row r="1560" spans="1:26" x14ac:dyDescent="0.25">
      <c r="A1560" t="s">
        <v>1918</v>
      </c>
      <c r="B1560" t="s">
        <v>26</v>
      </c>
      <c r="C1560" t="s">
        <v>563</v>
      </c>
      <c r="H1560" s="2">
        <v>44569.523611111108</v>
      </c>
      <c r="I1560" t="s">
        <v>521</v>
      </c>
      <c r="Z1560">
        <v>26670</v>
      </c>
    </row>
    <row r="1561" spans="1:26" x14ac:dyDescent="0.25">
      <c r="A1561" t="s">
        <v>1919</v>
      </c>
      <c r="B1561" t="s">
        <v>26</v>
      </c>
      <c r="C1561" t="s">
        <v>27</v>
      </c>
      <c r="H1561" s="2">
        <v>44569.402083333334</v>
      </c>
      <c r="I1561" t="s">
        <v>1567</v>
      </c>
      <c r="K1561" t="s">
        <v>30</v>
      </c>
      <c r="L1561" t="s">
        <v>31</v>
      </c>
      <c r="M1561">
        <v>67130164</v>
      </c>
      <c r="N1561">
        <v>11408745393</v>
      </c>
      <c r="O1561" t="s">
        <v>1920</v>
      </c>
      <c r="Z1561">
        <v>26656</v>
      </c>
    </row>
    <row r="1562" spans="1:26" x14ac:dyDescent="0.25">
      <c r="A1562" t="s">
        <v>1921</v>
      </c>
      <c r="B1562" t="s">
        <v>472</v>
      </c>
      <c r="C1562" t="s">
        <v>27</v>
      </c>
      <c r="E1562" t="s">
        <v>1922</v>
      </c>
      <c r="H1562" s="2">
        <v>44568.383333333331</v>
      </c>
      <c r="I1562" t="s">
        <v>1617</v>
      </c>
      <c r="Z1562">
        <v>26623</v>
      </c>
    </row>
    <row r="1563" spans="1:26" x14ac:dyDescent="0.25">
      <c r="A1563" t="s">
        <v>1923</v>
      </c>
      <c r="B1563" t="s">
        <v>26</v>
      </c>
      <c r="C1563" t="s">
        <v>27</v>
      </c>
      <c r="H1563" s="2">
        <v>44567.494444444441</v>
      </c>
      <c r="I1563" t="s">
        <v>1617</v>
      </c>
      <c r="Z1563">
        <v>26605</v>
      </c>
    </row>
    <row r="1564" spans="1:26" x14ac:dyDescent="0.25">
      <c r="A1564" t="s">
        <v>1924</v>
      </c>
      <c r="B1564" t="s">
        <v>1797</v>
      </c>
      <c r="C1564" t="s">
        <v>27</v>
      </c>
      <c r="E1564" t="s">
        <v>76</v>
      </c>
      <c r="H1564" s="2">
        <v>44566.915277777778</v>
      </c>
      <c r="I1564" t="s">
        <v>1617</v>
      </c>
      <c r="Z1564">
        <v>26593</v>
      </c>
    </row>
    <row r="1565" spans="1:26" x14ac:dyDescent="0.25">
      <c r="A1565" t="s">
        <v>1925</v>
      </c>
      <c r="B1565" t="s">
        <v>26</v>
      </c>
      <c r="C1565" t="s">
        <v>27</v>
      </c>
      <c r="H1565" s="2">
        <v>44566.713194444441</v>
      </c>
      <c r="I1565" t="s">
        <v>1638</v>
      </c>
      <c r="Z1565">
        <v>26580</v>
      </c>
    </row>
    <row r="1566" spans="1:26" x14ac:dyDescent="0.25">
      <c r="A1566" t="s">
        <v>1926</v>
      </c>
      <c r="B1566" t="s">
        <v>370</v>
      </c>
      <c r="C1566" t="s">
        <v>27</v>
      </c>
      <c r="E1566" t="s">
        <v>152</v>
      </c>
      <c r="H1566" s="2">
        <v>44565.509027777778</v>
      </c>
      <c r="I1566" t="s">
        <v>1638</v>
      </c>
      <c r="Z1566">
        <v>26526</v>
      </c>
    </row>
    <row r="1567" spans="1:26" x14ac:dyDescent="0.25">
      <c r="A1567" t="s">
        <v>1754</v>
      </c>
      <c r="C1567" t="s">
        <v>27</v>
      </c>
      <c r="E1567" t="s">
        <v>1927</v>
      </c>
      <c r="H1567" s="2">
        <v>44564.411111111112</v>
      </c>
      <c r="I1567" t="s">
        <v>1638</v>
      </c>
      <c r="Z1567">
        <v>26515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1928</v>
      </c>
      <c r="B1" t="s">
        <v>1929</v>
      </c>
      <c r="C1" t="s">
        <v>1930</v>
      </c>
      <c r="D1" t="s">
        <v>1931</v>
      </c>
      <c r="E1" t="s">
        <v>1932</v>
      </c>
    </row>
    <row r="2" spans="1:5" x14ac:dyDescent="0.25">
      <c r="A2" s="3">
        <v>44557</v>
      </c>
      <c r="B2" s="3">
        <v>44563</v>
      </c>
      <c r="C2" t="s">
        <v>1933</v>
      </c>
      <c r="D2">
        <v>23</v>
      </c>
      <c r="E2" s="4">
        <v>1.01E-4</v>
      </c>
    </row>
    <row r="3" spans="1:5" x14ac:dyDescent="0.25">
      <c r="A3" s="3">
        <v>44564</v>
      </c>
      <c r="B3" s="3">
        <v>44570</v>
      </c>
      <c r="C3" t="s">
        <v>1934</v>
      </c>
      <c r="D3">
        <v>31</v>
      </c>
      <c r="E3" s="4">
        <v>1.3899999999999999E-4</v>
      </c>
    </row>
    <row r="4" spans="1:5" x14ac:dyDescent="0.25">
      <c r="A4" s="3">
        <v>44571</v>
      </c>
      <c r="B4" s="3">
        <v>44577</v>
      </c>
      <c r="C4" t="s">
        <v>1935</v>
      </c>
      <c r="D4">
        <v>17</v>
      </c>
      <c r="E4" s="4">
        <v>6.3E-5</v>
      </c>
    </row>
    <row r="5" spans="1:5" x14ac:dyDescent="0.25">
      <c r="A5" s="3">
        <v>44578</v>
      </c>
      <c r="B5" s="3">
        <v>44584</v>
      </c>
      <c r="C5" t="s">
        <v>1936</v>
      </c>
      <c r="D5">
        <v>25</v>
      </c>
      <c r="E5" s="4">
        <v>8.7999999999999998E-5</v>
      </c>
    </row>
    <row r="6" spans="1:5" x14ac:dyDescent="0.25">
      <c r="A6" s="3">
        <v>44585</v>
      </c>
      <c r="B6" s="3">
        <v>44591</v>
      </c>
      <c r="C6" t="s">
        <v>1937</v>
      </c>
      <c r="D6">
        <v>34</v>
      </c>
      <c r="E6" s="4">
        <v>1.21E-4</v>
      </c>
    </row>
    <row r="7" spans="1:5" x14ac:dyDescent="0.25">
      <c r="A7" s="3">
        <v>44592</v>
      </c>
      <c r="B7" s="3">
        <v>44598</v>
      </c>
      <c r="C7" t="s">
        <v>1938</v>
      </c>
      <c r="D7">
        <v>35</v>
      </c>
      <c r="E7" s="4">
        <v>1.2300000000000001E-4</v>
      </c>
    </row>
    <row r="8" spans="1:5" x14ac:dyDescent="0.25">
      <c r="A8" s="3">
        <v>44599</v>
      </c>
      <c r="B8" s="3">
        <v>44605</v>
      </c>
      <c r="C8" t="s">
        <v>1939</v>
      </c>
      <c r="D8">
        <v>60</v>
      </c>
      <c r="E8" s="4">
        <v>2.02E-4</v>
      </c>
    </row>
    <row r="9" spans="1:5" x14ac:dyDescent="0.25">
      <c r="A9" s="3">
        <v>44606</v>
      </c>
      <c r="B9" s="3">
        <v>44612</v>
      </c>
      <c r="C9" t="s">
        <v>1940</v>
      </c>
      <c r="D9">
        <v>43</v>
      </c>
      <c r="E9" s="4">
        <v>1.4300000000000001E-4</v>
      </c>
    </row>
    <row r="10" spans="1:5" x14ac:dyDescent="0.25">
      <c r="A10" s="3">
        <v>44613</v>
      </c>
      <c r="B10" s="3">
        <v>44619</v>
      </c>
      <c r="C10" t="s">
        <v>1941</v>
      </c>
      <c r="D10">
        <v>27</v>
      </c>
      <c r="E10" s="4">
        <v>9.5000000000000005E-5</v>
      </c>
    </row>
    <row r="11" spans="1:5" x14ac:dyDescent="0.25">
      <c r="A11" s="3">
        <v>44620</v>
      </c>
      <c r="B11" s="3">
        <v>44626</v>
      </c>
      <c r="C11" t="s">
        <v>1942</v>
      </c>
      <c r="D11">
        <v>32</v>
      </c>
      <c r="E11" s="4">
        <v>1.0900000000000001E-4</v>
      </c>
    </row>
    <row r="12" spans="1:5" x14ac:dyDescent="0.25">
      <c r="A12" s="3">
        <v>44627</v>
      </c>
      <c r="B12" s="3">
        <v>44633</v>
      </c>
      <c r="C12" t="s">
        <v>1943</v>
      </c>
      <c r="D12">
        <v>23</v>
      </c>
      <c r="E12" s="4">
        <v>8.0000000000000007E-5</v>
      </c>
    </row>
    <row r="13" spans="1:5" x14ac:dyDescent="0.25">
      <c r="A13" s="3">
        <v>44634</v>
      </c>
      <c r="B13" s="3">
        <v>44640</v>
      </c>
      <c r="C13" t="s">
        <v>1944</v>
      </c>
      <c r="D13">
        <v>31</v>
      </c>
      <c r="E13" s="4">
        <v>1.02E-4</v>
      </c>
    </row>
    <row r="14" spans="1:5" x14ac:dyDescent="0.25">
      <c r="A14" s="3">
        <v>44641</v>
      </c>
      <c r="B14" s="3">
        <v>44647</v>
      </c>
      <c r="C14" t="s">
        <v>1945</v>
      </c>
      <c r="D14">
        <v>55</v>
      </c>
      <c r="E14" s="4">
        <v>1.8599999999999999E-4</v>
      </c>
    </row>
    <row r="15" spans="1:5" x14ac:dyDescent="0.25">
      <c r="A15" s="3">
        <v>44648</v>
      </c>
      <c r="B15" s="3">
        <v>44654</v>
      </c>
      <c r="C15" t="s">
        <v>1946</v>
      </c>
      <c r="D15">
        <v>32</v>
      </c>
      <c r="E15" s="4">
        <v>1.12E-4</v>
      </c>
    </row>
    <row r="16" spans="1:5" x14ac:dyDescent="0.25">
      <c r="A16" s="3">
        <v>44655</v>
      </c>
      <c r="B16" s="3">
        <v>44661</v>
      </c>
      <c r="C16" t="s">
        <v>1947</v>
      </c>
      <c r="D16">
        <v>39</v>
      </c>
      <c r="E16" s="4">
        <v>1.36E-4</v>
      </c>
    </row>
    <row r="17" spans="1:5" x14ac:dyDescent="0.25">
      <c r="A17" s="3">
        <v>44662</v>
      </c>
      <c r="B17" s="3">
        <v>44668</v>
      </c>
      <c r="C17" t="s">
        <v>1948</v>
      </c>
      <c r="D17">
        <v>57</v>
      </c>
      <c r="E17" s="4">
        <v>2.03E-4</v>
      </c>
    </row>
    <row r="18" spans="1:5" x14ac:dyDescent="0.25">
      <c r="A18" s="3">
        <v>44669</v>
      </c>
      <c r="B18" s="3">
        <v>44675</v>
      </c>
      <c r="C18" t="s">
        <v>1949</v>
      </c>
      <c r="D18">
        <v>62</v>
      </c>
      <c r="E18" s="4">
        <v>2.2699999999999999E-4</v>
      </c>
    </row>
    <row r="19" spans="1:5" x14ac:dyDescent="0.25">
      <c r="A19" s="3">
        <v>44676</v>
      </c>
      <c r="B19" s="3">
        <v>44682</v>
      </c>
      <c r="C19" t="s">
        <v>1950</v>
      </c>
      <c r="D19">
        <v>52</v>
      </c>
      <c r="E19" s="4">
        <v>1.9599999999999999E-4</v>
      </c>
    </row>
    <row r="20" spans="1:5" x14ac:dyDescent="0.25">
      <c r="A20" s="3">
        <v>44683</v>
      </c>
      <c r="B20" s="3">
        <v>44689</v>
      </c>
      <c r="C20" t="s">
        <v>1951</v>
      </c>
      <c r="D20">
        <v>42</v>
      </c>
      <c r="E20" s="4">
        <v>1.7699999999999999E-4</v>
      </c>
    </row>
    <row r="21" spans="1:5" x14ac:dyDescent="0.25">
      <c r="A21" s="3">
        <v>44690</v>
      </c>
      <c r="B21" s="3">
        <v>44696</v>
      </c>
      <c r="C21" t="s">
        <v>1952</v>
      </c>
      <c r="D21">
        <v>71</v>
      </c>
      <c r="E21" s="4">
        <v>2.6899999999999998E-4</v>
      </c>
    </row>
    <row r="22" spans="1:5" x14ac:dyDescent="0.25">
      <c r="A22" s="3">
        <v>44697</v>
      </c>
      <c r="B22" s="3">
        <v>44703</v>
      </c>
      <c r="C22" t="s">
        <v>1953</v>
      </c>
      <c r="D22">
        <v>47</v>
      </c>
      <c r="E22" s="4">
        <v>1.65E-4</v>
      </c>
    </row>
    <row r="23" spans="1:5" x14ac:dyDescent="0.25">
      <c r="A23" s="3">
        <v>44704</v>
      </c>
      <c r="B23" s="3">
        <v>44710</v>
      </c>
      <c r="C23" t="s">
        <v>1954</v>
      </c>
      <c r="D23">
        <v>59</v>
      </c>
      <c r="E23" s="4">
        <v>2.2000000000000001E-4</v>
      </c>
    </row>
    <row r="24" spans="1:5" x14ac:dyDescent="0.25">
      <c r="A24" s="3">
        <v>44711</v>
      </c>
      <c r="B24" s="3">
        <v>44717</v>
      </c>
      <c r="C24" t="s">
        <v>1955</v>
      </c>
      <c r="D24">
        <v>44</v>
      </c>
      <c r="E24" s="4">
        <v>1.8000000000000001E-4</v>
      </c>
    </row>
    <row r="25" spans="1:5" x14ac:dyDescent="0.25">
      <c r="A25" s="3">
        <v>44718</v>
      </c>
      <c r="B25" s="3">
        <v>44724</v>
      </c>
      <c r="C25" t="s">
        <v>1956</v>
      </c>
      <c r="D25">
        <v>51</v>
      </c>
      <c r="E25" s="4">
        <v>2.03E-4</v>
      </c>
    </row>
    <row r="26" spans="1:5" x14ac:dyDescent="0.25">
      <c r="A26" s="3">
        <v>44725</v>
      </c>
      <c r="B26" s="3">
        <v>44731</v>
      </c>
      <c r="C26" t="s">
        <v>1957</v>
      </c>
      <c r="D26">
        <v>41</v>
      </c>
      <c r="E26" s="4">
        <v>1.76E-4</v>
      </c>
    </row>
    <row r="27" spans="1:5" x14ac:dyDescent="0.25">
      <c r="A27" s="3">
        <v>44732</v>
      </c>
      <c r="B27" s="3">
        <v>44738</v>
      </c>
      <c r="C27" t="s">
        <v>1958</v>
      </c>
      <c r="D27">
        <v>48</v>
      </c>
      <c r="E27" s="4">
        <v>1.9900000000000001E-4</v>
      </c>
    </row>
    <row r="28" spans="1:5" x14ac:dyDescent="0.25">
      <c r="A28" s="3">
        <v>44739</v>
      </c>
      <c r="B28" s="3">
        <v>44745</v>
      </c>
      <c r="C28" t="s">
        <v>1959</v>
      </c>
      <c r="D28">
        <v>30</v>
      </c>
      <c r="E28" s="4">
        <v>1.2799999999999999E-4</v>
      </c>
    </row>
    <row r="29" spans="1:5" x14ac:dyDescent="0.25">
      <c r="A29" s="3">
        <v>44746</v>
      </c>
      <c r="B29" s="3">
        <v>44752</v>
      </c>
      <c r="C29" t="s">
        <v>1960</v>
      </c>
      <c r="D29">
        <v>56</v>
      </c>
      <c r="E29" s="4">
        <v>2.52E-4</v>
      </c>
    </row>
    <row r="30" spans="1:5" x14ac:dyDescent="0.25">
      <c r="A30" s="3">
        <v>44753</v>
      </c>
      <c r="B30" s="3">
        <v>44759</v>
      </c>
      <c r="C30" t="s">
        <v>1961</v>
      </c>
      <c r="D30">
        <v>62</v>
      </c>
      <c r="E30" s="4">
        <v>2.7500000000000002E-4</v>
      </c>
    </row>
    <row r="31" spans="1:5" x14ac:dyDescent="0.25">
      <c r="A31" s="3">
        <v>44760</v>
      </c>
      <c r="B31" s="3">
        <v>44766</v>
      </c>
      <c r="C31" t="s">
        <v>1962</v>
      </c>
      <c r="D31">
        <v>36</v>
      </c>
      <c r="E31" s="4">
        <v>1.5799999999999999E-4</v>
      </c>
    </row>
    <row r="32" spans="1:5" x14ac:dyDescent="0.25">
      <c r="A32" s="3">
        <v>44767</v>
      </c>
      <c r="B32" s="3">
        <v>44773</v>
      </c>
      <c r="C32" t="s">
        <v>1963</v>
      </c>
      <c r="D32">
        <v>28</v>
      </c>
      <c r="E32" s="4">
        <v>1.26E-4</v>
      </c>
    </row>
    <row r="33" spans="1:5" x14ac:dyDescent="0.25">
      <c r="A33" s="3">
        <v>44774</v>
      </c>
      <c r="B33" s="3">
        <v>44780</v>
      </c>
      <c r="C33" t="s">
        <v>1964</v>
      </c>
      <c r="D33">
        <v>52</v>
      </c>
      <c r="E33" s="4">
        <v>2.34E-4</v>
      </c>
    </row>
    <row r="34" spans="1:5" x14ac:dyDescent="0.25">
      <c r="A34" s="3">
        <v>44781</v>
      </c>
      <c r="B34" s="3">
        <v>44787</v>
      </c>
      <c r="C34" t="s">
        <v>1965</v>
      </c>
      <c r="D34">
        <v>64</v>
      </c>
      <c r="E34" s="4">
        <v>2.81E-4</v>
      </c>
    </row>
    <row r="35" spans="1:5" x14ac:dyDescent="0.25">
      <c r="A35" s="3">
        <v>44788</v>
      </c>
      <c r="B35" s="3">
        <v>44794</v>
      </c>
      <c r="C35" t="s">
        <v>1966</v>
      </c>
      <c r="D35">
        <v>42</v>
      </c>
      <c r="E35" s="4">
        <v>1.83E-4</v>
      </c>
    </row>
    <row r="36" spans="1:5" x14ac:dyDescent="0.25">
      <c r="A36" s="3">
        <v>44795</v>
      </c>
      <c r="B36" s="3">
        <v>44801</v>
      </c>
      <c r="C36" t="s">
        <v>1967</v>
      </c>
      <c r="D36">
        <v>42</v>
      </c>
      <c r="E36" s="4">
        <v>1.8200000000000001E-4</v>
      </c>
    </row>
    <row r="37" spans="1:5" x14ac:dyDescent="0.25">
      <c r="A37" s="3">
        <v>44802</v>
      </c>
      <c r="B37" s="3">
        <v>44808</v>
      </c>
      <c r="C37" t="s">
        <v>1968</v>
      </c>
      <c r="D37">
        <v>50</v>
      </c>
      <c r="E37" s="4">
        <v>2.03E-4</v>
      </c>
    </row>
    <row r="38" spans="1:5" x14ac:dyDescent="0.25">
      <c r="A38" s="3">
        <v>44809</v>
      </c>
      <c r="B38" s="3">
        <v>44815</v>
      </c>
      <c r="C38" t="s">
        <v>1969</v>
      </c>
      <c r="D38">
        <v>39</v>
      </c>
      <c r="E38" s="4">
        <v>1.4799999999999999E-4</v>
      </c>
    </row>
    <row r="39" spans="1:5" x14ac:dyDescent="0.25">
      <c r="A39" s="3">
        <v>44816</v>
      </c>
      <c r="B39" s="3">
        <v>44822</v>
      </c>
      <c r="C39" t="s">
        <v>1970</v>
      </c>
      <c r="D39">
        <v>30</v>
      </c>
      <c r="E39" s="4">
        <v>1.11E-4</v>
      </c>
    </row>
    <row r="40" spans="1:5" x14ac:dyDescent="0.25">
      <c r="A40" s="3">
        <v>44823</v>
      </c>
      <c r="B40" s="3">
        <v>44829</v>
      </c>
      <c r="C40" t="s">
        <v>1971</v>
      </c>
      <c r="D40">
        <v>33</v>
      </c>
      <c r="E40" s="4">
        <v>1.2E-4</v>
      </c>
    </row>
    <row r="41" spans="1:5" x14ac:dyDescent="0.25">
      <c r="A41" s="3">
        <v>44830</v>
      </c>
      <c r="B41" s="3">
        <v>44836</v>
      </c>
      <c r="C41" t="s">
        <v>1972</v>
      </c>
      <c r="D41">
        <v>17</v>
      </c>
      <c r="E41" s="4">
        <v>6.2000000000000003E-5</v>
      </c>
    </row>
    <row r="42" spans="1:5" x14ac:dyDescent="0.25">
      <c r="A42" s="3">
        <v>44837</v>
      </c>
      <c r="B42" s="3">
        <v>44843</v>
      </c>
      <c r="C42" t="s">
        <v>1973</v>
      </c>
      <c r="D42">
        <v>23</v>
      </c>
      <c r="E42" s="4">
        <v>8.5000000000000006E-5</v>
      </c>
    </row>
    <row r="43" spans="1:5" x14ac:dyDescent="0.25">
      <c r="A43" s="3">
        <v>44844</v>
      </c>
      <c r="B43" s="3">
        <v>44850</v>
      </c>
      <c r="C43" t="s">
        <v>1974</v>
      </c>
      <c r="D43">
        <v>26</v>
      </c>
      <c r="E43" s="4">
        <v>9.2999999999999997E-5</v>
      </c>
    </row>
    <row r="44" spans="1:5" x14ac:dyDescent="0.25">
      <c r="A44" s="3">
        <v>44851</v>
      </c>
      <c r="B44" s="3">
        <v>44857</v>
      </c>
      <c r="C44" t="s">
        <v>1975</v>
      </c>
      <c r="D44">
        <v>36</v>
      </c>
      <c r="E44" s="4">
        <v>1.25E-4</v>
      </c>
    </row>
    <row r="45" spans="1:5" x14ac:dyDescent="0.25">
      <c r="A45" s="3">
        <v>44858</v>
      </c>
      <c r="B45" s="3">
        <v>44864</v>
      </c>
      <c r="C45" t="s">
        <v>1976</v>
      </c>
      <c r="D45">
        <v>37</v>
      </c>
      <c r="E45" s="4">
        <v>1.2999999999999999E-4</v>
      </c>
    </row>
    <row r="46" spans="1:5" x14ac:dyDescent="0.25">
      <c r="A46" s="3">
        <v>44865</v>
      </c>
      <c r="B46" s="3">
        <v>44871</v>
      </c>
      <c r="C46" t="s">
        <v>1977</v>
      </c>
      <c r="D46">
        <v>30</v>
      </c>
      <c r="E46" s="4">
        <v>1.11E-4</v>
      </c>
    </row>
    <row r="47" spans="1:5" x14ac:dyDescent="0.25">
      <c r="A47" s="3">
        <v>44872</v>
      </c>
      <c r="B47" s="3">
        <v>44878</v>
      </c>
      <c r="C47" t="s">
        <v>1978</v>
      </c>
      <c r="D47">
        <v>24</v>
      </c>
      <c r="E47" s="4">
        <v>8.5000000000000006E-5</v>
      </c>
    </row>
    <row r="48" spans="1:5" x14ac:dyDescent="0.25">
      <c r="A48" s="3">
        <v>44879</v>
      </c>
      <c r="B48" s="3">
        <v>44885</v>
      </c>
      <c r="C48" t="s">
        <v>1979</v>
      </c>
      <c r="D48">
        <v>27</v>
      </c>
      <c r="E48" s="4">
        <v>9.0000000000000006E-5</v>
      </c>
    </row>
    <row r="49" spans="1:5" x14ac:dyDescent="0.25">
      <c r="A49" s="3">
        <v>44886</v>
      </c>
      <c r="B49" s="3">
        <v>44892</v>
      </c>
      <c r="C49" t="s">
        <v>1980</v>
      </c>
      <c r="D49">
        <v>33</v>
      </c>
      <c r="E49" s="4">
        <v>1.06E-4</v>
      </c>
    </row>
    <row r="50" spans="1:5" x14ac:dyDescent="0.25">
      <c r="A50" s="3">
        <v>44893</v>
      </c>
      <c r="B50" s="3">
        <v>44899</v>
      </c>
      <c r="C50" t="s">
        <v>1981</v>
      </c>
      <c r="D50">
        <v>28</v>
      </c>
      <c r="E50" s="4">
        <v>9.1000000000000003E-5</v>
      </c>
    </row>
    <row r="51" spans="1:5" x14ac:dyDescent="0.25">
      <c r="A51" s="3">
        <v>44900</v>
      </c>
      <c r="B51" s="3">
        <v>44906</v>
      </c>
      <c r="C51" t="s">
        <v>1982</v>
      </c>
      <c r="D51">
        <v>20</v>
      </c>
      <c r="E51" s="4">
        <v>6.6000000000000005E-5</v>
      </c>
    </row>
    <row r="52" spans="1:5" x14ac:dyDescent="0.25">
      <c r="A52" s="3">
        <v>44907</v>
      </c>
      <c r="B52" s="3">
        <v>44913</v>
      </c>
      <c r="C52" t="s">
        <v>1983</v>
      </c>
      <c r="D52">
        <v>28</v>
      </c>
      <c r="E52" s="4">
        <v>9.2E-5</v>
      </c>
    </row>
    <row r="53" spans="1:5" x14ac:dyDescent="0.25">
      <c r="A53" s="3">
        <v>44914</v>
      </c>
      <c r="B53" s="3">
        <v>44920</v>
      </c>
      <c r="C53" t="s">
        <v>1984</v>
      </c>
      <c r="D53">
        <v>30</v>
      </c>
      <c r="E53" s="4">
        <v>1E-4</v>
      </c>
    </row>
    <row r="54" spans="1:5" x14ac:dyDescent="0.25">
      <c r="A54" s="3">
        <v>44921</v>
      </c>
      <c r="B54" s="3">
        <v>44927</v>
      </c>
      <c r="C54" t="s">
        <v>1985</v>
      </c>
      <c r="D54">
        <v>14</v>
      </c>
      <c r="E54" s="4">
        <v>5.8E-5</v>
      </c>
    </row>
    <row r="55" spans="1:5" x14ac:dyDescent="0.25">
      <c r="A55" s="3">
        <v>44928</v>
      </c>
      <c r="B55" s="3">
        <v>44934</v>
      </c>
      <c r="C55" t="s">
        <v>1986</v>
      </c>
      <c r="D55">
        <v>26</v>
      </c>
      <c r="E55" s="4">
        <v>1.1E-4</v>
      </c>
    </row>
    <row r="56" spans="1:5" x14ac:dyDescent="0.25">
      <c r="A56" s="3">
        <v>44935</v>
      </c>
      <c r="B56" s="3">
        <v>44941</v>
      </c>
      <c r="C56" t="s">
        <v>1987</v>
      </c>
      <c r="D56">
        <v>19</v>
      </c>
      <c r="E56" s="4">
        <v>6.3999999999999997E-5</v>
      </c>
    </row>
    <row r="57" spans="1:5" x14ac:dyDescent="0.25">
      <c r="A57" s="3">
        <v>44942</v>
      </c>
      <c r="B57" s="3">
        <v>44948</v>
      </c>
      <c r="C57" t="s">
        <v>1988</v>
      </c>
      <c r="D57">
        <v>25</v>
      </c>
      <c r="E57" s="4">
        <v>8.6000000000000003E-5</v>
      </c>
    </row>
    <row r="58" spans="1:5" x14ac:dyDescent="0.25">
      <c r="A58" s="3">
        <v>44949</v>
      </c>
      <c r="B58" s="3">
        <v>44955</v>
      </c>
      <c r="C58" t="s">
        <v>1989</v>
      </c>
      <c r="D58">
        <v>44</v>
      </c>
      <c r="E58" s="4">
        <v>1.5100000000000001E-4</v>
      </c>
    </row>
    <row r="59" spans="1:5" x14ac:dyDescent="0.25">
      <c r="A59" s="3">
        <v>44956</v>
      </c>
      <c r="B59" s="3">
        <v>44962</v>
      </c>
      <c r="C59" t="s">
        <v>1990</v>
      </c>
      <c r="D59">
        <v>27</v>
      </c>
      <c r="E59" s="4">
        <v>9.2999999999999997E-5</v>
      </c>
    </row>
    <row r="60" spans="1:5" x14ac:dyDescent="0.25">
      <c r="A60" s="3">
        <v>44963</v>
      </c>
      <c r="B60" s="3">
        <v>44969</v>
      </c>
      <c r="C60" t="s">
        <v>1991</v>
      </c>
      <c r="D60">
        <v>28</v>
      </c>
      <c r="E60" s="4">
        <v>9.7E-5</v>
      </c>
    </row>
    <row r="61" spans="1:5" x14ac:dyDescent="0.25">
      <c r="A61" s="3">
        <v>44970</v>
      </c>
      <c r="B61" s="3">
        <v>44976</v>
      </c>
      <c r="C61" t="s">
        <v>1992</v>
      </c>
      <c r="D61">
        <v>32</v>
      </c>
      <c r="E61" s="4">
        <v>1.1E-4</v>
      </c>
    </row>
    <row r="62" spans="1:5" x14ac:dyDescent="0.25">
      <c r="A62" s="3">
        <v>44977</v>
      </c>
      <c r="B62" s="3">
        <v>44983</v>
      </c>
      <c r="C62" t="s">
        <v>1993</v>
      </c>
      <c r="D62">
        <v>44</v>
      </c>
      <c r="E62" s="4">
        <v>1.6200000000000001E-4</v>
      </c>
    </row>
    <row r="63" spans="1:5" x14ac:dyDescent="0.25">
      <c r="A63" s="3">
        <v>44984</v>
      </c>
      <c r="B63" s="3">
        <v>44990</v>
      </c>
      <c r="C63" t="s">
        <v>1994</v>
      </c>
      <c r="D63">
        <v>30</v>
      </c>
      <c r="E63" s="4">
        <v>1.03E-4</v>
      </c>
    </row>
    <row r="64" spans="1:5" x14ac:dyDescent="0.25">
      <c r="A64" s="3">
        <v>44991</v>
      </c>
      <c r="B64" s="3">
        <v>44997</v>
      </c>
      <c r="C64" t="s">
        <v>1995</v>
      </c>
      <c r="D64">
        <v>37</v>
      </c>
      <c r="E64" s="4">
        <v>1.34E-4</v>
      </c>
    </row>
    <row r="65" spans="1:5" x14ac:dyDescent="0.25">
      <c r="A65" s="3">
        <v>44998</v>
      </c>
      <c r="B65" s="3">
        <v>45004</v>
      </c>
      <c r="C65" t="s">
        <v>1996</v>
      </c>
      <c r="D65">
        <v>59</v>
      </c>
      <c r="E65" s="4">
        <v>2.05E-4</v>
      </c>
    </row>
    <row r="66" spans="1:5" x14ac:dyDescent="0.25">
      <c r="A66" s="3">
        <v>45005</v>
      </c>
      <c r="B66" s="3">
        <v>45011</v>
      </c>
      <c r="C66" t="s">
        <v>1997</v>
      </c>
      <c r="D66">
        <v>34</v>
      </c>
      <c r="E66" s="4">
        <v>1.26E-4</v>
      </c>
    </row>
    <row r="67" spans="1:5" x14ac:dyDescent="0.25">
      <c r="A67" s="3">
        <v>45012</v>
      </c>
      <c r="B67" s="3">
        <v>45018</v>
      </c>
      <c r="C67" t="s">
        <v>1998</v>
      </c>
      <c r="D67">
        <v>56</v>
      </c>
      <c r="E67" s="4">
        <v>2.02E-4</v>
      </c>
    </row>
    <row r="68" spans="1:5" x14ac:dyDescent="0.25">
      <c r="A68" s="3">
        <v>45019</v>
      </c>
      <c r="B68" s="3">
        <v>45025</v>
      </c>
      <c r="C68" t="s">
        <v>1999</v>
      </c>
      <c r="D68">
        <v>43</v>
      </c>
      <c r="E68" s="4">
        <v>1.54E-4</v>
      </c>
    </row>
    <row r="69" spans="1:5" x14ac:dyDescent="0.25">
      <c r="A69" s="3">
        <v>45026</v>
      </c>
      <c r="B69" s="3">
        <v>45032</v>
      </c>
      <c r="C69" t="s">
        <v>2000</v>
      </c>
      <c r="D69">
        <v>51</v>
      </c>
      <c r="E69" s="4">
        <v>1.8599999999999999E-4</v>
      </c>
    </row>
    <row r="70" spans="1:5" x14ac:dyDescent="0.25">
      <c r="A70" s="3">
        <v>45033</v>
      </c>
      <c r="B70" s="3">
        <v>45039</v>
      </c>
      <c r="C70" t="s">
        <v>2001</v>
      </c>
      <c r="D70">
        <v>61</v>
      </c>
      <c r="E70" s="4">
        <v>2.22E-4</v>
      </c>
    </row>
    <row r="71" spans="1:5" x14ac:dyDescent="0.25">
      <c r="A71" s="3">
        <v>45040</v>
      </c>
      <c r="B71" s="3">
        <v>45046</v>
      </c>
      <c r="C71" t="s">
        <v>2002</v>
      </c>
      <c r="D71">
        <v>62</v>
      </c>
      <c r="E71" s="4">
        <v>2.41E-4</v>
      </c>
    </row>
    <row r="72" spans="1:5" x14ac:dyDescent="0.25">
      <c r="A72" s="3">
        <v>45047</v>
      </c>
      <c r="B72" s="3">
        <v>45053</v>
      </c>
      <c r="C72" t="s">
        <v>2003</v>
      </c>
      <c r="D72">
        <v>52</v>
      </c>
      <c r="E72" s="4">
        <v>2.0599999999999999E-4</v>
      </c>
    </row>
    <row r="73" spans="1:5" x14ac:dyDescent="0.25">
      <c r="A73" s="3">
        <v>45054</v>
      </c>
      <c r="B73" s="3">
        <v>45060</v>
      </c>
      <c r="C73" t="s">
        <v>2004</v>
      </c>
      <c r="D73">
        <v>50</v>
      </c>
      <c r="E73" s="4">
        <v>1.95E-4</v>
      </c>
    </row>
    <row r="74" spans="1:5" x14ac:dyDescent="0.25">
      <c r="A74" s="3">
        <v>45061</v>
      </c>
      <c r="B74" s="3">
        <v>45067</v>
      </c>
      <c r="C74" t="s">
        <v>2005</v>
      </c>
      <c r="D74">
        <v>71</v>
      </c>
      <c r="E74" s="4">
        <v>2.6600000000000001E-4</v>
      </c>
    </row>
    <row r="75" spans="1:5" x14ac:dyDescent="0.25">
      <c r="A75" s="3">
        <v>45068</v>
      </c>
      <c r="B75" s="3">
        <v>45074</v>
      </c>
      <c r="C75" t="s">
        <v>2006</v>
      </c>
      <c r="D75">
        <v>56</v>
      </c>
      <c r="E75" s="4">
        <v>2.22E-4</v>
      </c>
    </row>
    <row r="76" spans="1:5" x14ac:dyDescent="0.25">
      <c r="A76" s="3">
        <v>45075</v>
      </c>
      <c r="B76" s="3">
        <v>45081</v>
      </c>
      <c r="C76" t="s">
        <v>2007</v>
      </c>
      <c r="D76">
        <v>57</v>
      </c>
      <c r="E76" s="4">
        <v>2.32E-4</v>
      </c>
    </row>
    <row r="77" spans="1:5" x14ac:dyDescent="0.25">
      <c r="A77" s="3">
        <v>45082</v>
      </c>
      <c r="B77" s="3">
        <v>45088</v>
      </c>
      <c r="C77" t="s">
        <v>2008</v>
      </c>
      <c r="D77">
        <v>45</v>
      </c>
      <c r="E77" s="4">
        <v>1.8599999999999999E-4</v>
      </c>
    </row>
    <row r="78" spans="1:5" x14ac:dyDescent="0.25">
      <c r="A78" s="3">
        <v>45089</v>
      </c>
      <c r="B78" s="3">
        <v>45095</v>
      </c>
      <c r="C78" t="s">
        <v>2009</v>
      </c>
      <c r="D78">
        <v>43</v>
      </c>
      <c r="E78" s="4">
        <v>1.7899999999999999E-4</v>
      </c>
    </row>
    <row r="79" spans="1:5" x14ac:dyDescent="0.25">
      <c r="A79" s="3">
        <v>45096</v>
      </c>
      <c r="B79" s="3">
        <v>45102</v>
      </c>
      <c r="C79" t="s">
        <v>2010</v>
      </c>
      <c r="D79">
        <v>34</v>
      </c>
      <c r="E79" s="4">
        <v>1.3899999999999999E-4</v>
      </c>
    </row>
    <row r="80" spans="1:5" x14ac:dyDescent="0.25">
      <c r="A80" s="3">
        <v>45103</v>
      </c>
      <c r="B80" s="3">
        <v>45109</v>
      </c>
      <c r="C80" t="s">
        <v>2011</v>
      </c>
      <c r="D80">
        <v>64</v>
      </c>
      <c r="E80" s="4">
        <v>2.7700000000000001E-4</v>
      </c>
    </row>
    <row r="81" spans="1:5" x14ac:dyDescent="0.25">
      <c r="A81" s="3">
        <v>45110</v>
      </c>
      <c r="B81" s="3">
        <v>45116</v>
      </c>
      <c r="C81" t="s">
        <v>2012</v>
      </c>
      <c r="D81">
        <v>63</v>
      </c>
      <c r="E81" s="4">
        <v>2.8899999999999998E-4</v>
      </c>
    </row>
    <row r="82" spans="1:5" x14ac:dyDescent="0.25">
      <c r="A82" s="3">
        <v>45117</v>
      </c>
      <c r="B82" s="3">
        <v>45123</v>
      </c>
      <c r="C82" t="s">
        <v>2013</v>
      </c>
      <c r="D82">
        <v>45</v>
      </c>
      <c r="E82" s="4">
        <v>1.9599999999999999E-4</v>
      </c>
    </row>
    <row r="83" spans="1:5" x14ac:dyDescent="0.25">
      <c r="A83" s="3">
        <v>45124</v>
      </c>
      <c r="B83" s="3">
        <v>45130</v>
      </c>
      <c r="C83" t="s">
        <v>2014</v>
      </c>
      <c r="D83">
        <v>54</v>
      </c>
      <c r="E83" s="4">
        <v>2.3800000000000001E-4</v>
      </c>
    </row>
    <row r="84" spans="1:5" x14ac:dyDescent="0.25">
      <c r="A84" s="3">
        <v>45131</v>
      </c>
      <c r="B84" s="3">
        <v>45137</v>
      </c>
      <c r="C84" t="s">
        <v>2015</v>
      </c>
      <c r="D84">
        <v>49</v>
      </c>
      <c r="E84" s="4">
        <v>2.2000000000000001E-4</v>
      </c>
    </row>
    <row r="85" spans="1:5" x14ac:dyDescent="0.25">
      <c r="A85" s="3">
        <v>45138</v>
      </c>
      <c r="B85" s="3">
        <v>45144</v>
      </c>
      <c r="C85" t="s">
        <v>2016</v>
      </c>
      <c r="D85">
        <v>54</v>
      </c>
      <c r="E85" s="4">
        <v>2.4399999999999999E-4</v>
      </c>
    </row>
    <row r="86" spans="1:5" x14ac:dyDescent="0.25">
      <c r="A86" s="3">
        <v>45145</v>
      </c>
      <c r="B86" s="3">
        <v>45151</v>
      </c>
      <c r="C86" t="s">
        <v>2017</v>
      </c>
      <c r="D86">
        <v>48</v>
      </c>
      <c r="E86" s="4">
        <v>2.1599999999999999E-4</v>
      </c>
    </row>
    <row r="87" spans="1:5" x14ac:dyDescent="0.25">
      <c r="A87" s="3">
        <v>45152</v>
      </c>
      <c r="B87" s="3">
        <v>45158</v>
      </c>
      <c r="C87" t="s">
        <v>2018</v>
      </c>
      <c r="D87">
        <v>53</v>
      </c>
      <c r="E87" s="4">
        <v>2.3800000000000001E-4</v>
      </c>
    </row>
    <row r="88" spans="1:5" x14ac:dyDescent="0.25">
      <c r="A88" s="3">
        <v>45159</v>
      </c>
      <c r="B88" s="3">
        <v>45165</v>
      </c>
      <c r="C88" t="s">
        <v>2019</v>
      </c>
      <c r="D88">
        <v>38</v>
      </c>
      <c r="E88" s="4">
        <v>1.7000000000000001E-4</v>
      </c>
    </row>
    <row r="89" spans="1:5" x14ac:dyDescent="0.25">
      <c r="A89" s="3">
        <v>45166</v>
      </c>
      <c r="B89" s="3">
        <v>45172</v>
      </c>
      <c r="C89" t="s">
        <v>2020</v>
      </c>
      <c r="D89">
        <v>30</v>
      </c>
      <c r="E89" s="4">
        <v>1.35E-4</v>
      </c>
    </row>
    <row r="90" spans="1:5" x14ac:dyDescent="0.25">
      <c r="A90" s="3">
        <v>45173</v>
      </c>
      <c r="B90" s="3">
        <v>45179</v>
      </c>
      <c r="C90" t="s">
        <v>2021</v>
      </c>
      <c r="D90">
        <v>58</v>
      </c>
      <c r="E90" s="4">
        <v>2.33E-4</v>
      </c>
    </row>
    <row r="91" spans="1:5" x14ac:dyDescent="0.25">
      <c r="A91" s="3">
        <v>45180</v>
      </c>
      <c r="B91" s="3">
        <v>45186</v>
      </c>
      <c r="C91" t="s">
        <v>2022</v>
      </c>
      <c r="D91">
        <v>36</v>
      </c>
      <c r="E91" s="4">
        <v>1.3999999999999999E-4</v>
      </c>
    </row>
    <row r="92" spans="1:5" x14ac:dyDescent="0.25">
      <c r="A92" s="3">
        <v>45187</v>
      </c>
      <c r="B92" s="3">
        <v>45193</v>
      </c>
      <c r="C92" t="s">
        <v>2023</v>
      </c>
      <c r="D92">
        <v>35</v>
      </c>
      <c r="E92" s="4">
        <v>1.36E-4</v>
      </c>
    </row>
    <row r="93" spans="1:5" x14ac:dyDescent="0.25">
      <c r="A93" s="3">
        <v>45194</v>
      </c>
      <c r="B93" s="3">
        <v>45200</v>
      </c>
      <c r="C93" t="s">
        <v>2024</v>
      </c>
      <c r="D93">
        <v>46</v>
      </c>
      <c r="E93" s="4">
        <v>1.74E-4</v>
      </c>
    </row>
    <row r="94" spans="1:5" x14ac:dyDescent="0.25">
      <c r="A94" s="3">
        <v>45201</v>
      </c>
      <c r="B94" s="3">
        <v>45207</v>
      </c>
      <c r="C94" t="s">
        <v>2025</v>
      </c>
      <c r="D94">
        <v>44</v>
      </c>
      <c r="E94" s="4">
        <v>1.63E-4</v>
      </c>
    </row>
    <row r="95" spans="1:5" x14ac:dyDescent="0.25">
      <c r="A95" s="3">
        <v>45208</v>
      </c>
      <c r="B95" s="3">
        <v>45214</v>
      </c>
      <c r="C95" t="s">
        <v>2026</v>
      </c>
      <c r="D95">
        <v>49</v>
      </c>
      <c r="E95" s="4">
        <v>1.7899999999999999E-4</v>
      </c>
    </row>
    <row r="96" spans="1:5" x14ac:dyDescent="0.25">
      <c r="A96" s="3">
        <v>45215</v>
      </c>
      <c r="B96" s="3">
        <v>45221</v>
      </c>
      <c r="C96" t="s">
        <v>2027</v>
      </c>
      <c r="D96">
        <v>25</v>
      </c>
      <c r="E96" s="4">
        <v>8.7999999999999998E-5</v>
      </c>
    </row>
    <row r="97" spans="1:5" x14ac:dyDescent="0.25">
      <c r="A97" s="3">
        <v>45222</v>
      </c>
      <c r="B97" s="3">
        <v>45228</v>
      </c>
      <c r="C97" t="s">
        <v>2028</v>
      </c>
      <c r="D97">
        <v>52</v>
      </c>
      <c r="E97" s="4">
        <v>1.8699999999999999E-4</v>
      </c>
    </row>
    <row r="98" spans="1:5" x14ac:dyDescent="0.25">
      <c r="A98" s="3">
        <v>45229</v>
      </c>
      <c r="B98" s="3">
        <v>45235</v>
      </c>
      <c r="C98" t="s">
        <v>2029</v>
      </c>
      <c r="D98">
        <v>48</v>
      </c>
      <c r="E98" s="4">
        <v>1.8599999999999999E-4</v>
      </c>
    </row>
    <row r="99" spans="1:5" x14ac:dyDescent="0.25">
      <c r="A99" s="3">
        <v>45236</v>
      </c>
      <c r="B99" s="3">
        <v>45242</v>
      </c>
      <c r="C99" t="s">
        <v>2030</v>
      </c>
      <c r="D99">
        <v>28</v>
      </c>
      <c r="E99" s="4">
        <v>1.02E-4</v>
      </c>
    </row>
    <row r="100" spans="1:5" x14ac:dyDescent="0.25">
      <c r="A100" s="3">
        <v>45243</v>
      </c>
      <c r="B100" s="3">
        <v>45249</v>
      </c>
      <c r="C100" t="s">
        <v>2031</v>
      </c>
      <c r="D100">
        <v>42</v>
      </c>
      <c r="E100" s="4">
        <v>1.47E-4</v>
      </c>
    </row>
    <row r="101" spans="1:5" x14ac:dyDescent="0.25">
      <c r="A101" s="3">
        <v>45250</v>
      </c>
      <c r="B101" s="3">
        <v>45256</v>
      </c>
      <c r="C101" t="s">
        <v>2032</v>
      </c>
      <c r="D101">
        <v>49</v>
      </c>
      <c r="E101" s="4">
        <v>1.7000000000000001E-4</v>
      </c>
    </row>
    <row r="102" spans="1:5" x14ac:dyDescent="0.25">
      <c r="A102" s="3">
        <v>45257</v>
      </c>
      <c r="B102" s="3">
        <v>45263</v>
      </c>
      <c r="C102" t="s">
        <v>2033</v>
      </c>
      <c r="D102">
        <v>35</v>
      </c>
      <c r="E102" s="4">
        <v>1.2E-4</v>
      </c>
    </row>
    <row r="103" spans="1:5" x14ac:dyDescent="0.25">
      <c r="A103" s="3">
        <v>45264</v>
      </c>
      <c r="B103" s="3">
        <v>45270</v>
      </c>
      <c r="C103" t="s">
        <v>2034</v>
      </c>
      <c r="D103">
        <v>39</v>
      </c>
      <c r="E103" s="4">
        <v>1.34E-4</v>
      </c>
    </row>
    <row r="104" spans="1:5" x14ac:dyDescent="0.25">
      <c r="A104" s="3">
        <v>45271</v>
      </c>
      <c r="B104" s="3">
        <v>45277</v>
      </c>
      <c r="C104" t="s">
        <v>2035</v>
      </c>
      <c r="D104">
        <v>30</v>
      </c>
      <c r="E104" s="4">
        <v>1.05E-4</v>
      </c>
    </row>
    <row r="105" spans="1:5" x14ac:dyDescent="0.25">
      <c r="A105" s="3">
        <v>45278</v>
      </c>
      <c r="B105" s="3">
        <v>45284</v>
      </c>
      <c r="C105" t="s">
        <v>2036</v>
      </c>
      <c r="D105">
        <v>28</v>
      </c>
      <c r="E105" s="4">
        <v>9.8999999999999994E-5</v>
      </c>
    </row>
    <row r="106" spans="1:5" x14ac:dyDescent="0.25">
      <c r="A106" s="3">
        <v>45285</v>
      </c>
      <c r="B106" s="3">
        <v>45291</v>
      </c>
      <c r="C106" t="s">
        <v>2037</v>
      </c>
      <c r="D106">
        <v>15</v>
      </c>
      <c r="E106" s="4">
        <v>6.0999999999999999E-5</v>
      </c>
    </row>
    <row r="107" spans="1:5" x14ac:dyDescent="0.25">
      <c r="A107" s="3">
        <v>45292</v>
      </c>
      <c r="B107" s="3">
        <v>45298</v>
      </c>
      <c r="C107" t="s">
        <v>2038</v>
      </c>
      <c r="D107">
        <v>20</v>
      </c>
      <c r="E107" s="4">
        <v>9.0000000000000006E-5</v>
      </c>
    </row>
    <row r="108" spans="1:5" x14ac:dyDescent="0.25">
      <c r="A108" s="3">
        <v>45299</v>
      </c>
      <c r="B108" s="3">
        <v>45305</v>
      </c>
      <c r="C108" t="s">
        <v>2039</v>
      </c>
      <c r="D108">
        <v>20</v>
      </c>
      <c r="E108" s="4">
        <v>7.2000000000000002E-5</v>
      </c>
    </row>
    <row r="109" spans="1:5" x14ac:dyDescent="0.25">
      <c r="A109" s="3">
        <v>45306</v>
      </c>
      <c r="B109" s="3">
        <v>45312</v>
      </c>
      <c r="C109" t="s">
        <v>2040</v>
      </c>
      <c r="D109">
        <v>35</v>
      </c>
      <c r="E109" s="4">
        <v>1.22E-4</v>
      </c>
    </row>
    <row r="110" spans="1:5" x14ac:dyDescent="0.25">
      <c r="A110" s="3">
        <v>45313</v>
      </c>
      <c r="B110" s="3">
        <v>45319</v>
      </c>
      <c r="C110" t="s">
        <v>2041</v>
      </c>
      <c r="D110">
        <v>27</v>
      </c>
      <c r="E110" s="4">
        <v>9.3999999999999994E-5</v>
      </c>
    </row>
    <row r="111" spans="1:5" x14ac:dyDescent="0.25">
      <c r="A111" s="3">
        <v>45320</v>
      </c>
      <c r="B111" s="3">
        <v>45326</v>
      </c>
      <c r="C111" t="s">
        <v>2042</v>
      </c>
      <c r="D111">
        <v>31</v>
      </c>
      <c r="E111" s="4">
        <v>1.12E-4</v>
      </c>
    </row>
    <row r="112" spans="1:5" x14ac:dyDescent="0.25">
      <c r="A112" s="3">
        <v>45327</v>
      </c>
      <c r="B112" s="3">
        <v>45333</v>
      </c>
      <c r="C112" t="s">
        <v>2043</v>
      </c>
      <c r="D112">
        <v>56</v>
      </c>
      <c r="E112" s="4">
        <v>2.05E-4</v>
      </c>
    </row>
    <row r="113" spans="1:5" x14ac:dyDescent="0.25">
      <c r="A113" s="3">
        <v>45334</v>
      </c>
      <c r="B113" s="3">
        <v>45340</v>
      </c>
      <c r="C113" t="s">
        <v>2044</v>
      </c>
      <c r="D113">
        <v>33</v>
      </c>
      <c r="E113" s="4">
        <v>1.1900000000000001E-4</v>
      </c>
    </row>
    <row r="114" spans="1:5" x14ac:dyDescent="0.25">
      <c r="A114" s="3">
        <v>45341</v>
      </c>
      <c r="B114" s="3">
        <v>45347</v>
      </c>
      <c r="C114" t="s">
        <v>2045</v>
      </c>
      <c r="D114">
        <v>47</v>
      </c>
      <c r="E114" s="4">
        <v>1.7899999999999999E-4</v>
      </c>
    </row>
    <row r="115" spans="1:5" x14ac:dyDescent="0.25">
      <c r="A115" s="3">
        <v>45348</v>
      </c>
      <c r="B115" s="3">
        <v>45354</v>
      </c>
      <c r="C115" t="s">
        <v>2046</v>
      </c>
      <c r="D115">
        <v>64</v>
      </c>
      <c r="E115" s="4">
        <v>2.1900000000000001E-4</v>
      </c>
    </row>
    <row r="116" spans="1:5" x14ac:dyDescent="0.25">
      <c r="A116" s="3">
        <v>45355</v>
      </c>
      <c r="B116" s="3">
        <v>45361</v>
      </c>
      <c r="C116" t="s">
        <v>2047</v>
      </c>
      <c r="D116">
        <v>52</v>
      </c>
      <c r="E116" s="4">
        <v>1.93E-4</v>
      </c>
    </row>
    <row r="117" spans="1:5" x14ac:dyDescent="0.25">
      <c r="A117" s="3">
        <v>45362</v>
      </c>
      <c r="B117" s="3">
        <v>45368</v>
      </c>
      <c r="C117" t="s">
        <v>2048</v>
      </c>
      <c r="D117">
        <v>37</v>
      </c>
      <c r="E117" s="4">
        <v>1.3799999999999999E-4</v>
      </c>
    </row>
    <row r="118" spans="1:5" x14ac:dyDescent="0.25">
      <c r="A118" s="3">
        <v>45369</v>
      </c>
      <c r="B118" s="3">
        <v>45375</v>
      </c>
      <c r="C118" t="s">
        <v>2049</v>
      </c>
      <c r="D118">
        <v>41</v>
      </c>
      <c r="E118" s="4">
        <v>1.5300000000000001E-4</v>
      </c>
    </row>
    <row r="119" spans="1:5" x14ac:dyDescent="0.25">
      <c r="A119" s="3">
        <v>45376</v>
      </c>
      <c r="B119" s="3">
        <v>45382</v>
      </c>
      <c r="C119" t="s">
        <v>2050</v>
      </c>
      <c r="D119">
        <v>80</v>
      </c>
      <c r="E119" s="4">
        <v>3.1100000000000002E-4</v>
      </c>
    </row>
    <row r="120" spans="1:5" x14ac:dyDescent="0.25">
      <c r="A120" s="3">
        <v>45383</v>
      </c>
      <c r="B120" s="3">
        <v>45389</v>
      </c>
      <c r="C120" t="s">
        <v>2051</v>
      </c>
      <c r="D120">
        <v>70</v>
      </c>
      <c r="E120" s="4">
        <v>2.63E-4</v>
      </c>
    </row>
    <row r="121" spans="1:5" x14ac:dyDescent="0.25">
      <c r="A121" s="3">
        <v>45390</v>
      </c>
      <c r="B121" s="3">
        <v>45396</v>
      </c>
      <c r="C121" t="s">
        <v>2052</v>
      </c>
      <c r="D121">
        <v>55</v>
      </c>
      <c r="E121" s="4">
        <v>2.1100000000000001E-4</v>
      </c>
    </row>
    <row r="122" spans="1:5" x14ac:dyDescent="0.25">
      <c r="A122" s="3">
        <v>45397</v>
      </c>
      <c r="B122" s="3">
        <v>45403</v>
      </c>
      <c r="C122" t="s">
        <v>2053</v>
      </c>
      <c r="D122">
        <v>78</v>
      </c>
      <c r="E122" s="4">
        <v>3.0699999999999998E-4</v>
      </c>
    </row>
    <row r="123" spans="1:5" x14ac:dyDescent="0.25">
      <c r="A123" s="3">
        <v>45404</v>
      </c>
      <c r="B123" s="3">
        <v>45410</v>
      </c>
      <c r="C123" t="s">
        <v>2054</v>
      </c>
      <c r="D123">
        <v>83</v>
      </c>
      <c r="E123" s="4">
        <v>3.3199999999999999E-4</v>
      </c>
    </row>
    <row r="124" spans="1:5" x14ac:dyDescent="0.25">
      <c r="A124" s="3">
        <v>45411</v>
      </c>
      <c r="B124" s="3">
        <v>45417</v>
      </c>
      <c r="C124" t="s">
        <v>2055</v>
      </c>
      <c r="D124">
        <v>73</v>
      </c>
      <c r="E124" s="4">
        <v>3.2200000000000002E-4</v>
      </c>
    </row>
    <row r="125" spans="1:5" x14ac:dyDescent="0.25">
      <c r="A125" s="3">
        <v>45418</v>
      </c>
      <c r="B125" s="3">
        <v>45424</v>
      </c>
      <c r="C125" t="s">
        <v>2056</v>
      </c>
      <c r="D125">
        <v>39</v>
      </c>
      <c r="E125" s="4">
        <v>1.6100000000000001E-4</v>
      </c>
    </row>
    <row r="126" spans="1:5" x14ac:dyDescent="0.25">
      <c r="A126" s="3">
        <v>45425</v>
      </c>
      <c r="B126" s="3">
        <v>45431</v>
      </c>
      <c r="C126" t="s">
        <v>2057</v>
      </c>
      <c r="D126">
        <v>50</v>
      </c>
      <c r="E126" s="4">
        <v>1.9699999999999999E-4</v>
      </c>
    </row>
    <row r="127" spans="1:5" x14ac:dyDescent="0.25">
      <c r="A127" s="3">
        <v>45432</v>
      </c>
      <c r="B127" s="3">
        <v>45438</v>
      </c>
      <c r="C127" t="s">
        <v>2058</v>
      </c>
      <c r="D127">
        <v>63</v>
      </c>
      <c r="E127" s="4">
        <v>2.6400000000000002E-4</v>
      </c>
    </row>
    <row r="128" spans="1:5" x14ac:dyDescent="0.25">
      <c r="A128" s="3">
        <v>45439</v>
      </c>
      <c r="B128" s="3">
        <v>45445</v>
      </c>
      <c r="C128" t="s">
        <v>2059</v>
      </c>
      <c r="D128">
        <v>50</v>
      </c>
      <c r="E128" s="4">
        <v>2.1800000000000001E-4</v>
      </c>
    </row>
    <row r="129" spans="1:5" x14ac:dyDescent="0.25">
      <c r="A129" s="3">
        <v>45446</v>
      </c>
      <c r="B129" s="3">
        <v>45452</v>
      </c>
      <c r="C129" t="s">
        <v>2060</v>
      </c>
      <c r="D129">
        <v>63</v>
      </c>
      <c r="E129" s="4">
        <v>2.72E-4</v>
      </c>
    </row>
    <row r="130" spans="1:5" x14ac:dyDescent="0.25">
      <c r="A130" s="3">
        <v>45453</v>
      </c>
      <c r="B130" s="3">
        <v>45459</v>
      </c>
      <c r="C130" t="s">
        <v>2061</v>
      </c>
      <c r="D130">
        <v>43</v>
      </c>
      <c r="E130" s="4">
        <v>2.0000000000000001E-4</v>
      </c>
    </row>
    <row r="131" spans="1:5" x14ac:dyDescent="0.25">
      <c r="A131" s="3">
        <v>45460</v>
      </c>
      <c r="B131" s="3">
        <v>45466</v>
      </c>
      <c r="C131" t="s">
        <v>2062</v>
      </c>
      <c r="D131">
        <v>83</v>
      </c>
      <c r="E131" s="4">
        <v>3.7100000000000002E-4</v>
      </c>
    </row>
    <row r="132" spans="1:5" x14ac:dyDescent="0.25">
      <c r="A132" s="3">
        <v>45467</v>
      </c>
      <c r="B132" s="3">
        <v>45473</v>
      </c>
      <c r="C132" t="s">
        <v>2063</v>
      </c>
      <c r="D132">
        <v>52</v>
      </c>
      <c r="E132" s="4">
        <v>2.42E-4</v>
      </c>
    </row>
    <row r="133" spans="1:5" x14ac:dyDescent="0.25">
      <c r="A133" s="3">
        <v>45474</v>
      </c>
      <c r="B133" s="3">
        <v>45480</v>
      </c>
      <c r="C133" t="s">
        <v>2064</v>
      </c>
      <c r="D133">
        <v>54</v>
      </c>
      <c r="E133" s="4">
        <v>2.6400000000000002E-4</v>
      </c>
    </row>
    <row r="134" spans="1:5" x14ac:dyDescent="0.25">
      <c r="A134" s="3">
        <v>45481</v>
      </c>
      <c r="B134" s="3">
        <v>45487</v>
      </c>
      <c r="C134" t="s">
        <v>2065</v>
      </c>
      <c r="D134">
        <v>62</v>
      </c>
      <c r="E134" s="4">
        <v>3.0499999999999999E-4</v>
      </c>
    </row>
    <row r="135" spans="1:5" x14ac:dyDescent="0.25">
      <c r="A135" s="3">
        <v>45488</v>
      </c>
      <c r="B135" s="3">
        <v>45494</v>
      </c>
      <c r="C135" t="s">
        <v>2066</v>
      </c>
      <c r="D135">
        <v>56</v>
      </c>
      <c r="E135" s="4">
        <v>2.7599999999999999E-4</v>
      </c>
    </row>
    <row r="136" spans="1:5" x14ac:dyDescent="0.25">
      <c r="A136" s="3">
        <v>45495</v>
      </c>
      <c r="B136" s="3">
        <v>45501</v>
      </c>
      <c r="C136" t="s">
        <v>2067</v>
      </c>
      <c r="D136">
        <v>61</v>
      </c>
      <c r="E136" s="4">
        <v>2.9E-4</v>
      </c>
    </row>
    <row r="137" spans="1:5" x14ac:dyDescent="0.25">
      <c r="A137" s="3">
        <v>45502</v>
      </c>
      <c r="B137" s="3">
        <v>45508</v>
      </c>
      <c r="C137" t="s">
        <v>2068</v>
      </c>
      <c r="D137">
        <v>46</v>
      </c>
      <c r="E137" s="4">
        <v>2.1699999999999999E-4</v>
      </c>
    </row>
    <row r="138" spans="1:5" x14ac:dyDescent="0.25">
      <c r="A138" s="3">
        <v>45509</v>
      </c>
      <c r="B138" s="3">
        <v>45515</v>
      </c>
      <c r="C138" t="s">
        <v>2069</v>
      </c>
      <c r="D138">
        <v>48</v>
      </c>
      <c r="E138" s="4">
        <v>2.2100000000000001E-4</v>
      </c>
    </row>
    <row r="139" spans="1:5" x14ac:dyDescent="0.25">
      <c r="A139" s="3">
        <v>45516</v>
      </c>
      <c r="B139" s="3">
        <v>45522</v>
      </c>
      <c r="C139" t="s">
        <v>2070</v>
      </c>
      <c r="D139">
        <v>41</v>
      </c>
      <c r="E139" s="4">
        <v>1.94E-4</v>
      </c>
    </row>
    <row r="140" spans="1:5" x14ac:dyDescent="0.25">
      <c r="A140" s="3">
        <v>45523</v>
      </c>
      <c r="B140" s="3">
        <v>45529</v>
      </c>
      <c r="C140" t="s">
        <v>2071</v>
      </c>
      <c r="D140">
        <v>42</v>
      </c>
      <c r="E140" s="4">
        <v>2.05E-4</v>
      </c>
    </row>
    <row r="141" spans="1:5" x14ac:dyDescent="0.25">
      <c r="A141" s="3">
        <v>45530</v>
      </c>
      <c r="B141" s="3">
        <v>45536</v>
      </c>
      <c r="C141" t="s">
        <v>2072</v>
      </c>
      <c r="D141">
        <v>62</v>
      </c>
      <c r="E141" s="4">
        <v>2.9300000000000002E-4</v>
      </c>
    </row>
    <row r="142" spans="1:5" x14ac:dyDescent="0.25">
      <c r="A142" s="3">
        <v>45537</v>
      </c>
      <c r="B142" s="3">
        <v>45543</v>
      </c>
      <c r="C142" t="s">
        <v>2073</v>
      </c>
      <c r="D142">
        <v>37</v>
      </c>
      <c r="E142" s="4">
        <v>1.74E-4</v>
      </c>
    </row>
    <row r="143" spans="1:5" x14ac:dyDescent="0.25">
      <c r="A143" s="3">
        <v>45544</v>
      </c>
      <c r="B143" s="3">
        <v>45550</v>
      </c>
      <c r="C143" t="s">
        <v>2074</v>
      </c>
      <c r="D143">
        <v>50</v>
      </c>
      <c r="E143" s="4">
        <v>2.1900000000000001E-4</v>
      </c>
    </row>
    <row r="144" spans="1:5" x14ac:dyDescent="0.25">
      <c r="A144" s="3">
        <v>45551</v>
      </c>
      <c r="B144" s="3">
        <v>45557</v>
      </c>
      <c r="C144" t="s">
        <v>2075</v>
      </c>
      <c r="D144">
        <v>70</v>
      </c>
      <c r="E144" s="4">
        <v>2.9399999999999999E-4</v>
      </c>
    </row>
    <row r="145" spans="1:5" x14ac:dyDescent="0.25">
      <c r="A145" s="3">
        <v>45558</v>
      </c>
      <c r="B145" s="3">
        <v>45564</v>
      </c>
      <c r="C145" t="s">
        <v>2076</v>
      </c>
      <c r="D145">
        <v>66</v>
      </c>
      <c r="E145" s="4">
        <v>2.72E-4</v>
      </c>
    </row>
    <row r="146" spans="1:5" x14ac:dyDescent="0.25">
      <c r="A146" s="3">
        <v>45565</v>
      </c>
      <c r="B146" s="3">
        <v>45571</v>
      </c>
      <c r="C146" t="s">
        <v>2077</v>
      </c>
      <c r="D146">
        <v>52</v>
      </c>
      <c r="E146" s="4">
        <v>2.05E-4</v>
      </c>
    </row>
    <row r="147" spans="1:5" x14ac:dyDescent="0.25">
      <c r="A147" s="3">
        <v>45572</v>
      </c>
      <c r="B147" s="3">
        <v>45578</v>
      </c>
      <c r="C147" t="s">
        <v>2078</v>
      </c>
      <c r="D147">
        <v>41</v>
      </c>
      <c r="E147" s="4">
        <v>1.54E-4</v>
      </c>
    </row>
    <row r="148" spans="1:5" x14ac:dyDescent="0.25">
      <c r="A148" s="3">
        <v>45579</v>
      </c>
      <c r="B148" s="3">
        <v>45585</v>
      </c>
      <c r="C148" t="s">
        <v>2079</v>
      </c>
      <c r="D148">
        <v>63</v>
      </c>
      <c r="E148" s="4">
        <v>2.4899999999999998E-4</v>
      </c>
    </row>
    <row r="149" spans="1:5" x14ac:dyDescent="0.25">
      <c r="A149" s="3">
        <v>45586</v>
      </c>
      <c r="B149" s="3">
        <v>45592</v>
      </c>
      <c r="C149" t="s">
        <v>2080</v>
      </c>
      <c r="D149">
        <v>50</v>
      </c>
      <c r="E149" s="4">
        <v>1.8200000000000001E-4</v>
      </c>
    </row>
    <row r="150" spans="1:5" x14ac:dyDescent="0.25">
      <c r="A150" s="3">
        <v>45593</v>
      </c>
      <c r="B150" s="3">
        <v>45599</v>
      </c>
      <c r="C150" t="s">
        <v>2081</v>
      </c>
      <c r="D150">
        <v>46</v>
      </c>
      <c r="E150" s="4">
        <v>1.7200000000000001E-4</v>
      </c>
    </row>
    <row r="151" spans="1:5" x14ac:dyDescent="0.25">
      <c r="A151" s="3">
        <v>45600</v>
      </c>
      <c r="B151" s="3">
        <v>45606</v>
      </c>
      <c r="C151" t="s">
        <v>2082</v>
      </c>
      <c r="D151">
        <v>38</v>
      </c>
      <c r="E151" s="4">
        <v>1.36E-4</v>
      </c>
    </row>
    <row r="152" spans="1:5" x14ac:dyDescent="0.25">
      <c r="A152" s="3">
        <v>45607</v>
      </c>
      <c r="B152" s="3">
        <v>45613</v>
      </c>
      <c r="C152" t="s">
        <v>2083</v>
      </c>
      <c r="D152">
        <v>26</v>
      </c>
      <c r="E152" s="4">
        <v>8.8999999999999995E-5</v>
      </c>
    </row>
    <row r="153" spans="1:5" x14ac:dyDescent="0.25">
      <c r="A153" s="3">
        <v>45614</v>
      </c>
      <c r="B153" s="3">
        <v>45620</v>
      </c>
      <c r="C153" t="s">
        <v>2084</v>
      </c>
      <c r="D153">
        <v>39</v>
      </c>
      <c r="E153" s="4">
        <v>1.35E-4</v>
      </c>
    </row>
    <row r="154" spans="1:5" x14ac:dyDescent="0.25">
      <c r="A154" s="3">
        <v>45621</v>
      </c>
      <c r="B154" s="3">
        <v>45627</v>
      </c>
      <c r="C154" t="s">
        <v>2085</v>
      </c>
      <c r="D154">
        <v>43</v>
      </c>
      <c r="E154" s="4">
        <v>1.4100000000000001E-4</v>
      </c>
    </row>
    <row r="155" spans="1:5" x14ac:dyDescent="0.25">
      <c r="A155" s="3">
        <v>45628</v>
      </c>
      <c r="B155" s="3">
        <v>45634</v>
      </c>
      <c r="C155" t="s">
        <v>2086</v>
      </c>
      <c r="D155">
        <v>47</v>
      </c>
      <c r="E155" s="4">
        <v>1.6100000000000001E-4</v>
      </c>
    </row>
    <row r="156" spans="1:5" x14ac:dyDescent="0.25">
      <c r="A156" s="3">
        <v>45635</v>
      </c>
      <c r="B156" s="3">
        <v>45641</v>
      </c>
      <c r="C156" t="s">
        <v>2087</v>
      </c>
      <c r="D156">
        <v>39</v>
      </c>
      <c r="E156" s="4">
        <v>1.3300000000000001E-4</v>
      </c>
    </row>
    <row r="157" spans="1:5" x14ac:dyDescent="0.25">
      <c r="A157" s="3">
        <v>45642</v>
      </c>
      <c r="B157" s="3">
        <v>45648</v>
      </c>
      <c r="C157" t="s">
        <v>2088</v>
      </c>
      <c r="D157">
        <v>28</v>
      </c>
      <c r="E157" s="4">
        <v>9.2E-5</v>
      </c>
    </row>
    <row r="158" spans="1:5" x14ac:dyDescent="0.25">
      <c r="A158" s="3">
        <v>45649</v>
      </c>
      <c r="B158" s="3">
        <v>45655</v>
      </c>
      <c r="C158" t="s">
        <v>2089</v>
      </c>
      <c r="D158">
        <v>27</v>
      </c>
      <c r="E158" s="4">
        <v>9.5000000000000005E-5</v>
      </c>
    </row>
    <row r="159" spans="1:5" x14ac:dyDescent="0.25">
      <c r="A159" s="3">
        <v>45656</v>
      </c>
      <c r="B159" s="3">
        <v>45662</v>
      </c>
      <c r="C159" t="s">
        <v>2090</v>
      </c>
      <c r="D159">
        <v>16</v>
      </c>
      <c r="E159" s="4">
        <v>7.2999999999999999E-5</v>
      </c>
    </row>
    <row r="160" spans="1:5" x14ac:dyDescent="0.25">
      <c r="A160" s="3">
        <v>45663</v>
      </c>
      <c r="B160" s="3">
        <v>45669</v>
      </c>
      <c r="C160" t="s">
        <v>2091</v>
      </c>
      <c r="D160">
        <v>46</v>
      </c>
      <c r="E160" s="4">
        <v>1.7699999999999999E-4</v>
      </c>
    </row>
    <row r="161" spans="1:5" x14ac:dyDescent="0.25">
      <c r="A161" s="3">
        <v>45670</v>
      </c>
      <c r="B161" s="3">
        <v>45676</v>
      </c>
      <c r="C161" t="s">
        <v>2092</v>
      </c>
      <c r="D161">
        <v>45</v>
      </c>
      <c r="E161" s="4">
        <v>1.5300000000000001E-4</v>
      </c>
    </row>
    <row r="162" spans="1:5" x14ac:dyDescent="0.25">
      <c r="A162" s="3">
        <v>45677</v>
      </c>
      <c r="B162" s="3">
        <v>45683</v>
      </c>
      <c r="C162" t="s">
        <v>2093</v>
      </c>
      <c r="D162">
        <v>29</v>
      </c>
      <c r="E162" s="4">
        <v>9.6000000000000002E-5</v>
      </c>
    </row>
    <row r="163" spans="1:5" x14ac:dyDescent="0.25">
      <c r="A163" s="3">
        <v>45684</v>
      </c>
      <c r="B163" s="3">
        <v>45690</v>
      </c>
      <c r="C163" t="s">
        <v>2094</v>
      </c>
      <c r="D163">
        <v>43</v>
      </c>
      <c r="E163" s="4">
        <v>1.4200000000000001E-4</v>
      </c>
    </row>
    <row r="164" spans="1:5" x14ac:dyDescent="0.25">
      <c r="A164" s="3">
        <v>45691</v>
      </c>
      <c r="B164" s="3">
        <v>45697</v>
      </c>
      <c r="C164" t="s">
        <v>2095</v>
      </c>
      <c r="D164">
        <v>42</v>
      </c>
      <c r="E164" s="4">
        <v>1.3799999999999999E-4</v>
      </c>
    </row>
    <row r="165" spans="1:5" x14ac:dyDescent="0.25">
      <c r="A165" s="3">
        <v>45698</v>
      </c>
      <c r="B165" s="3">
        <v>45704</v>
      </c>
      <c r="C165" t="s">
        <v>2096</v>
      </c>
      <c r="D165">
        <v>48</v>
      </c>
      <c r="E165" s="4">
        <v>1.6200000000000001E-4</v>
      </c>
    </row>
    <row r="166" spans="1:5" x14ac:dyDescent="0.25">
      <c r="A166" s="3">
        <v>45705</v>
      </c>
      <c r="B166" s="3">
        <v>45711</v>
      </c>
      <c r="C166" t="s">
        <v>2097</v>
      </c>
      <c r="D166">
        <v>32</v>
      </c>
      <c r="E166" s="4">
        <v>1.12E-4</v>
      </c>
    </row>
    <row r="167" spans="1:5" x14ac:dyDescent="0.25">
      <c r="A167" s="3">
        <v>45712</v>
      </c>
      <c r="B167" s="3">
        <v>45718</v>
      </c>
      <c r="C167" t="s">
        <v>2098</v>
      </c>
      <c r="D167">
        <v>26</v>
      </c>
      <c r="E167" s="4">
        <v>9.3999999999999994E-5</v>
      </c>
    </row>
    <row r="168" spans="1:5" x14ac:dyDescent="0.25">
      <c r="A168" s="3">
        <v>45719</v>
      </c>
      <c r="B168" s="3">
        <v>45725</v>
      </c>
      <c r="C168" t="s">
        <v>2099</v>
      </c>
      <c r="D168">
        <v>40</v>
      </c>
      <c r="E168" s="4">
        <v>1.44E-4</v>
      </c>
    </row>
    <row r="169" spans="1:5" x14ac:dyDescent="0.25">
      <c r="A169" s="3">
        <v>45726</v>
      </c>
      <c r="B169" s="3">
        <v>45732</v>
      </c>
      <c r="C169" t="s">
        <v>2100</v>
      </c>
      <c r="D169">
        <v>54</v>
      </c>
      <c r="E169" s="4">
        <v>1.93E-4</v>
      </c>
    </row>
    <row r="170" spans="1:5" x14ac:dyDescent="0.25">
      <c r="A170" s="3">
        <v>45733</v>
      </c>
      <c r="B170" s="3">
        <v>45739</v>
      </c>
      <c r="C170" t="s">
        <v>2101</v>
      </c>
      <c r="D170">
        <v>62</v>
      </c>
      <c r="E170" s="4">
        <v>2.2900000000000001E-4</v>
      </c>
    </row>
    <row r="171" spans="1:5" x14ac:dyDescent="0.25">
      <c r="A171" s="3">
        <v>45740</v>
      </c>
      <c r="B171" s="3">
        <v>45746</v>
      </c>
      <c r="C171" t="s">
        <v>2102</v>
      </c>
      <c r="D171">
        <v>77</v>
      </c>
      <c r="E171" s="4">
        <v>3.0600000000000001E-4</v>
      </c>
    </row>
    <row r="172" spans="1:5" x14ac:dyDescent="0.25">
      <c r="A172" s="3">
        <v>45747</v>
      </c>
      <c r="B172" s="3">
        <v>45753</v>
      </c>
      <c r="C172" t="s">
        <v>2103</v>
      </c>
      <c r="D172">
        <v>81</v>
      </c>
      <c r="E172" s="4">
        <v>3.0400000000000002E-4</v>
      </c>
    </row>
    <row r="173" spans="1:5" x14ac:dyDescent="0.25">
      <c r="A173" s="3">
        <v>45754</v>
      </c>
      <c r="B173" s="3">
        <v>45760</v>
      </c>
      <c r="C173" t="s">
        <v>2104</v>
      </c>
      <c r="D173">
        <v>68</v>
      </c>
      <c r="E173" s="4">
        <v>2.5900000000000001E-4</v>
      </c>
    </row>
    <row r="174" spans="1:5" x14ac:dyDescent="0.25">
      <c r="A174" s="3">
        <v>45761</v>
      </c>
      <c r="B174" s="3">
        <v>45767</v>
      </c>
      <c r="C174" t="s">
        <v>2105</v>
      </c>
      <c r="D174">
        <v>65</v>
      </c>
      <c r="E174" s="4">
        <v>2.5999999999999998E-4</v>
      </c>
    </row>
    <row r="175" spans="1:5" x14ac:dyDescent="0.25">
      <c r="A175" s="3">
        <v>45768</v>
      </c>
      <c r="B175" s="3">
        <v>45774</v>
      </c>
      <c r="C175" t="s">
        <v>2106</v>
      </c>
      <c r="D175">
        <v>62</v>
      </c>
      <c r="E175" s="4">
        <v>2.41E-4</v>
      </c>
    </row>
    <row r="176" spans="1:5" x14ac:dyDescent="0.25">
      <c r="A176" s="3">
        <v>45775</v>
      </c>
      <c r="B176" s="3">
        <v>45781</v>
      </c>
      <c r="C176" t="s">
        <v>2107</v>
      </c>
      <c r="D176">
        <v>52</v>
      </c>
      <c r="E176" s="4">
        <v>2.2599999999999999E-4</v>
      </c>
    </row>
    <row r="177" spans="1:5" x14ac:dyDescent="0.25">
      <c r="A177" s="3">
        <v>45782</v>
      </c>
      <c r="B177" s="3">
        <v>45788</v>
      </c>
      <c r="C177" t="s">
        <v>2108</v>
      </c>
      <c r="D177">
        <v>43</v>
      </c>
      <c r="E177" s="4">
        <v>1.94E-4</v>
      </c>
    </row>
    <row r="178" spans="1:5" x14ac:dyDescent="0.25">
      <c r="A178" s="3">
        <v>45789</v>
      </c>
      <c r="B178" s="3">
        <v>45795</v>
      </c>
      <c r="C178" t="s">
        <v>2109</v>
      </c>
      <c r="D178">
        <v>54</v>
      </c>
      <c r="E178" s="4">
        <v>2.1699999999999999E-4</v>
      </c>
    </row>
    <row r="179" spans="1:5" x14ac:dyDescent="0.25">
      <c r="A179" s="3">
        <v>45796</v>
      </c>
      <c r="B179" s="3">
        <v>45802</v>
      </c>
      <c r="C179" t="s">
        <v>2110</v>
      </c>
      <c r="D179">
        <v>50</v>
      </c>
      <c r="E179" s="4">
        <v>2.0799999999999999E-4</v>
      </c>
    </row>
    <row r="180" spans="1:5" x14ac:dyDescent="0.25">
      <c r="A180" s="3">
        <v>45803</v>
      </c>
      <c r="B180" s="3">
        <v>45809</v>
      </c>
      <c r="C180" t="s">
        <v>2111</v>
      </c>
      <c r="D180">
        <v>63</v>
      </c>
      <c r="E180" s="4">
        <v>2.8400000000000002E-4</v>
      </c>
    </row>
    <row r="181" spans="1:5" x14ac:dyDescent="0.25">
      <c r="A181" s="3">
        <v>45810</v>
      </c>
      <c r="B181" s="3">
        <v>45816</v>
      </c>
      <c r="C181" t="s">
        <v>2112</v>
      </c>
      <c r="D181">
        <v>76</v>
      </c>
      <c r="E181" s="4">
        <v>3.39E-4</v>
      </c>
    </row>
    <row r="182" spans="1:5" x14ac:dyDescent="0.25">
      <c r="A182" s="3">
        <v>45817</v>
      </c>
      <c r="B182" s="3">
        <v>45823</v>
      </c>
      <c r="C182" t="s">
        <v>2113</v>
      </c>
      <c r="D182">
        <v>82</v>
      </c>
      <c r="E182" s="4">
        <v>3.68E-4</v>
      </c>
    </row>
    <row r="183" spans="1:5" x14ac:dyDescent="0.25">
      <c r="A183" s="3">
        <v>45824</v>
      </c>
      <c r="B183" s="3">
        <v>45830</v>
      </c>
      <c r="C183" t="s">
        <v>2114</v>
      </c>
      <c r="D183">
        <v>61</v>
      </c>
      <c r="E183" s="4">
        <v>2.52E-4</v>
      </c>
    </row>
    <row r="184" spans="1:5" x14ac:dyDescent="0.25">
      <c r="A184" s="3">
        <v>45831</v>
      </c>
      <c r="B184" s="3">
        <v>45837</v>
      </c>
      <c r="C184" t="s">
        <v>2115</v>
      </c>
      <c r="D184">
        <v>69</v>
      </c>
      <c r="E184" s="4">
        <v>2.9100000000000003E-4</v>
      </c>
    </row>
    <row r="185" spans="1:5" x14ac:dyDescent="0.25">
      <c r="A185" s="3">
        <v>45838</v>
      </c>
      <c r="B185" s="3">
        <v>45844</v>
      </c>
      <c r="C185" t="s">
        <v>2116</v>
      </c>
      <c r="D185">
        <v>80</v>
      </c>
      <c r="E185" s="4">
        <v>3.5300000000000002E-4</v>
      </c>
    </row>
    <row r="186" spans="1:5" x14ac:dyDescent="0.25">
      <c r="A186" s="3">
        <v>45845</v>
      </c>
      <c r="B186" s="3">
        <v>45851</v>
      </c>
      <c r="C186" t="s">
        <v>2117</v>
      </c>
      <c r="D186">
        <v>72</v>
      </c>
      <c r="E186" s="4">
        <v>3.3399999999999999E-4</v>
      </c>
    </row>
    <row r="187" spans="1:5" x14ac:dyDescent="0.25">
      <c r="A187" s="3">
        <v>45852</v>
      </c>
      <c r="B187" s="3">
        <v>45858</v>
      </c>
      <c r="C187" t="s">
        <v>2118</v>
      </c>
      <c r="D187">
        <v>80</v>
      </c>
      <c r="E187" s="4">
        <v>3.6299999999999999E-4</v>
      </c>
    </row>
    <row r="188" spans="1:5" x14ac:dyDescent="0.25">
      <c r="A188" s="3">
        <v>45859</v>
      </c>
      <c r="B188" s="3">
        <v>45865</v>
      </c>
      <c r="C188" t="s">
        <v>2119</v>
      </c>
      <c r="D188">
        <v>70</v>
      </c>
      <c r="E188" s="4">
        <v>3.1300000000000002E-4</v>
      </c>
    </row>
    <row r="189" spans="1:5" x14ac:dyDescent="0.25">
      <c r="A189" s="3">
        <v>45866</v>
      </c>
      <c r="B189" s="3">
        <v>45872</v>
      </c>
      <c r="C189" t="s">
        <v>2120</v>
      </c>
      <c r="D189">
        <v>64</v>
      </c>
      <c r="E189" s="4">
        <v>2.9100000000000003E-4</v>
      </c>
    </row>
    <row r="190" spans="1:5" x14ac:dyDescent="0.25">
      <c r="A190" s="3">
        <v>45873</v>
      </c>
      <c r="B190" s="3">
        <v>45879</v>
      </c>
      <c r="C190" t="s">
        <v>2121</v>
      </c>
      <c r="D190">
        <v>82</v>
      </c>
      <c r="E190" s="4">
        <v>3.6499999999999998E-4</v>
      </c>
    </row>
    <row r="191" spans="1:5" x14ac:dyDescent="0.25">
      <c r="A191" s="3">
        <v>45880</v>
      </c>
      <c r="B191" s="3">
        <v>45886</v>
      </c>
      <c r="C191" t="s">
        <v>2122</v>
      </c>
      <c r="D191">
        <v>75</v>
      </c>
      <c r="E191" s="4">
        <v>3.3300000000000002E-4</v>
      </c>
    </row>
    <row r="192" spans="1:5" x14ac:dyDescent="0.25">
      <c r="A192" s="3">
        <v>45887</v>
      </c>
      <c r="B192" s="3">
        <v>45893</v>
      </c>
      <c r="C192" t="s">
        <v>2123</v>
      </c>
      <c r="D192">
        <v>80</v>
      </c>
      <c r="E192" s="4">
        <v>3.5799999999999997E-4</v>
      </c>
    </row>
    <row r="193" spans="1:5" x14ac:dyDescent="0.25">
      <c r="A193" s="3">
        <v>45894</v>
      </c>
      <c r="B193" s="3">
        <v>45900</v>
      </c>
      <c r="C193" t="s">
        <v>2124</v>
      </c>
      <c r="D193">
        <v>42</v>
      </c>
      <c r="E193" s="4">
        <v>1.8200000000000001E-4</v>
      </c>
    </row>
    <row r="194" spans="1:5" x14ac:dyDescent="0.25">
      <c r="A194" s="3">
        <v>45901</v>
      </c>
      <c r="B194" s="3">
        <v>45907</v>
      </c>
      <c r="C194" t="s">
        <v>2125</v>
      </c>
      <c r="D194">
        <v>61</v>
      </c>
      <c r="E194" s="4">
        <v>2.5599999999999999E-4</v>
      </c>
    </row>
    <row r="195" spans="1:5" x14ac:dyDescent="0.25">
      <c r="A195" s="3">
        <v>45908</v>
      </c>
      <c r="B195" s="3">
        <v>45914</v>
      </c>
      <c r="C195" t="s">
        <v>2126</v>
      </c>
      <c r="D195">
        <v>76</v>
      </c>
      <c r="E195" s="4">
        <v>3.1E-4</v>
      </c>
    </row>
    <row r="196" spans="1:5" x14ac:dyDescent="0.25">
      <c r="A196" s="3">
        <v>45915</v>
      </c>
      <c r="B196" s="3">
        <v>45921</v>
      </c>
      <c r="C196" t="s">
        <v>2127</v>
      </c>
      <c r="D196">
        <v>57</v>
      </c>
      <c r="E196" s="4">
        <v>2.2900000000000001E-4</v>
      </c>
    </row>
    <row r="197" spans="1:5" x14ac:dyDescent="0.25">
      <c r="A197" s="3">
        <v>45922</v>
      </c>
      <c r="B197" s="3">
        <v>45928</v>
      </c>
      <c r="C197" t="s">
        <v>2128</v>
      </c>
      <c r="D197">
        <v>62</v>
      </c>
      <c r="E197" s="4">
        <v>2.3900000000000001E-4</v>
      </c>
    </row>
    <row r="198" spans="1:5" x14ac:dyDescent="0.25">
      <c r="A198" s="3">
        <v>45929</v>
      </c>
      <c r="B198" s="3">
        <v>45935</v>
      </c>
      <c r="C198" t="s">
        <v>2129</v>
      </c>
      <c r="D198">
        <v>80</v>
      </c>
      <c r="E198" s="4">
        <v>3.1799999999999998E-4</v>
      </c>
    </row>
    <row r="199" spans="1:5" x14ac:dyDescent="0.25">
      <c r="A199" s="3">
        <v>45936</v>
      </c>
      <c r="B199" s="3">
        <v>45942</v>
      </c>
      <c r="C199" t="s">
        <v>2130</v>
      </c>
      <c r="D199">
        <v>81</v>
      </c>
      <c r="E199" s="4">
        <v>3.1700000000000001E-4</v>
      </c>
    </row>
    <row r="200" spans="1:5" x14ac:dyDescent="0.25">
      <c r="A200" s="3">
        <v>45943</v>
      </c>
      <c r="B200" s="3">
        <v>45949</v>
      </c>
      <c r="C200" t="s">
        <v>2131</v>
      </c>
      <c r="D200">
        <v>34</v>
      </c>
      <c r="E200" s="4">
        <v>1.27E-4</v>
      </c>
    </row>
    <row r="201" spans="1:5" x14ac:dyDescent="0.25">
      <c r="A201" s="3">
        <v>45950</v>
      </c>
      <c r="B201" s="3">
        <v>45956</v>
      </c>
      <c r="C201" t="s">
        <v>2132</v>
      </c>
      <c r="D201">
        <v>29</v>
      </c>
      <c r="E201" s="4">
        <v>1.06E-4</v>
      </c>
    </row>
    <row r="202" spans="1:5" x14ac:dyDescent="0.25">
      <c r="A202" s="3">
        <v>45957</v>
      </c>
      <c r="B202" s="3">
        <v>45963</v>
      </c>
      <c r="C202" t="s">
        <v>2133</v>
      </c>
      <c r="D202">
        <v>65</v>
      </c>
      <c r="E202" s="4">
        <v>2.4499999999999999E-4</v>
      </c>
    </row>
    <row r="203" spans="1:5" x14ac:dyDescent="0.25">
      <c r="A203" s="3">
        <v>45964</v>
      </c>
      <c r="B203" s="3">
        <v>45970</v>
      </c>
      <c r="C203" t="s">
        <v>2134</v>
      </c>
      <c r="D203">
        <v>68</v>
      </c>
      <c r="E203" s="4">
        <v>2.7700000000000001E-4</v>
      </c>
    </row>
    <row r="204" spans="1:5" x14ac:dyDescent="0.25">
      <c r="A204" s="3">
        <v>45971</v>
      </c>
      <c r="B204" s="3">
        <v>45977</v>
      </c>
      <c r="C204" t="s">
        <v>2135</v>
      </c>
      <c r="D204">
        <v>48</v>
      </c>
      <c r="E204" s="4">
        <v>1.8100000000000001E-4</v>
      </c>
    </row>
    <row r="205" spans="1:5" x14ac:dyDescent="0.25">
      <c r="A205" s="3">
        <v>45978</v>
      </c>
      <c r="B205" s="3">
        <v>45984</v>
      </c>
      <c r="C205" t="s">
        <v>2136</v>
      </c>
      <c r="D205">
        <v>51</v>
      </c>
      <c r="E205" s="4">
        <v>1.85E-4</v>
      </c>
    </row>
    <row r="206" spans="1:5" x14ac:dyDescent="0.25">
      <c r="A206" s="3">
        <v>45985</v>
      </c>
      <c r="B206" s="3">
        <v>45991</v>
      </c>
      <c r="C206" t="s">
        <v>2137</v>
      </c>
      <c r="D206">
        <v>34</v>
      </c>
      <c r="E206" s="4">
        <v>1.2400000000000001E-4</v>
      </c>
    </row>
    <row r="207" spans="1:5" x14ac:dyDescent="0.25">
      <c r="A207" s="3">
        <v>45992</v>
      </c>
      <c r="B207" s="3">
        <v>45998</v>
      </c>
      <c r="C207" t="s">
        <v>2138</v>
      </c>
      <c r="D207">
        <v>37</v>
      </c>
      <c r="E207" s="4">
        <v>1.37E-4</v>
      </c>
    </row>
    <row r="208" spans="1:5" x14ac:dyDescent="0.25">
      <c r="A208" s="3">
        <v>45999</v>
      </c>
      <c r="B208" s="3">
        <v>46005</v>
      </c>
      <c r="C208" t="s">
        <v>2139</v>
      </c>
      <c r="D208">
        <v>45</v>
      </c>
      <c r="E208" s="4">
        <v>1.7200000000000001E-4</v>
      </c>
    </row>
    <row r="209" spans="1:5" x14ac:dyDescent="0.25">
      <c r="A209" s="3">
        <v>46006</v>
      </c>
      <c r="B209" s="3">
        <v>46012</v>
      </c>
      <c r="C209" t="s">
        <v>2140</v>
      </c>
      <c r="D209">
        <v>22</v>
      </c>
      <c r="E209" s="4">
        <v>8.7999999999999998E-5</v>
      </c>
    </row>
    <row r="210" spans="1:5" x14ac:dyDescent="0.25">
      <c r="A210" s="3">
        <v>46013</v>
      </c>
      <c r="B210" s="3">
        <v>46019</v>
      </c>
      <c r="C210" t="s">
        <v>2141</v>
      </c>
      <c r="D210">
        <v>22</v>
      </c>
      <c r="E210" s="4">
        <v>9.3999999999999994E-5</v>
      </c>
    </row>
    <row r="211" spans="1:5" x14ac:dyDescent="0.25">
      <c r="A211" s="3">
        <v>46020</v>
      </c>
      <c r="B211" s="3">
        <v>46026</v>
      </c>
      <c r="C211" t="s">
        <v>2142</v>
      </c>
      <c r="D211">
        <v>23</v>
      </c>
      <c r="E211" s="4">
        <v>1.21E-4</v>
      </c>
    </row>
    <row r="212" spans="1:5" x14ac:dyDescent="0.25">
      <c r="A212" s="3">
        <v>46027</v>
      </c>
      <c r="B212" s="3">
        <v>46033</v>
      </c>
      <c r="C212" t="s">
        <v>2143</v>
      </c>
      <c r="D212">
        <v>23</v>
      </c>
      <c r="E212" s="4">
        <v>1.17E-4</v>
      </c>
    </row>
    <row r="213" spans="1:5" x14ac:dyDescent="0.25">
      <c r="A213" s="3">
        <v>46034</v>
      </c>
      <c r="B213" s="3">
        <v>46040</v>
      </c>
      <c r="C213" t="s">
        <v>2144</v>
      </c>
      <c r="D213">
        <v>20</v>
      </c>
      <c r="E213" s="4">
        <v>8.3999999999999995E-5</v>
      </c>
    </row>
    <row r="214" spans="1:5" x14ac:dyDescent="0.25">
      <c r="A214" s="3">
        <v>46041</v>
      </c>
      <c r="B214" s="3">
        <v>46047</v>
      </c>
      <c r="C214" t="s">
        <v>2145</v>
      </c>
      <c r="D214">
        <v>37</v>
      </c>
      <c r="E214" s="4">
        <v>1.5200000000000001E-4</v>
      </c>
    </row>
    <row r="215" spans="1:5" x14ac:dyDescent="0.25">
      <c r="A215" s="3">
        <v>46048</v>
      </c>
      <c r="B215" s="3">
        <v>46054</v>
      </c>
      <c r="C215" t="s">
        <v>2146</v>
      </c>
      <c r="D215">
        <v>39</v>
      </c>
      <c r="E215" s="4">
        <v>1.65E-4</v>
      </c>
    </row>
    <row r="216" spans="1:5" x14ac:dyDescent="0.25">
      <c r="A216" s="3">
        <v>46055</v>
      </c>
      <c r="B216" s="3">
        <v>46061</v>
      </c>
      <c r="C216" t="s">
        <v>2147</v>
      </c>
      <c r="D216">
        <v>42</v>
      </c>
      <c r="E216" s="4">
        <v>1.8000000000000001E-4</v>
      </c>
    </row>
    <row r="217" spans="1:5" x14ac:dyDescent="0.25">
      <c r="A217" s="3">
        <v>46062</v>
      </c>
      <c r="B217" s="3">
        <v>46068</v>
      </c>
      <c r="C217" t="s">
        <v>2148</v>
      </c>
      <c r="D217">
        <v>33</v>
      </c>
      <c r="E217" s="4">
        <v>1.4300000000000001E-4</v>
      </c>
    </row>
    <row r="218" spans="1:5" x14ac:dyDescent="0.25">
      <c r="A218" s="3">
        <v>46069</v>
      </c>
      <c r="B218" s="3">
        <v>46075</v>
      </c>
      <c r="C218" t="s">
        <v>2149</v>
      </c>
      <c r="D218">
        <v>28</v>
      </c>
      <c r="E218" s="4">
        <v>1.26E-4</v>
      </c>
    </row>
    <row r="219" spans="1:5" x14ac:dyDescent="0.25">
      <c r="A219" s="3">
        <v>46076</v>
      </c>
      <c r="B219" s="3">
        <v>46082</v>
      </c>
      <c r="C219" t="s">
        <v>2150</v>
      </c>
      <c r="D219">
        <v>35</v>
      </c>
      <c r="E219" s="4">
        <v>1.6100000000000001E-4</v>
      </c>
    </row>
    <row r="220" spans="1:5" x14ac:dyDescent="0.25">
      <c r="A220" s="3">
        <v>46083</v>
      </c>
      <c r="B220" s="3">
        <v>46089</v>
      </c>
      <c r="C220" t="s">
        <v>2151</v>
      </c>
      <c r="D220">
        <v>31</v>
      </c>
      <c r="E220" s="4">
        <v>1.44E-4</v>
      </c>
    </row>
    <row r="221" spans="1:5" x14ac:dyDescent="0.25">
      <c r="A221" s="3">
        <v>46090</v>
      </c>
      <c r="B221" s="3">
        <v>46096</v>
      </c>
      <c r="C221" t="s">
        <v>2152</v>
      </c>
      <c r="D221">
        <v>30</v>
      </c>
      <c r="E221" s="4">
        <v>1.21E-4</v>
      </c>
    </row>
    <row r="222" spans="1:5" x14ac:dyDescent="0.25">
      <c r="A222" s="3">
        <v>46097</v>
      </c>
      <c r="B222" s="3">
        <v>46103</v>
      </c>
      <c r="C222" t="s">
        <v>2153</v>
      </c>
      <c r="D222">
        <v>56</v>
      </c>
      <c r="E222" s="4">
        <v>2.1699999999999999E-4</v>
      </c>
    </row>
    <row r="223" spans="1:5" x14ac:dyDescent="0.25">
      <c r="A223" s="3">
        <v>46104</v>
      </c>
      <c r="B223" s="3">
        <v>46110</v>
      </c>
      <c r="C223" t="s">
        <v>2154</v>
      </c>
      <c r="D223">
        <v>43</v>
      </c>
      <c r="E223" s="4">
        <v>1.7200000000000001E-4</v>
      </c>
    </row>
    <row r="224" spans="1:5" x14ac:dyDescent="0.25">
      <c r="A224" s="3">
        <v>46111</v>
      </c>
      <c r="B224" s="3">
        <v>46117</v>
      </c>
      <c r="C224" t="s">
        <v>2155</v>
      </c>
      <c r="D224">
        <v>87</v>
      </c>
      <c r="E224" s="4">
        <v>3.6200000000000002E-4</v>
      </c>
    </row>
    <row r="225" spans="1:5" x14ac:dyDescent="0.25">
      <c r="A225" s="3">
        <v>46118</v>
      </c>
      <c r="B225" s="3">
        <v>46124</v>
      </c>
      <c r="C225" t="s">
        <v>2156</v>
      </c>
      <c r="D225">
        <v>60</v>
      </c>
      <c r="E225" s="4">
        <v>2.3800000000000001E-4</v>
      </c>
    </row>
    <row r="226" spans="1:5" x14ac:dyDescent="0.25">
      <c r="A226" s="3">
        <v>46125</v>
      </c>
      <c r="B226" s="3">
        <v>46131</v>
      </c>
      <c r="C226" t="s">
        <v>2157</v>
      </c>
      <c r="D226">
        <v>56</v>
      </c>
      <c r="E226" s="4">
        <v>2.2499999999999999E-4</v>
      </c>
    </row>
    <row r="227" spans="1:5" x14ac:dyDescent="0.25">
      <c r="A227" s="3">
        <v>46132</v>
      </c>
      <c r="B227" s="3">
        <v>46138</v>
      </c>
      <c r="C227" t="s">
        <v>2158</v>
      </c>
      <c r="D227">
        <v>83</v>
      </c>
      <c r="E227" s="4">
        <v>3.2400000000000001E-4</v>
      </c>
    </row>
    <row r="228" spans="1:5" x14ac:dyDescent="0.25">
      <c r="A228" s="3">
        <v>46139</v>
      </c>
      <c r="B228" s="3">
        <v>46145</v>
      </c>
      <c r="C228" t="s">
        <v>2159</v>
      </c>
      <c r="D228">
        <v>78</v>
      </c>
      <c r="E228" s="4">
        <v>3.3300000000000002E-4</v>
      </c>
    </row>
    <row r="229" spans="1:5" x14ac:dyDescent="0.25">
      <c r="A229" s="3">
        <v>46146</v>
      </c>
      <c r="B229" s="3">
        <v>46152</v>
      </c>
      <c r="C229" t="s">
        <v>2160</v>
      </c>
      <c r="D229">
        <v>64</v>
      </c>
      <c r="E229" s="4">
        <v>2.9999999999999997E-4</v>
      </c>
    </row>
    <row r="230" spans="1:5" x14ac:dyDescent="0.25">
      <c r="A230" s="3">
        <v>46153</v>
      </c>
      <c r="B230" s="3">
        <v>46159</v>
      </c>
      <c r="C230" t="s">
        <v>2161</v>
      </c>
      <c r="D230">
        <v>71</v>
      </c>
      <c r="E230" s="4">
        <v>3.1399999999999999E-4</v>
      </c>
    </row>
    <row r="231" spans="1:5" x14ac:dyDescent="0.25">
      <c r="A231" s="3">
        <v>46160</v>
      </c>
      <c r="B231" s="3">
        <v>46166</v>
      </c>
      <c r="C231" t="s">
        <v>2162</v>
      </c>
      <c r="D231">
        <v>89</v>
      </c>
      <c r="E231" s="4">
        <v>3.9199999999999999E-4</v>
      </c>
    </row>
    <row r="232" spans="1:5" x14ac:dyDescent="0.25">
      <c r="A232" s="3">
        <v>46167</v>
      </c>
      <c r="B232" s="3">
        <v>46173</v>
      </c>
      <c r="C232" t="s">
        <v>2163</v>
      </c>
      <c r="D232">
        <v>62</v>
      </c>
      <c r="E232" s="4">
        <v>2.6499999999999999E-4</v>
      </c>
    </row>
    <row r="233" spans="1:5" x14ac:dyDescent="0.25">
      <c r="A233" s="3">
        <v>46174</v>
      </c>
      <c r="B233" s="3">
        <v>46180</v>
      </c>
      <c r="C233" t="s">
        <v>2164</v>
      </c>
      <c r="D233">
        <v>89</v>
      </c>
      <c r="E233" s="4">
        <v>3.7399999999999998E-4</v>
      </c>
    </row>
    <row r="234" spans="1:5" x14ac:dyDescent="0.25">
      <c r="A234" s="3">
        <v>46181</v>
      </c>
      <c r="B234" s="3">
        <v>46187</v>
      </c>
      <c r="C234" t="s">
        <v>2165</v>
      </c>
      <c r="D234">
        <v>61</v>
      </c>
      <c r="E234" s="4">
        <v>2.7099999999999997E-4</v>
      </c>
    </row>
    <row r="235" spans="1:5" x14ac:dyDescent="0.25">
      <c r="A235" s="3">
        <v>46188</v>
      </c>
      <c r="B235" s="3">
        <v>46194</v>
      </c>
      <c r="C235" t="s">
        <v>2166</v>
      </c>
      <c r="D235">
        <v>53</v>
      </c>
      <c r="E235" s="4">
        <v>2.2699999999999999E-4</v>
      </c>
    </row>
    <row r="236" spans="1:5" x14ac:dyDescent="0.25">
      <c r="A236" s="3">
        <v>46195</v>
      </c>
      <c r="B236" s="3">
        <v>46201</v>
      </c>
      <c r="C236" t="s">
        <v>2167</v>
      </c>
      <c r="D236">
        <v>39</v>
      </c>
      <c r="E236" s="4">
        <v>1.6699999999999999E-4</v>
      </c>
    </row>
    <row r="237" spans="1:5" x14ac:dyDescent="0.25">
      <c r="A237" s="3">
        <v>46202</v>
      </c>
      <c r="B237" s="3">
        <v>46208</v>
      </c>
      <c r="C237" t="s">
        <v>2168</v>
      </c>
      <c r="D237">
        <v>52</v>
      </c>
      <c r="E237" s="4">
        <v>2.3699999999999999E-4</v>
      </c>
    </row>
    <row r="238" spans="1:5" x14ac:dyDescent="0.25">
      <c r="A238" s="3">
        <v>46209</v>
      </c>
      <c r="B238" s="3">
        <v>46215</v>
      </c>
      <c r="C238" t="s">
        <v>2169</v>
      </c>
      <c r="D238">
        <v>85</v>
      </c>
      <c r="E23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Динамика</vt:lpstr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2026-07-20T09:31:44Z</dcterms:modified>
</cp:coreProperties>
</file>