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нер" sheetId="1" state="visible" r:id="rId1"/>
    <sheet name="Сводка" sheetId="2" state="visible" r:id="rId2"/>
    <sheet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223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7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D5F2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50" customWidth="1" min="4" max="4"/>
    <col width="30" customWidth="1" min="5" max="5"/>
    <col width="9" customWidth="1" min="6" max="6"/>
    <col width="14" customWidth="1" min="7" max="7"/>
    <col width="28" customWidth="1" min="8" max="8"/>
    <col width="12" customWidth="1" min="9" max="9"/>
    <col width="32" customWidth="1" min="10" max="10"/>
    <col width="32" customWidth="1" min="11" max="11"/>
  </cols>
  <sheetData>
    <row r="1" ht="32" customHeight="1">
      <c r="A1" s="1" t="inlineStr">
        <is>
          <t>ID</t>
        </is>
      </c>
      <c r="B1" s="1" t="inlineStr">
        <is>
          <t>Тип</t>
        </is>
      </c>
      <c r="C1" s="1" t="inlineStr">
        <is>
          <t>Фактор</t>
        </is>
      </c>
      <c r="D1" s="1" t="inlineStr">
        <is>
          <t>Шкала вариантов (для справки)</t>
        </is>
      </c>
      <c r="E1" s="1" t="inlineStr">
        <is>
          <t>Выбранный ответ</t>
        </is>
      </c>
      <c r="F1" s="1" t="inlineStr">
        <is>
          <t>Балл (авто)</t>
        </is>
      </c>
      <c r="G1" s="1" t="inlineStr">
        <is>
          <t>Тип основания</t>
        </is>
      </c>
      <c r="H1" s="1" t="inlineStr">
        <is>
          <t>Источник доказательства</t>
        </is>
      </c>
      <c r="I1" s="1" t="inlineStr">
        <is>
          <t>Уверенность</t>
        </is>
      </c>
      <c r="J1" s="1" t="inlineStr">
        <is>
          <t>Комментарий</t>
        </is>
      </c>
      <c r="K1" s="1" t="inlineStr">
        <is>
          <t>Следующий шаг</t>
        </is>
      </c>
    </row>
    <row r="2">
      <c r="A2" s="2" t="inlineStr">
        <is>
          <t>F01</t>
        </is>
      </c>
      <c r="B2" s="3" t="inlineStr">
        <is>
          <t>Классификация рынка</t>
        </is>
      </c>
      <c r="C2" s="4" t="inlineStr">
        <is>
          <t>Тип спроса по модели жизненного цикла</t>
        </is>
      </c>
      <c r="D2" s="4" t="inlineStr">
        <is>
          <t>Отсутствующий=1.0; Падающий=2.0; Потенциальный /Скрытый=5.0; Формирующийся=7.0; Развивающийся=9.0; Сформированный=10.0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>
      <c r="A3" s="2" t="inlineStr">
        <is>
          <t>F02</t>
        </is>
      </c>
      <c r="B3" s="3" t="inlineStr">
        <is>
          <t>Классификация рынка</t>
        </is>
      </c>
      <c r="C3" s="4" t="inlineStr">
        <is>
          <t>Вид спроса по "покупательскому намерению"</t>
        </is>
      </c>
      <c r="D3" s="4" t="inlineStr">
        <is>
          <t>Избирательный=2.0; Импульсивный (спонтанный)=6.0; Альтернативный=10.0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2" t="inlineStr">
        <is>
          <t>F03</t>
        </is>
      </c>
      <c r="B4" s="3" t="inlineStr">
        <is>
          <t>Классификация рынка</t>
        </is>
      </c>
      <c r="C4" s="4" t="inlineStr">
        <is>
          <t>Виды спроса по изменениям во времени</t>
        </is>
      </c>
      <c r="D4" s="4" t="inlineStr">
        <is>
          <t>Рекреационный=1.0; Часовой=4.0; Дневной=6.0; Сезонный=8.0; Регулярный=10.0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2" t="inlineStr">
        <is>
          <t>F04</t>
        </is>
      </c>
      <c r="B5" s="3" t="inlineStr">
        <is>
          <t>Классификация рынка</t>
        </is>
      </c>
      <c r="C5" s="4" t="inlineStr">
        <is>
          <t>Всплески потребления по Погодным факторам</t>
        </is>
      </c>
      <c r="D5" s="4" t="inlineStr">
        <is>
          <t>Налич./отсут. осадков влияет сильно=0.99; Коллеб. температуры влияет сильно=1.0; Осадки и температура - НЕ влияет, или незначительна=10.0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2" t="inlineStr">
        <is>
          <t>F05</t>
        </is>
      </c>
      <c r="B6" s="3" t="inlineStr">
        <is>
          <t>Классификация рынка</t>
        </is>
      </c>
      <c r="C6" s="4" t="inlineStr">
        <is>
          <t>Виды спроса по взаимосвязи ( производственные цепочки )</t>
        </is>
      </c>
      <c r="D6" s="4" t="inlineStr">
        <is>
          <t>Производный=2.0; Вторичный=6.0; Независимый=10.0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2" t="inlineStr">
        <is>
          <t>F06</t>
        </is>
      </c>
      <c r="B7" s="3" t="inlineStr">
        <is>
          <t>Классификация рынка</t>
        </is>
      </c>
      <c r="C7" s="4" t="inlineStr">
        <is>
          <t>Виды спроса по соотношению изменения цены и спроса</t>
        </is>
      </c>
      <c r="D7" s="4" t="inlineStr">
        <is>
          <t>Неэластичный=2.0; Унитарный=6.0; Эластичный=10.0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2" t="inlineStr">
        <is>
          <t>F07</t>
        </is>
      </c>
      <c r="B8" s="3" t="inlineStr">
        <is>
          <t>Классификация рынка</t>
        </is>
      </c>
      <c r="C8" s="4" t="inlineStr">
        <is>
          <t>Виды спроса по соотношению момента возникновения потребности и покупки</t>
        </is>
      </c>
      <c r="D8" s="4" t="inlineStr">
        <is>
          <t>Ажиотажный=2.0; Отложенный=6.0; Ровный=10.0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2" t="inlineStr">
        <is>
          <t>F08</t>
        </is>
      </c>
      <c r="B9" s="3" t="inlineStr">
        <is>
          <t>Классификация рынка</t>
        </is>
      </c>
      <c r="C9" s="4" t="inlineStr">
        <is>
          <t>Виды спроса по месту покупки</t>
        </is>
      </c>
      <c r="D9" s="4" t="inlineStr">
        <is>
          <t>Мобильный=1.0; Базовый=4.0; Городской=6.0; Региональный=8.0; Глобальный=10.0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2" t="inlineStr">
        <is>
          <t>F09</t>
        </is>
      </c>
      <c r="B10" s="3" t="inlineStr">
        <is>
          <t>Классификация экономики</t>
        </is>
      </c>
      <c r="C10" s="4" t="inlineStr">
        <is>
          <t>Относительный размер среднего чека</t>
        </is>
      </c>
      <c r="D10" s="4" t="inlineStr">
        <is>
          <t>Микро=1.0; Низкий=3.0; Средний=5.0; Высокий=7.0; Очень высокий=9.0; Максимальный=10.0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2" t="inlineStr">
        <is>
          <t>F10</t>
        </is>
      </c>
      <c r="B11" s="3" t="inlineStr">
        <is>
          <t>Классификация продукта</t>
        </is>
      </c>
      <c r="C11" s="4" t="inlineStr">
        <is>
          <t>Ценообразование по Продукту</t>
        </is>
      </c>
      <c r="D11" s="4" t="inlineStr">
        <is>
          <t>Низкий=1.0; Средний=5.0; Высокий=8.0; Очень высокий=10.0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2" t="inlineStr">
        <is>
          <t>F11</t>
        </is>
      </c>
      <c r="B12" s="3" t="inlineStr">
        <is>
          <t>Классификация сбыта</t>
        </is>
      </c>
      <c r="C12" s="4" t="inlineStr">
        <is>
          <t>Длина канала сбыта</t>
        </is>
      </c>
      <c r="D12" s="4" t="inlineStr">
        <is>
          <t>Длинный=2.0; Короткий=6.0; Нулевой ( Прямой )=8.0; Смешанный=10.0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2" t="inlineStr">
        <is>
          <t>F12</t>
        </is>
      </c>
      <c r="B13" s="3" t="inlineStr">
        <is>
          <t>Классификация продукта</t>
        </is>
      </c>
      <c r="C13" s="4" t="inlineStr">
        <is>
          <t>Тип частоты потребности</t>
        </is>
      </c>
      <c r="D13" s="4" t="inlineStr">
        <is>
          <t>Редкая=1.0; Средняя=3.0; Высокая=7.0; Очень высокая=10.0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2" t="inlineStr">
        <is>
          <t>F13</t>
        </is>
      </c>
      <c r="B14" s="3" t="inlineStr">
        <is>
          <t>Классификация фактической повторяемости</t>
        </is>
      </c>
      <c r="C14" s="4" t="inlineStr">
        <is>
          <t>Кол-во успешных сделок с 1 клиентом за 1 год</t>
        </is>
      </c>
      <c r="D14" s="4" t="inlineStr">
        <is>
          <t>Единичная=1.0; Редко=3.0; 50/50=7.0; Регулярно=10.0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2" t="inlineStr">
        <is>
          <t>F14</t>
        </is>
      </c>
      <c r="B15" s="3" t="inlineStr">
        <is>
          <t>Классификация продажи</t>
        </is>
      </c>
      <c r="C15" s="4" t="inlineStr">
        <is>
          <t>Цикл принятия решения</t>
        </is>
      </c>
      <c r="D15" s="4" t="inlineStr">
        <is>
          <t>Долгий=1.0; Средний=5.0; Короткий=8.0; Быстрый=10.0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2" t="inlineStr">
        <is>
          <t>F15</t>
        </is>
      </c>
      <c r="B16" s="3" t="inlineStr">
        <is>
          <t>Управляемая зрелость</t>
        </is>
      </c>
      <c r="C16" s="4" t="inlineStr">
        <is>
          <t>Глубина чека ( CrS)</t>
        </is>
      </c>
      <c r="D16" s="4" t="inlineStr">
        <is>
          <t>Моно продажа=1.0; Малая=3.0; Средняя=7.0; Высокая=10.0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2" t="inlineStr">
        <is>
          <t>F16</t>
        </is>
      </c>
      <c r="B17" s="3" t="inlineStr">
        <is>
          <t>Управляемая зрелость</t>
        </is>
      </c>
      <c r="C17" s="4" t="inlineStr">
        <is>
          <t>Текущий UpS</t>
        </is>
      </c>
      <c r="D17" s="4" t="inlineStr">
        <is>
          <t>Отсутствует=0.0; Одноуровневый=3.0; Двухуровневый=7.0; 3 и более уровня=10.0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2" t="inlineStr">
        <is>
          <t>F17</t>
        </is>
      </c>
      <c r="B18" s="3" t="inlineStr">
        <is>
          <t>Управляемая зрелость</t>
        </is>
      </c>
      <c r="C18" s="4" t="inlineStr">
        <is>
          <t>Уровень смысловой упаковки</t>
        </is>
      </c>
      <c r="D18" s="4" t="inlineStr">
        <is>
          <t>Отсутствует=0.0; Низкий=3.0; Средний=7.0; Высокий=10.0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2" t="inlineStr">
        <is>
          <t>F18</t>
        </is>
      </c>
      <c r="B19" s="3" t="inlineStr">
        <is>
          <t>Управляемая зрелость / риск</t>
        </is>
      </c>
      <c r="C19" s="4" t="inlineStr">
        <is>
          <t>Кол-во источников трафика</t>
        </is>
      </c>
      <c r="D19" s="4" t="inlineStr">
        <is>
          <t>Сарафан=1.0; Два=4.0; от 3 до 5=6.0; от 6 до 8=8.0; Больше 10=10.0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2" t="inlineStr">
        <is>
          <t>F19</t>
        </is>
      </c>
      <c r="B20" s="3" t="inlineStr">
        <is>
          <t>Управляемая зрелость</t>
        </is>
      </c>
      <c r="C20" s="4" t="inlineStr">
        <is>
          <t>Кол-во "точек контакта" с ЦА</t>
        </is>
      </c>
      <c r="D20" s="4" t="inlineStr">
        <is>
          <t>Одна=0.0; от 2 до 3=3.0; от 4 до 6=7.0; Больше 6=10.0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2" t="inlineStr">
        <is>
          <t>F20</t>
        </is>
      </c>
      <c r="B21" s="3" t="inlineStr">
        <is>
          <t>Управляемая зрелость / ограничение</t>
        </is>
      </c>
      <c r="C21" s="4" t="inlineStr">
        <is>
          <t>Рентабельность направления</t>
        </is>
      </c>
      <c r="D21" s="4" t="inlineStr">
        <is>
          <t>Микро=1.0; Низкая=2.0; Средняя=5.0; Нормальная=7.0; Высокая=9.0; Очень высокая=10.0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2" t="inlineStr">
        <is>
          <t>F21</t>
        </is>
      </c>
      <c r="B22" s="3" t="inlineStr">
        <is>
          <t>Риск / ограничение</t>
        </is>
      </c>
      <c r="C22" s="4" t="inlineStr">
        <is>
          <t>Процент возвратов</t>
        </is>
      </c>
      <c r="D22" s="4" t="inlineStr">
        <is>
          <t>Очень высокий=1.0; Высокий=2.0; Средний=5.0; Низкий=7.0; Минимальный=9.0; Отсутствует=10.0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2" t="inlineStr">
        <is>
          <t>F22</t>
        </is>
      </c>
      <c r="B23" s="3" t="inlineStr">
        <is>
          <t>Управляемая зрелость</t>
        </is>
      </c>
      <c r="C23" s="4" t="inlineStr">
        <is>
          <t>CR% в продажу</t>
        </is>
      </c>
      <c r="D23" s="4" t="inlineStr">
        <is>
          <t>Очень низкая=1.0; Низкая=2.0; Средняя=5.0; Высокая=7.0; Очень высокая=9.0; Максимальная=10.0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2" t="inlineStr">
        <is>
          <t>F23</t>
        </is>
      </c>
      <c r="B24" s="3" t="inlineStr">
        <is>
          <t>Классификация устойчивости</t>
        </is>
      </c>
      <c r="C24" s="4" t="inlineStr">
        <is>
          <t>Кол-во лет на рынке</t>
        </is>
      </c>
      <c r="D24" s="4" t="inlineStr">
        <is>
          <t>Менее 6 месяцев=0.0; 1-1,5 года=1.0; 1,6 - 3 года=2.0; 3,1 - 5 лет=5.0; 5,1-8 лет=7.0; 8,1-10 лет=9.0; Более 10 лет=10.0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2" t="inlineStr">
        <is>
          <t>F24</t>
        </is>
      </c>
      <c r="B25" s="3" t="inlineStr">
        <is>
          <t>Риск / ограничение</t>
        </is>
      </c>
      <c r="C25" s="4" t="inlineStr">
        <is>
          <t>Персоналозависимый ли бизнес?</t>
        </is>
      </c>
      <c r="D25" s="4" t="inlineStr">
        <is>
          <t>Да=2.0; 50/50=6.0; Нет=10.0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2" t="inlineStr">
        <is>
          <t>F25</t>
        </is>
      </c>
      <c r="B26" s="3" t="inlineStr">
        <is>
          <t>Управляемая зрелость</t>
        </is>
      </c>
      <c r="C26" s="4" t="inlineStr">
        <is>
          <t>Качество Продукта относительно конкурентов</t>
        </is>
      </c>
      <c r="D26" s="4" t="inlineStr">
        <is>
          <t>Ужасное=0.0; Плохое=1.0; Нормальное=2.0; Среднее=5.0; Хорошее=7.0; Отличное=9.0; Внеконкурентный=10.0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2" t="inlineStr">
        <is>
          <t>F26</t>
        </is>
      </c>
      <c r="B27" s="3" t="inlineStr">
        <is>
          <t>Управляемая зрелость</t>
        </is>
      </c>
      <c r="C27" s="4" t="inlineStr">
        <is>
          <t>Наличие CRM системы</t>
        </is>
      </c>
      <c r="D27" s="4" t="inlineStr">
        <is>
          <t>Учёт продаж отсутствует=0.0; На листочке=3.0; В Excel=6.0; Коробочное решение ( Amo / Битрикс и т.д )=8.0; Адаптированая под нишу и компанию=10.0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2" t="inlineStr">
        <is>
          <t>F27</t>
        </is>
      </c>
      <c r="B28" s="3" t="inlineStr">
        <is>
          <t>Управляемая зрелость</t>
        </is>
      </c>
      <c r="C28" s="4" t="inlineStr">
        <is>
          <t>Наличие Скриптов продаж и регламентов ОП</t>
        </is>
      </c>
      <c r="D28" s="4" t="inlineStr">
        <is>
          <t>Отсутствует=0.0; Есть некое понимание и ЦУ=4.0; Есть в базовом виде=6.0; Есть. На хорошем уровне=8.0; Есть. На высоком уровне=10.0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2" t="inlineStr">
        <is>
          <t>F28</t>
        </is>
      </c>
      <c r="B29" s="3" t="inlineStr">
        <is>
          <t>Классификация масштаба</t>
        </is>
      </c>
      <c r="C29" s="4" t="inlineStr">
        <is>
          <t>Текущие объёмы продаж (руб) / месяц</t>
        </is>
      </c>
      <c r="D29" s="4" t="inlineStr">
        <is>
          <t>0 рублей=0.0; 50 000 - 100 000 рублей=0.2; 100 000 - 200 000 рублей=0.4; 200 000 - 300 000 рублей=0.6; 300 000 - 500 000 рублей=0.8; 500 000 - 700 000 рублей=1.0; 700 000 - 1 000 000 рублей=2.0; 1 000 000 - 1 500 000 рублей=3.0; 1 500 000 - 2 000 000 рублей=4.0; 2 000 000 - 3 000 000 рублей=5.0; 3 000 000 - 5 000 000 рублей=6.0; 5 000 000 - 7 000 000 рублей=7.0; 7 000 000 - 10 000 000 рублей=8.0; 10 000 000 - 15 000 000 рублей=9.0; 15 000 000 - 20 000 000 рублей=9.5; Более 20 000 000 рублей=10.0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2" t="inlineStr">
        <is>
          <t>F29</t>
        </is>
      </c>
      <c r="B30" s="3" t="inlineStr">
        <is>
          <t>Классификация масштаба ассортиментной матрицы</t>
        </is>
      </c>
      <c r="C30" s="4" t="inlineStr">
        <is>
          <t>Кол-во юнитов АМ обеспечивающих оборот продаж</t>
        </is>
      </c>
      <c r="D30" s="4" t="inlineStr">
        <is>
          <t>1=0.0; от 2 до 3=0.2; от 3 до 5=0.4; от 5 до 10=0.6; 10=0.8; от 20 до 30=1.0; от 30 до 50=2.0; от 50 до 100=3.0; от 100 до 150=4.0; от 250 до 500=5.0; от 500 до 1000=6.0; от 1000 до 2000=7.0; от 2000 до 5000=8.0; от 5000 до 10000=9.0; от 10000 до 20000=9.5; Более 20000=10.0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2" t="inlineStr">
        <is>
          <t>F30</t>
        </is>
      </c>
      <c r="B31" s="3" t="inlineStr">
        <is>
          <t>Управляемая зрелость</t>
        </is>
      </c>
      <c r="C31" s="4" t="inlineStr">
        <is>
          <t>Ведётся ли P&amp;L и ДДС?</t>
        </is>
      </c>
      <c r="D31" s="4" t="inlineStr">
        <is>
          <t>Нет=0.0; Упрощённый=6.0; Да=10.0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2" t="inlineStr">
        <is>
          <t>F31</t>
        </is>
      </c>
      <c r="B32" s="3" t="inlineStr">
        <is>
          <t>Управляемая зрелость</t>
        </is>
      </c>
      <c r="C32" s="4" t="inlineStr">
        <is>
          <t>Наличие соц.капитала  ( фото / видео / кейсы / отзывы / видеоотзывы )</t>
        </is>
      </c>
      <c r="D32" s="4" t="inlineStr">
        <is>
          <t>Отсутствуют и не накапливаются=0.0; Очень мало=1.0; Мало=2.0; Есть в достаточном кол-ве шт. но малом кол-ве форматов=5.0; Есть в достаточном кол-ве шт. достаочном кол-ве форматов=7.0; Есть в большом кол-ве и форматах=9.0; Есть в большом кол-ве и форматах, в том числе от Авторитетов=10.0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2" t="inlineStr">
        <is>
          <t>F32</t>
        </is>
      </c>
      <c r="B33" s="3" t="inlineStr">
        <is>
          <t>Управляемая зрелость</t>
        </is>
      </c>
      <c r="C33" s="4" t="inlineStr">
        <is>
          <t>Наличие анализа JTBD и Сегментов ЦА внутри</t>
        </is>
      </c>
      <c r="D33" s="4" t="inlineStr">
        <is>
          <t>Отсутствует=0.0; Есть в базовом виде=3.0; Подробно описана=7.0; Описана и применяется=10.0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2" t="inlineStr">
        <is>
          <t>F33</t>
        </is>
      </c>
      <c r="B34" s="3" t="inlineStr">
        <is>
          <t>Управляемая зрелость</t>
        </is>
      </c>
      <c r="C34" s="4" t="inlineStr">
        <is>
          <t>Уровень визуальной упаковки</t>
        </is>
      </c>
      <c r="D34" s="4" t="inlineStr">
        <is>
          <t>Отсутствует=0.0; Низкий=3.0; Средний=7.0; Высокий=10.0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2" t="inlineStr">
        <is>
          <t>F34</t>
        </is>
      </c>
      <c r="B35" s="3" t="inlineStr">
        <is>
          <t>Управляемая зрелость</t>
        </is>
      </c>
      <c r="C35" s="4" t="inlineStr">
        <is>
          <t>Наличие Аналитики (системы + настройка целей, сквозная, ERP)</t>
        </is>
      </c>
      <c r="D35" s="4" t="inlineStr">
        <is>
          <t>Отсутствует=0.0; Базовая=6.0; Сквозная=10.0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2" t="inlineStr">
        <is>
          <t>F35</t>
        </is>
      </c>
      <c r="B36" s="3" t="inlineStr">
        <is>
          <t>Классификация масштаба / риск</t>
        </is>
      </c>
      <c r="C36" s="4" t="inlineStr">
        <is>
          <t>Отдел продаж</t>
        </is>
      </c>
      <c r="D36" s="4" t="inlineStr">
        <is>
          <t>Продаёт сам/сама=0.0; 1 менеджер=1.0; 2-3 менеджера=2.0; 4-6 менеджеров=5.0; 7-10 менеджеров=7.0; 11-15 менеджеров=9.0; Более 15 менеджеров=10.0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2" t="inlineStr">
        <is>
          <t>F36</t>
        </is>
      </c>
      <c r="B37" s="3" t="inlineStr">
        <is>
          <t>Управляемая зрелость</t>
        </is>
      </c>
      <c r="C37" s="4" t="inlineStr">
        <is>
          <t>Ко-во каналов внутри источника ( общее )</t>
        </is>
      </c>
      <c r="D37" s="4" t="inlineStr">
        <is>
          <t>1=1.0; от 2 до 5=2.0; от 6 до 10=5.0; от 11 до 20=7.0; от 21 до 30=9.0; Более 30=10.0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2" t="inlineStr">
        <is>
          <t>F37</t>
        </is>
      </c>
      <c r="B38" s="3" t="inlineStr">
        <is>
          <t>Классификация ресурса</t>
        </is>
      </c>
      <c r="C38" s="4" t="inlineStr">
        <is>
          <t>Ср.ежемесячный рекламный бюджет на все источники</t>
        </is>
      </c>
      <c r="D38" s="4" t="inlineStr">
        <is>
          <t>Менее 10 000 руб/мес.=0.5; от 10 000 до 25 000 руб/мес.=1.0; от 25 000 до 40 000 руб/мес.=2.0; от 40 000 до 60 000 руб/мес.=3.0; от 60 000 до 100 000 руб/мес.=4.0; от 100 000 до 200 000 руб/мес.=5.0; от 200 000 до 300 000 руб/мес.=6.0; от 300 000 до 500 000 руб/мес.=7.0; от 500 000 до 700 000 руб/мес.=8.0; от 700 000 до 1 000 000 руб/мес.=9.0; Более 1 000 000 руб/мес.=10.0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2" t="inlineStr">
        <is>
          <t>F38</t>
        </is>
      </c>
      <c r="B39" s="3" t="inlineStr">
        <is>
          <t>Управляемая зрелость</t>
        </is>
      </c>
      <c r="C39" s="4" t="inlineStr">
        <is>
          <t>Используется ли Коллтрекинг?</t>
        </is>
      </c>
      <c r="D39" s="4" t="inlineStr">
        <is>
          <t>Нет используется=0.0; Статический на источник=3.0; Динамический=7.0; Динамика + Статика=10.0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2" t="inlineStr">
        <is>
          <t>F39</t>
        </is>
      </c>
      <c r="B40" s="3" t="inlineStr">
        <is>
          <t>Управляемая зрелость</t>
        </is>
      </c>
      <c r="C40" s="4" t="inlineStr">
        <is>
          <t>Если ли РОП в ОП? Или отдельный сотрудник ответственный за функцию</t>
        </is>
      </c>
      <c r="D40" s="4" t="inlineStr">
        <is>
          <t>Нет=0.0; Да=10.0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2" t="inlineStr">
        <is>
          <t>F40</t>
        </is>
      </c>
      <c r="B41" s="3" t="inlineStr">
        <is>
          <t>Классификация масштаба</t>
        </is>
      </c>
      <c r="C41" s="4" t="inlineStr">
        <is>
          <t>Текущая география продаж</t>
        </is>
      </c>
      <c r="D41" s="4" t="inlineStr">
        <is>
          <t>Район=0.0; Город=1.0; Область / Край=2.0; Регион=5.0; Страна=7.0; СНГ=9.0; Мир=10.0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2" t="inlineStr">
        <is>
          <t>F41</t>
        </is>
      </c>
      <c r="B42" s="3" t="inlineStr">
        <is>
          <t>Управляемая зрелость</t>
        </is>
      </c>
      <c r="C42" s="4" t="inlineStr">
        <is>
          <t>Есть ли человек, отвечающий за Аналитику данных в бизнесе, который анализирует показатели, делает выводы и ставит задачи на внедрения?</t>
        </is>
      </c>
      <c r="D42" s="4" t="inlineStr">
        <is>
          <t>Нет=0.0; Да=10.0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2" t="inlineStr">
        <is>
          <t>F42</t>
        </is>
      </c>
      <c r="B43" s="3" t="inlineStr">
        <is>
          <t>Управляемая зрелость</t>
        </is>
      </c>
      <c r="C43" s="4" t="inlineStr">
        <is>
          <t>Внедрена ли, и какая Система мотивации ОП?</t>
        </is>
      </c>
      <c r="D43" s="4" t="inlineStr">
        <is>
          <t>Фик.оклад=1.0; Max. оклад + %=2.0; Med. оклад + %=5.0; Только %=6.0; Min. оклад + %=9.0; Аккордно-прем.=10.0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2" t="inlineStr">
        <is>
          <t>F43</t>
        </is>
      </c>
      <c r="B44" s="3" t="inlineStr">
        <is>
          <t>Риск / ограничение</t>
        </is>
      </c>
      <c r="C44" s="4" t="inlineStr">
        <is>
          <t>Единственный ли бизнес у Владельца?</t>
        </is>
      </c>
      <c r="D44" s="4" t="inlineStr">
        <is>
          <t>Единственный=3.0; Второй бизнес=6.0; Более 2-ух=10.0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2" t="inlineStr">
        <is>
          <t>F44</t>
        </is>
      </c>
      <c r="B45" s="3" t="inlineStr">
        <is>
          <t>Управляемая зрелость</t>
        </is>
      </c>
      <c r="C45" s="4" t="inlineStr">
        <is>
          <t>Наличие проработанной Продуктовой воронки и АМ</t>
        </is>
      </c>
      <c r="D45" s="4" t="inlineStr">
        <is>
          <t>Отсутствует=0.0; Есть в базовом виде=3.0; Подробно описана=7.0; Описана и применяется=10.0</t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2" t="inlineStr">
        <is>
          <t>F45</t>
        </is>
      </c>
      <c r="B46" s="3" t="inlineStr">
        <is>
          <t>Управляемая зрелость</t>
        </is>
      </c>
      <c r="C46" s="4" t="inlineStr">
        <is>
          <t>Наличие подробного Конкурентного анализа, для формирования "целостного" Продукта и понимания "своего места в рынке", Прямых и Косвенных конкурентов</t>
        </is>
      </c>
      <c r="D46" s="4" t="inlineStr">
        <is>
          <t>Отсутствует=0.0; Есть в базовом виде=3.0; Подробно описан=7.0; Описана и применяется=10.0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2" t="inlineStr">
        <is>
          <t>F46</t>
        </is>
      </c>
      <c r="B47" s="3" t="inlineStr">
        <is>
          <t>Управляемая зрелость</t>
        </is>
      </c>
      <c r="C47" s="4" t="inlineStr">
        <is>
          <t>На каких "Уровнях теплоты" ведётся работа с Трафиком?</t>
        </is>
      </c>
      <c r="D47" s="4" t="inlineStr">
        <is>
          <t>Нет понимания уровней теплоты=0.0; Только на 4-ом уровне=3.0; На 3 и 4 уровнях=7.0; На 2,3,4 уровнях=9.0; На всех уровнях. Есть стратегия=10.0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2" t="inlineStr">
        <is>
          <t>F47</t>
        </is>
      </c>
      <c r="B48" s="3" t="inlineStr">
        <is>
          <t>Управляемая зрелость</t>
        </is>
      </c>
      <c r="C48" s="4" t="inlineStr">
        <is>
          <t>Опираются ли рекламные "посылы" в креативах и прочих носителях на Маркетинговую стратегию?</t>
        </is>
      </c>
      <c r="D48" s="4" t="inlineStr">
        <is>
          <t>Нет. МС отсутствует=0.0; Опираются на Конкурентов=3.0; Да. Есть общее понимание=7.0; Да. Есть МС и Стратегия=10.0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2" t="inlineStr">
        <is>
          <t>F48</t>
        </is>
      </c>
      <c r="B49" s="3" t="inlineStr">
        <is>
          <t>Классификация масштаба / зрелость учёта</t>
        </is>
      </c>
      <c r="C49" s="4" t="inlineStr">
        <is>
          <t>Среднее кол-во Лидов (обращений ) в день ?</t>
        </is>
      </c>
      <c r="D49" s="4" t="inlineStr">
        <is>
          <t>Не знаю. Не веду учёт=1.0; Менее 5=2.0; от 5 до 20=3.0; от 21 до 50=4.0; от 51 до 80=5.0; от 81 до 100=6.0; от 100 до 150=7.0; от 151 до 200=8.0; от 201 до 300=9.0; от 300 до 500=9.2; от 501 до 800=9.4; от 801 до 1000=9.8; Более 1000=10.0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2" t="inlineStr">
        <is>
          <t>F49</t>
        </is>
      </c>
      <c r="B50" s="3" t="inlineStr">
        <is>
          <t>Риск / ограничение</t>
        </is>
      </c>
      <c r="C50" s="4" t="inlineStr">
        <is>
          <t>Оценка текущего кол-во обращений по "загруженности"?</t>
        </is>
      </c>
      <c r="D50" s="4" t="inlineStr">
        <is>
          <t>Критически мало=0.0; Мало=3.0; Средне=6.0; Нормально=8.0; Более чем достаточно=10.0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2" t="inlineStr">
        <is>
          <t>F50</t>
        </is>
      </c>
      <c r="B51" s="3" t="inlineStr">
        <is>
          <t>Риск / ограничение</t>
        </is>
      </c>
      <c r="C51" s="4" t="inlineStr">
        <is>
          <t>Оценка текущие объёмы продаж по "загруженности"?</t>
        </is>
      </c>
      <c r="D51" s="4" t="inlineStr">
        <is>
          <t>Критически мало=0.0; Мало=3.0; Средне=6.0; Нормально=8.0; Более чем достаточно=10.0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2" t="inlineStr">
        <is>
          <t>F51</t>
        </is>
      </c>
      <c r="B52" s="3" t="inlineStr">
        <is>
          <t>Риск / ограничение</t>
        </is>
      </c>
      <c r="C52" s="4" t="inlineStr">
        <is>
          <t>Клиенто-зависимость</t>
        </is>
      </c>
      <c r="D52" s="4" t="inlineStr">
        <is>
          <t>Зависит от 1-3 крупных покупателей=0.0; Зависит от 4-10 покупателей=2.0; Зависит от 11-25 покупателей=6.0; Нет явной зависимости=10.0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>
      <c r="A53" s="2" t="inlineStr">
        <is>
          <t>F52</t>
        </is>
      </c>
      <c r="B53" s="3" t="inlineStr">
        <is>
          <t>Риск / ограничение</t>
        </is>
      </c>
      <c r="C53" s="4" t="inlineStr">
        <is>
          <t>Партнёро-зависимость</t>
        </is>
      </c>
      <c r="D53" s="4" t="inlineStr">
        <is>
          <t>Зависит от 1-3 партнёров=0.0; Зависит от 4-10 партнёров=5.0; Нет явной зависимости=10.0</t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2" t="inlineStr">
        <is>
          <t>F53</t>
        </is>
      </c>
      <c r="B54" s="3" t="inlineStr">
        <is>
          <t>Риск / ограничение</t>
        </is>
      </c>
      <c r="C54" s="4" t="inlineStr">
        <is>
          <t>Зависимость от Поставщиков</t>
        </is>
      </c>
      <c r="D54" s="4" t="inlineStr">
        <is>
          <t>Зависит от 1 поставщика=0.0; Зависит от 2-3 поставщиков=5.0; Нет явной зависимости=10.0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>
      <c r="A55" s="2" t="inlineStr">
        <is>
          <t>F54</t>
        </is>
      </c>
      <c r="B55" s="3" t="inlineStr">
        <is>
          <t>Классификация ёмкости</t>
        </is>
      </c>
      <c r="C55" s="4" t="inlineStr">
        <is>
          <t>Примерная численность населения в зоне географии продаж</t>
        </is>
      </c>
      <c r="D55" s="4" t="inlineStr">
        <is>
          <t>Менее 20000=0.0; от 20000 до 50000=0.4; от 50000 до 80000=0.6; от 80000 до 120000=0.8; от 120000 до 200000=1.0; от 200000 до 300000=2.0; от 300000 до 500000=4.0; от 500000 до 800000=6.0; от 800000 до 1200000=8.0; от 1,2 млн до 2,5 млн=9.0; Москва или СпБ=9.1; Регион=9.2; Вся Россия=9.5; РФ + СНГ=9.7; РФ + СНГ + Европа=9.8; Весь Мир=10.0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  <row r="56">
      <c r="A56" s="2" t="inlineStr">
        <is>
          <t>F55</t>
        </is>
      </c>
      <c r="B56" s="3" t="inlineStr">
        <is>
          <t>Риск / ограничение</t>
        </is>
      </c>
      <c r="C56" s="4" t="inlineStr">
        <is>
          <t>Потенциальный объём ЦА которые "смогут" заплатить за Продукт компании в его текущем качестве и составе ( Платёжеспособные )</t>
        </is>
      </c>
      <c r="D56" s="4" t="inlineStr">
        <is>
          <t>Критически мало=0.0; Мало=2.0; Нормально=5.0; Много=8.0; Очень много=10.0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>
      <c r="A57" s="2" t="inlineStr">
        <is>
          <t>F56</t>
        </is>
      </c>
      <c r="B57" s="3" t="inlineStr">
        <is>
          <t>Классификация масштаба / риск</t>
        </is>
      </c>
      <c r="C57" s="4" t="inlineStr">
        <is>
          <t>Кол-во сотрудников в Компании</t>
        </is>
      </c>
      <c r="D57" s="4" t="inlineStr">
        <is>
          <t>1-3=1.0; 4-7=3.0; 8-10=6.0; 11-15=8.0; Более 20=10.0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</row>
    <row r="58">
      <c r="A58" s="2" t="inlineStr">
        <is>
          <t>F57</t>
        </is>
      </c>
      <c r="B58" s="3" t="inlineStr">
        <is>
          <t>Управляемая зрелость</t>
        </is>
      </c>
      <c r="C58" s="4" t="inlineStr">
        <is>
          <t>Оцифрованы ли бизнес-процессы?</t>
        </is>
      </c>
      <c r="D58" s="4" t="inlineStr">
        <is>
          <t>Нет=0.0; Есть наброски на бумаге или в программе=5.0; Оцифрован каждый БП в Miro или аналогах=10.0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>
      <c r="A59" s="2" t="inlineStr">
        <is>
          <t>F58</t>
        </is>
      </c>
      <c r="B59" s="3" t="inlineStr">
        <is>
          <t>Управляемая зрелость</t>
        </is>
      </c>
      <c r="C59" s="4" t="inlineStr">
        <is>
          <t>Наличие регламентов / должностных инструкций</t>
        </is>
      </c>
      <c r="D59" s="4" t="inlineStr">
        <is>
          <t>Отсутствуют=0.0; Есть чек-листы / списки=3.0; Есть чёткие должностные инструкции=6.0; Есть чёткие должностные инструкции для всех функций и ролей=8.0; Есть регламенты и ДИ для всех отделов, функций и ролей. Полностью знаю каждый БП=10.0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</row>
  </sheetData>
  <conditionalFormatting sqref="F2:F59">
    <cfRule type="cellIs" priority="1" operator="lessThan" dxfId="0">
      <formula>3</formula>
    </cfRule>
    <cfRule type="cellIs" priority="2" operator="between" dxfId="1">
      <formula>3</formula>
      <formula>6.999</formula>
    </cfRule>
    <cfRule type="cellIs" priority="3" operator="greaterThanOrEqual" dxfId="2">
      <formula>7</formula>
    </cfRule>
  </conditionalFormatting>
  <dataValidations count="2">
    <dataValidation sqref="G2:G59" showDropDown="0" showInputMessage="0" showErrorMessage="0" allowBlank="1" type="list">
      <formula1>"Факт,Оценка,Мнение,Неизвестно"</formula1>
    </dataValidation>
    <dataValidation sqref="I2:I59" showDropDown="0" showInputMessage="0" showErrorMessage="0" allowBlank="1" type="list">
      <formula1>"Высокая,Средняя,Низкая"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</cols>
  <sheetData>
    <row r="1" ht="28" customHeight="1">
      <c r="A1" s="5" t="inlineStr">
        <is>
          <t>Метрика</t>
        </is>
      </c>
      <c r="B1" s="5" t="inlineStr">
        <is>
          <t>Значение</t>
        </is>
      </c>
      <c r="C1" s="5" t="inlineStr">
        <is>
          <t>Комментарий</t>
        </is>
      </c>
    </row>
    <row r="2">
      <c r="A2" s="6" t="inlineStr">
        <is>
          <t>Всего факторов</t>
        </is>
      </c>
      <c r="B2" s="6" t="n">
        <v>58</v>
      </c>
      <c r="C2" s="6" t="inlineStr">
        <is>
          <t>Полный каталог скринера</t>
        </is>
      </c>
    </row>
    <row r="3">
      <c r="A3" s="6" t="inlineStr">
        <is>
          <t>Заполнено факторов</t>
        </is>
      </c>
      <c r="B3" s="6">
        <f>COUNTA(Скринер!E2:E59)</f>
        <v/>
      </c>
      <c r="C3" s="6" t="inlineStr">
        <is>
          <t>Доля факторов, где выбран исходный ответ</t>
        </is>
      </c>
    </row>
    <row r="4">
      <c r="A4" s="6" t="inlineStr">
        <is>
          <t>% заполненности</t>
        </is>
      </c>
      <c r="B4" s="6">
        <f>ROUND(COUNTA(Скринер!E2:E59)/58*100, 1)</f>
        <v/>
      </c>
      <c r="C4" s="6" t="inlineStr">
        <is>
          <t>Процент закрытых факторов</t>
        </is>
      </c>
    </row>
    <row r="5">
      <c r="A5" s="6" t="inlineStr">
        <is>
          <t>Общий балл (среднее)</t>
        </is>
      </c>
      <c r="B5" s="6">
        <f>IFERROR(ROUND(AVERAGE(Скринер!F2:F59), 2), "—")</f>
        <v/>
      </c>
      <c r="C5" s="6" t="inlineStr">
        <is>
          <t>Среднее по заполненным факторам, равные веса</t>
        </is>
      </c>
    </row>
    <row r="6">
      <c r="A6" s="6" t="inlineStr">
        <is>
          <t>Минимальный балл</t>
        </is>
      </c>
      <c r="B6" s="6">
        <f>IFERROR(MIN(Скринер!F2:F59), "—")</f>
        <v/>
      </c>
      <c r="C6" s="6" t="inlineStr">
        <is>
          <t>Слабое место для приоритета</t>
        </is>
      </c>
    </row>
    <row r="7">
      <c r="A7" s="6" t="inlineStr">
        <is>
          <t>Максимальный балл</t>
        </is>
      </c>
      <c r="B7" s="6">
        <f>IFERROR(MAX(Скринер!F2:F59), "—")</f>
        <v/>
      </c>
      <c r="C7" s="6" t="inlineStr">
        <is>
          <t>Сильная сторона</t>
        </is>
      </c>
    </row>
    <row r="8">
      <c r="A8" s="7" t="inlineStr"/>
      <c r="B8" s="7" t="inlineStr"/>
      <c r="C8" s="7" t="inlineStr"/>
    </row>
    <row r="9">
      <c r="A9" s="5" t="inlineStr">
        <is>
          <t>Тип основания</t>
        </is>
      </c>
      <c r="B9" s="6" t="inlineStr">
        <is>
          <t>Количество</t>
        </is>
      </c>
      <c r="C9" s="6" t="inlineStr">
        <is>
          <t>Что это значит</t>
        </is>
      </c>
    </row>
    <row r="10">
      <c r="A10" s="6" t="inlineStr">
        <is>
          <t>Факт</t>
        </is>
      </c>
      <c r="B10" s="6">
        <f>COUNTIF(Скринер!G2:G59, "Факт")</f>
        <v/>
      </c>
      <c r="C10" s="6" t="inlineStr">
        <is>
          <t>Подтверждено данными или документом</t>
        </is>
      </c>
    </row>
    <row r="11">
      <c r="A11" s="6" t="inlineStr">
        <is>
          <t>Оценка</t>
        </is>
      </c>
      <c r="B11" s="6">
        <f>COUNTIF(Скринер!G2:G59, "Оценка")</f>
        <v/>
      </c>
      <c r="C11" s="6" t="inlineStr">
        <is>
          <t>Профессиональная оценка аналитика</t>
        </is>
      </c>
    </row>
    <row r="12">
      <c r="A12" s="6" t="inlineStr">
        <is>
          <t>Мнение</t>
        </is>
      </c>
      <c r="B12" s="6">
        <f>COUNTIF(Скринер!G2:G59, "Мнение")</f>
        <v/>
      </c>
      <c r="C12" s="6" t="inlineStr">
        <is>
          <t>Утверждение собственника без подтверждения</t>
        </is>
      </c>
    </row>
    <row r="13">
      <c r="A13" s="6" t="inlineStr">
        <is>
          <t>Неизвестно</t>
        </is>
      </c>
      <c r="B13" s="6">
        <f>COUNTIF(Скринер!G2:G59, "Неизвестно")</f>
        <v/>
      </c>
      <c r="C13" s="6" t="inlineStr">
        <is>
          <t>Информации недостаточно — задача исследования</t>
        </is>
      </c>
    </row>
    <row r="14">
      <c r="A14" s="7" t="inlineStr"/>
      <c r="B14" s="7" t="inlineStr"/>
      <c r="C14" s="7" t="inlineStr"/>
    </row>
    <row r="15">
      <c r="A15" s="5" t="inlineStr">
        <is>
          <t>Уверенность</t>
        </is>
      </c>
      <c r="B15" s="6" t="inlineStr">
        <is>
          <t>Количество</t>
        </is>
      </c>
      <c r="C15" s="7" t="inlineStr"/>
    </row>
    <row r="16">
      <c r="A16" s="6" t="inlineStr">
        <is>
          <t>Высокая</t>
        </is>
      </c>
      <c r="B16" s="6">
        <f>COUNTIF(Скринер!I2:I59, "Высокая")</f>
        <v/>
      </c>
      <c r="C16" s="6" t="inlineStr">
        <is>
          <t>Качество диагноза</t>
        </is>
      </c>
    </row>
    <row r="17">
      <c r="A17" s="6" t="inlineStr">
        <is>
          <t>Средняя</t>
        </is>
      </c>
      <c r="B17" s="6">
        <f>COUNTIF(Скринер!I2:I59, "Средняя")</f>
        <v/>
      </c>
      <c r="C17" s="7" t="inlineStr"/>
    </row>
    <row r="18">
      <c r="A18" s="6" t="inlineStr">
        <is>
          <t>Низкая</t>
        </is>
      </c>
      <c r="B18" s="6">
        <f>COUNTIF(Скринер!I2:I59, "Низкая")</f>
        <v/>
      </c>
      <c r="C18" s="6" t="inlineStr">
        <is>
          <t>Требуется доуточнение</t>
        </is>
      </c>
    </row>
    <row r="19">
      <c r="A19" s="7" t="inlineStr"/>
      <c r="B19" s="7" t="inlineStr"/>
      <c r="C19" s="7" t="inlineStr"/>
    </row>
    <row r="20">
      <c r="A20" s="5" t="inlineStr">
        <is>
          <t>По типу фактора</t>
        </is>
      </c>
      <c r="B20" s="6" t="inlineStr">
        <is>
          <t>Средний балл</t>
        </is>
      </c>
      <c r="C20" s="7" t="inlineStr"/>
    </row>
    <row r="21">
      <c r="A21" s="6" t="inlineStr">
        <is>
          <t>Классификация рынка</t>
        </is>
      </c>
      <c r="B21" s="6">
        <f>IFERROR(AVERAGEIF(Скринер!B2:B59, "*лассификация*", Скринер!F2:F59), "—")</f>
        <v/>
      </c>
      <c r="C21" s="6" t="inlineStr">
        <is>
          <t>Природа спроса/рынка — не «хорошо/плохо», а контекст</t>
        </is>
      </c>
    </row>
    <row r="22">
      <c r="A22" s="6" t="inlineStr">
        <is>
          <t>Управляемая зрелость</t>
        </is>
      </c>
      <c r="B22" s="6">
        <f>IFERROR(AVERAGEIF(Скринер!B2:B59, "*правляемая*", Скринер!F2:F59), "—")</f>
        <v/>
      </c>
      <c r="C22" s="6" t="inlineStr">
        <is>
          <t>Развитие коммерческой системы</t>
        </is>
      </c>
    </row>
    <row r="23">
      <c r="A23" s="6" t="inlineStr">
        <is>
          <t>Риск / ограничение</t>
        </is>
      </c>
      <c r="B23" s="6">
        <f>IFERROR(AVERAGEIF(Скринер!B2:B59, "*иск*", Скринер!F2:F59), "—")</f>
        <v/>
      </c>
      <c r="C23" s="6" t="inlineStr">
        <is>
          <t>Что может ограничить рост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70" customWidth="1" min="3" max="3"/>
  </cols>
  <sheetData>
    <row r="1">
      <c r="A1" s="8" t="inlineStr">
        <is>
          <t>Источники методологии скрининга</t>
        </is>
      </c>
      <c r="B1" s="9" t="inlineStr"/>
      <c r="C1" s="9" t="inlineStr"/>
    </row>
    <row r="2">
      <c r="A2" s="9" t="inlineStr"/>
      <c r="B2" s="9" t="inlineStr"/>
      <c r="C2" s="9" t="inlineStr"/>
    </row>
    <row r="3">
      <c r="A3" s="8" t="inlineStr">
        <is>
          <t>Файл</t>
        </is>
      </c>
      <c r="B3" s="9" t="inlineStr">
        <is>
          <t>Назначение</t>
        </is>
      </c>
      <c r="C3" s="9" t="inlineStr">
        <is>
          <t>SHA-256</t>
        </is>
      </c>
    </row>
    <row r="4">
      <c r="A4" s="9" t="inlineStr">
        <is>
          <t>Модуль #0 - Лекция №1 - Скрининг бизнеса. Диагностика параметров.transcript.txt</t>
        </is>
      </c>
      <c r="B4" s="9" t="inlineStr">
        <is>
          <t>Транскрипт лекции, основа методологии</t>
        </is>
      </c>
      <c r="C4" s="9" t="inlineStr">
        <is>
          <t>c6d35e975be729f58dcf922c2b6533182a1ca7a2ca93f1076a2958cf4f026066</t>
        </is>
      </c>
    </row>
    <row r="5">
      <c r="A5" s="9" t="inlineStr">
        <is>
          <t>Скринер Компании - M.B.A - Лист1.csv</t>
        </is>
      </c>
      <c r="B5" s="9" t="inlineStr">
        <is>
          <t>Эталонный скринер — 58 факторов с шкалами и баллами</t>
        </is>
      </c>
      <c r="C5" s="9" t="inlineStr">
        <is>
          <t>a567859ebf31411a36fd44e1ec9895d3322c92480fd59b00096df6e65af684d9</t>
        </is>
      </c>
    </row>
    <row r="6">
      <c r="A6" s="9" t="inlineStr">
        <is>
          <t>Скринер Компании - PUFF - Лист1.csv</t>
        </is>
      </c>
      <c r="B6" s="9" t="inlineStr">
        <is>
          <t>Альтернативная версия — 55 факторов</t>
        </is>
      </c>
      <c r="C6" s="9" t="inlineStr">
        <is>
          <t>8a3ae45a8b860856f0e9b7e3613912d37a7e2c5ee1bef53430051d399faaf09f</t>
        </is>
      </c>
    </row>
    <row r="7">
      <c r="A7" s="9" t="inlineStr"/>
      <c r="B7" s="9" t="inlineStr"/>
      <c r="C7" s="9" t="inlineStr"/>
    </row>
    <row r="8">
      <c r="A8" s="8" t="inlineStr">
        <is>
          <t>Правила работы со скринером</t>
        </is>
      </c>
      <c r="B8" s="9" t="inlineStr"/>
      <c r="C8" s="9" t="inlineStr"/>
    </row>
    <row r="9">
      <c r="A9" s="9" t="inlineStr">
        <is>
          <t>1.</t>
        </is>
      </c>
      <c r="B9" s="9" t="inlineStr">
        <is>
          <t>Единица анализа — направление/продукт, не компания целиком</t>
        </is>
      </c>
      <c r="C9" s="9" t="inlineStr"/>
    </row>
    <row r="10">
      <c r="A10" s="9" t="inlineStr">
        <is>
          <t>2.</t>
        </is>
      </c>
      <c r="B10" s="9" t="inlineStr">
        <is>
          <t>Если ответ не подтверждён — отмечать «Оценка» или «Мнение», а не «Факт»</t>
        </is>
      </c>
      <c r="C10" s="9" t="inlineStr"/>
    </row>
    <row r="11">
      <c r="A11" s="9" t="inlineStr">
        <is>
          <t>3.</t>
        </is>
      </c>
      <c r="B11" s="9" t="inlineStr">
        <is>
          <t>Неизвестные факторы НЕ участвуют в среднем балле — снижают только заполненность</t>
        </is>
      </c>
      <c r="C11" s="9" t="inlineStr"/>
    </row>
    <row r="12">
      <c r="A12" s="9" t="inlineStr">
        <is>
          <t>4.</t>
        </is>
      </c>
      <c r="B12" s="9" t="inlineStr">
        <is>
          <t>Уверенность не меняет балл, показывает качество диагноза</t>
        </is>
      </c>
      <c r="C12" s="9" t="inlineStr"/>
    </row>
    <row r="13">
      <c r="A13" s="9" t="inlineStr">
        <is>
          <t>5.</t>
        </is>
      </c>
      <c r="B13" s="9" t="inlineStr">
        <is>
          <t>Общий балл нельзя использовать отдельно от карты факторов и плана действий</t>
        </is>
      </c>
      <c r="C13" s="9" t="inlineStr"/>
    </row>
    <row r="14">
      <c r="A14" s="9" t="inlineStr">
        <is>
          <t>6.</t>
        </is>
      </c>
      <c r="B14" s="9" t="inlineStr">
        <is>
          <t>У F41 есть вариант «Только %» без балла — это аномалия исходника, не выбирать</t>
        </is>
      </c>
      <c r="C14" s="9" t="inlineStr"/>
    </row>
    <row r="15">
      <c r="A15" s="9" t="inlineStr">
        <is>
          <t>7.</t>
        </is>
      </c>
      <c r="B15" s="9" t="inlineStr">
        <is>
          <t>Веса Agency OS пока не активны — все факторы считаются с весом 1</t>
        </is>
      </c>
      <c r="C15" s="9" t="inlineStr"/>
    </row>
    <row r="16">
      <c r="A16" s="9" t="inlineStr"/>
      <c r="B16" s="9" t="inlineStr"/>
      <c r="C16" s="9" t="inlineStr"/>
    </row>
    <row r="17">
      <c r="A17" s="8" t="inlineStr">
        <is>
          <t>Связанные документы</t>
        </is>
      </c>
      <c r="B17" s="9" t="inlineStr"/>
      <c r="C17" s="9" t="inlineStr"/>
    </row>
    <row r="18">
      <c r="A18" s="9" t="inlineStr">
        <is>
          <t>Методология</t>
        </is>
      </c>
      <c r="B18" s="9" t="inlineStr">
        <is>
          <t>modules/business-market-screening.md</t>
        </is>
      </c>
      <c r="C18" s="9" t="inlineStr"/>
    </row>
    <row r="19">
      <c r="A19" s="9" t="inlineStr">
        <is>
          <t>Вопросник</t>
        </is>
      </c>
      <c r="B19" s="9" t="inlineStr">
        <is>
          <t>templates/business-market-screening-questionnaire.md</t>
        </is>
      </c>
      <c r="C19" s="9" t="inlineStr"/>
    </row>
    <row r="20">
      <c r="A20" s="9" t="inlineStr">
        <is>
          <t>Шаблон отчёта</t>
        </is>
      </c>
      <c r="B20" s="9" t="inlineStr">
        <is>
          <t>templates/business-market-screening-report.md</t>
        </is>
      </c>
      <c r="C20" s="9" t="inlineStr"/>
    </row>
    <row r="21">
      <c r="A21" s="9" t="inlineStr">
        <is>
          <t>Источники (неизменяемые)</t>
        </is>
      </c>
      <c r="B21" s="9" t="inlineStr">
        <is>
          <t>sources/business-screening/</t>
        </is>
      </c>
      <c r="C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2026-06-03T06:11:25Z</dcterms:created>
  <dcterms:modified xsi:type="dcterms:W3CDTF">2026-06-03T06:11:25Z</dcterms:modified>
</cp:coreProperties>
</file>