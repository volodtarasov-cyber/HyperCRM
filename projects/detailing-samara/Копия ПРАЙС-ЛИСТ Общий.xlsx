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M:\Левша\4. ПРАЙСЫ\"/>
    </mc:Choice>
  </mc:AlternateContent>
  <bookViews>
    <workbookView xWindow="-120" yWindow="-120" windowWidth="29040" windowHeight="15990" firstSheet="1" activeTab="3"/>
  </bookViews>
  <sheets>
    <sheet name="Общий" sheetId="9" state="hidden" r:id="rId1"/>
    <sheet name="ОБЩИЙ 26" sheetId="12" r:id="rId2"/>
    <sheet name="ТОНИРОВКА" sheetId="5" r:id="rId3"/>
    <sheet name="ПЛЕНКА" sheetId="14" r:id="rId4"/>
    <sheet name="Лист1" sheetId="15" r:id="rId5"/>
    <sheet name="ФМ" sheetId="13" r:id="rId6"/>
  </sheets>
  <definedNames>
    <definedName name="_xlnm.Print_Area" localSheetId="0">Общий!$A$1:$F$108</definedName>
    <definedName name="_xlnm.Print_Area" localSheetId="1">'ОБЩИЙ 26'!$A$1:$F$79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7" i="15" l="1"/>
  <c r="F8" i="15"/>
  <c r="F9" i="15"/>
  <c r="F10" i="15"/>
  <c r="F11" i="15"/>
  <c r="F12" i="15"/>
  <c r="F13" i="15"/>
  <c r="F14" i="15"/>
  <c r="F15" i="15"/>
  <c r="F16" i="15"/>
  <c r="F6" i="15"/>
  <c r="F17" i="15" s="1"/>
  <c r="C22" i="5" l="1"/>
  <c r="D31" i="5"/>
  <c r="C31" i="5"/>
  <c r="C30" i="5"/>
  <c r="E43" i="12" l="1"/>
  <c r="E78" i="12" l="1"/>
  <c r="C76" i="12"/>
  <c r="F74" i="12"/>
  <c r="E74" i="12"/>
  <c r="D74" i="12"/>
  <c r="C74" i="12"/>
  <c r="E72" i="12"/>
  <c r="D71" i="12"/>
  <c r="C71" i="12"/>
  <c r="C63" i="12"/>
  <c r="F62" i="12"/>
  <c r="F61" i="12"/>
  <c r="D61" i="12"/>
  <c r="F60" i="12"/>
  <c r="C60" i="12"/>
  <c r="F56" i="12"/>
  <c r="E55" i="12"/>
  <c r="D40" i="12"/>
  <c r="C40" i="12"/>
  <c r="E32" i="12"/>
  <c r="C31" i="12"/>
  <c r="D29" i="12"/>
  <c r="E26" i="12"/>
  <c r="C25" i="12"/>
  <c r="F12" i="12"/>
  <c r="F11" i="12"/>
  <c r="F10" i="12"/>
  <c r="C10" i="12"/>
</calcChain>
</file>

<file path=xl/sharedStrings.xml><?xml version="1.0" encoding="utf-8"?>
<sst xmlns="http://schemas.openxmlformats.org/spreadsheetml/2006/main" count="707" uniqueCount="373">
  <si>
    <t>2700 руб.</t>
  </si>
  <si>
    <t>3500 руб.</t>
  </si>
  <si>
    <t>2200 руб.</t>
  </si>
  <si>
    <t>2500 руб.</t>
  </si>
  <si>
    <t>КЕРАМО комплекс</t>
  </si>
  <si>
    <t>1200 руб.</t>
  </si>
  <si>
    <t>1400 руб.</t>
  </si>
  <si>
    <t>НАНО комплекс</t>
  </si>
  <si>
    <t>1000 руб.</t>
  </si>
  <si>
    <t>1100 руб.</t>
  </si>
  <si>
    <t>750 руб.</t>
  </si>
  <si>
    <t>900 руб.</t>
  </si>
  <si>
    <t>КЕРАМО мойка</t>
  </si>
  <si>
    <t>НАНО мойка</t>
  </si>
  <si>
    <t>700 руб.</t>
  </si>
  <si>
    <t>500 руб.</t>
  </si>
  <si>
    <t>600 руб.</t>
  </si>
  <si>
    <t>250 руб.</t>
  </si>
  <si>
    <t>200 руб.</t>
  </si>
  <si>
    <t>Чистка хрома</t>
  </si>
  <si>
    <t>Наименование услуги:</t>
  </si>
  <si>
    <t>1 класс</t>
  </si>
  <si>
    <t>2 класс</t>
  </si>
  <si>
    <t>3 класс</t>
  </si>
  <si>
    <t>№</t>
  </si>
  <si>
    <t>МОЙКА АВТОМОБИЛЕЙ</t>
  </si>
  <si>
    <t>КОНСЕРВАЦИЯ КУЗОВА</t>
  </si>
  <si>
    <t>Обработка покрытием NanoCrystal Polish Hydrofob</t>
  </si>
  <si>
    <t>800 руб.</t>
  </si>
  <si>
    <t>Hartwasch BMP (консервант ЛКП и наружного пластика)</t>
  </si>
  <si>
    <t>Защитная полировка Lack Polish Blau</t>
  </si>
  <si>
    <t>2900 руб.</t>
  </si>
  <si>
    <t>Твердый воск (защита на 3-4 месяца)</t>
  </si>
  <si>
    <t>КОНСЕРВАЦИЯ САЛОНА</t>
  </si>
  <si>
    <t>Консервация пластика Top Star Koch Chemie</t>
  </si>
  <si>
    <t>400 руб.</t>
  </si>
  <si>
    <t>Пропитка кожи Leather Protection Cream</t>
  </si>
  <si>
    <t>5000 руб.</t>
  </si>
  <si>
    <t>5500 руб.</t>
  </si>
  <si>
    <t>МОТОР И ПОДКАПОТНОЕ ПРОСТРАНСТВО</t>
  </si>
  <si>
    <t>Детейлинг химчистка подкапотного пространства</t>
  </si>
  <si>
    <t>ХИМЧИСТКА</t>
  </si>
  <si>
    <t>Комплексная химчистка салона с консервацией и сушкой</t>
  </si>
  <si>
    <t>8500 руб.</t>
  </si>
  <si>
    <t>9000 руб.</t>
  </si>
  <si>
    <t>9500 руб.</t>
  </si>
  <si>
    <t>Химчистка напольного покрытия комплексная</t>
  </si>
  <si>
    <t>от 2000 руб.</t>
  </si>
  <si>
    <t>1500 руб.</t>
  </si>
  <si>
    <t>Химчистка обивки 1 двери</t>
  </si>
  <si>
    <t>Химчистка обивки всех дверей</t>
  </si>
  <si>
    <t>Химчистка багажного отсека комплексная</t>
  </si>
  <si>
    <t>Химчистка 1 ремня безопасности</t>
  </si>
  <si>
    <t>Сушка полов</t>
  </si>
  <si>
    <t>Комплексная озоновая чистка салона + чистка кондиционера</t>
  </si>
  <si>
    <t>ПОЛИРОВКА</t>
  </si>
  <si>
    <t>Детейлинг полировка кузова комплексная</t>
  </si>
  <si>
    <t>Мягкая полировка кузова комплексная</t>
  </si>
  <si>
    <t>Полировка одного элемента</t>
  </si>
  <si>
    <t>от 600 руб.</t>
  </si>
  <si>
    <t>Полировка декоративных вставок</t>
  </si>
  <si>
    <t>Комплексная очистка хрома, аллюминия и прочих металлов</t>
  </si>
  <si>
    <t>ЗАЩИТНЫЕ ПОКРЫТИЯ НА КУЗОВ</t>
  </si>
  <si>
    <t>3700 руб.</t>
  </si>
  <si>
    <t>10000 руб.</t>
  </si>
  <si>
    <t>ЗАЩИТНЫЕ ПОКРЫТИЯ ДЛЯ СТЁКОЛ</t>
  </si>
  <si>
    <t>УДАЛЕНИЕ ВМЯТИН БЕЗ ПОКРАСКИ</t>
  </si>
  <si>
    <t>от 1000 руб.</t>
  </si>
  <si>
    <t>от 3000 руб.</t>
  </si>
  <si>
    <t>Восстановление автомобилей после града</t>
  </si>
  <si>
    <t>договорная</t>
  </si>
  <si>
    <t>ДЕТЕЙЛИНГ ПОДВЕСКИ</t>
  </si>
  <si>
    <t>Детейлинг подвески</t>
  </si>
  <si>
    <t>R16</t>
  </si>
  <si>
    <t>R17</t>
  </si>
  <si>
    <t>R18-19</t>
  </si>
  <si>
    <t>Договорная</t>
  </si>
  <si>
    <t>Керамика на диски (лицевая сторона) за 1 диск</t>
  </si>
  <si>
    <t>Керамика на диски (полностью) за 1 диск</t>
  </si>
  <si>
    <t>Воск на диски (лицевая сторона) за 1 диск</t>
  </si>
  <si>
    <t>Воск на диски (полностью) за 1 диск</t>
  </si>
  <si>
    <t>Химчистка дисков за 1 шт</t>
  </si>
  <si>
    <t>Глубокая консервация резины за 1 шт</t>
  </si>
  <si>
    <t>Мойка за 1 шт</t>
  </si>
  <si>
    <t>Герметик за 1 шт</t>
  </si>
  <si>
    <t>Пакет за 1 шт</t>
  </si>
  <si>
    <t>Глубокая шлифовка бортов диска за 1 шт</t>
  </si>
  <si>
    <t>Ремонт бескамерной шины кордовой заплаткой за 1 повреждение</t>
  </si>
  <si>
    <t>Хранение шин 1 сезон (до 8 месяцев) за комплект</t>
  </si>
  <si>
    <t>ШИНОМОНТАЖ</t>
  </si>
  <si>
    <t>Ремонт бескамерной шины жгутом</t>
  </si>
  <si>
    <t>50 руб.</t>
  </si>
  <si>
    <t xml:space="preserve">Доплата за шиномонтаж усиленного корда </t>
  </si>
  <si>
    <t>Удаление битума за 1 шт</t>
  </si>
  <si>
    <t>Консервация кожи Letech</t>
  </si>
  <si>
    <t>УХОД ЗА ДИСКАМИ И РЕЗИНОЙ</t>
  </si>
  <si>
    <t>ЗАЩИТНЫЕ СОСТАВЫ ДЛЯ ДИСКОВ И РЕЗИНЫ</t>
  </si>
  <si>
    <t>Антидождь на лобовое стекло и 2 боковых</t>
  </si>
  <si>
    <t>Антидождь на все стекла</t>
  </si>
  <si>
    <t xml:space="preserve">Фары </t>
  </si>
  <si>
    <t>К автомобилям оснащенным тюнинг пакетами (AMG, M,R-Line, S-Line и т.д.) применяется коэффициент +10%</t>
  </si>
  <si>
    <t>Полировка одной фары/под абразив</t>
  </si>
  <si>
    <t>Полировка ветрового стекла/под абразив</t>
  </si>
  <si>
    <t>1 класс - малоразмерные седаны, хетчбеки иностранного и российского  производства</t>
  </si>
  <si>
    <t>2 класс - среднеразмерные седаны, малые кроссоверы</t>
  </si>
  <si>
    <t>3 класс - седаны класса люкс, среднеразмерные кроссоверы</t>
  </si>
  <si>
    <t>6000 руб.</t>
  </si>
  <si>
    <t>6500 руб.</t>
  </si>
  <si>
    <t>7000 руб.</t>
  </si>
  <si>
    <t>R20-22</t>
  </si>
  <si>
    <t>CЕТКА В ПЕРЕДНИЙ БАМПЕР</t>
  </si>
  <si>
    <t>Защитная сетка в решетку радиатора</t>
  </si>
  <si>
    <t>"Быстрая Керамика"</t>
  </si>
  <si>
    <t>Ремонт бескамерной шины грибком за 1 повреждение</t>
  </si>
  <si>
    <t>Дошиповка за 1 шип</t>
  </si>
  <si>
    <t>Защитное покрытие "Американский пирог"</t>
  </si>
  <si>
    <t>3200 руб.</t>
  </si>
  <si>
    <t>4200 руб.</t>
  </si>
  <si>
    <t>550 руб.</t>
  </si>
  <si>
    <t>Мойка днища</t>
  </si>
  <si>
    <t>от 1500 руб.</t>
  </si>
  <si>
    <t>от 10000 руб.</t>
  </si>
  <si>
    <t>от 11000 руб.</t>
  </si>
  <si>
    <t>от 800 руб.</t>
  </si>
  <si>
    <t>от 1800 руб.</t>
  </si>
  <si>
    <t>РЕМОНТ СКОЛОВ НА СТЕКЛАХ</t>
  </si>
  <si>
    <t>Ремонт скола на стекле</t>
  </si>
  <si>
    <t>4 класс - крупные кроссоверы, рамные внедорожники</t>
  </si>
  <si>
    <t>4+ класс - микроавтобусы, внедорожники с увеличенной базой, спорткары</t>
  </si>
  <si>
    <t>8000 руб.</t>
  </si>
  <si>
    <t>4 класс (4+ класс)</t>
  </si>
  <si>
    <t>1700 руб.</t>
  </si>
  <si>
    <t>2100 руб.</t>
  </si>
  <si>
    <t>от 13000 руб.</t>
  </si>
  <si>
    <t>от 18000 руб.</t>
  </si>
  <si>
    <t>7500 руб.</t>
  </si>
  <si>
    <t>Ремонт вмятины без покраски</t>
  </si>
  <si>
    <t xml:space="preserve">7000 руб. </t>
  </si>
  <si>
    <t>3900 руб.</t>
  </si>
  <si>
    <t>4700 руб.</t>
  </si>
  <si>
    <t>Антигравияйная пленка Quantum</t>
  </si>
  <si>
    <t>4 класс</t>
  </si>
  <si>
    <t>Комплекс "Стандарт Целиком" - капот целиком, крылья целиком, передние фары, передний бампер, корпуса зеркал, площадки по ручками дверей.</t>
  </si>
  <si>
    <t>Зеркала заднего вида</t>
  </si>
  <si>
    <t>Полоса над лобовым стеклом (20см)</t>
  </si>
  <si>
    <t>Погрузочная площадка</t>
  </si>
  <si>
    <t>Проемы, горизонтальная часть, за 1 шт.</t>
  </si>
  <si>
    <t>Лакированные стоики дверей, черные глянцевые  за 1 шт.</t>
  </si>
  <si>
    <t>Кромки дверей, за 1 шт.</t>
  </si>
  <si>
    <t>от 15000 руб.</t>
  </si>
  <si>
    <t>Зона под ручками 4 шт.</t>
  </si>
  <si>
    <t>2000 руб.</t>
  </si>
  <si>
    <t>Капот целиком</t>
  </si>
  <si>
    <r>
      <t xml:space="preserve">Пороги (внешняя часть) от колеса до колеса, за </t>
    </r>
    <r>
      <rPr>
        <b/>
        <sz val="11"/>
        <color theme="1"/>
        <rFont val="Calibri"/>
        <family val="2"/>
        <charset val="204"/>
        <scheme val="minor"/>
      </rPr>
      <t>1</t>
    </r>
    <r>
      <rPr>
        <sz val="11"/>
        <color theme="1"/>
        <rFont val="Calibri"/>
        <family val="2"/>
        <charset val="204"/>
        <scheme val="minor"/>
      </rPr>
      <t xml:space="preserve"> шт.</t>
    </r>
  </si>
  <si>
    <t>Стойки передние лобового стекла</t>
  </si>
  <si>
    <t>от 20000 руб.</t>
  </si>
  <si>
    <t>от 26000 руб.</t>
  </si>
  <si>
    <t>от 300 руб.</t>
  </si>
  <si>
    <t>от 1700 руб.</t>
  </si>
  <si>
    <t>от 700 руб.</t>
  </si>
  <si>
    <t>2400 руб.</t>
  </si>
  <si>
    <t>11000 руб.</t>
  </si>
  <si>
    <t xml:space="preserve">Антидождь на лобовое </t>
  </si>
  <si>
    <t>Антидождь на 2 боковых</t>
  </si>
  <si>
    <t>11500 руб.</t>
  </si>
  <si>
    <t>Комплексная очистка сложных загрязнений (краска, липа, битум и т.д.)</t>
  </si>
  <si>
    <t>Детейлинг химчистка подкапотного пространства с промывкой радиаторов (с демонтажом бампера)</t>
  </si>
  <si>
    <t>6700 руб.</t>
  </si>
  <si>
    <t>16000 руб.</t>
  </si>
  <si>
    <t>18000 руб.</t>
  </si>
  <si>
    <t>15000 руб.</t>
  </si>
  <si>
    <r>
      <t>Глубокая чистка кузова + востановление блеска</t>
    </r>
    <r>
      <rPr>
        <sz val="9"/>
        <rFont val="Calibri"/>
        <family val="2"/>
        <charset val="204"/>
        <scheme val="minor"/>
      </rPr>
      <t xml:space="preserve"> (Lack Polish Blau)</t>
    </r>
  </si>
  <si>
    <t>от 3900 руб.</t>
  </si>
  <si>
    <t>от 2200 руб.</t>
  </si>
  <si>
    <t>2300 руб.</t>
  </si>
  <si>
    <t>4000 руб.</t>
  </si>
  <si>
    <t>2600 руб.</t>
  </si>
  <si>
    <t>Фирменная мойка "Левша"</t>
  </si>
  <si>
    <t>от 23000 руб.</t>
  </si>
  <si>
    <t>от 31000 руб.</t>
  </si>
  <si>
    <t>4400 руб.</t>
  </si>
  <si>
    <t>9600 руб.</t>
  </si>
  <si>
    <t>10400 руб.</t>
  </si>
  <si>
    <t>Удаление сложных загрязнений</t>
  </si>
  <si>
    <t>Удаление сложных загрязнений (комплекс)</t>
  </si>
  <si>
    <t>1300 руб.</t>
  </si>
  <si>
    <t>от 1900 руб.</t>
  </si>
  <si>
    <t>от 4300 руб.</t>
  </si>
  <si>
    <t>от 4500 руб.</t>
  </si>
  <si>
    <t>от 5200 руб.</t>
  </si>
  <si>
    <t xml:space="preserve"> от 650 руб.</t>
  </si>
  <si>
    <t>от 2600 руб.</t>
  </si>
  <si>
    <t>от 2900 руб.</t>
  </si>
  <si>
    <t xml:space="preserve"> от 2000 руб.</t>
  </si>
  <si>
    <t>от 2300 руб.</t>
  </si>
  <si>
    <t>от 1500/2000 руб.</t>
  </si>
  <si>
    <t xml:space="preserve">Защитное керамическое покрытие для пленок </t>
  </si>
  <si>
    <t xml:space="preserve">Защитное керамическое покрытие для матового лака </t>
  </si>
  <si>
    <t>25000 руб.</t>
  </si>
  <si>
    <t>27000 руб.</t>
  </si>
  <si>
    <t>28000 руб.</t>
  </si>
  <si>
    <t>29000 руб.</t>
  </si>
  <si>
    <t>от 27000 руб.</t>
  </si>
  <si>
    <t>Комплекс (шт/комплект) (с/у, ш/м, белансировка, мед.смазка)</t>
  </si>
  <si>
    <t>Детейлинг полировка мото/гидро/квадроцикла комплексная</t>
  </si>
  <si>
    <t xml:space="preserve">Мойка мото/гидро/квадроцикла </t>
  </si>
  <si>
    <t>Чистка дисков Reactive Cleaner 1шт</t>
  </si>
  <si>
    <t>Полировка дисков 1шт</t>
  </si>
  <si>
    <t>Снятие/установка (шт/комплект)</t>
  </si>
  <si>
    <t>Шиномонтаж (шт/комплект)</t>
  </si>
  <si>
    <t>Балансировка (шт/комплект)</t>
  </si>
  <si>
    <t>Детейлинг шиномонаж 1 (шт/комплект) Комплекс с учетом работ по перебортовке шин на одних дисках: снятие-установка, перебортовка, химчистка дисков, балансировка, сушка и мойка снятого комплекта, консервация обоих комплектов составом Koch Chemie, упаковка в пакеты)</t>
  </si>
  <si>
    <t>Детейлинг шиномонаж 2 (шт/комплект) Комплекс с заменой полного комплекта колес без перебортовки: снятие-установка, химчистка дисков, балансировка, сушка и мойка снятого комплекта, консервация обоих комплектов составом Koch Chemie, упаковка снятого кмплекта в пакеты или стрейч-пленку.</t>
  </si>
  <si>
    <t xml:space="preserve">Жидкое стекло на кузов </t>
  </si>
  <si>
    <t>3300 руб.</t>
  </si>
  <si>
    <t>Договорная не менее 25% от стоимости оригинального стекла</t>
  </si>
  <si>
    <t xml:space="preserve">Защитное керамическое покрытие,глянцевый лак (Германия) 3 слоя  </t>
  </si>
  <si>
    <t xml:space="preserve">Защитное керамическое покрытие,глянцевый лак (Ю.Корея) 3 слоя  </t>
  </si>
  <si>
    <t xml:space="preserve">Защитное керамическое покрытие,глянцевый лак (Германия) 2 слоя  </t>
  </si>
  <si>
    <t>19000 руб.</t>
  </si>
  <si>
    <t>21000 руб.</t>
  </si>
  <si>
    <t xml:space="preserve">Защитное керамическое покрытие,глянцевый лак (Ю.Корея) 2 слоя  </t>
  </si>
  <si>
    <t>12000 руб.</t>
  </si>
  <si>
    <t>20000 руб.</t>
  </si>
  <si>
    <t>13000 руб.</t>
  </si>
  <si>
    <t>280/1120 руб.</t>
  </si>
  <si>
    <t>850/3400 руб.</t>
  </si>
  <si>
    <t>ТОНИРОВКА АВТОМОБИЛЕЙ</t>
  </si>
  <si>
    <t>задняя полусфера</t>
  </si>
  <si>
    <t>Лобовое стекло</t>
  </si>
  <si>
    <t>Боковые стекла</t>
  </si>
  <si>
    <t>передняя полусфера</t>
  </si>
  <si>
    <t>Suntek (тёмная пленка) 5%; 15%; 35% 50%</t>
  </si>
  <si>
    <t>(NDFOS коррея) АТЕРМАЛЬНАЯ ПЛЕНКА</t>
  </si>
  <si>
    <t>ВАЖНАЯ ИНФОРМАЦИЯ! ДВОЙНЫЕ СТЕКЛА НЕ ТОНИРУЕМ, НЕ ОБСЛУЖИВАЕМ!</t>
  </si>
  <si>
    <t>Люк</t>
  </si>
  <si>
    <t>8000 руб</t>
  </si>
  <si>
    <t>Панорама</t>
  </si>
  <si>
    <t>16000 руб</t>
  </si>
  <si>
    <t>8 987 988 55 45</t>
  </si>
  <si>
    <t>ПО ОКЛЕЙКИ ПРЕМИУМ БРЕНДОВ (S-CLASSE, G-CLASSE 2023, BENTLY и т.д)</t>
  </si>
  <si>
    <t xml:space="preserve"> уточнять возможность выполнения работ у Давида </t>
  </si>
  <si>
    <t>ОЧИСТКА ОТ КЛЕЯ</t>
  </si>
  <si>
    <t>УТОЧНЯТЬ</t>
  </si>
  <si>
    <t>3000 руб.</t>
  </si>
  <si>
    <t>3800 руб.</t>
  </si>
  <si>
    <t>4000 руб. (4600 руб.)</t>
  </si>
  <si>
    <t>2300 руб</t>
  </si>
  <si>
    <t>2700 руб. (3100 руб.)</t>
  </si>
  <si>
    <t>4800 руб.</t>
  </si>
  <si>
    <t>5700 руб.</t>
  </si>
  <si>
    <t>6200 руб.</t>
  </si>
  <si>
    <t>от 2500 руб.</t>
  </si>
  <si>
    <t>1600 руб.</t>
  </si>
  <si>
    <t>1900 руб.</t>
  </si>
  <si>
    <t xml:space="preserve">2300 руб. </t>
  </si>
  <si>
    <t>2800 руб. (3000 руб.)</t>
  </si>
  <si>
    <t>8600 руб.</t>
  </si>
  <si>
    <t>1400 руб. (1500 руб.)</t>
  </si>
  <si>
    <t>5800 руб.</t>
  </si>
  <si>
    <t>6100 руб.</t>
  </si>
  <si>
    <t xml:space="preserve">6900 руб. </t>
  </si>
  <si>
    <t>7600 руб.</t>
  </si>
  <si>
    <t>9700 руб.</t>
  </si>
  <si>
    <t>6900 руб.</t>
  </si>
  <si>
    <t>7700 руб.</t>
  </si>
  <si>
    <t>950/3800 руб.</t>
  </si>
  <si>
    <t>1150/4600 руб.</t>
  </si>
  <si>
    <t>1250/5000 руб.</t>
  </si>
  <si>
    <t>260/1040 руб.</t>
  </si>
  <si>
    <t>310/1240 руб.</t>
  </si>
  <si>
    <t>350/1400 руб.</t>
  </si>
  <si>
    <t>380/1520 руб.</t>
  </si>
  <si>
    <t>320/1280 руб.</t>
  </si>
  <si>
    <t>390/1560 руб.</t>
  </si>
  <si>
    <t>420/1680 руб.</t>
  </si>
  <si>
    <t>410/1640 руб.</t>
  </si>
  <si>
    <t>300 руб.</t>
  </si>
  <si>
    <t>450 руб.</t>
  </si>
  <si>
    <t xml:space="preserve">14000 руб. </t>
  </si>
  <si>
    <t xml:space="preserve">15000 руб. </t>
  </si>
  <si>
    <t>17000 руб.</t>
  </si>
  <si>
    <t>Химчистка одного сиденья с сушкой и консервацией (кожа)</t>
  </si>
  <si>
    <t>Химчистка одного сиденья с сушкой и консервацией (текстиль)</t>
  </si>
  <si>
    <t>от 2400 руб.</t>
  </si>
  <si>
    <t>от 5000/7000 руб.</t>
  </si>
  <si>
    <t xml:space="preserve"> от 5700/7700 руб.</t>
  </si>
  <si>
    <t xml:space="preserve"> от 6100/8000 руб.</t>
  </si>
  <si>
    <t>от 6500/8700 руб.</t>
  </si>
  <si>
    <t>Комплексная химчистка всех сидений с консервацией и сушкой (кожа/текстиль)</t>
  </si>
  <si>
    <t>450/1800 руб.</t>
  </si>
  <si>
    <t>В стоимость комплекса "Стандарт Целиком" входят элементы окрашенные в цвет кузова</t>
  </si>
  <si>
    <t>В стоимость комплекса "Стандарт Целиком" не входят элементы с покрытием хром и структурный пластик</t>
  </si>
  <si>
    <t>10000 (11000) руб.</t>
  </si>
  <si>
    <t>Фирменная мойка ЛЕВША. Включает в себя все необходимые работы по правильному уходу за кузовом и интерьером автомобиля.  В данный комплекс работ входит 2х фазная мойка кузова, очистка ЛКП от загрязнений, таких как - липа, битум, металлы, наклейки, мухи и тп. Также чистка дисков от колодочной пыли. Обработка кузова покрытием NanoCrystal, для увеличения гидрофоба. Обновление гидрофобного покрытия, антидождь, на лобовом стекле если это требуется. Чистится хром. Уход за интерьером начинается с тщательной влажной уборки и пылесоса. Далее салон осматривается на загрязнения, требующие глубокой химчистки - полы, кожаные сиденья, руль, подлокотник и тп. Консервация кожи кремом, производится не реже чем 1 раз в месяц. Пластик консервируется в местах, где присутствуют потертости и требуется восстановить новизну. В основном, это порожки и нижняя часть карт дверей. Ворсовые ковры всегда стираются, в начале всех работ и ставятся на сушку. Все работы выполняются сотрудниками не ниже 4 грейда.</t>
  </si>
  <si>
    <t>Что входит в Фирменную мойку: Нано/Керамо комплекс, чистка лкп (по необходимости), обработка NanoCrystal Polish Hydrofob, консервация кожи/хим лок/консервация topstar / обновление антидождя на лобовое  - делается на усмотрение см, то что требуется, с пометкой в комментариях</t>
  </si>
  <si>
    <t>Давид</t>
  </si>
  <si>
    <t>тонер полусфера</t>
  </si>
  <si>
    <t>атермалка лоб</t>
  </si>
  <si>
    <t>тонер двери</t>
  </si>
  <si>
    <t>тонер лоб</t>
  </si>
  <si>
    <t>Атермалка полусфера</t>
  </si>
  <si>
    <t>Атермалка двери</t>
  </si>
  <si>
    <t>от 1200 руб.</t>
  </si>
  <si>
    <t>Защитная сетка в решетку радиатора (с демонтажем бампера)</t>
  </si>
  <si>
    <t>от6300/8800 руб.</t>
  </si>
  <si>
    <t xml:space="preserve"> от 7100/9700 руб.</t>
  </si>
  <si>
    <t xml:space="preserve"> от 7700/10100 руб.</t>
  </si>
  <si>
    <t>от 8200/11000 руб.</t>
  </si>
  <si>
    <t>от 1800/2900 руб.</t>
  </si>
  <si>
    <t>Лобовое стеклол</t>
  </si>
  <si>
    <t>БРОНЕПЛЕНКА на стекла</t>
  </si>
  <si>
    <t>Лобовое стекло (PET Profilm)</t>
  </si>
  <si>
    <t>Люк (PPF Magnum 35%)</t>
  </si>
  <si>
    <t>Панорама (PPF Magnum 35%)</t>
  </si>
  <si>
    <t>нов</t>
  </si>
  <si>
    <t>Бампер (передний/задний)</t>
  </si>
  <si>
    <t>Экраны,мониторы одинарные/двойные за 1 шт.</t>
  </si>
  <si>
    <t>Центральная консоль (глянец)</t>
  </si>
  <si>
    <t>Мото, Квадро, Гидро - циклы</t>
  </si>
  <si>
    <t>Бак мотоцикла (целиком)</t>
  </si>
  <si>
    <t>от 26000</t>
  </si>
  <si>
    <t>от 28000</t>
  </si>
  <si>
    <t>от 30000</t>
  </si>
  <si>
    <t>от 23000</t>
  </si>
  <si>
    <t>от 7000</t>
  </si>
  <si>
    <t>Передние крылья (пара, без расширителей)</t>
  </si>
  <si>
    <t>от 19000</t>
  </si>
  <si>
    <t>от 21000</t>
  </si>
  <si>
    <t>от 10000</t>
  </si>
  <si>
    <t>от 6000</t>
  </si>
  <si>
    <t>от 1800</t>
  </si>
  <si>
    <t>от 2000</t>
  </si>
  <si>
    <t>от 8000 руб. / от 15000руб</t>
  </si>
  <si>
    <t>от 58000</t>
  </si>
  <si>
    <t>от 115000</t>
  </si>
  <si>
    <t>от 8000</t>
  </si>
  <si>
    <t>Крыша (черный глянец PPF, без плавника)</t>
  </si>
  <si>
    <t>Крыша (прозрачный PPF, без плавника)</t>
  </si>
  <si>
    <t>от 35000</t>
  </si>
  <si>
    <t>от 40000</t>
  </si>
  <si>
    <t>от 16000</t>
  </si>
  <si>
    <t>от 18000</t>
  </si>
  <si>
    <t>от 14000</t>
  </si>
  <si>
    <t>от 88000</t>
  </si>
  <si>
    <t>от 93000</t>
  </si>
  <si>
    <t>от 97000</t>
  </si>
  <si>
    <t>от 103000</t>
  </si>
  <si>
    <t>капот</t>
  </si>
  <si>
    <t>ram TRX</t>
  </si>
  <si>
    <t>передние крылья</t>
  </si>
  <si>
    <t>Фары</t>
  </si>
  <si>
    <t>Вставки бампера</t>
  </si>
  <si>
    <t>дверь</t>
  </si>
  <si>
    <t>борт кузова</t>
  </si>
  <si>
    <t>крышка кузова</t>
  </si>
  <si>
    <t>крыша</t>
  </si>
  <si>
    <t>фонари</t>
  </si>
  <si>
    <t>боковина кабины</t>
  </si>
  <si>
    <t>задняя часть кабины</t>
  </si>
  <si>
    <t>Прайс-лист Антигравийная пленка (глянцевая) QUANTUM PRO</t>
  </si>
  <si>
    <t>QUANTUM ROCKET</t>
  </si>
  <si>
    <t>от 24000</t>
  </si>
  <si>
    <t>от 5000</t>
  </si>
  <si>
    <t>от 17000</t>
  </si>
  <si>
    <t>от 4000</t>
  </si>
  <si>
    <t>от 12000</t>
  </si>
  <si>
    <t>от 1500</t>
  </si>
  <si>
    <t>от 32000</t>
  </si>
  <si>
    <t>от 77000</t>
  </si>
  <si>
    <t>от 82000</t>
  </si>
  <si>
    <t>от 86000</t>
  </si>
  <si>
    <t>от 92000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</si>
</sst>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\ &quot;₽&quot;"/>
    <numFmt numFmtId="165" formatCode="#,##0\ _₽"/>
  </numFmts>
  <fonts count="12" x14ac:knownFonts="1">
    <font>
      <sz val="11"/>
      <color theme="1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rgb="FF333333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b/>
      <sz val="16"/>
      <color theme="0"/>
      <name val="Calibri"/>
      <family val="2"/>
      <charset val="204"/>
      <scheme val="minor"/>
    </font>
    <font>
      <sz val="9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</fills>
  <borders count="21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48">
    <xf numFmtId="0" fontId="0" fillId="0" borderId="0" xfId="0"/>
    <xf numFmtId="0" fontId="2" fillId="5" borderId="0" xfId="0" applyFont="1" applyFill="1" applyAlignment="1">
      <alignment horizontal="center"/>
    </xf>
    <xf numFmtId="0" fontId="2" fillId="5" borderId="0" xfId="0" applyFont="1" applyFill="1" applyAlignment="1">
      <alignment horizontal="left"/>
    </xf>
    <xf numFmtId="0" fontId="0" fillId="0" borderId="0" xfId="0"/>
    <xf numFmtId="0" fontId="0" fillId="0" borderId="0" xfId="0" applyAlignment="1">
      <alignment horizontal="center"/>
    </xf>
    <xf numFmtId="0" fontId="0" fillId="0" borderId="0" xfId="0" applyBorder="1"/>
    <xf numFmtId="0" fontId="0" fillId="5" borderId="1" xfId="0" applyFont="1" applyFill="1" applyBorder="1" applyAlignment="1">
      <alignment horizontal="center" vertical="center"/>
    </xf>
    <xf numFmtId="0" fontId="0" fillId="5" borderId="1" xfId="0" applyFont="1" applyFill="1" applyBorder="1" applyAlignment="1">
      <alignment vertical="center"/>
    </xf>
    <xf numFmtId="0" fontId="0" fillId="5" borderId="1" xfId="0" applyFont="1" applyFill="1" applyBorder="1" applyAlignment="1"/>
    <xf numFmtId="0" fontId="0" fillId="5" borderId="1" xfId="0" applyFill="1" applyBorder="1" applyAlignment="1"/>
    <xf numFmtId="0" fontId="0" fillId="5" borderId="1" xfId="0" applyFill="1" applyBorder="1" applyAlignment="1">
      <alignment horizontal="center"/>
    </xf>
    <xf numFmtId="0" fontId="0" fillId="0" borderId="0" xfId="0" applyFill="1" applyBorder="1"/>
    <xf numFmtId="0" fontId="0" fillId="5" borderId="0" xfId="0" applyFill="1"/>
    <xf numFmtId="9" fontId="0" fillId="5" borderId="0" xfId="0" applyNumberFormat="1" applyFill="1"/>
    <xf numFmtId="0" fontId="0" fillId="5" borderId="3" xfId="0" applyFont="1" applyFill="1" applyBorder="1" applyAlignment="1">
      <alignment horizontal="center" vertical="center" wrapText="1"/>
    </xf>
    <xf numFmtId="0" fontId="0" fillId="5" borderId="3" xfId="0" applyFont="1" applyFill="1" applyBorder="1" applyAlignment="1">
      <alignment horizontal="center" wrapText="1"/>
    </xf>
    <xf numFmtId="0" fontId="0" fillId="5" borderId="3" xfId="0" applyFont="1" applyFill="1" applyBorder="1" applyAlignment="1">
      <alignment horizontal="center"/>
    </xf>
    <xf numFmtId="0" fontId="0" fillId="5" borderId="0" xfId="0" applyFont="1" applyFill="1" applyBorder="1" applyAlignment="1">
      <alignment horizontal="center" vertical="center"/>
    </xf>
    <xf numFmtId="0" fontId="0" fillId="5" borderId="0" xfId="0" applyFont="1" applyFill="1" applyAlignment="1">
      <alignment horizontal="center"/>
    </xf>
    <xf numFmtId="0" fontId="4" fillId="5" borderId="0" xfId="0" applyFont="1" applyFill="1" applyAlignment="1">
      <alignment horizontal="center"/>
    </xf>
    <xf numFmtId="0" fontId="4" fillId="5" borderId="0" xfId="0" applyFont="1" applyFill="1"/>
    <xf numFmtId="0" fontId="7" fillId="3" borderId="3" xfId="0" applyFont="1" applyFill="1" applyBorder="1" applyAlignment="1">
      <alignment horizontal="center" vertical="center"/>
    </xf>
    <xf numFmtId="0" fontId="0" fillId="0" borderId="0" xfId="0" applyAlignment="1">
      <alignment wrapText="1"/>
    </xf>
    <xf numFmtId="0" fontId="0" fillId="0" borderId="0" xfId="0" applyNumberFormat="1"/>
    <xf numFmtId="0" fontId="0" fillId="5" borderId="1" xfId="0" applyFont="1" applyFill="1" applyBorder="1" applyAlignment="1">
      <alignment vertical="center" wrapText="1"/>
    </xf>
    <xf numFmtId="0" fontId="0" fillId="0" borderId="0" xfId="0" applyAlignment="1">
      <alignment vertical="center"/>
    </xf>
    <xf numFmtId="0" fontId="6" fillId="0" borderId="3" xfId="0" applyFont="1" applyBorder="1" applyAlignment="1">
      <alignment horizontal="center" vertical="center" wrapText="1"/>
    </xf>
    <xf numFmtId="0" fontId="6" fillId="5" borderId="3" xfId="0" applyFont="1" applyFill="1" applyBorder="1" applyAlignment="1">
      <alignment horizontal="left" vertical="center" wrapText="1"/>
    </xf>
    <xf numFmtId="164" fontId="6" fillId="5" borderId="3" xfId="0" applyNumberFormat="1" applyFont="1" applyFill="1" applyBorder="1" applyAlignment="1">
      <alignment horizontal="center" vertical="center" wrapText="1"/>
    </xf>
    <xf numFmtId="165" fontId="6" fillId="5" borderId="3" xfId="0" applyNumberFormat="1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0" borderId="3" xfId="0" applyFont="1" applyBorder="1" applyAlignment="1">
      <alignment horizontal="center"/>
    </xf>
    <xf numFmtId="0" fontId="6" fillId="5" borderId="3" xfId="0" applyFont="1" applyFill="1" applyBorder="1"/>
    <xf numFmtId="0" fontId="6" fillId="5" borderId="3" xfId="0" applyFont="1" applyFill="1" applyBorder="1" applyAlignment="1">
      <alignment horizontal="center"/>
    </xf>
    <xf numFmtId="0" fontId="5" fillId="0" borderId="3" xfId="0" applyFont="1" applyBorder="1" applyAlignment="1">
      <alignment horizontal="center" wrapText="1"/>
    </xf>
    <xf numFmtId="0" fontId="5" fillId="5" borderId="3" xfId="0" applyFont="1" applyFill="1" applyBorder="1" applyAlignment="1">
      <alignment horizontal="left" wrapText="1"/>
    </xf>
    <xf numFmtId="0" fontId="5" fillId="2" borderId="3" xfId="0" applyFont="1" applyFill="1" applyBorder="1" applyAlignment="1">
      <alignment horizontal="center" wrapText="1"/>
    </xf>
    <xf numFmtId="0" fontId="0" fillId="0" borderId="3" xfId="0" applyFont="1" applyBorder="1" applyAlignment="1">
      <alignment horizontal="center"/>
    </xf>
    <xf numFmtId="0" fontId="0" fillId="5" borderId="3" xfId="0" applyFont="1" applyFill="1" applyBorder="1"/>
    <xf numFmtId="0" fontId="2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vertical="center" wrapText="1"/>
    </xf>
    <xf numFmtId="0" fontId="0" fillId="6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vertical="center" wrapText="1"/>
    </xf>
    <xf numFmtId="0" fontId="0" fillId="6" borderId="1" xfId="0" applyFont="1" applyFill="1" applyBorder="1" applyAlignment="1">
      <alignment vertical="center"/>
    </xf>
    <xf numFmtId="0" fontId="0" fillId="6" borderId="1" xfId="0" applyFont="1" applyFill="1" applyBorder="1" applyAlignment="1">
      <alignment horizontal="center"/>
    </xf>
    <xf numFmtId="0" fontId="0" fillId="6" borderId="1" xfId="0" applyFill="1" applyBorder="1" applyAlignment="1"/>
    <xf numFmtId="0" fontId="0" fillId="6" borderId="1" xfId="0" applyFill="1" applyBorder="1" applyAlignment="1">
      <alignment horizontal="center"/>
    </xf>
    <xf numFmtId="0" fontId="0" fillId="6" borderId="1" xfId="0" applyFont="1" applyFill="1" applyBorder="1" applyAlignment="1">
      <alignment vertical="center" wrapText="1"/>
    </xf>
    <xf numFmtId="0" fontId="0" fillId="6" borderId="1" xfId="0" applyFill="1" applyBorder="1" applyAlignment="1">
      <alignment horizontal="left"/>
    </xf>
    <xf numFmtId="0" fontId="0" fillId="6" borderId="1" xfId="0" applyFont="1" applyFill="1" applyBorder="1" applyAlignment="1"/>
    <xf numFmtId="0" fontId="6" fillId="6" borderId="3" xfId="0" applyFont="1" applyFill="1" applyBorder="1" applyAlignment="1">
      <alignment horizontal="left" vertical="center" wrapText="1"/>
    </xf>
    <xf numFmtId="164" fontId="6" fillId="6" borderId="3" xfId="0" applyNumberFormat="1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/>
    </xf>
    <xf numFmtId="0" fontId="6" fillId="6" borderId="3" xfId="0" applyFont="1" applyFill="1" applyBorder="1" applyAlignment="1">
      <alignment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left" vertical="top" wrapText="1"/>
    </xf>
    <xf numFmtId="0" fontId="5" fillId="6" borderId="3" xfId="0" applyFont="1" applyFill="1" applyBorder="1" applyAlignment="1">
      <alignment horizontal="center" wrapText="1"/>
    </xf>
    <xf numFmtId="0" fontId="5" fillId="6" borderId="3" xfId="0" applyFont="1" applyFill="1" applyBorder="1" applyAlignment="1">
      <alignment horizontal="left" wrapText="1"/>
    </xf>
    <xf numFmtId="0" fontId="0" fillId="6" borderId="3" xfId="0" applyFont="1" applyFill="1" applyBorder="1" applyAlignment="1">
      <alignment horizontal="center" wrapText="1"/>
    </xf>
    <xf numFmtId="0" fontId="6" fillId="6" borderId="3" xfId="0" applyFont="1" applyFill="1" applyBorder="1" applyAlignment="1">
      <alignment horizontal="center" vertical="center" wrapText="1"/>
    </xf>
    <xf numFmtId="164" fontId="6" fillId="6" borderId="0" xfId="0" applyNumberFormat="1" applyFont="1" applyFill="1" applyBorder="1" applyAlignment="1">
      <alignment horizontal="center" vertical="center" wrapText="1"/>
    </xf>
    <xf numFmtId="165" fontId="6" fillId="6" borderId="0" xfId="0" applyNumberFormat="1" applyFont="1" applyFill="1" applyBorder="1" applyAlignment="1">
      <alignment horizontal="center" vertical="center" wrapText="1"/>
    </xf>
    <xf numFmtId="0" fontId="6" fillId="6" borderId="0" xfId="0" applyFont="1" applyFill="1" applyBorder="1" applyAlignment="1">
      <alignment horizontal="left" vertical="center"/>
    </xf>
    <xf numFmtId="0" fontId="3" fillId="7" borderId="0" xfId="0" applyFont="1" applyFill="1"/>
    <xf numFmtId="0" fontId="0" fillId="5" borderId="1" xfId="0" applyFont="1" applyFill="1" applyBorder="1" applyAlignment="1">
      <alignment horizontal="center"/>
    </xf>
    <xf numFmtId="0" fontId="6" fillId="6" borderId="3" xfId="0" applyFont="1" applyFill="1" applyBorder="1" applyAlignment="1">
      <alignment horizontal="center" vertical="center" wrapText="1"/>
    </xf>
    <xf numFmtId="165" fontId="6" fillId="6" borderId="3" xfId="0" applyNumberFormat="1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0" fillId="5" borderId="1" xfId="0" applyFont="1" applyFill="1" applyBorder="1" applyAlignment="1">
      <alignment horizontal="center"/>
    </xf>
    <xf numFmtId="0" fontId="6" fillId="6" borderId="3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6" fillId="5" borderId="3" xfId="0" applyFont="1" applyFill="1" applyBorder="1" applyAlignment="1">
      <alignment vertical="center" wrapText="1"/>
    </xf>
    <xf numFmtId="0" fontId="0" fillId="5" borderId="0" xfId="0" applyFont="1" applyFill="1" applyBorder="1" applyAlignment="1">
      <alignment horizontal="center"/>
    </xf>
    <xf numFmtId="0" fontId="0" fillId="8" borderId="3" xfId="0" applyFont="1" applyFill="1" applyBorder="1" applyAlignment="1">
      <alignment horizontal="center" wrapText="1"/>
    </xf>
    <xf numFmtId="0" fontId="0" fillId="8" borderId="3" xfId="0" applyFont="1" applyFill="1" applyBorder="1" applyAlignment="1">
      <alignment horizontal="center"/>
    </xf>
    <xf numFmtId="0" fontId="6" fillId="6" borderId="3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14" fontId="0" fillId="0" borderId="0" xfId="0" applyNumberFormat="1"/>
    <xf numFmtId="164" fontId="6" fillId="7" borderId="3" xfId="0" applyNumberFormat="1" applyFont="1" applyFill="1" applyBorder="1" applyAlignment="1">
      <alignment horizontal="center" vertical="center" wrapText="1"/>
    </xf>
    <xf numFmtId="165" fontId="6" fillId="7" borderId="3" xfId="0" applyNumberFormat="1" applyFont="1" applyFill="1" applyBorder="1" applyAlignment="1">
      <alignment horizontal="center" vertical="center" wrapText="1"/>
    </xf>
    <xf numFmtId="165" fontId="6" fillId="7" borderId="3" xfId="0" applyNumberFormat="1" applyFont="1" applyFill="1" applyBorder="1" applyAlignment="1">
      <alignment horizontal="center" vertical="center" wrapText="1"/>
    </xf>
    <xf numFmtId="0" fontId="6" fillId="7" borderId="3" xfId="0" applyFont="1" applyFill="1" applyBorder="1" applyAlignment="1">
      <alignment horizontal="center" vertical="center" wrapText="1"/>
    </xf>
    <xf numFmtId="164" fontId="6" fillId="7" borderId="3" xfId="0" applyNumberFormat="1" applyFont="1" applyFill="1" applyBorder="1" applyAlignment="1">
      <alignment horizontal="center"/>
    </xf>
    <xf numFmtId="164" fontId="6" fillId="7" borderId="3" xfId="0" applyNumberFormat="1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 wrapText="1"/>
    </xf>
    <xf numFmtId="165" fontId="6" fillId="7" borderId="3" xfId="0" applyNumberFormat="1" applyFont="1" applyFill="1" applyBorder="1" applyAlignment="1">
      <alignment horizontal="center" vertical="center" wrapText="1"/>
    </xf>
    <xf numFmtId="0" fontId="0" fillId="7" borderId="3" xfId="0" applyFont="1" applyFill="1" applyBorder="1" applyAlignment="1">
      <alignment horizontal="center" wrapText="1"/>
    </xf>
    <xf numFmtId="0" fontId="0" fillId="7" borderId="3" xfId="0" applyFont="1" applyFill="1" applyBorder="1" applyAlignment="1">
      <alignment horizontal="center"/>
    </xf>
    <xf numFmtId="0" fontId="6" fillId="0" borderId="7" xfId="0" applyFont="1" applyBorder="1" applyAlignment="1">
      <alignment horizontal="center" vertical="center" wrapText="1"/>
    </xf>
    <xf numFmtId="164" fontId="6" fillId="0" borderId="3" xfId="0" applyNumberFormat="1" applyFont="1" applyFill="1" applyBorder="1" applyAlignment="1">
      <alignment horizontal="center" vertical="center" wrapText="1"/>
    </xf>
    <xf numFmtId="0" fontId="0" fillId="9" borderId="0" xfId="0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Fill="1"/>
    <xf numFmtId="0" fontId="0" fillId="0" borderId="0" xfId="0" applyNumberFormat="1" applyFill="1" applyAlignment="1">
      <alignment horizontal="center"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 wrapText="1"/>
    </xf>
    <xf numFmtId="0" fontId="0" fillId="0" borderId="0" xfId="0" applyFill="1" applyAlignment="1">
      <alignment wrapText="1"/>
    </xf>
    <xf numFmtId="0" fontId="0" fillId="0" borderId="0" xfId="0" applyFill="1" applyAlignment="1">
      <alignment horizontal="left"/>
    </xf>
    <xf numFmtId="0" fontId="0" fillId="0" borderId="0" xfId="0" applyFill="1" applyAlignment="1">
      <alignment horizontal="left" vertical="center"/>
    </xf>
    <xf numFmtId="0" fontId="0" fillId="7" borderId="3" xfId="0" applyFont="1" applyFill="1" applyBorder="1" applyAlignment="1">
      <alignment horizontal="center" vertical="center"/>
    </xf>
    <xf numFmtId="0" fontId="0" fillId="7" borderId="3" xfId="0" applyFill="1" applyBorder="1" applyAlignment="1">
      <alignment horizontal="center" vertical="center"/>
    </xf>
    <xf numFmtId="0" fontId="0" fillId="7" borderId="3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/>
    </xf>
    <xf numFmtId="0" fontId="1" fillId="4" borderId="5" xfId="0" applyFont="1" applyFill="1" applyBorder="1" applyAlignment="1">
      <alignment horizontal="center"/>
    </xf>
    <xf numFmtId="0" fontId="1" fillId="4" borderId="6" xfId="0" applyFont="1" applyFill="1" applyBorder="1" applyAlignment="1">
      <alignment horizontal="center"/>
    </xf>
    <xf numFmtId="0" fontId="0" fillId="5" borderId="1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 vertical="center"/>
    </xf>
    <xf numFmtId="165" fontId="6" fillId="6" borderId="3" xfId="0" applyNumberFormat="1" applyFont="1" applyFill="1" applyBorder="1" applyAlignment="1">
      <alignment horizontal="center" vertical="center" wrapText="1"/>
    </xf>
    <xf numFmtId="0" fontId="0" fillId="6" borderId="3" xfId="0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/>
    </xf>
    <xf numFmtId="0" fontId="6" fillId="6" borderId="3" xfId="0" applyFont="1" applyFill="1" applyBorder="1" applyAlignment="1">
      <alignment horizontal="center" vertical="center" wrapText="1"/>
    </xf>
    <xf numFmtId="0" fontId="6" fillId="5" borderId="7" xfId="0" applyFont="1" applyFill="1" applyBorder="1" applyAlignment="1">
      <alignment horizontal="center" vertical="center" wrapText="1"/>
    </xf>
    <xf numFmtId="0" fontId="6" fillId="5" borderId="8" xfId="0" applyFont="1" applyFill="1" applyBorder="1" applyAlignment="1">
      <alignment horizontal="center" vertical="center" wrapText="1"/>
    </xf>
    <xf numFmtId="0" fontId="6" fillId="5" borderId="9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165" fontId="6" fillId="7" borderId="3" xfId="0" applyNumberFormat="1" applyFont="1" applyFill="1" applyBorder="1" applyAlignment="1">
      <alignment horizontal="center" vertical="center" wrapText="1"/>
    </xf>
    <xf numFmtId="0" fontId="0" fillId="7" borderId="3" xfId="0" applyFill="1" applyBorder="1" applyAlignment="1">
      <alignment horizontal="center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0" fillId="5" borderId="0" xfId="0" applyFont="1" applyFill="1" applyAlignment="1">
      <alignment horizontal="left"/>
    </xf>
    <xf numFmtId="0" fontId="4" fillId="5" borderId="2" xfId="0" applyFont="1" applyFill="1" applyBorder="1" applyAlignment="1">
      <alignment horizontal="left" wrapText="1"/>
    </xf>
    <xf numFmtId="0" fontId="4" fillId="5" borderId="0" xfId="0" applyFont="1" applyFill="1" applyBorder="1" applyAlignment="1">
      <alignment horizontal="left" wrapText="1"/>
    </xf>
    <xf numFmtId="0" fontId="0" fillId="7" borderId="7" xfId="0" applyFont="1" applyFill="1" applyBorder="1" applyAlignment="1">
      <alignment horizontal="center" vertical="center"/>
    </xf>
    <xf numFmtId="0" fontId="0" fillId="7" borderId="8" xfId="0" applyFont="1" applyFill="1" applyBorder="1" applyAlignment="1">
      <alignment horizontal="center" vertical="center"/>
    </xf>
    <xf numFmtId="0" fontId="0" fillId="7" borderId="9" xfId="0" applyFont="1" applyFill="1" applyBorder="1" applyAlignment="1">
      <alignment horizontal="center" vertical="center"/>
    </xf>
    <xf numFmtId="0" fontId="0" fillId="7" borderId="3" xfId="0" applyFont="1" applyFill="1" applyBorder="1" applyAlignment="1">
      <alignment horizontal="center" vertical="center"/>
    </xf>
    <xf numFmtId="49" fontId="8" fillId="3" borderId="3" xfId="0" applyNumberFormat="1" applyFont="1" applyFill="1" applyBorder="1" applyAlignment="1">
      <alignment horizontal="center" vertical="center"/>
    </xf>
    <xf numFmtId="0" fontId="10" fillId="6" borderId="10" xfId="0" applyFont="1" applyFill="1" applyBorder="1" applyAlignment="1">
      <alignment horizontal="center" vertical="top" wrapText="1"/>
    </xf>
    <xf numFmtId="0" fontId="10" fillId="6" borderId="11" xfId="0" applyFont="1" applyFill="1" applyBorder="1" applyAlignment="1">
      <alignment horizontal="center" vertical="top" wrapText="1"/>
    </xf>
    <xf numFmtId="0" fontId="10" fillId="6" borderId="12" xfId="0" applyFont="1" applyFill="1" applyBorder="1" applyAlignment="1">
      <alignment horizontal="center" vertical="top" wrapText="1"/>
    </xf>
    <xf numFmtId="0" fontId="10" fillId="6" borderId="14" xfId="0" applyFont="1" applyFill="1" applyBorder="1" applyAlignment="1">
      <alignment horizontal="center" vertical="center" wrapText="1"/>
    </xf>
    <xf numFmtId="0" fontId="11" fillId="6" borderId="13" xfId="0" applyFont="1" applyFill="1" applyBorder="1" applyAlignment="1">
      <alignment horizontal="center" vertical="center" wrapText="1"/>
    </xf>
    <xf numFmtId="0" fontId="11" fillId="6" borderId="15" xfId="0" applyFont="1" applyFill="1" applyBorder="1" applyAlignment="1">
      <alignment horizontal="center" vertical="center" wrapText="1"/>
    </xf>
    <xf numFmtId="0" fontId="11" fillId="6" borderId="2" xfId="0" applyFont="1" applyFill="1" applyBorder="1" applyAlignment="1">
      <alignment horizontal="center" vertical="center" wrapText="1"/>
    </xf>
    <xf numFmtId="0" fontId="11" fillId="6" borderId="0" xfId="0" applyFont="1" applyFill="1" applyBorder="1" applyAlignment="1">
      <alignment horizontal="center" vertical="center" wrapText="1"/>
    </xf>
    <xf numFmtId="0" fontId="11" fillId="6" borderId="16" xfId="0" applyFont="1" applyFill="1" applyBorder="1" applyAlignment="1">
      <alignment horizontal="center" vertical="center" wrapText="1"/>
    </xf>
    <xf numFmtId="0" fontId="11" fillId="6" borderId="17" xfId="0" applyFont="1" applyFill="1" applyBorder="1" applyAlignment="1">
      <alignment horizontal="center" vertical="center" wrapText="1"/>
    </xf>
    <xf numFmtId="0" fontId="11" fillId="6" borderId="18" xfId="0" applyFont="1" applyFill="1" applyBorder="1" applyAlignment="1">
      <alignment horizontal="center" vertical="center" wrapText="1"/>
    </xf>
    <xf numFmtId="0" fontId="11" fillId="6" borderId="19" xfId="0" applyFont="1" applyFill="1" applyBorder="1" applyAlignment="1">
      <alignment horizontal="center" vertical="center" wrapText="1"/>
    </xf>
    <xf numFmtId="0" fontId="1" fillId="10" borderId="0" xfId="0" applyFont="1" applyFill="1" applyAlignment="1">
      <alignment horizontal="center" vertical="center"/>
    </xf>
    <xf numFmtId="0" fontId="1" fillId="10" borderId="20" xfId="0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0</xdr:rowOff>
    </xdr:from>
    <xdr:to>
      <xdr:col>0</xdr:col>
      <xdr:colOff>609600</xdr:colOff>
      <xdr:row>0</xdr:row>
      <xdr:rowOff>1905</xdr:rowOff>
    </xdr:to>
    <xdr:pic>
      <xdr:nvPicPr>
        <xdr:cNvPr id="2" name="Рисунок 28">
          <a:extLst>
            <a:ext uri="{FF2B5EF4-FFF2-40B4-BE49-F238E27FC236}">
              <a16:creationId xmlns:a16="http://schemas.microsoft.com/office/drawing/2014/main" xmlns="" id="{00000000-0008-0000-0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6200" y="6858000"/>
          <a:ext cx="533400" cy="190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609600</xdr:colOff>
      <xdr:row>0</xdr:row>
      <xdr:rowOff>1905</xdr:rowOff>
    </xdr:to>
    <xdr:pic>
      <xdr:nvPicPr>
        <xdr:cNvPr id="3" name="Рисунок 32">
          <a:extLst>
            <a:ext uri="{FF2B5EF4-FFF2-40B4-BE49-F238E27FC236}">
              <a16:creationId xmlns:a16="http://schemas.microsoft.com/office/drawing/2014/main" xmlns="" id="{00000000-0008-0000-07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25908000"/>
          <a:ext cx="609600" cy="190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19050</xdr:colOff>
      <xdr:row>0</xdr:row>
      <xdr:rowOff>0</xdr:rowOff>
    </xdr:from>
    <xdr:to>
      <xdr:col>0</xdr:col>
      <xdr:colOff>609600</xdr:colOff>
      <xdr:row>0</xdr:row>
      <xdr:rowOff>11430</xdr:rowOff>
    </xdr:to>
    <xdr:pic>
      <xdr:nvPicPr>
        <xdr:cNvPr id="4" name="Рисунок 46">
          <a:extLst>
            <a:ext uri="{FF2B5EF4-FFF2-40B4-BE49-F238E27FC236}">
              <a16:creationId xmlns:a16="http://schemas.microsoft.com/office/drawing/2014/main" xmlns="" id="{00000000-0008-0000-07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9050" y="24955500"/>
          <a:ext cx="590550" cy="114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122"/>
  <sheetViews>
    <sheetView topLeftCell="A25" zoomScale="80" zoomScaleNormal="80" zoomScaleSheetLayoutView="100" workbookViewId="0">
      <selection activeCell="J28" sqref="J28"/>
    </sheetView>
  </sheetViews>
  <sheetFormatPr defaultRowHeight="15" x14ac:dyDescent="0.25"/>
  <cols>
    <col min="1" max="1" width="4.7109375" style="3" customWidth="1"/>
    <col min="2" max="2" width="69.85546875" style="3" customWidth="1"/>
    <col min="3" max="5" width="19.42578125" style="3" customWidth="1"/>
    <col min="6" max="6" width="20.5703125" style="3" customWidth="1"/>
    <col min="7" max="16384" width="9.140625" style="3"/>
  </cols>
  <sheetData>
    <row r="1" spans="1:7" ht="16.149999999999999" customHeight="1" x14ac:dyDescent="0.25">
      <c r="A1" s="5"/>
      <c r="B1" s="5"/>
      <c r="C1" s="5"/>
      <c r="D1" s="5"/>
    </row>
    <row r="2" spans="1:7" ht="16.149999999999999" customHeight="1" x14ac:dyDescent="0.25">
      <c r="A2" s="5"/>
      <c r="B2" s="5" t="s">
        <v>103</v>
      </c>
      <c r="C2" s="5"/>
      <c r="D2" s="5"/>
    </row>
    <row r="3" spans="1:7" ht="16.149999999999999" customHeight="1" x14ac:dyDescent="0.25">
      <c r="A3" s="5"/>
      <c r="B3" s="5" t="s">
        <v>104</v>
      </c>
      <c r="C3" s="5"/>
      <c r="D3" s="5"/>
    </row>
    <row r="4" spans="1:7" ht="16.149999999999999" customHeight="1" x14ac:dyDescent="0.25">
      <c r="A4" s="5"/>
      <c r="B4" s="5" t="s">
        <v>105</v>
      </c>
      <c r="C4" s="5"/>
      <c r="D4" s="5"/>
    </row>
    <row r="5" spans="1:7" ht="16.149999999999999" customHeight="1" x14ac:dyDescent="0.25">
      <c r="A5" s="5"/>
      <c r="B5" s="5" t="s">
        <v>127</v>
      </c>
      <c r="C5" s="5"/>
      <c r="D5" s="5"/>
    </row>
    <row r="6" spans="1:7" ht="16.149999999999999" customHeight="1" x14ac:dyDescent="0.25">
      <c r="A6" s="5"/>
      <c r="B6" s="11" t="s">
        <v>128</v>
      </c>
      <c r="C6" s="5"/>
      <c r="D6" s="5"/>
    </row>
    <row r="7" spans="1:7" ht="24" customHeight="1" x14ac:dyDescent="0.25"/>
    <row r="8" spans="1:7" x14ac:dyDescent="0.25">
      <c r="A8" s="1" t="s">
        <v>24</v>
      </c>
      <c r="B8" s="2" t="s">
        <v>20</v>
      </c>
      <c r="C8" s="1" t="s">
        <v>21</v>
      </c>
      <c r="D8" s="1" t="s">
        <v>22</v>
      </c>
      <c r="E8" s="1" t="s">
        <v>23</v>
      </c>
      <c r="F8" s="1" t="s">
        <v>130</v>
      </c>
    </row>
    <row r="9" spans="1:7" ht="19.899999999999999" customHeight="1" x14ac:dyDescent="0.25">
      <c r="A9" s="111" t="s">
        <v>25</v>
      </c>
      <c r="B9" s="111"/>
      <c r="C9" s="111"/>
      <c r="D9" s="111"/>
      <c r="E9" s="111"/>
      <c r="F9" s="111"/>
    </row>
    <row r="10" spans="1:7" ht="45" customHeight="1" x14ac:dyDescent="0.25">
      <c r="A10" s="26">
        <v>1</v>
      </c>
      <c r="B10" s="27" t="s">
        <v>177</v>
      </c>
      <c r="C10" s="28" t="s">
        <v>129</v>
      </c>
      <c r="D10" s="28" t="s">
        <v>43</v>
      </c>
      <c r="E10" s="28" t="s">
        <v>44</v>
      </c>
      <c r="F10" s="29" t="s">
        <v>293</v>
      </c>
      <c r="G10" s="23"/>
    </row>
    <row r="11" spans="1:7" ht="16.149999999999999" customHeight="1" x14ac:dyDescent="0.25">
      <c r="A11" s="67">
        <v>2</v>
      </c>
      <c r="B11" s="52" t="s">
        <v>4</v>
      </c>
      <c r="C11" s="53" t="s">
        <v>244</v>
      </c>
      <c r="D11" s="53" t="s">
        <v>214</v>
      </c>
      <c r="E11" s="53" t="s">
        <v>245</v>
      </c>
      <c r="F11" s="68" t="s">
        <v>246</v>
      </c>
    </row>
    <row r="12" spans="1:7" ht="16.149999999999999" customHeight="1" x14ac:dyDescent="0.25">
      <c r="A12" s="26">
        <v>3</v>
      </c>
      <c r="B12" s="27" t="s">
        <v>7</v>
      </c>
      <c r="C12" s="28" t="s">
        <v>244</v>
      </c>
      <c r="D12" s="28" t="s">
        <v>214</v>
      </c>
      <c r="E12" s="28" t="s">
        <v>245</v>
      </c>
      <c r="F12" s="28" t="s">
        <v>246</v>
      </c>
    </row>
    <row r="13" spans="1:7" ht="16.149999999999999" customHeight="1" x14ac:dyDescent="0.25">
      <c r="A13" s="67">
        <v>4</v>
      </c>
      <c r="B13" s="52" t="s">
        <v>12</v>
      </c>
      <c r="C13" s="53" t="s">
        <v>247</v>
      </c>
      <c r="D13" s="53" t="s">
        <v>160</v>
      </c>
      <c r="E13" s="53" t="s">
        <v>3</v>
      </c>
      <c r="F13" s="68" t="s">
        <v>248</v>
      </c>
    </row>
    <row r="14" spans="1:7" ht="16.149999999999999" customHeight="1" x14ac:dyDescent="0.25">
      <c r="A14" s="26">
        <v>5</v>
      </c>
      <c r="B14" s="27" t="s">
        <v>13</v>
      </c>
      <c r="C14" s="28" t="s">
        <v>247</v>
      </c>
      <c r="D14" s="28" t="s">
        <v>160</v>
      </c>
      <c r="E14" s="28" t="s">
        <v>3</v>
      </c>
      <c r="F14" s="28" t="s">
        <v>248</v>
      </c>
    </row>
    <row r="15" spans="1:7" ht="16.149999999999999" customHeight="1" x14ac:dyDescent="0.25">
      <c r="A15" s="67">
        <v>6</v>
      </c>
      <c r="B15" s="52" t="s">
        <v>119</v>
      </c>
      <c r="C15" s="53" t="s">
        <v>28</v>
      </c>
      <c r="D15" s="53" t="s">
        <v>11</v>
      </c>
      <c r="E15" s="53" t="s">
        <v>8</v>
      </c>
      <c r="F15" s="68" t="s">
        <v>9</v>
      </c>
    </row>
    <row r="16" spans="1:7" ht="16.149999999999999" customHeight="1" x14ac:dyDescent="0.25">
      <c r="A16" s="26">
        <v>7</v>
      </c>
      <c r="B16" s="27" t="s">
        <v>183</v>
      </c>
      <c r="C16" s="29" t="s">
        <v>120</v>
      </c>
      <c r="D16" s="29" t="s">
        <v>120</v>
      </c>
      <c r="E16" s="29" t="s">
        <v>120</v>
      </c>
      <c r="F16" s="29" t="s">
        <v>120</v>
      </c>
    </row>
    <row r="17" spans="1:6" ht="16.149999999999999" customHeight="1" x14ac:dyDescent="0.25">
      <c r="A17" s="67">
        <v>8</v>
      </c>
      <c r="B17" s="52" t="s">
        <v>184</v>
      </c>
      <c r="C17" s="68" t="s">
        <v>249</v>
      </c>
      <c r="D17" s="68" t="s">
        <v>250</v>
      </c>
      <c r="E17" s="68" t="s">
        <v>251</v>
      </c>
      <c r="F17" s="68" t="s">
        <v>167</v>
      </c>
    </row>
    <row r="18" spans="1:6" ht="16.149999999999999" customHeight="1" x14ac:dyDescent="0.25">
      <c r="A18" s="26">
        <v>9</v>
      </c>
      <c r="B18" s="27" t="s">
        <v>19</v>
      </c>
      <c r="C18" s="29" t="s">
        <v>67</v>
      </c>
      <c r="D18" s="29" t="s">
        <v>67</v>
      </c>
      <c r="E18" s="29" t="s">
        <v>67</v>
      </c>
      <c r="F18" s="29" t="s">
        <v>67</v>
      </c>
    </row>
    <row r="19" spans="1:6" ht="16.149999999999999" customHeight="1" x14ac:dyDescent="0.25">
      <c r="A19" s="67">
        <v>10</v>
      </c>
      <c r="B19" s="52" t="s">
        <v>205</v>
      </c>
      <c r="C19" s="112" t="s">
        <v>252</v>
      </c>
      <c r="D19" s="113"/>
      <c r="E19" s="113"/>
      <c r="F19" s="113"/>
    </row>
    <row r="20" spans="1:6" ht="22.15" customHeight="1" x14ac:dyDescent="0.25">
      <c r="A20" s="111" t="s">
        <v>26</v>
      </c>
      <c r="B20" s="111"/>
      <c r="C20" s="111"/>
      <c r="D20" s="111"/>
      <c r="E20" s="111"/>
      <c r="F20" s="111"/>
    </row>
    <row r="21" spans="1:6" ht="16.149999999999999" customHeight="1" x14ac:dyDescent="0.25">
      <c r="A21" s="26">
        <v>1</v>
      </c>
      <c r="B21" s="27" t="s">
        <v>27</v>
      </c>
      <c r="C21" s="69" t="s">
        <v>185</v>
      </c>
      <c r="D21" s="69" t="s">
        <v>6</v>
      </c>
      <c r="E21" s="69" t="s">
        <v>48</v>
      </c>
      <c r="F21" s="69" t="s">
        <v>253</v>
      </c>
    </row>
    <row r="22" spans="1:6" ht="16.149999999999999" customHeight="1" x14ac:dyDescent="0.25">
      <c r="A22" s="67">
        <v>2</v>
      </c>
      <c r="B22" s="52" t="s">
        <v>112</v>
      </c>
      <c r="C22" s="67" t="s">
        <v>131</v>
      </c>
      <c r="D22" s="67" t="s">
        <v>254</v>
      </c>
      <c r="E22" s="67" t="s">
        <v>255</v>
      </c>
      <c r="F22" s="67" t="s">
        <v>31</v>
      </c>
    </row>
    <row r="23" spans="1:6" x14ac:dyDescent="0.25">
      <c r="A23" s="111" t="s">
        <v>33</v>
      </c>
      <c r="B23" s="111"/>
      <c r="C23" s="111"/>
      <c r="D23" s="111"/>
      <c r="E23" s="111"/>
      <c r="F23" s="111"/>
    </row>
    <row r="24" spans="1:6" ht="16.149999999999999" customHeight="1" x14ac:dyDescent="0.25">
      <c r="A24" s="26">
        <v>1</v>
      </c>
      <c r="B24" s="27" t="s">
        <v>34</v>
      </c>
      <c r="C24" s="69" t="s">
        <v>5</v>
      </c>
      <c r="D24" s="69" t="s">
        <v>5</v>
      </c>
      <c r="E24" s="69" t="s">
        <v>6</v>
      </c>
      <c r="F24" s="69" t="s">
        <v>258</v>
      </c>
    </row>
    <row r="25" spans="1:6" ht="16.149999999999999" customHeight="1" x14ac:dyDescent="0.25">
      <c r="A25" s="67">
        <v>2</v>
      </c>
      <c r="B25" s="52" t="s">
        <v>94</v>
      </c>
      <c r="C25" s="67" t="s">
        <v>151</v>
      </c>
      <c r="D25" s="67" t="s">
        <v>3</v>
      </c>
      <c r="E25" s="67" t="s">
        <v>176</v>
      </c>
      <c r="F25" s="67" t="s">
        <v>256</v>
      </c>
    </row>
    <row r="26" spans="1:6" ht="16.149999999999999" customHeight="1" x14ac:dyDescent="0.25">
      <c r="A26" s="30">
        <v>3</v>
      </c>
      <c r="B26" s="27" t="s">
        <v>36</v>
      </c>
      <c r="C26" s="69" t="s">
        <v>135</v>
      </c>
      <c r="D26" s="69" t="s">
        <v>257</v>
      </c>
      <c r="E26" s="69" t="s">
        <v>64</v>
      </c>
      <c r="F26" s="69" t="s">
        <v>164</v>
      </c>
    </row>
    <row r="27" spans="1:6" x14ac:dyDescent="0.25">
      <c r="A27" s="111" t="s">
        <v>39</v>
      </c>
      <c r="B27" s="111"/>
      <c r="C27" s="111"/>
      <c r="D27" s="111"/>
      <c r="E27" s="111"/>
      <c r="F27" s="111"/>
    </row>
    <row r="28" spans="1:6" ht="16.899999999999999" customHeight="1" x14ac:dyDescent="0.25">
      <c r="A28" s="31">
        <v>1</v>
      </c>
      <c r="B28" s="32" t="s">
        <v>40</v>
      </c>
      <c r="C28" s="33" t="s">
        <v>38</v>
      </c>
      <c r="D28" s="33" t="s">
        <v>259</v>
      </c>
      <c r="E28" s="33" t="s">
        <v>260</v>
      </c>
      <c r="F28" s="33" t="s">
        <v>107</v>
      </c>
    </row>
    <row r="29" spans="1:6" s="25" customFormat="1" ht="31.5" customHeight="1" x14ac:dyDescent="0.25">
      <c r="A29" s="54">
        <v>2</v>
      </c>
      <c r="B29" s="55" t="s">
        <v>166</v>
      </c>
      <c r="C29" s="54" t="s">
        <v>64</v>
      </c>
      <c r="D29" s="54" t="s">
        <v>161</v>
      </c>
      <c r="E29" s="54" t="s">
        <v>222</v>
      </c>
      <c r="F29" s="54" t="s">
        <v>224</v>
      </c>
    </row>
    <row r="30" spans="1:6" x14ac:dyDescent="0.25">
      <c r="A30" s="110" t="s">
        <v>41</v>
      </c>
      <c r="B30" s="110"/>
      <c r="C30" s="110"/>
      <c r="D30" s="110"/>
      <c r="E30" s="110"/>
      <c r="F30" s="110"/>
    </row>
    <row r="31" spans="1:6" x14ac:dyDescent="0.25">
      <c r="A31" s="26">
        <v>1</v>
      </c>
      <c r="B31" s="74" t="s">
        <v>42</v>
      </c>
      <c r="C31" s="69" t="s">
        <v>134</v>
      </c>
      <c r="D31" s="69" t="s">
        <v>155</v>
      </c>
      <c r="E31" s="69" t="s">
        <v>178</v>
      </c>
      <c r="F31" s="69" t="s">
        <v>156</v>
      </c>
    </row>
    <row r="32" spans="1:6" ht="16.149999999999999" customHeight="1" x14ac:dyDescent="0.25">
      <c r="A32" s="71">
        <v>2</v>
      </c>
      <c r="B32" s="55" t="s">
        <v>282</v>
      </c>
      <c r="C32" s="71" t="s">
        <v>120</v>
      </c>
      <c r="D32" s="71" t="s">
        <v>158</v>
      </c>
      <c r="E32" s="71" t="s">
        <v>124</v>
      </c>
      <c r="F32" s="71" t="s">
        <v>186</v>
      </c>
    </row>
    <row r="33" spans="1:6" ht="16.149999999999999" customHeight="1" x14ac:dyDescent="0.25">
      <c r="A33" s="26">
        <v>3</v>
      </c>
      <c r="B33" s="74" t="s">
        <v>283</v>
      </c>
      <c r="C33" s="72" t="s">
        <v>47</v>
      </c>
      <c r="D33" s="72" t="s">
        <v>173</v>
      </c>
      <c r="E33" s="72" t="s">
        <v>284</v>
      </c>
      <c r="F33" s="72" t="s">
        <v>252</v>
      </c>
    </row>
    <row r="34" spans="1:6" ht="30" x14ac:dyDescent="0.25">
      <c r="A34" s="71">
        <v>4</v>
      </c>
      <c r="B34" s="55" t="s">
        <v>289</v>
      </c>
      <c r="C34" s="71" t="s">
        <v>285</v>
      </c>
      <c r="D34" s="71" t="s">
        <v>286</v>
      </c>
      <c r="E34" s="71" t="s">
        <v>287</v>
      </c>
      <c r="F34" s="71" t="s">
        <v>288</v>
      </c>
    </row>
    <row r="35" spans="1:6" ht="16.149999999999999" customHeight="1" x14ac:dyDescent="0.25">
      <c r="A35" s="26">
        <v>5</v>
      </c>
      <c r="B35" s="74" t="s">
        <v>46</v>
      </c>
      <c r="C35" s="72" t="s">
        <v>172</v>
      </c>
      <c r="D35" s="72" t="s">
        <v>187</v>
      </c>
      <c r="E35" s="72" t="s">
        <v>188</v>
      </c>
      <c r="F35" s="72" t="s">
        <v>189</v>
      </c>
    </row>
    <row r="36" spans="1:6" ht="16.149999999999999" customHeight="1" x14ac:dyDescent="0.25">
      <c r="A36" s="71">
        <v>6</v>
      </c>
      <c r="B36" s="55" t="s">
        <v>49</v>
      </c>
      <c r="C36" s="71" t="s">
        <v>59</v>
      </c>
      <c r="D36" s="71" t="s">
        <v>190</v>
      </c>
      <c r="E36" s="71" t="s">
        <v>159</v>
      </c>
      <c r="F36" s="71" t="s">
        <v>123</v>
      </c>
    </row>
    <row r="37" spans="1:6" ht="16.149999999999999" customHeight="1" x14ac:dyDescent="0.25">
      <c r="A37" s="26">
        <v>7</v>
      </c>
      <c r="B37" s="74" t="s">
        <v>50</v>
      </c>
      <c r="C37" s="72" t="s">
        <v>47</v>
      </c>
      <c r="D37" s="72" t="s">
        <v>173</v>
      </c>
      <c r="E37" s="72" t="s">
        <v>191</v>
      </c>
      <c r="F37" s="72" t="s">
        <v>192</v>
      </c>
    </row>
    <row r="38" spans="1:6" ht="16.149999999999999" customHeight="1" x14ac:dyDescent="0.25">
      <c r="A38" s="71">
        <v>8</v>
      </c>
      <c r="B38" s="55" t="s">
        <v>51</v>
      </c>
      <c r="C38" s="71" t="s">
        <v>193</v>
      </c>
      <c r="D38" s="71" t="s">
        <v>194</v>
      </c>
      <c r="E38" s="71" t="s">
        <v>191</v>
      </c>
      <c r="F38" s="71" t="s">
        <v>192</v>
      </c>
    </row>
    <row r="39" spans="1:6" ht="16.149999999999999" customHeight="1" x14ac:dyDescent="0.25">
      <c r="A39" s="26">
        <v>9</v>
      </c>
      <c r="B39" s="74" t="s">
        <v>52</v>
      </c>
      <c r="C39" s="72" t="s">
        <v>15</v>
      </c>
      <c r="D39" s="72" t="s">
        <v>16</v>
      </c>
      <c r="E39" s="72" t="s">
        <v>16</v>
      </c>
      <c r="F39" s="72" t="s">
        <v>14</v>
      </c>
    </row>
    <row r="40" spans="1:6" ht="16.149999999999999" customHeight="1" x14ac:dyDescent="0.25">
      <c r="A40" s="71">
        <v>10</v>
      </c>
      <c r="B40" s="55" t="s">
        <v>53</v>
      </c>
      <c r="C40" s="71" t="s">
        <v>151</v>
      </c>
      <c r="D40" s="71" t="s">
        <v>151</v>
      </c>
      <c r="E40" s="71" t="s">
        <v>132</v>
      </c>
      <c r="F40" s="71" t="s">
        <v>132</v>
      </c>
    </row>
    <row r="41" spans="1:6" x14ac:dyDescent="0.25">
      <c r="A41" s="26">
        <v>11</v>
      </c>
      <c r="B41" s="74" t="s">
        <v>54</v>
      </c>
      <c r="C41" s="72" t="s">
        <v>1</v>
      </c>
      <c r="D41" s="72" t="s">
        <v>1</v>
      </c>
      <c r="E41" s="72" t="s">
        <v>1</v>
      </c>
      <c r="F41" s="72" t="s">
        <v>1</v>
      </c>
    </row>
    <row r="42" spans="1:6" x14ac:dyDescent="0.25">
      <c r="A42" s="114" t="s">
        <v>55</v>
      </c>
      <c r="B42" s="114"/>
      <c r="C42" s="114"/>
      <c r="D42" s="114"/>
      <c r="E42" s="114"/>
      <c r="F42" s="114"/>
    </row>
    <row r="43" spans="1:6" ht="16.149999999999999" customHeight="1" x14ac:dyDescent="0.25">
      <c r="A43" s="26">
        <v>1</v>
      </c>
      <c r="B43" s="27" t="s">
        <v>56</v>
      </c>
      <c r="C43" s="69" t="s">
        <v>155</v>
      </c>
      <c r="D43" s="69" t="s">
        <v>178</v>
      </c>
      <c r="E43" s="69" t="s">
        <v>202</v>
      </c>
      <c r="F43" s="69" t="s">
        <v>179</v>
      </c>
    </row>
    <row r="44" spans="1:6" ht="16.149999999999999" customHeight="1" x14ac:dyDescent="0.25">
      <c r="A44" s="67">
        <v>2</v>
      </c>
      <c r="B44" s="52" t="s">
        <v>57</v>
      </c>
      <c r="C44" s="67" t="s">
        <v>121</v>
      </c>
      <c r="D44" s="67" t="s">
        <v>122</v>
      </c>
      <c r="E44" s="67" t="s">
        <v>133</v>
      </c>
      <c r="F44" s="67" t="s">
        <v>149</v>
      </c>
    </row>
    <row r="45" spans="1:6" ht="16.149999999999999" customHeight="1" x14ac:dyDescent="0.25">
      <c r="A45" s="26">
        <v>3</v>
      </c>
      <c r="B45" s="27" t="s">
        <v>171</v>
      </c>
      <c r="C45" s="69" t="s">
        <v>43</v>
      </c>
      <c r="D45" s="69" t="s">
        <v>181</v>
      </c>
      <c r="E45" s="69" t="s">
        <v>182</v>
      </c>
      <c r="F45" s="69" t="s">
        <v>164</v>
      </c>
    </row>
    <row r="46" spans="1:6" ht="16.149999999999999" customHeight="1" x14ac:dyDescent="0.25">
      <c r="A46" s="67">
        <v>4</v>
      </c>
      <c r="B46" s="52" t="s">
        <v>204</v>
      </c>
      <c r="C46" s="115" t="s">
        <v>149</v>
      </c>
      <c r="D46" s="115"/>
      <c r="E46" s="115"/>
      <c r="F46" s="115"/>
    </row>
    <row r="47" spans="1:6" ht="16.149999999999999" customHeight="1" x14ac:dyDescent="0.25">
      <c r="A47" s="26">
        <v>5</v>
      </c>
      <c r="B47" s="27" t="s">
        <v>58</v>
      </c>
      <c r="C47" s="69" t="s">
        <v>120</v>
      </c>
      <c r="D47" s="69" t="s">
        <v>120</v>
      </c>
      <c r="E47" s="69" t="s">
        <v>120</v>
      </c>
      <c r="F47" s="69" t="s">
        <v>120</v>
      </c>
    </row>
    <row r="48" spans="1:6" ht="16.149999999999999" customHeight="1" x14ac:dyDescent="0.25">
      <c r="A48" s="67">
        <v>6</v>
      </c>
      <c r="B48" s="52" t="s">
        <v>101</v>
      </c>
      <c r="C48" s="67" t="s">
        <v>195</v>
      </c>
      <c r="D48" s="67" t="s">
        <v>195</v>
      </c>
      <c r="E48" s="67" t="s">
        <v>195</v>
      </c>
      <c r="F48" s="67" t="s">
        <v>195</v>
      </c>
    </row>
    <row r="49" spans="1:6" ht="16.149999999999999" customHeight="1" x14ac:dyDescent="0.25">
      <c r="A49" s="26">
        <v>7</v>
      </c>
      <c r="B49" s="27" t="s">
        <v>102</v>
      </c>
      <c r="C49" s="116" t="s">
        <v>215</v>
      </c>
      <c r="D49" s="117"/>
      <c r="E49" s="117"/>
      <c r="F49" s="118"/>
    </row>
    <row r="50" spans="1:6" ht="16.149999999999999" customHeight="1" x14ac:dyDescent="0.25">
      <c r="A50" s="67">
        <v>8</v>
      </c>
      <c r="B50" s="52" t="s">
        <v>60</v>
      </c>
      <c r="C50" s="67" t="s">
        <v>67</v>
      </c>
      <c r="D50" s="67" t="s">
        <v>67</v>
      </c>
      <c r="E50" s="67" t="s">
        <v>67</v>
      </c>
      <c r="F50" s="67" t="s">
        <v>67</v>
      </c>
    </row>
    <row r="51" spans="1:6" ht="16.149999999999999" customHeight="1" x14ac:dyDescent="0.25">
      <c r="A51" s="26">
        <v>9</v>
      </c>
      <c r="B51" s="27" t="s">
        <v>61</v>
      </c>
      <c r="C51" s="119" t="s">
        <v>76</v>
      </c>
      <c r="D51" s="119"/>
      <c r="E51" s="119"/>
      <c r="F51" s="119"/>
    </row>
    <row r="52" spans="1:6" s="22" customFormat="1" x14ac:dyDescent="0.25">
      <c r="A52" s="67">
        <v>10</v>
      </c>
      <c r="B52" s="52" t="s">
        <v>165</v>
      </c>
      <c r="C52" s="115" t="s">
        <v>76</v>
      </c>
      <c r="D52" s="115"/>
      <c r="E52" s="115"/>
      <c r="F52" s="115"/>
    </row>
    <row r="53" spans="1:6" ht="16.149999999999999" customHeight="1" x14ac:dyDescent="0.25">
      <c r="A53" s="110" t="s">
        <v>62</v>
      </c>
      <c r="B53" s="110"/>
      <c r="C53" s="110"/>
      <c r="D53" s="110"/>
      <c r="E53" s="110"/>
      <c r="F53" s="110"/>
    </row>
    <row r="54" spans="1:6" ht="16.149999999999999" customHeight="1" x14ac:dyDescent="0.25">
      <c r="A54" s="69">
        <v>1</v>
      </c>
      <c r="B54" s="27" t="s">
        <v>216</v>
      </c>
      <c r="C54" s="69" t="s">
        <v>198</v>
      </c>
      <c r="D54" s="69" t="s">
        <v>199</v>
      </c>
      <c r="E54" s="69" t="s">
        <v>200</v>
      </c>
      <c r="F54" s="69" t="s">
        <v>201</v>
      </c>
    </row>
    <row r="55" spans="1:6" ht="16.149999999999999" customHeight="1" x14ac:dyDescent="0.25">
      <c r="A55" s="67">
        <v>2</v>
      </c>
      <c r="B55" s="52" t="s">
        <v>218</v>
      </c>
      <c r="C55" s="67" t="s">
        <v>169</v>
      </c>
      <c r="D55" s="67" t="s">
        <v>219</v>
      </c>
      <c r="E55" s="67" t="s">
        <v>223</v>
      </c>
      <c r="F55" s="67" t="s">
        <v>220</v>
      </c>
    </row>
    <row r="56" spans="1:6" ht="16.149999999999999" customHeight="1" x14ac:dyDescent="0.25">
      <c r="A56" s="69">
        <v>3</v>
      </c>
      <c r="B56" s="27" t="s">
        <v>217</v>
      </c>
      <c r="C56" s="69" t="s">
        <v>168</v>
      </c>
      <c r="D56" s="69" t="s">
        <v>169</v>
      </c>
      <c r="E56" s="69" t="s">
        <v>219</v>
      </c>
      <c r="F56" s="69" t="s">
        <v>223</v>
      </c>
    </row>
    <row r="57" spans="1:6" ht="16.149999999999999" customHeight="1" x14ac:dyDescent="0.25">
      <c r="A57" s="67">
        <v>4</v>
      </c>
      <c r="B57" s="52" t="s">
        <v>221</v>
      </c>
      <c r="C57" s="67" t="s">
        <v>224</v>
      </c>
      <c r="D57" s="67" t="s">
        <v>170</v>
      </c>
      <c r="E57" s="67" t="s">
        <v>168</v>
      </c>
      <c r="F57" s="67" t="s">
        <v>169</v>
      </c>
    </row>
    <row r="58" spans="1:6" ht="16.149999999999999" customHeight="1" x14ac:dyDescent="0.25">
      <c r="A58" s="69">
        <v>5</v>
      </c>
      <c r="B58" s="27" t="s">
        <v>196</v>
      </c>
      <c r="C58" s="69" t="s">
        <v>198</v>
      </c>
      <c r="D58" s="69" t="s">
        <v>199</v>
      </c>
      <c r="E58" s="69" t="s">
        <v>200</v>
      </c>
      <c r="F58" s="69" t="s">
        <v>201</v>
      </c>
    </row>
    <row r="59" spans="1:6" ht="16.149999999999999" customHeight="1" x14ac:dyDescent="0.25">
      <c r="A59" s="67">
        <v>6</v>
      </c>
      <c r="B59" s="57" t="s">
        <v>197</v>
      </c>
      <c r="C59" s="67" t="s">
        <v>198</v>
      </c>
      <c r="D59" s="67" t="s">
        <v>199</v>
      </c>
      <c r="E59" s="67" t="s">
        <v>200</v>
      </c>
      <c r="F59" s="67" t="s">
        <v>201</v>
      </c>
    </row>
    <row r="60" spans="1:6" x14ac:dyDescent="0.25">
      <c r="A60" s="69">
        <v>7</v>
      </c>
      <c r="B60" s="27" t="s">
        <v>115</v>
      </c>
      <c r="C60" s="69" t="s">
        <v>44</v>
      </c>
      <c r="D60" s="69" t="s">
        <v>45</v>
      </c>
      <c r="E60" s="69" t="s">
        <v>64</v>
      </c>
      <c r="F60" s="69" t="s">
        <v>161</v>
      </c>
    </row>
    <row r="61" spans="1:6" x14ac:dyDescent="0.25">
      <c r="A61" s="67">
        <v>8</v>
      </c>
      <c r="B61" s="52" t="s">
        <v>213</v>
      </c>
      <c r="C61" s="67" t="s">
        <v>44</v>
      </c>
      <c r="D61" s="67" t="s">
        <v>64</v>
      </c>
      <c r="E61" s="67" t="s">
        <v>161</v>
      </c>
      <c r="F61" s="67" t="s">
        <v>222</v>
      </c>
    </row>
    <row r="62" spans="1:6" ht="16.149999999999999" customHeight="1" x14ac:dyDescent="0.25">
      <c r="A62" s="69">
        <v>9</v>
      </c>
      <c r="B62" s="27" t="s">
        <v>30</v>
      </c>
      <c r="C62" s="69" t="s">
        <v>180</v>
      </c>
      <c r="D62" s="69" t="s">
        <v>139</v>
      </c>
      <c r="E62" s="69" t="s">
        <v>37</v>
      </c>
      <c r="F62" s="69" t="s">
        <v>38</v>
      </c>
    </row>
    <row r="63" spans="1:6" ht="16.149999999999999" customHeight="1" x14ac:dyDescent="0.25">
      <c r="A63" s="67">
        <v>10</v>
      </c>
      <c r="B63" s="52" t="s">
        <v>32</v>
      </c>
      <c r="C63" s="67" t="s">
        <v>180</v>
      </c>
      <c r="D63" s="67" t="s">
        <v>139</v>
      </c>
      <c r="E63" s="67" t="s">
        <v>37</v>
      </c>
      <c r="F63" s="67" t="s">
        <v>38</v>
      </c>
    </row>
    <row r="64" spans="1:6" ht="16.149999999999999" customHeight="1" x14ac:dyDescent="0.25">
      <c r="A64" s="69">
        <v>11</v>
      </c>
      <c r="B64" s="27" t="s">
        <v>29</v>
      </c>
      <c r="C64" s="69" t="s">
        <v>132</v>
      </c>
      <c r="D64" s="69" t="s">
        <v>2</v>
      </c>
      <c r="E64" s="69" t="s">
        <v>174</v>
      </c>
      <c r="F64" s="69" t="s">
        <v>3</v>
      </c>
    </row>
    <row r="65" spans="1:9" ht="16.149999999999999" customHeight="1" x14ac:dyDescent="0.25">
      <c r="A65" s="110" t="s">
        <v>66</v>
      </c>
      <c r="B65" s="110"/>
      <c r="C65" s="110"/>
      <c r="D65" s="110"/>
      <c r="E65" s="110"/>
      <c r="F65" s="110"/>
    </row>
    <row r="66" spans="1:9" ht="16.149999999999999" customHeight="1" x14ac:dyDescent="0.25">
      <c r="A66" s="26">
        <v>1</v>
      </c>
      <c r="B66" s="27" t="s">
        <v>136</v>
      </c>
      <c r="C66" s="69" t="s">
        <v>68</v>
      </c>
      <c r="D66" s="69" t="s">
        <v>68</v>
      </c>
      <c r="E66" s="69" t="s">
        <v>68</v>
      </c>
      <c r="F66" s="69" t="s">
        <v>68</v>
      </c>
    </row>
    <row r="67" spans="1:9" x14ac:dyDescent="0.25">
      <c r="A67" s="67">
        <v>2</v>
      </c>
      <c r="B67" s="52" t="s">
        <v>69</v>
      </c>
      <c r="C67" s="67" t="s">
        <v>70</v>
      </c>
      <c r="D67" s="67" t="s">
        <v>70</v>
      </c>
      <c r="E67" s="67" t="s">
        <v>70</v>
      </c>
      <c r="F67" s="67" t="s">
        <v>70</v>
      </c>
    </row>
    <row r="68" spans="1:9" x14ac:dyDescent="0.25">
      <c r="A68" s="110" t="s">
        <v>65</v>
      </c>
      <c r="B68" s="110"/>
      <c r="C68" s="110"/>
      <c r="D68" s="110"/>
      <c r="E68" s="110"/>
      <c r="F68" s="110"/>
    </row>
    <row r="69" spans="1:9" x14ac:dyDescent="0.25">
      <c r="A69" s="34">
        <v>1</v>
      </c>
      <c r="B69" s="35" t="s">
        <v>97</v>
      </c>
      <c r="C69" s="15" t="s">
        <v>138</v>
      </c>
      <c r="D69" s="15" t="s">
        <v>138</v>
      </c>
      <c r="E69" s="15" t="s">
        <v>117</v>
      </c>
      <c r="F69" s="15" t="s">
        <v>117</v>
      </c>
    </row>
    <row r="70" spans="1:9" x14ac:dyDescent="0.25">
      <c r="A70" s="58">
        <v>2</v>
      </c>
      <c r="B70" s="59" t="s">
        <v>162</v>
      </c>
      <c r="C70" s="60" t="s">
        <v>2</v>
      </c>
      <c r="D70" s="60" t="s">
        <v>2</v>
      </c>
      <c r="E70" s="60" t="s">
        <v>160</v>
      </c>
      <c r="F70" s="60" t="s">
        <v>160</v>
      </c>
    </row>
    <row r="71" spans="1:9" x14ac:dyDescent="0.25">
      <c r="A71" s="36">
        <v>3</v>
      </c>
      <c r="B71" s="35" t="s">
        <v>163</v>
      </c>
      <c r="C71" s="15" t="s">
        <v>151</v>
      </c>
      <c r="D71" s="15" t="s">
        <v>151</v>
      </c>
      <c r="E71" s="15" t="s">
        <v>2</v>
      </c>
      <c r="F71" s="15" t="s">
        <v>2</v>
      </c>
    </row>
    <row r="72" spans="1:9" x14ac:dyDescent="0.25">
      <c r="A72" s="58">
        <v>4</v>
      </c>
      <c r="B72" s="59" t="s">
        <v>98</v>
      </c>
      <c r="C72" s="60" t="s">
        <v>108</v>
      </c>
      <c r="D72" s="60" t="s">
        <v>108</v>
      </c>
      <c r="E72" s="60" t="s">
        <v>129</v>
      </c>
      <c r="F72" s="60" t="s">
        <v>129</v>
      </c>
      <c r="I72" s="12"/>
    </row>
    <row r="73" spans="1:9" x14ac:dyDescent="0.25">
      <c r="A73" s="110" t="s">
        <v>125</v>
      </c>
      <c r="B73" s="110"/>
      <c r="C73" s="110"/>
      <c r="D73" s="110"/>
      <c r="E73" s="110"/>
      <c r="F73" s="110"/>
    </row>
    <row r="74" spans="1:9" x14ac:dyDescent="0.25">
      <c r="A74" s="26">
        <v>1</v>
      </c>
      <c r="B74" s="27" t="s">
        <v>126</v>
      </c>
      <c r="C74" s="69" t="s">
        <v>47</v>
      </c>
      <c r="D74" s="69" t="s">
        <v>47</v>
      </c>
      <c r="E74" s="69" t="s">
        <v>47</v>
      </c>
      <c r="F74" s="69" t="s">
        <v>47</v>
      </c>
    </row>
    <row r="75" spans="1:9" x14ac:dyDescent="0.25">
      <c r="A75" s="110" t="s">
        <v>71</v>
      </c>
      <c r="B75" s="110"/>
      <c r="C75" s="110"/>
      <c r="D75" s="110"/>
      <c r="E75" s="110"/>
      <c r="F75" s="110"/>
    </row>
    <row r="76" spans="1:9" x14ac:dyDescent="0.25">
      <c r="A76" s="37">
        <v>1</v>
      </c>
      <c r="B76" s="38" t="s">
        <v>72</v>
      </c>
      <c r="C76" s="16" t="s">
        <v>279</v>
      </c>
      <c r="D76" s="16" t="s">
        <v>280</v>
      </c>
      <c r="E76" s="16" t="s">
        <v>281</v>
      </c>
      <c r="F76" s="16" t="s">
        <v>219</v>
      </c>
    </row>
    <row r="77" spans="1:9" x14ac:dyDescent="0.25">
      <c r="A77" s="110" t="s">
        <v>110</v>
      </c>
      <c r="B77" s="110"/>
      <c r="C77" s="110"/>
      <c r="D77" s="110"/>
      <c r="E77" s="110"/>
      <c r="F77" s="110"/>
    </row>
    <row r="78" spans="1:9" x14ac:dyDescent="0.25">
      <c r="A78" s="37">
        <v>1</v>
      </c>
      <c r="B78" s="38" t="s">
        <v>111</v>
      </c>
      <c r="C78" s="16" t="s">
        <v>137</v>
      </c>
      <c r="D78" s="16" t="s">
        <v>135</v>
      </c>
      <c r="E78" s="16" t="s">
        <v>129</v>
      </c>
      <c r="F78" s="16" t="s">
        <v>44</v>
      </c>
    </row>
    <row r="79" spans="1:9" x14ac:dyDescent="0.25">
      <c r="A79" s="4"/>
    </row>
    <row r="80" spans="1:9" x14ac:dyDescent="0.25">
      <c r="A80" s="106" t="s">
        <v>89</v>
      </c>
      <c r="B80" s="107"/>
      <c r="C80" s="107"/>
      <c r="D80" s="107"/>
      <c r="E80" s="107"/>
      <c r="F80" s="108"/>
    </row>
    <row r="81" spans="1:6" s="25" customFormat="1" ht="78" customHeight="1" x14ac:dyDescent="0.25">
      <c r="A81" s="39" t="s">
        <v>24</v>
      </c>
      <c r="B81" s="40" t="s">
        <v>20</v>
      </c>
      <c r="C81" s="41" t="s">
        <v>73</v>
      </c>
      <c r="D81" s="41" t="s">
        <v>74</v>
      </c>
      <c r="E81" s="41" t="s">
        <v>75</v>
      </c>
      <c r="F81" s="41" t="s">
        <v>109</v>
      </c>
    </row>
    <row r="82" spans="1:6" ht="91.5" customHeight="1" x14ac:dyDescent="0.25">
      <c r="A82" s="43">
        <v>1</v>
      </c>
      <c r="B82" s="44" t="s">
        <v>211</v>
      </c>
      <c r="C82" s="43" t="s">
        <v>261</v>
      </c>
      <c r="D82" s="43" t="s">
        <v>262</v>
      </c>
      <c r="E82" s="43" t="s">
        <v>44</v>
      </c>
      <c r="F82" s="43" t="s">
        <v>263</v>
      </c>
    </row>
    <row r="83" spans="1:6" ht="96" customHeight="1" x14ac:dyDescent="0.25">
      <c r="A83" s="6">
        <v>2</v>
      </c>
      <c r="B83" s="42" t="s">
        <v>212</v>
      </c>
      <c r="C83" s="6" t="s">
        <v>250</v>
      </c>
      <c r="D83" s="6" t="s">
        <v>264</v>
      </c>
      <c r="E83" s="6" t="s">
        <v>265</v>
      </c>
      <c r="F83" s="6" t="s">
        <v>257</v>
      </c>
    </row>
    <row r="84" spans="1:6" x14ac:dyDescent="0.25">
      <c r="A84" s="43">
        <v>3</v>
      </c>
      <c r="B84" s="44" t="s">
        <v>203</v>
      </c>
      <c r="C84" s="43" t="s">
        <v>226</v>
      </c>
      <c r="D84" s="43" t="s">
        <v>266</v>
      </c>
      <c r="E84" s="43" t="s">
        <v>267</v>
      </c>
      <c r="F84" s="43" t="s">
        <v>268</v>
      </c>
    </row>
    <row r="85" spans="1:6" x14ac:dyDescent="0.25">
      <c r="A85" s="6">
        <v>4</v>
      </c>
      <c r="B85" s="7" t="s">
        <v>208</v>
      </c>
      <c r="C85" s="6" t="s">
        <v>269</v>
      </c>
      <c r="D85" s="6" t="s">
        <v>270</v>
      </c>
      <c r="E85" s="6" t="s">
        <v>271</v>
      </c>
      <c r="F85" s="6" t="s">
        <v>272</v>
      </c>
    </row>
    <row r="86" spans="1:6" x14ac:dyDescent="0.25">
      <c r="A86" s="43">
        <v>5</v>
      </c>
      <c r="B86" s="45" t="s">
        <v>209</v>
      </c>
      <c r="C86" s="43" t="s">
        <v>225</v>
      </c>
      <c r="D86" s="43" t="s">
        <v>273</v>
      </c>
      <c r="E86" s="43" t="s">
        <v>274</v>
      </c>
      <c r="F86" s="43" t="s">
        <v>275</v>
      </c>
    </row>
    <row r="87" spans="1:6" x14ac:dyDescent="0.25">
      <c r="A87" s="6">
        <v>6</v>
      </c>
      <c r="B87" s="7" t="s">
        <v>210</v>
      </c>
      <c r="C87" s="6" t="s">
        <v>270</v>
      </c>
      <c r="D87" s="6" t="s">
        <v>273</v>
      </c>
      <c r="E87" s="6" t="s">
        <v>276</v>
      </c>
      <c r="F87" s="6" t="s">
        <v>290</v>
      </c>
    </row>
    <row r="88" spans="1:6" x14ac:dyDescent="0.25">
      <c r="A88" s="43">
        <v>7</v>
      </c>
      <c r="B88" s="49" t="s">
        <v>87</v>
      </c>
      <c r="C88" s="43" t="s">
        <v>151</v>
      </c>
      <c r="D88" s="43" t="s">
        <v>2</v>
      </c>
      <c r="E88" s="43" t="s">
        <v>176</v>
      </c>
      <c r="F88" s="43" t="s">
        <v>244</v>
      </c>
    </row>
    <row r="89" spans="1:6" x14ac:dyDescent="0.25">
      <c r="A89" s="6">
        <v>8</v>
      </c>
      <c r="B89" s="24" t="s">
        <v>113</v>
      </c>
      <c r="C89" s="6" t="s">
        <v>6</v>
      </c>
      <c r="D89" s="6" t="s">
        <v>48</v>
      </c>
      <c r="E89" s="6" t="s">
        <v>131</v>
      </c>
      <c r="F89" s="6" t="s">
        <v>132</v>
      </c>
    </row>
    <row r="90" spans="1:6" x14ac:dyDescent="0.25">
      <c r="A90" s="43">
        <v>9</v>
      </c>
      <c r="B90" s="45" t="s">
        <v>90</v>
      </c>
      <c r="C90" s="43" t="s">
        <v>16</v>
      </c>
      <c r="D90" s="43" t="s">
        <v>16</v>
      </c>
      <c r="E90" s="43" t="s">
        <v>16</v>
      </c>
      <c r="F90" s="43" t="s">
        <v>16</v>
      </c>
    </row>
    <row r="91" spans="1:6" x14ac:dyDescent="0.25">
      <c r="A91" s="6">
        <v>10</v>
      </c>
      <c r="B91" s="7" t="s">
        <v>114</v>
      </c>
      <c r="C91" s="6" t="s">
        <v>91</v>
      </c>
      <c r="D91" s="6" t="s">
        <v>91</v>
      </c>
      <c r="E91" s="6" t="s">
        <v>91</v>
      </c>
      <c r="F91" s="6" t="s">
        <v>91</v>
      </c>
    </row>
    <row r="92" spans="1:6" x14ac:dyDescent="0.25">
      <c r="A92" s="43">
        <v>11</v>
      </c>
      <c r="B92" s="45" t="s">
        <v>86</v>
      </c>
      <c r="C92" s="43" t="s">
        <v>16</v>
      </c>
      <c r="D92" s="43" t="s">
        <v>16</v>
      </c>
      <c r="E92" s="43" t="s">
        <v>16</v>
      </c>
      <c r="F92" s="43" t="s">
        <v>16</v>
      </c>
    </row>
    <row r="93" spans="1:6" x14ac:dyDescent="0.25">
      <c r="A93" s="6">
        <v>12</v>
      </c>
      <c r="B93" s="7" t="s">
        <v>84</v>
      </c>
      <c r="C93" s="6" t="s">
        <v>277</v>
      </c>
      <c r="D93" s="6" t="s">
        <v>277</v>
      </c>
      <c r="E93" s="6" t="s">
        <v>277</v>
      </c>
      <c r="F93" s="6" t="s">
        <v>277</v>
      </c>
    </row>
    <row r="94" spans="1:6" x14ac:dyDescent="0.25">
      <c r="A94" s="43">
        <v>13</v>
      </c>
      <c r="B94" s="50" t="s">
        <v>92</v>
      </c>
      <c r="C94" s="46" t="s">
        <v>277</v>
      </c>
      <c r="D94" s="46" t="s">
        <v>277</v>
      </c>
      <c r="E94" s="46" t="s">
        <v>277</v>
      </c>
      <c r="F94" s="46" t="s">
        <v>277</v>
      </c>
    </row>
    <row r="95" spans="1:6" x14ac:dyDescent="0.25">
      <c r="A95" s="6">
        <v>14</v>
      </c>
      <c r="B95" s="8" t="s">
        <v>85</v>
      </c>
      <c r="C95" s="66" t="s">
        <v>91</v>
      </c>
      <c r="D95" s="66" t="s">
        <v>91</v>
      </c>
      <c r="E95" s="66" t="s">
        <v>91</v>
      </c>
      <c r="F95" s="66" t="s">
        <v>91</v>
      </c>
    </row>
    <row r="96" spans="1:6" x14ac:dyDescent="0.25">
      <c r="A96" s="43">
        <v>15</v>
      </c>
      <c r="B96" s="51" t="s">
        <v>88</v>
      </c>
      <c r="C96" s="46" t="s">
        <v>106</v>
      </c>
      <c r="D96" s="46" t="s">
        <v>106</v>
      </c>
      <c r="E96" s="46" t="s">
        <v>106</v>
      </c>
      <c r="F96" s="46" t="s">
        <v>106</v>
      </c>
    </row>
    <row r="97" spans="1:6" x14ac:dyDescent="0.25">
      <c r="A97" s="106" t="s">
        <v>95</v>
      </c>
      <c r="B97" s="107"/>
      <c r="C97" s="107"/>
      <c r="D97" s="107"/>
      <c r="E97" s="107"/>
      <c r="F97" s="108"/>
    </row>
    <row r="98" spans="1:6" x14ac:dyDescent="0.25">
      <c r="A98" s="66">
        <v>1</v>
      </c>
      <c r="B98" s="7" t="s">
        <v>207</v>
      </c>
      <c r="C98" s="109" t="s">
        <v>47</v>
      </c>
      <c r="D98" s="109"/>
      <c r="E98" s="109"/>
      <c r="F98" s="109"/>
    </row>
    <row r="99" spans="1:6" x14ac:dyDescent="0.25">
      <c r="A99" s="46">
        <v>2</v>
      </c>
      <c r="B99" s="51" t="s">
        <v>83</v>
      </c>
      <c r="C99" s="46" t="s">
        <v>18</v>
      </c>
      <c r="D99" s="46" t="s">
        <v>18</v>
      </c>
      <c r="E99" s="46" t="s">
        <v>17</v>
      </c>
      <c r="F99" s="46" t="s">
        <v>17</v>
      </c>
    </row>
    <row r="100" spans="1:6" x14ac:dyDescent="0.25">
      <c r="A100" s="66">
        <v>3</v>
      </c>
      <c r="B100" s="8" t="s">
        <v>81</v>
      </c>
      <c r="C100" s="66" t="s">
        <v>11</v>
      </c>
      <c r="D100" s="70" t="s">
        <v>11</v>
      </c>
      <c r="E100" s="66" t="s">
        <v>8</v>
      </c>
      <c r="F100" s="70" t="s">
        <v>8</v>
      </c>
    </row>
    <row r="101" spans="1:6" x14ac:dyDescent="0.25">
      <c r="A101" s="46">
        <v>4</v>
      </c>
      <c r="B101" s="47" t="s">
        <v>206</v>
      </c>
      <c r="C101" s="48" t="s">
        <v>35</v>
      </c>
      <c r="D101" s="48" t="s">
        <v>278</v>
      </c>
      <c r="E101" s="48" t="s">
        <v>118</v>
      </c>
      <c r="F101" s="48" t="s">
        <v>16</v>
      </c>
    </row>
    <row r="102" spans="1:6" x14ac:dyDescent="0.25">
      <c r="A102" s="66">
        <v>5</v>
      </c>
      <c r="B102" s="9" t="s">
        <v>93</v>
      </c>
      <c r="C102" s="10" t="s">
        <v>157</v>
      </c>
      <c r="D102" s="10" t="s">
        <v>157</v>
      </c>
      <c r="E102" s="10" t="s">
        <v>157</v>
      </c>
      <c r="F102" s="10" t="s">
        <v>157</v>
      </c>
    </row>
    <row r="103" spans="1:6" x14ac:dyDescent="0.25">
      <c r="A103" s="106" t="s">
        <v>96</v>
      </c>
      <c r="B103" s="107"/>
      <c r="C103" s="107"/>
      <c r="D103" s="107"/>
      <c r="E103" s="107"/>
      <c r="F103" s="108"/>
    </row>
    <row r="104" spans="1:6" x14ac:dyDescent="0.25">
      <c r="A104" s="66">
        <v>1</v>
      </c>
      <c r="B104" s="7" t="s">
        <v>77</v>
      </c>
      <c r="C104" s="66" t="s">
        <v>151</v>
      </c>
      <c r="D104" s="66" t="s">
        <v>2</v>
      </c>
      <c r="E104" s="66" t="s">
        <v>160</v>
      </c>
      <c r="F104" s="66" t="s">
        <v>0</v>
      </c>
    </row>
    <row r="105" spans="1:6" x14ac:dyDescent="0.25">
      <c r="A105" s="46">
        <v>2</v>
      </c>
      <c r="B105" s="45" t="s">
        <v>78</v>
      </c>
      <c r="C105" s="46" t="s">
        <v>116</v>
      </c>
      <c r="D105" s="46" t="s">
        <v>1</v>
      </c>
      <c r="E105" s="46" t="s">
        <v>63</v>
      </c>
      <c r="F105" s="46" t="s">
        <v>175</v>
      </c>
    </row>
    <row r="106" spans="1:6" x14ac:dyDescent="0.25">
      <c r="A106" s="66">
        <v>3</v>
      </c>
      <c r="B106" s="7" t="s">
        <v>79</v>
      </c>
      <c r="C106" s="66" t="s">
        <v>16</v>
      </c>
      <c r="D106" s="66" t="s">
        <v>16</v>
      </c>
      <c r="E106" s="66" t="s">
        <v>14</v>
      </c>
      <c r="F106" s="66" t="s">
        <v>10</v>
      </c>
    </row>
    <row r="107" spans="1:6" x14ac:dyDescent="0.25">
      <c r="A107" s="46">
        <v>4</v>
      </c>
      <c r="B107" s="45" t="s">
        <v>80</v>
      </c>
      <c r="C107" s="46" t="s">
        <v>28</v>
      </c>
      <c r="D107" s="46" t="s">
        <v>11</v>
      </c>
      <c r="E107" s="46" t="s">
        <v>8</v>
      </c>
      <c r="F107" s="46" t="s">
        <v>9</v>
      </c>
    </row>
    <row r="108" spans="1:6" x14ac:dyDescent="0.25">
      <c r="A108" s="66">
        <v>5</v>
      </c>
      <c r="B108" s="8" t="s">
        <v>82</v>
      </c>
      <c r="C108" s="66" t="s">
        <v>18</v>
      </c>
      <c r="D108" s="66" t="s">
        <v>18</v>
      </c>
      <c r="E108" s="66" t="s">
        <v>18</v>
      </c>
      <c r="F108" s="66" t="s">
        <v>18</v>
      </c>
    </row>
    <row r="122" ht="14.45" customHeight="1" x14ac:dyDescent="0.25"/>
  </sheetData>
  <mergeCells count="21">
    <mergeCell ref="A53:F53"/>
    <mergeCell ref="A9:F9"/>
    <mergeCell ref="C19:F19"/>
    <mergeCell ref="A20:F20"/>
    <mergeCell ref="A23:F23"/>
    <mergeCell ref="A27:F27"/>
    <mergeCell ref="A30:F30"/>
    <mergeCell ref="A42:F42"/>
    <mergeCell ref="C46:F46"/>
    <mergeCell ref="C49:F49"/>
    <mergeCell ref="C51:F51"/>
    <mergeCell ref="C52:F52"/>
    <mergeCell ref="A97:F97"/>
    <mergeCell ref="C98:F98"/>
    <mergeCell ref="A103:F103"/>
    <mergeCell ref="A65:F65"/>
    <mergeCell ref="A68:F68"/>
    <mergeCell ref="A73:F73"/>
    <mergeCell ref="A75:F75"/>
    <mergeCell ref="A77:F77"/>
    <mergeCell ref="A80:F80"/>
  </mergeCells>
  <pageMargins left="0.25" right="0.25" top="0.75" bottom="0.75" header="0.3" footer="0.3"/>
  <pageSetup paperSize="9" scale="64" fitToHeight="0" orientation="portrait" r:id="rId1"/>
  <rowBreaks count="1" manualBreakCount="1">
    <brk id="52" max="5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91"/>
  <sheetViews>
    <sheetView topLeftCell="B7" zoomScale="80" zoomScaleNormal="80" zoomScaleSheetLayoutView="100" workbookViewId="0">
      <selection activeCell="J14" sqref="G8:J14"/>
    </sheetView>
  </sheetViews>
  <sheetFormatPr defaultRowHeight="15" x14ac:dyDescent="0.25"/>
  <cols>
    <col min="1" max="1" width="4.7109375" style="3" customWidth="1"/>
    <col min="2" max="2" width="69.85546875" style="3" customWidth="1"/>
    <col min="3" max="5" width="19.42578125" style="3" customWidth="1"/>
    <col min="6" max="6" width="20.5703125" style="3" customWidth="1"/>
    <col min="7" max="7" width="9.140625" style="73"/>
    <col min="8" max="16384" width="9.140625" style="3"/>
  </cols>
  <sheetData>
    <row r="1" spans="1:10" ht="16.149999999999999" customHeight="1" x14ac:dyDescent="0.25">
      <c r="A1" s="5"/>
      <c r="B1" s="5"/>
      <c r="C1" s="5"/>
      <c r="D1" s="5"/>
    </row>
    <row r="2" spans="1:10" ht="16.149999999999999" customHeight="1" x14ac:dyDescent="0.25">
      <c r="A2" s="5"/>
      <c r="B2" s="5" t="s">
        <v>103</v>
      </c>
      <c r="C2" s="5"/>
      <c r="D2" s="5"/>
      <c r="F2" s="81">
        <v>46054</v>
      </c>
    </row>
    <row r="3" spans="1:10" ht="16.149999999999999" customHeight="1" x14ac:dyDescent="0.25">
      <c r="A3" s="5"/>
      <c r="B3" s="5" t="s">
        <v>104</v>
      </c>
      <c r="C3" s="5"/>
      <c r="D3" s="5"/>
    </row>
    <row r="4" spans="1:10" ht="16.149999999999999" customHeight="1" x14ac:dyDescent="0.25">
      <c r="A4" s="5"/>
      <c r="B4" s="5" t="s">
        <v>105</v>
      </c>
      <c r="C4" s="5"/>
      <c r="D4" s="5"/>
    </row>
    <row r="5" spans="1:10" ht="16.149999999999999" customHeight="1" x14ac:dyDescent="0.25">
      <c r="A5" s="5"/>
      <c r="B5" s="5" t="s">
        <v>127</v>
      </c>
      <c r="C5" s="5"/>
      <c r="D5" s="5"/>
    </row>
    <row r="6" spans="1:10" ht="16.149999999999999" customHeight="1" x14ac:dyDescent="0.25">
      <c r="A6" s="5"/>
      <c r="B6" s="11" t="s">
        <v>128</v>
      </c>
      <c r="C6" s="5"/>
      <c r="D6" s="5"/>
    </row>
    <row r="7" spans="1:10" ht="24" customHeight="1" x14ac:dyDescent="0.25"/>
    <row r="8" spans="1:10" x14ac:dyDescent="0.25">
      <c r="A8" s="1" t="s">
        <v>24</v>
      </c>
      <c r="B8" s="2" t="s">
        <v>20</v>
      </c>
      <c r="C8" s="1" t="s">
        <v>21</v>
      </c>
      <c r="D8" s="1" t="s">
        <v>22</v>
      </c>
      <c r="E8" s="1" t="s">
        <v>23</v>
      </c>
      <c r="F8" s="1" t="s">
        <v>130</v>
      </c>
      <c r="G8" s="95"/>
      <c r="H8" s="96"/>
      <c r="I8" s="96"/>
      <c r="J8" s="96"/>
    </row>
    <row r="9" spans="1:10" ht="19.899999999999999" customHeight="1" x14ac:dyDescent="0.25">
      <c r="A9" s="111" t="s">
        <v>25</v>
      </c>
      <c r="B9" s="111"/>
      <c r="C9" s="111"/>
      <c r="D9" s="111"/>
      <c r="E9" s="111"/>
      <c r="F9" s="111"/>
      <c r="G9" s="95"/>
      <c r="H9" s="96"/>
      <c r="I9" s="96"/>
      <c r="J9" s="96"/>
    </row>
    <row r="10" spans="1:10" ht="45" customHeight="1" x14ac:dyDescent="0.25">
      <c r="A10" s="80">
        <v>1</v>
      </c>
      <c r="B10" s="27" t="s">
        <v>177</v>
      </c>
      <c r="C10" s="82">
        <f>8000*1.15</f>
        <v>9200</v>
      </c>
      <c r="D10" s="82">
        <v>9800</v>
      </c>
      <c r="E10" s="82">
        <v>10400</v>
      </c>
      <c r="F10" s="82">
        <f>10000*1.15</f>
        <v>11500</v>
      </c>
      <c r="G10" s="97"/>
      <c r="H10" s="96"/>
      <c r="I10" s="96"/>
      <c r="J10" s="96"/>
    </row>
    <row r="11" spans="1:10" ht="16.149999999999999" customHeight="1" x14ac:dyDescent="0.25">
      <c r="A11" s="78">
        <v>2</v>
      </c>
      <c r="B11" s="52" t="s">
        <v>4</v>
      </c>
      <c r="C11" s="82">
        <v>3500</v>
      </c>
      <c r="D11" s="82">
        <v>3800</v>
      </c>
      <c r="E11" s="82">
        <v>4400</v>
      </c>
      <c r="F11" s="82">
        <f>4000*1.15</f>
        <v>4600</v>
      </c>
      <c r="G11" s="101"/>
      <c r="H11" s="96"/>
      <c r="I11" s="96"/>
      <c r="J11" s="96"/>
    </row>
    <row r="12" spans="1:10" ht="16.149999999999999" customHeight="1" x14ac:dyDescent="0.25">
      <c r="A12" s="26">
        <v>3</v>
      </c>
      <c r="B12" s="27" t="s">
        <v>7</v>
      </c>
      <c r="C12" s="82">
        <v>3500</v>
      </c>
      <c r="D12" s="82">
        <v>3800</v>
      </c>
      <c r="E12" s="82">
        <v>4400</v>
      </c>
      <c r="F12" s="82">
        <f>4000*1.15</f>
        <v>4600</v>
      </c>
      <c r="G12" s="102"/>
      <c r="H12" s="96"/>
      <c r="I12" s="96"/>
      <c r="J12" s="96"/>
    </row>
    <row r="13" spans="1:10" ht="16.149999999999999" customHeight="1" x14ac:dyDescent="0.25">
      <c r="A13" s="78">
        <v>4</v>
      </c>
      <c r="B13" s="52" t="s">
        <v>12</v>
      </c>
      <c r="C13" s="82">
        <v>2700</v>
      </c>
      <c r="D13" s="82">
        <v>2800</v>
      </c>
      <c r="E13" s="82">
        <v>2900</v>
      </c>
      <c r="F13" s="82">
        <v>3200</v>
      </c>
      <c r="G13" s="101"/>
      <c r="H13" s="96"/>
      <c r="I13" s="96"/>
      <c r="J13" s="96"/>
    </row>
    <row r="14" spans="1:10" ht="16.149999999999999" customHeight="1" x14ac:dyDescent="0.25">
      <c r="A14" s="26">
        <v>5</v>
      </c>
      <c r="B14" s="27" t="s">
        <v>13</v>
      </c>
      <c r="C14" s="82">
        <v>2700</v>
      </c>
      <c r="D14" s="82">
        <v>2800</v>
      </c>
      <c r="E14" s="82">
        <v>2900</v>
      </c>
      <c r="F14" s="82">
        <v>3200</v>
      </c>
      <c r="G14" s="102"/>
      <c r="H14" s="96"/>
      <c r="I14" s="96"/>
      <c r="J14" s="96"/>
    </row>
    <row r="15" spans="1:10" ht="16.149999999999999" customHeight="1" x14ac:dyDescent="0.25">
      <c r="A15" s="78">
        <v>6</v>
      </c>
      <c r="B15" s="52" t="s">
        <v>119</v>
      </c>
      <c r="C15" s="82">
        <v>1000</v>
      </c>
      <c r="D15" s="82">
        <v>1100</v>
      </c>
      <c r="E15" s="82">
        <v>1200</v>
      </c>
      <c r="F15" s="82">
        <v>1300</v>
      </c>
    </row>
    <row r="16" spans="1:10" ht="16.149999999999999" customHeight="1" x14ac:dyDescent="0.25">
      <c r="A16" s="26">
        <v>7</v>
      </c>
      <c r="B16" s="27" t="s">
        <v>183</v>
      </c>
      <c r="C16" s="82">
        <v>1800</v>
      </c>
      <c r="D16" s="82">
        <v>1800</v>
      </c>
      <c r="E16" s="82">
        <v>1800</v>
      </c>
      <c r="F16" s="82">
        <v>1800</v>
      </c>
    </row>
    <row r="17" spans="1:9" ht="16.149999999999999" customHeight="1" x14ac:dyDescent="0.25">
      <c r="A17" s="78">
        <v>8</v>
      </c>
      <c r="B17" s="52" t="s">
        <v>184</v>
      </c>
      <c r="C17" s="82">
        <v>5500</v>
      </c>
      <c r="D17" s="82">
        <v>6600</v>
      </c>
      <c r="E17" s="82">
        <v>7200</v>
      </c>
      <c r="F17" s="82">
        <v>7700</v>
      </c>
    </row>
    <row r="18" spans="1:9" ht="16.149999999999999" customHeight="1" x14ac:dyDescent="0.25">
      <c r="A18" s="26">
        <v>9</v>
      </c>
      <c r="B18" s="27" t="s">
        <v>19</v>
      </c>
      <c r="C18" s="83">
        <v>1200</v>
      </c>
      <c r="D18" s="83" t="s">
        <v>303</v>
      </c>
      <c r="E18" s="83" t="s">
        <v>303</v>
      </c>
      <c r="F18" s="83" t="s">
        <v>303</v>
      </c>
    </row>
    <row r="19" spans="1:9" ht="16.149999999999999" customHeight="1" x14ac:dyDescent="0.25">
      <c r="A19" s="78">
        <v>10</v>
      </c>
      <c r="B19" s="52" t="s">
        <v>205</v>
      </c>
      <c r="C19" s="120">
        <v>3000</v>
      </c>
      <c r="D19" s="121"/>
      <c r="E19" s="121"/>
      <c r="F19" s="121"/>
    </row>
    <row r="20" spans="1:9" ht="22.15" customHeight="1" x14ac:dyDescent="0.25">
      <c r="A20" s="111" t="s">
        <v>26</v>
      </c>
      <c r="B20" s="111"/>
      <c r="C20" s="111"/>
      <c r="D20" s="111"/>
      <c r="E20" s="111"/>
      <c r="F20" s="111"/>
    </row>
    <row r="21" spans="1:9" ht="16.149999999999999" customHeight="1" x14ac:dyDescent="0.25">
      <c r="A21" s="26">
        <v>1</v>
      </c>
      <c r="B21" s="27" t="s">
        <v>27</v>
      </c>
      <c r="C21" s="82">
        <v>1500</v>
      </c>
      <c r="D21" s="82">
        <v>1600</v>
      </c>
      <c r="E21" s="82">
        <v>1800</v>
      </c>
      <c r="F21" s="82">
        <v>1900</v>
      </c>
    </row>
    <row r="22" spans="1:9" ht="16.149999999999999" customHeight="1" x14ac:dyDescent="0.25">
      <c r="A22" s="78">
        <v>2</v>
      </c>
      <c r="B22" s="52" t="s">
        <v>112</v>
      </c>
      <c r="C22" s="82">
        <v>2000</v>
      </c>
      <c r="D22" s="82">
        <v>2200</v>
      </c>
      <c r="E22" s="82">
        <v>2700</v>
      </c>
      <c r="F22" s="82">
        <v>3400</v>
      </c>
    </row>
    <row r="23" spans="1:9" x14ac:dyDescent="0.25">
      <c r="A23" s="111" t="s">
        <v>33</v>
      </c>
      <c r="B23" s="111"/>
      <c r="C23" s="111"/>
      <c r="D23" s="111"/>
      <c r="E23" s="111"/>
      <c r="F23" s="111"/>
    </row>
    <row r="24" spans="1:9" ht="16.149999999999999" customHeight="1" x14ac:dyDescent="0.25">
      <c r="A24" s="26">
        <v>1</v>
      </c>
      <c r="B24" s="27" t="s">
        <v>34</v>
      </c>
      <c r="C24" s="82">
        <v>1400</v>
      </c>
      <c r="D24" s="82">
        <v>1400</v>
      </c>
      <c r="E24" s="82">
        <v>1700</v>
      </c>
      <c r="F24" s="82">
        <v>1800</v>
      </c>
    </row>
    <row r="25" spans="1:9" ht="16.149999999999999" customHeight="1" x14ac:dyDescent="0.25">
      <c r="A25" s="78">
        <v>2</v>
      </c>
      <c r="B25" s="52" t="s">
        <v>94</v>
      </c>
      <c r="C25" s="82">
        <f>2000*1.15</f>
        <v>2300</v>
      </c>
      <c r="D25" s="82">
        <v>2900</v>
      </c>
      <c r="E25" s="82">
        <v>3000</v>
      </c>
      <c r="F25" s="82">
        <v>3300</v>
      </c>
    </row>
    <row r="26" spans="1:9" ht="16.149999999999999" customHeight="1" x14ac:dyDescent="0.25">
      <c r="A26" s="30">
        <v>3</v>
      </c>
      <c r="B26" s="27" t="s">
        <v>36</v>
      </c>
      <c r="C26" s="82">
        <v>8700</v>
      </c>
      <c r="D26" s="82">
        <v>9900</v>
      </c>
      <c r="E26" s="82">
        <f>10000*1.15</f>
        <v>11500</v>
      </c>
      <c r="F26" s="82">
        <v>13500</v>
      </c>
    </row>
    <row r="27" spans="1:9" x14ac:dyDescent="0.25">
      <c r="A27" s="111" t="s">
        <v>39</v>
      </c>
      <c r="B27" s="111"/>
      <c r="C27" s="111"/>
      <c r="D27" s="111"/>
      <c r="E27" s="111"/>
      <c r="F27" s="111"/>
      <c r="G27" s="95"/>
      <c r="H27" s="96"/>
      <c r="I27" s="96"/>
    </row>
    <row r="28" spans="1:9" ht="16.899999999999999" customHeight="1" x14ac:dyDescent="0.25">
      <c r="A28" s="31">
        <v>1</v>
      </c>
      <c r="B28" s="32" t="s">
        <v>40</v>
      </c>
      <c r="C28" s="86">
        <v>6400</v>
      </c>
      <c r="D28" s="86">
        <v>6700</v>
      </c>
      <c r="E28" s="86">
        <v>7100</v>
      </c>
      <c r="F28" s="86">
        <v>7500</v>
      </c>
      <c r="G28" s="95"/>
      <c r="H28" s="96"/>
      <c r="I28" s="96"/>
    </row>
    <row r="29" spans="1:9" s="25" customFormat="1" ht="31.5" customHeight="1" x14ac:dyDescent="0.25">
      <c r="A29" s="54">
        <v>2</v>
      </c>
      <c r="B29" s="55" t="s">
        <v>166</v>
      </c>
      <c r="C29" s="87">
        <v>12700</v>
      </c>
      <c r="D29" s="87">
        <f>12000*1.15</f>
        <v>13799.999999999998</v>
      </c>
      <c r="E29" s="87">
        <v>15000</v>
      </c>
      <c r="F29" s="87">
        <v>16200</v>
      </c>
      <c r="G29" s="97"/>
      <c r="H29" s="98"/>
      <c r="I29" s="98"/>
    </row>
    <row r="30" spans="1:9" x14ac:dyDescent="0.25">
      <c r="A30" s="110" t="s">
        <v>41</v>
      </c>
      <c r="B30" s="110"/>
      <c r="C30" s="110"/>
      <c r="D30" s="110"/>
      <c r="E30" s="110"/>
      <c r="F30" s="110"/>
      <c r="G30" s="95"/>
      <c r="H30" s="96"/>
      <c r="I30" s="96"/>
    </row>
    <row r="31" spans="1:9" x14ac:dyDescent="0.25">
      <c r="A31" s="26">
        <v>1</v>
      </c>
      <c r="B31" s="74" t="s">
        <v>42</v>
      </c>
      <c r="C31" s="82">
        <f>20000*1.15</f>
        <v>23000</v>
      </c>
      <c r="D31" s="82">
        <v>26000</v>
      </c>
      <c r="E31" s="82">
        <v>29000</v>
      </c>
      <c r="F31" s="82">
        <v>33000</v>
      </c>
      <c r="G31" s="97"/>
      <c r="H31" s="96"/>
      <c r="I31" s="96"/>
    </row>
    <row r="32" spans="1:9" ht="16.149999999999999" customHeight="1" x14ac:dyDescent="0.25">
      <c r="A32" s="78">
        <v>2</v>
      </c>
      <c r="B32" s="55" t="s">
        <v>282</v>
      </c>
      <c r="C32" s="82">
        <v>1900</v>
      </c>
      <c r="D32" s="82">
        <v>2200</v>
      </c>
      <c r="E32" s="82">
        <f>2000*1.15</f>
        <v>2300</v>
      </c>
      <c r="F32" s="82">
        <v>2500</v>
      </c>
      <c r="G32" s="97"/>
      <c r="H32" s="96"/>
      <c r="I32" s="96"/>
    </row>
    <row r="33" spans="1:9" ht="16.149999999999999" customHeight="1" x14ac:dyDescent="0.25">
      <c r="A33" s="26">
        <v>3</v>
      </c>
      <c r="B33" s="74" t="s">
        <v>283</v>
      </c>
      <c r="C33" s="82">
        <v>2600</v>
      </c>
      <c r="D33" s="82">
        <v>2800</v>
      </c>
      <c r="E33" s="82">
        <v>3000</v>
      </c>
      <c r="F33" s="82">
        <v>3200</v>
      </c>
      <c r="G33" s="97"/>
      <c r="H33" s="96"/>
      <c r="I33" s="96"/>
    </row>
    <row r="34" spans="1:9" ht="30" x14ac:dyDescent="0.25">
      <c r="A34" s="78">
        <v>4</v>
      </c>
      <c r="B34" s="55" t="s">
        <v>289</v>
      </c>
      <c r="C34" s="88" t="s">
        <v>305</v>
      </c>
      <c r="D34" s="88" t="s">
        <v>306</v>
      </c>
      <c r="E34" s="88" t="s">
        <v>307</v>
      </c>
      <c r="F34" s="88" t="s">
        <v>308</v>
      </c>
      <c r="G34" s="97"/>
      <c r="H34" s="96"/>
      <c r="I34" s="96"/>
    </row>
    <row r="35" spans="1:9" ht="16.149999999999999" customHeight="1" x14ac:dyDescent="0.25">
      <c r="A35" s="26">
        <v>5</v>
      </c>
      <c r="B35" s="74" t="s">
        <v>46</v>
      </c>
      <c r="C35" s="85">
        <v>5000</v>
      </c>
      <c r="D35" s="85">
        <v>5400</v>
      </c>
      <c r="E35" s="85">
        <v>5800</v>
      </c>
      <c r="F35" s="85">
        <v>6600</v>
      </c>
      <c r="G35" s="97"/>
      <c r="H35" s="96"/>
      <c r="I35" s="96"/>
    </row>
    <row r="36" spans="1:9" ht="16.149999999999999" customHeight="1" x14ac:dyDescent="0.25">
      <c r="A36" s="78">
        <v>6</v>
      </c>
      <c r="B36" s="55" t="s">
        <v>49</v>
      </c>
      <c r="C36" s="85">
        <v>800</v>
      </c>
      <c r="D36" s="85">
        <v>900</v>
      </c>
      <c r="E36" s="85">
        <v>1000</v>
      </c>
      <c r="F36" s="85">
        <v>1100</v>
      </c>
      <c r="G36" s="97"/>
      <c r="H36" s="96"/>
      <c r="I36" s="96"/>
    </row>
    <row r="37" spans="1:9" ht="16.149999999999999" customHeight="1" x14ac:dyDescent="0.25">
      <c r="A37" s="26">
        <v>7</v>
      </c>
      <c r="B37" s="74" t="s">
        <v>50</v>
      </c>
      <c r="C37" s="85">
        <v>2600</v>
      </c>
      <c r="D37" s="85">
        <v>2900</v>
      </c>
      <c r="E37" s="85">
        <v>3400</v>
      </c>
      <c r="F37" s="85">
        <v>3700</v>
      </c>
      <c r="G37" s="97"/>
      <c r="H37" s="96"/>
      <c r="I37" s="96"/>
    </row>
    <row r="38" spans="1:9" ht="16.149999999999999" customHeight="1" x14ac:dyDescent="0.25">
      <c r="A38" s="78">
        <v>8</v>
      </c>
      <c r="B38" s="55" t="s">
        <v>51</v>
      </c>
      <c r="C38" s="85">
        <v>2600</v>
      </c>
      <c r="D38" s="85">
        <v>2900</v>
      </c>
      <c r="E38" s="85">
        <v>3400</v>
      </c>
      <c r="F38" s="85">
        <v>3700</v>
      </c>
      <c r="G38" s="97"/>
      <c r="H38" s="96"/>
      <c r="I38" s="96"/>
    </row>
    <row r="39" spans="1:9" ht="16.149999999999999" customHeight="1" x14ac:dyDescent="0.25">
      <c r="A39" s="26">
        <v>9</v>
      </c>
      <c r="B39" s="74" t="s">
        <v>52</v>
      </c>
      <c r="C39" s="85">
        <v>850</v>
      </c>
      <c r="D39" s="85">
        <v>850</v>
      </c>
      <c r="E39" s="85">
        <v>850</v>
      </c>
      <c r="F39" s="85">
        <v>850</v>
      </c>
      <c r="G39" s="97"/>
      <c r="H39" s="96"/>
      <c r="I39" s="96"/>
    </row>
    <row r="40" spans="1:9" ht="16.149999999999999" customHeight="1" x14ac:dyDescent="0.25">
      <c r="A40" s="78">
        <v>10</v>
      </c>
      <c r="B40" s="55" t="s">
        <v>53</v>
      </c>
      <c r="C40" s="85">
        <f>2000*1.15</f>
        <v>2300</v>
      </c>
      <c r="D40" s="85">
        <f>2000*1.15</f>
        <v>2300</v>
      </c>
      <c r="E40" s="85">
        <v>2400</v>
      </c>
      <c r="F40" s="85">
        <v>2400</v>
      </c>
      <c r="G40" s="95"/>
      <c r="H40" s="96"/>
      <c r="I40" s="96"/>
    </row>
    <row r="41" spans="1:9" x14ac:dyDescent="0.25">
      <c r="A41" s="26">
        <v>11</v>
      </c>
      <c r="B41" s="74" t="s">
        <v>54</v>
      </c>
      <c r="C41" s="85">
        <v>4100</v>
      </c>
      <c r="D41" s="85">
        <v>4100</v>
      </c>
      <c r="E41" s="85">
        <v>4100</v>
      </c>
      <c r="F41" s="85">
        <v>4100</v>
      </c>
      <c r="G41" s="95"/>
      <c r="H41" s="96"/>
      <c r="I41" s="96"/>
    </row>
    <row r="42" spans="1:9" x14ac:dyDescent="0.25">
      <c r="A42" s="114" t="s">
        <v>55</v>
      </c>
      <c r="B42" s="114"/>
      <c r="C42" s="114"/>
      <c r="D42" s="114"/>
      <c r="E42" s="114"/>
      <c r="F42" s="114"/>
      <c r="G42" s="95"/>
      <c r="H42" s="96"/>
      <c r="I42" s="96"/>
    </row>
    <row r="43" spans="1:9" ht="16.149999999999999" customHeight="1" x14ac:dyDescent="0.25">
      <c r="A43" s="26">
        <v>1</v>
      </c>
      <c r="B43" s="27" t="s">
        <v>56</v>
      </c>
      <c r="C43" s="85">
        <v>25500</v>
      </c>
      <c r="D43" s="85">
        <v>29000</v>
      </c>
      <c r="E43" s="85">
        <f>30000*1.15</f>
        <v>34500</v>
      </c>
      <c r="F43" s="85">
        <v>40000</v>
      </c>
      <c r="G43" s="97"/>
      <c r="H43" s="96"/>
      <c r="I43" s="96"/>
    </row>
    <row r="44" spans="1:9" ht="16.149999999999999" customHeight="1" x14ac:dyDescent="0.25">
      <c r="A44" s="78">
        <v>2</v>
      </c>
      <c r="B44" s="52" t="s">
        <v>57</v>
      </c>
      <c r="C44" s="85">
        <v>12700</v>
      </c>
      <c r="D44" s="85">
        <v>15000</v>
      </c>
      <c r="E44" s="85">
        <v>17300</v>
      </c>
      <c r="F44" s="85">
        <v>20000</v>
      </c>
      <c r="G44" s="97"/>
      <c r="H44" s="96"/>
      <c r="I44" s="96"/>
    </row>
    <row r="45" spans="1:9" ht="16.149999999999999" customHeight="1" x14ac:dyDescent="0.25">
      <c r="A45" s="26">
        <v>3</v>
      </c>
      <c r="B45" s="27" t="s">
        <v>171</v>
      </c>
      <c r="C45" s="85">
        <v>11000</v>
      </c>
      <c r="D45" s="85">
        <v>12500</v>
      </c>
      <c r="E45" s="85">
        <v>13500</v>
      </c>
      <c r="F45" s="85">
        <v>14500</v>
      </c>
      <c r="G45" s="97"/>
      <c r="H45" s="96"/>
      <c r="I45" s="96"/>
    </row>
    <row r="46" spans="1:9" ht="16.149999999999999" customHeight="1" x14ac:dyDescent="0.25">
      <c r="A46" s="78">
        <v>4</v>
      </c>
      <c r="B46" s="52" t="s">
        <v>204</v>
      </c>
      <c r="C46" s="122">
        <v>17500</v>
      </c>
      <c r="D46" s="122"/>
      <c r="E46" s="122"/>
      <c r="F46" s="122"/>
      <c r="G46" s="95"/>
      <c r="H46" s="96"/>
      <c r="I46" s="96"/>
    </row>
    <row r="47" spans="1:9" ht="16.149999999999999" customHeight="1" x14ac:dyDescent="0.25">
      <c r="A47" s="26">
        <v>5</v>
      </c>
      <c r="B47" s="27" t="s">
        <v>58</v>
      </c>
      <c r="C47" s="85">
        <v>1800</v>
      </c>
      <c r="D47" s="85">
        <v>1800</v>
      </c>
      <c r="E47" s="85">
        <v>1800</v>
      </c>
      <c r="F47" s="85">
        <v>1800</v>
      </c>
      <c r="G47" s="95"/>
      <c r="H47" s="96"/>
      <c r="I47" s="96"/>
    </row>
    <row r="48" spans="1:9" ht="16.149999999999999" customHeight="1" x14ac:dyDescent="0.25">
      <c r="A48" s="78">
        <v>6</v>
      </c>
      <c r="B48" s="52" t="s">
        <v>101</v>
      </c>
      <c r="C48" s="88" t="s">
        <v>309</v>
      </c>
      <c r="D48" s="88" t="s">
        <v>309</v>
      </c>
      <c r="E48" s="88" t="s">
        <v>309</v>
      </c>
      <c r="F48" s="88" t="s">
        <v>309</v>
      </c>
      <c r="G48" s="97"/>
      <c r="H48" s="96"/>
      <c r="I48" s="96"/>
    </row>
    <row r="49" spans="1:9" ht="16.149999999999999" customHeight="1" x14ac:dyDescent="0.25">
      <c r="A49" s="26">
        <v>7</v>
      </c>
      <c r="B49" s="27" t="s">
        <v>102</v>
      </c>
      <c r="C49" s="116" t="s">
        <v>215</v>
      </c>
      <c r="D49" s="117"/>
      <c r="E49" s="117"/>
      <c r="F49" s="118"/>
      <c r="G49" s="95"/>
      <c r="H49" s="96"/>
      <c r="I49" s="96"/>
    </row>
    <row r="50" spans="1:9" ht="16.149999999999999" customHeight="1" x14ac:dyDescent="0.25">
      <c r="A50" s="78">
        <v>8</v>
      </c>
      <c r="B50" s="52" t="s">
        <v>60</v>
      </c>
      <c r="C50" s="85">
        <v>1800</v>
      </c>
      <c r="D50" s="85">
        <v>1800</v>
      </c>
      <c r="E50" s="85">
        <v>1800</v>
      </c>
      <c r="F50" s="85">
        <v>1800</v>
      </c>
      <c r="G50" s="97"/>
      <c r="H50" s="96"/>
      <c r="I50" s="96"/>
    </row>
    <row r="51" spans="1:9" ht="16.149999999999999" customHeight="1" x14ac:dyDescent="0.25">
      <c r="A51" s="26">
        <v>9</v>
      </c>
      <c r="B51" s="27" t="s">
        <v>61</v>
      </c>
      <c r="C51" s="119" t="s">
        <v>76</v>
      </c>
      <c r="D51" s="119"/>
      <c r="E51" s="119"/>
      <c r="F51" s="119"/>
      <c r="G51" s="95"/>
      <c r="H51" s="96"/>
      <c r="I51" s="96"/>
    </row>
    <row r="52" spans="1:9" s="22" customFormat="1" x14ac:dyDescent="0.25">
      <c r="A52" s="78">
        <v>10</v>
      </c>
      <c r="B52" s="52" t="s">
        <v>165</v>
      </c>
      <c r="C52" s="115" t="s">
        <v>76</v>
      </c>
      <c r="D52" s="115"/>
      <c r="E52" s="115"/>
      <c r="F52" s="115"/>
      <c r="G52" s="99"/>
      <c r="H52" s="100"/>
      <c r="I52" s="100"/>
    </row>
    <row r="53" spans="1:9" ht="16.149999999999999" customHeight="1" x14ac:dyDescent="0.25">
      <c r="A53" s="110" t="s">
        <v>62</v>
      </c>
      <c r="B53" s="110"/>
      <c r="C53" s="110"/>
      <c r="D53" s="110"/>
      <c r="E53" s="110"/>
      <c r="F53" s="110"/>
      <c r="G53" s="95"/>
      <c r="H53" s="96"/>
      <c r="I53" s="96"/>
    </row>
    <row r="54" spans="1:9" ht="16.149999999999999" customHeight="1" x14ac:dyDescent="0.25">
      <c r="A54" s="79">
        <v>1</v>
      </c>
      <c r="B54" s="27" t="s">
        <v>216</v>
      </c>
      <c r="C54" s="85">
        <v>29000</v>
      </c>
      <c r="D54" s="85">
        <v>31000</v>
      </c>
      <c r="E54" s="85">
        <v>32500</v>
      </c>
      <c r="F54" s="85">
        <v>33500</v>
      </c>
      <c r="G54" s="95"/>
      <c r="H54" s="96"/>
      <c r="I54" s="96"/>
    </row>
    <row r="55" spans="1:9" ht="16.149999999999999" customHeight="1" x14ac:dyDescent="0.25">
      <c r="A55" s="78">
        <v>2</v>
      </c>
      <c r="B55" s="52" t="s">
        <v>218</v>
      </c>
      <c r="C55" s="85">
        <v>21000</v>
      </c>
      <c r="D55" s="85">
        <v>22000</v>
      </c>
      <c r="E55" s="85">
        <f>20000*1.15</f>
        <v>23000</v>
      </c>
      <c r="F55" s="85">
        <v>24200</v>
      </c>
      <c r="G55" s="95"/>
      <c r="H55" s="96"/>
      <c r="I55" s="96"/>
    </row>
    <row r="56" spans="1:9" ht="16.149999999999999" customHeight="1" x14ac:dyDescent="0.25">
      <c r="A56" s="79">
        <v>3</v>
      </c>
      <c r="B56" s="27" t="s">
        <v>217</v>
      </c>
      <c r="C56" s="85">
        <v>18500</v>
      </c>
      <c r="D56" s="85">
        <v>21000</v>
      </c>
      <c r="E56" s="85">
        <v>22000</v>
      </c>
      <c r="F56" s="85">
        <f>20000*1.15</f>
        <v>23000</v>
      </c>
      <c r="G56" s="95"/>
      <c r="H56" s="96"/>
      <c r="I56" s="96"/>
    </row>
    <row r="57" spans="1:9" ht="16.149999999999999" customHeight="1" x14ac:dyDescent="0.25">
      <c r="A57" s="78">
        <v>4</v>
      </c>
      <c r="B57" s="52" t="s">
        <v>221</v>
      </c>
      <c r="C57" s="85">
        <v>15000</v>
      </c>
      <c r="D57" s="85">
        <v>17500</v>
      </c>
      <c r="E57" s="85">
        <v>18500</v>
      </c>
      <c r="F57" s="85">
        <v>21000</v>
      </c>
      <c r="G57" s="95"/>
      <c r="H57" s="96"/>
      <c r="I57" s="96"/>
    </row>
    <row r="58" spans="1:9" ht="16.149999999999999" customHeight="1" x14ac:dyDescent="0.25">
      <c r="A58" s="79">
        <v>5</v>
      </c>
      <c r="B58" s="27" t="s">
        <v>196</v>
      </c>
      <c r="C58" s="88">
        <v>29000</v>
      </c>
      <c r="D58" s="88">
        <v>31000</v>
      </c>
      <c r="E58" s="88">
        <v>32500</v>
      </c>
      <c r="F58" s="88">
        <v>33500</v>
      </c>
      <c r="G58" s="95"/>
      <c r="H58" s="96"/>
      <c r="I58" s="96"/>
    </row>
    <row r="59" spans="1:9" ht="16.149999999999999" customHeight="1" x14ac:dyDescent="0.25">
      <c r="A59" s="78">
        <v>6</v>
      </c>
      <c r="B59" s="57" t="s">
        <v>197</v>
      </c>
      <c r="C59" s="88">
        <v>29000</v>
      </c>
      <c r="D59" s="88">
        <v>31000</v>
      </c>
      <c r="E59" s="88">
        <v>32500</v>
      </c>
      <c r="F59" s="88">
        <v>33500</v>
      </c>
      <c r="G59" s="95"/>
      <c r="H59" s="96"/>
      <c r="I59" s="96"/>
    </row>
    <row r="60" spans="1:9" x14ac:dyDescent="0.25">
      <c r="A60" s="79">
        <v>7</v>
      </c>
      <c r="B60" s="27" t="s">
        <v>115</v>
      </c>
      <c r="C60" s="88">
        <f>10000*1.15</f>
        <v>11500</v>
      </c>
      <c r="D60" s="88">
        <v>12000</v>
      </c>
      <c r="E60" s="88">
        <v>12700</v>
      </c>
      <c r="F60" s="88">
        <f>12000*1.15</f>
        <v>13799.999999999998</v>
      </c>
      <c r="G60" s="97"/>
      <c r="H60" s="96"/>
      <c r="I60" s="96"/>
    </row>
    <row r="61" spans="1:9" x14ac:dyDescent="0.25">
      <c r="A61" s="78">
        <v>8</v>
      </c>
      <c r="B61" s="52" t="s">
        <v>213</v>
      </c>
      <c r="C61" s="88">
        <v>10500</v>
      </c>
      <c r="D61" s="88">
        <f>10000*1.15</f>
        <v>11500</v>
      </c>
      <c r="E61" s="88">
        <v>12700</v>
      </c>
      <c r="F61" s="88">
        <f>12000*1.15</f>
        <v>13799.999999999998</v>
      </c>
      <c r="G61" s="95"/>
      <c r="H61" s="96"/>
      <c r="I61" s="96"/>
    </row>
    <row r="62" spans="1:9" ht="16.149999999999999" customHeight="1" x14ac:dyDescent="0.25">
      <c r="A62" s="79">
        <v>9</v>
      </c>
      <c r="B62" s="27" t="s">
        <v>30</v>
      </c>
      <c r="C62" s="88">
        <v>5800</v>
      </c>
      <c r="D62" s="88">
        <v>6000</v>
      </c>
      <c r="E62" s="88">
        <v>6300</v>
      </c>
      <c r="F62" s="88">
        <f>6000*1.15</f>
        <v>6899.9999999999991</v>
      </c>
      <c r="G62" s="97"/>
      <c r="H62" s="96"/>
      <c r="I62" s="96"/>
    </row>
    <row r="63" spans="1:9" ht="16.149999999999999" customHeight="1" x14ac:dyDescent="0.25">
      <c r="A63" s="78">
        <v>10</v>
      </c>
      <c r="B63" s="52" t="s">
        <v>32</v>
      </c>
      <c r="C63" s="88">
        <f>4000*1.15</f>
        <v>4600</v>
      </c>
      <c r="D63" s="88">
        <v>5500</v>
      </c>
      <c r="E63" s="88">
        <v>5800</v>
      </c>
      <c r="F63" s="88">
        <v>6300</v>
      </c>
      <c r="G63" s="95"/>
      <c r="H63" s="96"/>
      <c r="I63" s="96"/>
    </row>
    <row r="64" spans="1:9" ht="16.149999999999999" customHeight="1" x14ac:dyDescent="0.25">
      <c r="A64" s="79">
        <v>11</v>
      </c>
      <c r="B64" s="27" t="s">
        <v>29</v>
      </c>
      <c r="C64" s="88">
        <v>2400</v>
      </c>
      <c r="D64" s="88">
        <v>2500</v>
      </c>
      <c r="E64" s="88">
        <v>2700</v>
      </c>
      <c r="F64" s="88">
        <v>2900</v>
      </c>
    </row>
    <row r="65" spans="1:9" ht="16.149999999999999" customHeight="1" x14ac:dyDescent="0.25">
      <c r="A65" s="110" t="s">
        <v>66</v>
      </c>
      <c r="B65" s="110"/>
      <c r="C65" s="110"/>
      <c r="D65" s="110"/>
      <c r="E65" s="110"/>
      <c r="F65" s="110"/>
    </row>
    <row r="66" spans="1:9" ht="16.149999999999999" customHeight="1" x14ac:dyDescent="0.25">
      <c r="A66" s="26">
        <v>1</v>
      </c>
      <c r="B66" s="27" t="s">
        <v>136</v>
      </c>
      <c r="C66" s="79" t="s">
        <v>68</v>
      </c>
      <c r="D66" s="79" t="s">
        <v>68</v>
      </c>
      <c r="E66" s="79" t="s">
        <v>68</v>
      </c>
      <c r="F66" s="79" t="s">
        <v>68</v>
      </c>
    </row>
    <row r="67" spans="1:9" x14ac:dyDescent="0.25">
      <c r="A67" s="78">
        <v>2</v>
      </c>
      <c r="B67" s="52" t="s">
        <v>69</v>
      </c>
      <c r="C67" s="78" t="s">
        <v>70</v>
      </c>
      <c r="D67" s="78" t="s">
        <v>70</v>
      </c>
      <c r="E67" s="78" t="s">
        <v>70</v>
      </c>
      <c r="F67" s="78" t="s">
        <v>70</v>
      </c>
    </row>
    <row r="68" spans="1:9" x14ac:dyDescent="0.25">
      <c r="A68" s="110" t="s">
        <v>65</v>
      </c>
      <c r="B68" s="110"/>
      <c r="C68" s="110"/>
      <c r="D68" s="110"/>
      <c r="E68" s="110"/>
      <c r="F68" s="110"/>
    </row>
    <row r="69" spans="1:9" x14ac:dyDescent="0.25">
      <c r="A69" s="34">
        <v>1</v>
      </c>
      <c r="B69" s="35" t="s">
        <v>97</v>
      </c>
      <c r="C69" s="90">
        <v>4500</v>
      </c>
      <c r="D69" s="90">
        <v>4500</v>
      </c>
      <c r="E69" s="90">
        <v>4800</v>
      </c>
      <c r="F69" s="90">
        <v>4800</v>
      </c>
    </row>
    <row r="70" spans="1:9" x14ac:dyDescent="0.25">
      <c r="A70" s="58">
        <v>2</v>
      </c>
      <c r="B70" s="59" t="s">
        <v>162</v>
      </c>
      <c r="C70" s="90">
        <v>2500</v>
      </c>
      <c r="D70" s="90">
        <v>2500</v>
      </c>
      <c r="E70" s="90">
        <v>2800</v>
      </c>
      <c r="F70" s="90">
        <v>2800</v>
      </c>
    </row>
    <row r="71" spans="1:9" x14ac:dyDescent="0.25">
      <c r="A71" s="36">
        <v>3</v>
      </c>
      <c r="B71" s="35" t="s">
        <v>163</v>
      </c>
      <c r="C71" s="90">
        <f>2000*1.15</f>
        <v>2300</v>
      </c>
      <c r="D71" s="90">
        <f>2000*1.15</f>
        <v>2300</v>
      </c>
      <c r="E71" s="90">
        <v>2600</v>
      </c>
      <c r="F71" s="90">
        <v>2600</v>
      </c>
    </row>
    <row r="72" spans="1:9" x14ac:dyDescent="0.25">
      <c r="A72" s="58">
        <v>4</v>
      </c>
      <c r="B72" s="59" t="s">
        <v>98</v>
      </c>
      <c r="C72" s="90">
        <v>8000</v>
      </c>
      <c r="D72" s="90">
        <v>8000</v>
      </c>
      <c r="E72" s="90">
        <f>8000*1.15</f>
        <v>9200</v>
      </c>
      <c r="F72" s="90">
        <v>9200</v>
      </c>
      <c r="I72" s="12"/>
    </row>
    <row r="73" spans="1:9" x14ac:dyDescent="0.25">
      <c r="A73" s="110" t="s">
        <v>125</v>
      </c>
      <c r="B73" s="110"/>
      <c r="C73" s="110"/>
      <c r="D73" s="110"/>
      <c r="E73" s="110"/>
      <c r="F73" s="110"/>
    </row>
    <row r="74" spans="1:9" x14ac:dyDescent="0.25">
      <c r="A74" s="26">
        <v>1</v>
      </c>
      <c r="B74" s="27" t="s">
        <v>126</v>
      </c>
      <c r="C74" s="88">
        <f>2000*1.15</f>
        <v>2300</v>
      </c>
      <c r="D74" s="88">
        <f>2000*1.15</f>
        <v>2300</v>
      </c>
      <c r="E74" s="88">
        <f>2000*1.15</f>
        <v>2300</v>
      </c>
      <c r="F74" s="88">
        <f>2000*1.15</f>
        <v>2300</v>
      </c>
    </row>
    <row r="75" spans="1:9" x14ac:dyDescent="0.25">
      <c r="A75" s="110" t="s">
        <v>71</v>
      </c>
      <c r="B75" s="110"/>
      <c r="C75" s="110"/>
      <c r="D75" s="110"/>
      <c r="E75" s="110"/>
      <c r="F75" s="110"/>
    </row>
    <row r="76" spans="1:9" x14ac:dyDescent="0.25">
      <c r="A76" s="37">
        <v>1</v>
      </c>
      <c r="B76" s="38" t="s">
        <v>72</v>
      </c>
      <c r="C76" s="91">
        <f>14000*1.15</f>
        <v>16099.999999999998</v>
      </c>
      <c r="D76" s="91">
        <v>17300</v>
      </c>
      <c r="E76" s="91">
        <v>19500</v>
      </c>
      <c r="F76" s="91">
        <v>22000</v>
      </c>
    </row>
    <row r="77" spans="1:9" x14ac:dyDescent="0.25">
      <c r="A77" s="110" t="s">
        <v>110</v>
      </c>
      <c r="B77" s="110"/>
      <c r="C77" s="110"/>
      <c r="D77" s="110"/>
      <c r="E77" s="110"/>
      <c r="F77" s="110"/>
    </row>
    <row r="78" spans="1:9" x14ac:dyDescent="0.25">
      <c r="A78" s="37">
        <v>1</v>
      </c>
      <c r="B78" s="38" t="s">
        <v>304</v>
      </c>
      <c r="C78" s="91">
        <v>8000</v>
      </c>
      <c r="D78" s="91">
        <v>8600</v>
      </c>
      <c r="E78" s="91">
        <f>8000*1.15</f>
        <v>9200</v>
      </c>
      <c r="F78" s="91">
        <v>10300</v>
      </c>
    </row>
    <row r="79" spans="1:9" x14ac:dyDescent="0.25">
      <c r="A79" s="4"/>
    </row>
    <row r="91" ht="14.45" customHeight="1" x14ac:dyDescent="0.25"/>
  </sheetData>
  <mergeCells count="17">
    <mergeCell ref="A53:F53"/>
    <mergeCell ref="A9:F9"/>
    <mergeCell ref="C19:F19"/>
    <mergeCell ref="A20:F20"/>
    <mergeCell ref="A23:F23"/>
    <mergeCell ref="A27:F27"/>
    <mergeCell ref="A30:F30"/>
    <mergeCell ref="A42:F42"/>
    <mergeCell ref="C46:F46"/>
    <mergeCell ref="C49:F49"/>
    <mergeCell ref="C51:F51"/>
    <mergeCell ref="C52:F52"/>
    <mergeCell ref="A65:F65"/>
    <mergeCell ref="A68:F68"/>
    <mergeCell ref="A73:F73"/>
    <mergeCell ref="A75:F75"/>
    <mergeCell ref="A77:F77"/>
  </mergeCells>
  <pageMargins left="0.25" right="0.25" top="0.75" bottom="0.75" header="0.3" footer="0.3"/>
  <pageSetup paperSize="9" scale="64" fitToHeight="0" orientation="portrait" r:id="rId1"/>
  <rowBreaks count="1" manualBreakCount="1">
    <brk id="52" max="5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39"/>
  <sheetViews>
    <sheetView topLeftCell="A7" zoomScaleNormal="100" workbookViewId="0">
      <selection activeCell="J14" sqref="J14"/>
    </sheetView>
  </sheetViews>
  <sheetFormatPr defaultRowHeight="15" x14ac:dyDescent="0.25"/>
  <cols>
    <col min="1" max="1" width="15.140625" style="3" customWidth="1"/>
    <col min="2" max="2" width="14.42578125" style="3" customWidth="1"/>
    <col min="3" max="5" width="10.7109375" style="3" bestFit="1" customWidth="1"/>
    <col min="6" max="6" width="13" style="3" customWidth="1"/>
    <col min="7" max="7" width="10.140625" style="3" customWidth="1"/>
    <col min="8" max="8" width="10" style="3" customWidth="1"/>
    <col min="9" max="10" width="10.140625" style="3" customWidth="1"/>
    <col min="11" max="11" width="9.140625" style="3"/>
    <col min="12" max="12" width="21.7109375" style="3" bestFit="1" customWidth="1"/>
    <col min="13" max="16384" width="9.140625" style="3"/>
  </cols>
  <sheetData>
    <row r="1" spans="1:13" x14ac:dyDescent="0.25">
      <c r="A1" s="5"/>
      <c r="B1" s="5"/>
      <c r="C1" s="5"/>
      <c r="D1" s="5"/>
    </row>
    <row r="2" spans="1:13" x14ac:dyDescent="0.25">
      <c r="A2" s="5" t="s">
        <v>103</v>
      </c>
      <c r="B2" s="5"/>
      <c r="C2" s="5"/>
      <c r="K2" s="3" t="s">
        <v>296</v>
      </c>
    </row>
    <row r="3" spans="1:13" x14ac:dyDescent="0.25">
      <c r="A3" s="5" t="s">
        <v>104</v>
      </c>
      <c r="B3" s="5"/>
      <c r="C3" s="5"/>
      <c r="L3" s="3" t="s">
        <v>297</v>
      </c>
      <c r="M3" s="3">
        <v>6800</v>
      </c>
    </row>
    <row r="4" spans="1:13" x14ac:dyDescent="0.25">
      <c r="A4" s="5" t="s">
        <v>105</v>
      </c>
      <c r="B4" s="5"/>
      <c r="C4" s="5"/>
      <c r="L4" s="3" t="s">
        <v>299</v>
      </c>
      <c r="M4" s="3">
        <v>3200</v>
      </c>
    </row>
    <row r="5" spans="1:13" x14ac:dyDescent="0.25">
      <c r="A5" s="5" t="s">
        <v>127</v>
      </c>
      <c r="B5" s="5"/>
      <c r="C5" s="5"/>
      <c r="L5" s="3" t="s">
        <v>300</v>
      </c>
      <c r="M5" s="3">
        <v>4000</v>
      </c>
    </row>
    <row r="6" spans="1:13" x14ac:dyDescent="0.25">
      <c r="A6" s="11" t="s">
        <v>128</v>
      </c>
      <c r="B6" s="5"/>
      <c r="C6" s="5"/>
    </row>
    <row r="7" spans="1:13" x14ac:dyDescent="0.25">
      <c r="L7" s="3" t="s">
        <v>301</v>
      </c>
      <c r="M7" s="3">
        <v>7300</v>
      </c>
    </row>
    <row r="8" spans="1:13" x14ac:dyDescent="0.25">
      <c r="A8" s="1" t="s">
        <v>24</v>
      </c>
      <c r="B8" s="2" t="s">
        <v>20</v>
      </c>
      <c r="C8" s="1" t="s">
        <v>21</v>
      </c>
      <c r="D8" s="1" t="s">
        <v>22</v>
      </c>
      <c r="E8" s="1" t="s">
        <v>23</v>
      </c>
      <c r="F8" s="1" t="s">
        <v>130</v>
      </c>
      <c r="L8" s="3" t="s">
        <v>302</v>
      </c>
      <c r="M8" s="3">
        <v>4500</v>
      </c>
    </row>
    <row r="9" spans="1:13" x14ac:dyDescent="0.25">
      <c r="A9" s="111" t="s">
        <v>227</v>
      </c>
      <c r="B9" s="111"/>
      <c r="C9" s="111"/>
      <c r="D9" s="111"/>
      <c r="E9" s="111"/>
      <c r="F9" s="111"/>
      <c r="H9" s="5"/>
      <c r="I9" s="5"/>
      <c r="J9" s="5"/>
      <c r="L9" s="3" t="s">
        <v>298</v>
      </c>
      <c r="M9" s="3">
        <v>4500</v>
      </c>
    </row>
    <row r="10" spans="1:13" x14ac:dyDescent="0.25">
      <c r="A10" s="123" t="s">
        <v>232</v>
      </c>
      <c r="B10" s="124"/>
      <c r="C10" s="124"/>
      <c r="D10" s="124"/>
      <c r="E10" s="124"/>
      <c r="F10" s="125"/>
      <c r="H10" s="5"/>
      <c r="I10" s="5"/>
      <c r="J10" s="5"/>
    </row>
    <row r="11" spans="1:13" ht="30" x14ac:dyDescent="0.25">
      <c r="A11" s="26">
        <v>1</v>
      </c>
      <c r="B11" s="27" t="s">
        <v>228</v>
      </c>
      <c r="C11" s="82">
        <v>13500</v>
      </c>
      <c r="D11" s="82">
        <v>13500</v>
      </c>
      <c r="E11" s="82">
        <v>14000</v>
      </c>
      <c r="F11" s="82">
        <v>14000</v>
      </c>
      <c r="H11" s="5"/>
      <c r="I11" s="5"/>
      <c r="J11" s="5"/>
    </row>
    <row r="12" spans="1:13" ht="30" x14ac:dyDescent="0.25">
      <c r="A12" s="56">
        <v>2</v>
      </c>
      <c r="B12" s="52" t="s">
        <v>310</v>
      </c>
      <c r="C12" s="82">
        <v>8000</v>
      </c>
      <c r="D12" s="82">
        <v>9000</v>
      </c>
      <c r="E12" s="82">
        <v>10000</v>
      </c>
      <c r="F12" s="82">
        <v>12000</v>
      </c>
      <c r="H12" s="11"/>
      <c r="I12" s="5"/>
      <c r="J12" s="5"/>
    </row>
    <row r="13" spans="1:13" ht="30" x14ac:dyDescent="0.25">
      <c r="A13" s="26">
        <v>3</v>
      </c>
      <c r="B13" s="27" t="s">
        <v>230</v>
      </c>
      <c r="C13" s="82">
        <v>9000</v>
      </c>
      <c r="D13" s="82">
        <v>9000</v>
      </c>
      <c r="E13" s="82">
        <v>10000</v>
      </c>
      <c r="F13" s="89">
        <v>12000</v>
      </c>
      <c r="H13" s="5"/>
      <c r="I13" s="5"/>
      <c r="J13" s="5"/>
    </row>
    <row r="14" spans="1:13" ht="30" x14ac:dyDescent="0.25">
      <c r="A14" s="56">
        <v>4</v>
      </c>
      <c r="B14" s="52" t="s">
        <v>231</v>
      </c>
      <c r="C14" s="82">
        <v>14500</v>
      </c>
      <c r="D14" s="82">
        <v>14500</v>
      </c>
      <c r="E14" s="82">
        <v>15000</v>
      </c>
      <c r="F14" s="82">
        <v>16000</v>
      </c>
      <c r="H14" s="5"/>
      <c r="I14" s="5"/>
      <c r="J14" s="5"/>
    </row>
    <row r="15" spans="1:13" x14ac:dyDescent="0.25">
      <c r="A15" s="56">
        <v>5</v>
      </c>
      <c r="B15" s="52" t="s">
        <v>235</v>
      </c>
      <c r="C15" s="82" t="s">
        <v>236</v>
      </c>
      <c r="D15" s="82" t="s">
        <v>44</v>
      </c>
      <c r="E15" s="82" t="s">
        <v>44</v>
      </c>
      <c r="F15" s="84">
        <v>12000</v>
      </c>
      <c r="H15" s="5"/>
      <c r="I15" s="5"/>
      <c r="J15" s="5"/>
    </row>
    <row r="16" spans="1:13" x14ac:dyDescent="0.25">
      <c r="A16" s="56">
        <v>6</v>
      </c>
      <c r="B16" s="52" t="s">
        <v>237</v>
      </c>
      <c r="C16" s="82" t="s">
        <v>238</v>
      </c>
      <c r="D16" s="82" t="s">
        <v>169</v>
      </c>
      <c r="E16" s="82" t="s">
        <v>223</v>
      </c>
      <c r="F16" s="84">
        <v>24000</v>
      </c>
    </row>
    <row r="17" spans="1:7" x14ac:dyDescent="0.25">
      <c r="A17" s="123" t="s">
        <v>233</v>
      </c>
      <c r="B17" s="124"/>
      <c r="C17" s="124"/>
      <c r="D17" s="124"/>
      <c r="E17" s="124"/>
      <c r="F17" s="125"/>
    </row>
    <row r="18" spans="1:7" ht="30" x14ac:dyDescent="0.25">
      <c r="A18" s="26">
        <v>1</v>
      </c>
      <c r="B18" s="27" t="s">
        <v>228</v>
      </c>
      <c r="C18" s="82">
        <v>13500</v>
      </c>
      <c r="D18" s="82">
        <v>13500</v>
      </c>
      <c r="E18" s="82">
        <v>14000</v>
      </c>
      <c r="F18" s="82">
        <v>14000</v>
      </c>
    </row>
    <row r="19" spans="1:7" ht="30" x14ac:dyDescent="0.25">
      <c r="A19" s="56">
        <v>2</v>
      </c>
      <c r="B19" s="52" t="s">
        <v>229</v>
      </c>
      <c r="C19" s="82">
        <v>9000</v>
      </c>
      <c r="D19" s="82">
        <v>9000</v>
      </c>
      <c r="E19" s="82">
        <v>10000</v>
      </c>
      <c r="F19" s="82">
        <v>12000</v>
      </c>
    </row>
    <row r="20" spans="1:7" ht="30" x14ac:dyDescent="0.25">
      <c r="A20" s="26">
        <v>3</v>
      </c>
      <c r="B20" s="27" t="s">
        <v>230</v>
      </c>
      <c r="C20" s="82">
        <v>9000</v>
      </c>
      <c r="D20" s="82">
        <v>9000</v>
      </c>
      <c r="E20" s="82">
        <v>10000</v>
      </c>
      <c r="F20" s="89">
        <v>12000</v>
      </c>
    </row>
    <row r="21" spans="1:7" ht="30" x14ac:dyDescent="0.25">
      <c r="A21" s="56">
        <v>4</v>
      </c>
      <c r="B21" s="52" t="s">
        <v>231</v>
      </c>
      <c r="C21" s="82">
        <v>17000</v>
      </c>
      <c r="D21" s="82">
        <v>17000</v>
      </c>
      <c r="E21" s="82">
        <v>18000</v>
      </c>
      <c r="F21" s="89">
        <v>20000</v>
      </c>
    </row>
    <row r="22" spans="1:7" x14ac:dyDescent="0.25">
      <c r="A22" s="56">
        <v>5</v>
      </c>
      <c r="B22" s="52" t="s">
        <v>235</v>
      </c>
      <c r="C22" s="82">
        <f>8000*1.15</f>
        <v>9200</v>
      </c>
      <c r="D22" s="82">
        <v>10500</v>
      </c>
      <c r="E22" s="82">
        <v>10500</v>
      </c>
      <c r="F22" s="89">
        <v>14000</v>
      </c>
    </row>
    <row r="23" spans="1:7" x14ac:dyDescent="0.25">
      <c r="A23" s="56">
        <v>6</v>
      </c>
      <c r="B23" s="52" t="s">
        <v>237</v>
      </c>
      <c r="C23" s="82">
        <v>18500</v>
      </c>
      <c r="D23" s="82">
        <v>20500</v>
      </c>
      <c r="E23" s="82">
        <v>27000</v>
      </c>
      <c r="F23" s="89">
        <v>29000</v>
      </c>
    </row>
    <row r="24" spans="1:7" x14ac:dyDescent="0.25">
      <c r="A24" s="123" t="s">
        <v>311</v>
      </c>
      <c r="B24" s="124"/>
      <c r="C24" s="124"/>
      <c r="D24" s="124"/>
      <c r="E24" s="124"/>
      <c r="F24" s="125"/>
    </row>
    <row r="25" spans="1:7" ht="45" x14ac:dyDescent="0.25">
      <c r="A25" s="26">
        <v>1</v>
      </c>
      <c r="B25" s="27" t="s">
        <v>312</v>
      </c>
      <c r="C25" s="82">
        <v>33000</v>
      </c>
      <c r="D25" s="82">
        <v>33000</v>
      </c>
      <c r="E25" s="82">
        <v>37000</v>
      </c>
      <c r="F25" s="89">
        <v>40000</v>
      </c>
      <c r="G25" s="73"/>
    </row>
    <row r="26" spans="1:7" ht="30" x14ac:dyDescent="0.25">
      <c r="A26" s="92">
        <v>2</v>
      </c>
      <c r="B26" s="52" t="s">
        <v>313</v>
      </c>
      <c r="C26" s="82">
        <v>6000</v>
      </c>
      <c r="D26" s="82">
        <v>8000</v>
      </c>
      <c r="E26" s="82">
        <v>10000</v>
      </c>
      <c r="F26" s="89">
        <v>12000</v>
      </c>
      <c r="G26" s="94" t="s">
        <v>315</v>
      </c>
    </row>
    <row r="27" spans="1:7" ht="45" x14ac:dyDescent="0.25">
      <c r="A27" s="92">
        <v>3</v>
      </c>
      <c r="B27" s="52" t="s">
        <v>314</v>
      </c>
      <c r="C27" s="82">
        <v>20000</v>
      </c>
      <c r="D27" s="82">
        <v>25000</v>
      </c>
      <c r="E27" s="82">
        <v>32000</v>
      </c>
      <c r="F27" s="89">
        <v>35000</v>
      </c>
      <c r="G27" s="94" t="s">
        <v>315</v>
      </c>
    </row>
    <row r="28" spans="1:7" x14ac:dyDescent="0.25">
      <c r="A28" s="123" t="s">
        <v>242</v>
      </c>
      <c r="B28" s="124"/>
      <c r="C28" s="124"/>
      <c r="D28" s="124"/>
      <c r="E28" s="124"/>
      <c r="F28" s="125"/>
    </row>
    <row r="29" spans="1:7" ht="30" x14ac:dyDescent="0.25">
      <c r="A29" s="26">
        <v>1</v>
      </c>
      <c r="B29" s="27" t="s">
        <v>228</v>
      </c>
      <c r="C29" s="82">
        <v>5200</v>
      </c>
      <c r="D29" s="82">
        <v>5800</v>
      </c>
      <c r="E29" s="82">
        <v>5800</v>
      </c>
      <c r="F29" s="89">
        <v>7500</v>
      </c>
    </row>
    <row r="30" spans="1:7" ht="30" x14ac:dyDescent="0.25">
      <c r="A30" s="61">
        <v>2</v>
      </c>
      <c r="B30" s="52" t="s">
        <v>229</v>
      </c>
      <c r="C30" s="82">
        <f>2000*1.15</f>
        <v>2300</v>
      </c>
      <c r="D30" s="82">
        <v>2900</v>
      </c>
      <c r="E30" s="82">
        <v>4000</v>
      </c>
      <c r="F30" s="89">
        <v>4000</v>
      </c>
    </row>
    <row r="31" spans="1:7" ht="30" x14ac:dyDescent="0.25">
      <c r="A31" s="26">
        <v>3</v>
      </c>
      <c r="B31" s="27" t="s">
        <v>230</v>
      </c>
      <c r="C31" s="82">
        <f>2000*1.15</f>
        <v>2300</v>
      </c>
      <c r="D31" s="82">
        <f>2000*1.15</f>
        <v>2300</v>
      </c>
      <c r="E31" s="82">
        <v>2900</v>
      </c>
      <c r="F31" s="89">
        <v>3500</v>
      </c>
    </row>
    <row r="32" spans="1:7" ht="30" x14ac:dyDescent="0.25">
      <c r="A32" s="61">
        <v>4</v>
      </c>
      <c r="B32" s="52" t="s">
        <v>231</v>
      </c>
      <c r="C32" s="82">
        <v>10000</v>
      </c>
      <c r="D32" s="82">
        <v>13000</v>
      </c>
      <c r="E32" s="82">
        <v>13000</v>
      </c>
      <c r="F32" s="89">
        <v>15000</v>
      </c>
    </row>
    <row r="33" spans="1:6" x14ac:dyDescent="0.25">
      <c r="A33" s="61">
        <v>5</v>
      </c>
      <c r="B33" s="52" t="s">
        <v>235</v>
      </c>
      <c r="C33" s="53" t="s">
        <v>243</v>
      </c>
      <c r="D33" s="53" t="s">
        <v>243</v>
      </c>
      <c r="E33" s="93" t="s">
        <v>243</v>
      </c>
      <c r="F33" s="93" t="s">
        <v>243</v>
      </c>
    </row>
    <row r="34" spans="1:6" x14ac:dyDescent="0.25">
      <c r="A34" s="61">
        <v>6</v>
      </c>
      <c r="B34" s="52" t="s">
        <v>237</v>
      </c>
      <c r="C34" s="53" t="s">
        <v>243</v>
      </c>
      <c r="D34" s="53" t="s">
        <v>243</v>
      </c>
      <c r="E34" s="93" t="s">
        <v>243</v>
      </c>
      <c r="F34" s="93" t="s">
        <v>243</v>
      </c>
    </row>
    <row r="35" spans="1:6" x14ac:dyDescent="0.25">
      <c r="A35"/>
    </row>
    <row r="36" spans="1:6" x14ac:dyDescent="0.25">
      <c r="A36" s="3" t="s">
        <v>234</v>
      </c>
    </row>
    <row r="37" spans="1:6" x14ac:dyDescent="0.25">
      <c r="A37" s="64" t="s">
        <v>240</v>
      </c>
      <c r="B37" s="62"/>
      <c r="C37" s="62"/>
      <c r="D37" s="62"/>
      <c r="E37" s="63"/>
    </row>
    <row r="38" spans="1:6" x14ac:dyDescent="0.25">
      <c r="A38" s="3" t="s">
        <v>241</v>
      </c>
    </row>
    <row r="39" spans="1:6" x14ac:dyDescent="0.25">
      <c r="A39" s="65" t="s">
        <v>239</v>
      </c>
    </row>
  </sheetData>
  <mergeCells count="5">
    <mergeCell ref="A9:F9"/>
    <mergeCell ref="A10:F10"/>
    <mergeCell ref="A17:F17"/>
    <mergeCell ref="A24:F24"/>
    <mergeCell ref="A28:F28"/>
  </mergeCells>
  <pageMargins left="0.7" right="0.7" top="0.75" bottom="0.75" header="0.3" footer="0.3"/>
  <pageSetup paperSize="9" scale="93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34"/>
  <sheetViews>
    <sheetView tabSelected="1" workbookViewId="0">
      <selection activeCell="J10" sqref="J10"/>
    </sheetView>
  </sheetViews>
  <sheetFormatPr defaultRowHeight="15" x14ac:dyDescent="0.25"/>
  <cols>
    <col min="1" max="1" width="55.85546875" style="3" customWidth="1"/>
    <col min="2" max="2" width="22.7109375" style="3" customWidth="1"/>
    <col min="3" max="3" width="21.5703125" style="3" customWidth="1"/>
    <col min="4" max="4" width="15.5703125" style="3" customWidth="1"/>
    <col min="5" max="5" width="18.28515625" style="3" customWidth="1"/>
    <col min="6" max="6" width="9.140625" style="3"/>
    <col min="7" max="7" width="12.42578125" style="3" customWidth="1"/>
    <col min="8" max="8" width="13.7109375" style="3" customWidth="1"/>
    <col min="9" max="9" width="14.85546875" style="3" customWidth="1"/>
    <col min="10" max="10" width="15.28515625" style="3" customWidth="1"/>
    <col min="11" max="16384" width="9.140625" style="3"/>
  </cols>
  <sheetData>
    <row r="2" spans="1:10" x14ac:dyDescent="0.25">
      <c r="A2" s="5" t="s">
        <v>103</v>
      </c>
      <c r="B2" s="5"/>
      <c r="C2" s="5"/>
      <c r="D2" s="5"/>
    </row>
    <row r="3" spans="1:10" x14ac:dyDescent="0.25">
      <c r="A3" s="5" t="s">
        <v>104</v>
      </c>
      <c r="B3" s="5"/>
      <c r="C3" s="5"/>
      <c r="D3" s="5"/>
    </row>
    <row r="4" spans="1:10" x14ac:dyDescent="0.25">
      <c r="A4" s="5" t="s">
        <v>105</v>
      </c>
      <c r="B4" s="5"/>
      <c r="C4" s="5"/>
      <c r="D4" s="5"/>
    </row>
    <row r="5" spans="1:10" x14ac:dyDescent="0.25">
      <c r="A5" s="5" t="s">
        <v>127</v>
      </c>
      <c r="B5" s="5"/>
      <c r="C5" s="5"/>
      <c r="D5" s="5"/>
    </row>
    <row r="6" spans="1:10" x14ac:dyDescent="0.25">
      <c r="A6" s="5"/>
      <c r="B6" s="5"/>
      <c r="C6" s="5"/>
      <c r="D6" s="5"/>
    </row>
    <row r="7" spans="1:10" ht="21" x14ac:dyDescent="0.25">
      <c r="A7" s="133" t="s">
        <v>360</v>
      </c>
      <c r="B7" s="133"/>
      <c r="C7" s="133"/>
      <c r="D7" s="133"/>
      <c r="E7" s="133"/>
      <c r="G7" s="146" t="s">
        <v>361</v>
      </c>
      <c r="H7" s="146"/>
      <c r="I7" s="146"/>
      <c r="J7" s="146"/>
    </row>
    <row r="8" spans="1:10" x14ac:dyDescent="0.25">
      <c r="A8" s="21" t="s">
        <v>140</v>
      </c>
      <c r="B8" s="21" t="s">
        <v>21</v>
      </c>
      <c r="C8" s="21" t="s">
        <v>22</v>
      </c>
      <c r="D8" s="21" t="s">
        <v>23</v>
      </c>
      <c r="E8" s="21" t="s">
        <v>141</v>
      </c>
      <c r="G8" s="147"/>
      <c r="H8" s="147"/>
      <c r="I8" s="147"/>
      <c r="J8" s="147"/>
    </row>
    <row r="9" spans="1:10" ht="45" x14ac:dyDescent="0.25">
      <c r="A9" s="14" t="s">
        <v>142</v>
      </c>
      <c r="B9" s="103" t="s">
        <v>344</v>
      </c>
      <c r="C9" s="103" t="s">
        <v>345</v>
      </c>
      <c r="D9" s="104" t="s">
        <v>346</v>
      </c>
      <c r="E9" s="104" t="s">
        <v>347</v>
      </c>
      <c r="G9" s="105" t="s">
        <v>369</v>
      </c>
      <c r="H9" s="105" t="s">
        <v>370</v>
      </c>
      <c r="I9" s="104" t="s">
        <v>371</v>
      </c>
      <c r="J9" s="104" t="s">
        <v>372</v>
      </c>
    </row>
    <row r="10" spans="1:10" x14ac:dyDescent="0.25">
      <c r="A10" s="76" t="s">
        <v>316</v>
      </c>
      <c r="B10" s="103" t="s">
        <v>321</v>
      </c>
      <c r="C10" s="103" t="s">
        <v>322</v>
      </c>
      <c r="D10" s="104" t="s">
        <v>322</v>
      </c>
      <c r="E10" s="104" t="s">
        <v>323</v>
      </c>
      <c r="G10" s="105" t="s">
        <v>362</v>
      </c>
      <c r="H10" s="105" t="s">
        <v>321</v>
      </c>
      <c r="I10" s="104" t="s">
        <v>321</v>
      </c>
      <c r="J10" s="104" t="s">
        <v>322</v>
      </c>
    </row>
    <row r="11" spans="1:10" x14ac:dyDescent="0.25">
      <c r="A11" s="15" t="s">
        <v>152</v>
      </c>
      <c r="B11" s="103" t="s">
        <v>324</v>
      </c>
      <c r="C11" s="103" t="s">
        <v>321</v>
      </c>
      <c r="D11" s="104" t="s">
        <v>322</v>
      </c>
      <c r="E11" s="104" t="s">
        <v>323</v>
      </c>
      <c r="G11" s="105" t="s">
        <v>328</v>
      </c>
      <c r="H11" s="105" t="s">
        <v>362</v>
      </c>
      <c r="I11" s="104" t="s">
        <v>321</v>
      </c>
      <c r="J11" s="104" t="s">
        <v>322</v>
      </c>
    </row>
    <row r="12" spans="1:10" x14ac:dyDescent="0.25">
      <c r="A12" s="76" t="s">
        <v>99</v>
      </c>
      <c r="B12" s="129" t="s">
        <v>325</v>
      </c>
      <c r="C12" s="130"/>
      <c r="D12" s="130"/>
      <c r="E12" s="131"/>
      <c r="G12" s="129" t="s">
        <v>363</v>
      </c>
      <c r="H12" s="130"/>
      <c r="I12" s="130"/>
      <c r="J12" s="131"/>
    </row>
    <row r="13" spans="1:10" x14ac:dyDescent="0.25">
      <c r="A13" s="16" t="s">
        <v>326</v>
      </c>
      <c r="B13" s="103" t="s">
        <v>327</v>
      </c>
      <c r="C13" s="103" t="s">
        <v>327</v>
      </c>
      <c r="D13" s="103" t="s">
        <v>328</v>
      </c>
      <c r="E13" s="103" t="s">
        <v>324</v>
      </c>
      <c r="G13" s="105" t="s">
        <v>364</v>
      </c>
      <c r="H13" s="105" t="s">
        <v>364</v>
      </c>
      <c r="I13" s="105" t="s">
        <v>327</v>
      </c>
      <c r="J13" s="105" t="s">
        <v>328</v>
      </c>
    </row>
    <row r="14" spans="1:10" x14ac:dyDescent="0.25">
      <c r="A14" s="77" t="s">
        <v>143</v>
      </c>
      <c r="B14" s="129" t="s">
        <v>329</v>
      </c>
      <c r="C14" s="130"/>
      <c r="D14" s="130"/>
      <c r="E14" s="131"/>
      <c r="G14" s="129" t="s">
        <v>329</v>
      </c>
      <c r="H14" s="130"/>
      <c r="I14" s="130"/>
      <c r="J14" s="131"/>
    </row>
    <row r="15" spans="1:10" x14ac:dyDescent="0.25">
      <c r="A15" s="16" t="s">
        <v>150</v>
      </c>
      <c r="B15" s="129">
        <v>3000</v>
      </c>
      <c r="C15" s="130"/>
      <c r="D15" s="130"/>
      <c r="E15" s="131"/>
      <c r="G15" s="129">
        <v>3000</v>
      </c>
      <c r="H15" s="130"/>
      <c r="I15" s="130"/>
      <c r="J15" s="131"/>
    </row>
    <row r="16" spans="1:10" x14ac:dyDescent="0.25">
      <c r="A16" s="77" t="s">
        <v>154</v>
      </c>
      <c r="B16" s="129" t="s">
        <v>325</v>
      </c>
      <c r="C16" s="130"/>
      <c r="D16" s="130"/>
      <c r="E16" s="131"/>
      <c r="G16" s="129" t="s">
        <v>363</v>
      </c>
      <c r="H16" s="130"/>
      <c r="I16" s="130"/>
      <c r="J16" s="131"/>
    </row>
    <row r="17" spans="1:10" x14ac:dyDescent="0.25">
      <c r="A17" s="16" t="s">
        <v>144</v>
      </c>
      <c r="B17" s="129" t="s">
        <v>325</v>
      </c>
      <c r="C17" s="130"/>
      <c r="D17" s="130"/>
      <c r="E17" s="131"/>
      <c r="G17" s="129" t="s">
        <v>363</v>
      </c>
      <c r="H17" s="130"/>
      <c r="I17" s="130"/>
      <c r="J17" s="131"/>
    </row>
    <row r="18" spans="1:10" x14ac:dyDescent="0.25">
      <c r="A18" s="77" t="s">
        <v>145</v>
      </c>
      <c r="B18" s="129" t="s">
        <v>330</v>
      </c>
      <c r="C18" s="130"/>
      <c r="D18" s="130"/>
      <c r="E18" s="131"/>
      <c r="G18" s="129" t="s">
        <v>365</v>
      </c>
      <c r="H18" s="130"/>
      <c r="I18" s="130"/>
      <c r="J18" s="131"/>
    </row>
    <row r="19" spans="1:10" x14ac:dyDescent="0.25">
      <c r="A19" s="16" t="s">
        <v>153</v>
      </c>
      <c r="B19" s="103" t="s">
        <v>343</v>
      </c>
      <c r="C19" s="103" t="s">
        <v>341</v>
      </c>
      <c r="D19" s="103" t="s">
        <v>342</v>
      </c>
      <c r="E19" s="103" t="s">
        <v>342</v>
      </c>
      <c r="G19" s="105" t="s">
        <v>366</v>
      </c>
      <c r="H19" s="105" t="s">
        <v>343</v>
      </c>
      <c r="I19" s="105" t="s">
        <v>341</v>
      </c>
      <c r="J19" s="105" t="s">
        <v>342</v>
      </c>
    </row>
    <row r="20" spans="1:10" x14ac:dyDescent="0.25">
      <c r="A20" s="77" t="s">
        <v>146</v>
      </c>
      <c r="B20" s="129" t="s">
        <v>331</v>
      </c>
      <c r="C20" s="130"/>
      <c r="D20" s="130"/>
      <c r="E20" s="131"/>
      <c r="G20" s="129" t="s">
        <v>367</v>
      </c>
      <c r="H20" s="130"/>
      <c r="I20" s="130"/>
      <c r="J20" s="131"/>
    </row>
    <row r="21" spans="1:10" x14ac:dyDescent="0.25">
      <c r="A21" s="16" t="s">
        <v>147</v>
      </c>
      <c r="B21" s="129" t="s">
        <v>332</v>
      </c>
      <c r="C21" s="130"/>
      <c r="D21" s="130"/>
      <c r="E21" s="131"/>
      <c r="G21" s="129" t="s">
        <v>331</v>
      </c>
      <c r="H21" s="130"/>
      <c r="I21" s="130"/>
      <c r="J21" s="131"/>
    </row>
    <row r="22" spans="1:10" x14ac:dyDescent="0.25">
      <c r="A22" s="77" t="s">
        <v>148</v>
      </c>
      <c r="B22" s="132" t="s">
        <v>332</v>
      </c>
      <c r="C22" s="132"/>
      <c r="D22" s="132"/>
      <c r="E22" s="132"/>
      <c r="G22" s="132" t="s">
        <v>331</v>
      </c>
      <c r="H22" s="132"/>
      <c r="I22" s="132"/>
      <c r="J22" s="132"/>
    </row>
    <row r="23" spans="1:10" x14ac:dyDescent="0.25">
      <c r="A23" s="16" t="s">
        <v>338</v>
      </c>
      <c r="B23" s="129" t="s">
        <v>339</v>
      </c>
      <c r="C23" s="130"/>
      <c r="D23" s="130"/>
      <c r="E23" s="131"/>
      <c r="G23" s="129" t="s">
        <v>368</v>
      </c>
      <c r="H23" s="130"/>
      <c r="I23" s="130"/>
      <c r="J23" s="131"/>
    </row>
    <row r="24" spans="1:10" x14ac:dyDescent="0.25">
      <c r="A24" s="16" t="s">
        <v>337</v>
      </c>
      <c r="B24" s="129" t="s">
        <v>340</v>
      </c>
      <c r="C24" s="130"/>
      <c r="D24" s="130"/>
      <c r="E24" s="131"/>
      <c r="G24" s="129"/>
      <c r="H24" s="130"/>
      <c r="I24" s="130"/>
      <c r="J24" s="131"/>
    </row>
    <row r="25" spans="1:10" x14ac:dyDescent="0.25">
      <c r="A25" s="77" t="s">
        <v>317</v>
      </c>
      <c r="B25" s="129" t="s">
        <v>333</v>
      </c>
      <c r="C25" s="130"/>
      <c r="D25" s="130"/>
      <c r="E25" s="131"/>
      <c r="G25" s="129"/>
      <c r="H25" s="130"/>
      <c r="I25" s="130"/>
      <c r="J25" s="131"/>
    </row>
    <row r="26" spans="1:10" x14ac:dyDescent="0.25">
      <c r="A26" s="16" t="s">
        <v>318</v>
      </c>
      <c r="B26" s="129" t="s">
        <v>336</v>
      </c>
      <c r="C26" s="130"/>
      <c r="D26" s="130"/>
      <c r="E26" s="131"/>
      <c r="F26" s="13"/>
      <c r="G26" s="129"/>
      <c r="H26" s="130"/>
      <c r="I26" s="130"/>
      <c r="J26" s="131"/>
    </row>
    <row r="27" spans="1:10" x14ac:dyDescent="0.25">
      <c r="A27" s="77" t="s">
        <v>319</v>
      </c>
      <c r="B27" s="129" t="s">
        <v>335</v>
      </c>
      <c r="C27" s="130"/>
      <c r="D27" s="130"/>
      <c r="E27" s="131"/>
      <c r="F27" s="12"/>
      <c r="G27" s="129"/>
      <c r="H27" s="130"/>
      <c r="I27" s="130"/>
      <c r="J27" s="131"/>
    </row>
    <row r="28" spans="1:10" x14ac:dyDescent="0.25">
      <c r="A28" s="16" t="s">
        <v>320</v>
      </c>
      <c r="B28" s="129" t="s">
        <v>334</v>
      </c>
      <c r="C28" s="130"/>
      <c r="D28" s="130"/>
      <c r="E28" s="131"/>
      <c r="F28" s="12"/>
      <c r="G28" s="129"/>
      <c r="H28" s="130"/>
      <c r="I28" s="130"/>
      <c r="J28" s="131"/>
    </row>
    <row r="29" spans="1:10" x14ac:dyDescent="0.25">
      <c r="A29" s="75"/>
      <c r="B29" s="17"/>
      <c r="C29" s="17"/>
      <c r="D29" s="17"/>
      <c r="E29" s="17"/>
      <c r="F29" s="12"/>
    </row>
    <row r="30" spans="1:10" x14ac:dyDescent="0.25">
      <c r="A30" s="18"/>
      <c r="B30" s="17"/>
      <c r="C30" s="17"/>
      <c r="D30" s="17"/>
      <c r="E30" s="17"/>
    </row>
    <row r="31" spans="1:10" x14ac:dyDescent="0.25">
      <c r="A31" s="126" t="s">
        <v>291</v>
      </c>
      <c r="B31" s="126"/>
      <c r="C31" s="126"/>
      <c r="D31" s="126"/>
      <c r="E31" s="126"/>
    </row>
    <row r="32" spans="1:10" x14ac:dyDescent="0.25">
      <c r="A32" s="126" t="s">
        <v>292</v>
      </c>
      <c r="B32" s="126"/>
      <c r="C32" s="126"/>
      <c r="D32" s="126"/>
      <c r="E32" s="126"/>
    </row>
    <row r="33" spans="1:5" x14ac:dyDescent="0.25">
      <c r="A33" s="19"/>
      <c r="B33" s="20"/>
      <c r="C33" s="20"/>
      <c r="D33" s="12"/>
      <c r="E33" s="12"/>
    </row>
    <row r="34" spans="1:5" x14ac:dyDescent="0.25">
      <c r="A34" s="127" t="s">
        <v>100</v>
      </c>
      <c r="B34" s="128"/>
      <c r="C34" s="128"/>
      <c r="D34" s="128"/>
      <c r="E34" s="128"/>
    </row>
  </sheetData>
  <mergeCells count="35">
    <mergeCell ref="G7:J8"/>
    <mergeCell ref="G24:J24"/>
    <mergeCell ref="G25:J25"/>
    <mergeCell ref="G26:J26"/>
    <mergeCell ref="G27:J27"/>
    <mergeCell ref="G28:J28"/>
    <mergeCell ref="G18:J18"/>
    <mergeCell ref="G20:J20"/>
    <mergeCell ref="G21:J21"/>
    <mergeCell ref="G22:J22"/>
    <mergeCell ref="G23:J23"/>
    <mergeCell ref="G12:J12"/>
    <mergeCell ref="G14:J14"/>
    <mergeCell ref="G15:J15"/>
    <mergeCell ref="G16:J16"/>
    <mergeCell ref="G17:J17"/>
    <mergeCell ref="B17:E17"/>
    <mergeCell ref="A7:E7"/>
    <mergeCell ref="B12:E12"/>
    <mergeCell ref="B14:E14"/>
    <mergeCell ref="B15:E15"/>
    <mergeCell ref="B16:E16"/>
    <mergeCell ref="B18:E18"/>
    <mergeCell ref="B20:E20"/>
    <mergeCell ref="B21:E21"/>
    <mergeCell ref="B22:E22"/>
    <mergeCell ref="B23:E23"/>
    <mergeCell ref="A31:E31"/>
    <mergeCell ref="A32:E32"/>
    <mergeCell ref="A34:E34"/>
    <mergeCell ref="B24:E24"/>
    <mergeCell ref="B26:E26"/>
    <mergeCell ref="B27:E27"/>
    <mergeCell ref="B28:E28"/>
    <mergeCell ref="B25:E25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5:F17"/>
  <sheetViews>
    <sheetView workbookViewId="0">
      <selection activeCell="G27" sqref="G27"/>
    </sheetView>
  </sheetViews>
  <sheetFormatPr defaultRowHeight="15" x14ac:dyDescent="0.25"/>
  <cols>
    <col min="3" max="3" width="19.85546875" bestFit="1" customWidth="1"/>
  </cols>
  <sheetData>
    <row r="5" spans="3:6" x14ac:dyDescent="0.25">
      <c r="C5" t="s">
        <v>349</v>
      </c>
    </row>
    <row r="6" spans="3:6" x14ac:dyDescent="0.25">
      <c r="C6" t="s">
        <v>348</v>
      </c>
      <c r="D6">
        <v>40000</v>
      </c>
      <c r="E6">
        <v>1</v>
      </c>
      <c r="F6">
        <f>D6*E6</f>
        <v>40000</v>
      </c>
    </row>
    <row r="7" spans="3:6" x14ac:dyDescent="0.25">
      <c r="C7" t="s">
        <v>350</v>
      </c>
      <c r="D7">
        <v>28000</v>
      </c>
      <c r="E7">
        <v>1</v>
      </c>
      <c r="F7" s="3">
        <f t="shared" ref="F7:F16" si="0">D7*E7</f>
        <v>28000</v>
      </c>
    </row>
    <row r="8" spans="3:6" x14ac:dyDescent="0.25">
      <c r="C8" t="s">
        <v>351</v>
      </c>
      <c r="D8">
        <v>10000</v>
      </c>
      <c r="E8">
        <v>1</v>
      </c>
      <c r="F8" s="3">
        <f t="shared" si="0"/>
        <v>10000</v>
      </c>
    </row>
    <row r="9" spans="3:6" x14ac:dyDescent="0.25">
      <c r="C9" t="s">
        <v>352</v>
      </c>
      <c r="D9">
        <v>20000</v>
      </c>
      <c r="E9">
        <v>1</v>
      </c>
      <c r="F9" s="3">
        <f t="shared" si="0"/>
        <v>20000</v>
      </c>
    </row>
    <row r="10" spans="3:6" x14ac:dyDescent="0.25">
      <c r="C10" t="s">
        <v>353</v>
      </c>
      <c r="D10">
        <v>33000</v>
      </c>
      <c r="E10">
        <v>4</v>
      </c>
      <c r="F10" s="3">
        <f t="shared" si="0"/>
        <v>132000</v>
      </c>
    </row>
    <row r="11" spans="3:6" x14ac:dyDescent="0.25">
      <c r="C11" t="s">
        <v>354</v>
      </c>
      <c r="D11">
        <v>40000</v>
      </c>
      <c r="E11">
        <v>2</v>
      </c>
      <c r="F11" s="3">
        <f t="shared" si="0"/>
        <v>80000</v>
      </c>
    </row>
    <row r="12" spans="3:6" x14ac:dyDescent="0.25">
      <c r="C12" t="s">
        <v>355</v>
      </c>
      <c r="D12">
        <v>35000</v>
      </c>
      <c r="E12">
        <v>1</v>
      </c>
      <c r="F12" s="3">
        <f t="shared" si="0"/>
        <v>35000</v>
      </c>
    </row>
    <row r="13" spans="3:6" x14ac:dyDescent="0.25">
      <c r="C13" t="s">
        <v>356</v>
      </c>
      <c r="D13">
        <v>40000</v>
      </c>
      <c r="E13">
        <v>1</v>
      </c>
      <c r="F13" s="3">
        <f t="shared" si="0"/>
        <v>40000</v>
      </c>
    </row>
    <row r="14" spans="3:6" x14ac:dyDescent="0.25">
      <c r="C14" t="s">
        <v>357</v>
      </c>
      <c r="D14">
        <v>12000</v>
      </c>
      <c r="E14">
        <v>1</v>
      </c>
      <c r="F14" s="3">
        <f t="shared" si="0"/>
        <v>12000</v>
      </c>
    </row>
    <row r="15" spans="3:6" x14ac:dyDescent="0.25">
      <c r="C15" t="s">
        <v>358</v>
      </c>
      <c r="D15">
        <v>20000</v>
      </c>
      <c r="E15">
        <v>2</v>
      </c>
      <c r="F15" s="3">
        <f t="shared" si="0"/>
        <v>40000</v>
      </c>
    </row>
    <row r="16" spans="3:6" x14ac:dyDescent="0.25">
      <c r="C16" t="s">
        <v>359</v>
      </c>
      <c r="D16">
        <v>20000</v>
      </c>
      <c r="E16">
        <v>1</v>
      </c>
      <c r="F16" s="3">
        <f t="shared" si="0"/>
        <v>20000</v>
      </c>
    </row>
    <row r="17" spans="6:6" x14ac:dyDescent="0.25">
      <c r="F17">
        <f>SUM(F6:F16)</f>
        <v>457000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6:H24"/>
  <sheetViews>
    <sheetView workbookViewId="0">
      <selection activeCell="C7" sqref="C7:H7"/>
    </sheetView>
  </sheetViews>
  <sheetFormatPr defaultRowHeight="15" x14ac:dyDescent="0.25"/>
  <cols>
    <col min="8" max="8" width="30.28515625" customWidth="1"/>
  </cols>
  <sheetData>
    <row r="6" spans="2:8" ht="15.75" thickBot="1" x14ac:dyDescent="0.3">
      <c r="B6" s="73"/>
      <c r="C6" s="3"/>
      <c r="D6" s="25"/>
      <c r="E6" s="25"/>
      <c r="F6" s="25"/>
      <c r="G6" s="25"/>
      <c r="H6" s="25"/>
    </row>
    <row r="7" spans="2:8" ht="275.25" customHeight="1" thickBot="1" x14ac:dyDescent="0.3">
      <c r="B7" s="73"/>
      <c r="C7" s="134" t="s">
        <v>294</v>
      </c>
      <c r="D7" s="135"/>
      <c r="E7" s="135"/>
      <c r="F7" s="135"/>
      <c r="G7" s="135"/>
      <c r="H7" s="136"/>
    </row>
    <row r="8" spans="2:8" ht="15.75" thickBot="1" x14ac:dyDescent="0.3">
      <c r="B8" s="73"/>
      <c r="C8" s="3"/>
      <c r="D8" s="25"/>
      <c r="E8" s="25"/>
      <c r="F8" s="25"/>
      <c r="G8" s="25"/>
      <c r="H8" s="25"/>
    </row>
    <row r="9" spans="2:8" x14ac:dyDescent="0.25">
      <c r="B9" s="73"/>
      <c r="C9" s="137" t="s">
        <v>295</v>
      </c>
      <c r="D9" s="138"/>
      <c r="E9" s="138"/>
      <c r="F9" s="138"/>
      <c r="G9" s="138"/>
      <c r="H9" s="139"/>
    </row>
    <row r="10" spans="2:8" x14ac:dyDescent="0.25">
      <c r="B10" s="73"/>
      <c r="C10" s="140"/>
      <c r="D10" s="141"/>
      <c r="E10" s="141"/>
      <c r="F10" s="141"/>
      <c r="G10" s="141"/>
      <c r="H10" s="142"/>
    </row>
    <row r="11" spans="2:8" x14ac:dyDescent="0.25">
      <c r="B11" s="73"/>
      <c r="C11" s="140"/>
      <c r="D11" s="141"/>
      <c r="E11" s="141"/>
      <c r="F11" s="141"/>
      <c r="G11" s="141"/>
      <c r="H11" s="142"/>
    </row>
    <row r="12" spans="2:8" x14ac:dyDescent="0.25">
      <c r="B12" s="73"/>
      <c r="C12" s="140"/>
      <c r="D12" s="141"/>
      <c r="E12" s="141"/>
      <c r="F12" s="141"/>
      <c r="G12" s="141"/>
      <c r="H12" s="142"/>
    </row>
    <row r="13" spans="2:8" x14ac:dyDescent="0.25">
      <c r="B13" s="73"/>
      <c r="C13" s="140"/>
      <c r="D13" s="141"/>
      <c r="E13" s="141"/>
      <c r="F13" s="141"/>
      <c r="G13" s="141"/>
      <c r="H13" s="142"/>
    </row>
    <row r="14" spans="2:8" x14ac:dyDescent="0.25">
      <c r="B14" s="73"/>
      <c r="C14" s="140"/>
      <c r="D14" s="141"/>
      <c r="E14" s="141"/>
      <c r="F14" s="141"/>
      <c r="G14" s="141"/>
      <c r="H14" s="142"/>
    </row>
    <row r="15" spans="2:8" x14ac:dyDescent="0.25">
      <c r="B15" s="73"/>
      <c r="C15" s="140"/>
      <c r="D15" s="141"/>
      <c r="E15" s="141"/>
      <c r="F15" s="141"/>
      <c r="G15" s="141"/>
      <c r="H15" s="142"/>
    </row>
    <row r="16" spans="2:8" x14ac:dyDescent="0.25">
      <c r="B16" s="73"/>
      <c r="C16" s="140"/>
      <c r="D16" s="141"/>
      <c r="E16" s="141"/>
      <c r="F16" s="141"/>
      <c r="G16" s="141"/>
      <c r="H16" s="142"/>
    </row>
    <row r="17" spans="2:8" x14ac:dyDescent="0.25">
      <c r="B17" s="73"/>
      <c r="C17" s="140"/>
      <c r="D17" s="141"/>
      <c r="E17" s="141"/>
      <c r="F17" s="141"/>
      <c r="G17" s="141"/>
      <c r="H17" s="142"/>
    </row>
    <row r="18" spans="2:8" x14ac:dyDescent="0.25">
      <c r="B18" s="73"/>
      <c r="C18" s="140"/>
      <c r="D18" s="141"/>
      <c r="E18" s="141"/>
      <c r="F18" s="141"/>
      <c r="G18" s="141"/>
      <c r="H18" s="142"/>
    </row>
    <row r="19" spans="2:8" ht="9.75" customHeight="1" x14ac:dyDescent="0.25">
      <c r="B19" s="73"/>
      <c r="C19" s="140"/>
      <c r="D19" s="141"/>
      <c r="E19" s="141"/>
      <c r="F19" s="141"/>
      <c r="G19" s="141"/>
      <c r="H19" s="142"/>
    </row>
    <row r="20" spans="2:8" hidden="1" x14ac:dyDescent="0.25">
      <c r="B20" s="73"/>
      <c r="C20" s="140"/>
      <c r="D20" s="141"/>
      <c r="E20" s="141"/>
      <c r="F20" s="141"/>
      <c r="G20" s="141"/>
      <c r="H20" s="142"/>
    </row>
    <row r="21" spans="2:8" hidden="1" x14ac:dyDescent="0.25">
      <c r="B21" s="73"/>
      <c r="C21" s="140"/>
      <c r="D21" s="141"/>
      <c r="E21" s="141"/>
      <c r="F21" s="141"/>
      <c r="G21" s="141"/>
      <c r="H21" s="142"/>
    </row>
    <row r="22" spans="2:8" hidden="1" x14ac:dyDescent="0.25">
      <c r="B22" s="73"/>
      <c r="C22" s="140"/>
      <c r="D22" s="141"/>
      <c r="E22" s="141"/>
      <c r="F22" s="141"/>
      <c r="G22" s="141"/>
      <c r="H22" s="142"/>
    </row>
    <row r="23" spans="2:8" hidden="1" x14ac:dyDescent="0.25">
      <c r="B23" s="73"/>
      <c r="C23" s="140"/>
      <c r="D23" s="141"/>
      <c r="E23" s="141"/>
      <c r="F23" s="141"/>
      <c r="G23" s="141"/>
      <c r="H23" s="142"/>
    </row>
    <row r="24" spans="2:8" ht="9.75" customHeight="1" thickBot="1" x14ac:dyDescent="0.3">
      <c r="B24" s="73"/>
      <c r="C24" s="143"/>
      <c r="D24" s="144"/>
      <c r="E24" s="144"/>
      <c r="F24" s="144"/>
      <c r="G24" s="144"/>
      <c r="H24" s="145"/>
    </row>
  </sheetData>
  <mergeCells count="2">
    <mergeCell ref="C7:H7"/>
    <mergeCell ref="C9:H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6</vt:i4>
      </vt:variant>
      <vt:variant>
        <vt:lpstr>Именованные диапазоны</vt:lpstr>
      </vt:variant>
      <vt:variant>
        <vt:i4>2</vt:i4>
      </vt:variant>
    </vt:vector>
  </HeadingPairs>
  <TitlesOfParts>
    <vt:vector size="8" baseType="lpstr">
      <vt:lpstr>Общий</vt:lpstr>
      <vt:lpstr>ОБЩИЙ 26</vt:lpstr>
      <vt:lpstr>ТОНИРОВКА</vt:lpstr>
      <vt:lpstr>ПЛЕНКА</vt:lpstr>
      <vt:lpstr>Лист1</vt:lpstr>
      <vt:lpstr>ФМ</vt:lpstr>
      <vt:lpstr>Общий!Область_печати</vt:lpstr>
      <vt:lpstr>'ОБЩИЙ 26'!Область_печати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market</dc:creator>
  <cp:lastModifiedBy>Александр Салынский</cp:lastModifiedBy>
  <cp:lastPrinted>2025-02-05T11:39:56Z</cp:lastPrinted>
  <dcterms:created xsi:type="dcterms:W3CDTF">2019-04-10T11:18:38Z</dcterms:created>
  <dcterms:modified xsi:type="dcterms:W3CDTF">2026-04-07T07:42:07Z</dcterms:modified>
</cp:coreProperties>
</file>