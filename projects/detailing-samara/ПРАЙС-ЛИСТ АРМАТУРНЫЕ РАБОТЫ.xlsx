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Лист1" sheetId="1" r:id="rId1"/>
    <sheet name="АРМАТУРНЫЕ РАБОТЫ" sheetId="3" r:id="rId2"/>
    <sheet name="ТОНИРОВКА СТЕКОЛ" sheetId="4" r:id="rId3"/>
  </sheets>
  <definedNames>
    <definedName name="_xlnm.Print_Area" localSheetId="1">'АРМАТУРНЫЕ РАБОТЫ'!$A$3:$AO$141</definedName>
  </definedNames>
  <calcPr calcId="152511"/>
</workbook>
</file>

<file path=xl/calcChain.xml><?xml version="1.0" encoding="utf-8"?>
<calcChain xmlns="http://schemas.openxmlformats.org/spreadsheetml/2006/main">
  <c r="AJ154" i="3" l="1"/>
  <c r="AD154" i="3"/>
  <c r="X154" i="3"/>
  <c r="R154" i="3"/>
  <c r="L151" i="3"/>
  <c r="L154" i="3"/>
  <c r="AJ160" i="3"/>
  <c r="AD160" i="3"/>
  <c r="X160" i="3"/>
  <c r="R160" i="3"/>
  <c r="L160" i="3"/>
  <c r="AJ157" i="3"/>
  <c r="AD157" i="3"/>
  <c r="X157" i="3"/>
  <c r="R157" i="3"/>
  <c r="L157" i="3"/>
  <c r="AJ151" i="3"/>
  <c r="AD151" i="3"/>
  <c r="X151" i="3"/>
  <c r="R151" i="3"/>
  <c r="AJ163" i="3"/>
  <c r="AD163" i="3"/>
  <c r="X163" i="3"/>
  <c r="R163" i="3"/>
  <c r="L163" i="3"/>
  <c r="R166" i="3"/>
  <c r="AJ166" i="3"/>
  <c r="AD166" i="3"/>
  <c r="X166" i="3"/>
  <c r="L166" i="3"/>
  <c r="BA39" i="4"/>
  <c r="BA31" i="4"/>
  <c r="BA29" i="4"/>
  <c r="BA27" i="4"/>
  <c r="BA17" i="4"/>
  <c r="BA15" i="4"/>
  <c r="BA13" i="4"/>
  <c r="AY35" i="4"/>
  <c r="AX35" i="4"/>
  <c r="BC35" i="4" s="1"/>
  <c r="AV35" i="4" s="1"/>
  <c r="AW35" i="4" s="1"/>
  <c r="AY33" i="4"/>
  <c r="AX33" i="4"/>
  <c r="BC33" i="4" s="1"/>
  <c r="AV33" i="4" s="1"/>
  <c r="AW33" i="4" s="1"/>
  <c r="AY31" i="4"/>
  <c r="AX31" i="4"/>
  <c r="BC31" i="4" s="1"/>
  <c r="AV31" i="4" s="1"/>
  <c r="AW31" i="4" s="1"/>
  <c r="AY29" i="4"/>
  <c r="AX29" i="4"/>
  <c r="BC29" i="4" s="1"/>
  <c r="AV29" i="4" s="1"/>
  <c r="AW29" i="4" s="1"/>
  <c r="AY27" i="4"/>
  <c r="AX27" i="4"/>
  <c r="BC27" i="4" s="1"/>
  <c r="AY25" i="4"/>
  <c r="AX25" i="4"/>
  <c r="AR31" i="4"/>
  <c r="AR29" i="4"/>
  <c r="AR27" i="4"/>
  <c r="AP35" i="4"/>
  <c r="AO35" i="4"/>
  <c r="AT35" i="4" s="1"/>
  <c r="AM35" i="4" s="1"/>
  <c r="AN35" i="4" s="1"/>
  <c r="AP33" i="4"/>
  <c r="AO33" i="4"/>
  <c r="AT33" i="4" s="1"/>
  <c r="AM33" i="4" s="1"/>
  <c r="AN33" i="4" s="1"/>
  <c r="AP31" i="4"/>
  <c r="AO31" i="4"/>
  <c r="AT31" i="4" s="1"/>
  <c r="AM31" i="4" s="1"/>
  <c r="AN31" i="4" s="1"/>
  <c r="AP29" i="4"/>
  <c r="AO29" i="4"/>
  <c r="AT29" i="4" s="1"/>
  <c r="AM29" i="4" s="1"/>
  <c r="AN29" i="4" s="1"/>
  <c r="AP27" i="4"/>
  <c r="AO27" i="4"/>
  <c r="AT27" i="4" s="1"/>
  <c r="AM27" i="4" s="1"/>
  <c r="AN27" i="4" s="1"/>
  <c r="AP25" i="4"/>
  <c r="AO25" i="4"/>
  <c r="AR17" i="4"/>
  <c r="AR15" i="4"/>
  <c r="AR13" i="4"/>
  <c r="AR39" i="4"/>
  <c r="AP21" i="4"/>
  <c r="AO21" i="4"/>
  <c r="AT21" i="4" s="1"/>
  <c r="AM21" i="4" s="1"/>
  <c r="AP19" i="4"/>
  <c r="AO19" i="4"/>
  <c r="AT19" i="4" s="1"/>
  <c r="AM19" i="4" s="1"/>
  <c r="AN19" i="4" s="1"/>
  <c r="AP17" i="4"/>
  <c r="AO17" i="4"/>
  <c r="AP15" i="4"/>
  <c r="AO15" i="4"/>
  <c r="AP13" i="4"/>
  <c r="AO13" i="4"/>
  <c r="AP11" i="4"/>
  <c r="AO11" i="4"/>
  <c r="AI39" i="4"/>
  <c r="AI31" i="4"/>
  <c r="AI29" i="4"/>
  <c r="AI27" i="4"/>
  <c r="AG35" i="4"/>
  <c r="AF35" i="4"/>
  <c r="AG33" i="4"/>
  <c r="AF33" i="4"/>
  <c r="AG31" i="4"/>
  <c r="AF31" i="4"/>
  <c r="AG29" i="4"/>
  <c r="AF29" i="4"/>
  <c r="AK29" i="4" s="1"/>
  <c r="AG27" i="4"/>
  <c r="AF27" i="4"/>
  <c r="AK27" i="4" s="1"/>
  <c r="AG25" i="4"/>
  <c r="AF25" i="4"/>
  <c r="AI17" i="4"/>
  <c r="AI15" i="4"/>
  <c r="AI13" i="4"/>
  <c r="AY21" i="4"/>
  <c r="AX21" i="4"/>
  <c r="BC21" i="4" s="1"/>
  <c r="AV21" i="4" s="1"/>
  <c r="AW21" i="4" s="1"/>
  <c r="AY19" i="4"/>
  <c r="AX19" i="4"/>
  <c r="BC19" i="4" s="1"/>
  <c r="AV19" i="4" s="1"/>
  <c r="AW19" i="4" s="1"/>
  <c r="AY17" i="4"/>
  <c r="AX17" i="4"/>
  <c r="AY15" i="4"/>
  <c r="AX15" i="4"/>
  <c r="AY13" i="4"/>
  <c r="AX13" i="4"/>
  <c r="AY11" i="4"/>
  <c r="AX11" i="4"/>
  <c r="AG21" i="4"/>
  <c r="AF21" i="4"/>
  <c r="AK21" i="4" s="1"/>
  <c r="AD21" i="4" s="1"/>
  <c r="AE21" i="4" s="1"/>
  <c r="AG19" i="4"/>
  <c r="AF19" i="4"/>
  <c r="AG17" i="4"/>
  <c r="AF17" i="4"/>
  <c r="AG15" i="4"/>
  <c r="AF15" i="4"/>
  <c r="AG13" i="4"/>
  <c r="AF13" i="4"/>
  <c r="AK13" i="4" s="1"/>
  <c r="AD13" i="4" s="1"/>
  <c r="AE13" i="4" s="1"/>
  <c r="AG11" i="4"/>
  <c r="AF11" i="4"/>
  <c r="Z39" i="4"/>
  <c r="Z31" i="4"/>
  <c r="Z29" i="4"/>
  <c r="Z27" i="4"/>
  <c r="Z17" i="4"/>
  <c r="Z15" i="4"/>
  <c r="Z13" i="4"/>
  <c r="Q39" i="4"/>
  <c r="M43" i="4"/>
  <c r="M45" i="4"/>
  <c r="U45" i="4"/>
  <c r="U43" i="4"/>
  <c r="L45" i="4"/>
  <c r="L43" i="4"/>
  <c r="L35" i="4"/>
  <c r="L33" i="4"/>
  <c r="L25" i="4"/>
  <c r="L21" i="4"/>
  <c r="L19" i="4"/>
  <c r="L11" i="4"/>
  <c r="X21" i="4"/>
  <c r="W21" i="4"/>
  <c r="AB21" i="4" s="1"/>
  <c r="X19" i="4"/>
  <c r="W19" i="4"/>
  <c r="X17" i="4"/>
  <c r="W17" i="4"/>
  <c r="AB17" i="4" s="1"/>
  <c r="X15" i="4"/>
  <c r="W15" i="4"/>
  <c r="AB15" i="4" s="1"/>
  <c r="X13" i="4"/>
  <c r="W13" i="4"/>
  <c r="X11" i="4"/>
  <c r="W11" i="4"/>
  <c r="X45" i="4"/>
  <c r="W45" i="4"/>
  <c r="AB45" i="4" s="1"/>
  <c r="X43" i="4"/>
  <c r="W43" i="4"/>
  <c r="X35" i="4"/>
  <c r="U35" i="4" s="1"/>
  <c r="W35" i="4"/>
  <c r="AB35" i="4" s="1"/>
  <c r="X33" i="4"/>
  <c r="U33" i="4" s="1"/>
  <c r="W33" i="4"/>
  <c r="AB33" i="4" s="1"/>
  <c r="X31" i="4"/>
  <c r="U31" i="4" s="1"/>
  <c r="W31" i="4"/>
  <c r="AB31" i="4" s="1"/>
  <c r="X29" i="4"/>
  <c r="U29" i="4" s="1"/>
  <c r="W29" i="4"/>
  <c r="AB29" i="4" s="1"/>
  <c r="X27" i="4"/>
  <c r="W27" i="4"/>
  <c r="AB27" i="4" s="1"/>
  <c r="X25" i="4"/>
  <c r="W25" i="4"/>
  <c r="N43" i="4"/>
  <c r="N45" i="4"/>
  <c r="S45" i="4"/>
  <c r="S43" i="4"/>
  <c r="M35" i="4"/>
  <c r="M33" i="4"/>
  <c r="M25" i="4"/>
  <c r="N35" i="4"/>
  <c r="N33" i="4"/>
  <c r="N31" i="4"/>
  <c r="N29" i="4"/>
  <c r="N27" i="4"/>
  <c r="N25" i="4"/>
  <c r="N21" i="4"/>
  <c r="N19" i="4"/>
  <c r="N17" i="4"/>
  <c r="N15" i="4"/>
  <c r="N13" i="4"/>
  <c r="N11" i="4"/>
  <c r="S35" i="4"/>
  <c r="S33" i="4"/>
  <c r="S31" i="4"/>
  <c r="S29" i="4"/>
  <c r="S25" i="4"/>
  <c r="F59" i="4"/>
  <c r="U27" i="4" l="1"/>
  <c r="AV27" i="4"/>
  <c r="AW27" i="4" s="1"/>
  <c r="U15" i="4"/>
  <c r="AD27" i="4"/>
  <c r="AE27" i="4" s="1"/>
  <c r="U17" i="4"/>
  <c r="V17" i="4" s="1"/>
  <c r="AD29" i="4"/>
  <c r="AE29" i="4" s="1"/>
  <c r="AV25" i="4"/>
  <c r="AW25" i="4" s="1"/>
  <c r="BC25" i="4"/>
  <c r="AT25" i="4"/>
  <c r="AM25" i="4" s="1"/>
  <c r="AN25" i="4" s="1"/>
  <c r="BC17" i="4"/>
  <c r="AV17" i="4" s="1"/>
  <c r="AW17" i="4" s="1"/>
  <c r="BC15" i="4"/>
  <c r="AV15" i="4" s="1"/>
  <c r="AW15" i="4" s="1"/>
  <c r="BC13" i="4"/>
  <c r="AV13" i="4" s="1"/>
  <c r="AW13" i="4" s="1"/>
  <c r="AT17" i="4"/>
  <c r="AM17" i="4" s="1"/>
  <c r="AN17" i="4" s="1"/>
  <c r="AT15" i="4"/>
  <c r="AM15" i="4" s="1"/>
  <c r="AN15" i="4" s="1"/>
  <c r="AT13" i="4"/>
  <c r="AM13" i="4" s="1"/>
  <c r="AN13" i="4" s="1"/>
  <c r="AT11" i="4"/>
  <c r="AM11" i="4" s="1"/>
  <c r="AN11" i="4" s="1"/>
  <c r="AN21" i="4"/>
  <c r="AK31" i="4"/>
  <c r="AK33" i="4"/>
  <c r="AD33" i="4" s="1"/>
  <c r="AE33" i="4" s="1"/>
  <c r="AK35" i="4"/>
  <c r="AD35" i="4" s="1"/>
  <c r="AE35" i="4" s="1"/>
  <c r="AK19" i="4"/>
  <c r="AD19" i="4" s="1"/>
  <c r="AE19" i="4" s="1"/>
  <c r="AK17" i="4"/>
  <c r="AD17" i="4" s="1"/>
  <c r="AE17" i="4" s="1"/>
  <c r="AK15" i="4"/>
  <c r="AD31" i="4"/>
  <c r="AE31" i="4" s="1"/>
  <c r="AK25" i="4"/>
  <c r="AD25" i="4" s="1"/>
  <c r="AE25" i="4" s="1"/>
  <c r="BC11" i="4"/>
  <c r="AV11" i="4" s="1"/>
  <c r="AW11" i="4" s="1"/>
  <c r="AD15" i="4"/>
  <c r="AE15" i="4" s="1"/>
  <c r="AK11" i="4"/>
  <c r="AD11" i="4" s="1"/>
  <c r="AE11" i="4" s="1"/>
  <c r="V35" i="4"/>
  <c r="V33" i="4"/>
  <c r="V31" i="4"/>
  <c r="U21" i="4"/>
  <c r="V21" i="4" s="1"/>
  <c r="AB19" i="4"/>
  <c r="V29" i="4"/>
  <c r="V27" i="4"/>
  <c r="V15" i="4"/>
  <c r="AB43" i="4"/>
  <c r="AB13" i="4"/>
  <c r="AB11" i="4"/>
  <c r="AB25" i="4"/>
  <c r="S27" i="4"/>
  <c r="S15" i="4"/>
  <c r="S13" i="4"/>
  <c r="S17" i="4"/>
  <c r="S19" i="4"/>
  <c r="S21" i="4"/>
  <c r="S11" i="4"/>
  <c r="O35" i="4"/>
  <c r="O33" i="4"/>
  <c r="O31" i="4"/>
  <c r="O29" i="4"/>
  <c r="O27" i="4"/>
  <c r="O25" i="4"/>
  <c r="O21" i="4"/>
  <c r="O19" i="4"/>
  <c r="O17" i="4"/>
  <c r="O15" i="4"/>
  <c r="O13" i="4"/>
  <c r="O11" i="4"/>
  <c r="O45" i="4"/>
  <c r="O43" i="4"/>
  <c r="F61" i="4"/>
  <c r="F63" i="4"/>
  <c r="F57" i="4"/>
  <c r="Q31" i="4"/>
  <c r="L31" i="4" s="1"/>
  <c r="M31" i="4" s="1"/>
  <c r="Q29" i="4"/>
  <c r="L29" i="4" s="1"/>
  <c r="M29" i="4" s="1"/>
  <c r="Q27" i="4"/>
  <c r="L27" i="4" s="1"/>
  <c r="M27" i="4" s="1"/>
  <c r="Q15" i="4"/>
  <c r="L15" i="4" s="1"/>
  <c r="M15" i="4" s="1"/>
  <c r="Q17" i="4"/>
  <c r="L17" i="4" s="1"/>
  <c r="Q13" i="4"/>
  <c r="L13" i="4" s="1"/>
  <c r="AY39" i="4" l="1"/>
  <c r="AV39" i="4" s="1"/>
  <c r="AX39" i="4" s="1"/>
  <c r="BC39" i="4" s="1"/>
  <c r="AP39" i="4"/>
  <c r="AM39" i="4" s="1"/>
  <c r="AO39" i="4" s="1"/>
  <c r="AT39" i="4" s="1"/>
  <c r="X39" i="4"/>
  <c r="U39" i="4" s="1"/>
  <c r="W39" i="4" s="1"/>
  <c r="AB39" i="4" s="1"/>
  <c r="AG39" i="4"/>
  <c r="AD39" i="4" s="1"/>
  <c r="AF39" i="4" s="1"/>
  <c r="AK39" i="4" s="1"/>
  <c r="O39" i="4"/>
  <c r="L39" i="4" s="1"/>
  <c r="M13" i="4"/>
  <c r="AS39" i="4"/>
  <c r="U25" i="4"/>
  <c r="V25" i="4" s="1"/>
  <c r="U19" i="4"/>
  <c r="V19" i="4" s="1"/>
  <c r="U13" i="4"/>
  <c r="V13" i="4" s="1"/>
  <c r="U11" i="4"/>
  <c r="V11" i="4" s="1"/>
  <c r="AA39" i="4"/>
  <c r="M19" i="4"/>
  <c r="M17" i="4"/>
  <c r="M21" i="4"/>
  <c r="M11" i="4"/>
  <c r="AF50" i="3"/>
  <c r="AH50" i="3" s="1"/>
  <c r="AG50" i="3" s="1"/>
  <c r="Z50" i="3"/>
  <c r="AB50" i="3" s="1"/>
  <c r="AA50" i="3" s="1"/>
  <c r="T50" i="3"/>
  <c r="V50" i="3" s="1"/>
  <c r="U50" i="3" s="1"/>
  <c r="N50" i="3"/>
  <c r="P50" i="3" s="1"/>
  <c r="O50" i="3" s="1"/>
  <c r="AF49" i="3"/>
  <c r="AH49" i="3" s="1"/>
  <c r="AG49" i="3" s="1"/>
  <c r="Z49" i="3"/>
  <c r="AB49" i="3" s="1"/>
  <c r="AA49" i="3" s="1"/>
  <c r="T49" i="3"/>
  <c r="V49" i="3" s="1"/>
  <c r="U49" i="3" s="1"/>
  <c r="N49" i="3"/>
  <c r="P49" i="3" s="1"/>
  <c r="O49" i="3" s="1"/>
  <c r="AF132" i="3"/>
  <c r="AH132" i="3" s="1"/>
  <c r="AG132" i="3" s="1"/>
  <c r="Z132" i="3"/>
  <c r="AB132" i="3" s="1"/>
  <c r="AA132" i="3" s="1"/>
  <c r="T132" i="3"/>
  <c r="V132" i="3" s="1"/>
  <c r="U132" i="3" s="1"/>
  <c r="N132" i="3"/>
  <c r="P132" i="3" s="1"/>
  <c r="O132" i="3" s="1"/>
  <c r="AF131" i="3"/>
  <c r="AH131" i="3" s="1"/>
  <c r="AG131" i="3" s="1"/>
  <c r="Z131" i="3"/>
  <c r="AB131" i="3" s="1"/>
  <c r="AA131" i="3" s="1"/>
  <c r="T131" i="3"/>
  <c r="V131" i="3" s="1"/>
  <c r="U131" i="3" s="1"/>
  <c r="N131" i="3"/>
  <c r="P131" i="3" s="1"/>
  <c r="O131" i="3" s="1"/>
  <c r="AF35" i="3"/>
  <c r="AH35" i="3" s="1"/>
  <c r="AG35" i="3" s="1"/>
  <c r="Z35" i="3"/>
  <c r="AB35" i="3" s="1"/>
  <c r="AA35" i="3" s="1"/>
  <c r="T35" i="3"/>
  <c r="V35" i="3" s="1"/>
  <c r="U35" i="3" s="1"/>
  <c r="N35" i="3"/>
  <c r="P35" i="3" s="1"/>
  <c r="O35" i="3" s="1"/>
  <c r="AL140" i="3"/>
  <c r="AN140" i="3" s="1"/>
  <c r="AM140" i="3" s="1"/>
  <c r="AL139" i="3"/>
  <c r="AN139" i="3" s="1"/>
  <c r="AM139" i="3" s="1"/>
  <c r="AL137" i="3"/>
  <c r="AN137" i="3" s="1"/>
  <c r="AM137" i="3" s="1"/>
  <c r="AL136" i="3"/>
  <c r="AN136" i="3" s="1"/>
  <c r="AM136" i="3" s="1"/>
  <c r="AL135" i="3"/>
  <c r="AN135" i="3" s="1"/>
  <c r="AM135" i="3" s="1"/>
  <c r="AL134" i="3"/>
  <c r="AN134" i="3" s="1"/>
  <c r="AM134" i="3" s="1"/>
  <c r="AL132" i="3"/>
  <c r="AN132" i="3" s="1"/>
  <c r="AM132" i="3" s="1"/>
  <c r="AL131" i="3"/>
  <c r="AN131" i="3" s="1"/>
  <c r="AM131" i="3" s="1"/>
  <c r="AL129" i="3"/>
  <c r="AN129" i="3" s="1"/>
  <c r="AM129" i="3" s="1"/>
  <c r="AL128" i="3"/>
  <c r="AN128" i="3" s="1"/>
  <c r="AM128" i="3" s="1"/>
  <c r="AL126" i="3"/>
  <c r="AN126" i="3" s="1"/>
  <c r="AM126" i="3" s="1"/>
  <c r="AL125" i="3"/>
  <c r="AN125" i="3" s="1"/>
  <c r="AM125" i="3" s="1"/>
  <c r="AL124" i="3"/>
  <c r="AN124" i="3" s="1"/>
  <c r="AM124" i="3" s="1"/>
  <c r="AL123" i="3"/>
  <c r="AN123" i="3" s="1"/>
  <c r="AM123" i="3" s="1"/>
  <c r="AL121" i="3"/>
  <c r="AN121" i="3" s="1"/>
  <c r="AM121" i="3" s="1"/>
  <c r="AL120" i="3"/>
  <c r="AN120" i="3" s="1"/>
  <c r="AM120" i="3" s="1"/>
  <c r="AL119" i="3"/>
  <c r="AN119" i="3" s="1"/>
  <c r="AM119" i="3" s="1"/>
  <c r="AL118" i="3"/>
  <c r="AN118" i="3" s="1"/>
  <c r="AM118" i="3" s="1"/>
  <c r="AL116" i="3"/>
  <c r="AN116" i="3" s="1"/>
  <c r="AM116" i="3" s="1"/>
  <c r="AL115" i="3"/>
  <c r="AN115" i="3" s="1"/>
  <c r="AM115" i="3" s="1"/>
  <c r="AL113" i="3"/>
  <c r="AN113" i="3" s="1"/>
  <c r="AM113" i="3" s="1"/>
  <c r="AL112" i="3"/>
  <c r="AN112" i="3" s="1"/>
  <c r="AM112" i="3" s="1"/>
  <c r="AL110" i="3"/>
  <c r="AN110" i="3" s="1"/>
  <c r="AM110" i="3" s="1"/>
  <c r="AL109" i="3"/>
  <c r="AN109" i="3" s="1"/>
  <c r="AM109" i="3" s="1"/>
  <c r="AL107" i="3"/>
  <c r="AN107" i="3" s="1"/>
  <c r="AM107" i="3" s="1"/>
  <c r="AL106" i="3"/>
  <c r="AN106" i="3" s="1"/>
  <c r="AM106" i="3" s="1"/>
  <c r="AL104" i="3"/>
  <c r="AN104" i="3" s="1"/>
  <c r="AM104" i="3" s="1"/>
  <c r="AL103" i="3"/>
  <c r="AN103" i="3" s="1"/>
  <c r="AM103" i="3" s="1"/>
  <c r="AL101" i="3"/>
  <c r="AN101" i="3" s="1"/>
  <c r="AM101" i="3" s="1"/>
  <c r="AL100" i="3"/>
  <c r="AN100" i="3" s="1"/>
  <c r="AM100" i="3" s="1"/>
  <c r="AL99" i="3"/>
  <c r="AN99" i="3" s="1"/>
  <c r="AM99" i="3" s="1"/>
  <c r="AL98" i="3"/>
  <c r="AN98" i="3" s="1"/>
  <c r="AM98" i="3" s="1"/>
  <c r="AL96" i="3"/>
  <c r="AN96" i="3" s="1"/>
  <c r="AM96" i="3" s="1"/>
  <c r="AL95" i="3"/>
  <c r="AN95" i="3" s="1"/>
  <c r="AM95" i="3" s="1"/>
  <c r="AL94" i="3"/>
  <c r="AN94" i="3" s="1"/>
  <c r="AM94" i="3" s="1"/>
  <c r="AL93" i="3"/>
  <c r="AN93" i="3" s="1"/>
  <c r="AM93" i="3" s="1"/>
  <c r="AL18" i="3"/>
  <c r="AN18" i="3" s="1"/>
  <c r="AM18" i="3" s="1"/>
  <c r="AL17" i="3"/>
  <c r="AN17" i="3" s="1"/>
  <c r="AM17" i="3" s="1"/>
  <c r="AL16" i="3"/>
  <c r="AN16" i="3" s="1"/>
  <c r="AM16" i="3" s="1"/>
  <c r="AL15" i="3"/>
  <c r="AN15" i="3" s="1"/>
  <c r="AM15" i="3" s="1"/>
  <c r="AL91" i="3"/>
  <c r="AN91" i="3" s="1"/>
  <c r="AM91" i="3" s="1"/>
  <c r="AL90" i="3"/>
  <c r="AN90" i="3" s="1"/>
  <c r="AM90" i="3" s="1"/>
  <c r="AL88" i="3"/>
  <c r="AN88" i="3" s="1"/>
  <c r="AM88" i="3" s="1"/>
  <c r="AL87" i="3"/>
  <c r="AN87" i="3" s="1"/>
  <c r="AM87" i="3" s="1"/>
  <c r="AL85" i="3"/>
  <c r="AN85" i="3" s="1"/>
  <c r="AM85" i="3" s="1"/>
  <c r="AL84" i="3"/>
  <c r="AN84" i="3" s="1"/>
  <c r="AM84" i="3" s="1"/>
  <c r="AL82" i="3"/>
  <c r="AN82" i="3" s="1"/>
  <c r="AM82" i="3" s="1"/>
  <c r="AL81" i="3"/>
  <c r="AN81" i="3" s="1"/>
  <c r="AM81" i="3" s="1"/>
  <c r="AL79" i="3"/>
  <c r="AN79" i="3" s="1"/>
  <c r="AM79" i="3" s="1"/>
  <c r="AL78" i="3"/>
  <c r="AN78" i="3" s="1"/>
  <c r="AM78" i="3" s="1"/>
  <c r="AL76" i="3"/>
  <c r="AN76" i="3" s="1"/>
  <c r="AM76" i="3" s="1"/>
  <c r="AL75" i="3"/>
  <c r="AN75" i="3" s="1"/>
  <c r="AM75" i="3" s="1"/>
  <c r="AL73" i="3"/>
  <c r="AN73" i="3" s="1"/>
  <c r="AM73" i="3" s="1"/>
  <c r="AL72" i="3"/>
  <c r="AN72" i="3" s="1"/>
  <c r="AM72" i="3" s="1"/>
  <c r="AL70" i="3"/>
  <c r="AN70" i="3" s="1"/>
  <c r="AM70" i="3" s="1"/>
  <c r="AL69" i="3"/>
  <c r="AN69" i="3" s="1"/>
  <c r="AM69" i="3" s="1"/>
  <c r="AL67" i="3"/>
  <c r="AN67" i="3" s="1"/>
  <c r="AM67" i="3" s="1"/>
  <c r="AL66" i="3"/>
  <c r="AN66" i="3" s="1"/>
  <c r="AM66" i="3" s="1"/>
  <c r="AL64" i="3"/>
  <c r="AN64" i="3" s="1"/>
  <c r="AM64" i="3" s="1"/>
  <c r="AL63" i="3"/>
  <c r="AN63" i="3" s="1"/>
  <c r="AM63" i="3" s="1"/>
  <c r="AL61" i="3"/>
  <c r="AN61" i="3" s="1"/>
  <c r="AM61" i="3" s="1"/>
  <c r="AL60" i="3"/>
  <c r="AN60" i="3" s="1"/>
  <c r="AM60" i="3" s="1"/>
  <c r="AL59" i="3"/>
  <c r="AN59" i="3" s="1"/>
  <c r="AM59" i="3" s="1"/>
  <c r="AL58" i="3"/>
  <c r="AN58" i="3" s="1"/>
  <c r="AM58" i="3" s="1"/>
  <c r="AL56" i="3"/>
  <c r="AN56" i="3" s="1"/>
  <c r="AM56" i="3" s="1"/>
  <c r="AL55" i="3"/>
  <c r="AN55" i="3" s="1"/>
  <c r="AM55" i="3" s="1"/>
  <c r="AL53" i="3"/>
  <c r="AN53" i="3" s="1"/>
  <c r="AM53" i="3" s="1"/>
  <c r="AL52" i="3"/>
  <c r="AN52" i="3" s="1"/>
  <c r="AM52" i="3" s="1"/>
  <c r="AL47" i="3"/>
  <c r="AN47" i="3" s="1"/>
  <c r="AM47" i="3" s="1"/>
  <c r="AL46" i="3"/>
  <c r="AN46" i="3" s="1"/>
  <c r="AM46" i="3" s="1"/>
  <c r="AL44" i="3"/>
  <c r="AN44" i="3" s="1"/>
  <c r="AM44" i="3" s="1"/>
  <c r="AL43" i="3"/>
  <c r="AN43" i="3" s="1"/>
  <c r="AM43" i="3" s="1"/>
  <c r="AL41" i="3"/>
  <c r="AN41" i="3" s="1"/>
  <c r="AM41" i="3" s="1"/>
  <c r="AL40" i="3"/>
  <c r="AN40" i="3" s="1"/>
  <c r="AM40" i="3" s="1"/>
  <c r="AL38" i="3"/>
  <c r="AN38" i="3" s="1"/>
  <c r="AM38" i="3" s="1"/>
  <c r="AL37" i="3"/>
  <c r="AN37" i="3" s="1"/>
  <c r="AM37" i="3" s="1"/>
  <c r="AL35" i="3"/>
  <c r="AN35" i="3" s="1"/>
  <c r="AM35" i="3" s="1"/>
  <c r="AL34" i="3"/>
  <c r="AN34" i="3" s="1"/>
  <c r="AM34" i="3" s="1"/>
  <c r="AL33" i="3"/>
  <c r="AN33" i="3" s="1"/>
  <c r="AM33" i="3" s="1"/>
  <c r="AL32" i="3"/>
  <c r="AN32" i="3" s="1"/>
  <c r="AM32" i="3" s="1"/>
  <c r="AL13" i="3"/>
  <c r="AN13" i="3" s="1"/>
  <c r="AM13" i="3" s="1"/>
  <c r="AL12" i="3"/>
  <c r="AN12" i="3" s="1"/>
  <c r="AM12" i="3" s="1"/>
  <c r="AL11" i="3"/>
  <c r="AN11" i="3" s="1"/>
  <c r="AM11" i="3" s="1"/>
  <c r="AL10" i="3"/>
  <c r="AN10" i="3" s="1"/>
  <c r="AM10" i="3" s="1"/>
  <c r="AL30" i="3"/>
  <c r="AN30" i="3" s="1"/>
  <c r="AM30" i="3" s="1"/>
  <c r="AL29" i="3"/>
  <c r="AN29" i="3" s="1"/>
  <c r="AM29" i="3" s="1"/>
  <c r="AL27" i="3"/>
  <c r="AN27" i="3" s="1"/>
  <c r="AM27" i="3" s="1"/>
  <c r="AL26" i="3"/>
  <c r="AN26" i="3" s="1"/>
  <c r="AM26" i="3" s="1"/>
  <c r="AL24" i="3"/>
  <c r="AN24" i="3" s="1"/>
  <c r="AM24" i="3" s="1"/>
  <c r="AL23" i="3"/>
  <c r="AN23" i="3" s="1"/>
  <c r="AM23" i="3" s="1"/>
  <c r="AL21" i="3"/>
  <c r="AN21" i="3" s="1"/>
  <c r="AM21" i="3" s="1"/>
  <c r="AL20" i="3"/>
  <c r="AN20" i="3" s="1"/>
  <c r="AM20" i="3" s="1"/>
  <c r="AF140" i="3"/>
  <c r="AH140" i="3" s="1"/>
  <c r="AG140" i="3" s="1"/>
  <c r="AF139" i="3"/>
  <c r="AH139" i="3" s="1"/>
  <c r="AG139" i="3" s="1"/>
  <c r="AF137" i="3"/>
  <c r="AH137" i="3" s="1"/>
  <c r="AG137" i="3" s="1"/>
  <c r="AF136" i="3"/>
  <c r="AH136" i="3" s="1"/>
  <c r="AG136" i="3" s="1"/>
  <c r="AF135" i="3"/>
  <c r="AH135" i="3" s="1"/>
  <c r="AG135" i="3" s="1"/>
  <c r="AF134" i="3"/>
  <c r="AH134" i="3" s="1"/>
  <c r="AG134" i="3" s="1"/>
  <c r="AF129" i="3"/>
  <c r="AH129" i="3" s="1"/>
  <c r="AG129" i="3" s="1"/>
  <c r="AF128" i="3"/>
  <c r="AH128" i="3" s="1"/>
  <c r="AG128" i="3" s="1"/>
  <c r="AF126" i="3"/>
  <c r="AH126" i="3" s="1"/>
  <c r="AG126" i="3" s="1"/>
  <c r="AF125" i="3"/>
  <c r="AH125" i="3" s="1"/>
  <c r="AG125" i="3" s="1"/>
  <c r="AF124" i="3"/>
  <c r="AH124" i="3" s="1"/>
  <c r="AG124" i="3" s="1"/>
  <c r="AF123" i="3"/>
  <c r="AH123" i="3" s="1"/>
  <c r="AG123" i="3" s="1"/>
  <c r="AF121" i="3"/>
  <c r="AH121" i="3" s="1"/>
  <c r="AG121" i="3" s="1"/>
  <c r="AF120" i="3"/>
  <c r="AH120" i="3" s="1"/>
  <c r="AG120" i="3" s="1"/>
  <c r="AF119" i="3"/>
  <c r="AH119" i="3" s="1"/>
  <c r="AG119" i="3" s="1"/>
  <c r="AF118" i="3"/>
  <c r="AH118" i="3" s="1"/>
  <c r="AG118" i="3" s="1"/>
  <c r="AF116" i="3"/>
  <c r="AH116" i="3" s="1"/>
  <c r="AG116" i="3" s="1"/>
  <c r="AF115" i="3"/>
  <c r="AH115" i="3" s="1"/>
  <c r="AG115" i="3" s="1"/>
  <c r="AF113" i="3"/>
  <c r="AH113" i="3" s="1"/>
  <c r="AG113" i="3" s="1"/>
  <c r="AF112" i="3"/>
  <c r="AH112" i="3" s="1"/>
  <c r="AG112" i="3" s="1"/>
  <c r="AF110" i="3"/>
  <c r="AH110" i="3" s="1"/>
  <c r="AG110" i="3" s="1"/>
  <c r="AF109" i="3"/>
  <c r="AH109" i="3" s="1"/>
  <c r="AG109" i="3" s="1"/>
  <c r="AF107" i="3"/>
  <c r="AH107" i="3" s="1"/>
  <c r="AG107" i="3" s="1"/>
  <c r="AF106" i="3"/>
  <c r="AH106" i="3" s="1"/>
  <c r="AG106" i="3" s="1"/>
  <c r="AF104" i="3"/>
  <c r="AH104" i="3" s="1"/>
  <c r="AG104" i="3" s="1"/>
  <c r="AF103" i="3"/>
  <c r="AH103" i="3" s="1"/>
  <c r="AG103" i="3" s="1"/>
  <c r="AF101" i="3"/>
  <c r="AH101" i="3" s="1"/>
  <c r="AG101" i="3" s="1"/>
  <c r="AF100" i="3"/>
  <c r="AH100" i="3" s="1"/>
  <c r="AG100" i="3" s="1"/>
  <c r="AF99" i="3"/>
  <c r="AH99" i="3" s="1"/>
  <c r="AG99" i="3" s="1"/>
  <c r="AF98" i="3"/>
  <c r="AH98" i="3" s="1"/>
  <c r="AG98" i="3" s="1"/>
  <c r="AF96" i="3"/>
  <c r="AH96" i="3" s="1"/>
  <c r="AG96" i="3" s="1"/>
  <c r="AF95" i="3"/>
  <c r="AH95" i="3" s="1"/>
  <c r="AG95" i="3" s="1"/>
  <c r="AF94" i="3"/>
  <c r="AH94" i="3" s="1"/>
  <c r="AG94" i="3" s="1"/>
  <c r="AF93" i="3"/>
  <c r="AH93" i="3" s="1"/>
  <c r="AG93" i="3" s="1"/>
  <c r="AF18" i="3"/>
  <c r="AH18" i="3" s="1"/>
  <c r="AG18" i="3" s="1"/>
  <c r="AF17" i="3"/>
  <c r="AH17" i="3" s="1"/>
  <c r="AG17" i="3" s="1"/>
  <c r="AF16" i="3"/>
  <c r="AH16" i="3" s="1"/>
  <c r="AG16" i="3" s="1"/>
  <c r="AF15" i="3"/>
  <c r="AH15" i="3" s="1"/>
  <c r="AG15" i="3" s="1"/>
  <c r="AF91" i="3"/>
  <c r="AH91" i="3" s="1"/>
  <c r="AG91" i="3" s="1"/>
  <c r="AF90" i="3"/>
  <c r="AH90" i="3" s="1"/>
  <c r="AG90" i="3" s="1"/>
  <c r="AF88" i="3"/>
  <c r="AH88" i="3" s="1"/>
  <c r="AG88" i="3" s="1"/>
  <c r="AF87" i="3"/>
  <c r="AH87" i="3" s="1"/>
  <c r="AG87" i="3" s="1"/>
  <c r="AF85" i="3"/>
  <c r="AH85" i="3" s="1"/>
  <c r="AG85" i="3" s="1"/>
  <c r="AF84" i="3"/>
  <c r="AH84" i="3" s="1"/>
  <c r="AG84" i="3" s="1"/>
  <c r="AF82" i="3"/>
  <c r="AH82" i="3" s="1"/>
  <c r="AG82" i="3" s="1"/>
  <c r="AF81" i="3"/>
  <c r="AH81" i="3" s="1"/>
  <c r="AG81" i="3" s="1"/>
  <c r="AF79" i="3"/>
  <c r="AH79" i="3" s="1"/>
  <c r="AG79" i="3" s="1"/>
  <c r="AF78" i="3"/>
  <c r="AH78" i="3" s="1"/>
  <c r="AG78" i="3" s="1"/>
  <c r="AF76" i="3"/>
  <c r="AH76" i="3" s="1"/>
  <c r="AG76" i="3" s="1"/>
  <c r="AF75" i="3"/>
  <c r="AH75" i="3" s="1"/>
  <c r="AG75" i="3" s="1"/>
  <c r="AF73" i="3"/>
  <c r="AH73" i="3" s="1"/>
  <c r="AG73" i="3" s="1"/>
  <c r="AF72" i="3"/>
  <c r="AH72" i="3" s="1"/>
  <c r="AG72" i="3" s="1"/>
  <c r="AF70" i="3"/>
  <c r="AH70" i="3" s="1"/>
  <c r="AG70" i="3" s="1"/>
  <c r="AF69" i="3"/>
  <c r="AH69" i="3" s="1"/>
  <c r="AG69" i="3" s="1"/>
  <c r="AF67" i="3"/>
  <c r="AH67" i="3" s="1"/>
  <c r="AG67" i="3" s="1"/>
  <c r="AF66" i="3"/>
  <c r="AH66" i="3" s="1"/>
  <c r="AG66" i="3" s="1"/>
  <c r="AF64" i="3"/>
  <c r="AH64" i="3" s="1"/>
  <c r="AG64" i="3" s="1"/>
  <c r="AF63" i="3"/>
  <c r="AH63" i="3" s="1"/>
  <c r="AG63" i="3" s="1"/>
  <c r="AF61" i="3"/>
  <c r="AH61" i="3" s="1"/>
  <c r="AG61" i="3" s="1"/>
  <c r="AF60" i="3"/>
  <c r="AH60" i="3" s="1"/>
  <c r="AG60" i="3" s="1"/>
  <c r="AF59" i="3"/>
  <c r="AH59" i="3" s="1"/>
  <c r="AG59" i="3" s="1"/>
  <c r="AF58" i="3"/>
  <c r="AH58" i="3" s="1"/>
  <c r="AG58" i="3" s="1"/>
  <c r="AF56" i="3"/>
  <c r="AH56" i="3" s="1"/>
  <c r="AG56" i="3" s="1"/>
  <c r="AF55" i="3"/>
  <c r="AH55" i="3" s="1"/>
  <c r="AG55" i="3" s="1"/>
  <c r="AF53" i="3"/>
  <c r="AH53" i="3" s="1"/>
  <c r="AG53" i="3" s="1"/>
  <c r="AF52" i="3"/>
  <c r="AH52" i="3" s="1"/>
  <c r="AG52" i="3" s="1"/>
  <c r="AF47" i="3"/>
  <c r="AH47" i="3" s="1"/>
  <c r="AG47" i="3" s="1"/>
  <c r="AF46" i="3"/>
  <c r="AH46" i="3" s="1"/>
  <c r="AG46" i="3" s="1"/>
  <c r="AF44" i="3"/>
  <c r="AH44" i="3" s="1"/>
  <c r="AG44" i="3" s="1"/>
  <c r="AF43" i="3"/>
  <c r="AH43" i="3" s="1"/>
  <c r="AG43" i="3" s="1"/>
  <c r="AF41" i="3"/>
  <c r="AH41" i="3" s="1"/>
  <c r="AG41" i="3" s="1"/>
  <c r="AF40" i="3"/>
  <c r="AH40" i="3" s="1"/>
  <c r="AG40" i="3" s="1"/>
  <c r="AF38" i="3"/>
  <c r="AH38" i="3" s="1"/>
  <c r="AG38" i="3" s="1"/>
  <c r="AF37" i="3"/>
  <c r="AH37" i="3" s="1"/>
  <c r="AG37" i="3" s="1"/>
  <c r="AF34" i="3"/>
  <c r="AH34" i="3" s="1"/>
  <c r="AG34" i="3" s="1"/>
  <c r="AF33" i="3"/>
  <c r="AH33" i="3" s="1"/>
  <c r="AG33" i="3" s="1"/>
  <c r="AF32" i="3"/>
  <c r="AH32" i="3" s="1"/>
  <c r="AG32" i="3" s="1"/>
  <c r="AF13" i="3"/>
  <c r="AH13" i="3" s="1"/>
  <c r="AG13" i="3" s="1"/>
  <c r="AF12" i="3"/>
  <c r="AH12" i="3" s="1"/>
  <c r="AG12" i="3" s="1"/>
  <c r="AF11" i="3"/>
  <c r="AH11" i="3" s="1"/>
  <c r="AG11" i="3" s="1"/>
  <c r="AF10" i="3"/>
  <c r="AH10" i="3" s="1"/>
  <c r="AG10" i="3" s="1"/>
  <c r="AF30" i="3"/>
  <c r="AH30" i="3" s="1"/>
  <c r="AG30" i="3" s="1"/>
  <c r="AF29" i="3"/>
  <c r="AH29" i="3" s="1"/>
  <c r="AG29" i="3" s="1"/>
  <c r="AF27" i="3"/>
  <c r="AH27" i="3" s="1"/>
  <c r="AG27" i="3" s="1"/>
  <c r="AF26" i="3"/>
  <c r="AH26" i="3" s="1"/>
  <c r="AG26" i="3" s="1"/>
  <c r="AF24" i="3"/>
  <c r="AH24" i="3" s="1"/>
  <c r="AG24" i="3" s="1"/>
  <c r="AF23" i="3"/>
  <c r="AH23" i="3" s="1"/>
  <c r="AG23" i="3" s="1"/>
  <c r="AF21" i="3"/>
  <c r="AH21" i="3" s="1"/>
  <c r="AG21" i="3" s="1"/>
  <c r="AF20" i="3"/>
  <c r="AH20" i="3" s="1"/>
  <c r="AG20" i="3" s="1"/>
  <c r="Z140" i="3"/>
  <c r="AB140" i="3" s="1"/>
  <c r="AA140" i="3" s="1"/>
  <c r="Z139" i="3"/>
  <c r="AB139" i="3" s="1"/>
  <c r="AA139" i="3" s="1"/>
  <c r="Z137" i="3"/>
  <c r="AB137" i="3" s="1"/>
  <c r="AA137" i="3" s="1"/>
  <c r="Z136" i="3"/>
  <c r="AB136" i="3" s="1"/>
  <c r="AA136" i="3" s="1"/>
  <c r="Z135" i="3"/>
  <c r="AB135" i="3" s="1"/>
  <c r="AA135" i="3" s="1"/>
  <c r="Z134" i="3"/>
  <c r="AB134" i="3" s="1"/>
  <c r="AA134" i="3" s="1"/>
  <c r="Z129" i="3"/>
  <c r="AB129" i="3" s="1"/>
  <c r="AA129" i="3" s="1"/>
  <c r="Z128" i="3"/>
  <c r="AB128" i="3" s="1"/>
  <c r="AA128" i="3" s="1"/>
  <c r="Z126" i="3"/>
  <c r="AB126" i="3" s="1"/>
  <c r="AA126" i="3" s="1"/>
  <c r="Z125" i="3"/>
  <c r="AB125" i="3" s="1"/>
  <c r="AA125" i="3" s="1"/>
  <c r="Z124" i="3"/>
  <c r="AB124" i="3" s="1"/>
  <c r="AA124" i="3" s="1"/>
  <c r="Z123" i="3"/>
  <c r="AB123" i="3" s="1"/>
  <c r="AA123" i="3" s="1"/>
  <c r="Z121" i="3"/>
  <c r="AB121" i="3" s="1"/>
  <c r="AA121" i="3" s="1"/>
  <c r="Z120" i="3"/>
  <c r="AB120" i="3" s="1"/>
  <c r="AA120" i="3" s="1"/>
  <c r="Z119" i="3"/>
  <c r="AB119" i="3" s="1"/>
  <c r="AA119" i="3" s="1"/>
  <c r="Z118" i="3"/>
  <c r="AB118" i="3" s="1"/>
  <c r="AA118" i="3" s="1"/>
  <c r="Z116" i="3"/>
  <c r="AB116" i="3" s="1"/>
  <c r="AA116" i="3" s="1"/>
  <c r="Z115" i="3"/>
  <c r="AB115" i="3" s="1"/>
  <c r="AA115" i="3" s="1"/>
  <c r="Z113" i="3"/>
  <c r="AB113" i="3" s="1"/>
  <c r="AA113" i="3" s="1"/>
  <c r="Z112" i="3"/>
  <c r="AB112" i="3" s="1"/>
  <c r="AA112" i="3" s="1"/>
  <c r="Z110" i="3"/>
  <c r="AB110" i="3" s="1"/>
  <c r="AA110" i="3" s="1"/>
  <c r="Z109" i="3"/>
  <c r="AB109" i="3" s="1"/>
  <c r="AA109" i="3" s="1"/>
  <c r="Z107" i="3"/>
  <c r="AB107" i="3" s="1"/>
  <c r="AA107" i="3" s="1"/>
  <c r="Z106" i="3"/>
  <c r="AB106" i="3" s="1"/>
  <c r="AA106" i="3" s="1"/>
  <c r="Z104" i="3"/>
  <c r="AB104" i="3" s="1"/>
  <c r="AA104" i="3" s="1"/>
  <c r="Z103" i="3"/>
  <c r="AB103" i="3" s="1"/>
  <c r="AA103" i="3" s="1"/>
  <c r="Z101" i="3"/>
  <c r="AB101" i="3" s="1"/>
  <c r="AA101" i="3" s="1"/>
  <c r="Z100" i="3"/>
  <c r="AB100" i="3" s="1"/>
  <c r="AA100" i="3" s="1"/>
  <c r="Z99" i="3"/>
  <c r="AB99" i="3" s="1"/>
  <c r="AA99" i="3" s="1"/>
  <c r="Z98" i="3"/>
  <c r="AB98" i="3" s="1"/>
  <c r="AA98" i="3" s="1"/>
  <c r="Z96" i="3"/>
  <c r="AB96" i="3" s="1"/>
  <c r="AA96" i="3" s="1"/>
  <c r="Z95" i="3"/>
  <c r="AB95" i="3" s="1"/>
  <c r="AA95" i="3" s="1"/>
  <c r="Z94" i="3"/>
  <c r="AB94" i="3" s="1"/>
  <c r="AA94" i="3" s="1"/>
  <c r="Z93" i="3"/>
  <c r="AB93" i="3" s="1"/>
  <c r="AA93" i="3" s="1"/>
  <c r="Z18" i="3"/>
  <c r="AB18" i="3" s="1"/>
  <c r="AA18" i="3" s="1"/>
  <c r="Z17" i="3"/>
  <c r="AB17" i="3" s="1"/>
  <c r="AA17" i="3" s="1"/>
  <c r="Z16" i="3"/>
  <c r="AB16" i="3" s="1"/>
  <c r="AA16" i="3" s="1"/>
  <c r="Z15" i="3"/>
  <c r="AB15" i="3" s="1"/>
  <c r="AA15" i="3" s="1"/>
  <c r="Z91" i="3"/>
  <c r="AB91" i="3" s="1"/>
  <c r="AA91" i="3" s="1"/>
  <c r="Z90" i="3"/>
  <c r="AB90" i="3" s="1"/>
  <c r="AA90" i="3" s="1"/>
  <c r="Z88" i="3"/>
  <c r="AB88" i="3" s="1"/>
  <c r="AA88" i="3" s="1"/>
  <c r="Z87" i="3"/>
  <c r="AB87" i="3" s="1"/>
  <c r="AA87" i="3" s="1"/>
  <c r="Z85" i="3"/>
  <c r="AB85" i="3" s="1"/>
  <c r="AA85" i="3" s="1"/>
  <c r="Z84" i="3"/>
  <c r="AB84" i="3" s="1"/>
  <c r="AA84" i="3" s="1"/>
  <c r="Z82" i="3"/>
  <c r="AB82" i="3" s="1"/>
  <c r="AA82" i="3" s="1"/>
  <c r="Z81" i="3"/>
  <c r="AB81" i="3" s="1"/>
  <c r="AA81" i="3" s="1"/>
  <c r="Z79" i="3"/>
  <c r="AB79" i="3" s="1"/>
  <c r="AA79" i="3" s="1"/>
  <c r="Z78" i="3"/>
  <c r="AB78" i="3" s="1"/>
  <c r="AA78" i="3" s="1"/>
  <c r="Z76" i="3"/>
  <c r="AB76" i="3" s="1"/>
  <c r="AA76" i="3" s="1"/>
  <c r="Z75" i="3"/>
  <c r="AB75" i="3" s="1"/>
  <c r="AA75" i="3" s="1"/>
  <c r="Z73" i="3"/>
  <c r="AB73" i="3" s="1"/>
  <c r="AA73" i="3" s="1"/>
  <c r="Z72" i="3"/>
  <c r="AB72" i="3" s="1"/>
  <c r="AA72" i="3" s="1"/>
  <c r="Z70" i="3"/>
  <c r="AB70" i="3" s="1"/>
  <c r="AA70" i="3" s="1"/>
  <c r="Z69" i="3"/>
  <c r="AB69" i="3" s="1"/>
  <c r="AA69" i="3" s="1"/>
  <c r="Z67" i="3"/>
  <c r="AB67" i="3" s="1"/>
  <c r="AA67" i="3" s="1"/>
  <c r="Z66" i="3"/>
  <c r="AB66" i="3" s="1"/>
  <c r="AA66" i="3" s="1"/>
  <c r="Z64" i="3"/>
  <c r="AB64" i="3" s="1"/>
  <c r="AA64" i="3" s="1"/>
  <c r="Z63" i="3"/>
  <c r="AB63" i="3" s="1"/>
  <c r="AA63" i="3" s="1"/>
  <c r="Z61" i="3"/>
  <c r="AB61" i="3" s="1"/>
  <c r="AA61" i="3" s="1"/>
  <c r="Z60" i="3"/>
  <c r="AB60" i="3" s="1"/>
  <c r="AA60" i="3" s="1"/>
  <c r="Z59" i="3"/>
  <c r="AB59" i="3" s="1"/>
  <c r="AA59" i="3" s="1"/>
  <c r="Z58" i="3"/>
  <c r="AB58" i="3" s="1"/>
  <c r="AA58" i="3" s="1"/>
  <c r="Z56" i="3"/>
  <c r="AB56" i="3" s="1"/>
  <c r="AA56" i="3" s="1"/>
  <c r="Z55" i="3"/>
  <c r="AB55" i="3" s="1"/>
  <c r="AA55" i="3" s="1"/>
  <c r="Z53" i="3"/>
  <c r="AB53" i="3" s="1"/>
  <c r="AA53" i="3" s="1"/>
  <c r="Z52" i="3"/>
  <c r="AB52" i="3" s="1"/>
  <c r="AA52" i="3" s="1"/>
  <c r="Z47" i="3"/>
  <c r="AB47" i="3" s="1"/>
  <c r="AA47" i="3" s="1"/>
  <c r="Z46" i="3"/>
  <c r="AB46" i="3" s="1"/>
  <c r="AA46" i="3" s="1"/>
  <c r="Z44" i="3"/>
  <c r="AB44" i="3" s="1"/>
  <c r="AA44" i="3" s="1"/>
  <c r="Z43" i="3"/>
  <c r="AB43" i="3" s="1"/>
  <c r="AA43" i="3" s="1"/>
  <c r="Z41" i="3"/>
  <c r="AB41" i="3" s="1"/>
  <c r="AA41" i="3" s="1"/>
  <c r="Z40" i="3"/>
  <c r="AB40" i="3" s="1"/>
  <c r="AA40" i="3" s="1"/>
  <c r="Z38" i="3"/>
  <c r="AB38" i="3" s="1"/>
  <c r="AA38" i="3" s="1"/>
  <c r="Z37" i="3"/>
  <c r="AB37" i="3" s="1"/>
  <c r="AA37" i="3" s="1"/>
  <c r="Z34" i="3"/>
  <c r="AB34" i="3" s="1"/>
  <c r="AA34" i="3" s="1"/>
  <c r="Z33" i="3"/>
  <c r="AB33" i="3" s="1"/>
  <c r="AA33" i="3" s="1"/>
  <c r="Z32" i="3"/>
  <c r="AB32" i="3" s="1"/>
  <c r="AA32" i="3" s="1"/>
  <c r="Z13" i="3"/>
  <c r="AB13" i="3" s="1"/>
  <c r="AA13" i="3" s="1"/>
  <c r="Z12" i="3"/>
  <c r="AB12" i="3" s="1"/>
  <c r="AA12" i="3" s="1"/>
  <c r="Z11" i="3"/>
  <c r="AB11" i="3" s="1"/>
  <c r="AA11" i="3" s="1"/>
  <c r="Z10" i="3"/>
  <c r="AB10" i="3" s="1"/>
  <c r="AA10" i="3" s="1"/>
  <c r="Z30" i="3"/>
  <c r="AB30" i="3" s="1"/>
  <c r="AA30" i="3" s="1"/>
  <c r="Z29" i="3"/>
  <c r="AB29" i="3" s="1"/>
  <c r="AA29" i="3" s="1"/>
  <c r="Z27" i="3"/>
  <c r="AB27" i="3" s="1"/>
  <c r="AA27" i="3" s="1"/>
  <c r="Z26" i="3"/>
  <c r="AB26" i="3" s="1"/>
  <c r="AA26" i="3" s="1"/>
  <c r="Z24" i="3"/>
  <c r="AB24" i="3" s="1"/>
  <c r="AA24" i="3" s="1"/>
  <c r="Z23" i="3"/>
  <c r="AB23" i="3" s="1"/>
  <c r="AA23" i="3" s="1"/>
  <c r="Z21" i="3"/>
  <c r="AB21" i="3" s="1"/>
  <c r="AA21" i="3" s="1"/>
  <c r="Z20" i="3"/>
  <c r="AB20" i="3" s="1"/>
  <c r="AA20" i="3" s="1"/>
  <c r="T140" i="3"/>
  <c r="V140" i="3" s="1"/>
  <c r="U140" i="3" s="1"/>
  <c r="T139" i="3"/>
  <c r="V139" i="3" s="1"/>
  <c r="U139" i="3" s="1"/>
  <c r="T137" i="3"/>
  <c r="V137" i="3" s="1"/>
  <c r="U137" i="3" s="1"/>
  <c r="T136" i="3"/>
  <c r="V136" i="3" s="1"/>
  <c r="U136" i="3" s="1"/>
  <c r="T135" i="3"/>
  <c r="V135" i="3" s="1"/>
  <c r="U135" i="3" s="1"/>
  <c r="T134" i="3"/>
  <c r="V134" i="3" s="1"/>
  <c r="U134" i="3" s="1"/>
  <c r="T129" i="3"/>
  <c r="V129" i="3" s="1"/>
  <c r="U129" i="3" s="1"/>
  <c r="T128" i="3"/>
  <c r="V128" i="3" s="1"/>
  <c r="U128" i="3" s="1"/>
  <c r="T126" i="3"/>
  <c r="V126" i="3" s="1"/>
  <c r="U126" i="3" s="1"/>
  <c r="T125" i="3"/>
  <c r="V125" i="3" s="1"/>
  <c r="U125" i="3" s="1"/>
  <c r="T124" i="3"/>
  <c r="V124" i="3" s="1"/>
  <c r="U124" i="3" s="1"/>
  <c r="T123" i="3"/>
  <c r="V123" i="3" s="1"/>
  <c r="U123" i="3" s="1"/>
  <c r="T121" i="3"/>
  <c r="V121" i="3" s="1"/>
  <c r="U121" i="3" s="1"/>
  <c r="T120" i="3"/>
  <c r="V120" i="3" s="1"/>
  <c r="U120" i="3" s="1"/>
  <c r="T119" i="3"/>
  <c r="V119" i="3" s="1"/>
  <c r="U119" i="3" s="1"/>
  <c r="T118" i="3"/>
  <c r="V118" i="3" s="1"/>
  <c r="U118" i="3" s="1"/>
  <c r="T116" i="3"/>
  <c r="V116" i="3" s="1"/>
  <c r="U116" i="3" s="1"/>
  <c r="T115" i="3"/>
  <c r="V115" i="3" s="1"/>
  <c r="U115" i="3" s="1"/>
  <c r="T113" i="3"/>
  <c r="V113" i="3" s="1"/>
  <c r="U113" i="3" s="1"/>
  <c r="T112" i="3"/>
  <c r="V112" i="3" s="1"/>
  <c r="U112" i="3" s="1"/>
  <c r="T110" i="3"/>
  <c r="V110" i="3" s="1"/>
  <c r="U110" i="3" s="1"/>
  <c r="T109" i="3"/>
  <c r="V109" i="3" s="1"/>
  <c r="U109" i="3" s="1"/>
  <c r="T107" i="3"/>
  <c r="V107" i="3" s="1"/>
  <c r="U107" i="3" s="1"/>
  <c r="T106" i="3"/>
  <c r="V106" i="3" s="1"/>
  <c r="U106" i="3" s="1"/>
  <c r="T104" i="3"/>
  <c r="V104" i="3" s="1"/>
  <c r="U104" i="3" s="1"/>
  <c r="T103" i="3"/>
  <c r="V103" i="3" s="1"/>
  <c r="U103" i="3" s="1"/>
  <c r="T101" i="3"/>
  <c r="V101" i="3" s="1"/>
  <c r="U101" i="3" s="1"/>
  <c r="T100" i="3"/>
  <c r="V100" i="3" s="1"/>
  <c r="U100" i="3" s="1"/>
  <c r="T99" i="3"/>
  <c r="V99" i="3" s="1"/>
  <c r="U99" i="3" s="1"/>
  <c r="T98" i="3"/>
  <c r="V98" i="3" s="1"/>
  <c r="U98" i="3" s="1"/>
  <c r="T96" i="3"/>
  <c r="V96" i="3" s="1"/>
  <c r="U96" i="3" s="1"/>
  <c r="T95" i="3"/>
  <c r="V95" i="3" s="1"/>
  <c r="U95" i="3" s="1"/>
  <c r="T94" i="3"/>
  <c r="V94" i="3" s="1"/>
  <c r="U94" i="3" s="1"/>
  <c r="T93" i="3"/>
  <c r="V93" i="3" s="1"/>
  <c r="U93" i="3" s="1"/>
  <c r="T18" i="3"/>
  <c r="V18" i="3" s="1"/>
  <c r="U18" i="3" s="1"/>
  <c r="T17" i="3"/>
  <c r="V17" i="3" s="1"/>
  <c r="U17" i="3" s="1"/>
  <c r="T16" i="3"/>
  <c r="V16" i="3" s="1"/>
  <c r="U16" i="3" s="1"/>
  <c r="T15" i="3"/>
  <c r="V15" i="3" s="1"/>
  <c r="U15" i="3" s="1"/>
  <c r="T91" i="3"/>
  <c r="V91" i="3" s="1"/>
  <c r="U91" i="3" s="1"/>
  <c r="T90" i="3"/>
  <c r="V90" i="3" s="1"/>
  <c r="U90" i="3" s="1"/>
  <c r="T88" i="3"/>
  <c r="V88" i="3" s="1"/>
  <c r="U88" i="3" s="1"/>
  <c r="T87" i="3"/>
  <c r="V87" i="3" s="1"/>
  <c r="U87" i="3" s="1"/>
  <c r="T85" i="3"/>
  <c r="V85" i="3" s="1"/>
  <c r="U85" i="3" s="1"/>
  <c r="T84" i="3"/>
  <c r="V84" i="3" s="1"/>
  <c r="U84" i="3" s="1"/>
  <c r="T82" i="3"/>
  <c r="V82" i="3" s="1"/>
  <c r="U82" i="3" s="1"/>
  <c r="T81" i="3"/>
  <c r="V81" i="3" s="1"/>
  <c r="U81" i="3" s="1"/>
  <c r="T79" i="3"/>
  <c r="V79" i="3" s="1"/>
  <c r="U79" i="3" s="1"/>
  <c r="T78" i="3"/>
  <c r="V78" i="3" s="1"/>
  <c r="U78" i="3" s="1"/>
  <c r="T76" i="3"/>
  <c r="V76" i="3" s="1"/>
  <c r="U76" i="3" s="1"/>
  <c r="T75" i="3"/>
  <c r="V75" i="3" s="1"/>
  <c r="U75" i="3" s="1"/>
  <c r="T73" i="3"/>
  <c r="V73" i="3" s="1"/>
  <c r="U73" i="3" s="1"/>
  <c r="T72" i="3"/>
  <c r="V72" i="3" s="1"/>
  <c r="U72" i="3" s="1"/>
  <c r="T70" i="3"/>
  <c r="V70" i="3" s="1"/>
  <c r="U70" i="3" s="1"/>
  <c r="T69" i="3"/>
  <c r="V69" i="3" s="1"/>
  <c r="U69" i="3" s="1"/>
  <c r="T67" i="3"/>
  <c r="V67" i="3" s="1"/>
  <c r="U67" i="3" s="1"/>
  <c r="T66" i="3"/>
  <c r="V66" i="3" s="1"/>
  <c r="U66" i="3" s="1"/>
  <c r="T64" i="3"/>
  <c r="V64" i="3" s="1"/>
  <c r="U64" i="3" s="1"/>
  <c r="T63" i="3"/>
  <c r="V63" i="3" s="1"/>
  <c r="U63" i="3" s="1"/>
  <c r="T61" i="3"/>
  <c r="V61" i="3" s="1"/>
  <c r="U61" i="3" s="1"/>
  <c r="T60" i="3"/>
  <c r="V60" i="3" s="1"/>
  <c r="U60" i="3" s="1"/>
  <c r="T59" i="3"/>
  <c r="V59" i="3" s="1"/>
  <c r="U59" i="3" s="1"/>
  <c r="T58" i="3"/>
  <c r="V58" i="3" s="1"/>
  <c r="U58" i="3" s="1"/>
  <c r="T56" i="3"/>
  <c r="V56" i="3" s="1"/>
  <c r="U56" i="3" s="1"/>
  <c r="T55" i="3"/>
  <c r="V55" i="3" s="1"/>
  <c r="U55" i="3" s="1"/>
  <c r="T53" i="3"/>
  <c r="V53" i="3" s="1"/>
  <c r="U53" i="3" s="1"/>
  <c r="T52" i="3"/>
  <c r="V52" i="3" s="1"/>
  <c r="U52" i="3" s="1"/>
  <c r="T47" i="3"/>
  <c r="V47" i="3" s="1"/>
  <c r="U47" i="3" s="1"/>
  <c r="T46" i="3"/>
  <c r="V46" i="3" s="1"/>
  <c r="U46" i="3" s="1"/>
  <c r="T44" i="3"/>
  <c r="V44" i="3" s="1"/>
  <c r="U44" i="3" s="1"/>
  <c r="T43" i="3"/>
  <c r="V43" i="3" s="1"/>
  <c r="U43" i="3" s="1"/>
  <c r="T41" i="3"/>
  <c r="V41" i="3" s="1"/>
  <c r="U41" i="3" s="1"/>
  <c r="T40" i="3"/>
  <c r="V40" i="3" s="1"/>
  <c r="U40" i="3" s="1"/>
  <c r="T38" i="3"/>
  <c r="V38" i="3" s="1"/>
  <c r="U38" i="3" s="1"/>
  <c r="T37" i="3"/>
  <c r="V37" i="3" s="1"/>
  <c r="U37" i="3" s="1"/>
  <c r="T34" i="3"/>
  <c r="V34" i="3" s="1"/>
  <c r="U34" i="3" s="1"/>
  <c r="T33" i="3"/>
  <c r="V33" i="3" s="1"/>
  <c r="U33" i="3" s="1"/>
  <c r="T32" i="3"/>
  <c r="V32" i="3" s="1"/>
  <c r="U32" i="3" s="1"/>
  <c r="T13" i="3"/>
  <c r="V13" i="3" s="1"/>
  <c r="U13" i="3" s="1"/>
  <c r="T12" i="3"/>
  <c r="V12" i="3" s="1"/>
  <c r="U12" i="3" s="1"/>
  <c r="T11" i="3"/>
  <c r="V11" i="3" s="1"/>
  <c r="U11" i="3" s="1"/>
  <c r="T10" i="3"/>
  <c r="V10" i="3" s="1"/>
  <c r="U10" i="3" s="1"/>
  <c r="T30" i="3"/>
  <c r="V30" i="3" s="1"/>
  <c r="U30" i="3" s="1"/>
  <c r="T29" i="3"/>
  <c r="V29" i="3" s="1"/>
  <c r="U29" i="3" s="1"/>
  <c r="T27" i="3"/>
  <c r="V27" i="3" s="1"/>
  <c r="U27" i="3" s="1"/>
  <c r="T26" i="3"/>
  <c r="V26" i="3" s="1"/>
  <c r="U26" i="3" s="1"/>
  <c r="T24" i="3"/>
  <c r="V24" i="3" s="1"/>
  <c r="U24" i="3" s="1"/>
  <c r="T23" i="3"/>
  <c r="V23" i="3" s="1"/>
  <c r="U23" i="3" s="1"/>
  <c r="T21" i="3"/>
  <c r="V21" i="3" s="1"/>
  <c r="U21" i="3" s="1"/>
  <c r="T20" i="3"/>
  <c r="V20" i="3" s="1"/>
  <c r="U20" i="3" s="1"/>
  <c r="N20" i="3"/>
  <c r="P20" i="3" s="1"/>
  <c r="O20" i="3" s="1"/>
  <c r="N21" i="3"/>
  <c r="P21" i="3" s="1"/>
  <c r="O21" i="3" s="1"/>
  <c r="N140" i="3"/>
  <c r="P140" i="3" s="1"/>
  <c r="O140" i="3" s="1"/>
  <c r="N24" i="3"/>
  <c r="P24" i="3" s="1"/>
  <c r="O24" i="3" s="1"/>
  <c r="N26" i="3"/>
  <c r="P26" i="3" s="1"/>
  <c r="O26" i="3" s="1"/>
  <c r="N27" i="3"/>
  <c r="P27" i="3" s="1"/>
  <c r="O27" i="3" s="1"/>
  <c r="N29" i="3"/>
  <c r="P29" i="3" s="1"/>
  <c r="O29" i="3" s="1"/>
  <c r="N30" i="3"/>
  <c r="P30" i="3" s="1"/>
  <c r="O30" i="3" s="1"/>
  <c r="N10" i="3"/>
  <c r="P10" i="3" s="1"/>
  <c r="O10" i="3" s="1"/>
  <c r="N11" i="3"/>
  <c r="P11" i="3" s="1"/>
  <c r="O11" i="3" s="1"/>
  <c r="N12" i="3"/>
  <c r="P12" i="3" s="1"/>
  <c r="O12" i="3" s="1"/>
  <c r="N13" i="3"/>
  <c r="P13" i="3" s="1"/>
  <c r="O13" i="3" s="1"/>
  <c r="N32" i="3"/>
  <c r="P32" i="3" s="1"/>
  <c r="O32" i="3" s="1"/>
  <c r="N33" i="3"/>
  <c r="P33" i="3" s="1"/>
  <c r="O33" i="3" s="1"/>
  <c r="N34" i="3"/>
  <c r="P34" i="3" s="1"/>
  <c r="O34" i="3" s="1"/>
  <c r="N37" i="3"/>
  <c r="P37" i="3" s="1"/>
  <c r="O37" i="3" s="1"/>
  <c r="N38" i="3"/>
  <c r="P38" i="3" s="1"/>
  <c r="O38" i="3" s="1"/>
  <c r="N40" i="3"/>
  <c r="P40" i="3" s="1"/>
  <c r="O40" i="3" s="1"/>
  <c r="N41" i="3"/>
  <c r="P41" i="3" s="1"/>
  <c r="O41" i="3" s="1"/>
  <c r="N43" i="3"/>
  <c r="P43" i="3" s="1"/>
  <c r="O43" i="3" s="1"/>
  <c r="N44" i="3"/>
  <c r="P44" i="3" s="1"/>
  <c r="O44" i="3" s="1"/>
  <c r="N46" i="3"/>
  <c r="P46" i="3" s="1"/>
  <c r="O46" i="3" s="1"/>
  <c r="N47" i="3"/>
  <c r="P47" i="3" s="1"/>
  <c r="O47" i="3" s="1"/>
  <c r="N52" i="3"/>
  <c r="P52" i="3" s="1"/>
  <c r="O52" i="3" s="1"/>
  <c r="N53" i="3"/>
  <c r="P53" i="3" s="1"/>
  <c r="O53" i="3" s="1"/>
  <c r="N55" i="3"/>
  <c r="P55" i="3" s="1"/>
  <c r="O55" i="3" s="1"/>
  <c r="N56" i="3"/>
  <c r="P56" i="3" s="1"/>
  <c r="O56" i="3" s="1"/>
  <c r="N58" i="3"/>
  <c r="P58" i="3" s="1"/>
  <c r="O58" i="3" s="1"/>
  <c r="N59" i="3"/>
  <c r="P59" i="3" s="1"/>
  <c r="O59" i="3" s="1"/>
  <c r="N60" i="3"/>
  <c r="P60" i="3" s="1"/>
  <c r="O60" i="3" s="1"/>
  <c r="N61" i="3"/>
  <c r="P61" i="3" s="1"/>
  <c r="O61" i="3" s="1"/>
  <c r="N63" i="3"/>
  <c r="P63" i="3" s="1"/>
  <c r="O63" i="3" s="1"/>
  <c r="N64" i="3"/>
  <c r="P64" i="3" s="1"/>
  <c r="O64" i="3" s="1"/>
  <c r="N66" i="3"/>
  <c r="P66" i="3" s="1"/>
  <c r="O66" i="3" s="1"/>
  <c r="N67" i="3"/>
  <c r="P67" i="3" s="1"/>
  <c r="O67" i="3" s="1"/>
  <c r="N69" i="3"/>
  <c r="P69" i="3" s="1"/>
  <c r="O69" i="3" s="1"/>
  <c r="N70" i="3"/>
  <c r="P70" i="3" s="1"/>
  <c r="O70" i="3" s="1"/>
  <c r="N72" i="3"/>
  <c r="P72" i="3" s="1"/>
  <c r="O72" i="3" s="1"/>
  <c r="N73" i="3"/>
  <c r="P73" i="3" s="1"/>
  <c r="O73" i="3" s="1"/>
  <c r="N75" i="3"/>
  <c r="P75" i="3" s="1"/>
  <c r="O75" i="3" s="1"/>
  <c r="N76" i="3"/>
  <c r="P76" i="3" s="1"/>
  <c r="O76" i="3" s="1"/>
  <c r="N78" i="3"/>
  <c r="P78" i="3" s="1"/>
  <c r="O78" i="3" s="1"/>
  <c r="N79" i="3"/>
  <c r="P79" i="3" s="1"/>
  <c r="O79" i="3" s="1"/>
  <c r="N81" i="3"/>
  <c r="P81" i="3" s="1"/>
  <c r="O81" i="3" s="1"/>
  <c r="N82" i="3"/>
  <c r="P82" i="3" s="1"/>
  <c r="O82" i="3" s="1"/>
  <c r="N84" i="3"/>
  <c r="P84" i="3" s="1"/>
  <c r="O84" i="3" s="1"/>
  <c r="N85" i="3"/>
  <c r="P85" i="3" s="1"/>
  <c r="O85" i="3" s="1"/>
  <c r="N87" i="3"/>
  <c r="P87" i="3" s="1"/>
  <c r="O87" i="3" s="1"/>
  <c r="N88" i="3"/>
  <c r="P88" i="3" s="1"/>
  <c r="O88" i="3" s="1"/>
  <c r="N90" i="3"/>
  <c r="P90" i="3" s="1"/>
  <c r="O90" i="3" s="1"/>
  <c r="N91" i="3"/>
  <c r="P91" i="3" s="1"/>
  <c r="O91" i="3" s="1"/>
  <c r="N15" i="3"/>
  <c r="P15" i="3" s="1"/>
  <c r="O15" i="3" s="1"/>
  <c r="N16" i="3"/>
  <c r="P16" i="3" s="1"/>
  <c r="O16" i="3" s="1"/>
  <c r="N17" i="3"/>
  <c r="P17" i="3" s="1"/>
  <c r="O17" i="3" s="1"/>
  <c r="N18" i="3"/>
  <c r="P18" i="3" s="1"/>
  <c r="O18" i="3" s="1"/>
  <c r="N93" i="3"/>
  <c r="P93" i="3" s="1"/>
  <c r="O93" i="3" s="1"/>
  <c r="N94" i="3"/>
  <c r="P94" i="3" s="1"/>
  <c r="O94" i="3" s="1"/>
  <c r="N95" i="3"/>
  <c r="P95" i="3" s="1"/>
  <c r="O95" i="3" s="1"/>
  <c r="N96" i="3"/>
  <c r="P96" i="3" s="1"/>
  <c r="O96" i="3" s="1"/>
  <c r="N98" i="3"/>
  <c r="P98" i="3" s="1"/>
  <c r="O98" i="3" s="1"/>
  <c r="N99" i="3"/>
  <c r="P99" i="3" s="1"/>
  <c r="O99" i="3" s="1"/>
  <c r="N100" i="3"/>
  <c r="P100" i="3" s="1"/>
  <c r="O100" i="3" s="1"/>
  <c r="N101" i="3"/>
  <c r="P101" i="3" s="1"/>
  <c r="O101" i="3" s="1"/>
  <c r="N103" i="3"/>
  <c r="P103" i="3" s="1"/>
  <c r="O103" i="3" s="1"/>
  <c r="N104" i="3"/>
  <c r="P104" i="3" s="1"/>
  <c r="O104" i="3" s="1"/>
  <c r="N106" i="3"/>
  <c r="P106" i="3" s="1"/>
  <c r="O106" i="3" s="1"/>
  <c r="N107" i="3"/>
  <c r="P107" i="3" s="1"/>
  <c r="O107" i="3" s="1"/>
  <c r="N109" i="3"/>
  <c r="P109" i="3" s="1"/>
  <c r="O109" i="3" s="1"/>
  <c r="N110" i="3"/>
  <c r="P110" i="3" s="1"/>
  <c r="O110" i="3" s="1"/>
  <c r="N112" i="3"/>
  <c r="P112" i="3" s="1"/>
  <c r="O112" i="3" s="1"/>
  <c r="N113" i="3"/>
  <c r="P113" i="3" s="1"/>
  <c r="O113" i="3" s="1"/>
  <c r="N115" i="3"/>
  <c r="P115" i="3" s="1"/>
  <c r="O115" i="3" s="1"/>
  <c r="N116" i="3"/>
  <c r="P116" i="3" s="1"/>
  <c r="O116" i="3" s="1"/>
  <c r="N118" i="3"/>
  <c r="P118" i="3" s="1"/>
  <c r="O118" i="3" s="1"/>
  <c r="N119" i="3"/>
  <c r="P119" i="3" s="1"/>
  <c r="O119" i="3" s="1"/>
  <c r="N120" i="3"/>
  <c r="P120" i="3" s="1"/>
  <c r="O120" i="3" s="1"/>
  <c r="N121" i="3"/>
  <c r="P121" i="3" s="1"/>
  <c r="O121" i="3" s="1"/>
  <c r="N123" i="3"/>
  <c r="P123" i="3" s="1"/>
  <c r="O123" i="3" s="1"/>
  <c r="N124" i="3"/>
  <c r="P124" i="3" s="1"/>
  <c r="O124" i="3" s="1"/>
  <c r="N125" i="3"/>
  <c r="P125" i="3" s="1"/>
  <c r="O125" i="3" s="1"/>
  <c r="N126" i="3"/>
  <c r="P126" i="3" s="1"/>
  <c r="O126" i="3" s="1"/>
  <c r="N128" i="3"/>
  <c r="P128" i="3" s="1"/>
  <c r="O128" i="3" s="1"/>
  <c r="N129" i="3"/>
  <c r="P129" i="3" s="1"/>
  <c r="O129" i="3" s="1"/>
  <c r="N134" i="3"/>
  <c r="P134" i="3" s="1"/>
  <c r="O134" i="3" s="1"/>
  <c r="N135" i="3"/>
  <c r="P135" i="3" s="1"/>
  <c r="O135" i="3" s="1"/>
  <c r="N136" i="3"/>
  <c r="P136" i="3" s="1"/>
  <c r="O136" i="3" s="1"/>
  <c r="N137" i="3"/>
  <c r="P137" i="3" s="1"/>
  <c r="O137" i="3" s="1"/>
  <c r="N139" i="3"/>
  <c r="P139" i="3" s="1"/>
  <c r="O139" i="3" s="1"/>
  <c r="N23" i="3"/>
  <c r="P23" i="3" s="1"/>
  <c r="O23" i="3" s="1"/>
  <c r="BB39" i="4" l="1"/>
  <c r="AJ39" i="4"/>
  <c r="N39" i="4"/>
  <c r="R39" i="4" s="1"/>
  <c r="S39" i="4"/>
  <c r="M4" i="1"/>
  <c r="R4" i="1"/>
  <c r="W4" i="1"/>
  <c r="AB4" i="1"/>
  <c r="H4" i="1"/>
  <c r="B1" i="1"/>
  <c r="B2" i="1"/>
  <c r="C13" i="1" l="1"/>
  <c r="C15" i="1"/>
  <c r="C14" i="1"/>
  <c r="C16" i="1"/>
  <c r="C23" i="1"/>
  <c r="C24" i="1"/>
  <c r="C25" i="1"/>
  <c r="C26" i="1"/>
  <c r="C9" i="1"/>
  <c r="H9" i="1" s="1"/>
  <c r="C28" i="1"/>
  <c r="C29" i="1"/>
  <c r="C31" i="1"/>
  <c r="C30" i="1"/>
  <c r="AB9" i="1"/>
  <c r="AC9" i="1" s="1"/>
  <c r="AE9" i="1" s="1"/>
  <c r="AD9" i="1" s="1"/>
  <c r="W9" i="1"/>
  <c r="I9" i="1"/>
  <c r="C82" i="1"/>
  <c r="AB82" i="1" s="1"/>
  <c r="C64" i="1"/>
  <c r="AB64" i="1" s="1"/>
  <c r="C46" i="1"/>
  <c r="AB46" i="1" s="1"/>
  <c r="C45" i="1"/>
  <c r="AB45" i="1" s="1"/>
  <c r="C62" i="1"/>
  <c r="AB62" i="1" s="1"/>
  <c r="C59" i="1"/>
  <c r="AB59" i="1" s="1"/>
  <c r="C80" i="1"/>
  <c r="AB80" i="1" s="1"/>
  <c r="C79" i="1"/>
  <c r="AB79" i="1" s="1"/>
  <c r="C43" i="1"/>
  <c r="AB43" i="1" s="1"/>
  <c r="C40" i="1"/>
  <c r="AB40" i="1" s="1"/>
  <c r="C77" i="1"/>
  <c r="AB77" i="1" s="1"/>
  <c r="C39" i="1"/>
  <c r="AB39" i="1" s="1"/>
  <c r="C56" i="1"/>
  <c r="AB56" i="1" s="1"/>
  <c r="C20" i="1"/>
  <c r="AB20" i="1" s="1"/>
  <c r="C19" i="1"/>
  <c r="AB19" i="1" s="1"/>
  <c r="C54" i="1"/>
  <c r="AB54" i="1" s="1"/>
  <c r="C85" i="1"/>
  <c r="AB85" i="1" s="1"/>
  <c r="C18" i="1"/>
  <c r="AB18" i="1" s="1"/>
  <c r="C53" i="1"/>
  <c r="AB53" i="1" s="1"/>
  <c r="C52" i="1"/>
  <c r="AB52" i="1" s="1"/>
  <c r="C51" i="1"/>
  <c r="AB51" i="1" s="1"/>
  <c r="C86" i="1"/>
  <c r="AB86" i="1" s="1"/>
  <c r="C61" i="1"/>
  <c r="AB61" i="1" s="1"/>
  <c r="C21" i="1"/>
  <c r="AB21" i="1" s="1"/>
  <c r="C76" i="1"/>
  <c r="AB76" i="1" s="1"/>
  <c r="C37" i="1"/>
  <c r="AB37" i="1" s="1"/>
  <c r="C36" i="1"/>
  <c r="AB36" i="1" s="1"/>
  <c r="C71" i="1"/>
  <c r="AB71" i="1" s="1"/>
  <c r="C70" i="1"/>
  <c r="AB70" i="1" s="1"/>
  <c r="C34" i="1"/>
  <c r="AB34" i="1" s="1"/>
  <c r="C8" i="1"/>
  <c r="AB8" i="1" s="1"/>
  <c r="C33" i="1"/>
  <c r="AB33" i="1" s="1"/>
  <c r="C68" i="1"/>
  <c r="AB68" i="1" s="1"/>
  <c r="C67" i="1"/>
  <c r="AB67" i="1" s="1"/>
  <c r="C49" i="1"/>
  <c r="AB49" i="1" s="1"/>
  <c r="C48" i="1"/>
  <c r="AB48" i="1" s="1"/>
  <c r="C83" i="1"/>
  <c r="AB83" i="1" s="1"/>
  <c r="C65" i="1"/>
  <c r="AB65" i="1" s="1"/>
  <c r="C11" i="1"/>
  <c r="AB11" i="1" s="1"/>
  <c r="C74" i="1"/>
  <c r="AB74" i="1" s="1"/>
  <c r="C58" i="1"/>
  <c r="AB58" i="1" s="1"/>
  <c r="C42" i="1"/>
  <c r="AB42" i="1" s="1"/>
  <c r="C10" i="1"/>
  <c r="AB10" i="1" s="1"/>
  <c r="C73" i="1"/>
  <c r="AB73" i="1" s="1"/>
  <c r="C57" i="1"/>
  <c r="AB57" i="1" s="1"/>
  <c r="H14" i="1" l="1"/>
  <c r="W14" i="1"/>
  <c r="AB14" i="1"/>
  <c r="R14" i="1"/>
  <c r="M14" i="1"/>
  <c r="M9" i="1"/>
  <c r="AB15" i="1"/>
  <c r="M15" i="1"/>
  <c r="R15" i="1"/>
  <c r="W15" i="1"/>
  <c r="H15" i="1"/>
  <c r="H16" i="1"/>
  <c r="AB16" i="1"/>
  <c r="M16" i="1"/>
  <c r="W16" i="1"/>
  <c r="R16" i="1"/>
  <c r="R9" i="1"/>
  <c r="M13" i="1"/>
  <c r="W13" i="1"/>
  <c r="H13" i="1"/>
  <c r="AB13" i="1"/>
  <c r="R13" i="1"/>
  <c r="W24" i="1"/>
  <c r="H24" i="1"/>
  <c r="M24" i="1"/>
  <c r="AB24" i="1"/>
  <c r="R24" i="1"/>
  <c r="H26" i="1"/>
  <c r="AB26" i="1"/>
  <c r="W26" i="1"/>
  <c r="R26" i="1"/>
  <c r="M26" i="1"/>
  <c r="W25" i="1"/>
  <c r="AB25" i="1"/>
  <c r="R25" i="1"/>
  <c r="M25" i="1"/>
  <c r="H25" i="1"/>
  <c r="AB23" i="1"/>
  <c r="H23" i="1"/>
  <c r="M23" i="1"/>
  <c r="W23" i="1"/>
  <c r="R23" i="1"/>
  <c r="AB30" i="1"/>
  <c r="R30" i="1"/>
  <c r="H30" i="1"/>
  <c r="W30" i="1"/>
  <c r="M30" i="1"/>
  <c r="H31" i="1"/>
  <c r="AB31" i="1"/>
  <c r="W31" i="1"/>
  <c r="M31" i="1"/>
  <c r="R31" i="1"/>
  <c r="H28" i="1"/>
  <c r="AB28" i="1"/>
  <c r="R28" i="1"/>
  <c r="M28" i="1"/>
  <c r="W28" i="1"/>
  <c r="H29" i="1"/>
  <c r="W29" i="1"/>
  <c r="AB29" i="1"/>
  <c r="M29" i="1"/>
  <c r="R29" i="1"/>
  <c r="AC10" i="1"/>
  <c r="AE10" i="1" s="1"/>
  <c r="AD10" i="1" s="1"/>
  <c r="AC34" i="1"/>
  <c r="AE34" i="1" s="1"/>
  <c r="AD34" i="1" s="1"/>
  <c r="AC65" i="1"/>
  <c r="AE65" i="1" s="1"/>
  <c r="AD65" i="1" s="1"/>
  <c r="AC68" i="1"/>
  <c r="AE68" i="1" s="1"/>
  <c r="AD68" i="1" s="1"/>
  <c r="AC74" i="1"/>
  <c r="AE74" i="1" s="1"/>
  <c r="AD74" i="1" s="1"/>
  <c r="AC20" i="1"/>
  <c r="AE20" i="1" s="1"/>
  <c r="AD20" i="1" s="1"/>
  <c r="AC76" i="1"/>
  <c r="AE76" i="1" s="1"/>
  <c r="AD76" i="1" s="1"/>
  <c r="AC43" i="1"/>
  <c r="AE43" i="1" s="1"/>
  <c r="AD43" i="1" s="1"/>
  <c r="AC80" i="1"/>
  <c r="AE80" i="1" s="1"/>
  <c r="AD80" i="1" s="1"/>
  <c r="AC59" i="1"/>
  <c r="AE59" i="1" s="1"/>
  <c r="AD59" i="1" s="1"/>
  <c r="AC62" i="1"/>
  <c r="AE62" i="1" s="1"/>
  <c r="AD62" i="1" s="1"/>
  <c r="AC18" i="1"/>
  <c r="AE18" i="1" s="1"/>
  <c r="AD18" i="1" s="1"/>
  <c r="AC36" i="1"/>
  <c r="AE36" i="1" s="1"/>
  <c r="AD36" i="1" s="1"/>
  <c r="AC83" i="1"/>
  <c r="AE83" i="1" s="1"/>
  <c r="AD83" i="1" s="1"/>
  <c r="AC48" i="1"/>
  <c r="AE48" i="1" s="1"/>
  <c r="AD48" i="1" s="1"/>
  <c r="AC77" i="1"/>
  <c r="AE77" i="1" s="1"/>
  <c r="AD77" i="1" s="1"/>
  <c r="AC61" i="1"/>
  <c r="AE61" i="1" s="1"/>
  <c r="AD61" i="1" s="1"/>
  <c r="AC49" i="1"/>
  <c r="AE49" i="1" s="1"/>
  <c r="AD49" i="1" s="1"/>
  <c r="AC37" i="1"/>
  <c r="AE37" i="1" s="1"/>
  <c r="AD37" i="1" s="1"/>
  <c r="AC67" i="1"/>
  <c r="AE67" i="1" s="1"/>
  <c r="AD67" i="1" s="1"/>
  <c r="AC79" i="1"/>
  <c r="AE79" i="1" s="1"/>
  <c r="AD79" i="1" s="1"/>
  <c r="AC21" i="1"/>
  <c r="AE21" i="1" s="1"/>
  <c r="AD21" i="1" s="1"/>
  <c r="AC51" i="1"/>
  <c r="AE51" i="1" s="1"/>
  <c r="AD51" i="1" s="1"/>
  <c r="AC57" i="1"/>
  <c r="AE57" i="1" s="1"/>
  <c r="AD57" i="1" s="1"/>
  <c r="AC45" i="1"/>
  <c r="AE45" i="1" s="1"/>
  <c r="AD45" i="1" s="1"/>
  <c r="AC56" i="1"/>
  <c r="AE56" i="1" s="1"/>
  <c r="AD56" i="1" s="1"/>
  <c r="AC82" i="1"/>
  <c r="AE82" i="1" s="1"/>
  <c r="AD82" i="1" s="1"/>
  <c r="AC40" i="1"/>
  <c r="AE40" i="1" s="1"/>
  <c r="AD40" i="1" s="1"/>
  <c r="AC52" i="1"/>
  <c r="AE52" i="1" s="1"/>
  <c r="AD52" i="1" s="1"/>
  <c r="AC8" i="1"/>
  <c r="AE8" i="1" s="1"/>
  <c r="AD8" i="1" s="1"/>
  <c r="AC54" i="1"/>
  <c r="AE54" i="1" s="1"/>
  <c r="AD54" i="1" s="1"/>
  <c r="AC39" i="1"/>
  <c r="AE39" i="1" s="1"/>
  <c r="AD39" i="1" s="1"/>
  <c r="AC19" i="1"/>
  <c r="AE19" i="1" s="1"/>
  <c r="AD19" i="1" s="1"/>
  <c r="AC64" i="1"/>
  <c r="AE64" i="1" s="1"/>
  <c r="AD64" i="1" s="1"/>
  <c r="AC86" i="1"/>
  <c r="AE86" i="1" s="1"/>
  <c r="AD86" i="1" s="1"/>
  <c r="AC73" i="1"/>
  <c r="AE73" i="1" s="1"/>
  <c r="AD73" i="1" s="1"/>
  <c r="AC42" i="1"/>
  <c r="AE42" i="1" s="1"/>
  <c r="AD42" i="1" s="1"/>
  <c r="AC33" i="1"/>
  <c r="AE33" i="1" s="1"/>
  <c r="AD33" i="1" s="1"/>
  <c r="AC58" i="1"/>
  <c r="AE58" i="1" s="1"/>
  <c r="AD58" i="1" s="1"/>
  <c r="AC53" i="1"/>
  <c r="AE53" i="1" s="1"/>
  <c r="AD53" i="1" s="1"/>
  <c r="AC46" i="1"/>
  <c r="AE46" i="1" s="1"/>
  <c r="AD46" i="1" s="1"/>
  <c r="AC11" i="1"/>
  <c r="AE11" i="1" s="1"/>
  <c r="AD11" i="1" s="1"/>
  <c r="AC85" i="1"/>
  <c r="AE85" i="1" s="1"/>
  <c r="AD85" i="1" s="1"/>
  <c r="AC70" i="1"/>
  <c r="AE70" i="1" s="1"/>
  <c r="AD70" i="1" s="1"/>
  <c r="AC71" i="1"/>
  <c r="AE71" i="1" s="1"/>
  <c r="AD71" i="1" s="1"/>
  <c r="R79" i="1"/>
  <c r="S79" i="1" s="1"/>
  <c r="U79" i="1" s="1"/>
  <c r="T79" i="1" s="1"/>
  <c r="W79" i="1"/>
  <c r="R67" i="1"/>
  <c r="S67" i="1" s="1"/>
  <c r="U67" i="1" s="1"/>
  <c r="T67" i="1" s="1"/>
  <c r="W67" i="1"/>
  <c r="R40" i="1"/>
  <c r="S40" i="1" s="1"/>
  <c r="U40" i="1" s="1"/>
  <c r="T40" i="1" s="1"/>
  <c r="W40" i="1"/>
  <c r="R86" i="1"/>
  <c r="W86" i="1"/>
  <c r="R10" i="1"/>
  <c r="W10" i="1"/>
  <c r="R58" i="1"/>
  <c r="S58" i="1" s="1"/>
  <c r="U58" i="1" s="1"/>
  <c r="T58" i="1" s="1"/>
  <c r="W58" i="1"/>
  <c r="R46" i="1"/>
  <c r="S46" i="1" s="1"/>
  <c r="U46" i="1" s="1"/>
  <c r="T46" i="1" s="1"/>
  <c r="W46" i="1"/>
  <c r="R36" i="1"/>
  <c r="S36" i="1" s="1"/>
  <c r="U36" i="1" s="1"/>
  <c r="T36" i="1" s="1"/>
  <c r="W36" i="1"/>
  <c r="R61" i="1"/>
  <c r="S61" i="1" s="1"/>
  <c r="U61" i="1" s="1"/>
  <c r="T61" i="1" s="1"/>
  <c r="W61" i="1"/>
  <c r="R43" i="1"/>
  <c r="S43" i="1" s="1"/>
  <c r="U43" i="1" s="1"/>
  <c r="T43" i="1" s="1"/>
  <c r="W43" i="1"/>
  <c r="R49" i="1"/>
  <c r="S49" i="1" s="1"/>
  <c r="U49" i="1" s="1"/>
  <c r="T49" i="1" s="1"/>
  <c r="W49" i="1"/>
  <c r="R57" i="1"/>
  <c r="W57" i="1"/>
  <c r="R80" i="1"/>
  <c r="S80" i="1" s="1"/>
  <c r="W80" i="1"/>
  <c r="R73" i="1"/>
  <c r="S73" i="1" s="1"/>
  <c r="U73" i="1" s="1"/>
  <c r="T73" i="1" s="1"/>
  <c r="W73" i="1"/>
  <c r="R51" i="1"/>
  <c r="S51" i="1" s="1"/>
  <c r="U51" i="1" s="1"/>
  <c r="T51" i="1" s="1"/>
  <c r="W51" i="1"/>
  <c r="R59" i="1"/>
  <c r="S59" i="1" s="1"/>
  <c r="W59" i="1"/>
  <c r="R68" i="1"/>
  <c r="S68" i="1" s="1"/>
  <c r="U68" i="1" s="1"/>
  <c r="T68" i="1" s="1"/>
  <c r="W68" i="1"/>
  <c r="R62" i="1"/>
  <c r="W62" i="1"/>
  <c r="R52" i="1"/>
  <c r="S52" i="1" s="1"/>
  <c r="W52" i="1"/>
  <c r="R42" i="1"/>
  <c r="S42" i="1" s="1"/>
  <c r="U42" i="1" s="1"/>
  <c r="T42" i="1" s="1"/>
  <c r="W42" i="1"/>
  <c r="R33" i="1"/>
  <c r="S33" i="1" s="1"/>
  <c r="W33" i="1"/>
  <c r="R53" i="1"/>
  <c r="S53" i="1" s="1"/>
  <c r="U53" i="1" s="1"/>
  <c r="T53" i="1" s="1"/>
  <c r="W53" i="1"/>
  <c r="R45" i="1"/>
  <c r="S45" i="1" s="1"/>
  <c r="U45" i="1" s="1"/>
  <c r="T45" i="1" s="1"/>
  <c r="W45" i="1"/>
  <c r="R8" i="1"/>
  <c r="S8" i="1" s="1"/>
  <c r="U8" i="1" s="1"/>
  <c r="T8" i="1" s="1"/>
  <c r="W8" i="1"/>
  <c r="R18" i="1"/>
  <c r="S18" i="1" s="1"/>
  <c r="W18" i="1"/>
  <c r="R74" i="1"/>
  <c r="S74" i="1" s="1"/>
  <c r="U74" i="1" s="1"/>
  <c r="T74" i="1" s="1"/>
  <c r="W74" i="1"/>
  <c r="R34" i="1"/>
  <c r="S34" i="1" s="1"/>
  <c r="U34" i="1" s="1"/>
  <c r="T34" i="1" s="1"/>
  <c r="W34" i="1"/>
  <c r="R85" i="1"/>
  <c r="S85" i="1" s="1"/>
  <c r="W85" i="1"/>
  <c r="R64" i="1"/>
  <c r="S64" i="1" s="1"/>
  <c r="U64" i="1" s="1"/>
  <c r="T64" i="1" s="1"/>
  <c r="W64" i="1"/>
  <c r="R11" i="1"/>
  <c r="S11" i="1" s="1"/>
  <c r="W11" i="1"/>
  <c r="R70" i="1"/>
  <c r="S70" i="1" s="1"/>
  <c r="U70" i="1" s="1"/>
  <c r="T70" i="1" s="1"/>
  <c r="W70" i="1"/>
  <c r="R54" i="1"/>
  <c r="S54" i="1" s="1"/>
  <c r="U54" i="1" s="1"/>
  <c r="T54" i="1" s="1"/>
  <c r="W54" i="1"/>
  <c r="R82" i="1"/>
  <c r="S82" i="1" s="1"/>
  <c r="U82" i="1" s="1"/>
  <c r="T82" i="1" s="1"/>
  <c r="W82" i="1"/>
  <c r="R71" i="1"/>
  <c r="S71" i="1" s="1"/>
  <c r="U71" i="1" s="1"/>
  <c r="T71" i="1" s="1"/>
  <c r="W71" i="1"/>
  <c r="R19" i="1"/>
  <c r="S19" i="1" s="1"/>
  <c r="U19" i="1" s="1"/>
  <c r="T19" i="1" s="1"/>
  <c r="W19" i="1"/>
  <c r="R65" i="1"/>
  <c r="S65" i="1" s="1"/>
  <c r="W65" i="1"/>
  <c r="R20" i="1"/>
  <c r="W20" i="1"/>
  <c r="R83" i="1"/>
  <c r="S83" i="1" s="1"/>
  <c r="U83" i="1" s="1"/>
  <c r="T83" i="1" s="1"/>
  <c r="W83" i="1"/>
  <c r="R37" i="1"/>
  <c r="S37" i="1" s="1"/>
  <c r="U37" i="1" s="1"/>
  <c r="T37" i="1" s="1"/>
  <c r="W37" i="1"/>
  <c r="R56" i="1"/>
  <c r="S56" i="1" s="1"/>
  <c r="U56" i="1" s="1"/>
  <c r="T56" i="1" s="1"/>
  <c r="W56" i="1"/>
  <c r="R76" i="1"/>
  <c r="W76" i="1"/>
  <c r="R39" i="1"/>
  <c r="W39" i="1"/>
  <c r="X9" i="1"/>
  <c r="Z9" i="1" s="1"/>
  <c r="Y9" i="1" s="1"/>
  <c r="R48" i="1"/>
  <c r="S48" i="1" s="1"/>
  <c r="W48" i="1"/>
  <c r="R21" i="1"/>
  <c r="W21" i="1"/>
  <c r="R77" i="1"/>
  <c r="S77" i="1" s="1"/>
  <c r="U77" i="1" s="1"/>
  <c r="T77" i="1" s="1"/>
  <c r="W77" i="1"/>
  <c r="S9" i="1"/>
  <c r="U9" i="1" s="1"/>
  <c r="T9" i="1" s="1"/>
  <c r="N9" i="1"/>
  <c r="P9" i="1" s="1"/>
  <c r="O9" i="1" s="1"/>
  <c r="K9" i="1"/>
  <c r="J9" i="1" s="1"/>
  <c r="H20" i="1"/>
  <c r="M20" i="1"/>
  <c r="H19" i="1"/>
  <c r="M19" i="1"/>
  <c r="M56" i="1"/>
  <c r="H56" i="1"/>
  <c r="H48" i="1"/>
  <c r="M48" i="1"/>
  <c r="M21" i="1"/>
  <c r="H21" i="1"/>
  <c r="H40" i="1"/>
  <c r="M40" i="1"/>
  <c r="H61" i="1"/>
  <c r="M61" i="1"/>
  <c r="M57" i="1"/>
  <c r="H57" i="1"/>
  <c r="H86" i="1"/>
  <c r="M86" i="1"/>
  <c r="M73" i="1"/>
  <c r="H73" i="1"/>
  <c r="H59" i="1"/>
  <c r="M59" i="1"/>
  <c r="H68" i="1"/>
  <c r="M68" i="1"/>
  <c r="M52" i="1"/>
  <c r="H52" i="1"/>
  <c r="H64" i="1"/>
  <c r="M64" i="1"/>
  <c r="H71" i="1"/>
  <c r="M71" i="1"/>
  <c r="H65" i="1"/>
  <c r="M65" i="1"/>
  <c r="H36" i="1"/>
  <c r="M36" i="1"/>
  <c r="H83" i="1"/>
  <c r="M83" i="1"/>
  <c r="H37" i="1"/>
  <c r="M37" i="1"/>
  <c r="H76" i="1"/>
  <c r="M76" i="1"/>
  <c r="M39" i="1"/>
  <c r="H39" i="1"/>
  <c r="H77" i="1"/>
  <c r="M77" i="1"/>
  <c r="H43" i="1"/>
  <c r="M43" i="1"/>
  <c r="H49" i="1"/>
  <c r="M49" i="1"/>
  <c r="H79" i="1"/>
  <c r="M79" i="1"/>
  <c r="H67" i="1"/>
  <c r="M67" i="1"/>
  <c r="H80" i="1"/>
  <c r="M80" i="1"/>
  <c r="M51" i="1"/>
  <c r="H51" i="1"/>
  <c r="H10" i="1"/>
  <c r="M10" i="1"/>
  <c r="M62" i="1"/>
  <c r="H62" i="1"/>
  <c r="H42" i="1"/>
  <c r="M42" i="1"/>
  <c r="H33" i="1"/>
  <c r="M33" i="1"/>
  <c r="M53" i="1"/>
  <c r="H53" i="1"/>
  <c r="H45" i="1"/>
  <c r="M45" i="1"/>
  <c r="H58" i="1"/>
  <c r="M58" i="1"/>
  <c r="H8" i="1"/>
  <c r="M8" i="1"/>
  <c r="H18" i="1"/>
  <c r="M18" i="1"/>
  <c r="H46" i="1"/>
  <c r="M46" i="1"/>
  <c r="H74" i="1"/>
  <c r="M74" i="1"/>
  <c r="H34" i="1"/>
  <c r="M34" i="1"/>
  <c r="H85" i="1"/>
  <c r="M85" i="1"/>
  <c r="H11" i="1"/>
  <c r="M11" i="1"/>
  <c r="M70" i="1"/>
  <c r="H70" i="1"/>
  <c r="H54" i="1"/>
  <c r="M54" i="1"/>
  <c r="H82" i="1"/>
  <c r="M82" i="1"/>
  <c r="C6" i="1"/>
  <c r="S16" i="1" l="1"/>
  <c r="U16" i="1"/>
  <c r="T16" i="1" s="1"/>
  <c r="N16" i="1"/>
  <c r="P16" i="1"/>
  <c r="O16" i="1"/>
  <c r="AC16" i="1"/>
  <c r="AE16" i="1"/>
  <c r="AD16" i="1" s="1"/>
  <c r="I15" i="1"/>
  <c r="K15" i="1"/>
  <c r="J15" i="1"/>
  <c r="X16" i="1"/>
  <c r="Z16" i="1" s="1"/>
  <c r="Y16" i="1" s="1"/>
  <c r="Y15" i="1"/>
  <c r="Z15" i="1"/>
  <c r="X15" i="1"/>
  <c r="S15" i="1"/>
  <c r="U15" i="1" s="1"/>
  <c r="T15" i="1" s="1"/>
  <c r="N15" i="1"/>
  <c r="P15" i="1"/>
  <c r="O15" i="1" s="1"/>
  <c r="AC15" i="1"/>
  <c r="AE15" i="1"/>
  <c r="AD15" i="1" s="1"/>
  <c r="S13" i="1"/>
  <c r="U13" i="1"/>
  <c r="T13" i="1"/>
  <c r="I16" i="1"/>
  <c r="K16" i="1" s="1"/>
  <c r="J16" i="1" s="1"/>
  <c r="I13" i="1"/>
  <c r="K13" i="1"/>
  <c r="J13" i="1" s="1"/>
  <c r="U14" i="1"/>
  <c r="T14" i="1" s="1"/>
  <c r="S14" i="1"/>
  <c r="AC13" i="1"/>
  <c r="AE13" i="1"/>
  <c r="AD13" i="1" s="1"/>
  <c r="X13" i="1"/>
  <c r="Z13" i="1" s="1"/>
  <c r="Y13" i="1" s="1"/>
  <c r="AC14" i="1"/>
  <c r="AE14" i="1"/>
  <c r="AD14" i="1" s="1"/>
  <c r="N14" i="1"/>
  <c r="P14" i="1"/>
  <c r="O14" i="1" s="1"/>
  <c r="N13" i="1"/>
  <c r="P13" i="1"/>
  <c r="O13" i="1" s="1"/>
  <c r="X14" i="1"/>
  <c r="Z14" i="1" s="1"/>
  <c r="Y14" i="1" s="1"/>
  <c r="I14" i="1"/>
  <c r="K14" i="1" s="1"/>
  <c r="J14" i="1" s="1"/>
  <c r="AC25" i="1"/>
  <c r="AE25" i="1"/>
  <c r="AD25" i="1"/>
  <c r="N25" i="1"/>
  <c r="P25" i="1" s="1"/>
  <c r="O25" i="1" s="1"/>
  <c r="S26" i="1"/>
  <c r="U26" i="1" s="1"/>
  <c r="T26" i="1" s="1"/>
  <c r="I26" i="1"/>
  <c r="K26" i="1"/>
  <c r="J26" i="1" s="1"/>
  <c r="S24" i="1"/>
  <c r="U24" i="1"/>
  <c r="T24" i="1" s="1"/>
  <c r="AC23" i="1"/>
  <c r="AE23" i="1" s="1"/>
  <c r="AD23" i="1" s="1"/>
  <c r="AC26" i="1"/>
  <c r="AE26" i="1"/>
  <c r="AD26" i="1" s="1"/>
  <c r="S23" i="1"/>
  <c r="U23" i="1"/>
  <c r="T23" i="1" s="1"/>
  <c r="AC24" i="1"/>
  <c r="AE24" i="1" s="1"/>
  <c r="AD24" i="1" s="1"/>
  <c r="I25" i="1"/>
  <c r="K25" i="1" s="1"/>
  <c r="J25" i="1" s="1"/>
  <c r="X23" i="1"/>
  <c r="Z23" i="1" s="1"/>
  <c r="Y23" i="1" s="1"/>
  <c r="N24" i="1"/>
  <c r="P24" i="1"/>
  <c r="O24" i="1" s="1"/>
  <c r="N23" i="1"/>
  <c r="P23" i="1" s="1"/>
  <c r="O23" i="1" s="1"/>
  <c r="I24" i="1"/>
  <c r="K24" i="1" s="1"/>
  <c r="J24" i="1" s="1"/>
  <c r="S25" i="1"/>
  <c r="U25" i="1"/>
  <c r="T25" i="1"/>
  <c r="X25" i="1"/>
  <c r="Z25" i="1"/>
  <c r="Y25" i="1" s="1"/>
  <c r="N26" i="1"/>
  <c r="P26" i="1" s="1"/>
  <c r="O26" i="1" s="1"/>
  <c r="X26" i="1"/>
  <c r="Z26" i="1" s="1"/>
  <c r="Y26" i="1" s="1"/>
  <c r="I23" i="1"/>
  <c r="K23" i="1"/>
  <c r="J23" i="1" s="1"/>
  <c r="X24" i="1"/>
  <c r="Z24" i="1"/>
  <c r="Y24" i="1" s="1"/>
  <c r="AC28" i="1"/>
  <c r="AE28" i="1"/>
  <c r="AD28" i="1" s="1"/>
  <c r="I28" i="1"/>
  <c r="K28" i="1" s="1"/>
  <c r="J28" i="1" s="1"/>
  <c r="X31" i="1"/>
  <c r="Z31" i="1" s="1"/>
  <c r="Y31" i="1" s="1"/>
  <c r="X28" i="1"/>
  <c r="Z28" i="1" s="1"/>
  <c r="Y28" i="1" s="1"/>
  <c r="S31" i="1"/>
  <c r="U31" i="1" s="1"/>
  <c r="T31" i="1" s="1"/>
  <c r="I29" i="1"/>
  <c r="K29" i="1" s="1"/>
  <c r="J29" i="1" s="1"/>
  <c r="I31" i="1"/>
  <c r="K31" i="1"/>
  <c r="J31" i="1" s="1"/>
  <c r="N31" i="1"/>
  <c r="P31" i="1" s="1"/>
  <c r="O31" i="1" s="1"/>
  <c r="N30" i="1"/>
  <c r="P30" i="1"/>
  <c r="O30" i="1" s="1"/>
  <c r="S28" i="1"/>
  <c r="U28" i="1" s="1"/>
  <c r="T28" i="1" s="1"/>
  <c r="S29" i="1"/>
  <c r="U29" i="1" s="1"/>
  <c r="T29" i="1" s="1"/>
  <c r="X30" i="1"/>
  <c r="Z30" i="1" s="1"/>
  <c r="Y30" i="1" s="1"/>
  <c r="N29" i="1"/>
  <c r="P29" i="1" s="1"/>
  <c r="O29" i="1" s="1"/>
  <c r="I30" i="1"/>
  <c r="K30" i="1" s="1"/>
  <c r="J30" i="1" s="1"/>
  <c r="N28" i="1"/>
  <c r="P28" i="1"/>
  <c r="O28" i="1" s="1"/>
  <c r="AB5" i="1"/>
  <c r="AC29" i="1"/>
  <c r="S30" i="1"/>
  <c r="U30" i="1"/>
  <c r="T30" i="1" s="1"/>
  <c r="AC31" i="1"/>
  <c r="AE31" i="1" s="1"/>
  <c r="AD31" i="1" s="1"/>
  <c r="X29" i="1"/>
  <c r="Z29" i="1" s="1"/>
  <c r="Y29" i="1" s="1"/>
  <c r="AC30" i="1"/>
  <c r="AE30" i="1" s="1"/>
  <c r="AD30" i="1" s="1"/>
  <c r="R5" i="1"/>
  <c r="S21" i="1"/>
  <c r="U21" i="1" s="1"/>
  <c r="T21" i="1" s="1"/>
  <c r="U33" i="1"/>
  <c r="T33" i="1" s="1"/>
  <c r="U80" i="1"/>
  <c r="T80" i="1" s="1"/>
  <c r="X64" i="1"/>
  <c r="Z64" i="1" s="1"/>
  <c r="Y64" i="1" s="1"/>
  <c r="X65" i="1"/>
  <c r="Z65" i="1" s="1"/>
  <c r="Y65" i="1" s="1"/>
  <c r="X33" i="1"/>
  <c r="Z33" i="1" s="1"/>
  <c r="Y33" i="1" s="1"/>
  <c r="X86" i="1"/>
  <c r="Z86" i="1" s="1"/>
  <c r="Y86" i="1" s="1"/>
  <c r="X10" i="1"/>
  <c r="Z10" i="1" s="1"/>
  <c r="Y10" i="1" s="1"/>
  <c r="X20" i="1"/>
  <c r="Z20" i="1" s="1"/>
  <c r="Y20" i="1" s="1"/>
  <c r="U65" i="1"/>
  <c r="T65" i="1" s="1"/>
  <c r="X85" i="1"/>
  <c r="Z85" i="1" s="1"/>
  <c r="Y85" i="1" s="1"/>
  <c r="U48" i="1"/>
  <c r="T48" i="1" s="1"/>
  <c r="X80" i="1"/>
  <c r="Z80" i="1" s="1"/>
  <c r="Y80" i="1" s="1"/>
  <c r="S10" i="1"/>
  <c r="U10" i="1" s="1"/>
  <c r="T10" i="1" s="1"/>
  <c r="X40" i="1"/>
  <c r="Z40" i="1" s="1"/>
  <c r="Y40" i="1" s="1"/>
  <c r="X56" i="1"/>
  <c r="Z56" i="1" s="1"/>
  <c r="Y56" i="1" s="1"/>
  <c r="X82" i="1"/>
  <c r="Z82" i="1" s="1"/>
  <c r="Y82" i="1" s="1"/>
  <c r="X18" i="1"/>
  <c r="Z18" i="1" s="1"/>
  <c r="Y18" i="1" s="1"/>
  <c r="X62" i="1"/>
  <c r="Z62" i="1" s="1"/>
  <c r="Y62" i="1" s="1"/>
  <c r="X58" i="1"/>
  <c r="Z58" i="1" s="1"/>
  <c r="Y58" i="1" s="1"/>
  <c r="X59" i="1"/>
  <c r="Z59" i="1" s="1"/>
  <c r="Y59" i="1" s="1"/>
  <c r="X42" i="1"/>
  <c r="Z42" i="1" s="1"/>
  <c r="Y42" i="1" s="1"/>
  <c r="X77" i="1"/>
  <c r="Z77" i="1" s="1"/>
  <c r="Y77" i="1" s="1"/>
  <c r="X61" i="1"/>
  <c r="Z61" i="1" s="1"/>
  <c r="Y61" i="1" s="1"/>
  <c r="X51" i="1"/>
  <c r="Z51" i="1" s="1"/>
  <c r="Y51" i="1" s="1"/>
  <c r="S20" i="1"/>
  <c r="U20" i="1" s="1"/>
  <c r="T20" i="1" s="1"/>
  <c r="X73" i="1"/>
  <c r="Z73" i="1" s="1"/>
  <c r="Y73" i="1" s="1"/>
  <c r="X71" i="1"/>
  <c r="Z71" i="1" s="1"/>
  <c r="Y71" i="1" s="1"/>
  <c r="X52" i="1"/>
  <c r="Z52" i="1" s="1"/>
  <c r="Y52" i="1" s="1"/>
  <c r="X57" i="1"/>
  <c r="Z57" i="1" s="1"/>
  <c r="Y57" i="1" s="1"/>
  <c r="S86" i="1"/>
  <c r="U86" i="1" s="1"/>
  <c r="T86" i="1" s="1"/>
  <c r="U85" i="1"/>
  <c r="T85" i="1" s="1"/>
  <c r="X54" i="1"/>
  <c r="Z54" i="1" s="1"/>
  <c r="Y54" i="1" s="1"/>
  <c r="X8" i="1"/>
  <c r="Z8" i="1" s="1"/>
  <c r="Y8" i="1" s="1"/>
  <c r="W5" i="1"/>
  <c r="X49" i="1"/>
  <c r="Z49" i="1" s="1"/>
  <c r="Y49" i="1" s="1"/>
  <c r="X67" i="1"/>
  <c r="Z67" i="1" s="1"/>
  <c r="Y67" i="1" s="1"/>
  <c r="U59" i="1"/>
  <c r="T59" i="1" s="1"/>
  <c r="X39" i="1"/>
  <c r="Z39" i="1" s="1"/>
  <c r="Y39" i="1" s="1"/>
  <c r="U11" i="1"/>
  <c r="T11" i="1" s="1"/>
  <c r="S62" i="1"/>
  <c r="U62" i="1" s="1"/>
  <c r="T62" i="1" s="1"/>
  <c r="X11" i="1"/>
  <c r="Z11" i="1"/>
  <c r="Y11" i="1" s="1"/>
  <c r="X19" i="1"/>
  <c r="Z19" i="1" s="1"/>
  <c r="Y19" i="1" s="1"/>
  <c r="X34" i="1"/>
  <c r="Z34" i="1" s="1"/>
  <c r="Y34" i="1" s="1"/>
  <c r="X74" i="1"/>
  <c r="Z74" i="1" s="1"/>
  <c r="Y74" i="1" s="1"/>
  <c r="S39" i="1"/>
  <c r="U39" i="1" s="1"/>
  <c r="T39" i="1" s="1"/>
  <c r="S76" i="1"/>
  <c r="U76" i="1" s="1"/>
  <c r="T76" i="1" s="1"/>
  <c r="X37" i="1"/>
  <c r="Z37" i="1" s="1"/>
  <c r="Y37" i="1" s="1"/>
  <c r="U52" i="1"/>
  <c r="T52" i="1" s="1"/>
  <c r="X21" i="1"/>
  <c r="Z21" i="1" s="1"/>
  <c r="Y21" i="1" s="1"/>
  <c r="U18" i="1"/>
  <c r="T18" i="1" s="1"/>
  <c r="X83" i="1"/>
  <c r="Z83" i="1" s="1"/>
  <c r="Y83" i="1" s="1"/>
  <c r="X70" i="1"/>
  <c r="Z70" i="1" s="1"/>
  <c r="Y70" i="1" s="1"/>
  <c r="X45" i="1"/>
  <c r="Z45" i="1" s="1"/>
  <c r="Y45" i="1" s="1"/>
  <c r="X68" i="1"/>
  <c r="Z68" i="1" s="1"/>
  <c r="Y68" i="1" s="1"/>
  <c r="X43" i="1"/>
  <c r="Z43" i="1" s="1"/>
  <c r="Y43" i="1" s="1"/>
  <c r="X79" i="1"/>
  <c r="Z79" i="1" s="1"/>
  <c r="Y79" i="1" s="1"/>
  <c r="X53" i="1"/>
  <c r="Z53" i="1" s="1"/>
  <c r="Y53" i="1" s="1"/>
  <c r="X76" i="1"/>
  <c r="Z76" i="1" s="1"/>
  <c r="Y76" i="1" s="1"/>
  <c r="X36" i="1"/>
  <c r="Z36" i="1"/>
  <c r="Y36" i="1" s="1"/>
  <c r="X46" i="1"/>
  <c r="Z46" i="1" s="1"/>
  <c r="Y46" i="1" s="1"/>
  <c r="S57" i="1"/>
  <c r="U57" i="1" s="1"/>
  <c r="T57" i="1" s="1"/>
  <c r="X48" i="1"/>
  <c r="Z48" i="1" s="1"/>
  <c r="Y48" i="1" s="1"/>
  <c r="N85" i="1"/>
  <c r="P85" i="1" s="1"/>
  <c r="O85" i="1" s="1"/>
  <c r="N48" i="1"/>
  <c r="P48" i="1" s="1"/>
  <c r="O48" i="1" s="1"/>
  <c r="N71" i="1"/>
  <c r="P71" i="1" s="1"/>
  <c r="O71" i="1" s="1"/>
  <c r="N43" i="1"/>
  <c r="P43" i="1" s="1"/>
  <c r="O43" i="1" s="1"/>
  <c r="N73" i="1"/>
  <c r="P73" i="1" s="1"/>
  <c r="O73" i="1" s="1"/>
  <c r="N65" i="1"/>
  <c r="P65" i="1" s="1"/>
  <c r="O65" i="1" s="1"/>
  <c r="N33" i="1"/>
  <c r="P33" i="1" s="1"/>
  <c r="O33" i="1" s="1"/>
  <c r="N57" i="1"/>
  <c r="P57" i="1" s="1"/>
  <c r="O57" i="1" s="1"/>
  <c r="N74" i="1"/>
  <c r="P74" i="1" s="1"/>
  <c r="O74" i="1" s="1"/>
  <c r="N56" i="1"/>
  <c r="P56" i="1" s="1"/>
  <c r="O56" i="1" s="1"/>
  <c r="N46" i="1"/>
  <c r="P46" i="1" s="1"/>
  <c r="O46" i="1" s="1"/>
  <c r="N82" i="1"/>
  <c r="P82" i="1" s="1"/>
  <c r="O82" i="1" s="1"/>
  <c r="N70" i="1"/>
  <c r="P70" i="1" s="1"/>
  <c r="O70" i="1" s="1"/>
  <c r="N21" i="1"/>
  <c r="P21" i="1" s="1"/>
  <c r="O21" i="1" s="1"/>
  <c r="N19" i="1"/>
  <c r="P19" i="1" s="1"/>
  <c r="O19" i="1" s="1"/>
  <c r="N62" i="1"/>
  <c r="P62" i="1" s="1"/>
  <c r="O62" i="1" s="1"/>
  <c r="N39" i="1"/>
  <c r="P39" i="1" s="1"/>
  <c r="O39" i="1" s="1"/>
  <c r="N18" i="1"/>
  <c r="P18" i="1" s="1"/>
  <c r="O18" i="1" s="1"/>
  <c r="N61" i="1"/>
  <c r="P61" i="1" s="1"/>
  <c r="O61" i="1" s="1"/>
  <c r="N45" i="1"/>
  <c r="P45" i="1" s="1"/>
  <c r="O45" i="1" s="1"/>
  <c r="N36" i="1"/>
  <c r="P36" i="1" s="1"/>
  <c r="O36" i="1" s="1"/>
  <c r="N86" i="1"/>
  <c r="P86" i="1" s="1"/>
  <c r="O86" i="1" s="1"/>
  <c r="N53" i="1"/>
  <c r="P53" i="1" s="1"/>
  <c r="O53" i="1" s="1"/>
  <c r="N34" i="1"/>
  <c r="P34" i="1" s="1"/>
  <c r="O34" i="1" s="1"/>
  <c r="N51" i="1"/>
  <c r="P51" i="1" s="1"/>
  <c r="O51" i="1" s="1"/>
  <c r="N42" i="1"/>
  <c r="P42" i="1" s="1"/>
  <c r="O42" i="1" s="1"/>
  <c r="N77" i="1"/>
  <c r="P77" i="1" s="1"/>
  <c r="O77" i="1" s="1"/>
  <c r="N80" i="1"/>
  <c r="P80" i="1" s="1"/>
  <c r="O80" i="1" s="1"/>
  <c r="N64" i="1"/>
  <c r="P64" i="1" s="1"/>
  <c r="O64" i="1" s="1"/>
  <c r="N67" i="1"/>
  <c r="P67" i="1" s="1"/>
  <c r="O67" i="1" s="1"/>
  <c r="N76" i="1"/>
  <c r="P76" i="1" s="1"/>
  <c r="O76" i="1" s="1"/>
  <c r="N20" i="1"/>
  <c r="P20" i="1" s="1"/>
  <c r="O20" i="1" s="1"/>
  <c r="N52" i="1"/>
  <c r="P52" i="1" s="1"/>
  <c r="O52" i="1" s="1"/>
  <c r="N54" i="1"/>
  <c r="P54" i="1" s="1"/>
  <c r="O54" i="1" s="1"/>
  <c r="N79" i="1"/>
  <c r="P79" i="1" s="1"/>
  <c r="O79" i="1" s="1"/>
  <c r="N37" i="1"/>
  <c r="P37" i="1" s="1"/>
  <c r="O37" i="1" s="1"/>
  <c r="N68" i="1"/>
  <c r="P68" i="1" s="1"/>
  <c r="O68" i="1" s="1"/>
  <c r="N58" i="1"/>
  <c r="P58" i="1" s="1"/>
  <c r="O58" i="1" s="1"/>
  <c r="N49" i="1"/>
  <c r="P49" i="1" s="1"/>
  <c r="O49" i="1" s="1"/>
  <c r="N83" i="1"/>
  <c r="P83" i="1" s="1"/>
  <c r="O83" i="1" s="1"/>
  <c r="N59" i="1"/>
  <c r="P59" i="1" s="1"/>
  <c r="O59" i="1" s="1"/>
  <c r="N40" i="1"/>
  <c r="P40" i="1" s="1"/>
  <c r="O40" i="1" s="1"/>
  <c r="N8" i="1"/>
  <c r="N10" i="1"/>
  <c r="P10" i="1" s="1"/>
  <c r="O10" i="1" s="1"/>
  <c r="N11" i="1"/>
  <c r="P11" i="1" s="1"/>
  <c r="O11" i="1" s="1"/>
  <c r="I37" i="1"/>
  <c r="K37" i="1" s="1"/>
  <c r="J37" i="1" s="1"/>
  <c r="I62" i="1"/>
  <c r="K62" i="1" s="1"/>
  <c r="J62" i="1" s="1"/>
  <c r="I43" i="1"/>
  <c r="K43" i="1" s="1"/>
  <c r="J43" i="1" s="1"/>
  <c r="I8" i="1"/>
  <c r="K8" i="1" s="1"/>
  <c r="J8" i="1" s="1"/>
  <c r="I70" i="1"/>
  <c r="K70" i="1" s="1"/>
  <c r="J70" i="1" s="1"/>
  <c r="I59" i="1"/>
  <c r="K59" i="1" s="1"/>
  <c r="J59" i="1" s="1"/>
  <c r="I73" i="1"/>
  <c r="K73" i="1" s="1"/>
  <c r="J73" i="1" s="1"/>
  <c r="I53" i="1"/>
  <c r="K53" i="1" s="1"/>
  <c r="J53" i="1" s="1"/>
  <c r="I86" i="1"/>
  <c r="K86" i="1" s="1"/>
  <c r="J86" i="1" s="1"/>
  <c r="I71" i="1"/>
  <c r="K71" i="1" s="1"/>
  <c r="J71" i="1" s="1"/>
  <c r="I79" i="1"/>
  <c r="K79" i="1" s="1"/>
  <c r="J79" i="1" s="1"/>
  <c r="I83" i="1"/>
  <c r="K83" i="1" s="1"/>
  <c r="J83" i="1" s="1"/>
  <c r="I45" i="1"/>
  <c r="K45" i="1" s="1"/>
  <c r="J45" i="1" s="1"/>
  <c r="I77" i="1"/>
  <c r="K77" i="1" s="1"/>
  <c r="J77" i="1" s="1"/>
  <c r="I68" i="1"/>
  <c r="K68" i="1" s="1"/>
  <c r="J68" i="1" s="1"/>
  <c r="I40" i="1"/>
  <c r="K40" i="1" s="1"/>
  <c r="J40" i="1" s="1"/>
  <c r="I11" i="1"/>
  <c r="K11" i="1" s="1"/>
  <c r="J11" i="1" s="1"/>
  <c r="I36" i="1"/>
  <c r="K36" i="1" s="1"/>
  <c r="J36" i="1" s="1"/>
  <c r="I85" i="1"/>
  <c r="K85" i="1" s="1"/>
  <c r="J85" i="1" s="1"/>
  <c r="I48" i="1"/>
  <c r="K48" i="1" s="1"/>
  <c r="J48" i="1" s="1"/>
  <c r="I51" i="1"/>
  <c r="K51" i="1" s="1"/>
  <c r="J51" i="1" s="1"/>
  <c r="I34" i="1"/>
  <c r="K34" i="1" s="1"/>
  <c r="J34" i="1" s="1"/>
  <c r="I74" i="1"/>
  <c r="K74" i="1" s="1"/>
  <c r="J74" i="1" s="1"/>
  <c r="I39" i="1"/>
  <c r="K39" i="1" s="1"/>
  <c r="J39" i="1" s="1"/>
  <c r="I49" i="1"/>
  <c r="K49" i="1" s="1"/>
  <c r="J49" i="1" s="1"/>
  <c r="I65" i="1"/>
  <c r="K65" i="1" s="1"/>
  <c r="J65" i="1" s="1"/>
  <c r="I33" i="1"/>
  <c r="K33" i="1" s="1"/>
  <c r="J33" i="1" s="1"/>
  <c r="I56" i="1"/>
  <c r="K56" i="1" s="1"/>
  <c r="J56" i="1" s="1"/>
  <c r="I42" i="1"/>
  <c r="K42" i="1" s="1"/>
  <c r="J42" i="1" s="1"/>
  <c r="I46" i="1"/>
  <c r="K46" i="1" s="1"/>
  <c r="J46" i="1" s="1"/>
  <c r="I80" i="1"/>
  <c r="K80" i="1" s="1"/>
  <c r="J80" i="1" s="1"/>
  <c r="I64" i="1"/>
  <c r="K64" i="1" s="1"/>
  <c r="J64" i="1" s="1"/>
  <c r="I19" i="1"/>
  <c r="K19" i="1" s="1"/>
  <c r="J19" i="1" s="1"/>
  <c r="I52" i="1"/>
  <c r="K52" i="1" s="1"/>
  <c r="J52" i="1" s="1"/>
  <c r="I82" i="1"/>
  <c r="K82" i="1" s="1"/>
  <c r="J82" i="1" s="1"/>
  <c r="I18" i="1"/>
  <c r="K18" i="1" s="1"/>
  <c r="J18" i="1" s="1"/>
  <c r="I67" i="1"/>
  <c r="K67" i="1" s="1"/>
  <c r="J67" i="1" s="1"/>
  <c r="I76" i="1"/>
  <c r="K76" i="1" s="1"/>
  <c r="J76" i="1" s="1"/>
  <c r="I61" i="1"/>
  <c r="K61" i="1" s="1"/>
  <c r="J61" i="1" s="1"/>
  <c r="I20" i="1"/>
  <c r="K20" i="1" s="1"/>
  <c r="J20" i="1" s="1"/>
  <c r="I54" i="1"/>
  <c r="K54" i="1" s="1"/>
  <c r="J54" i="1" s="1"/>
  <c r="I58" i="1"/>
  <c r="K58" i="1" s="1"/>
  <c r="J58" i="1" s="1"/>
  <c r="I21" i="1"/>
  <c r="K21" i="1" s="1"/>
  <c r="J21" i="1" s="1"/>
  <c r="I10" i="1"/>
  <c r="I57" i="1"/>
  <c r="K57" i="1" s="1"/>
  <c r="J57" i="1" s="1"/>
  <c r="H5" i="1"/>
  <c r="M5" i="1"/>
  <c r="AB3" i="1" l="1"/>
  <c r="AE29" i="1"/>
  <c r="AD29" i="1" s="1"/>
  <c r="R3" i="1"/>
  <c r="W3" i="1"/>
  <c r="P8" i="1"/>
  <c r="O8" i="1" s="1"/>
  <c r="M3" i="1"/>
  <c r="K10" i="1"/>
  <c r="J10" i="1" s="1"/>
  <c r="H3" i="1"/>
</calcChain>
</file>

<file path=xl/comments1.xml><?xml version="1.0" encoding="utf-8"?>
<comments xmlns="http://schemas.openxmlformats.org/spreadsheetml/2006/main">
  <authors>
    <author>Автор</author>
  </authors>
  <commentList>
    <comment ref="Q13" authorId="0" shapeId="0">
      <text>
        <r>
          <rPr>
            <sz val="8"/>
            <color indexed="81"/>
            <rFont val="Tahoma"/>
            <family val="2"/>
            <charset val="204"/>
          </rPr>
          <t xml:space="preserve">Дверная карта с/у
Стекло двери с/у
</t>
        </r>
      </text>
    </comment>
    <comment ref="Z13" authorId="0" shapeId="0">
      <text>
        <r>
          <rPr>
            <sz val="8"/>
            <color indexed="81"/>
            <rFont val="Tahoma"/>
            <family val="2"/>
            <charset val="204"/>
          </rPr>
          <t xml:space="preserve">Дверная карта с/у
Стекло двери с/у
</t>
        </r>
      </text>
    </comment>
    <comment ref="AI13" authorId="0" shapeId="0">
      <text>
        <r>
          <rPr>
            <sz val="8"/>
            <color indexed="81"/>
            <rFont val="Tahoma"/>
            <family val="2"/>
            <charset val="204"/>
          </rPr>
          <t xml:space="preserve">Дверная карта с/у
Стекло двери с/у
</t>
        </r>
      </text>
    </comment>
    <comment ref="AR13" authorId="0" shapeId="0">
      <text>
        <r>
          <rPr>
            <sz val="8"/>
            <color indexed="81"/>
            <rFont val="Tahoma"/>
            <family val="2"/>
            <charset val="204"/>
          </rPr>
          <t xml:space="preserve">Дверная карта с/у
Стекло двери с/у
</t>
        </r>
      </text>
    </comment>
    <comment ref="BA13" authorId="0" shapeId="0">
      <text>
        <r>
          <rPr>
            <sz val="8"/>
            <color indexed="81"/>
            <rFont val="Tahoma"/>
            <family val="2"/>
            <charset val="204"/>
          </rPr>
          <t xml:space="preserve">Дверная карта с/у
Стекло двери с/у
</t>
        </r>
      </text>
    </comment>
    <comment ref="Q15" authorId="0" shapeId="0">
      <text>
        <r>
          <rPr>
            <sz val="8"/>
            <color indexed="81"/>
            <rFont val="Tahoma"/>
            <family val="2"/>
            <charset val="204"/>
          </rPr>
          <t xml:space="preserve">Дверная карта с/у
Стекло двери с/у
</t>
        </r>
      </text>
    </comment>
    <comment ref="Z15" authorId="0" shapeId="0">
      <text>
        <r>
          <rPr>
            <sz val="8"/>
            <color indexed="81"/>
            <rFont val="Tahoma"/>
            <family val="2"/>
            <charset val="204"/>
          </rPr>
          <t xml:space="preserve">Дверная карта с/у
Стекло двери с/у
</t>
        </r>
      </text>
    </comment>
    <comment ref="AI15" authorId="0" shapeId="0">
      <text>
        <r>
          <rPr>
            <sz val="8"/>
            <color indexed="81"/>
            <rFont val="Tahoma"/>
            <family val="2"/>
            <charset val="204"/>
          </rPr>
          <t xml:space="preserve">Дверная карта с/у
Стекло двери с/у
</t>
        </r>
      </text>
    </comment>
    <comment ref="AR15" authorId="0" shapeId="0">
      <text>
        <r>
          <rPr>
            <sz val="8"/>
            <color indexed="81"/>
            <rFont val="Tahoma"/>
            <family val="2"/>
            <charset val="204"/>
          </rPr>
          <t xml:space="preserve">Дверная карта с/у
Стекло двери с/у
</t>
        </r>
      </text>
    </comment>
    <comment ref="BA15" authorId="0" shapeId="0">
      <text>
        <r>
          <rPr>
            <sz val="8"/>
            <color indexed="81"/>
            <rFont val="Tahoma"/>
            <family val="2"/>
            <charset val="204"/>
          </rPr>
          <t xml:space="preserve">Дверная карта с/у
Стекло двери с/у
</t>
        </r>
      </text>
    </comment>
    <comment ref="Q17" authorId="0" shapeId="0">
      <text>
        <r>
          <rPr>
            <sz val="8"/>
            <color indexed="81"/>
            <rFont val="Tahoma"/>
            <family val="2"/>
            <charset val="204"/>
          </rPr>
          <t xml:space="preserve">Дверная карта с/у
Стекло двери с/у
</t>
        </r>
      </text>
    </comment>
    <comment ref="Z17" authorId="0" shapeId="0">
      <text>
        <r>
          <rPr>
            <sz val="8"/>
            <color indexed="81"/>
            <rFont val="Tahoma"/>
            <family val="2"/>
            <charset val="204"/>
          </rPr>
          <t xml:space="preserve">Дверная карта с/у
Стекло двери с/у
</t>
        </r>
      </text>
    </comment>
    <comment ref="AI17" authorId="0" shapeId="0">
      <text>
        <r>
          <rPr>
            <sz val="8"/>
            <color indexed="81"/>
            <rFont val="Tahoma"/>
            <family val="2"/>
            <charset val="204"/>
          </rPr>
          <t xml:space="preserve">Дверная карта с/у
Стекло двери с/у
</t>
        </r>
      </text>
    </comment>
    <comment ref="AR17" authorId="0" shapeId="0">
      <text>
        <r>
          <rPr>
            <sz val="8"/>
            <color indexed="81"/>
            <rFont val="Tahoma"/>
            <family val="2"/>
            <charset val="204"/>
          </rPr>
          <t xml:space="preserve">Дверная карта с/у
Стекло двери с/у
</t>
        </r>
      </text>
    </comment>
    <comment ref="BA17" authorId="0" shapeId="0">
      <text>
        <r>
          <rPr>
            <sz val="8"/>
            <color indexed="81"/>
            <rFont val="Tahoma"/>
            <family val="2"/>
            <charset val="204"/>
          </rPr>
          <t xml:space="preserve">Дверная карта с/у
Стекло двери с/у
</t>
        </r>
      </text>
    </comment>
    <comment ref="Q27" authorId="0" shapeId="0">
      <text>
        <r>
          <rPr>
            <sz val="8"/>
            <color indexed="81"/>
            <rFont val="Tahoma"/>
            <family val="2"/>
            <charset val="204"/>
          </rPr>
          <t xml:space="preserve">Дверная карта с/у
Стекло двери с/у
</t>
        </r>
      </text>
    </comment>
    <comment ref="Z27" authorId="0" shapeId="0">
      <text>
        <r>
          <rPr>
            <sz val="8"/>
            <color indexed="81"/>
            <rFont val="Tahoma"/>
            <family val="2"/>
            <charset val="204"/>
          </rPr>
          <t xml:space="preserve">Дверная карта с/у
Стекло двери с/у
</t>
        </r>
      </text>
    </comment>
    <comment ref="AI27" authorId="0" shapeId="0">
      <text>
        <r>
          <rPr>
            <sz val="8"/>
            <color indexed="81"/>
            <rFont val="Tahoma"/>
            <family val="2"/>
            <charset val="204"/>
          </rPr>
          <t xml:space="preserve">Дверная карта с/у
Стекло двери с/у
</t>
        </r>
      </text>
    </comment>
    <comment ref="AR27" authorId="0" shapeId="0">
      <text>
        <r>
          <rPr>
            <sz val="8"/>
            <color indexed="81"/>
            <rFont val="Tahoma"/>
            <family val="2"/>
            <charset val="204"/>
          </rPr>
          <t xml:space="preserve">Дверная карта с/у
Стекло двери с/у
</t>
        </r>
      </text>
    </comment>
    <comment ref="BA27" authorId="0" shapeId="0">
      <text>
        <r>
          <rPr>
            <sz val="8"/>
            <color indexed="81"/>
            <rFont val="Tahoma"/>
            <family val="2"/>
            <charset val="204"/>
          </rPr>
          <t xml:space="preserve">Дверная карта с/у
Стекло двери с/у
</t>
        </r>
      </text>
    </comment>
    <comment ref="Q29" authorId="0" shapeId="0">
      <text>
        <r>
          <rPr>
            <sz val="8"/>
            <color indexed="81"/>
            <rFont val="Tahoma"/>
            <family val="2"/>
            <charset val="204"/>
          </rPr>
          <t xml:space="preserve">Дверная карта с/у
Стекло двери с/у
</t>
        </r>
      </text>
    </comment>
    <comment ref="Z29" authorId="0" shapeId="0">
      <text>
        <r>
          <rPr>
            <sz val="8"/>
            <color indexed="81"/>
            <rFont val="Tahoma"/>
            <family val="2"/>
            <charset val="204"/>
          </rPr>
          <t xml:space="preserve">Дверная карта с/у
Стекло двери с/у
</t>
        </r>
      </text>
    </comment>
    <comment ref="AI29" authorId="0" shapeId="0">
      <text>
        <r>
          <rPr>
            <sz val="8"/>
            <color indexed="81"/>
            <rFont val="Tahoma"/>
            <family val="2"/>
            <charset val="204"/>
          </rPr>
          <t xml:space="preserve">Дверная карта с/у
Стекло двери с/у
</t>
        </r>
      </text>
    </comment>
    <comment ref="AR29" authorId="0" shapeId="0">
      <text>
        <r>
          <rPr>
            <sz val="8"/>
            <color indexed="81"/>
            <rFont val="Tahoma"/>
            <family val="2"/>
            <charset val="204"/>
          </rPr>
          <t xml:space="preserve">Дверная карта с/у
Стекло двери с/у
</t>
        </r>
      </text>
    </comment>
    <comment ref="BA29" authorId="0" shapeId="0">
      <text>
        <r>
          <rPr>
            <sz val="8"/>
            <color indexed="81"/>
            <rFont val="Tahoma"/>
            <family val="2"/>
            <charset val="204"/>
          </rPr>
          <t xml:space="preserve">Дверная карта с/у
Стекло двери с/у
</t>
        </r>
      </text>
    </comment>
    <comment ref="Q31" authorId="0" shapeId="0">
      <text>
        <r>
          <rPr>
            <sz val="8"/>
            <color indexed="81"/>
            <rFont val="Tahoma"/>
            <family val="2"/>
            <charset val="204"/>
          </rPr>
          <t xml:space="preserve">Дверная карта с/у
Стекло двери с/у
</t>
        </r>
      </text>
    </comment>
    <comment ref="Z31" authorId="0" shapeId="0">
      <text>
        <r>
          <rPr>
            <sz val="8"/>
            <color indexed="81"/>
            <rFont val="Tahoma"/>
            <family val="2"/>
            <charset val="204"/>
          </rPr>
          <t xml:space="preserve">Дверная карта с/у
Стекло двери с/у
</t>
        </r>
      </text>
    </comment>
    <comment ref="AI31" authorId="0" shapeId="0">
      <text>
        <r>
          <rPr>
            <sz val="8"/>
            <color indexed="81"/>
            <rFont val="Tahoma"/>
            <family val="2"/>
            <charset val="204"/>
          </rPr>
          <t xml:space="preserve">Дверная карта с/у
Стекло двери с/у
</t>
        </r>
      </text>
    </comment>
    <comment ref="AR31" authorId="0" shapeId="0">
      <text>
        <r>
          <rPr>
            <sz val="8"/>
            <color indexed="81"/>
            <rFont val="Tahoma"/>
            <family val="2"/>
            <charset val="204"/>
          </rPr>
          <t xml:space="preserve">Дверная карта с/у
Стекло двери с/у
</t>
        </r>
      </text>
    </comment>
    <comment ref="BA31" authorId="0" shapeId="0">
      <text>
        <r>
          <rPr>
            <sz val="8"/>
            <color indexed="81"/>
            <rFont val="Tahoma"/>
            <family val="2"/>
            <charset val="204"/>
          </rPr>
          <t xml:space="preserve">Дверная карта с/у
Стекло двери с/у
</t>
        </r>
      </text>
    </comment>
    <comment ref="Q39" authorId="0" shapeId="0">
      <text>
        <r>
          <rPr>
            <sz val="8"/>
            <color indexed="81"/>
            <rFont val="Tahoma"/>
            <family val="2"/>
            <charset val="204"/>
          </rPr>
          <t xml:space="preserve">Поводок дворника с/у
</t>
        </r>
      </text>
    </comment>
    <comment ref="Z39" authorId="0" shapeId="0">
      <text>
        <r>
          <rPr>
            <sz val="8"/>
            <color indexed="81"/>
            <rFont val="Tahoma"/>
            <family val="2"/>
            <charset val="204"/>
          </rPr>
          <t xml:space="preserve">Поводок дворника с/у
</t>
        </r>
      </text>
    </comment>
    <comment ref="AI39" authorId="0" shapeId="0">
      <text>
        <r>
          <rPr>
            <sz val="8"/>
            <color indexed="81"/>
            <rFont val="Tahoma"/>
            <family val="2"/>
            <charset val="204"/>
          </rPr>
          <t xml:space="preserve">Поводок дворника с/у
</t>
        </r>
      </text>
    </comment>
    <comment ref="AR39" authorId="0" shapeId="0">
      <text>
        <r>
          <rPr>
            <sz val="8"/>
            <color indexed="81"/>
            <rFont val="Tahoma"/>
            <family val="2"/>
            <charset val="204"/>
          </rPr>
          <t xml:space="preserve">Поводок дворника с/у
</t>
        </r>
      </text>
    </comment>
    <comment ref="BA39" authorId="0" shapeId="0">
      <text>
        <r>
          <rPr>
            <sz val="8"/>
            <color indexed="81"/>
            <rFont val="Tahoma"/>
            <family val="2"/>
            <charset val="204"/>
          </rPr>
          <t xml:space="preserve">Поводок дворника с/у
</t>
        </r>
      </text>
    </comment>
  </commentList>
</comments>
</file>

<file path=xl/sharedStrings.xml><?xml version="1.0" encoding="utf-8"?>
<sst xmlns="http://schemas.openxmlformats.org/spreadsheetml/2006/main" count="405" uniqueCount="222">
  <si>
    <t>Кол-во</t>
  </si>
  <si>
    <t>Выручка</t>
  </si>
  <si>
    <t>1 класс</t>
  </si>
  <si>
    <t>2 класс</t>
  </si>
  <si>
    <t>3 класс</t>
  </si>
  <si>
    <t>4 класс</t>
  </si>
  <si>
    <t>4+ класс</t>
  </si>
  <si>
    <t>Решетка радиатора</t>
  </si>
  <si>
    <t>Решетка радиатора съем</t>
  </si>
  <si>
    <t>Решетка радиатора разборка</t>
  </si>
  <si>
    <t>Решетка радиатора установка</t>
  </si>
  <si>
    <t>Решетка радиатора сборка</t>
  </si>
  <si>
    <t>Передний бампер</t>
  </si>
  <si>
    <t>Передний бампер съем</t>
  </si>
  <si>
    <t>Передний бампер разборка</t>
  </si>
  <si>
    <t>Передний бампер сборка</t>
  </si>
  <si>
    <t>Передний бампер установка</t>
  </si>
  <si>
    <t>Пороги</t>
  </si>
  <si>
    <t>Пороги внешние съем</t>
  </si>
  <si>
    <t>Пороги внешние разборка</t>
  </si>
  <si>
    <t>Пороги внешние сборка</t>
  </si>
  <si>
    <t>Пороги внешние установка</t>
  </si>
  <si>
    <t>Задний бампер съем</t>
  </si>
  <si>
    <t>Задний бампер разборка</t>
  </si>
  <si>
    <t>Задний бампер сборка</t>
  </si>
  <si>
    <t>Задний бампер установка</t>
  </si>
  <si>
    <t>Задний бампер</t>
  </si>
  <si>
    <t>Спойлер</t>
  </si>
  <si>
    <t>Спойлер съем</t>
  </si>
  <si>
    <t>Спойлер разборка</t>
  </si>
  <si>
    <t>Спойлер сборка</t>
  </si>
  <si>
    <t>Спойлер установка</t>
  </si>
  <si>
    <t>Фара передняя</t>
  </si>
  <si>
    <t>Фонарь задний</t>
  </si>
  <si>
    <t>Фара передняя съем</t>
  </si>
  <si>
    <t>фара передняя установка</t>
  </si>
  <si>
    <t>Фонарь задний съем</t>
  </si>
  <si>
    <t>Фонарь задний установка</t>
  </si>
  <si>
    <t>Расширитель арки колеса сборка/установка</t>
  </si>
  <si>
    <t>Расширитель арки колеса съем/разборка</t>
  </si>
  <si>
    <t>Расширитель арки колеса</t>
  </si>
  <si>
    <t>Люк бензобака</t>
  </si>
  <si>
    <t>Люк бензобака съем</t>
  </si>
  <si>
    <t>Люк бензобака установка</t>
  </si>
  <si>
    <t>Накладки двери</t>
  </si>
  <si>
    <t>Накладка двери съем/разборка</t>
  </si>
  <si>
    <t>Накладка двери сборка/установка</t>
  </si>
  <si>
    <t>Наружняя ручка двери</t>
  </si>
  <si>
    <t>Наружняя ручка двери съем/разборка</t>
  </si>
  <si>
    <t>Наружняя ручка двери сборка/установка</t>
  </si>
  <si>
    <t>Наружнее зеркало</t>
  </si>
  <si>
    <t>Наружнее зеркало разборка</t>
  </si>
  <si>
    <t>Наружнее зеркало сборка</t>
  </si>
  <si>
    <t>Наружнее зеркало установка</t>
  </si>
  <si>
    <t>Наружнее зеркало съем</t>
  </si>
  <si>
    <t>Оконные молдинги двери</t>
  </si>
  <si>
    <t>Оконные молдинги двери съем</t>
  </si>
  <si>
    <t>Оконные молдинги двери разборка</t>
  </si>
  <si>
    <t>Оконные молдинги двери сборка</t>
  </si>
  <si>
    <t>Оконные молдинги двери установка</t>
  </si>
  <si>
    <t>Лееры (рейлинги)</t>
  </si>
  <si>
    <t>Лееры (рейлинги) съем/разборка</t>
  </si>
  <si>
    <t>Лееры (рейлинги) сборка/установка</t>
  </si>
  <si>
    <t>Накладки двери (крышки) багажника</t>
  </si>
  <si>
    <t>Накладки двери (крышки) багажника съем/разборка</t>
  </si>
  <si>
    <t>Накладки двери (крышки) багажника сборка/установка</t>
  </si>
  <si>
    <t>Накладки переднего крыла</t>
  </si>
  <si>
    <t>Накладки переднего крыла съем</t>
  </si>
  <si>
    <t>Накладки переднего крыла установка</t>
  </si>
  <si>
    <t>Накладки заднего крыла</t>
  </si>
  <si>
    <t>Накладки заднего крыла установка</t>
  </si>
  <si>
    <t>Накладки заднего крыла съем</t>
  </si>
  <si>
    <t>Защита двигателя</t>
  </si>
  <si>
    <t>Защита двигателя съем</t>
  </si>
  <si>
    <t>Защита двигателя установка</t>
  </si>
  <si>
    <t>Дверная карта</t>
  </si>
  <si>
    <t>Дверная карта съем/разборка</t>
  </si>
  <si>
    <t>Дверная карта сборка/установка</t>
  </si>
  <si>
    <t>Обшивка потолка</t>
  </si>
  <si>
    <t>Обшивка потолка съем/разборка</t>
  </si>
  <si>
    <t>Обшивка потолка сборка/установка</t>
  </si>
  <si>
    <t>Обшивка двери (крышки) багажника</t>
  </si>
  <si>
    <t>Обшивка двери (крышки) багажника съем/разборка</t>
  </si>
  <si>
    <t>Обшивка двери (крышки) багажника сборка/установка</t>
  </si>
  <si>
    <t>Кресло</t>
  </si>
  <si>
    <t>Диван</t>
  </si>
  <si>
    <t>Рулевое колесо</t>
  </si>
  <si>
    <t>Кресло съем</t>
  </si>
  <si>
    <t>Кресло установка</t>
  </si>
  <si>
    <t>Диван съем</t>
  </si>
  <si>
    <t>Диван установка</t>
  </si>
  <si>
    <t>Рулевое колесо съем</t>
  </si>
  <si>
    <t>Рулевоек колесо установка</t>
  </si>
  <si>
    <t>Торпедо</t>
  </si>
  <si>
    <t>Торпедо съем</t>
  </si>
  <si>
    <t>Торпедо разборка</t>
  </si>
  <si>
    <t>Торпедо сборка</t>
  </si>
  <si>
    <t>Торпедо установка</t>
  </si>
  <si>
    <t>Центральная консоль</t>
  </si>
  <si>
    <t>Центральная консоль съем</t>
  </si>
  <si>
    <t>Центральная консоль разборка</t>
  </si>
  <si>
    <t>Центральная консоль сборка</t>
  </si>
  <si>
    <t>Центральная консоль установка</t>
  </si>
  <si>
    <t>Дверь</t>
  </si>
  <si>
    <t>Дверь съем</t>
  </si>
  <si>
    <t>Дверь установка</t>
  </si>
  <si>
    <t>Капот</t>
  </si>
  <si>
    <t>Капот съем</t>
  </si>
  <si>
    <t>Капот установка</t>
  </si>
  <si>
    <t>Крышка (дверь) багажника</t>
  </si>
  <si>
    <t>Крышка (дверь) багажника съем</t>
  </si>
  <si>
    <t>Крышка (дверь) багажника установка</t>
  </si>
  <si>
    <t>Стекло двери</t>
  </si>
  <si>
    <t>Стекло двери съем</t>
  </si>
  <si>
    <t>Стекло двери установка</t>
  </si>
  <si>
    <t>Накладка проема</t>
  </si>
  <si>
    <t>Накладка проема съем</t>
  </si>
  <si>
    <t>Накладка проема установка</t>
  </si>
  <si>
    <t>Локер</t>
  </si>
  <si>
    <t>Локер съем</t>
  </si>
  <si>
    <t>Локер установка</t>
  </si>
  <si>
    <t>Крыло переднее</t>
  </si>
  <si>
    <t>Крыло переднее съем</t>
  </si>
  <si>
    <t>Крыло переднее установка</t>
  </si>
  <si>
    <t>Обшивка пола</t>
  </si>
  <si>
    <t>Обшивка пола съем</t>
  </si>
  <si>
    <t>Обшивка пола установка</t>
  </si>
  <si>
    <t>Шильдики</t>
  </si>
  <si>
    <t>Шильдики съем</t>
  </si>
  <si>
    <t>Шильдики установка</t>
  </si>
  <si>
    <t>Поводок дворника</t>
  </si>
  <si>
    <t>Поводок дворника съем</t>
  </si>
  <si>
    <t>Поводок дворника установка</t>
  </si>
  <si>
    <t>Обшивка багажного отделения</t>
  </si>
  <si>
    <t>Обшивка багажного отделения съем</t>
  </si>
  <si>
    <t>Обшивка багажного отделения установка</t>
  </si>
  <si>
    <t>ФОТ, %</t>
  </si>
  <si>
    <t>ФОТ, руб</t>
  </si>
  <si>
    <t>GPM, %</t>
  </si>
  <si>
    <t>GP, руб</t>
  </si>
  <si>
    <t>Работы</t>
  </si>
  <si>
    <t>Узел</t>
  </si>
  <si>
    <t>% от объема</t>
  </si>
  <si>
    <t>ФОТ</t>
  </si>
  <si>
    <t>расч</t>
  </si>
  <si>
    <t>факт</t>
  </si>
  <si>
    <t>РЕШЕТКА РАДИАТОРА</t>
  </si>
  <si>
    <t>ВИД РАБОТ</t>
  </si>
  <si>
    <t>АРМАТУРНЫЕ РАБОТЫ</t>
  </si>
  <si>
    <t>ПОРОГИ ВНЕШНИЕ</t>
  </si>
  <si>
    <t>СПОЙЛЕР</t>
  </si>
  <si>
    <t>РАСШИРИТЕЛЬ АРКИ КОЛЕСА
(ФЭНДЕР)</t>
  </si>
  <si>
    <t>НАКЛАДКА ДВЕРИ</t>
  </si>
  <si>
    <t>Накладки крышки (двери) багажника съем/разборка</t>
  </si>
  <si>
    <t>Накладки крышки (двери) багажника сборка/установка</t>
  </si>
  <si>
    <t>НАКЛАДКИ КРЫШКИ (ДВЕРИ) БАГАЖНИКА</t>
  </si>
  <si>
    <t>РЕЙЛИНГИ (ЛЕЕРЫ)</t>
  </si>
  <si>
    <t>ЗЕРКАЛО НАРУЖНЕЕ</t>
  </si>
  <si>
    <t>МОЛДИНГИ ОКОННЫЕ</t>
  </si>
  <si>
    <t>РУЧКА ДВЕРИ НАРУЖНЯЯ</t>
  </si>
  <si>
    <t>ЗАЩИТА ДВГАТЕЛЯ</t>
  </si>
  <si>
    <t>ШИЛЬДИКИ</t>
  </si>
  <si>
    <t>ЛОКЕР</t>
  </si>
  <si>
    <t>ПОВОДОК ДВОРНИКА</t>
  </si>
  <si>
    <t>ДВЕРЬ</t>
  </si>
  <si>
    <t>ДВЕРНАЯ КАРТА</t>
  </si>
  <si>
    <t>ДИВАН</t>
  </si>
  <si>
    <t>КРЕСЛО</t>
  </si>
  <si>
    <t>КАПОТ</t>
  </si>
  <si>
    <t>КРЫЛО ПЕРЕДНЕЕ</t>
  </si>
  <si>
    <t>ЛЮК БЕНЗОБАКА</t>
  </si>
  <si>
    <t>НАКЛАДКА ПРОЕМА</t>
  </si>
  <si>
    <t>ОБШИВКА ПОТОЛКА</t>
  </si>
  <si>
    <t>ОБШИВКА ПОЛА</t>
  </si>
  <si>
    <t>РУЛЕВОЕ КОЛЕСО</t>
  </si>
  <si>
    <t>СТЕКЛО ДВЕРИ</t>
  </si>
  <si>
    <t>ТОРПЕДО</t>
  </si>
  <si>
    <t>КРЫШКА (ДВЕРЬ)
БАГАЖНИКА</t>
  </si>
  <si>
    <t>НАКЛАДКИ
ПЕРЕДНЕГО КРЫЛА</t>
  </si>
  <si>
    <t>НАКЛАДКИ
ЗАДНЕГО КРЫЛА</t>
  </si>
  <si>
    <t>ОБШИВКА КРЫШКИ
(ДВЕРИ) БАГАЖНИКА</t>
  </si>
  <si>
    <t>ОБШИВКА
БАГАЖНОГО ОТДЕЛЕНИЯ</t>
  </si>
  <si>
    <t>ЦЕНТРАЛЬНАЯ
КОНСОЛЬ</t>
  </si>
  <si>
    <t>БАМПЕР ЗАДНИЙ</t>
  </si>
  <si>
    <t>БАМПЕР ПЕРЕДНИЙ</t>
  </si>
  <si>
    <t>ФОНАРЬ ЗАДНИЙ
(сторона)</t>
  </si>
  <si>
    <t>ФАРА ПЕРЕДНЯЯ
(сторона)</t>
  </si>
  <si>
    <t>КОЛЕСО</t>
  </si>
  <si>
    <t>Колесо съем</t>
  </si>
  <si>
    <t>Колесо установка</t>
  </si>
  <si>
    <t>№
п.п.</t>
  </si>
  <si>
    <t>СТОИМОСТЬ РАБОТ</t>
  </si>
  <si>
    <t>Материал</t>
  </si>
  <si>
    <t>Лобовое стекло</t>
  </si>
  <si>
    <t>Передние боковые</t>
  </si>
  <si>
    <t>Задняя полусфера</t>
  </si>
  <si>
    <t>Передняя полусфера</t>
  </si>
  <si>
    <t>Люк</t>
  </si>
  <si>
    <t>Панорама</t>
  </si>
  <si>
    <t>ТОНИРУЮЩАЯ ПЛЕНКА. СВЕТОПРОПУСКАЕМОСТЬ: 5%, 15%, 35%, 50%. SUNTEK (USA)</t>
  </si>
  <si>
    <t>АТЕРМАЛЬНАЯ ПЛЕНКА. СВЕТОПРОПУСКАЕМОСТЬ 64%. NDFOS</t>
  </si>
  <si>
    <t>Доп. Работы</t>
  </si>
  <si>
    <t>Расход</t>
  </si>
  <si>
    <t>Сумма</t>
  </si>
  <si>
    <t>БРОНЕПЛЕНКА. PET. PROFILM EXW4</t>
  </si>
  <si>
    <t>БРОНЕПЛЕНКА. PPF. PROFILM SUN RUF</t>
  </si>
  <si>
    <t xml:space="preserve">SUNTEK </t>
  </si>
  <si>
    <t>NDFOS</t>
  </si>
  <si>
    <t>EXW4</t>
  </si>
  <si>
    <t>SUN RUF</t>
  </si>
  <si>
    <t>рулон</t>
  </si>
  <si>
    <t>м/п</t>
  </si>
  <si>
    <t>Цена</t>
  </si>
  <si>
    <t>Ставка грейда в руб/час</t>
  </si>
  <si>
    <t>ДАННЫЕ ДЛЯ РАСЧЕТА</t>
  </si>
  <si>
    <t>СТОИМОСТЬ с учетом арматурных работ</t>
  </si>
  <si>
    <t>АРМ, ШВИ</t>
  </si>
  <si>
    <t>АРМ, Химчистка</t>
  </si>
  <si>
    <t>АРМ, Полная оклейка</t>
  </si>
  <si>
    <t>АРМ, Полная оклейка без потолка</t>
  </si>
  <si>
    <t>АРМ, Антихром MAX</t>
  </si>
  <si>
    <t>АРМ, Антихром MAX без разбора потолка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</si>
</sst>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\ &quot;₽&quot;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sz val="8"/>
      <color indexed="81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0" xfId="0" applyFill="1" applyBorder="1"/>
    <xf numFmtId="0" fontId="2" fillId="0" borderId="4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7" fillId="0" borderId="0" xfId="0" applyFont="1" applyFill="1"/>
    <xf numFmtId="0" fontId="7" fillId="0" borderId="0" xfId="0" applyFont="1" applyFill="1" applyAlignment="1">
      <alignment horizontal="left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/>
    <xf numFmtId="0" fontId="7" fillId="0" borderId="0" xfId="0" applyFont="1" applyFill="1" applyBorder="1" applyAlignment="1">
      <alignment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3" fontId="7" fillId="0" borderId="0" xfId="0" applyNumberFormat="1" applyFont="1" applyFill="1"/>
    <xf numFmtId="0" fontId="0" fillId="4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left" vertical="center"/>
    </xf>
    <xf numFmtId="0" fontId="2" fillId="4" borderId="4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164" fontId="6" fillId="0" borderId="0" xfId="0" applyNumberFormat="1" applyFont="1" applyFill="1" applyAlignment="1">
      <alignment horizontal="center"/>
    </xf>
    <xf numFmtId="164" fontId="6" fillId="0" borderId="0" xfId="0" applyNumberFormat="1" applyFont="1" applyFill="1" applyBorder="1" applyAlignment="1">
      <alignment horizontal="center" vertical="center"/>
    </xf>
    <xf numFmtId="164" fontId="8" fillId="0" borderId="0" xfId="0" applyNumberFormat="1" applyFont="1" applyFill="1" applyBorder="1" applyAlignment="1">
      <alignment horizontal="center" vertical="center"/>
    </xf>
    <xf numFmtId="164" fontId="6" fillId="3" borderId="0" xfId="0" applyNumberFormat="1" applyFont="1" applyFill="1" applyAlignment="1">
      <alignment horizontal="center"/>
    </xf>
    <xf numFmtId="164" fontId="6" fillId="0" borderId="0" xfId="0" applyNumberFormat="1" applyFont="1" applyFill="1"/>
    <xf numFmtId="164" fontId="6" fillId="3" borderId="0" xfId="0" applyNumberFormat="1" applyFont="1" applyFill="1"/>
    <xf numFmtId="164" fontId="6" fillId="3" borderId="21" xfId="0" applyNumberFormat="1" applyFont="1" applyFill="1" applyBorder="1" applyAlignment="1">
      <alignment horizontal="center"/>
    </xf>
    <xf numFmtId="164" fontId="6" fillId="3" borderId="22" xfId="0" applyNumberFormat="1" applyFont="1" applyFill="1" applyBorder="1" applyAlignment="1">
      <alignment horizontal="center"/>
    </xf>
    <xf numFmtId="164" fontId="6" fillId="3" borderId="23" xfId="0" applyNumberFormat="1" applyFont="1" applyFill="1" applyBorder="1" applyAlignment="1">
      <alignment horizontal="center"/>
    </xf>
    <xf numFmtId="0" fontId="7" fillId="0" borderId="0" xfId="0" applyFont="1" applyFill="1" applyAlignment="1">
      <alignment vertical="center"/>
    </xf>
    <xf numFmtId="164" fontId="9" fillId="0" borderId="0" xfId="0" applyNumberFormat="1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/>
    <xf numFmtId="0" fontId="8" fillId="0" borderId="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8" fillId="0" borderId="0" xfId="0" applyNumberFormat="1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 applyFill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center" vertical="center"/>
    </xf>
    <xf numFmtId="0" fontId="6" fillId="0" borderId="24" xfId="0" applyFont="1" applyFill="1" applyBorder="1" applyAlignment="1">
      <alignment horizontal="center" vertical="center"/>
    </xf>
    <xf numFmtId="0" fontId="6" fillId="0" borderId="25" xfId="0" applyFont="1" applyFill="1" applyBorder="1" applyAlignment="1">
      <alignment horizontal="center" vertical="center"/>
    </xf>
    <xf numFmtId="0" fontId="6" fillId="0" borderId="26" xfId="0" applyFont="1" applyFill="1" applyBorder="1" applyAlignment="1">
      <alignment horizontal="center" vertical="center"/>
    </xf>
    <xf numFmtId="0" fontId="6" fillId="0" borderId="27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28" xfId="0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/>
    </xf>
    <xf numFmtId="0" fontId="6" fillId="0" borderId="30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vertical="center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0" fontId="7" fillId="0" borderId="23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164" fontId="6" fillId="0" borderId="21" xfId="0" applyNumberFormat="1" applyFont="1" applyFill="1" applyBorder="1" applyAlignment="1">
      <alignment horizontal="center" vertical="center"/>
    </xf>
    <xf numFmtId="164" fontId="6" fillId="0" borderId="23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8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 wrapText="1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8" fillId="0" borderId="21" xfId="0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28" xfId="0" applyFont="1" applyFill="1" applyBorder="1" applyAlignment="1">
      <alignment horizontal="center" vertical="center"/>
    </xf>
    <xf numFmtId="0" fontId="8" fillId="0" borderId="29" xfId="0" applyFont="1" applyFill="1" applyBorder="1" applyAlignment="1">
      <alignment horizontal="center" vertical="center"/>
    </xf>
    <xf numFmtId="0" fontId="8" fillId="0" borderId="30" xfId="0" applyFont="1" applyFill="1" applyBorder="1" applyAlignment="1">
      <alignment horizontal="center" vertical="center"/>
    </xf>
    <xf numFmtId="0" fontId="8" fillId="0" borderId="31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164" fontId="6" fillId="0" borderId="0" xfId="0" applyNumberFormat="1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145"/>
  <sheetViews>
    <sheetView zoomScale="70" zoomScaleNormal="70" workbookViewId="0">
      <selection activeCell="A8" sqref="A8:A11"/>
    </sheetView>
  </sheetViews>
  <sheetFormatPr defaultRowHeight="15" x14ac:dyDescent="0.25"/>
  <cols>
    <col min="1" max="1" width="35.7109375" style="7" customWidth="1"/>
    <col min="2" max="2" width="7.85546875" style="4" customWidth="1"/>
    <col min="3" max="3" width="12.42578125" style="2" bestFit="1" customWidth="1"/>
    <col min="4" max="4" width="52.85546875" style="6" bestFit="1" customWidth="1"/>
    <col min="5" max="5" width="7.28515625" style="8" bestFit="1" customWidth="1"/>
    <col min="6" max="6" width="7.7109375" style="4" bestFit="1" customWidth="1"/>
    <col min="7" max="7" width="4.7109375" style="4" customWidth="1"/>
    <col min="8" max="8" width="10.7109375" style="10" customWidth="1"/>
    <col min="9" max="9" width="10.7109375" style="8" customWidth="1"/>
    <col min="10" max="11" width="8.7109375" style="8" customWidth="1"/>
    <col min="12" max="12" width="4.7109375" style="8" customWidth="1"/>
    <col min="13" max="13" width="10.7109375" style="10" customWidth="1"/>
    <col min="14" max="14" width="10.7109375" style="8" customWidth="1"/>
    <col min="15" max="16" width="8.7109375" style="8" customWidth="1"/>
    <col min="17" max="17" width="4.7109375" style="8" customWidth="1"/>
    <col min="18" max="18" width="10.7109375" style="10" customWidth="1"/>
    <col min="19" max="19" width="10.7109375" style="8" customWidth="1"/>
    <col min="20" max="21" width="8.7109375" style="8" customWidth="1"/>
    <col min="22" max="22" width="4.7109375" style="8" customWidth="1"/>
    <col min="23" max="23" width="10.7109375" style="10" customWidth="1"/>
    <col min="24" max="24" width="10.7109375" style="8" customWidth="1"/>
    <col min="25" max="26" width="8.7109375" style="8" customWidth="1"/>
    <col min="27" max="27" width="4.7109375" style="8" customWidth="1"/>
    <col min="28" max="28" width="10.7109375" style="10" customWidth="1"/>
    <col min="29" max="29" width="10.7109375" style="8" customWidth="1"/>
    <col min="30" max="31" width="8.7109375" style="8" customWidth="1"/>
    <col min="32" max="32" width="4.7109375" style="8" customWidth="1"/>
    <col min="33" max="16384" width="9.140625" style="6"/>
  </cols>
  <sheetData>
    <row r="1" spans="1:34" ht="15.75" thickBot="1" x14ac:dyDescent="0.3">
      <c r="A1" s="78" t="s">
        <v>141</v>
      </c>
      <c r="B1" s="14">
        <f>12*60</f>
        <v>720</v>
      </c>
      <c r="C1" s="78" t="s">
        <v>142</v>
      </c>
      <c r="D1" s="79" t="s">
        <v>140</v>
      </c>
      <c r="E1" s="79" t="s">
        <v>0</v>
      </c>
      <c r="F1" s="79" t="s">
        <v>136</v>
      </c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4"/>
      <c r="AD1" s="4"/>
      <c r="AE1" s="4"/>
      <c r="AF1" s="4"/>
    </row>
    <row r="2" spans="1:34" x14ac:dyDescent="0.25">
      <c r="A2" s="78"/>
      <c r="B2" s="82">
        <f>SUM(B8:B86)</f>
        <v>870</v>
      </c>
      <c r="C2" s="78"/>
      <c r="D2" s="79"/>
      <c r="E2" s="79"/>
      <c r="F2" s="79"/>
      <c r="H2" s="15">
        <v>12000</v>
      </c>
      <c r="I2" s="86" t="s">
        <v>137</v>
      </c>
      <c r="J2" s="89" t="s">
        <v>138</v>
      </c>
      <c r="K2" s="92" t="s">
        <v>139</v>
      </c>
      <c r="L2" s="11"/>
      <c r="M2" s="15">
        <v>12000</v>
      </c>
      <c r="N2" s="86" t="s">
        <v>137</v>
      </c>
      <c r="O2" s="89" t="s">
        <v>138</v>
      </c>
      <c r="P2" s="92" t="s">
        <v>139</v>
      </c>
      <c r="Q2" s="4"/>
      <c r="R2" s="15">
        <v>15000</v>
      </c>
      <c r="S2" s="86" t="s">
        <v>137</v>
      </c>
      <c r="T2" s="89" t="s">
        <v>138</v>
      </c>
      <c r="U2" s="92" t="s">
        <v>139</v>
      </c>
      <c r="V2" s="4"/>
      <c r="W2" s="15">
        <v>20000</v>
      </c>
      <c r="X2" s="86" t="s">
        <v>137</v>
      </c>
      <c r="Y2" s="89" t="s">
        <v>138</v>
      </c>
      <c r="Z2" s="92" t="s">
        <v>139</v>
      </c>
      <c r="AA2" s="4"/>
      <c r="AB2" s="15">
        <v>30000</v>
      </c>
      <c r="AC2" s="86" t="s">
        <v>137</v>
      </c>
      <c r="AD2" s="89" t="s">
        <v>138</v>
      </c>
      <c r="AE2" s="92" t="s">
        <v>139</v>
      </c>
      <c r="AF2" s="11"/>
      <c r="AG2" s="6" t="s">
        <v>143</v>
      </c>
      <c r="AH2" s="6" t="s">
        <v>144</v>
      </c>
    </row>
    <row r="3" spans="1:34" x14ac:dyDescent="0.25">
      <c r="A3" s="78"/>
      <c r="B3" s="82"/>
      <c r="C3" s="78"/>
      <c r="D3" s="79"/>
      <c r="E3" s="79"/>
      <c r="F3" s="79"/>
      <c r="H3" s="16">
        <f>SUM(I8:I86)</f>
        <v>13825</v>
      </c>
      <c r="I3" s="87"/>
      <c r="J3" s="90"/>
      <c r="K3" s="93"/>
      <c r="L3" s="11"/>
      <c r="M3" s="16">
        <f>SUM(N8:N86)</f>
        <v>13825</v>
      </c>
      <c r="N3" s="87"/>
      <c r="O3" s="90"/>
      <c r="P3" s="93"/>
      <c r="Q3" s="4"/>
      <c r="R3" s="16">
        <f>SUM(S8:S86)</f>
        <v>15575</v>
      </c>
      <c r="S3" s="87"/>
      <c r="T3" s="90"/>
      <c r="U3" s="93"/>
      <c r="V3" s="4"/>
      <c r="W3" s="16">
        <f>SUM(X8:X86)</f>
        <v>20125</v>
      </c>
      <c r="X3" s="87"/>
      <c r="Y3" s="90"/>
      <c r="Z3" s="93"/>
      <c r="AA3" s="4"/>
      <c r="AB3" s="16">
        <f>SUM(AC8:AC86)</f>
        <v>31675</v>
      </c>
      <c r="AC3" s="87"/>
      <c r="AD3" s="90"/>
      <c r="AE3" s="93"/>
      <c r="AF3" s="11"/>
      <c r="AG3" s="6" t="s">
        <v>143</v>
      </c>
      <c r="AH3" s="6" t="s">
        <v>145</v>
      </c>
    </row>
    <row r="4" spans="1:34" x14ac:dyDescent="0.25">
      <c r="A4" s="78"/>
      <c r="B4" s="82"/>
      <c r="C4" s="78"/>
      <c r="D4" s="79"/>
      <c r="E4" s="79"/>
      <c r="F4" s="79"/>
      <c r="H4" s="15">
        <f>MROUND(H2/0.35,500)</f>
        <v>34500</v>
      </c>
      <c r="I4" s="87"/>
      <c r="J4" s="90"/>
      <c r="K4" s="93"/>
      <c r="L4" s="11"/>
      <c r="M4" s="15">
        <f t="shared" ref="M4:AB4" si="0">MROUND(M2/0.35,500)</f>
        <v>34500</v>
      </c>
      <c r="N4" s="87"/>
      <c r="O4" s="90"/>
      <c r="P4" s="93"/>
      <c r="Q4" s="4"/>
      <c r="R4" s="15">
        <f t="shared" si="0"/>
        <v>43000</v>
      </c>
      <c r="S4" s="87"/>
      <c r="T4" s="90"/>
      <c r="U4" s="93"/>
      <c r="V4" s="4"/>
      <c r="W4" s="15">
        <f t="shared" si="0"/>
        <v>57000</v>
      </c>
      <c r="X4" s="87"/>
      <c r="Y4" s="90"/>
      <c r="Z4" s="93"/>
      <c r="AA4" s="4"/>
      <c r="AB4" s="15">
        <f t="shared" si="0"/>
        <v>85500</v>
      </c>
      <c r="AC4" s="87"/>
      <c r="AD4" s="90"/>
      <c r="AE4" s="93"/>
      <c r="AF4" s="11"/>
      <c r="AG4" s="6" t="s">
        <v>1</v>
      </c>
      <c r="AH4" s="6" t="s">
        <v>144</v>
      </c>
    </row>
    <row r="5" spans="1:34" ht="15.75" thickBot="1" x14ac:dyDescent="0.3">
      <c r="A5" s="78"/>
      <c r="B5" s="82"/>
      <c r="D5" s="79"/>
      <c r="E5" s="79"/>
      <c r="F5" s="79"/>
      <c r="H5" s="16">
        <f>SUM(H8:H86)</f>
        <v>39500</v>
      </c>
      <c r="I5" s="88"/>
      <c r="J5" s="91"/>
      <c r="K5" s="94"/>
      <c r="L5" s="11"/>
      <c r="M5" s="16">
        <f t="shared" ref="M5:AB5" si="1">SUM(M8:M86)</f>
        <v>39500</v>
      </c>
      <c r="N5" s="88"/>
      <c r="O5" s="91"/>
      <c r="P5" s="94"/>
      <c r="Q5" s="4"/>
      <c r="R5" s="16">
        <f t="shared" si="1"/>
        <v>44500</v>
      </c>
      <c r="S5" s="88"/>
      <c r="T5" s="91"/>
      <c r="U5" s="94"/>
      <c r="V5" s="4"/>
      <c r="W5" s="16">
        <f t="shared" si="1"/>
        <v>57500</v>
      </c>
      <c r="X5" s="88"/>
      <c r="Y5" s="91"/>
      <c r="Z5" s="94"/>
      <c r="AA5" s="4"/>
      <c r="AB5" s="16">
        <f t="shared" si="1"/>
        <v>90500</v>
      </c>
      <c r="AC5" s="88"/>
      <c r="AD5" s="91"/>
      <c r="AE5" s="94"/>
      <c r="AF5" s="11"/>
      <c r="AG5" s="24" t="s">
        <v>1</v>
      </c>
      <c r="AH5" s="6" t="s">
        <v>145</v>
      </c>
    </row>
    <row r="6" spans="1:34" ht="15.75" thickBot="1" x14ac:dyDescent="0.3">
      <c r="A6" s="78"/>
      <c r="B6" s="82"/>
      <c r="C6" s="5">
        <f>SUM(C8:C86)</f>
        <v>102</v>
      </c>
      <c r="D6" s="79"/>
      <c r="E6" s="79"/>
      <c r="F6" s="79"/>
      <c r="H6" s="83" t="s">
        <v>2</v>
      </c>
      <c r="I6" s="84"/>
      <c r="J6" s="84"/>
      <c r="K6" s="85"/>
      <c r="L6" s="11"/>
      <c r="M6" s="83" t="s">
        <v>3</v>
      </c>
      <c r="N6" s="84"/>
      <c r="O6" s="84"/>
      <c r="P6" s="85"/>
      <c r="Q6" s="4"/>
      <c r="R6" s="83" t="s">
        <v>4</v>
      </c>
      <c r="S6" s="84"/>
      <c r="T6" s="84"/>
      <c r="U6" s="85"/>
      <c r="V6" s="4"/>
      <c r="W6" s="83" t="s">
        <v>5</v>
      </c>
      <c r="X6" s="84"/>
      <c r="Y6" s="84"/>
      <c r="Z6" s="85"/>
      <c r="AA6" s="4"/>
      <c r="AB6" s="83" t="s">
        <v>6</v>
      </c>
      <c r="AC6" s="84"/>
      <c r="AD6" s="84"/>
      <c r="AE6" s="85"/>
      <c r="AF6" s="4"/>
    </row>
    <row r="7" spans="1:34" x14ac:dyDescent="0.25">
      <c r="A7" s="2"/>
      <c r="B7" s="2"/>
      <c r="C7" s="5"/>
      <c r="D7" s="4"/>
      <c r="E7" s="4"/>
      <c r="H7" s="12"/>
      <c r="I7" s="4"/>
      <c r="J7" s="4"/>
      <c r="K7" s="13"/>
      <c r="L7" s="4"/>
      <c r="M7" s="12"/>
      <c r="N7" s="4"/>
      <c r="O7" s="4"/>
      <c r="P7" s="13"/>
      <c r="Q7" s="4"/>
      <c r="R7" s="19"/>
      <c r="S7" s="17"/>
      <c r="T7" s="17"/>
      <c r="U7" s="18"/>
      <c r="V7" s="4"/>
      <c r="W7" s="19"/>
      <c r="X7" s="17"/>
      <c r="Y7" s="17"/>
      <c r="Z7" s="18"/>
      <c r="AA7" s="4"/>
      <c r="AB7" s="9"/>
      <c r="AC7" s="4"/>
      <c r="AD7" s="4"/>
      <c r="AE7" s="4"/>
      <c r="AF7" s="4"/>
    </row>
    <row r="8" spans="1:34" s="21" customFormat="1" ht="20.100000000000001" customHeight="1" x14ac:dyDescent="0.25">
      <c r="A8" s="81" t="s">
        <v>7</v>
      </c>
      <c r="B8" s="20">
        <v>20</v>
      </c>
      <c r="C8" s="20">
        <f>MROUND(B8*100/$B$2,0.5)</f>
        <v>2.5</v>
      </c>
      <c r="D8" s="21" t="s">
        <v>8</v>
      </c>
      <c r="E8" s="20">
        <v>1</v>
      </c>
      <c r="F8" s="20">
        <v>35</v>
      </c>
      <c r="G8" s="20"/>
      <c r="H8" s="22">
        <f>MROUND($H$4/100*C8,500)</f>
        <v>1000</v>
      </c>
      <c r="I8" s="20">
        <f>H8/100*F8</f>
        <v>350</v>
      </c>
      <c r="J8" s="20">
        <f>(H8-K8)/H8*100</f>
        <v>35</v>
      </c>
      <c r="K8" s="23">
        <f>H8-I8</f>
        <v>650</v>
      </c>
      <c r="L8" s="20"/>
      <c r="M8" s="22">
        <f>MROUND($M$4/100*C8,500)</f>
        <v>1000</v>
      </c>
      <c r="N8" s="20">
        <f>M8/100*F8</f>
        <v>350</v>
      </c>
      <c r="O8" s="20">
        <f>(M8-P8)/M8*100</f>
        <v>35</v>
      </c>
      <c r="P8" s="23">
        <f>M8-N8</f>
        <v>650</v>
      </c>
      <c r="Q8" s="20"/>
      <c r="R8" s="22">
        <f>MROUND($R$4/100*C8,500)</f>
        <v>1000</v>
      </c>
      <c r="S8" s="20">
        <f>R8/100*F8</f>
        <v>350</v>
      </c>
      <c r="T8" s="20">
        <f>(R8-U8)/R8*100</f>
        <v>35</v>
      </c>
      <c r="U8" s="23">
        <f>R8-S8</f>
        <v>650</v>
      </c>
      <c r="V8" s="20"/>
      <c r="W8" s="22">
        <f>MROUND($W$4/100*C8,500)</f>
        <v>1500</v>
      </c>
      <c r="X8" s="20">
        <f>W8/100*F8</f>
        <v>525</v>
      </c>
      <c r="Y8" s="20">
        <f>(W8-Z8)/W8*100</f>
        <v>35</v>
      </c>
      <c r="Z8" s="23">
        <f>W8-X8</f>
        <v>975</v>
      </c>
      <c r="AA8" s="20"/>
      <c r="AB8" s="22">
        <f>MROUND($AB$4/100*C8,500)</f>
        <v>2000</v>
      </c>
      <c r="AC8" s="20">
        <f>AB8/100*F8</f>
        <v>700</v>
      </c>
      <c r="AD8" s="20">
        <f>(AB8-AE8)/AB8*100</f>
        <v>35</v>
      </c>
      <c r="AE8" s="23">
        <f>AB8-AC8</f>
        <v>1300</v>
      </c>
      <c r="AF8" s="20"/>
    </row>
    <row r="9" spans="1:34" s="1" customFormat="1" ht="20.100000000000001" customHeight="1" x14ac:dyDescent="0.25">
      <c r="A9" s="81"/>
      <c r="B9" s="2"/>
      <c r="C9" s="2">
        <f t="shared" ref="C9:C71" si="2">MROUND(B9*100/$B$2,0.5)</f>
        <v>0</v>
      </c>
      <c r="D9" s="1" t="s">
        <v>9</v>
      </c>
      <c r="E9" s="2">
        <v>1</v>
      </c>
      <c r="F9" s="2">
        <v>35</v>
      </c>
      <c r="G9" s="2"/>
      <c r="H9" s="25">
        <f>MROUND($H$4/100*C9,500)</f>
        <v>0</v>
      </c>
      <c r="I9" s="2">
        <f>H9/100*F9</f>
        <v>0</v>
      </c>
      <c r="J9" s="2" t="e">
        <f t="shared" ref="J9:J71" si="3">(H9-K9)/H9*100</f>
        <v>#DIV/0!</v>
      </c>
      <c r="K9" s="26">
        <f t="shared" ref="K9:K71" si="4">H9-I9</f>
        <v>0</v>
      </c>
      <c r="L9" s="2"/>
      <c r="M9" s="25">
        <f>MROUND($M$4/100*C9,500)</f>
        <v>0</v>
      </c>
      <c r="N9" s="2">
        <f>M9/100*F9</f>
        <v>0</v>
      </c>
      <c r="O9" s="2" t="e">
        <f>(M9-P9)/M9*100</f>
        <v>#DIV/0!</v>
      </c>
      <c r="P9" s="26">
        <f>M9-N9</f>
        <v>0</v>
      </c>
      <c r="Q9" s="2"/>
      <c r="R9" s="25">
        <f>MROUND($R$4/100*C9,500)</f>
        <v>0</v>
      </c>
      <c r="S9" s="2">
        <f t="shared" ref="S9:S71" si="5">R9/100*F9</f>
        <v>0</v>
      </c>
      <c r="T9" s="2" t="e">
        <f t="shared" ref="T9:T71" si="6">(R9-U9)/R9*100</f>
        <v>#DIV/0!</v>
      </c>
      <c r="U9" s="26">
        <f t="shared" ref="U9:U71" si="7">R9-S9</f>
        <v>0</v>
      </c>
      <c r="V9" s="2"/>
      <c r="W9" s="25">
        <f t="shared" ref="W9:W71" si="8">MROUND($W$4/100*C9,500)</f>
        <v>0</v>
      </c>
      <c r="X9" s="2">
        <f t="shared" ref="X9:X71" si="9">W9/100*F9</f>
        <v>0</v>
      </c>
      <c r="Y9" s="2" t="e">
        <f t="shared" ref="Y9:Y71" si="10">(W9-Z9)/W9*100</f>
        <v>#DIV/0!</v>
      </c>
      <c r="Z9" s="26">
        <f t="shared" ref="Z9:Z71" si="11">W9-X9</f>
        <v>0</v>
      </c>
      <c r="AA9" s="2"/>
      <c r="AB9" s="25">
        <f t="shared" ref="AB9:AB71" si="12">MROUND($AB$4/100*C9,500)</f>
        <v>0</v>
      </c>
      <c r="AC9" s="2">
        <f t="shared" ref="AC9:AC71" si="13">AB9/100*F9</f>
        <v>0</v>
      </c>
      <c r="AD9" s="2" t="e">
        <f t="shared" ref="AD9:AD71" si="14">(AB9-AE9)/AB9*100</f>
        <v>#DIV/0!</v>
      </c>
      <c r="AE9" s="26">
        <f t="shared" ref="AE9:AE71" si="15">AB9-AC9</f>
        <v>0</v>
      </c>
      <c r="AF9" s="2"/>
    </row>
    <row r="10" spans="1:34" s="1" customFormat="1" ht="20.100000000000001" customHeight="1" x14ac:dyDescent="0.25">
      <c r="A10" s="81"/>
      <c r="B10" s="2"/>
      <c r="C10" s="2">
        <f t="shared" si="2"/>
        <v>0</v>
      </c>
      <c r="D10" s="1" t="s">
        <v>11</v>
      </c>
      <c r="E10" s="2">
        <v>1</v>
      </c>
      <c r="F10" s="2">
        <v>35</v>
      </c>
      <c r="G10" s="2"/>
      <c r="H10" s="25">
        <f>MROUND($H$4/100*C10,500)</f>
        <v>0</v>
      </c>
      <c r="I10" s="2">
        <f>H10/100*F10</f>
        <v>0</v>
      </c>
      <c r="J10" s="2" t="e">
        <f t="shared" si="3"/>
        <v>#DIV/0!</v>
      </c>
      <c r="K10" s="26">
        <f t="shared" si="4"/>
        <v>0</v>
      </c>
      <c r="L10" s="2"/>
      <c r="M10" s="25">
        <f>MROUND($M$4/100*C10,500)</f>
        <v>0</v>
      </c>
      <c r="N10" s="2">
        <f>M10/100*F10</f>
        <v>0</v>
      </c>
      <c r="O10" s="2" t="e">
        <f>(M10-P10)/M10*100</f>
        <v>#DIV/0!</v>
      </c>
      <c r="P10" s="26">
        <f>M10-N10</f>
        <v>0</v>
      </c>
      <c r="Q10" s="2"/>
      <c r="R10" s="25">
        <f>MROUND($R$4/100*C10,500)</f>
        <v>0</v>
      </c>
      <c r="S10" s="2">
        <f t="shared" si="5"/>
        <v>0</v>
      </c>
      <c r="T10" s="2" t="e">
        <f t="shared" si="6"/>
        <v>#DIV/0!</v>
      </c>
      <c r="U10" s="26">
        <f t="shared" si="7"/>
        <v>0</v>
      </c>
      <c r="V10" s="2"/>
      <c r="W10" s="25">
        <f t="shared" si="8"/>
        <v>0</v>
      </c>
      <c r="X10" s="2">
        <f t="shared" si="9"/>
        <v>0</v>
      </c>
      <c r="Y10" s="2" t="e">
        <f t="shared" si="10"/>
        <v>#DIV/0!</v>
      </c>
      <c r="Z10" s="26">
        <f t="shared" si="11"/>
        <v>0</v>
      </c>
      <c r="AA10" s="2"/>
      <c r="AB10" s="25">
        <f t="shared" si="12"/>
        <v>0</v>
      </c>
      <c r="AC10" s="2">
        <f t="shared" si="13"/>
        <v>0</v>
      </c>
      <c r="AD10" s="2" t="e">
        <f t="shared" si="14"/>
        <v>#DIV/0!</v>
      </c>
      <c r="AE10" s="26">
        <f t="shared" si="15"/>
        <v>0</v>
      </c>
      <c r="AF10" s="2"/>
    </row>
    <row r="11" spans="1:34" s="21" customFormat="1" ht="20.100000000000001" customHeight="1" x14ac:dyDescent="0.25">
      <c r="A11" s="81"/>
      <c r="B11" s="20">
        <v>20</v>
      </c>
      <c r="C11" s="20">
        <f t="shared" si="2"/>
        <v>2.5</v>
      </c>
      <c r="D11" s="21" t="s">
        <v>10</v>
      </c>
      <c r="E11" s="20">
        <v>1</v>
      </c>
      <c r="F11" s="20">
        <v>35</v>
      </c>
      <c r="G11" s="20"/>
      <c r="H11" s="22">
        <f>MROUND($H$4/100*C11,500)</f>
        <v>1000</v>
      </c>
      <c r="I11" s="20">
        <f>H11/100*F11</f>
        <v>350</v>
      </c>
      <c r="J11" s="20">
        <f t="shared" si="3"/>
        <v>35</v>
      </c>
      <c r="K11" s="23">
        <f t="shared" si="4"/>
        <v>650</v>
      </c>
      <c r="L11" s="20"/>
      <c r="M11" s="22">
        <f>MROUND($M$4/100*C11,500)</f>
        <v>1000</v>
      </c>
      <c r="N11" s="20">
        <f>M11/100*F11</f>
        <v>350</v>
      </c>
      <c r="O11" s="20">
        <f>(M11-P11)/M11*100</f>
        <v>35</v>
      </c>
      <c r="P11" s="23">
        <f>M11-N11</f>
        <v>650</v>
      </c>
      <c r="Q11" s="20"/>
      <c r="R11" s="22">
        <f>MROUND($R$4/100*C11,500)</f>
        <v>1000</v>
      </c>
      <c r="S11" s="20">
        <f t="shared" si="5"/>
        <v>350</v>
      </c>
      <c r="T11" s="20">
        <f t="shared" si="6"/>
        <v>35</v>
      </c>
      <c r="U11" s="23">
        <f t="shared" si="7"/>
        <v>650</v>
      </c>
      <c r="V11" s="20"/>
      <c r="W11" s="22">
        <f t="shared" si="8"/>
        <v>1500</v>
      </c>
      <c r="X11" s="20">
        <f t="shared" si="9"/>
        <v>525</v>
      </c>
      <c r="Y11" s="20">
        <f t="shared" si="10"/>
        <v>35</v>
      </c>
      <c r="Z11" s="23">
        <f t="shared" si="11"/>
        <v>975</v>
      </c>
      <c r="AA11" s="20"/>
      <c r="AB11" s="22">
        <f t="shared" si="12"/>
        <v>2000</v>
      </c>
      <c r="AC11" s="20">
        <f t="shared" si="13"/>
        <v>700</v>
      </c>
      <c r="AD11" s="20">
        <f t="shared" si="14"/>
        <v>35</v>
      </c>
      <c r="AE11" s="23">
        <f t="shared" si="15"/>
        <v>1300</v>
      </c>
      <c r="AF11" s="20"/>
    </row>
    <row r="12" spans="1:34" s="3" customFormat="1" ht="20.100000000000001" customHeight="1" x14ac:dyDescent="0.25">
      <c r="A12" s="1"/>
      <c r="B12" s="2"/>
      <c r="C12" s="2"/>
      <c r="E12" s="4"/>
      <c r="F12" s="4"/>
      <c r="G12" s="4"/>
      <c r="H12" s="12"/>
      <c r="I12" s="4"/>
      <c r="J12" s="4"/>
      <c r="K12" s="13"/>
      <c r="L12" s="4"/>
      <c r="M12" s="12"/>
      <c r="N12" s="4"/>
      <c r="O12" s="4"/>
      <c r="P12" s="13"/>
      <c r="Q12" s="4"/>
      <c r="R12" s="12"/>
      <c r="S12" s="4"/>
      <c r="T12" s="4"/>
      <c r="U12" s="13"/>
      <c r="V12" s="4"/>
      <c r="W12" s="12"/>
      <c r="X12" s="4"/>
      <c r="Y12" s="4"/>
      <c r="Z12" s="13"/>
      <c r="AA12" s="4"/>
      <c r="AB12" s="12"/>
      <c r="AC12" s="4"/>
      <c r="AD12" s="4"/>
      <c r="AE12" s="13"/>
      <c r="AF12" s="4"/>
    </row>
    <row r="13" spans="1:34" s="21" customFormat="1" ht="20.100000000000001" customHeight="1" x14ac:dyDescent="0.25">
      <c r="A13" s="81" t="s">
        <v>12</v>
      </c>
      <c r="B13" s="20">
        <v>30</v>
      </c>
      <c r="C13" s="20">
        <f t="shared" si="2"/>
        <v>3.5</v>
      </c>
      <c r="D13" s="21" t="s">
        <v>13</v>
      </c>
      <c r="E13" s="20">
        <v>1</v>
      </c>
      <c r="F13" s="20">
        <v>35</v>
      </c>
      <c r="G13" s="20"/>
      <c r="H13" s="22">
        <f>MROUND($H$4/100*C13,500)</f>
        <v>1000</v>
      </c>
      <c r="I13" s="20">
        <f>H13/100*F13</f>
        <v>350</v>
      </c>
      <c r="J13" s="20">
        <f t="shared" si="3"/>
        <v>35</v>
      </c>
      <c r="K13" s="23">
        <f t="shared" si="4"/>
        <v>650</v>
      </c>
      <c r="L13" s="20"/>
      <c r="M13" s="22">
        <f>MROUND($M$4/100*C13,500)</f>
        <v>1000</v>
      </c>
      <c r="N13" s="20">
        <f>M13/100*F13</f>
        <v>350</v>
      </c>
      <c r="O13" s="20">
        <f>(M13-P13)/M13*100</f>
        <v>35</v>
      </c>
      <c r="P13" s="23">
        <f>M13-N13</f>
        <v>650</v>
      </c>
      <c r="Q13" s="20"/>
      <c r="R13" s="22">
        <f>MROUND($R$4/100*C13,500)</f>
        <v>1500</v>
      </c>
      <c r="S13" s="20">
        <f t="shared" si="5"/>
        <v>525</v>
      </c>
      <c r="T13" s="20">
        <f t="shared" si="6"/>
        <v>35</v>
      </c>
      <c r="U13" s="23">
        <f t="shared" si="7"/>
        <v>975</v>
      </c>
      <c r="V13" s="20"/>
      <c r="W13" s="22">
        <f t="shared" si="8"/>
        <v>2000</v>
      </c>
      <c r="X13" s="20">
        <f t="shared" si="9"/>
        <v>700</v>
      </c>
      <c r="Y13" s="20">
        <f t="shared" si="10"/>
        <v>35</v>
      </c>
      <c r="Z13" s="23">
        <f t="shared" si="11"/>
        <v>1300</v>
      </c>
      <c r="AA13" s="20"/>
      <c r="AB13" s="22">
        <f t="shared" si="12"/>
        <v>3000</v>
      </c>
      <c r="AC13" s="20">
        <f t="shared" si="13"/>
        <v>1050</v>
      </c>
      <c r="AD13" s="20">
        <f t="shared" si="14"/>
        <v>35</v>
      </c>
      <c r="AE13" s="23">
        <f t="shared" si="15"/>
        <v>1950</v>
      </c>
      <c r="AF13" s="20"/>
    </row>
    <row r="14" spans="1:34" s="21" customFormat="1" ht="20.100000000000001" customHeight="1" x14ac:dyDescent="0.25">
      <c r="A14" s="81"/>
      <c r="B14" s="20">
        <v>20</v>
      </c>
      <c r="C14" s="20">
        <f t="shared" si="2"/>
        <v>2.5</v>
      </c>
      <c r="D14" s="21" t="s">
        <v>14</v>
      </c>
      <c r="E14" s="20">
        <v>1</v>
      </c>
      <c r="F14" s="20">
        <v>35</v>
      </c>
      <c r="G14" s="20"/>
      <c r="H14" s="22">
        <f>MROUND($H$4/100*C14,500)</f>
        <v>1000</v>
      </c>
      <c r="I14" s="20">
        <f>H14/100*F14</f>
        <v>350</v>
      </c>
      <c r="J14" s="20">
        <f t="shared" si="3"/>
        <v>35</v>
      </c>
      <c r="K14" s="23">
        <f t="shared" si="4"/>
        <v>650</v>
      </c>
      <c r="L14" s="20"/>
      <c r="M14" s="22">
        <f>MROUND($M$4/100*C14,500)</f>
        <v>1000</v>
      </c>
      <c r="N14" s="20">
        <f>M14/100*F14</f>
        <v>350</v>
      </c>
      <c r="O14" s="20">
        <f>(M14-P14)/M14*100</f>
        <v>35</v>
      </c>
      <c r="P14" s="23">
        <f>M14-N14</f>
        <v>650</v>
      </c>
      <c r="Q14" s="20"/>
      <c r="R14" s="22">
        <f>MROUND($R$4/100*C14,500)</f>
        <v>1000</v>
      </c>
      <c r="S14" s="20">
        <f t="shared" si="5"/>
        <v>350</v>
      </c>
      <c r="T14" s="20">
        <f t="shared" si="6"/>
        <v>35</v>
      </c>
      <c r="U14" s="23">
        <f t="shared" si="7"/>
        <v>650</v>
      </c>
      <c r="V14" s="20"/>
      <c r="W14" s="22">
        <f t="shared" si="8"/>
        <v>1500</v>
      </c>
      <c r="X14" s="20">
        <f t="shared" si="9"/>
        <v>525</v>
      </c>
      <c r="Y14" s="20">
        <f t="shared" si="10"/>
        <v>35</v>
      </c>
      <c r="Z14" s="23">
        <f t="shared" si="11"/>
        <v>975</v>
      </c>
      <c r="AA14" s="20"/>
      <c r="AB14" s="22">
        <f t="shared" si="12"/>
        <v>2000</v>
      </c>
      <c r="AC14" s="20">
        <f t="shared" si="13"/>
        <v>700</v>
      </c>
      <c r="AD14" s="20">
        <f t="shared" si="14"/>
        <v>35</v>
      </c>
      <c r="AE14" s="23">
        <f t="shared" si="15"/>
        <v>1300</v>
      </c>
      <c r="AF14" s="20"/>
    </row>
    <row r="15" spans="1:34" s="21" customFormat="1" ht="20.100000000000001" customHeight="1" x14ac:dyDescent="0.25">
      <c r="A15" s="81"/>
      <c r="B15" s="20">
        <v>20</v>
      </c>
      <c r="C15" s="20">
        <f t="shared" si="2"/>
        <v>2.5</v>
      </c>
      <c r="D15" s="21" t="s">
        <v>15</v>
      </c>
      <c r="E15" s="20">
        <v>1</v>
      </c>
      <c r="F15" s="20">
        <v>35</v>
      </c>
      <c r="G15" s="20"/>
      <c r="H15" s="22">
        <f>MROUND($H$4/100*C15,500)</f>
        <v>1000</v>
      </c>
      <c r="I15" s="20">
        <f>H15/100*F15</f>
        <v>350</v>
      </c>
      <c r="J15" s="20">
        <f t="shared" si="3"/>
        <v>35</v>
      </c>
      <c r="K15" s="23">
        <f t="shared" si="4"/>
        <v>650</v>
      </c>
      <c r="L15" s="20"/>
      <c r="M15" s="22">
        <f>MROUND($M$4/100*C15,500)</f>
        <v>1000</v>
      </c>
      <c r="N15" s="20">
        <f>M15/100*F15</f>
        <v>350</v>
      </c>
      <c r="O15" s="20">
        <f>(M15-P15)/M15*100</f>
        <v>35</v>
      </c>
      <c r="P15" s="23">
        <f>M15-N15</f>
        <v>650</v>
      </c>
      <c r="Q15" s="20"/>
      <c r="R15" s="22">
        <f>MROUND($R$4/100*C15,500)</f>
        <v>1000</v>
      </c>
      <c r="S15" s="20">
        <f t="shared" si="5"/>
        <v>350</v>
      </c>
      <c r="T15" s="20">
        <f t="shared" si="6"/>
        <v>35</v>
      </c>
      <c r="U15" s="23">
        <f t="shared" si="7"/>
        <v>650</v>
      </c>
      <c r="V15" s="20"/>
      <c r="W15" s="22">
        <f t="shared" si="8"/>
        <v>1500</v>
      </c>
      <c r="X15" s="20">
        <f t="shared" si="9"/>
        <v>525</v>
      </c>
      <c r="Y15" s="20">
        <f t="shared" si="10"/>
        <v>35</v>
      </c>
      <c r="Z15" s="23">
        <f t="shared" si="11"/>
        <v>975</v>
      </c>
      <c r="AA15" s="20"/>
      <c r="AB15" s="22">
        <f t="shared" si="12"/>
        <v>2000</v>
      </c>
      <c r="AC15" s="20">
        <f t="shared" si="13"/>
        <v>700</v>
      </c>
      <c r="AD15" s="20">
        <f t="shared" si="14"/>
        <v>35</v>
      </c>
      <c r="AE15" s="23">
        <f t="shared" si="15"/>
        <v>1300</v>
      </c>
      <c r="AF15" s="20"/>
    </row>
    <row r="16" spans="1:34" s="21" customFormat="1" ht="20.100000000000001" customHeight="1" x14ac:dyDescent="0.25">
      <c r="A16" s="81"/>
      <c r="B16" s="20">
        <v>30</v>
      </c>
      <c r="C16" s="20">
        <f t="shared" si="2"/>
        <v>3.5</v>
      </c>
      <c r="D16" s="21" t="s">
        <v>16</v>
      </c>
      <c r="E16" s="20">
        <v>1</v>
      </c>
      <c r="F16" s="20">
        <v>35</v>
      </c>
      <c r="G16" s="20"/>
      <c r="H16" s="22">
        <f>MROUND($H$4/100*C16,500)</f>
        <v>1000</v>
      </c>
      <c r="I16" s="20">
        <f>H16/100*F16</f>
        <v>350</v>
      </c>
      <c r="J16" s="20">
        <f t="shared" si="3"/>
        <v>35</v>
      </c>
      <c r="K16" s="23">
        <f t="shared" si="4"/>
        <v>650</v>
      </c>
      <c r="L16" s="20"/>
      <c r="M16" s="22">
        <f>MROUND($M$4/100*C16,500)</f>
        <v>1000</v>
      </c>
      <c r="N16" s="20">
        <f>M16/100*F16</f>
        <v>350</v>
      </c>
      <c r="O16" s="20">
        <f>(M16-P16)/M16*100</f>
        <v>35</v>
      </c>
      <c r="P16" s="23">
        <f>M16-N16</f>
        <v>650</v>
      </c>
      <c r="Q16" s="20"/>
      <c r="R16" s="22">
        <f>MROUND($R$4/100*C16,500)</f>
        <v>1500</v>
      </c>
      <c r="S16" s="20">
        <f t="shared" si="5"/>
        <v>525</v>
      </c>
      <c r="T16" s="20">
        <f t="shared" si="6"/>
        <v>35</v>
      </c>
      <c r="U16" s="23">
        <f t="shared" si="7"/>
        <v>975</v>
      </c>
      <c r="V16" s="20"/>
      <c r="W16" s="22">
        <f t="shared" si="8"/>
        <v>2000</v>
      </c>
      <c r="X16" s="20">
        <f t="shared" si="9"/>
        <v>700</v>
      </c>
      <c r="Y16" s="20">
        <f t="shared" si="10"/>
        <v>35</v>
      </c>
      <c r="Z16" s="23">
        <f t="shared" si="11"/>
        <v>1300</v>
      </c>
      <c r="AA16" s="20"/>
      <c r="AB16" s="22">
        <f t="shared" si="12"/>
        <v>3000</v>
      </c>
      <c r="AC16" s="20">
        <f t="shared" si="13"/>
        <v>1050</v>
      </c>
      <c r="AD16" s="20">
        <f t="shared" si="14"/>
        <v>35</v>
      </c>
      <c r="AE16" s="23">
        <f t="shared" si="15"/>
        <v>1950</v>
      </c>
      <c r="AF16" s="20"/>
    </row>
    <row r="17" spans="1:32" s="3" customFormat="1" ht="20.100000000000001" customHeight="1" x14ac:dyDescent="0.25">
      <c r="A17" s="1"/>
      <c r="B17" s="2"/>
      <c r="C17" s="2"/>
      <c r="E17" s="4"/>
      <c r="F17" s="4"/>
      <c r="G17" s="4"/>
      <c r="H17" s="12"/>
      <c r="I17" s="4"/>
      <c r="J17" s="4"/>
      <c r="K17" s="13"/>
      <c r="L17" s="4"/>
      <c r="M17" s="12"/>
      <c r="N17" s="4"/>
      <c r="O17" s="4"/>
      <c r="P17" s="13"/>
      <c r="Q17" s="4"/>
      <c r="R17" s="12"/>
      <c r="S17" s="4"/>
      <c r="T17" s="4"/>
      <c r="U17" s="13"/>
      <c r="V17" s="4"/>
      <c r="W17" s="12"/>
      <c r="X17" s="4"/>
      <c r="Y17" s="4"/>
      <c r="Z17" s="13"/>
      <c r="AA17" s="4"/>
      <c r="AB17" s="12"/>
      <c r="AC17" s="4"/>
      <c r="AD17" s="4"/>
      <c r="AE17" s="13"/>
      <c r="AF17" s="4"/>
    </row>
    <row r="18" spans="1:32" s="41" customFormat="1" ht="20.100000000000001" customHeight="1" x14ac:dyDescent="0.25">
      <c r="A18" s="80" t="s">
        <v>17</v>
      </c>
      <c r="B18" s="40">
        <v>25</v>
      </c>
      <c r="C18" s="40">
        <f t="shared" si="2"/>
        <v>3</v>
      </c>
      <c r="D18" s="41" t="s">
        <v>18</v>
      </c>
      <c r="E18" s="40">
        <v>2</v>
      </c>
      <c r="F18" s="40">
        <v>35</v>
      </c>
      <c r="G18" s="40"/>
      <c r="H18" s="42">
        <f>MROUND($H$4/100*C18,500)</f>
        <v>1000</v>
      </c>
      <c r="I18" s="40">
        <f>H18/100*F18</f>
        <v>350</v>
      </c>
      <c r="J18" s="40">
        <f t="shared" si="3"/>
        <v>35</v>
      </c>
      <c r="K18" s="43">
        <f t="shared" si="4"/>
        <v>650</v>
      </c>
      <c r="L18" s="40"/>
      <c r="M18" s="42">
        <f>MROUND($M$4/100*C18,500)</f>
        <v>1000</v>
      </c>
      <c r="N18" s="40">
        <f>M18/100*F18</f>
        <v>350</v>
      </c>
      <c r="O18" s="40">
        <f>(M18-P18)/M18*100</f>
        <v>35</v>
      </c>
      <c r="P18" s="43">
        <f>M18-N18</f>
        <v>650</v>
      </c>
      <c r="Q18" s="40"/>
      <c r="R18" s="42">
        <f>MROUND($R$4/100*C18,500)</f>
        <v>1500</v>
      </c>
      <c r="S18" s="40">
        <f t="shared" si="5"/>
        <v>525</v>
      </c>
      <c r="T18" s="40">
        <f t="shared" si="6"/>
        <v>35</v>
      </c>
      <c r="U18" s="43">
        <f t="shared" si="7"/>
        <v>975</v>
      </c>
      <c r="V18" s="40"/>
      <c r="W18" s="42">
        <f t="shared" si="8"/>
        <v>1500</v>
      </c>
      <c r="X18" s="40">
        <f t="shared" si="9"/>
        <v>525</v>
      </c>
      <c r="Y18" s="40">
        <f t="shared" si="10"/>
        <v>35</v>
      </c>
      <c r="Z18" s="43">
        <f t="shared" si="11"/>
        <v>975</v>
      </c>
      <c r="AA18" s="40"/>
      <c r="AB18" s="42">
        <f t="shared" si="12"/>
        <v>2500</v>
      </c>
      <c r="AC18" s="40">
        <f t="shared" si="13"/>
        <v>875</v>
      </c>
      <c r="AD18" s="40">
        <f t="shared" si="14"/>
        <v>35</v>
      </c>
      <c r="AE18" s="43">
        <f t="shared" si="15"/>
        <v>1625</v>
      </c>
      <c r="AF18" s="40"/>
    </row>
    <row r="19" spans="1:32" s="41" customFormat="1" ht="20.100000000000001" customHeight="1" x14ac:dyDescent="0.25">
      <c r="A19" s="80"/>
      <c r="B19" s="40"/>
      <c r="C19" s="40">
        <f t="shared" si="2"/>
        <v>0</v>
      </c>
      <c r="D19" s="41" t="s">
        <v>19</v>
      </c>
      <c r="E19" s="40">
        <v>2</v>
      </c>
      <c r="F19" s="40">
        <v>35</v>
      </c>
      <c r="G19" s="40"/>
      <c r="H19" s="42">
        <f>MROUND($H$4/100*C19,500)</f>
        <v>0</v>
      </c>
      <c r="I19" s="40">
        <f>H19/100*F19</f>
        <v>0</v>
      </c>
      <c r="J19" s="40" t="e">
        <f t="shared" si="3"/>
        <v>#DIV/0!</v>
      </c>
      <c r="K19" s="43">
        <f t="shared" si="4"/>
        <v>0</v>
      </c>
      <c r="L19" s="40"/>
      <c r="M19" s="42">
        <f>MROUND($M$4/100*C19,500)</f>
        <v>0</v>
      </c>
      <c r="N19" s="40">
        <f>M19/100*F19</f>
        <v>0</v>
      </c>
      <c r="O19" s="40" t="e">
        <f>(M19-P19)/M19*100</f>
        <v>#DIV/0!</v>
      </c>
      <c r="P19" s="43">
        <f>M19-N19</f>
        <v>0</v>
      </c>
      <c r="Q19" s="40"/>
      <c r="R19" s="42">
        <f>MROUND($R$4/100*C19,500)</f>
        <v>0</v>
      </c>
      <c r="S19" s="40">
        <f t="shared" si="5"/>
        <v>0</v>
      </c>
      <c r="T19" s="40" t="e">
        <f t="shared" si="6"/>
        <v>#DIV/0!</v>
      </c>
      <c r="U19" s="43">
        <f t="shared" si="7"/>
        <v>0</v>
      </c>
      <c r="V19" s="40"/>
      <c r="W19" s="42">
        <f t="shared" si="8"/>
        <v>0</v>
      </c>
      <c r="X19" s="40">
        <f t="shared" si="9"/>
        <v>0</v>
      </c>
      <c r="Y19" s="40" t="e">
        <f t="shared" si="10"/>
        <v>#DIV/0!</v>
      </c>
      <c r="Z19" s="43">
        <f t="shared" si="11"/>
        <v>0</v>
      </c>
      <c r="AA19" s="40"/>
      <c r="AB19" s="42">
        <f t="shared" si="12"/>
        <v>0</v>
      </c>
      <c r="AC19" s="40">
        <f t="shared" si="13"/>
        <v>0</v>
      </c>
      <c r="AD19" s="40" t="e">
        <f t="shared" si="14"/>
        <v>#DIV/0!</v>
      </c>
      <c r="AE19" s="43">
        <f t="shared" si="15"/>
        <v>0</v>
      </c>
      <c r="AF19" s="40"/>
    </row>
    <row r="20" spans="1:32" s="41" customFormat="1" ht="20.100000000000001" customHeight="1" x14ac:dyDescent="0.25">
      <c r="A20" s="80"/>
      <c r="B20" s="40"/>
      <c r="C20" s="40">
        <f t="shared" si="2"/>
        <v>0</v>
      </c>
      <c r="D20" s="41" t="s">
        <v>20</v>
      </c>
      <c r="E20" s="40">
        <v>2</v>
      </c>
      <c r="F20" s="40">
        <v>35</v>
      </c>
      <c r="G20" s="40"/>
      <c r="H20" s="42">
        <f>MROUND($H$4/100*C20,500)</f>
        <v>0</v>
      </c>
      <c r="I20" s="40">
        <f>H20/100*F20</f>
        <v>0</v>
      </c>
      <c r="J20" s="40" t="e">
        <f t="shared" si="3"/>
        <v>#DIV/0!</v>
      </c>
      <c r="K20" s="43">
        <f t="shared" si="4"/>
        <v>0</v>
      </c>
      <c r="L20" s="40"/>
      <c r="M20" s="42">
        <f>MROUND($M$4/100*C20,500)</f>
        <v>0</v>
      </c>
      <c r="N20" s="40">
        <f>M20/100*F20</f>
        <v>0</v>
      </c>
      <c r="O20" s="40" t="e">
        <f>(M20-P20)/M20*100</f>
        <v>#DIV/0!</v>
      </c>
      <c r="P20" s="43">
        <f>M20-N20</f>
        <v>0</v>
      </c>
      <c r="Q20" s="40"/>
      <c r="R20" s="42">
        <f>MROUND($R$4/100*C20,500)</f>
        <v>0</v>
      </c>
      <c r="S20" s="40">
        <f t="shared" si="5"/>
        <v>0</v>
      </c>
      <c r="T20" s="40" t="e">
        <f t="shared" si="6"/>
        <v>#DIV/0!</v>
      </c>
      <c r="U20" s="43">
        <f t="shared" si="7"/>
        <v>0</v>
      </c>
      <c r="V20" s="40"/>
      <c r="W20" s="42">
        <f t="shared" si="8"/>
        <v>0</v>
      </c>
      <c r="X20" s="40">
        <f t="shared" si="9"/>
        <v>0</v>
      </c>
      <c r="Y20" s="40" t="e">
        <f t="shared" si="10"/>
        <v>#DIV/0!</v>
      </c>
      <c r="Z20" s="43">
        <f t="shared" si="11"/>
        <v>0</v>
      </c>
      <c r="AA20" s="40"/>
      <c r="AB20" s="42">
        <f t="shared" si="12"/>
        <v>0</v>
      </c>
      <c r="AC20" s="40">
        <f t="shared" si="13"/>
        <v>0</v>
      </c>
      <c r="AD20" s="40" t="e">
        <f t="shared" si="14"/>
        <v>#DIV/0!</v>
      </c>
      <c r="AE20" s="43">
        <f t="shared" si="15"/>
        <v>0</v>
      </c>
      <c r="AF20" s="40"/>
    </row>
    <row r="21" spans="1:32" s="41" customFormat="1" ht="20.100000000000001" customHeight="1" x14ac:dyDescent="0.25">
      <c r="A21" s="80"/>
      <c r="B21" s="40">
        <v>25</v>
      </c>
      <c r="C21" s="40">
        <f t="shared" si="2"/>
        <v>3</v>
      </c>
      <c r="D21" s="41" t="s">
        <v>21</v>
      </c>
      <c r="E21" s="40">
        <v>2</v>
      </c>
      <c r="F21" s="40">
        <v>35</v>
      </c>
      <c r="G21" s="40"/>
      <c r="H21" s="42">
        <f>MROUND($H$4/100*C21,500)</f>
        <v>1000</v>
      </c>
      <c r="I21" s="40">
        <f>H21/100*F21</f>
        <v>350</v>
      </c>
      <c r="J21" s="40">
        <f t="shared" si="3"/>
        <v>35</v>
      </c>
      <c r="K21" s="43">
        <f t="shared" si="4"/>
        <v>650</v>
      </c>
      <c r="L21" s="40"/>
      <c r="M21" s="42">
        <f>MROUND($M$4/100*C21,500)</f>
        <v>1000</v>
      </c>
      <c r="N21" s="40">
        <f>M21/100*F21</f>
        <v>350</v>
      </c>
      <c r="O21" s="40">
        <f>(M21-P21)/M21*100</f>
        <v>35</v>
      </c>
      <c r="P21" s="43">
        <f>M21-N21</f>
        <v>650</v>
      </c>
      <c r="Q21" s="40"/>
      <c r="R21" s="42">
        <f>MROUND($R$4/100*C21,500)</f>
        <v>1500</v>
      </c>
      <c r="S21" s="40">
        <f t="shared" si="5"/>
        <v>525</v>
      </c>
      <c r="T21" s="40">
        <f t="shared" si="6"/>
        <v>35</v>
      </c>
      <c r="U21" s="43">
        <f t="shared" si="7"/>
        <v>975</v>
      </c>
      <c r="V21" s="40"/>
      <c r="W21" s="42">
        <f t="shared" si="8"/>
        <v>1500</v>
      </c>
      <c r="X21" s="40">
        <f t="shared" si="9"/>
        <v>525</v>
      </c>
      <c r="Y21" s="40">
        <f t="shared" si="10"/>
        <v>35</v>
      </c>
      <c r="Z21" s="43">
        <f t="shared" si="11"/>
        <v>975</v>
      </c>
      <c r="AA21" s="40"/>
      <c r="AB21" s="42">
        <f t="shared" si="12"/>
        <v>2500</v>
      </c>
      <c r="AC21" s="40">
        <f t="shared" si="13"/>
        <v>875</v>
      </c>
      <c r="AD21" s="40">
        <f t="shared" si="14"/>
        <v>35</v>
      </c>
      <c r="AE21" s="43">
        <f t="shared" si="15"/>
        <v>1625</v>
      </c>
      <c r="AF21" s="40"/>
    </row>
    <row r="22" spans="1:32" s="41" customFormat="1" ht="20.100000000000001" customHeight="1" x14ac:dyDescent="0.25">
      <c r="B22" s="40"/>
      <c r="C22" s="40"/>
      <c r="E22" s="40"/>
      <c r="F22" s="40"/>
      <c r="G22" s="40"/>
      <c r="H22" s="42"/>
      <c r="I22" s="40"/>
      <c r="J22" s="40"/>
      <c r="K22" s="43"/>
      <c r="L22" s="40"/>
      <c r="M22" s="42"/>
      <c r="N22" s="40"/>
      <c r="O22" s="40"/>
      <c r="P22" s="43"/>
      <c r="Q22" s="40"/>
      <c r="R22" s="42"/>
      <c r="S22" s="40"/>
      <c r="T22" s="40"/>
      <c r="U22" s="43"/>
      <c r="V22" s="40"/>
      <c r="W22" s="42"/>
      <c r="X22" s="40"/>
      <c r="Y22" s="40"/>
      <c r="Z22" s="43"/>
      <c r="AA22" s="40"/>
      <c r="AB22" s="42"/>
      <c r="AC22" s="40"/>
      <c r="AD22" s="40"/>
      <c r="AE22" s="43"/>
      <c r="AF22" s="40"/>
    </row>
    <row r="23" spans="1:32" s="41" customFormat="1" ht="20.100000000000001" customHeight="1" x14ac:dyDescent="0.25">
      <c r="A23" s="80" t="s">
        <v>26</v>
      </c>
      <c r="B23" s="40">
        <v>15</v>
      </c>
      <c r="C23" s="40">
        <f t="shared" si="2"/>
        <v>1.5</v>
      </c>
      <c r="D23" s="41" t="s">
        <v>22</v>
      </c>
      <c r="E23" s="40">
        <v>1</v>
      </c>
      <c r="F23" s="40">
        <v>35</v>
      </c>
      <c r="G23" s="40"/>
      <c r="H23" s="42">
        <f>MROUND($H$4/100*C23,500)</f>
        <v>500</v>
      </c>
      <c r="I23" s="40">
        <f>H23/100*F23</f>
        <v>175</v>
      </c>
      <c r="J23" s="40">
        <f t="shared" si="3"/>
        <v>35</v>
      </c>
      <c r="K23" s="43">
        <f t="shared" si="4"/>
        <v>325</v>
      </c>
      <c r="L23" s="40"/>
      <c r="M23" s="42">
        <f>MROUND($M$4/100*C23,500)</f>
        <v>500</v>
      </c>
      <c r="N23" s="40">
        <f>M23/100*F23</f>
        <v>175</v>
      </c>
      <c r="O23" s="40">
        <f>(M23-P23)/M23*100</f>
        <v>35</v>
      </c>
      <c r="P23" s="43">
        <f>M23-N23</f>
        <v>325</v>
      </c>
      <c r="Q23" s="40"/>
      <c r="R23" s="42">
        <f>MROUND($R$4/100*C23,500)</f>
        <v>500</v>
      </c>
      <c r="S23" s="40">
        <f t="shared" si="5"/>
        <v>175</v>
      </c>
      <c r="T23" s="40">
        <f t="shared" si="6"/>
        <v>35</v>
      </c>
      <c r="U23" s="43">
        <f t="shared" si="7"/>
        <v>325</v>
      </c>
      <c r="V23" s="40"/>
      <c r="W23" s="42">
        <f t="shared" si="8"/>
        <v>1000</v>
      </c>
      <c r="X23" s="40">
        <f t="shared" si="9"/>
        <v>350</v>
      </c>
      <c r="Y23" s="40">
        <f t="shared" si="10"/>
        <v>35</v>
      </c>
      <c r="Z23" s="43">
        <f t="shared" si="11"/>
        <v>650</v>
      </c>
      <c r="AA23" s="40"/>
      <c r="AB23" s="42">
        <f t="shared" si="12"/>
        <v>1500</v>
      </c>
      <c r="AC23" s="40">
        <f t="shared" si="13"/>
        <v>525</v>
      </c>
      <c r="AD23" s="40">
        <f t="shared" si="14"/>
        <v>35</v>
      </c>
      <c r="AE23" s="43">
        <f t="shared" si="15"/>
        <v>975</v>
      </c>
      <c r="AF23" s="40"/>
    </row>
    <row r="24" spans="1:32" s="41" customFormat="1" ht="20.100000000000001" customHeight="1" x14ac:dyDescent="0.25">
      <c r="A24" s="80"/>
      <c r="B24" s="40">
        <v>25</v>
      </c>
      <c r="C24" s="40">
        <f t="shared" si="2"/>
        <v>3</v>
      </c>
      <c r="D24" s="41" t="s">
        <v>23</v>
      </c>
      <c r="E24" s="40">
        <v>1</v>
      </c>
      <c r="F24" s="40">
        <v>35</v>
      </c>
      <c r="G24" s="40"/>
      <c r="H24" s="42">
        <f>MROUND($H$4/100*C24,500)</f>
        <v>1000</v>
      </c>
      <c r="I24" s="40">
        <f>H24/100*F24</f>
        <v>350</v>
      </c>
      <c r="J24" s="40">
        <f t="shared" si="3"/>
        <v>35</v>
      </c>
      <c r="K24" s="43">
        <f t="shared" si="4"/>
        <v>650</v>
      </c>
      <c r="L24" s="40"/>
      <c r="M24" s="42">
        <f>MROUND($M$4/100*C24,500)</f>
        <v>1000</v>
      </c>
      <c r="N24" s="40">
        <f>M24/100*F24</f>
        <v>350</v>
      </c>
      <c r="O24" s="40">
        <f>(M24-P24)/M24*100</f>
        <v>35</v>
      </c>
      <c r="P24" s="43">
        <f>M24-N24</f>
        <v>650</v>
      </c>
      <c r="Q24" s="40"/>
      <c r="R24" s="42">
        <f>MROUND($R$4/100*C24,500)</f>
        <v>1500</v>
      </c>
      <c r="S24" s="40">
        <f t="shared" si="5"/>
        <v>525</v>
      </c>
      <c r="T24" s="40">
        <f t="shared" si="6"/>
        <v>35</v>
      </c>
      <c r="U24" s="43">
        <f t="shared" si="7"/>
        <v>975</v>
      </c>
      <c r="V24" s="40"/>
      <c r="W24" s="42">
        <f t="shared" si="8"/>
        <v>1500</v>
      </c>
      <c r="X24" s="40">
        <f t="shared" si="9"/>
        <v>525</v>
      </c>
      <c r="Y24" s="40">
        <f t="shared" si="10"/>
        <v>35</v>
      </c>
      <c r="Z24" s="43">
        <f t="shared" si="11"/>
        <v>975</v>
      </c>
      <c r="AA24" s="40"/>
      <c r="AB24" s="42">
        <f t="shared" si="12"/>
        <v>2500</v>
      </c>
      <c r="AC24" s="40">
        <f t="shared" si="13"/>
        <v>875</v>
      </c>
      <c r="AD24" s="40">
        <f t="shared" si="14"/>
        <v>35</v>
      </c>
      <c r="AE24" s="43">
        <f t="shared" si="15"/>
        <v>1625</v>
      </c>
      <c r="AF24" s="40"/>
    </row>
    <row r="25" spans="1:32" s="41" customFormat="1" ht="20.100000000000001" customHeight="1" x14ac:dyDescent="0.25">
      <c r="A25" s="80"/>
      <c r="B25" s="40">
        <v>25</v>
      </c>
      <c r="C25" s="40">
        <f t="shared" si="2"/>
        <v>3</v>
      </c>
      <c r="D25" s="41" t="s">
        <v>24</v>
      </c>
      <c r="E25" s="40">
        <v>1</v>
      </c>
      <c r="F25" s="40">
        <v>35</v>
      </c>
      <c r="G25" s="40"/>
      <c r="H25" s="42">
        <f>MROUND($H$4/100*C25,500)</f>
        <v>1000</v>
      </c>
      <c r="I25" s="40">
        <f>H25/100*F25</f>
        <v>350</v>
      </c>
      <c r="J25" s="40">
        <f t="shared" si="3"/>
        <v>35</v>
      </c>
      <c r="K25" s="43">
        <f t="shared" si="4"/>
        <v>650</v>
      </c>
      <c r="L25" s="40"/>
      <c r="M25" s="42">
        <f>MROUND($M$4/100*C25,500)</f>
        <v>1000</v>
      </c>
      <c r="N25" s="40">
        <f>M25/100*F25</f>
        <v>350</v>
      </c>
      <c r="O25" s="40">
        <f>(M25-P25)/M25*100</f>
        <v>35</v>
      </c>
      <c r="P25" s="43">
        <f>M25-N25</f>
        <v>650</v>
      </c>
      <c r="Q25" s="40"/>
      <c r="R25" s="42">
        <f>MROUND($R$4/100*C25,500)</f>
        <v>1500</v>
      </c>
      <c r="S25" s="40">
        <f t="shared" si="5"/>
        <v>525</v>
      </c>
      <c r="T25" s="40">
        <f t="shared" si="6"/>
        <v>35</v>
      </c>
      <c r="U25" s="43">
        <f t="shared" si="7"/>
        <v>975</v>
      </c>
      <c r="V25" s="40"/>
      <c r="W25" s="42">
        <f t="shared" si="8"/>
        <v>1500</v>
      </c>
      <c r="X25" s="40">
        <f t="shared" si="9"/>
        <v>525</v>
      </c>
      <c r="Y25" s="40">
        <f t="shared" si="10"/>
        <v>35</v>
      </c>
      <c r="Z25" s="43">
        <f t="shared" si="11"/>
        <v>975</v>
      </c>
      <c r="AA25" s="40"/>
      <c r="AB25" s="42">
        <f t="shared" si="12"/>
        <v>2500</v>
      </c>
      <c r="AC25" s="40">
        <f t="shared" si="13"/>
        <v>875</v>
      </c>
      <c r="AD25" s="40">
        <f t="shared" si="14"/>
        <v>35</v>
      </c>
      <c r="AE25" s="43">
        <f t="shared" si="15"/>
        <v>1625</v>
      </c>
      <c r="AF25" s="40"/>
    </row>
    <row r="26" spans="1:32" s="41" customFormat="1" ht="20.100000000000001" customHeight="1" x14ac:dyDescent="0.25">
      <c r="A26" s="80"/>
      <c r="B26" s="40">
        <v>15</v>
      </c>
      <c r="C26" s="40">
        <f t="shared" si="2"/>
        <v>1.5</v>
      </c>
      <c r="D26" s="41" t="s">
        <v>25</v>
      </c>
      <c r="E26" s="40">
        <v>1</v>
      </c>
      <c r="F26" s="40">
        <v>35</v>
      </c>
      <c r="G26" s="40"/>
      <c r="H26" s="42">
        <f>MROUND($H$4/100*C26,500)</f>
        <v>500</v>
      </c>
      <c r="I26" s="40">
        <f>H26/100*F26</f>
        <v>175</v>
      </c>
      <c r="J26" s="40">
        <f t="shared" si="3"/>
        <v>35</v>
      </c>
      <c r="K26" s="43">
        <f t="shared" si="4"/>
        <v>325</v>
      </c>
      <c r="L26" s="40"/>
      <c r="M26" s="42">
        <f>MROUND($M$4/100*C26,500)</f>
        <v>500</v>
      </c>
      <c r="N26" s="40">
        <f>M26/100*F26</f>
        <v>175</v>
      </c>
      <c r="O26" s="40">
        <f>(M26-P26)/M26*100</f>
        <v>35</v>
      </c>
      <c r="P26" s="43">
        <f>M26-N26</f>
        <v>325</v>
      </c>
      <c r="Q26" s="40"/>
      <c r="R26" s="42">
        <f>MROUND($R$4/100*C26,500)</f>
        <v>500</v>
      </c>
      <c r="S26" s="40">
        <f t="shared" si="5"/>
        <v>175</v>
      </c>
      <c r="T26" s="40">
        <f t="shared" si="6"/>
        <v>35</v>
      </c>
      <c r="U26" s="43">
        <f t="shared" si="7"/>
        <v>325</v>
      </c>
      <c r="V26" s="40"/>
      <c r="W26" s="42">
        <f t="shared" si="8"/>
        <v>1000</v>
      </c>
      <c r="X26" s="40">
        <f t="shared" si="9"/>
        <v>350</v>
      </c>
      <c r="Y26" s="40">
        <f t="shared" si="10"/>
        <v>35</v>
      </c>
      <c r="Z26" s="43">
        <f t="shared" si="11"/>
        <v>650</v>
      </c>
      <c r="AA26" s="40"/>
      <c r="AB26" s="42">
        <f t="shared" si="12"/>
        <v>1500</v>
      </c>
      <c r="AC26" s="40">
        <f t="shared" si="13"/>
        <v>525</v>
      </c>
      <c r="AD26" s="40">
        <f t="shared" si="14"/>
        <v>35</v>
      </c>
      <c r="AE26" s="43">
        <f t="shared" si="15"/>
        <v>975</v>
      </c>
      <c r="AF26" s="40"/>
    </row>
    <row r="27" spans="1:32" s="41" customFormat="1" ht="20.100000000000001" customHeight="1" x14ac:dyDescent="0.25">
      <c r="B27" s="40"/>
      <c r="C27" s="40"/>
      <c r="E27" s="40"/>
      <c r="F27" s="40"/>
      <c r="G27" s="40"/>
      <c r="H27" s="42"/>
      <c r="I27" s="40"/>
      <c r="J27" s="40"/>
      <c r="K27" s="43"/>
      <c r="L27" s="40"/>
      <c r="M27" s="42"/>
      <c r="N27" s="40"/>
      <c r="O27" s="40"/>
      <c r="P27" s="43"/>
      <c r="Q27" s="40"/>
      <c r="R27" s="42"/>
      <c r="S27" s="40"/>
      <c r="T27" s="40"/>
      <c r="U27" s="43"/>
      <c r="V27" s="40"/>
      <c r="W27" s="42"/>
      <c r="X27" s="40"/>
      <c r="Y27" s="40"/>
      <c r="Z27" s="43"/>
      <c r="AA27" s="40"/>
      <c r="AB27" s="42"/>
      <c r="AC27" s="40"/>
      <c r="AD27" s="40"/>
      <c r="AE27" s="43"/>
      <c r="AF27" s="40"/>
    </row>
    <row r="28" spans="1:32" s="41" customFormat="1" ht="20.100000000000001" customHeight="1" x14ac:dyDescent="0.25">
      <c r="A28" s="80" t="s">
        <v>27</v>
      </c>
      <c r="B28" s="40">
        <v>10</v>
      </c>
      <c r="C28" s="40">
        <f t="shared" si="2"/>
        <v>1</v>
      </c>
      <c r="D28" s="41" t="s">
        <v>28</v>
      </c>
      <c r="E28" s="40">
        <v>1</v>
      </c>
      <c r="F28" s="40">
        <v>35</v>
      </c>
      <c r="G28" s="40"/>
      <c r="H28" s="42">
        <f>MROUND($H$4/100*C28,500)</f>
        <v>500</v>
      </c>
      <c r="I28" s="40">
        <f>H28/100*F28</f>
        <v>175</v>
      </c>
      <c r="J28" s="40">
        <f t="shared" si="3"/>
        <v>35</v>
      </c>
      <c r="K28" s="43">
        <f t="shared" si="4"/>
        <v>325</v>
      </c>
      <c r="L28" s="40"/>
      <c r="M28" s="42">
        <f>MROUND($M$4/100*C28,500)</f>
        <v>500</v>
      </c>
      <c r="N28" s="40">
        <f>M28/100*F28</f>
        <v>175</v>
      </c>
      <c r="O28" s="40">
        <f>(M28-P28)/M28*100</f>
        <v>35</v>
      </c>
      <c r="P28" s="43">
        <f>M28-N28</f>
        <v>325</v>
      </c>
      <c r="Q28" s="40"/>
      <c r="R28" s="42">
        <f>MROUND($R$4/100*C28,500)</f>
        <v>500</v>
      </c>
      <c r="S28" s="40">
        <f t="shared" si="5"/>
        <v>175</v>
      </c>
      <c r="T28" s="40">
        <f t="shared" si="6"/>
        <v>35</v>
      </c>
      <c r="U28" s="43">
        <f t="shared" si="7"/>
        <v>325</v>
      </c>
      <c r="V28" s="40"/>
      <c r="W28" s="42">
        <f t="shared" si="8"/>
        <v>500</v>
      </c>
      <c r="X28" s="40">
        <f t="shared" si="9"/>
        <v>175</v>
      </c>
      <c r="Y28" s="40">
        <f t="shared" si="10"/>
        <v>35</v>
      </c>
      <c r="Z28" s="43">
        <f t="shared" si="11"/>
        <v>325</v>
      </c>
      <c r="AA28" s="40"/>
      <c r="AB28" s="42">
        <f t="shared" si="12"/>
        <v>1000</v>
      </c>
      <c r="AC28" s="40">
        <f t="shared" si="13"/>
        <v>350</v>
      </c>
      <c r="AD28" s="40">
        <f t="shared" si="14"/>
        <v>35</v>
      </c>
      <c r="AE28" s="43">
        <f t="shared" si="15"/>
        <v>650</v>
      </c>
      <c r="AF28" s="40"/>
    </row>
    <row r="29" spans="1:32" s="41" customFormat="1" ht="20.100000000000001" customHeight="1" x14ac:dyDescent="0.25">
      <c r="A29" s="80"/>
      <c r="B29" s="40">
        <v>8</v>
      </c>
      <c r="C29" s="40">
        <f t="shared" si="2"/>
        <v>1</v>
      </c>
      <c r="D29" s="41" t="s">
        <v>29</v>
      </c>
      <c r="E29" s="40">
        <v>1</v>
      </c>
      <c r="F29" s="40">
        <v>35</v>
      </c>
      <c r="G29" s="40"/>
      <c r="H29" s="42">
        <f>MROUND($H$4/100*C29,500)</f>
        <v>500</v>
      </c>
      <c r="I29" s="40">
        <f>H29/100*F29</f>
        <v>175</v>
      </c>
      <c r="J29" s="40">
        <f t="shared" si="3"/>
        <v>35</v>
      </c>
      <c r="K29" s="43">
        <f t="shared" si="4"/>
        <v>325</v>
      </c>
      <c r="L29" s="40"/>
      <c r="M29" s="42">
        <f>MROUND($M$4/100*C29,500)</f>
        <v>500</v>
      </c>
      <c r="N29" s="40">
        <f>M29/100*F29</f>
        <v>175</v>
      </c>
      <c r="O29" s="40">
        <f>(M29-P29)/M29*100</f>
        <v>35</v>
      </c>
      <c r="P29" s="43">
        <f>M29-N29</f>
        <v>325</v>
      </c>
      <c r="Q29" s="40"/>
      <c r="R29" s="42">
        <f>MROUND($R$4/100*C29,500)</f>
        <v>500</v>
      </c>
      <c r="S29" s="40">
        <f t="shared" si="5"/>
        <v>175</v>
      </c>
      <c r="T29" s="40">
        <f t="shared" si="6"/>
        <v>35</v>
      </c>
      <c r="U29" s="43">
        <f t="shared" si="7"/>
        <v>325</v>
      </c>
      <c r="V29" s="40"/>
      <c r="W29" s="42">
        <f t="shared" si="8"/>
        <v>500</v>
      </c>
      <c r="X29" s="40">
        <f t="shared" si="9"/>
        <v>175</v>
      </c>
      <c r="Y29" s="40">
        <f t="shared" si="10"/>
        <v>35</v>
      </c>
      <c r="Z29" s="43">
        <f t="shared" si="11"/>
        <v>325</v>
      </c>
      <c r="AA29" s="40"/>
      <c r="AB29" s="42">
        <f t="shared" si="12"/>
        <v>1000</v>
      </c>
      <c r="AC29" s="40">
        <f t="shared" si="13"/>
        <v>350</v>
      </c>
      <c r="AD29" s="40">
        <f t="shared" si="14"/>
        <v>35</v>
      </c>
      <c r="AE29" s="43">
        <f t="shared" si="15"/>
        <v>650</v>
      </c>
      <c r="AF29" s="40"/>
    </row>
    <row r="30" spans="1:32" s="41" customFormat="1" ht="20.100000000000001" customHeight="1" x14ac:dyDescent="0.25">
      <c r="A30" s="80"/>
      <c r="B30" s="40">
        <v>8</v>
      </c>
      <c r="C30" s="40">
        <f t="shared" si="2"/>
        <v>1</v>
      </c>
      <c r="D30" s="41" t="s">
        <v>30</v>
      </c>
      <c r="E30" s="40">
        <v>1</v>
      </c>
      <c r="F30" s="40">
        <v>35</v>
      </c>
      <c r="G30" s="40"/>
      <c r="H30" s="42">
        <f>MROUND($H$4/100*C30,500)</f>
        <v>500</v>
      </c>
      <c r="I30" s="40">
        <f>H30/100*F30</f>
        <v>175</v>
      </c>
      <c r="J30" s="40">
        <f t="shared" si="3"/>
        <v>35</v>
      </c>
      <c r="K30" s="43">
        <f t="shared" si="4"/>
        <v>325</v>
      </c>
      <c r="L30" s="40"/>
      <c r="M30" s="42">
        <f>MROUND($M$4/100*C30,500)</f>
        <v>500</v>
      </c>
      <c r="N30" s="40">
        <f>M30/100*F30</f>
        <v>175</v>
      </c>
      <c r="O30" s="40">
        <f>(M30-P30)/M30*100</f>
        <v>35</v>
      </c>
      <c r="P30" s="43">
        <f>M30-N30</f>
        <v>325</v>
      </c>
      <c r="Q30" s="40"/>
      <c r="R30" s="42">
        <f>MROUND($R$4/100*C30,500)</f>
        <v>500</v>
      </c>
      <c r="S30" s="40">
        <f t="shared" si="5"/>
        <v>175</v>
      </c>
      <c r="T30" s="40">
        <f t="shared" si="6"/>
        <v>35</v>
      </c>
      <c r="U30" s="43">
        <f t="shared" si="7"/>
        <v>325</v>
      </c>
      <c r="V30" s="40"/>
      <c r="W30" s="42">
        <f t="shared" si="8"/>
        <v>500</v>
      </c>
      <c r="X30" s="40">
        <f t="shared" si="9"/>
        <v>175</v>
      </c>
      <c r="Y30" s="40">
        <f t="shared" si="10"/>
        <v>35</v>
      </c>
      <c r="Z30" s="43">
        <f t="shared" si="11"/>
        <v>325</v>
      </c>
      <c r="AA30" s="40"/>
      <c r="AB30" s="42">
        <f t="shared" si="12"/>
        <v>1000</v>
      </c>
      <c r="AC30" s="40">
        <f t="shared" si="13"/>
        <v>350</v>
      </c>
      <c r="AD30" s="40">
        <f t="shared" si="14"/>
        <v>35</v>
      </c>
      <c r="AE30" s="43">
        <f t="shared" si="15"/>
        <v>650</v>
      </c>
      <c r="AF30" s="40"/>
    </row>
    <row r="31" spans="1:32" s="41" customFormat="1" ht="20.100000000000001" customHeight="1" x14ac:dyDescent="0.25">
      <c r="A31" s="80"/>
      <c r="B31" s="40">
        <v>8</v>
      </c>
      <c r="C31" s="40">
        <f t="shared" si="2"/>
        <v>1</v>
      </c>
      <c r="D31" s="41" t="s">
        <v>31</v>
      </c>
      <c r="E31" s="40">
        <v>1</v>
      </c>
      <c r="F31" s="40">
        <v>35</v>
      </c>
      <c r="G31" s="40"/>
      <c r="H31" s="42">
        <f>MROUND($H$4/100*C31,500)</f>
        <v>500</v>
      </c>
      <c r="I31" s="40">
        <f>H31/100*F31</f>
        <v>175</v>
      </c>
      <c r="J31" s="40">
        <f t="shared" si="3"/>
        <v>35</v>
      </c>
      <c r="K31" s="43">
        <f t="shared" si="4"/>
        <v>325</v>
      </c>
      <c r="L31" s="40"/>
      <c r="M31" s="42">
        <f>MROUND($M$4/100*C31,500)</f>
        <v>500</v>
      </c>
      <c r="N31" s="40">
        <f>M31/100*F31</f>
        <v>175</v>
      </c>
      <c r="O31" s="40">
        <f>(M31-P31)/M31*100</f>
        <v>35</v>
      </c>
      <c r="P31" s="43">
        <f>M31-N31</f>
        <v>325</v>
      </c>
      <c r="Q31" s="40"/>
      <c r="R31" s="42">
        <f>MROUND($R$4/100*C31,500)</f>
        <v>500</v>
      </c>
      <c r="S31" s="40">
        <f t="shared" si="5"/>
        <v>175</v>
      </c>
      <c r="T31" s="40">
        <f t="shared" si="6"/>
        <v>35</v>
      </c>
      <c r="U31" s="43">
        <f t="shared" si="7"/>
        <v>325</v>
      </c>
      <c r="V31" s="40"/>
      <c r="W31" s="42">
        <f t="shared" si="8"/>
        <v>500</v>
      </c>
      <c r="X31" s="40">
        <f t="shared" si="9"/>
        <v>175</v>
      </c>
      <c r="Y31" s="40">
        <f t="shared" si="10"/>
        <v>35</v>
      </c>
      <c r="Z31" s="43">
        <f t="shared" si="11"/>
        <v>325</v>
      </c>
      <c r="AA31" s="40"/>
      <c r="AB31" s="42">
        <f t="shared" si="12"/>
        <v>1000</v>
      </c>
      <c r="AC31" s="40">
        <f t="shared" si="13"/>
        <v>350</v>
      </c>
      <c r="AD31" s="40">
        <f t="shared" si="14"/>
        <v>35</v>
      </c>
      <c r="AE31" s="43">
        <f t="shared" si="15"/>
        <v>650</v>
      </c>
      <c r="AF31" s="40"/>
    </row>
    <row r="32" spans="1:32" s="41" customFormat="1" ht="20.100000000000001" customHeight="1" x14ac:dyDescent="0.25">
      <c r="B32" s="40"/>
      <c r="C32" s="40"/>
      <c r="E32" s="40"/>
      <c r="F32" s="40"/>
      <c r="G32" s="40"/>
      <c r="H32" s="42"/>
      <c r="I32" s="40"/>
      <c r="J32" s="40"/>
      <c r="K32" s="43"/>
      <c r="L32" s="40"/>
      <c r="M32" s="42"/>
      <c r="N32" s="40"/>
      <c r="O32" s="40"/>
      <c r="P32" s="43"/>
      <c r="Q32" s="40"/>
      <c r="R32" s="42"/>
      <c r="S32" s="40"/>
      <c r="T32" s="40"/>
      <c r="U32" s="43"/>
      <c r="V32" s="40"/>
      <c r="W32" s="42"/>
      <c r="X32" s="40"/>
      <c r="Y32" s="40"/>
      <c r="Z32" s="43"/>
      <c r="AA32" s="40"/>
      <c r="AB32" s="42"/>
      <c r="AC32" s="40"/>
      <c r="AD32" s="40"/>
      <c r="AE32" s="43"/>
      <c r="AF32" s="40"/>
    </row>
    <row r="33" spans="1:36" s="41" customFormat="1" ht="20.100000000000001" customHeight="1" x14ac:dyDescent="0.25">
      <c r="A33" s="80" t="s">
        <v>32</v>
      </c>
      <c r="B33" s="40">
        <v>20</v>
      </c>
      <c r="C33" s="40">
        <f t="shared" si="2"/>
        <v>2.5</v>
      </c>
      <c r="D33" s="41" t="s">
        <v>34</v>
      </c>
      <c r="E33" s="40">
        <v>2</v>
      </c>
      <c r="F33" s="40">
        <v>35</v>
      </c>
      <c r="G33" s="40"/>
      <c r="H33" s="42">
        <f>MROUND($H$4/100*C33,500)</f>
        <v>1000</v>
      </c>
      <c r="I33" s="40">
        <f>H33/100*F33</f>
        <v>350</v>
      </c>
      <c r="J33" s="40">
        <f t="shared" si="3"/>
        <v>35</v>
      </c>
      <c r="K33" s="43">
        <f t="shared" si="4"/>
        <v>650</v>
      </c>
      <c r="L33" s="40"/>
      <c r="M33" s="42">
        <f>MROUND($M$4/100*C33,500)</f>
        <v>1000</v>
      </c>
      <c r="N33" s="40">
        <f>M33/100*F33</f>
        <v>350</v>
      </c>
      <c r="O33" s="40">
        <f>(M33-P33)/M33*100</f>
        <v>35</v>
      </c>
      <c r="P33" s="43">
        <f>M33-N33</f>
        <v>650</v>
      </c>
      <c r="Q33" s="40"/>
      <c r="R33" s="42">
        <f>MROUND($R$4/100*C33,500)</f>
        <v>1000</v>
      </c>
      <c r="S33" s="40">
        <f t="shared" si="5"/>
        <v>350</v>
      </c>
      <c r="T33" s="40">
        <f t="shared" si="6"/>
        <v>35</v>
      </c>
      <c r="U33" s="43">
        <f t="shared" si="7"/>
        <v>650</v>
      </c>
      <c r="V33" s="40"/>
      <c r="W33" s="42">
        <f t="shared" si="8"/>
        <v>1500</v>
      </c>
      <c r="X33" s="40">
        <f t="shared" si="9"/>
        <v>525</v>
      </c>
      <c r="Y33" s="40">
        <f t="shared" si="10"/>
        <v>35</v>
      </c>
      <c r="Z33" s="43">
        <f t="shared" si="11"/>
        <v>975</v>
      </c>
      <c r="AA33" s="40"/>
      <c r="AB33" s="42">
        <f t="shared" si="12"/>
        <v>2000</v>
      </c>
      <c r="AC33" s="40">
        <f t="shared" si="13"/>
        <v>700</v>
      </c>
      <c r="AD33" s="40">
        <f t="shared" si="14"/>
        <v>35</v>
      </c>
      <c r="AE33" s="43">
        <f t="shared" si="15"/>
        <v>1300</v>
      </c>
      <c r="AF33" s="40"/>
    </row>
    <row r="34" spans="1:36" s="41" customFormat="1" ht="20.100000000000001" customHeight="1" x14ac:dyDescent="0.25">
      <c r="A34" s="80"/>
      <c r="B34" s="40">
        <v>20</v>
      </c>
      <c r="C34" s="40">
        <f t="shared" si="2"/>
        <v>2.5</v>
      </c>
      <c r="D34" s="41" t="s">
        <v>35</v>
      </c>
      <c r="E34" s="40">
        <v>2</v>
      </c>
      <c r="F34" s="40">
        <v>35</v>
      </c>
      <c r="G34" s="40"/>
      <c r="H34" s="42">
        <f>MROUND($H$4/100*C34,500)</f>
        <v>1000</v>
      </c>
      <c r="I34" s="40">
        <f>H34/100*F34</f>
        <v>350</v>
      </c>
      <c r="J34" s="40">
        <f t="shared" si="3"/>
        <v>35</v>
      </c>
      <c r="K34" s="43">
        <f t="shared" si="4"/>
        <v>650</v>
      </c>
      <c r="L34" s="40"/>
      <c r="M34" s="42">
        <f>MROUND($M$4/100*C34,500)</f>
        <v>1000</v>
      </c>
      <c r="N34" s="40">
        <f>M34/100*F34</f>
        <v>350</v>
      </c>
      <c r="O34" s="40">
        <f>(M34-P34)/M34*100</f>
        <v>35</v>
      </c>
      <c r="P34" s="43">
        <f>M34-N34</f>
        <v>650</v>
      </c>
      <c r="Q34" s="40"/>
      <c r="R34" s="42">
        <f>MROUND($R$4/100*C34,500)</f>
        <v>1000</v>
      </c>
      <c r="S34" s="40">
        <f t="shared" si="5"/>
        <v>350</v>
      </c>
      <c r="T34" s="40">
        <f t="shared" si="6"/>
        <v>35</v>
      </c>
      <c r="U34" s="43">
        <f t="shared" si="7"/>
        <v>650</v>
      </c>
      <c r="V34" s="40"/>
      <c r="W34" s="42">
        <f t="shared" si="8"/>
        <v>1500</v>
      </c>
      <c r="X34" s="40">
        <f t="shared" si="9"/>
        <v>525</v>
      </c>
      <c r="Y34" s="40">
        <f t="shared" si="10"/>
        <v>35</v>
      </c>
      <c r="Z34" s="43">
        <f t="shared" si="11"/>
        <v>975</v>
      </c>
      <c r="AA34" s="40"/>
      <c r="AB34" s="42">
        <f t="shared" si="12"/>
        <v>2000</v>
      </c>
      <c r="AC34" s="40">
        <f t="shared" si="13"/>
        <v>700</v>
      </c>
      <c r="AD34" s="40">
        <f t="shared" si="14"/>
        <v>35</v>
      </c>
      <c r="AE34" s="43">
        <f t="shared" si="15"/>
        <v>1300</v>
      </c>
      <c r="AF34" s="40"/>
    </row>
    <row r="35" spans="1:36" s="41" customFormat="1" ht="20.100000000000001" customHeight="1" x14ac:dyDescent="0.25">
      <c r="B35" s="40"/>
      <c r="C35" s="40"/>
      <c r="E35" s="40"/>
      <c r="F35" s="40"/>
      <c r="G35" s="40"/>
      <c r="H35" s="42"/>
      <c r="I35" s="40"/>
      <c r="J35" s="40"/>
      <c r="K35" s="43"/>
      <c r="L35" s="40"/>
      <c r="M35" s="42"/>
      <c r="N35" s="40"/>
      <c r="O35" s="40"/>
      <c r="P35" s="43"/>
      <c r="Q35" s="40"/>
      <c r="R35" s="42"/>
      <c r="S35" s="40"/>
      <c r="T35" s="40"/>
      <c r="U35" s="43"/>
      <c r="V35" s="40"/>
      <c r="W35" s="42"/>
      <c r="X35" s="40"/>
      <c r="Y35" s="40"/>
      <c r="Z35" s="43"/>
      <c r="AA35" s="40"/>
      <c r="AB35" s="42"/>
      <c r="AC35" s="40"/>
      <c r="AD35" s="40"/>
      <c r="AE35" s="43"/>
      <c r="AF35" s="40"/>
    </row>
    <row r="36" spans="1:36" s="41" customFormat="1" ht="20.100000000000001" customHeight="1" x14ac:dyDescent="0.25">
      <c r="A36" s="80" t="s">
        <v>33</v>
      </c>
      <c r="B36" s="40">
        <v>20</v>
      </c>
      <c r="C36" s="40">
        <f t="shared" si="2"/>
        <v>2.5</v>
      </c>
      <c r="D36" s="41" t="s">
        <v>36</v>
      </c>
      <c r="E36" s="40">
        <v>2</v>
      </c>
      <c r="F36" s="40">
        <v>35</v>
      </c>
      <c r="G36" s="40"/>
      <c r="H36" s="42">
        <f>MROUND($H$4/100*C36,500)</f>
        <v>1000</v>
      </c>
      <c r="I36" s="40">
        <f>H36/100*F36</f>
        <v>350</v>
      </c>
      <c r="J36" s="40">
        <f t="shared" si="3"/>
        <v>35</v>
      </c>
      <c r="K36" s="43">
        <f t="shared" si="4"/>
        <v>650</v>
      </c>
      <c r="L36" s="40"/>
      <c r="M36" s="42">
        <f>MROUND($M$4/100*C36,500)</f>
        <v>1000</v>
      </c>
      <c r="N36" s="40">
        <f>M36/100*F36</f>
        <v>350</v>
      </c>
      <c r="O36" s="40">
        <f>(M36-P36)/M36*100</f>
        <v>35</v>
      </c>
      <c r="P36" s="43">
        <f>M36-N36</f>
        <v>650</v>
      </c>
      <c r="Q36" s="40"/>
      <c r="R36" s="42">
        <f>MROUND($R$4/100*C36,500)</f>
        <v>1000</v>
      </c>
      <c r="S36" s="40">
        <f t="shared" si="5"/>
        <v>350</v>
      </c>
      <c r="T36" s="40">
        <f t="shared" si="6"/>
        <v>35</v>
      </c>
      <c r="U36" s="43">
        <f t="shared" si="7"/>
        <v>650</v>
      </c>
      <c r="V36" s="40"/>
      <c r="W36" s="42">
        <f t="shared" si="8"/>
        <v>1500</v>
      </c>
      <c r="X36" s="40">
        <f t="shared" si="9"/>
        <v>525</v>
      </c>
      <c r="Y36" s="40">
        <f t="shared" si="10"/>
        <v>35</v>
      </c>
      <c r="Z36" s="43">
        <f t="shared" si="11"/>
        <v>975</v>
      </c>
      <c r="AA36" s="40"/>
      <c r="AB36" s="42">
        <f t="shared" si="12"/>
        <v>2000</v>
      </c>
      <c r="AC36" s="40">
        <f t="shared" si="13"/>
        <v>700</v>
      </c>
      <c r="AD36" s="40">
        <f t="shared" si="14"/>
        <v>35</v>
      </c>
      <c r="AE36" s="43">
        <f t="shared" si="15"/>
        <v>1300</v>
      </c>
      <c r="AF36" s="40"/>
    </row>
    <row r="37" spans="1:36" s="41" customFormat="1" ht="20.100000000000001" customHeight="1" x14ac:dyDescent="0.25">
      <c r="A37" s="80"/>
      <c r="B37" s="40">
        <v>20</v>
      </c>
      <c r="C37" s="40">
        <f t="shared" si="2"/>
        <v>2.5</v>
      </c>
      <c r="D37" s="41" t="s">
        <v>37</v>
      </c>
      <c r="E37" s="40">
        <v>2</v>
      </c>
      <c r="F37" s="40">
        <v>35</v>
      </c>
      <c r="G37" s="40"/>
      <c r="H37" s="42">
        <f>MROUND($H$4/100*C37,500)</f>
        <v>1000</v>
      </c>
      <c r="I37" s="40">
        <f>H37/100*F37</f>
        <v>350</v>
      </c>
      <c r="J37" s="40">
        <f t="shared" si="3"/>
        <v>35</v>
      </c>
      <c r="K37" s="43">
        <f t="shared" si="4"/>
        <v>650</v>
      </c>
      <c r="L37" s="40"/>
      <c r="M37" s="42">
        <f>MROUND($M$4/100*C37,500)</f>
        <v>1000</v>
      </c>
      <c r="N37" s="40">
        <f>M37/100*F37</f>
        <v>350</v>
      </c>
      <c r="O37" s="40">
        <f>(M37-P37)/M37*100</f>
        <v>35</v>
      </c>
      <c r="P37" s="43">
        <f>M37-N37</f>
        <v>650</v>
      </c>
      <c r="Q37" s="40"/>
      <c r="R37" s="42">
        <f>MROUND($R$4/100*C37,500)</f>
        <v>1000</v>
      </c>
      <c r="S37" s="40">
        <f t="shared" si="5"/>
        <v>350</v>
      </c>
      <c r="T37" s="40">
        <f t="shared" si="6"/>
        <v>35</v>
      </c>
      <c r="U37" s="43">
        <f t="shared" si="7"/>
        <v>650</v>
      </c>
      <c r="V37" s="40"/>
      <c r="W37" s="42">
        <f t="shared" si="8"/>
        <v>1500</v>
      </c>
      <c r="X37" s="40">
        <f t="shared" si="9"/>
        <v>525</v>
      </c>
      <c r="Y37" s="40">
        <f t="shared" si="10"/>
        <v>35</v>
      </c>
      <c r="Z37" s="43">
        <f t="shared" si="11"/>
        <v>975</v>
      </c>
      <c r="AA37" s="40"/>
      <c r="AB37" s="42">
        <f t="shared" si="12"/>
        <v>2000</v>
      </c>
      <c r="AC37" s="40">
        <f t="shared" si="13"/>
        <v>700</v>
      </c>
      <c r="AD37" s="40">
        <f t="shared" si="14"/>
        <v>35</v>
      </c>
      <c r="AE37" s="43">
        <f t="shared" si="15"/>
        <v>1300</v>
      </c>
      <c r="AF37" s="40"/>
    </row>
    <row r="38" spans="1:36" s="41" customFormat="1" ht="20.100000000000001" customHeight="1" x14ac:dyDescent="0.25">
      <c r="B38" s="40"/>
      <c r="C38" s="40"/>
      <c r="E38" s="40"/>
      <c r="F38" s="40"/>
      <c r="G38" s="40"/>
      <c r="H38" s="42"/>
      <c r="I38" s="40"/>
      <c r="J38" s="40"/>
      <c r="K38" s="43"/>
      <c r="L38" s="40"/>
      <c r="M38" s="42"/>
      <c r="N38" s="40"/>
      <c r="O38" s="40"/>
      <c r="P38" s="43"/>
      <c r="Q38" s="40"/>
      <c r="R38" s="42"/>
      <c r="S38" s="40"/>
      <c r="T38" s="40"/>
      <c r="U38" s="43"/>
      <c r="V38" s="40"/>
      <c r="W38" s="42"/>
      <c r="X38" s="40"/>
      <c r="Y38" s="40"/>
      <c r="Z38" s="43"/>
      <c r="AA38" s="40"/>
      <c r="AB38" s="42"/>
      <c r="AC38" s="40"/>
      <c r="AD38" s="40"/>
      <c r="AE38" s="43"/>
      <c r="AF38" s="40"/>
    </row>
    <row r="39" spans="1:36" s="21" customFormat="1" ht="20.100000000000001" customHeight="1" x14ac:dyDescent="0.25">
      <c r="A39" s="80" t="s">
        <v>40</v>
      </c>
      <c r="B39" s="40">
        <v>8</v>
      </c>
      <c r="C39" s="40">
        <f t="shared" si="2"/>
        <v>1</v>
      </c>
      <c r="D39" s="41" t="s">
        <v>39</v>
      </c>
      <c r="E39" s="40">
        <v>4</v>
      </c>
      <c r="F39" s="40">
        <v>35</v>
      </c>
      <c r="G39" s="40"/>
      <c r="H39" s="42">
        <f>MROUND($H$4/100*C39,500)</f>
        <v>500</v>
      </c>
      <c r="I39" s="40">
        <f>H39/100*F39</f>
        <v>175</v>
      </c>
      <c r="J39" s="40">
        <f t="shared" si="3"/>
        <v>35</v>
      </c>
      <c r="K39" s="43">
        <f t="shared" si="4"/>
        <v>325</v>
      </c>
      <c r="L39" s="40"/>
      <c r="M39" s="42">
        <f>MROUND($M$4/100*C39,500)</f>
        <v>500</v>
      </c>
      <c r="N39" s="40">
        <f>M39/100*F39</f>
        <v>175</v>
      </c>
      <c r="O39" s="40">
        <f>(M39-P39)/M39*100</f>
        <v>35</v>
      </c>
      <c r="P39" s="43">
        <f>M39-N39</f>
        <v>325</v>
      </c>
      <c r="Q39" s="40"/>
      <c r="R39" s="42">
        <f>MROUND($R$4/100*C39,500)</f>
        <v>500</v>
      </c>
      <c r="S39" s="40">
        <f t="shared" si="5"/>
        <v>175</v>
      </c>
      <c r="T39" s="40">
        <f t="shared" si="6"/>
        <v>35</v>
      </c>
      <c r="U39" s="43">
        <f t="shared" si="7"/>
        <v>325</v>
      </c>
      <c r="V39" s="40"/>
      <c r="W39" s="42">
        <f t="shared" si="8"/>
        <v>500</v>
      </c>
      <c r="X39" s="40">
        <f t="shared" si="9"/>
        <v>175</v>
      </c>
      <c r="Y39" s="40">
        <f t="shared" si="10"/>
        <v>35</v>
      </c>
      <c r="Z39" s="43">
        <f t="shared" si="11"/>
        <v>325</v>
      </c>
      <c r="AA39" s="40"/>
      <c r="AB39" s="42">
        <f t="shared" si="12"/>
        <v>1000</v>
      </c>
      <c r="AC39" s="40">
        <f t="shared" si="13"/>
        <v>350</v>
      </c>
      <c r="AD39" s="40">
        <f t="shared" si="14"/>
        <v>35</v>
      </c>
      <c r="AE39" s="43">
        <f t="shared" si="15"/>
        <v>650</v>
      </c>
      <c r="AF39" s="40"/>
      <c r="AG39" s="41"/>
      <c r="AH39" s="41"/>
      <c r="AI39" s="41"/>
      <c r="AJ39" s="41"/>
    </row>
    <row r="40" spans="1:36" s="21" customFormat="1" ht="20.100000000000001" customHeight="1" x14ac:dyDescent="0.25">
      <c r="A40" s="80"/>
      <c r="B40" s="40">
        <v>12</v>
      </c>
      <c r="C40" s="40">
        <f t="shared" si="2"/>
        <v>1.5</v>
      </c>
      <c r="D40" s="41" t="s">
        <v>38</v>
      </c>
      <c r="E40" s="40">
        <v>4</v>
      </c>
      <c r="F40" s="40">
        <v>35</v>
      </c>
      <c r="G40" s="40"/>
      <c r="H40" s="42">
        <f>MROUND($H$4/100*C40,500)</f>
        <v>500</v>
      </c>
      <c r="I40" s="40">
        <f>H40/100*F40</f>
        <v>175</v>
      </c>
      <c r="J40" s="40">
        <f t="shared" si="3"/>
        <v>35</v>
      </c>
      <c r="K40" s="43">
        <f t="shared" si="4"/>
        <v>325</v>
      </c>
      <c r="L40" s="40"/>
      <c r="M40" s="42">
        <f>MROUND($M$4/100*C40,500)</f>
        <v>500</v>
      </c>
      <c r="N40" s="40">
        <f>M40/100*F40</f>
        <v>175</v>
      </c>
      <c r="O40" s="40">
        <f>(M40-P40)/M40*100</f>
        <v>35</v>
      </c>
      <c r="P40" s="43">
        <f>M40-N40</f>
        <v>325</v>
      </c>
      <c r="Q40" s="40"/>
      <c r="R40" s="42">
        <f>MROUND($R$4/100*C40,500)</f>
        <v>500</v>
      </c>
      <c r="S40" s="40">
        <f t="shared" si="5"/>
        <v>175</v>
      </c>
      <c r="T40" s="40">
        <f t="shared" si="6"/>
        <v>35</v>
      </c>
      <c r="U40" s="43">
        <f t="shared" si="7"/>
        <v>325</v>
      </c>
      <c r="V40" s="40"/>
      <c r="W40" s="42">
        <f t="shared" si="8"/>
        <v>1000</v>
      </c>
      <c r="X40" s="40">
        <f t="shared" si="9"/>
        <v>350</v>
      </c>
      <c r="Y40" s="40">
        <f t="shared" si="10"/>
        <v>35</v>
      </c>
      <c r="Z40" s="43">
        <f t="shared" si="11"/>
        <v>650</v>
      </c>
      <c r="AA40" s="40"/>
      <c r="AB40" s="42">
        <f t="shared" si="12"/>
        <v>1500</v>
      </c>
      <c r="AC40" s="40">
        <f t="shared" si="13"/>
        <v>525</v>
      </c>
      <c r="AD40" s="40">
        <f t="shared" si="14"/>
        <v>35</v>
      </c>
      <c r="AE40" s="43">
        <f t="shared" si="15"/>
        <v>975</v>
      </c>
      <c r="AF40" s="40"/>
      <c r="AG40" s="41"/>
      <c r="AH40" s="41"/>
      <c r="AI40" s="41"/>
      <c r="AJ40" s="41"/>
    </row>
    <row r="41" spans="1:36" s="3" customFormat="1" ht="20.100000000000001" customHeight="1" x14ac:dyDescent="0.25">
      <c r="A41" s="41"/>
      <c r="B41" s="40"/>
      <c r="C41" s="40"/>
      <c r="D41" s="41"/>
      <c r="E41" s="40"/>
      <c r="F41" s="40"/>
      <c r="G41" s="40"/>
      <c r="H41" s="42"/>
      <c r="I41" s="40"/>
      <c r="J41" s="40"/>
      <c r="K41" s="43"/>
      <c r="L41" s="40"/>
      <c r="M41" s="42"/>
      <c r="N41" s="40"/>
      <c r="O41" s="40"/>
      <c r="P41" s="43"/>
      <c r="Q41" s="40"/>
      <c r="R41" s="42"/>
      <c r="S41" s="40"/>
      <c r="T41" s="40"/>
      <c r="U41" s="43"/>
      <c r="V41" s="40"/>
      <c r="W41" s="42"/>
      <c r="X41" s="40"/>
      <c r="Y41" s="40"/>
      <c r="Z41" s="43"/>
      <c r="AA41" s="40"/>
      <c r="AB41" s="42"/>
      <c r="AC41" s="40"/>
      <c r="AD41" s="40"/>
      <c r="AE41" s="43"/>
      <c r="AF41" s="40"/>
      <c r="AG41" s="41"/>
      <c r="AH41" s="41"/>
      <c r="AI41" s="41"/>
      <c r="AJ41" s="41"/>
    </row>
    <row r="42" spans="1:36" s="41" customFormat="1" ht="20.100000000000001" customHeight="1" x14ac:dyDescent="0.25">
      <c r="A42" s="80" t="s">
        <v>41</v>
      </c>
      <c r="B42" s="40">
        <v>8</v>
      </c>
      <c r="C42" s="40">
        <f t="shared" si="2"/>
        <v>1</v>
      </c>
      <c r="D42" s="41" t="s">
        <v>42</v>
      </c>
      <c r="E42" s="40">
        <v>1</v>
      </c>
      <c r="F42" s="40">
        <v>35</v>
      </c>
      <c r="G42" s="40"/>
      <c r="H42" s="42">
        <f>MROUND($H$4/100*C42,500)</f>
        <v>500</v>
      </c>
      <c r="I42" s="40">
        <f>H42/100*F42</f>
        <v>175</v>
      </c>
      <c r="J42" s="40">
        <f t="shared" si="3"/>
        <v>35</v>
      </c>
      <c r="K42" s="43">
        <f t="shared" si="4"/>
        <v>325</v>
      </c>
      <c r="L42" s="40"/>
      <c r="M42" s="42">
        <f>MROUND($M$4/100*C42,500)</f>
        <v>500</v>
      </c>
      <c r="N42" s="40">
        <f>M42/100*F42</f>
        <v>175</v>
      </c>
      <c r="O42" s="40">
        <f>(M42-P42)/M42*100</f>
        <v>35</v>
      </c>
      <c r="P42" s="43">
        <f>M42-N42</f>
        <v>325</v>
      </c>
      <c r="Q42" s="40"/>
      <c r="R42" s="42">
        <f>MROUND($R$4/100*C42,500)</f>
        <v>500</v>
      </c>
      <c r="S42" s="40">
        <f t="shared" si="5"/>
        <v>175</v>
      </c>
      <c r="T42" s="40">
        <f t="shared" si="6"/>
        <v>35</v>
      </c>
      <c r="U42" s="43">
        <f t="shared" si="7"/>
        <v>325</v>
      </c>
      <c r="V42" s="40"/>
      <c r="W42" s="42">
        <f t="shared" si="8"/>
        <v>500</v>
      </c>
      <c r="X42" s="40">
        <f t="shared" si="9"/>
        <v>175</v>
      </c>
      <c r="Y42" s="40">
        <f t="shared" si="10"/>
        <v>35</v>
      </c>
      <c r="Z42" s="43">
        <f t="shared" si="11"/>
        <v>325</v>
      </c>
      <c r="AA42" s="40"/>
      <c r="AB42" s="42">
        <f t="shared" si="12"/>
        <v>1000</v>
      </c>
      <c r="AC42" s="40">
        <f t="shared" si="13"/>
        <v>350</v>
      </c>
      <c r="AD42" s="40">
        <f t="shared" si="14"/>
        <v>35</v>
      </c>
      <c r="AE42" s="43">
        <f t="shared" si="15"/>
        <v>650</v>
      </c>
      <c r="AF42" s="40"/>
    </row>
    <row r="43" spans="1:36" s="41" customFormat="1" ht="20.100000000000001" customHeight="1" x14ac:dyDescent="0.25">
      <c r="A43" s="80"/>
      <c r="B43" s="40">
        <v>8</v>
      </c>
      <c r="C43" s="40">
        <f t="shared" si="2"/>
        <v>1</v>
      </c>
      <c r="D43" s="41" t="s">
        <v>43</v>
      </c>
      <c r="E43" s="40">
        <v>1</v>
      </c>
      <c r="F43" s="40">
        <v>35</v>
      </c>
      <c r="G43" s="40"/>
      <c r="H43" s="42">
        <f>MROUND($H$4/100*C43,500)</f>
        <v>500</v>
      </c>
      <c r="I43" s="40">
        <f>H43/100*F43</f>
        <v>175</v>
      </c>
      <c r="J43" s="40">
        <f t="shared" si="3"/>
        <v>35</v>
      </c>
      <c r="K43" s="43">
        <f t="shared" si="4"/>
        <v>325</v>
      </c>
      <c r="L43" s="40"/>
      <c r="M43" s="42">
        <f>MROUND($M$4/100*C43,500)</f>
        <v>500</v>
      </c>
      <c r="N43" s="40">
        <f>M43/100*F43</f>
        <v>175</v>
      </c>
      <c r="O43" s="40">
        <f>(M43-P43)/M43*100</f>
        <v>35</v>
      </c>
      <c r="P43" s="43">
        <f>M43-N43</f>
        <v>325</v>
      </c>
      <c r="Q43" s="40"/>
      <c r="R43" s="42">
        <f>MROUND($R$4/100*C43,500)</f>
        <v>500</v>
      </c>
      <c r="S43" s="40">
        <f t="shared" si="5"/>
        <v>175</v>
      </c>
      <c r="T43" s="40">
        <f t="shared" si="6"/>
        <v>35</v>
      </c>
      <c r="U43" s="43">
        <f t="shared" si="7"/>
        <v>325</v>
      </c>
      <c r="V43" s="40"/>
      <c r="W43" s="42">
        <f t="shared" si="8"/>
        <v>500</v>
      </c>
      <c r="X43" s="40">
        <f t="shared" si="9"/>
        <v>175</v>
      </c>
      <c r="Y43" s="40">
        <f t="shared" si="10"/>
        <v>35</v>
      </c>
      <c r="Z43" s="43">
        <f t="shared" si="11"/>
        <v>325</v>
      </c>
      <c r="AA43" s="40"/>
      <c r="AB43" s="42">
        <f t="shared" si="12"/>
        <v>1000</v>
      </c>
      <c r="AC43" s="40">
        <f t="shared" si="13"/>
        <v>350</v>
      </c>
      <c r="AD43" s="40">
        <f t="shared" si="14"/>
        <v>35</v>
      </c>
      <c r="AE43" s="43">
        <f t="shared" si="15"/>
        <v>650</v>
      </c>
      <c r="AF43" s="40"/>
    </row>
    <row r="44" spans="1:36" s="41" customFormat="1" ht="20.100000000000001" customHeight="1" x14ac:dyDescent="0.25">
      <c r="B44" s="40"/>
      <c r="C44" s="40"/>
      <c r="E44" s="40"/>
      <c r="F44" s="40"/>
      <c r="G44" s="40"/>
      <c r="H44" s="42"/>
      <c r="I44" s="40"/>
      <c r="J44" s="40"/>
      <c r="K44" s="43"/>
      <c r="L44" s="40"/>
      <c r="M44" s="42"/>
      <c r="N44" s="40"/>
      <c r="O44" s="40"/>
      <c r="P44" s="43"/>
      <c r="Q44" s="40"/>
      <c r="R44" s="42"/>
      <c r="S44" s="40"/>
      <c r="T44" s="40"/>
      <c r="U44" s="43"/>
      <c r="V44" s="40"/>
      <c r="W44" s="42"/>
      <c r="X44" s="40"/>
      <c r="Y44" s="40"/>
      <c r="Z44" s="43"/>
      <c r="AA44" s="40"/>
      <c r="AB44" s="42"/>
      <c r="AC44" s="40"/>
      <c r="AD44" s="40"/>
      <c r="AE44" s="43"/>
      <c r="AF44" s="40"/>
    </row>
    <row r="45" spans="1:36" s="41" customFormat="1" ht="20.100000000000001" customHeight="1" x14ac:dyDescent="0.25">
      <c r="A45" s="80" t="s">
        <v>44</v>
      </c>
      <c r="B45" s="40">
        <v>15</v>
      </c>
      <c r="C45" s="40">
        <f t="shared" si="2"/>
        <v>1.5</v>
      </c>
      <c r="D45" s="41" t="s">
        <v>45</v>
      </c>
      <c r="E45" s="40">
        <v>4</v>
      </c>
      <c r="F45" s="40">
        <v>35</v>
      </c>
      <c r="G45" s="40"/>
      <c r="H45" s="42">
        <f>MROUND($H$4/100*C45,500)</f>
        <v>500</v>
      </c>
      <c r="I45" s="40">
        <f>H45/100*F45</f>
        <v>175</v>
      </c>
      <c r="J45" s="40">
        <f t="shared" si="3"/>
        <v>35</v>
      </c>
      <c r="K45" s="43">
        <f t="shared" si="4"/>
        <v>325</v>
      </c>
      <c r="L45" s="40"/>
      <c r="M45" s="42">
        <f>MROUND($M$4/100*C45,500)</f>
        <v>500</v>
      </c>
      <c r="N45" s="40">
        <f>M45/100*F45</f>
        <v>175</v>
      </c>
      <c r="O45" s="40">
        <f>(M45-P45)/M45*100</f>
        <v>35</v>
      </c>
      <c r="P45" s="43">
        <f>M45-N45</f>
        <v>325</v>
      </c>
      <c r="Q45" s="40"/>
      <c r="R45" s="42">
        <f>MROUND($R$4/100*C45,500)</f>
        <v>500</v>
      </c>
      <c r="S45" s="40">
        <f t="shared" si="5"/>
        <v>175</v>
      </c>
      <c r="T45" s="40">
        <f t="shared" si="6"/>
        <v>35</v>
      </c>
      <c r="U45" s="43">
        <f t="shared" si="7"/>
        <v>325</v>
      </c>
      <c r="V45" s="40"/>
      <c r="W45" s="42">
        <f t="shared" si="8"/>
        <v>1000</v>
      </c>
      <c r="X45" s="40">
        <f t="shared" si="9"/>
        <v>350</v>
      </c>
      <c r="Y45" s="40">
        <f t="shared" si="10"/>
        <v>35</v>
      </c>
      <c r="Z45" s="43">
        <f t="shared" si="11"/>
        <v>650</v>
      </c>
      <c r="AA45" s="40"/>
      <c r="AB45" s="42">
        <f t="shared" si="12"/>
        <v>1500</v>
      </c>
      <c r="AC45" s="40">
        <f t="shared" si="13"/>
        <v>525</v>
      </c>
      <c r="AD45" s="40">
        <f t="shared" si="14"/>
        <v>35</v>
      </c>
      <c r="AE45" s="43">
        <f t="shared" si="15"/>
        <v>975</v>
      </c>
      <c r="AF45" s="40"/>
    </row>
    <row r="46" spans="1:36" s="41" customFormat="1" ht="20.100000000000001" customHeight="1" x14ac:dyDescent="0.25">
      <c r="A46" s="80"/>
      <c r="B46" s="40">
        <v>15</v>
      </c>
      <c r="C46" s="40">
        <f t="shared" si="2"/>
        <v>1.5</v>
      </c>
      <c r="D46" s="41" t="s">
        <v>46</v>
      </c>
      <c r="E46" s="40">
        <v>4</v>
      </c>
      <c r="F46" s="40">
        <v>35</v>
      </c>
      <c r="G46" s="40"/>
      <c r="H46" s="42">
        <f>MROUND($H$4/100*C46,500)</f>
        <v>500</v>
      </c>
      <c r="I46" s="40">
        <f>H46/100*F46</f>
        <v>175</v>
      </c>
      <c r="J46" s="40">
        <f t="shared" si="3"/>
        <v>35</v>
      </c>
      <c r="K46" s="43">
        <f t="shared" si="4"/>
        <v>325</v>
      </c>
      <c r="L46" s="40"/>
      <c r="M46" s="42">
        <f>MROUND($M$4/100*C46,500)</f>
        <v>500</v>
      </c>
      <c r="N46" s="40">
        <f>M46/100*F46</f>
        <v>175</v>
      </c>
      <c r="O46" s="40">
        <f>(M46-P46)/M46*100</f>
        <v>35</v>
      </c>
      <c r="P46" s="43">
        <f>M46-N46</f>
        <v>325</v>
      </c>
      <c r="Q46" s="40"/>
      <c r="R46" s="42">
        <f>MROUND($R$4/100*C46,500)</f>
        <v>500</v>
      </c>
      <c r="S46" s="40">
        <f t="shared" si="5"/>
        <v>175</v>
      </c>
      <c r="T46" s="40">
        <f t="shared" si="6"/>
        <v>35</v>
      </c>
      <c r="U46" s="43">
        <f t="shared" si="7"/>
        <v>325</v>
      </c>
      <c r="V46" s="40"/>
      <c r="W46" s="42">
        <f t="shared" si="8"/>
        <v>1000</v>
      </c>
      <c r="X46" s="40">
        <f t="shared" si="9"/>
        <v>350</v>
      </c>
      <c r="Y46" s="40">
        <f t="shared" si="10"/>
        <v>35</v>
      </c>
      <c r="Z46" s="43">
        <f t="shared" si="11"/>
        <v>650</v>
      </c>
      <c r="AA46" s="40"/>
      <c r="AB46" s="42">
        <f t="shared" si="12"/>
        <v>1500</v>
      </c>
      <c r="AC46" s="40">
        <f t="shared" si="13"/>
        <v>525</v>
      </c>
      <c r="AD46" s="40">
        <f t="shared" si="14"/>
        <v>35</v>
      </c>
      <c r="AE46" s="43">
        <f t="shared" si="15"/>
        <v>975</v>
      </c>
      <c r="AF46" s="40"/>
    </row>
    <row r="47" spans="1:36" s="41" customFormat="1" ht="20.100000000000001" customHeight="1" x14ac:dyDescent="0.25">
      <c r="B47" s="40"/>
      <c r="C47" s="40"/>
      <c r="E47" s="40"/>
      <c r="F47" s="40"/>
      <c r="G47" s="40"/>
      <c r="H47" s="42"/>
      <c r="I47" s="40"/>
      <c r="J47" s="40"/>
      <c r="K47" s="43"/>
      <c r="L47" s="40"/>
      <c r="M47" s="42"/>
      <c r="N47" s="40"/>
      <c r="O47" s="40"/>
      <c r="P47" s="43"/>
      <c r="Q47" s="40"/>
      <c r="R47" s="42"/>
      <c r="S47" s="40"/>
      <c r="T47" s="40"/>
      <c r="U47" s="43"/>
      <c r="V47" s="40"/>
      <c r="W47" s="42"/>
      <c r="X47" s="40"/>
      <c r="Y47" s="40"/>
      <c r="Z47" s="43"/>
      <c r="AA47" s="40"/>
      <c r="AB47" s="42"/>
      <c r="AC47" s="40"/>
      <c r="AD47" s="40"/>
      <c r="AE47" s="43"/>
      <c r="AF47" s="40"/>
    </row>
    <row r="48" spans="1:36" s="41" customFormat="1" ht="20.100000000000001" customHeight="1" x14ac:dyDescent="0.25">
      <c r="A48" s="80" t="s">
        <v>47</v>
      </c>
      <c r="B48" s="40">
        <v>10</v>
      </c>
      <c r="C48" s="40">
        <f t="shared" si="2"/>
        <v>1</v>
      </c>
      <c r="D48" s="41" t="s">
        <v>48</v>
      </c>
      <c r="E48" s="40">
        <v>4</v>
      </c>
      <c r="F48" s="40">
        <v>35</v>
      </c>
      <c r="G48" s="40"/>
      <c r="H48" s="42">
        <f>MROUND($H$4/100*C48,500)</f>
        <v>500</v>
      </c>
      <c r="I48" s="40">
        <f>H48/100*F48</f>
        <v>175</v>
      </c>
      <c r="J48" s="40">
        <f t="shared" si="3"/>
        <v>35</v>
      </c>
      <c r="K48" s="43">
        <f t="shared" si="4"/>
        <v>325</v>
      </c>
      <c r="L48" s="40"/>
      <c r="M48" s="42">
        <f>MROUND($M$4/100*C48,500)</f>
        <v>500</v>
      </c>
      <c r="N48" s="40">
        <f>M48/100*F48</f>
        <v>175</v>
      </c>
      <c r="O48" s="40">
        <f>(M48-P48)/M48*100</f>
        <v>35</v>
      </c>
      <c r="P48" s="43">
        <f>M48-N48</f>
        <v>325</v>
      </c>
      <c r="Q48" s="40"/>
      <c r="R48" s="42">
        <f>MROUND($R$4/100*C48,500)</f>
        <v>500</v>
      </c>
      <c r="S48" s="40">
        <f t="shared" si="5"/>
        <v>175</v>
      </c>
      <c r="T48" s="40">
        <f t="shared" si="6"/>
        <v>35</v>
      </c>
      <c r="U48" s="43">
        <f t="shared" si="7"/>
        <v>325</v>
      </c>
      <c r="V48" s="40"/>
      <c r="W48" s="42">
        <f t="shared" si="8"/>
        <v>500</v>
      </c>
      <c r="X48" s="40">
        <f t="shared" si="9"/>
        <v>175</v>
      </c>
      <c r="Y48" s="40">
        <f t="shared" si="10"/>
        <v>35</v>
      </c>
      <c r="Z48" s="43">
        <f t="shared" si="11"/>
        <v>325</v>
      </c>
      <c r="AA48" s="40"/>
      <c r="AB48" s="42">
        <f t="shared" si="12"/>
        <v>1000</v>
      </c>
      <c r="AC48" s="40">
        <f t="shared" si="13"/>
        <v>350</v>
      </c>
      <c r="AD48" s="40">
        <f t="shared" si="14"/>
        <v>35</v>
      </c>
      <c r="AE48" s="43">
        <f t="shared" si="15"/>
        <v>650</v>
      </c>
      <c r="AF48" s="40"/>
    </row>
    <row r="49" spans="1:32" s="41" customFormat="1" ht="20.100000000000001" customHeight="1" x14ac:dyDescent="0.25">
      <c r="A49" s="80"/>
      <c r="B49" s="40">
        <v>10</v>
      </c>
      <c r="C49" s="40">
        <f t="shared" si="2"/>
        <v>1</v>
      </c>
      <c r="D49" s="41" t="s">
        <v>49</v>
      </c>
      <c r="E49" s="40">
        <v>4</v>
      </c>
      <c r="F49" s="40">
        <v>35</v>
      </c>
      <c r="G49" s="40"/>
      <c r="H49" s="42">
        <f>MROUND($H$4/100*C49,500)</f>
        <v>500</v>
      </c>
      <c r="I49" s="40">
        <f>H49/100*F49</f>
        <v>175</v>
      </c>
      <c r="J49" s="40">
        <f t="shared" si="3"/>
        <v>35</v>
      </c>
      <c r="K49" s="43">
        <f t="shared" si="4"/>
        <v>325</v>
      </c>
      <c r="L49" s="40"/>
      <c r="M49" s="42">
        <f>MROUND($M$4/100*C49,500)</f>
        <v>500</v>
      </c>
      <c r="N49" s="40">
        <f>M49/100*F49</f>
        <v>175</v>
      </c>
      <c r="O49" s="40">
        <f>(M49-P49)/M49*100</f>
        <v>35</v>
      </c>
      <c r="P49" s="43">
        <f>M49-N49</f>
        <v>325</v>
      </c>
      <c r="Q49" s="40"/>
      <c r="R49" s="42">
        <f>MROUND($R$4/100*C49,500)</f>
        <v>500</v>
      </c>
      <c r="S49" s="40">
        <f t="shared" si="5"/>
        <v>175</v>
      </c>
      <c r="T49" s="40">
        <f t="shared" si="6"/>
        <v>35</v>
      </c>
      <c r="U49" s="43">
        <f t="shared" si="7"/>
        <v>325</v>
      </c>
      <c r="V49" s="40"/>
      <c r="W49" s="42">
        <f t="shared" si="8"/>
        <v>500</v>
      </c>
      <c r="X49" s="40">
        <f t="shared" si="9"/>
        <v>175</v>
      </c>
      <c r="Y49" s="40">
        <f t="shared" si="10"/>
        <v>35</v>
      </c>
      <c r="Z49" s="43">
        <f t="shared" si="11"/>
        <v>325</v>
      </c>
      <c r="AA49" s="40"/>
      <c r="AB49" s="42">
        <f t="shared" si="12"/>
        <v>1000</v>
      </c>
      <c r="AC49" s="40">
        <f t="shared" si="13"/>
        <v>350</v>
      </c>
      <c r="AD49" s="40">
        <f t="shared" si="14"/>
        <v>35</v>
      </c>
      <c r="AE49" s="43">
        <f t="shared" si="15"/>
        <v>650</v>
      </c>
      <c r="AF49" s="40"/>
    </row>
    <row r="50" spans="1:32" s="41" customFormat="1" ht="20.100000000000001" customHeight="1" x14ac:dyDescent="0.25">
      <c r="B50" s="40"/>
      <c r="C50" s="40"/>
      <c r="E50" s="40"/>
      <c r="F50" s="40"/>
      <c r="G50" s="40"/>
      <c r="H50" s="42"/>
      <c r="I50" s="40"/>
      <c r="J50" s="40"/>
      <c r="K50" s="43"/>
      <c r="L50" s="40"/>
      <c r="M50" s="42"/>
      <c r="N50" s="40"/>
      <c r="O50" s="40"/>
      <c r="P50" s="43"/>
      <c r="Q50" s="40"/>
      <c r="R50" s="42"/>
      <c r="S50" s="40"/>
      <c r="T50" s="40"/>
      <c r="U50" s="43"/>
      <c r="V50" s="40"/>
      <c r="W50" s="42"/>
      <c r="X50" s="40"/>
      <c r="Y50" s="40"/>
      <c r="Z50" s="43"/>
      <c r="AA50" s="40"/>
      <c r="AB50" s="42"/>
      <c r="AC50" s="40"/>
      <c r="AD50" s="40"/>
      <c r="AE50" s="43"/>
      <c r="AF50" s="40"/>
    </row>
    <row r="51" spans="1:32" s="41" customFormat="1" ht="20.100000000000001" customHeight="1" x14ac:dyDescent="0.25">
      <c r="A51" s="80" t="s">
        <v>50</v>
      </c>
      <c r="B51" s="40">
        <v>10</v>
      </c>
      <c r="C51" s="40">
        <f t="shared" si="2"/>
        <v>1</v>
      </c>
      <c r="D51" s="41" t="s">
        <v>54</v>
      </c>
      <c r="E51" s="40">
        <v>2</v>
      </c>
      <c r="F51" s="40">
        <v>35</v>
      </c>
      <c r="G51" s="40"/>
      <c r="H51" s="42">
        <f>MROUND($H$4/100*C51,500)</f>
        <v>500</v>
      </c>
      <c r="I51" s="40">
        <f>H51/100*F51</f>
        <v>175</v>
      </c>
      <c r="J51" s="40">
        <f t="shared" si="3"/>
        <v>35</v>
      </c>
      <c r="K51" s="43">
        <f t="shared" si="4"/>
        <v>325</v>
      </c>
      <c r="L51" s="40"/>
      <c r="M51" s="42">
        <f>MROUND($M$4/100*C51,500)</f>
        <v>500</v>
      </c>
      <c r="N51" s="40">
        <f>M51/100*F51</f>
        <v>175</v>
      </c>
      <c r="O51" s="40">
        <f>(M51-P51)/M51*100</f>
        <v>35</v>
      </c>
      <c r="P51" s="43">
        <f>M51-N51</f>
        <v>325</v>
      </c>
      <c r="Q51" s="40"/>
      <c r="R51" s="42">
        <f>MROUND($R$4/100*C51,500)</f>
        <v>500</v>
      </c>
      <c r="S51" s="40">
        <f t="shared" si="5"/>
        <v>175</v>
      </c>
      <c r="T51" s="40">
        <f t="shared" si="6"/>
        <v>35</v>
      </c>
      <c r="U51" s="43">
        <f t="shared" si="7"/>
        <v>325</v>
      </c>
      <c r="V51" s="40"/>
      <c r="W51" s="42">
        <f t="shared" si="8"/>
        <v>500</v>
      </c>
      <c r="X51" s="40">
        <f t="shared" si="9"/>
        <v>175</v>
      </c>
      <c r="Y51" s="40">
        <f t="shared" si="10"/>
        <v>35</v>
      </c>
      <c r="Z51" s="43">
        <f t="shared" si="11"/>
        <v>325</v>
      </c>
      <c r="AA51" s="40"/>
      <c r="AB51" s="42">
        <f t="shared" si="12"/>
        <v>1000</v>
      </c>
      <c r="AC51" s="40">
        <f t="shared" si="13"/>
        <v>350</v>
      </c>
      <c r="AD51" s="40">
        <f t="shared" si="14"/>
        <v>35</v>
      </c>
      <c r="AE51" s="43">
        <f t="shared" si="15"/>
        <v>650</v>
      </c>
      <c r="AF51" s="40"/>
    </row>
    <row r="52" spans="1:32" s="41" customFormat="1" ht="20.100000000000001" customHeight="1" x14ac:dyDescent="0.25">
      <c r="A52" s="80"/>
      <c r="B52" s="40"/>
      <c r="C52" s="40">
        <f t="shared" si="2"/>
        <v>0</v>
      </c>
      <c r="D52" s="41" t="s">
        <v>51</v>
      </c>
      <c r="E52" s="40">
        <v>2</v>
      </c>
      <c r="F52" s="40">
        <v>35</v>
      </c>
      <c r="G52" s="40"/>
      <c r="H52" s="42">
        <f>MROUND($H$4/100*C52,500)</f>
        <v>0</v>
      </c>
      <c r="I52" s="40">
        <f>H52/100*F52</f>
        <v>0</v>
      </c>
      <c r="J52" s="40" t="e">
        <f t="shared" si="3"/>
        <v>#DIV/0!</v>
      </c>
      <c r="K52" s="43">
        <f t="shared" si="4"/>
        <v>0</v>
      </c>
      <c r="L52" s="40"/>
      <c r="M52" s="42">
        <f>MROUND($M$4/100*C52,500)</f>
        <v>0</v>
      </c>
      <c r="N52" s="40">
        <f>M52/100*F52</f>
        <v>0</v>
      </c>
      <c r="O52" s="40" t="e">
        <f>(M52-P52)/M52*100</f>
        <v>#DIV/0!</v>
      </c>
      <c r="P52" s="43">
        <f>M52-N52</f>
        <v>0</v>
      </c>
      <c r="Q52" s="40"/>
      <c r="R52" s="42">
        <f>MROUND($R$4/100*C52,500)</f>
        <v>0</v>
      </c>
      <c r="S52" s="40">
        <f t="shared" si="5"/>
        <v>0</v>
      </c>
      <c r="T52" s="40" t="e">
        <f t="shared" si="6"/>
        <v>#DIV/0!</v>
      </c>
      <c r="U52" s="43">
        <f t="shared" si="7"/>
        <v>0</v>
      </c>
      <c r="V52" s="40"/>
      <c r="W52" s="42">
        <f t="shared" si="8"/>
        <v>0</v>
      </c>
      <c r="X52" s="40">
        <f t="shared" si="9"/>
        <v>0</v>
      </c>
      <c r="Y52" s="40" t="e">
        <f t="shared" si="10"/>
        <v>#DIV/0!</v>
      </c>
      <c r="Z52" s="43">
        <f t="shared" si="11"/>
        <v>0</v>
      </c>
      <c r="AA52" s="40"/>
      <c r="AB52" s="42">
        <f t="shared" si="12"/>
        <v>0</v>
      </c>
      <c r="AC52" s="40">
        <f t="shared" si="13"/>
        <v>0</v>
      </c>
      <c r="AD52" s="40" t="e">
        <f t="shared" si="14"/>
        <v>#DIV/0!</v>
      </c>
      <c r="AE52" s="43">
        <f t="shared" si="15"/>
        <v>0</v>
      </c>
      <c r="AF52" s="40"/>
    </row>
    <row r="53" spans="1:32" s="41" customFormat="1" ht="20.100000000000001" customHeight="1" x14ac:dyDescent="0.25">
      <c r="A53" s="80"/>
      <c r="B53" s="40"/>
      <c r="C53" s="40">
        <f t="shared" si="2"/>
        <v>0</v>
      </c>
      <c r="D53" s="41" t="s">
        <v>52</v>
      </c>
      <c r="E53" s="40">
        <v>2</v>
      </c>
      <c r="F53" s="40">
        <v>35</v>
      </c>
      <c r="G53" s="40"/>
      <c r="H53" s="42">
        <f>MROUND($H$4/100*C53,500)</f>
        <v>0</v>
      </c>
      <c r="I53" s="40">
        <f>H53/100*F53</f>
        <v>0</v>
      </c>
      <c r="J53" s="40" t="e">
        <f t="shared" si="3"/>
        <v>#DIV/0!</v>
      </c>
      <c r="K53" s="43">
        <f t="shared" si="4"/>
        <v>0</v>
      </c>
      <c r="L53" s="40"/>
      <c r="M53" s="42">
        <f>MROUND($M$4/100*C53,500)</f>
        <v>0</v>
      </c>
      <c r="N53" s="40">
        <f>M53/100*F53</f>
        <v>0</v>
      </c>
      <c r="O53" s="40" t="e">
        <f>(M53-P53)/M53*100</f>
        <v>#DIV/0!</v>
      </c>
      <c r="P53" s="43">
        <f>M53-N53</f>
        <v>0</v>
      </c>
      <c r="Q53" s="40"/>
      <c r="R53" s="42">
        <f>MROUND($R$4/100*C53,500)</f>
        <v>0</v>
      </c>
      <c r="S53" s="40">
        <f t="shared" si="5"/>
        <v>0</v>
      </c>
      <c r="T53" s="40" t="e">
        <f t="shared" si="6"/>
        <v>#DIV/0!</v>
      </c>
      <c r="U53" s="43">
        <f t="shared" si="7"/>
        <v>0</v>
      </c>
      <c r="V53" s="40"/>
      <c r="W53" s="42">
        <f t="shared" si="8"/>
        <v>0</v>
      </c>
      <c r="X53" s="40">
        <f t="shared" si="9"/>
        <v>0</v>
      </c>
      <c r="Y53" s="40" t="e">
        <f t="shared" si="10"/>
        <v>#DIV/0!</v>
      </c>
      <c r="Z53" s="43">
        <f t="shared" si="11"/>
        <v>0</v>
      </c>
      <c r="AA53" s="40"/>
      <c r="AB53" s="42">
        <f t="shared" si="12"/>
        <v>0</v>
      </c>
      <c r="AC53" s="40">
        <f t="shared" si="13"/>
        <v>0</v>
      </c>
      <c r="AD53" s="40" t="e">
        <f t="shared" si="14"/>
        <v>#DIV/0!</v>
      </c>
      <c r="AE53" s="43">
        <f t="shared" si="15"/>
        <v>0</v>
      </c>
      <c r="AF53" s="40"/>
    </row>
    <row r="54" spans="1:32" s="41" customFormat="1" ht="20.100000000000001" customHeight="1" x14ac:dyDescent="0.25">
      <c r="A54" s="80"/>
      <c r="B54" s="40">
        <v>10</v>
      </c>
      <c r="C54" s="40">
        <f t="shared" si="2"/>
        <v>1</v>
      </c>
      <c r="D54" s="41" t="s">
        <v>53</v>
      </c>
      <c r="E54" s="40">
        <v>2</v>
      </c>
      <c r="F54" s="40">
        <v>35</v>
      </c>
      <c r="G54" s="40"/>
      <c r="H54" s="42">
        <f>MROUND($H$4/100*C54,500)</f>
        <v>500</v>
      </c>
      <c r="I54" s="40">
        <f>H54/100*F54</f>
        <v>175</v>
      </c>
      <c r="J54" s="40">
        <f t="shared" si="3"/>
        <v>35</v>
      </c>
      <c r="K54" s="43">
        <f t="shared" si="4"/>
        <v>325</v>
      </c>
      <c r="L54" s="40"/>
      <c r="M54" s="42">
        <f>MROUND($M$4/100*C54,500)</f>
        <v>500</v>
      </c>
      <c r="N54" s="40">
        <f>M54/100*F54</f>
        <v>175</v>
      </c>
      <c r="O54" s="40">
        <f>(M54-P54)/M54*100</f>
        <v>35</v>
      </c>
      <c r="P54" s="43">
        <f>M54-N54</f>
        <v>325</v>
      </c>
      <c r="Q54" s="40"/>
      <c r="R54" s="42">
        <f>MROUND($R$4/100*C54,500)</f>
        <v>500</v>
      </c>
      <c r="S54" s="40">
        <f t="shared" si="5"/>
        <v>175</v>
      </c>
      <c r="T54" s="40">
        <f t="shared" si="6"/>
        <v>35</v>
      </c>
      <c r="U54" s="43">
        <f t="shared" si="7"/>
        <v>325</v>
      </c>
      <c r="V54" s="40"/>
      <c r="W54" s="42">
        <f t="shared" si="8"/>
        <v>500</v>
      </c>
      <c r="X54" s="40">
        <f t="shared" si="9"/>
        <v>175</v>
      </c>
      <c r="Y54" s="40">
        <f t="shared" si="10"/>
        <v>35</v>
      </c>
      <c r="Z54" s="43">
        <f t="shared" si="11"/>
        <v>325</v>
      </c>
      <c r="AA54" s="40"/>
      <c r="AB54" s="42">
        <f t="shared" si="12"/>
        <v>1000</v>
      </c>
      <c r="AC54" s="40">
        <f t="shared" si="13"/>
        <v>350</v>
      </c>
      <c r="AD54" s="40">
        <f t="shared" si="14"/>
        <v>35</v>
      </c>
      <c r="AE54" s="43">
        <f t="shared" si="15"/>
        <v>650</v>
      </c>
      <c r="AF54" s="40"/>
    </row>
    <row r="55" spans="1:32" s="41" customFormat="1" ht="16.5" customHeight="1" x14ac:dyDescent="0.25">
      <c r="B55" s="40"/>
      <c r="C55" s="40"/>
      <c r="E55" s="40"/>
      <c r="F55" s="40"/>
      <c r="G55" s="40"/>
      <c r="H55" s="42"/>
      <c r="I55" s="40"/>
      <c r="J55" s="40"/>
      <c r="K55" s="43"/>
      <c r="L55" s="40"/>
      <c r="M55" s="42"/>
      <c r="N55" s="40"/>
      <c r="O55" s="40"/>
      <c r="P55" s="43"/>
      <c r="Q55" s="40"/>
      <c r="R55" s="42"/>
      <c r="S55" s="40"/>
      <c r="T55" s="40"/>
      <c r="U55" s="43"/>
      <c r="V55" s="40"/>
      <c r="W55" s="42"/>
      <c r="X55" s="40"/>
      <c r="Y55" s="40"/>
      <c r="Z55" s="43"/>
      <c r="AA55" s="40"/>
      <c r="AB55" s="42"/>
      <c r="AC55" s="40"/>
      <c r="AD55" s="40"/>
      <c r="AE55" s="43"/>
      <c r="AF55" s="40"/>
    </row>
    <row r="56" spans="1:32" s="41" customFormat="1" ht="20.100000000000001" customHeight="1" x14ac:dyDescent="0.25">
      <c r="A56" s="80" t="s">
        <v>55</v>
      </c>
      <c r="B56" s="40">
        <v>8</v>
      </c>
      <c r="C56" s="40">
        <f t="shared" si="2"/>
        <v>1</v>
      </c>
      <c r="D56" s="41" t="s">
        <v>56</v>
      </c>
      <c r="E56" s="40">
        <v>6</v>
      </c>
      <c r="F56" s="40">
        <v>35</v>
      </c>
      <c r="G56" s="40"/>
      <c r="H56" s="42">
        <f>MROUND($H$4/100*C56,500)</f>
        <v>500</v>
      </c>
      <c r="I56" s="40">
        <f>H56/100*F56</f>
        <v>175</v>
      </c>
      <c r="J56" s="40">
        <f t="shared" si="3"/>
        <v>35</v>
      </c>
      <c r="K56" s="43">
        <f t="shared" si="4"/>
        <v>325</v>
      </c>
      <c r="L56" s="40"/>
      <c r="M56" s="42">
        <f>MROUND($M$4/100*C56,500)</f>
        <v>500</v>
      </c>
      <c r="N56" s="40">
        <f>M56/100*F56</f>
        <v>175</v>
      </c>
      <c r="O56" s="40">
        <f>(M56-P56)/M56*100</f>
        <v>35</v>
      </c>
      <c r="P56" s="43">
        <f>M56-N56</f>
        <v>325</v>
      </c>
      <c r="Q56" s="40"/>
      <c r="R56" s="42">
        <f>MROUND($R$4/100*C56,500)</f>
        <v>500</v>
      </c>
      <c r="S56" s="40">
        <f t="shared" si="5"/>
        <v>175</v>
      </c>
      <c r="T56" s="40">
        <f t="shared" si="6"/>
        <v>35</v>
      </c>
      <c r="U56" s="43">
        <f t="shared" si="7"/>
        <v>325</v>
      </c>
      <c r="V56" s="40"/>
      <c r="W56" s="42">
        <f t="shared" si="8"/>
        <v>500</v>
      </c>
      <c r="X56" s="40">
        <f t="shared" si="9"/>
        <v>175</v>
      </c>
      <c r="Y56" s="40">
        <f t="shared" si="10"/>
        <v>35</v>
      </c>
      <c r="Z56" s="43">
        <f t="shared" si="11"/>
        <v>325</v>
      </c>
      <c r="AA56" s="40"/>
      <c r="AB56" s="42">
        <f t="shared" si="12"/>
        <v>1000</v>
      </c>
      <c r="AC56" s="40">
        <f t="shared" si="13"/>
        <v>350</v>
      </c>
      <c r="AD56" s="40">
        <f t="shared" si="14"/>
        <v>35</v>
      </c>
      <c r="AE56" s="43">
        <f t="shared" si="15"/>
        <v>650</v>
      </c>
      <c r="AF56" s="40"/>
    </row>
    <row r="57" spans="1:32" s="41" customFormat="1" ht="20.100000000000001" customHeight="1" x14ac:dyDescent="0.25">
      <c r="A57" s="80"/>
      <c r="B57" s="40"/>
      <c r="C57" s="40">
        <f t="shared" si="2"/>
        <v>0</v>
      </c>
      <c r="D57" s="41" t="s">
        <v>57</v>
      </c>
      <c r="E57" s="40">
        <v>6</v>
      </c>
      <c r="F57" s="40">
        <v>35</v>
      </c>
      <c r="G57" s="40"/>
      <c r="H57" s="42">
        <f>MROUND($H$4/100*C57,500)</f>
        <v>0</v>
      </c>
      <c r="I57" s="40">
        <f>H57/100*F57</f>
        <v>0</v>
      </c>
      <c r="J57" s="40" t="e">
        <f t="shared" si="3"/>
        <v>#DIV/0!</v>
      </c>
      <c r="K57" s="43">
        <f t="shared" si="4"/>
        <v>0</v>
      </c>
      <c r="L57" s="40"/>
      <c r="M57" s="42">
        <f>MROUND($M$4/100*C57,500)</f>
        <v>0</v>
      </c>
      <c r="N57" s="40">
        <f>M57/100*F57</f>
        <v>0</v>
      </c>
      <c r="O57" s="40" t="e">
        <f>(M57-P57)/M57*100</f>
        <v>#DIV/0!</v>
      </c>
      <c r="P57" s="43">
        <f>M57-N57</f>
        <v>0</v>
      </c>
      <c r="Q57" s="40"/>
      <c r="R57" s="42">
        <f>MROUND($R$4/100*C57,500)</f>
        <v>0</v>
      </c>
      <c r="S57" s="40">
        <f t="shared" si="5"/>
        <v>0</v>
      </c>
      <c r="T57" s="40" t="e">
        <f t="shared" si="6"/>
        <v>#DIV/0!</v>
      </c>
      <c r="U57" s="43">
        <f t="shared" si="7"/>
        <v>0</v>
      </c>
      <c r="V57" s="40"/>
      <c r="W57" s="42">
        <f t="shared" si="8"/>
        <v>0</v>
      </c>
      <c r="X57" s="40">
        <f t="shared" si="9"/>
        <v>0</v>
      </c>
      <c r="Y57" s="40" t="e">
        <f t="shared" si="10"/>
        <v>#DIV/0!</v>
      </c>
      <c r="Z57" s="43">
        <f t="shared" si="11"/>
        <v>0</v>
      </c>
      <c r="AA57" s="40"/>
      <c r="AB57" s="42">
        <f t="shared" si="12"/>
        <v>0</v>
      </c>
      <c r="AC57" s="40">
        <f t="shared" si="13"/>
        <v>0</v>
      </c>
      <c r="AD57" s="40" t="e">
        <f t="shared" si="14"/>
        <v>#DIV/0!</v>
      </c>
      <c r="AE57" s="43">
        <f t="shared" si="15"/>
        <v>0</v>
      </c>
      <c r="AF57" s="40"/>
    </row>
    <row r="58" spans="1:32" s="41" customFormat="1" ht="20.100000000000001" customHeight="1" x14ac:dyDescent="0.25">
      <c r="A58" s="80"/>
      <c r="B58" s="40"/>
      <c r="C58" s="40">
        <f t="shared" si="2"/>
        <v>0</v>
      </c>
      <c r="D58" s="41" t="s">
        <v>58</v>
      </c>
      <c r="E58" s="40">
        <v>6</v>
      </c>
      <c r="F58" s="40">
        <v>35</v>
      </c>
      <c r="G58" s="40"/>
      <c r="H58" s="42">
        <f>MROUND($H$4/100*C58,500)</f>
        <v>0</v>
      </c>
      <c r="I58" s="40">
        <f>H58/100*F58</f>
        <v>0</v>
      </c>
      <c r="J58" s="40" t="e">
        <f t="shared" si="3"/>
        <v>#DIV/0!</v>
      </c>
      <c r="K58" s="43">
        <f t="shared" si="4"/>
        <v>0</v>
      </c>
      <c r="L58" s="40"/>
      <c r="M58" s="42">
        <f>MROUND($M$4/100*C58,500)</f>
        <v>0</v>
      </c>
      <c r="N58" s="40">
        <f>M58/100*F58</f>
        <v>0</v>
      </c>
      <c r="O58" s="40" t="e">
        <f>(M58-P58)/M58*100</f>
        <v>#DIV/0!</v>
      </c>
      <c r="P58" s="43">
        <f>M58-N58</f>
        <v>0</v>
      </c>
      <c r="Q58" s="40"/>
      <c r="R58" s="42">
        <f>MROUND($R$4/100*C58,500)</f>
        <v>0</v>
      </c>
      <c r="S58" s="40">
        <f t="shared" si="5"/>
        <v>0</v>
      </c>
      <c r="T58" s="40" t="e">
        <f t="shared" si="6"/>
        <v>#DIV/0!</v>
      </c>
      <c r="U58" s="43">
        <f t="shared" si="7"/>
        <v>0</v>
      </c>
      <c r="V58" s="40"/>
      <c r="W58" s="42">
        <f t="shared" si="8"/>
        <v>0</v>
      </c>
      <c r="X58" s="40">
        <f t="shared" si="9"/>
        <v>0</v>
      </c>
      <c r="Y58" s="40" t="e">
        <f t="shared" si="10"/>
        <v>#DIV/0!</v>
      </c>
      <c r="Z58" s="43">
        <f t="shared" si="11"/>
        <v>0</v>
      </c>
      <c r="AA58" s="40"/>
      <c r="AB58" s="42">
        <f t="shared" si="12"/>
        <v>0</v>
      </c>
      <c r="AC58" s="40">
        <f t="shared" si="13"/>
        <v>0</v>
      </c>
      <c r="AD58" s="40" t="e">
        <f t="shared" si="14"/>
        <v>#DIV/0!</v>
      </c>
      <c r="AE58" s="43">
        <f t="shared" si="15"/>
        <v>0</v>
      </c>
      <c r="AF58" s="40"/>
    </row>
    <row r="59" spans="1:32" s="41" customFormat="1" ht="20.100000000000001" customHeight="1" x14ac:dyDescent="0.25">
      <c r="A59" s="80"/>
      <c r="B59" s="40">
        <v>8</v>
      </c>
      <c r="C59" s="40">
        <f t="shared" si="2"/>
        <v>1</v>
      </c>
      <c r="D59" s="41" t="s">
        <v>59</v>
      </c>
      <c r="E59" s="40">
        <v>6</v>
      </c>
      <c r="F59" s="40">
        <v>35</v>
      </c>
      <c r="G59" s="40"/>
      <c r="H59" s="42">
        <f>MROUND($H$4/100*C59,500)</f>
        <v>500</v>
      </c>
      <c r="I59" s="40">
        <f>H59/100*F59</f>
        <v>175</v>
      </c>
      <c r="J59" s="40">
        <f t="shared" si="3"/>
        <v>35</v>
      </c>
      <c r="K59" s="43">
        <f t="shared" si="4"/>
        <v>325</v>
      </c>
      <c r="L59" s="40"/>
      <c r="M59" s="42">
        <f>MROUND($M$4/100*C59,500)</f>
        <v>500</v>
      </c>
      <c r="N59" s="40">
        <f>M59/100*F59</f>
        <v>175</v>
      </c>
      <c r="O59" s="40">
        <f>(M59-P59)/M59*100</f>
        <v>35</v>
      </c>
      <c r="P59" s="43">
        <f>M59-N59</f>
        <v>325</v>
      </c>
      <c r="Q59" s="40"/>
      <c r="R59" s="42">
        <f>MROUND($R$4/100*C59,500)</f>
        <v>500</v>
      </c>
      <c r="S59" s="40">
        <f t="shared" si="5"/>
        <v>175</v>
      </c>
      <c r="T59" s="40">
        <f t="shared" si="6"/>
        <v>35</v>
      </c>
      <c r="U59" s="43">
        <f t="shared" si="7"/>
        <v>325</v>
      </c>
      <c r="V59" s="40"/>
      <c r="W59" s="42">
        <f t="shared" si="8"/>
        <v>500</v>
      </c>
      <c r="X59" s="40">
        <f t="shared" si="9"/>
        <v>175</v>
      </c>
      <c r="Y59" s="40">
        <f t="shared" si="10"/>
        <v>35</v>
      </c>
      <c r="Z59" s="43">
        <f t="shared" si="11"/>
        <v>325</v>
      </c>
      <c r="AA59" s="40"/>
      <c r="AB59" s="42">
        <f t="shared" si="12"/>
        <v>1000</v>
      </c>
      <c r="AC59" s="40">
        <f t="shared" si="13"/>
        <v>350</v>
      </c>
      <c r="AD59" s="40">
        <f t="shared" si="14"/>
        <v>35</v>
      </c>
      <c r="AE59" s="43">
        <f t="shared" si="15"/>
        <v>650</v>
      </c>
      <c r="AF59" s="40"/>
    </row>
    <row r="60" spans="1:32" s="41" customFormat="1" ht="20.100000000000001" customHeight="1" x14ac:dyDescent="0.25">
      <c r="B60" s="40"/>
      <c r="C60" s="40"/>
      <c r="E60" s="40"/>
      <c r="F60" s="40"/>
      <c r="G60" s="40"/>
      <c r="H60" s="42"/>
      <c r="I60" s="40"/>
      <c r="J60" s="40"/>
      <c r="K60" s="43"/>
      <c r="L60" s="40"/>
      <c r="M60" s="42"/>
      <c r="N60" s="40"/>
      <c r="O60" s="40"/>
      <c r="P60" s="43"/>
      <c r="Q60" s="40"/>
      <c r="R60" s="42"/>
      <c r="S60" s="40"/>
      <c r="T60" s="40"/>
      <c r="U60" s="43"/>
      <c r="V60" s="40"/>
      <c r="W60" s="42"/>
      <c r="X60" s="40"/>
      <c r="Y60" s="40"/>
      <c r="Z60" s="43"/>
      <c r="AA60" s="40"/>
      <c r="AB60" s="42"/>
      <c r="AC60" s="40"/>
      <c r="AD60" s="40"/>
      <c r="AE60" s="43"/>
      <c r="AF60" s="40"/>
    </row>
    <row r="61" spans="1:32" s="41" customFormat="1" ht="20.100000000000001" customHeight="1" x14ac:dyDescent="0.25">
      <c r="A61" s="80" t="s">
        <v>60</v>
      </c>
      <c r="B61" s="40">
        <v>7</v>
      </c>
      <c r="C61" s="40">
        <f t="shared" si="2"/>
        <v>1</v>
      </c>
      <c r="D61" s="41" t="s">
        <v>61</v>
      </c>
      <c r="E61" s="40">
        <v>2</v>
      </c>
      <c r="F61" s="40">
        <v>35</v>
      </c>
      <c r="G61" s="40"/>
      <c r="H61" s="42">
        <f>MROUND($H$4/100*C61,500)</f>
        <v>500</v>
      </c>
      <c r="I61" s="40">
        <f>H61/100*F61</f>
        <v>175</v>
      </c>
      <c r="J61" s="40">
        <f t="shared" si="3"/>
        <v>35</v>
      </c>
      <c r="K61" s="43">
        <f t="shared" si="4"/>
        <v>325</v>
      </c>
      <c r="L61" s="40"/>
      <c r="M61" s="42">
        <f>MROUND($M$4/100*C61,500)</f>
        <v>500</v>
      </c>
      <c r="N61" s="40">
        <f>M61/100*F61</f>
        <v>175</v>
      </c>
      <c r="O61" s="40">
        <f>(M61-P61)/M61*100</f>
        <v>35</v>
      </c>
      <c r="P61" s="43">
        <f>M61-N61</f>
        <v>325</v>
      </c>
      <c r="Q61" s="40"/>
      <c r="R61" s="42">
        <f>MROUND($R$4/100*C61,500)</f>
        <v>500</v>
      </c>
      <c r="S61" s="40">
        <f t="shared" si="5"/>
        <v>175</v>
      </c>
      <c r="T61" s="40">
        <f t="shared" si="6"/>
        <v>35</v>
      </c>
      <c r="U61" s="43">
        <f t="shared" si="7"/>
        <v>325</v>
      </c>
      <c r="V61" s="40"/>
      <c r="W61" s="42">
        <f t="shared" si="8"/>
        <v>500</v>
      </c>
      <c r="X61" s="40">
        <f t="shared" si="9"/>
        <v>175</v>
      </c>
      <c r="Y61" s="40">
        <f t="shared" si="10"/>
        <v>35</v>
      </c>
      <c r="Z61" s="43">
        <f t="shared" si="11"/>
        <v>325</v>
      </c>
      <c r="AA61" s="40"/>
      <c r="AB61" s="42">
        <f t="shared" si="12"/>
        <v>1000</v>
      </c>
      <c r="AC61" s="40">
        <f t="shared" si="13"/>
        <v>350</v>
      </c>
      <c r="AD61" s="40">
        <f t="shared" si="14"/>
        <v>35</v>
      </c>
      <c r="AE61" s="43">
        <f t="shared" si="15"/>
        <v>650</v>
      </c>
      <c r="AF61" s="40"/>
    </row>
    <row r="62" spans="1:32" s="41" customFormat="1" ht="20.100000000000001" customHeight="1" x14ac:dyDescent="0.25">
      <c r="A62" s="80"/>
      <c r="B62" s="40">
        <v>7</v>
      </c>
      <c r="C62" s="40">
        <f t="shared" si="2"/>
        <v>1</v>
      </c>
      <c r="D62" s="41" t="s">
        <v>62</v>
      </c>
      <c r="E62" s="40">
        <v>2</v>
      </c>
      <c r="F62" s="40">
        <v>35</v>
      </c>
      <c r="G62" s="40"/>
      <c r="H62" s="42">
        <f>MROUND($H$4/100*C62,500)</f>
        <v>500</v>
      </c>
      <c r="I62" s="40">
        <f>H62/100*F62</f>
        <v>175</v>
      </c>
      <c r="J62" s="40">
        <f t="shared" si="3"/>
        <v>35</v>
      </c>
      <c r="K62" s="43">
        <f t="shared" si="4"/>
        <v>325</v>
      </c>
      <c r="L62" s="40"/>
      <c r="M62" s="42">
        <f>MROUND($M$4/100*C62,500)</f>
        <v>500</v>
      </c>
      <c r="N62" s="40">
        <f>M62/100*F62</f>
        <v>175</v>
      </c>
      <c r="O62" s="40">
        <f>(M62-P62)/M62*100</f>
        <v>35</v>
      </c>
      <c r="P62" s="43">
        <f>M62-N62</f>
        <v>325</v>
      </c>
      <c r="Q62" s="40"/>
      <c r="R62" s="42">
        <f>MROUND($R$4/100*C62,500)</f>
        <v>500</v>
      </c>
      <c r="S62" s="40">
        <f t="shared" si="5"/>
        <v>175</v>
      </c>
      <c r="T62" s="40">
        <f t="shared" si="6"/>
        <v>35</v>
      </c>
      <c r="U62" s="43">
        <f t="shared" si="7"/>
        <v>325</v>
      </c>
      <c r="V62" s="40"/>
      <c r="W62" s="42">
        <f t="shared" si="8"/>
        <v>500</v>
      </c>
      <c r="X62" s="40">
        <f t="shared" si="9"/>
        <v>175</v>
      </c>
      <c r="Y62" s="40">
        <f t="shared" si="10"/>
        <v>35</v>
      </c>
      <c r="Z62" s="43">
        <f t="shared" si="11"/>
        <v>325</v>
      </c>
      <c r="AA62" s="40"/>
      <c r="AB62" s="42">
        <f t="shared" si="12"/>
        <v>1000</v>
      </c>
      <c r="AC62" s="40">
        <f t="shared" si="13"/>
        <v>350</v>
      </c>
      <c r="AD62" s="40">
        <f t="shared" si="14"/>
        <v>35</v>
      </c>
      <c r="AE62" s="43">
        <f t="shared" si="15"/>
        <v>650</v>
      </c>
      <c r="AF62" s="40"/>
    </row>
    <row r="63" spans="1:32" s="41" customFormat="1" ht="20.100000000000001" customHeight="1" x14ac:dyDescent="0.25">
      <c r="B63" s="40"/>
      <c r="C63" s="40"/>
      <c r="E63" s="40"/>
      <c r="F63" s="40"/>
      <c r="G63" s="40"/>
      <c r="H63" s="42"/>
      <c r="I63" s="40"/>
      <c r="J63" s="40"/>
      <c r="K63" s="43"/>
      <c r="L63" s="40"/>
      <c r="M63" s="42"/>
      <c r="N63" s="40"/>
      <c r="O63" s="40"/>
      <c r="P63" s="43"/>
      <c r="Q63" s="40"/>
      <c r="R63" s="42"/>
      <c r="S63" s="40"/>
      <c r="T63" s="40"/>
      <c r="U63" s="43"/>
      <c r="V63" s="40"/>
      <c r="W63" s="42"/>
      <c r="X63" s="40"/>
      <c r="Y63" s="40"/>
      <c r="Z63" s="43"/>
      <c r="AA63" s="40"/>
      <c r="AB63" s="42"/>
      <c r="AC63" s="40"/>
      <c r="AD63" s="40"/>
      <c r="AE63" s="43"/>
      <c r="AF63" s="40"/>
    </row>
    <row r="64" spans="1:32" s="41" customFormat="1" ht="20.100000000000001" customHeight="1" x14ac:dyDescent="0.25">
      <c r="A64" s="80" t="s">
        <v>63</v>
      </c>
      <c r="B64" s="40">
        <v>10</v>
      </c>
      <c r="C64" s="40">
        <f t="shared" si="2"/>
        <v>1</v>
      </c>
      <c r="D64" s="41" t="s">
        <v>64</v>
      </c>
      <c r="E64" s="40">
        <v>1</v>
      </c>
      <c r="F64" s="40">
        <v>35</v>
      </c>
      <c r="G64" s="40"/>
      <c r="H64" s="42">
        <f>MROUND($H$4/100*C64,500)</f>
        <v>500</v>
      </c>
      <c r="I64" s="40">
        <f>H64/100*F64</f>
        <v>175</v>
      </c>
      <c r="J64" s="40">
        <f t="shared" si="3"/>
        <v>35</v>
      </c>
      <c r="K64" s="43">
        <f t="shared" si="4"/>
        <v>325</v>
      </c>
      <c r="L64" s="40"/>
      <c r="M64" s="42">
        <f>MROUND($M$4/100*C64,500)</f>
        <v>500</v>
      </c>
      <c r="N64" s="40">
        <f>M64/100*F64</f>
        <v>175</v>
      </c>
      <c r="O64" s="40">
        <f>(M64-P64)/M64*100</f>
        <v>35</v>
      </c>
      <c r="P64" s="43">
        <f>M64-N64</f>
        <v>325</v>
      </c>
      <c r="Q64" s="40"/>
      <c r="R64" s="42">
        <f>MROUND($R$4/100*C64,500)</f>
        <v>500</v>
      </c>
      <c r="S64" s="40">
        <f t="shared" si="5"/>
        <v>175</v>
      </c>
      <c r="T64" s="40">
        <f t="shared" si="6"/>
        <v>35</v>
      </c>
      <c r="U64" s="43">
        <f t="shared" si="7"/>
        <v>325</v>
      </c>
      <c r="V64" s="40"/>
      <c r="W64" s="42">
        <f t="shared" si="8"/>
        <v>500</v>
      </c>
      <c r="X64" s="40">
        <f t="shared" si="9"/>
        <v>175</v>
      </c>
      <c r="Y64" s="40">
        <f t="shared" si="10"/>
        <v>35</v>
      </c>
      <c r="Z64" s="43">
        <f t="shared" si="11"/>
        <v>325</v>
      </c>
      <c r="AA64" s="40"/>
      <c r="AB64" s="42">
        <f t="shared" si="12"/>
        <v>1000</v>
      </c>
      <c r="AC64" s="40">
        <f t="shared" si="13"/>
        <v>350</v>
      </c>
      <c r="AD64" s="40">
        <f t="shared" si="14"/>
        <v>35</v>
      </c>
      <c r="AE64" s="43">
        <f t="shared" si="15"/>
        <v>650</v>
      </c>
      <c r="AF64" s="40"/>
    </row>
    <row r="65" spans="1:33" s="41" customFormat="1" ht="20.100000000000001" customHeight="1" x14ac:dyDescent="0.25">
      <c r="A65" s="80"/>
      <c r="B65" s="40">
        <v>10</v>
      </c>
      <c r="C65" s="40">
        <f t="shared" si="2"/>
        <v>1</v>
      </c>
      <c r="D65" s="41" t="s">
        <v>65</v>
      </c>
      <c r="E65" s="40">
        <v>1</v>
      </c>
      <c r="F65" s="40">
        <v>35</v>
      </c>
      <c r="G65" s="40"/>
      <c r="H65" s="42">
        <f>MROUND($H$4/100*C65,500)</f>
        <v>500</v>
      </c>
      <c r="I65" s="40">
        <f>H65/100*F65</f>
        <v>175</v>
      </c>
      <c r="J65" s="40">
        <f t="shared" si="3"/>
        <v>35</v>
      </c>
      <c r="K65" s="43">
        <f t="shared" si="4"/>
        <v>325</v>
      </c>
      <c r="L65" s="40"/>
      <c r="M65" s="42">
        <f>MROUND($M$4/100*C65,500)</f>
        <v>500</v>
      </c>
      <c r="N65" s="40">
        <f>M65/100*F65</f>
        <v>175</v>
      </c>
      <c r="O65" s="40">
        <f>(M65-P65)/M65*100</f>
        <v>35</v>
      </c>
      <c r="P65" s="43">
        <f>M65-N65</f>
        <v>325</v>
      </c>
      <c r="Q65" s="40"/>
      <c r="R65" s="42">
        <f>MROUND($R$4/100*C65,500)</f>
        <v>500</v>
      </c>
      <c r="S65" s="40">
        <f t="shared" si="5"/>
        <v>175</v>
      </c>
      <c r="T65" s="40">
        <f t="shared" si="6"/>
        <v>35</v>
      </c>
      <c r="U65" s="43">
        <f t="shared" si="7"/>
        <v>325</v>
      </c>
      <c r="V65" s="40"/>
      <c r="W65" s="42">
        <f t="shared" si="8"/>
        <v>500</v>
      </c>
      <c r="X65" s="40">
        <f t="shared" si="9"/>
        <v>175</v>
      </c>
      <c r="Y65" s="40">
        <f t="shared" si="10"/>
        <v>35</v>
      </c>
      <c r="Z65" s="43">
        <f t="shared" si="11"/>
        <v>325</v>
      </c>
      <c r="AA65" s="40"/>
      <c r="AB65" s="42">
        <f t="shared" si="12"/>
        <v>1000</v>
      </c>
      <c r="AC65" s="40">
        <f t="shared" si="13"/>
        <v>350</v>
      </c>
      <c r="AD65" s="40">
        <f t="shared" si="14"/>
        <v>35</v>
      </c>
      <c r="AE65" s="43">
        <f t="shared" si="15"/>
        <v>650</v>
      </c>
      <c r="AF65" s="40"/>
    </row>
    <row r="66" spans="1:33" s="41" customFormat="1" ht="20.100000000000001" customHeight="1" x14ac:dyDescent="0.25">
      <c r="B66" s="40"/>
      <c r="C66" s="40"/>
      <c r="E66" s="40"/>
      <c r="F66" s="40"/>
      <c r="G66" s="40"/>
      <c r="H66" s="42"/>
      <c r="I66" s="40"/>
      <c r="J66" s="40"/>
      <c r="K66" s="43"/>
      <c r="L66" s="40"/>
      <c r="M66" s="42"/>
      <c r="N66" s="40"/>
      <c r="O66" s="40"/>
      <c r="P66" s="43"/>
      <c r="Q66" s="40"/>
      <c r="R66" s="42"/>
      <c r="S66" s="40"/>
      <c r="T66" s="40"/>
      <c r="U66" s="43"/>
      <c r="V66" s="40"/>
      <c r="W66" s="42"/>
      <c r="X66" s="40"/>
      <c r="Y66" s="40"/>
      <c r="Z66" s="43"/>
      <c r="AA66" s="40"/>
      <c r="AB66" s="42"/>
      <c r="AC66" s="40"/>
      <c r="AD66" s="40"/>
      <c r="AE66" s="43"/>
      <c r="AF66" s="40"/>
    </row>
    <row r="67" spans="1:33" s="41" customFormat="1" ht="20.100000000000001" customHeight="1" x14ac:dyDescent="0.25">
      <c r="A67" s="80" t="s">
        <v>66</v>
      </c>
      <c r="B67" s="40">
        <v>8</v>
      </c>
      <c r="C67" s="40">
        <f t="shared" si="2"/>
        <v>1</v>
      </c>
      <c r="D67" s="41" t="s">
        <v>67</v>
      </c>
      <c r="E67" s="40">
        <v>2</v>
      </c>
      <c r="F67" s="40">
        <v>35</v>
      </c>
      <c r="G67" s="40"/>
      <c r="H67" s="42">
        <f>MROUND($H$4/100*C67,500)</f>
        <v>500</v>
      </c>
      <c r="I67" s="40">
        <f>H67/100*F67</f>
        <v>175</v>
      </c>
      <c r="J67" s="40">
        <f t="shared" si="3"/>
        <v>35</v>
      </c>
      <c r="K67" s="43">
        <f t="shared" si="4"/>
        <v>325</v>
      </c>
      <c r="L67" s="40"/>
      <c r="M67" s="42">
        <f>MROUND($M$4/100*C67,500)</f>
        <v>500</v>
      </c>
      <c r="N67" s="40">
        <f>M67/100*F67</f>
        <v>175</v>
      </c>
      <c r="O67" s="40">
        <f>(M67-P67)/M67*100</f>
        <v>35</v>
      </c>
      <c r="P67" s="43">
        <f>M67-N67</f>
        <v>325</v>
      </c>
      <c r="Q67" s="40"/>
      <c r="R67" s="42">
        <f>MROUND($R$4/100*C67,500)</f>
        <v>500</v>
      </c>
      <c r="S67" s="40">
        <f t="shared" si="5"/>
        <v>175</v>
      </c>
      <c r="T67" s="40">
        <f t="shared" si="6"/>
        <v>35</v>
      </c>
      <c r="U67" s="43">
        <f t="shared" si="7"/>
        <v>325</v>
      </c>
      <c r="V67" s="40"/>
      <c r="W67" s="42">
        <f t="shared" si="8"/>
        <v>500</v>
      </c>
      <c r="X67" s="40">
        <f t="shared" si="9"/>
        <v>175</v>
      </c>
      <c r="Y67" s="40">
        <f t="shared" si="10"/>
        <v>35</v>
      </c>
      <c r="Z67" s="43">
        <f t="shared" si="11"/>
        <v>325</v>
      </c>
      <c r="AA67" s="40"/>
      <c r="AB67" s="42">
        <f t="shared" si="12"/>
        <v>1000</v>
      </c>
      <c r="AC67" s="40">
        <f t="shared" si="13"/>
        <v>350</v>
      </c>
      <c r="AD67" s="40">
        <f t="shared" si="14"/>
        <v>35</v>
      </c>
      <c r="AE67" s="43">
        <f t="shared" si="15"/>
        <v>650</v>
      </c>
      <c r="AF67" s="40"/>
    </row>
    <row r="68" spans="1:33" s="41" customFormat="1" ht="20.100000000000001" customHeight="1" x14ac:dyDescent="0.25">
      <c r="A68" s="80"/>
      <c r="B68" s="40">
        <v>8</v>
      </c>
      <c r="C68" s="40">
        <f t="shared" si="2"/>
        <v>1</v>
      </c>
      <c r="D68" s="41" t="s">
        <v>68</v>
      </c>
      <c r="E68" s="40">
        <v>2</v>
      </c>
      <c r="F68" s="40">
        <v>35</v>
      </c>
      <c r="G68" s="40"/>
      <c r="H68" s="42">
        <f>MROUND($H$4/100*C68,500)</f>
        <v>500</v>
      </c>
      <c r="I68" s="40">
        <f>H68/100*F68</f>
        <v>175</v>
      </c>
      <c r="J68" s="40">
        <f t="shared" si="3"/>
        <v>35</v>
      </c>
      <c r="K68" s="43">
        <f t="shared" si="4"/>
        <v>325</v>
      </c>
      <c r="L68" s="40"/>
      <c r="M68" s="42">
        <f>MROUND($M$4/100*C68,500)</f>
        <v>500</v>
      </c>
      <c r="N68" s="40">
        <f>M68/100*F68</f>
        <v>175</v>
      </c>
      <c r="O68" s="40">
        <f>(M68-P68)/M68*100</f>
        <v>35</v>
      </c>
      <c r="P68" s="43">
        <f>M68-N68</f>
        <v>325</v>
      </c>
      <c r="Q68" s="40"/>
      <c r="R68" s="42">
        <f>MROUND($R$4/100*C68,500)</f>
        <v>500</v>
      </c>
      <c r="S68" s="40">
        <f t="shared" si="5"/>
        <v>175</v>
      </c>
      <c r="T68" s="40">
        <f t="shared" si="6"/>
        <v>35</v>
      </c>
      <c r="U68" s="43">
        <f t="shared" si="7"/>
        <v>325</v>
      </c>
      <c r="V68" s="40"/>
      <c r="W68" s="42">
        <f t="shared" si="8"/>
        <v>500</v>
      </c>
      <c r="X68" s="40">
        <f t="shared" si="9"/>
        <v>175</v>
      </c>
      <c r="Y68" s="40">
        <f t="shared" si="10"/>
        <v>35</v>
      </c>
      <c r="Z68" s="43">
        <f t="shared" si="11"/>
        <v>325</v>
      </c>
      <c r="AA68" s="40"/>
      <c r="AB68" s="42">
        <f t="shared" si="12"/>
        <v>1000</v>
      </c>
      <c r="AC68" s="40">
        <f t="shared" si="13"/>
        <v>350</v>
      </c>
      <c r="AD68" s="40">
        <f t="shared" si="14"/>
        <v>35</v>
      </c>
      <c r="AE68" s="43">
        <f t="shared" si="15"/>
        <v>650</v>
      </c>
      <c r="AF68" s="40"/>
    </row>
    <row r="69" spans="1:33" s="41" customFormat="1" ht="20.100000000000001" customHeight="1" x14ac:dyDescent="0.25">
      <c r="B69" s="40"/>
      <c r="C69" s="40"/>
      <c r="E69" s="40"/>
      <c r="F69" s="40"/>
      <c r="G69" s="40"/>
      <c r="H69" s="42"/>
      <c r="I69" s="40"/>
      <c r="J69" s="40"/>
      <c r="K69" s="43"/>
      <c r="L69" s="40"/>
      <c r="M69" s="42"/>
      <c r="N69" s="40"/>
      <c r="O69" s="40"/>
      <c r="P69" s="43"/>
      <c r="Q69" s="40"/>
      <c r="R69" s="42"/>
      <c r="S69" s="40"/>
      <c r="T69" s="40"/>
      <c r="U69" s="43"/>
      <c r="V69" s="40"/>
      <c r="W69" s="42"/>
      <c r="X69" s="40"/>
      <c r="Y69" s="40"/>
      <c r="Z69" s="43"/>
      <c r="AA69" s="40"/>
      <c r="AB69" s="42"/>
      <c r="AC69" s="40"/>
      <c r="AD69" s="40"/>
      <c r="AE69" s="43"/>
      <c r="AF69" s="40"/>
    </row>
    <row r="70" spans="1:33" s="41" customFormat="1" ht="20.100000000000001" customHeight="1" x14ac:dyDescent="0.25">
      <c r="A70" s="80" t="s">
        <v>69</v>
      </c>
      <c r="B70" s="40">
        <v>8</v>
      </c>
      <c r="C70" s="40">
        <f t="shared" si="2"/>
        <v>1</v>
      </c>
      <c r="D70" s="41" t="s">
        <v>71</v>
      </c>
      <c r="E70" s="40">
        <v>2</v>
      </c>
      <c r="F70" s="40">
        <v>35</v>
      </c>
      <c r="G70" s="40"/>
      <c r="H70" s="42">
        <f>MROUND($H$4/100*C70,500)</f>
        <v>500</v>
      </c>
      <c r="I70" s="40">
        <f>H70/100*F70</f>
        <v>175</v>
      </c>
      <c r="J70" s="40">
        <f t="shared" si="3"/>
        <v>35</v>
      </c>
      <c r="K70" s="43">
        <f t="shared" si="4"/>
        <v>325</v>
      </c>
      <c r="L70" s="40"/>
      <c r="M70" s="42">
        <f>MROUND($M$4/100*C70,500)</f>
        <v>500</v>
      </c>
      <c r="N70" s="40">
        <f>M70/100*F70</f>
        <v>175</v>
      </c>
      <c r="O70" s="40">
        <f>(M70-P70)/M70*100</f>
        <v>35</v>
      </c>
      <c r="P70" s="43">
        <f>M70-N70</f>
        <v>325</v>
      </c>
      <c r="Q70" s="40"/>
      <c r="R70" s="42">
        <f>MROUND($R$4/100*C70,500)</f>
        <v>500</v>
      </c>
      <c r="S70" s="40">
        <f t="shared" si="5"/>
        <v>175</v>
      </c>
      <c r="T70" s="40">
        <f t="shared" si="6"/>
        <v>35</v>
      </c>
      <c r="U70" s="43">
        <f t="shared" si="7"/>
        <v>325</v>
      </c>
      <c r="V70" s="40"/>
      <c r="W70" s="42">
        <f t="shared" si="8"/>
        <v>500</v>
      </c>
      <c r="X70" s="40">
        <f t="shared" si="9"/>
        <v>175</v>
      </c>
      <c r="Y70" s="40">
        <f t="shared" si="10"/>
        <v>35</v>
      </c>
      <c r="Z70" s="43">
        <f t="shared" si="11"/>
        <v>325</v>
      </c>
      <c r="AA70" s="40"/>
      <c r="AB70" s="42">
        <f t="shared" si="12"/>
        <v>1000</v>
      </c>
      <c r="AC70" s="40">
        <f t="shared" si="13"/>
        <v>350</v>
      </c>
      <c r="AD70" s="40">
        <f t="shared" si="14"/>
        <v>35</v>
      </c>
      <c r="AE70" s="43">
        <f t="shared" si="15"/>
        <v>650</v>
      </c>
      <c r="AF70" s="40"/>
    </row>
    <row r="71" spans="1:33" s="41" customFormat="1" ht="20.100000000000001" customHeight="1" x14ac:dyDescent="0.25">
      <c r="A71" s="80"/>
      <c r="B71" s="40">
        <v>8</v>
      </c>
      <c r="C71" s="40">
        <f t="shared" si="2"/>
        <v>1</v>
      </c>
      <c r="D71" s="41" t="s">
        <v>70</v>
      </c>
      <c r="E71" s="40">
        <v>2</v>
      </c>
      <c r="F71" s="40">
        <v>35</v>
      </c>
      <c r="G71" s="40"/>
      <c r="H71" s="42">
        <f>MROUND($H$4/100*C71,500)</f>
        <v>500</v>
      </c>
      <c r="I71" s="40">
        <f>H71/100*F71</f>
        <v>175</v>
      </c>
      <c r="J71" s="40">
        <f t="shared" si="3"/>
        <v>35</v>
      </c>
      <c r="K71" s="43">
        <f t="shared" si="4"/>
        <v>325</v>
      </c>
      <c r="L71" s="40"/>
      <c r="M71" s="42">
        <f>MROUND($M$4/100*C71,500)</f>
        <v>500</v>
      </c>
      <c r="N71" s="40">
        <f>M71/100*F71</f>
        <v>175</v>
      </c>
      <c r="O71" s="40">
        <f>(M71-P71)/M71*100</f>
        <v>35</v>
      </c>
      <c r="P71" s="43">
        <f>M71-N71</f>
        <v>325</v>
      </c>
      <c r="Q71" s="40"/>
      <c r="R71" s="42">
        <f>MROUND($R$4/100*C71,500)</f>
        <v>500</v>
      </c>
      <c r="S71" s="40">
        <f t="shared" si="5"/>
        <v>175</v>
      </c>
      <c r="T71" s="40">
        <f t="shared" si="6"/>
        <v>35</v>
      </c>
      <c r="U71" s="43">
        <f t="shared" si="7"/>
        <v>325</v>
      </c>
      <c r="V71" s="40"/>
      <c r="W71" s="42">
        <f t="shared" si="8"/>
        <v>500</v>
      </c>
      <c r="X71" s="40">
        <f t="shared" si="9"/>
        <v>175</v>
      </c>
      <c r="Y71" s="40">
        <f t="shared" si="10"/>
        <v>35</v>
      </c>
      <c r="Z71" s="43">
        <f t="shared" si="11"/>
        <v>325</v>
      </c>
      <c r="AA71" s="40"/>
      <c r="AB71" s="42">
        <f t="shared" si="12"/>
        <v>1000</v>
      </c>
      <c r="AC71" s="40">
        <f t="shared" si="13"/>
        <v>350</v>
      </c>
      <c r="AD71" s="40">
        <f t="shared" si="14"/>
        <v>35</v>
      </c>
      <c r="AE71" s="43">
        <f t="shared" si="15"/>
        <v>650</v>
      </c>
      <c r="AF71" s="40"/>
    </row>
    <row r="72" spans="1:33" s="41" customFormat="1" ht="20.100000000000001" customHeight="1" x14ac:dyDescent="0.25">
      <c r="B72" s="40"/>
      <c r="C72" s="40"/>
      <c r="E72" s="40"/>
      <c r="F72" s="40"/>
      <c r="G72" s="40"/>
      <c r="H72" s="42"/>
      <c r="I72" s="40"/>
      <c r="J72" s="40"/>
      <c r="K72" s="43"/>
      <c r="L72" s="40"/>
      <c r="M72" s="42"/>
      <c r="N72" s="40"/>
      <c r="O72" s="40"/>
      <c r="P72" s="43"/>
      <c r="Q72" s="40"/>
      <c r="R72" s="42"/>
      <c r="S72" s="40"/>
      <c r="T72" s="40"/>
      <c r="U72" s="43"/>
      <c r="V72" s="40"/>
      <c r="W72" s="42"/>
      <c r="X72" s="40"/>
      <c r="Y72" s="40"/>
      <c r="Z72" s="43"/>
      <c r="AA72" s="40"/>
      <c r="AB72" s="42"/>
      <c r="AC72" s="40"/>
      <c r="AD72" s="40"/>
      <c r="AE72" s="43"/>
      <c r="AF72" s="40"/>
    </row>
    <row r="73" spans="1:33" s="41" customFormat="1" ht="20.100000000000001" customHeight="1" x14ac:dyDescent="0.25">
      <c r="A73" s="80" t="s">
        <v>72</v>
      </c>
      <c r="B73" s="40">
        <v>15</v>
      </c>
      <c r="C73" s="40">
        <f t="shared" ref="C73:C86" si="16">MROUND(B73*100/$B$2,0.5)</f>
        <v>1.5</v>
      </c>
      <c r="D73" s="41" t="s">
        <v>73</v>
      </c>
      <c r="E73" s="40">
        <v>1</v>
      </c>
      <c r="F73" s="40">
        <v>35</v>
      </c>
      <c r="G73" s="40"/>
      <c r="H73" s="42">
        <f>MROUND($H$4/100*C73,500)</f>
        <v>500</v>
      </c>
      <c r="I73" s="40">
        <f>H73/100*F73</f>
        <v>175</v>
      </c>
      <c r="J73" s="40">
        <f t="shared" ref="J73:J86" si="17">(H73-K73)/H73*100</f>
        <v>35</v>
      </c>
      <c r="K73" s="43">
        <f t="shared" ref="K73:K86" si="18">H73-I73</f>
        <v>325</v>
      </c>
      <c r="L73" s="40"/>
      <c r="M73" s="42">
        <f>MROUND($M$4/100*C73,500)</f>
        <v>500</v>
      </c>
      <c r="N73" s="40">
        <f>M73/100*F73</f>
        <v>175</v>
      </c>
      <c r="O73" s="40">
        <f>(M73-P73)/M73*100</f>
        <v>35</v>
      </c>
      <c r="P73" s="43">
        <f>M73-N73</f>
        <v>325</v>
      </c>
      <c r="Q73" s="40"/>
      <c r="R73" s="42">
        <f>MROUND($R$4/100*C73,500)</f>
        <v>500</v>
      </c>
      <c r="S73" s="40">
        <f t="shared" ref="S73:S86" si="19">R73/100*F73</f>
        <v>175</v>
      </c>
      <c r="T73" s="40">
        <f t="shared" ref="T73:T86" si="20">(R73-U73)/R73*100</f>
        <v>35</v>
      </c>
      <c r="U73" s="43">
        <f t="shared" ref="U73:U85" si="21">R73-S73</f>
        <v>325</v>
      </c>
      <c r="V73" s="40"/>
      <c r="W73" s="42">
        <f t="shared" ref="W73:W86" si="22">MROUND($W$4/100*C73,500)</f>
        <v>1000</v>
      </c>
      <c r="X73" s="40">
        <f t="shared" ref="X73:X86" si="23">W73/100*F73</f>
        <v>350</v>
      </c>
      <c r="Y73" s="40">
        <f t="shared" ref="Y73:Y86" si="24">(W73-Z73)/W73*100</f>
        <v>35</v>
      </c>
      <c r="Z73" s="43">
        <f t="shared" ref="Z73:Z86" si="25">W73-X73</f>
        <v>650</v>
      </c>
      <c r="AA73" s="40"/>
      <c r="AB73" s="42">
        <f t="shared" ref="AB73:AB86" si="26">MROUND($AB$4/100*C73,500)</f>
        <v>1500</v>
      </c>
      <c r="AC73" s="40">
        <f t="shared" ref="AC73:AC86" si="27">AB73/100*F73</f>
        <v>525</v>
      </c>
      <c r="AD73" s="40">
        <f t="shared" ref="AD73:AD86" si="28">(AB73-AE73)/AB73*100</f>
        <v>35</v>
      </c>
      <c r="AE73" s="43">
        <f t="shared" ref="AE73:AE86" si="29">AB73-AC73</f>
        <v>975</v>
      </c>
      <c r="AF73" s="40"/>
    </row>
    <row r="74" spans="1:33" s="41" customFormat="1" ht="20.100000000000001" customHeight="1" x14ac:dyDescent="0.25">
      <c r="A74" s="80"/>
      <c r="B74" s="40">
        <v>15</v>
      </c>
      <c r="C74" s="40">
        <f t="shared" si="16"/>
        <v>1.5</v>
      </c>
      <c r="D74" s="41" t="s">
        <v>74</v>
      </c>
      <c r="E74" s="40">
        <v>1</v>
      </c>
      <c r="F74" s="40">
        <v>35</v>
      </c>
      <c r="G74" s="40"/>
      <c r="H74" s="42">
        <f>MROUND($H$4/100*C74,500)</f>
        <v>500</v>
      </c>
      <c r="I74" s="40">
        <f>H74/100*F74</f>
        <v>175</v>
      </c>
      <c r="J74" s="40">
        <f t="shared" si="17"/>
        <v>35</v>
      </c>
      <c r="K74" s="43">
        <f t="shared" si="18"/>
        <v>325</v>
      </c>
      <c r="L74" s="40"/>
      <c r="M74" s="42">
        <f>MROUND($M$4/100*C74,500)</f>
        <v>500</v>
      </c>
      <c r="N74" s="40">
        <f>M74/100*F74</f>
        <v>175</v>
      </c>
      <c r="O74" s="40">
        <f>(M74-P74)/M74*100</f>
        <v>35</v>
      </c>
      <c r="P74" s="43">
        <f>M74-N74</f>
        <v>325</v>
      </c>
      <c r="Q74" s="40"/>
      <c r="R74" s="42">
        <f>MROUND($R$4/100*C74,500)</f>
        <v>500</v>
      </c>
      <c r="S74" s="40">
        <f t="shared" si="19"/>
        <v>175</v>
      </c>
      <c r="T74" s="40">
        <f t="shared" si="20"/>
        <v>35</v>
      </c>
      <c r="U74" s="43">
        <f t="shared" si="21"/>
        <v>325</v>
      </c>
      <c r="V74" s="40"/>
      <c r="W74" s="42">
        <f t="shared" si="22"/>
        <v>1000</v>
      </c>
      <c r="X74" s="40">
        <f t="shared" si="23"/>
        <v>350</v>
      </c>
      <c r="Y74" s="40">
        <f t="shared" si="24"/>
        <v>35</v>
      </c>
      <c r="Z74" s="43">
        <f t="shared" si="25"/>
        <v>650</v>
      </c>
      <c r="AA74" s="40"/>
      <c r="AB74" s="42">
        <f t="shared" si="26"/>
        <v>1500</v>
      </c>
      <c r="AC74" s="40">
        <f t="shared" si="27"/>
        <v>525</v>
      </c>
      <c r="AD74" s="40">
        <f t="shared" si="28"/>
        <v>35</v>
      </c>
      <c r="AE74" s="43">
        <f t="shared" si="29"/>
        <v>975</v>
      </c>
      <c r="AF74" s="40"/>
    </row>
    <row r="75" spans="1:33" s="41" customFormat="1" ht="20.100000000000001" customHeight="1" x14ac:dyDescent="0.25">
      <c r="B75" s="40"/>
      <c r="C75" s="40"/>
      <c r="E75" s="40"/>
      <c r="F75" s="40"/>
      <c r="G75" s="40"/>
      <c r="H75" s="42"/>
      <c r="I75" s="40"/>
      <c r="J75" s="40"/>
      <c r="K75" s="43"/>
      <c r="L75" s="40"/>
      <c r="M75" s="42"/>
      <c r="N75" s="40"/>
      <c r="O75" s="40"/>
      <c r="P75" s="43"/>
      <c r="Q75" s="40"/>
      <c r="R75" s="42"/>
      <c r="S75" s="40"/>
      <c r="T75" s="40"/>
      <c r="U75" s="43"/>
      <c r="V75" s="40"/>
      <c r="W75" s="42"/>
      <c r="X75" s="40"/>
      <c r="Y75" s="40"/>
      <c r="Z75" s="43"/>
      <c r="AA75" s="40"/>
      <c r="AB75" s="42"/>
      <c r="AC75" s="40"/>
      <c r="AD75" s="40"/>
      <c r="AE75" s="43"/>
      <c r="AF75" s="40"/>
    </row>
    <row r="76" spans="1:33" s="21" customFormat="1" ht="20.100000000000001" customHeight="1" x14ac:dyDescent="0.25">
      <c r="A76" s="80" t="s">
        <v>75</v>
      </c>
      <c r="B76" s="40">
        <v>20</v>
      </c>
      <c r="C76" s="40">
        <f t="shared" si="16"/>
        <v>2.5</v>
      </c>
      <c r="D76" s="41" t="s">
        <v>76</v>
      </c>
      <c r="E76" s="40">
        <v>4</v>
      </c>
      <c r="F76" s="40">
        <v>35</v>
      </c>
      <c r="G76" s="40"/>
      <c r="H76" s="42">
        <f>MROUND($H$4/100*C76,500)</f>
        <v>1000</v>
      </c>
      <c r="I76" s="40">
        <f>H76/100*F76</f>
        <v>350</v>
      </c>
      <c r="J76" s="40">
        <f t="shared" si="17"/>
        <v>35</v>
      </c>
      <c r="K76" s="43">
        <f t="shared" si="18"/>
        <v>650</v>
      </c>
      <c r="L76" s="40"/>
      <c r="M76" s="42">
        <f>MROUND($M$4/100*C76,500)</f>
        <v>1000</v>
      </c>
      <c r="N76" s="40">
        <f>M76/100*F76</f>
        <v>350</v>
      </c>
      <c r="O76" s="40">
        <f>(M76-P76)/M76*100</f>
        <v>35</v>
      </c>
      <c r="P76" s="43">
        <f>M76-N76</f>
        <v>650</v>
      </c>
      <c r="Q76" s="40"/>
      <c r="R76" s="42">
        <f>MROUND($R$4/100*C76,500)</f>
        <v>1000</v>
      </c>
      <c r="S76" s="40">
        <f t="shared" si="19"/>
        <v>350</v>
      </c>
      <c r="T76" s="40">
        <f t="shared" si="20"/>
        <v>35</v>
      </c>
      <c r="U76" s="43">
        <f t="shared" si="21"/>
        <v>650</v>
      </c>
      <c r="V76" s="40"/>
      <c r="W76" s="42">
        <f t="shared" si="22"/>
        <v>1500</v>
      </c>
      <c r="X76" s="40">
        <f t="shared" si="23"/>
        <v>525</v>
      </c>
      <c r="Y76" s="40">
        <f t="shared" si="24"/>
        <v>35</v>
      </c>
      <c r="Z76" s="43">
        <f t="shared" si="25"/>
        <v>975</v>
      </c>
      <c r="AA76" s="40"/>
      <c r="AB76" s="42">
        <f t="shared" si="26"/>
        <v>2000</v>
      </c>
      <c r="AC76" s="40">
        <f t="shared" si="27"/>
        <v>700</v>
      </c>
      <c r="AD76" s="40">
        <f t="shared" si="28"/>
        <v>35</v>
      </c>
      <c r="AE76" s="43">
        <f t="shared" si="29"/>
        <v>1300</v>
      </c>
      <c r="AF76" s="40"/>
      <c r="AG76" s="41"/>
    </row>
    <row r="77" spans="1:33" s="21" customFormat="1" ht="20.100000000000001" customHeight="1" x14ac:dyDescent="0.25">
      <c r="A77" s="80"/>
      <c r="B77" s="40">
        <v>20</v>
      </c>
      <c r="C77" s="40">
        <f t="shared" si="16"/>
        <v>2.5</v>
      </c>
      <c r="D77" s="41" t="s">
        <v>77</v>
      </c>
      <c r="E77" s="40">
        <v>4</v>
      </c>
      <c r="F77" s="40">
        <v>35</v>
      </c>
      <c r="G77" s="40"/>
      <c r="H77" s="42">
        <f>MROUND($H$4/100*C77,500)</f>
        <v>1000</v>
      </c>
      <c r="I77" s="40">
        <f>H77/100*F77</f>
        <v>350</v>
      </c>
      <c r="J77" s="40">
        <f t="shared" si="17"/>
        <v>35</v>
      </c>
      <c r="K77" s="43">
        <f t="shared" si="18"/>
        <v>650</v>
      </c>
      <c r="L77" s="40"/>
      <c r="M77" s="42">
        <f>MROUND($M$4/100*C77,500)</f>
        <v>1000</v>
      </c>
      <c r="N77" s="40">
        <f>M77/100*F77</f>
        <v>350</v>
      </c>
      <c r="O77" s="40">
        <f>(M77-P77)/M77*100</f>
        <v>35</v>
      </c>
      <c r="P77" s="43">
        <f>M77-N77</f>
        <v>650</v>
      </c>
      <c r="Q77" s="40"/>
      <c r="R77" s="42">
        <f>MROUND($R$4/100*C77,500)</f>
        <v>1000</v>
      </c>
      <c r="S77" s="40">
        <f t="shared" si="19"/>
        <v>350</v>
      </c>
      <c r="T77" s="40">
        <f t="shared" si="20"/>
        <v>35</v>
      </c>
      <c r="U77" s="43">
        <f t="shared" si="21"/>
        <v>650</v>
      </c>
      <c r="V77" s="40"/>
      <c r="W77" s="42">
        <f t="shared" si="22"/>
        <v>1500</v>
      </c>
      <c r="X77" s="40">
        <f t="shared" si="23"/>
        <v>525</v>
      </c>
      <c r="Y77" s="40">
        <f t="shared" si="24"/>
        <v>35</v>
      </c>
      <c r="Z77" s="43">
        <f t="shared" si="25"/>
        <v>975</v>
      </c>
      <c r="AA77" s="40"/>
      <c r="AB77" s="42">
        <f t="shared" si="26"/>
        <v>2000</v>
      </c>
      <c r="AC77" s="40">
        <f t="shared" si="27"/>
        <v>700</v>
      </c>
      <c r="AD77" s="40">
        <f t="shared" si="28"/>
        <v>35</v>
      </c>
      <c r="AE77" s="43">
        <f t="shared" si="29"/>
        <v>1300</v>
      </c>
      <c r="AF77" s="40"/>
      <c r="AG77" s="41"/>
    </row>
    <row r="78" spans="1:33" s="3" customFormat="1" ht="20.100000000000001" customHeight="1" x14ac:dyDescent="0.25">
      <c r="A78" s="41"/>
      <c r="B78" s="40"/>
      <c r="C78" s="40"/>
      <c r="D78" s="41"/>
      <c r="E78" s="40"/>
      <c r="F78" s="40"/>
      <c r="G78" s="40"/>
      <c r="H78" s="42"/>
      <c r="I78" s="40"/>
      <c r="J78" s="40"/>
      <c r="K78" s="43"/>
      <c r="L78" s="40"/>
      <c r="M78" s="42"/>
      <c r="N78" s="40"/>
      <c r="O78" s="40"/>
      <c r="P78" s="43"/>
      <c r="Q78" s="40"/>
      <c r="R78" s="42"/>
      <c r="S78" s="40"/>
      <c r="T78" s="40"/>
      <c r="U78" s="43"/>
      <c r="V78" s="40"/>
      <c r="W78" s="42"/>
      <c r="X78" s="40"/>
      <c r="Y78" s="40"/>
      <c r="Z78" s="43"/>
      <c r="AA78" s="40"/>
      <c r="AB78" s="42"/>
      <c r="AC78" s="40"/>
      <c r="AD78" s="40"/>
      <c r="AE78" s="43"/>
      <c r="AF78" s="40"/>
      <c r="AG78" s="41"/>
    </row>
    <row r="79" spans="1:33" s="41" customFormat="1" ht="19.5" customHeight="1" x14ac:dyDescent="0.25">
      <c r="A79" s="80" t="s">
        <v>78</v>
      </c>
      <c r="B79" s="40">
        <v>90</v>
      </c>
      <c r="C79" s="40">
        <f t="shared" si="16"/>
        <v>10.5</v>
      </c>
      <c r="D79" s="41" t="s">
        <v>79</v>
      </c>
      <c r="E79" s="40">
        <v>1</v>
      </c>
      <c r="F79" s="40">
        <v>35</v>
      </c>
      <c r="G79" s="40"/>
      <c r="H79" s="42">
        <f>MROUND($H$4/100*C79,500)</f>
        <v>3500</v>
      </c>
      <c r="I79" s="40">
        <f>H79/100*F79</f>
        <v>1225</v>
      </c>
      <c r="J79" s="40">
        <f t="shared" si="17"/>
        <v>35</v>
      </c>
      <c r="K79" s="43">
        <f t="shared" si="18"/>
        <v>2275</v>
      </c>
      <c r="L79" s="40"/>
      <c r="M79" s="42">
        <f>MROUND($M$4/100*C79,500)</f>
        <v>3500</v>
      </c>
      <c r="N79" s="40">
        <f>M79/100*F79</f>
        <v>1225</v>
      </c>
      <c r="O79" s="40">
        <f>(M79-P79)/M79*100</f>
        <v>35</v>
      </c>
      <c r="P79" s="43">
        <f>M79-N79</f>
        <v>2275</v>
      </c>
      <c r="Q79" s="40"/>
      <c r="R79" s="42">
        <f>MROUND($R$4/100*C79,500)</f>
        <v>4500</v>
      </c>
      <c r="S79" s="40">
        <f t="shared" si="19"/>
        <v>1575</v>
      </c>
      <c r="T79" s="40">
        <f t="shared" si="20"/>
        <v>35</v>
      </c>
      <c r="U79" s="43">
        <f t="shared" si="21"/>
        <v>2925</v>
      </c>
      <c r="V79" s="40"/>
      <c r="W79" s="42">
        <f t="shared" si="22"/>
        <v>6000</v>
      </c>
      <c r="X79" s="40">
        <f t="shared" si="23"/>
        <v>2100</v>
      </c>
      <c r="Y79" s="40">
        <f t="shared" si="24"/>
        <v>35</v>
      </c>
      <c r="Z79" s="43">
        <f t="shared" si="25"/>
        <v>3900</v>
      </c>
      <c r="AA79" s="40"/>
      <c r="AB79" s="42">
        <f t="shared" si="26"/>
        <v>9000</v>
      </c>
      <c r="AC79" s="40">
        <f t="shared" si="27"/>
        <v>3150</v>
      </c>
      <c r="AD79" s="40">
        <f t="shared" si="28"/>
        <v>35</v>
      </c>
      <c r="AE79" s="43">
        <f t="shared" si="29"/>
        <v>5850</v>
      </c>
      <c r="AF79" s="40"/>
    </row>
    <row r="80" spans="1:33" s="41" customFormat="1" ht="20.100000000000001" customHeight="1" x14ac:dyDescent="0.25">
      <c r="A80" s="80"/>
      <c r="B80" s="40">
        <v>90</v>
      </c>
      <c r="C80" s="40">
        <f t="shared" si="16"/>
        <v>10.5</v>
      </c>
      <c r="D80" s="41" t="s">
        <v>80</v>
      </c>
      <c r="E80" s="40">
        <v>1</v>
      </c>
      <c r="F80" s="40">
        <v>35</v>
      </c>
      <c r="G80" s="40"/>
      <c r="H80" s="42">
        <f>MROUND($H$4/100*C80,500)</f>
        <v>3500</v>
      </c>
      <c r="I80" s="40">
        <f>H80/100*F80</f>
        <v>1225</v>
      </c>
      <c r="J80" s="40">
        <f t="shared" si="17"/>
        <v>35</v>
      </c>
      <c r="K80" s="43">
        <f t="shared" si="18"/>
        <v>2275</v>
      </c>
      <c r="L80" s="40"/>
      <c r="M80" s="42">
        <f>MROUND($M$4/100*C80,500)</f>
        <v>3500</v>
      </c>
      <c r="N80" s="40">
        <f>M80/100*F80</f>
        <v>1225</v>
      </c>
      <c r="O80" s="40">
        <f>(M80-P80)/M80*100</f>
        <v>35</v>
      </c>
      <c r="P80" s="43">
        <f>M80-N80</f>
        <v>2275</v>
      </c>
      <c r="Q80" s="40"/>
      <c r="R80" s="42">
        <f>MROUND($R$4/100*C80,500)</f>
        <v>4500</v>
      </c>
      <c r="S80" s="40">
        <f t="shared" si="19"/>
        <v>1575</v>
      </c>
      <c r="T80" s="40">
        <f t="shared" si="20"/>
        <v>35</v>
      </c>
      <c r="U80" s="43">
        <f t="shared" si="21"/>
        <v>2925</v>
      </c>
      <c r="V80" s="40"/>
      <c r="W80" s="42">
        <f t="shared" si="22"/>
        <v>6000</v>
      </c>
      <c r="X80" s="40">
        <f t="shared" si="23"/>
        <v>2100</v>
      </c>
      <c r="Y80" s="40">
        <f t="shared" si="24"/>
        <v>35</v>
      </c>
      <c r="Z80" s="43">
        <f t="shared" si="25"/>
        <v>3900</v>
      </c>
      <c r="AA80" s="40"/>
      <c r="AB80" s="42">
        <f t="shared" si="26"/>
        <v>9000</v>
      </c>
      <c r="AC80" s="40">
        <f t="shared" si="27"/>
        <v>3150</v>
      </c>
      <c r="AD80" s="40">
        <f t="shared" si="28"/>
        <v>35</v>
      </c>
      <c r="AE80" s="43">
        <f t="shared" si="29"/>
        <v>5850</v>
      </c>
      <c r="AF80" s="40"/>
    </row>
    <row r="81" spans="1:32" s="41" customFormat="1" ht="20.100000000000001" customHeight="1" x14ac:dyDescent="0.25">
      <c r="B81" s="40"/>
      <c r="C81" s="40"/>
      <c r="E81" s="40"/>
      <c r="F81" s="40"/>
      <c r="G81" s="40"/>
      <c r="H81" s="42"/>
      <c r="I81" s="40"/>
      <c r="J81" s="40"/>
      <c r="K81" s="43"/>
      <c r="L81" s="40"/>
      <c r="M81" s="42"/>
      <c r="N81" s="40"/>
      <c r="O81" s="40"/>
      <c r="P81" s="43"/>
      <c r="Q81" s="40"/>
      <c r="R81" s="42"/>
      <c r="S81" s="40"/>
      <c r="T81" s="40"/>
      <c r="U81" s="43"/>
      <c r="V81" s="40"/>
      <c r="W81" s="42"/>
      <c r="X81" s="40"/>
      <c r="Y81" s="40"/>
      <c r="Z81" s="43"/>
      <c r="AA81" s="40"/>
      <c r="AB81" s="42"/>
      <c r="AC81" s="40"/>
      <c r="AD81" s="40"/>
      <c r="AE81" s="43"/>
      <c r="AF81" s="40"/>
    </row>
    <row r="82" spans="1:32" s="41" customFormat="1" ht="20.100000000000001" customHeight="1" x14ac:dyDescent="0.25">
      <c r="A82" s="80" t="s">
        <v>81</v>
      </c>
      <c r="B82" s="40">
        <v>10</v>
      </c>
      <c r="C82" s="40">
        <f t="shared" si="16"/>
        <v>1</v>
      </c>
      <c r="D82" s="41" t="s">
        <v>82</v>
      </c>
      <c r="E82" s="40">
        <v>1</v>
      </c>
      <c r="F82" s="40">
        <v>35</v>
      </c>
      <c r="G82" s="40"/>
      <c r="H82" s="42">
        <f>MROUND($H$4/100*C82,500)</f>
        <v>500</v>
      </c>
      <c r="I82" s="40">
        <f>H82/100*F82</f>
        <v>175</v>
      </c>
      <c r="J82" s="40">
        <f t="shared" si="17"/>
        <v>35</v>
      </c>
      <c r="K82" s="43">
        <f t="shared" si="18"/>
        <v>325</v>
      </c>
      <c r="L82" s="40"/>
      <c r="M82" s="42">
        <f>MROUND($M$4/100*C82,500)</f>
        <v>500</v>
      </c>
      <c r="N82" s="40">
        <f>M82/100*F82</f>
        <v>175</v>
      </c>
      <c r="O82" s="40">
        <f>(M82-P82)/M82*100</f>
        <v>35</v>
      </c>
      <c r="P82" s="43">
        <f>M82-N82</f>
        <v>325</v>
      </c>
      <c r="Q82" s="40"/>
      <c r="R82" s="42">
        <f>MROUND($R$4/100*C82,500)</f>
        <v>500</v>
      </c>
      <c r="S82" s="40">
        <f t="shared" si="19"/>
        <v>175</v>
      </c>
      <c r="T82" s="40">
        <f t="shared" si="20"/>
        <v>35</v>
      </c>
      <c r="U82" s="43">
        <f t="shared" si="21"/>
        <v>325</v>
      </c>
      <c r="V82" s="40"/>
      <c r="W82" s="42">
        <f t="shared" si="22"/>
        <v>500</v>
      </c>
      <c r="X82" s="40">
        <f t="shared" si="23"/>
        <v>175</v>
      </c>
      <c r="Y82" s="40">
        <f t="shared" si="24"/>
        <v>35</v>
      </c>
      <c r="Z82" s="43">
        <f t="shared" si="25"/>
        <v>325</v>
      </c>
      <c r="AA82" s="40"/>
      <c r="AB82" s="42">
        <f t="shared" si="26"/>
        <v>1000</v>
      </c>
      <c r="AC82" s="40">
        <f t="shared" si="27"/>
        <v>350</v>
      </c>
      <c r="AD82" s="40">
        <f t="shared" si="28"/>
        <v>35</v>
      </c>
      <c r="AE82" s="43">
        <f t="shared" si="29"/>
        <v>650</v>
      </c>
      <c r="AF82" s="40"/>
    </row>
    <row r="83" spans="1:32" s="41" customFormat="1" ht="20.100000000000001" customHeight="1" x14ac:dyDescent="0.25">
      <c r="A83" s="80"/>
      <c r="B83" s="40">
        <v>10</v>
      </c>
      <c r="C83" s="40">
        <f t="shared" si="16"/>
        <v>1</v>
      </c>
      <c r="D83" s="41" t="s">
        <v>83</v>
      </c>
      <c r="E83" s="40">
        <v>1</v>
      </c>
      <c r="F83" s="40">
        <v>35</v>
      </c>
      <c r="G83" s="40"/>
      <c r="H83" s="42">
        <f>MROUND($H$4/100*C83,500)</f>
        <v>500</v>
      </c>
      <c r="I83" s="40">
        <f>H83/100*F83</f>
        <v>175</v>
      </c>
      <c r="J83" s="40">
        <f t="shared" si="17"/>
        <v>35</v>
      </c>
      <c r="K83" s="43">
        <f t="shared" si="18"/>
        <v>325</v>
      </c>
      <c r="L83" s="40"/>
      <c r="M83" s="42">
        <f>MROUND($M$4/100*C83,500)</f>
        <v>500</v>
      </c>
      <c r="N83" s="40">
        <f>M83/100*F83</f>
        <v>175</v>
      </c>
      <c r="O83" s="40">
        <f>(M83-P83)/M83*100</f>
        <v>35</v>
      </c>
      <c r="P83" s="43">
        <f>M83-N83</f>
        <v>325</v>
      </c>
      <c r="Q83" s="40"/>
      <c r="R83" s="42">
        <f>MROUND($R$4/100*C83,500)</f>
        <v>500</v>
      </c>
      <c r="S83" s="40">
        <f t="shared" si="19"/>
        <v>175</v>
      </c>
      <c r="T83" s="40">
        <f t="shared" si="20"/>
        <v>35</v>
      </c>
      <c r="U83" s="43">
        <f t="shared" si="21"/>
        <v>325</v>
      </c>
      <c r="V83" s="40"/>
      <c r="W83" s="42">
        <f t="shared" si="22"/>
        <v>500</v>
      </c>
      <c r="X83" s="40">
        <f t="shared" si="23"/>
        <v>175</v>
      </c>
      <c r="Y83" s="40">
        <f t="shared" si="24"/>
        <v>35</v>
      </c>
      <c r="Z83" s="43">
        <f t="shared" si="25"/>
        <v>325</v>
      </c>
      <c r="AA83" s="40"/>
      <c r="AB83" s="42">
        <f t="shared" si="26"/>
        <v>1000</v>
      </c>
      <c r="AC83" s="40">
        <f t="shared" si="27"/>
        <v>350</v>
      </c>
      <c r="AD83" s="40">
        <f t="shared" si="28"/>
        <v>35</v>
      </c>
      <c r="AE83" s="43">
        <f t="shared" si="29"/>
        <v>650</v>
      </c>
      <c r="AF83" s="40"/>
    </row>
    <row r="84" spans="1:32" s="41" customFormat="1" ht="20.100000000000001" customHeight="1" x14ac:dyDescent="0.25">
      <c r="B84" s="40"/>
      <c r="C84" s="40"/>
      <c r="E84" s="40"/>
      <c r="F84" s="40"/>
      <c r="G84" s="40"/>
      <c r="H84" s="42"/>
      <c r="I84" s="40"/>
      <c r="J84" s="40"/>
      <c r="K84" s="43"/>
      <c r="L84" s="40"/>
      <c r="M84" s="42"/>
      <c r="N84" s="40"/>
      <c r="O84" s="40"/>
      <c r="P84" s="43"/>
      <c r="Q84" s="40"/>
      <c r="R84" s="42"/>
      <c r="S84" s="40"/>
      <c r="T84" s="40"/>
      <c r="U84" s="43"/>
      <c r="V84" s="40"/>
      <c r="W84" s="42"/>
      <c r="X84" s="40"/>
      <c r="Y84" s="40"/>
      <c r="Z84" s="43"/>
      <c r="AA84" s="40"/>
      <c r="AB84" s="42"/>
      <c r="AC84" s="40"/>
      <c r="AD84" s="40"/>
      <c r="AE84" s="43"/>
      <c r="AF84" s="40"/>
    </row>
    <row r="85" spans="1:32" s="41" customFormat="1" ht="20.100000000000001" customHeight="1" x14ac:dyDescent="0.25">
      <c r="A85" s="80" t="s">
        <v>127</v>
      </c>
      <c r="B85" s="40">
        <v>8</v>
      </c>
      <c r="C85" s="40">
        <f t="shared" si="16"/>
        <v>1</v>
      </c>
      <c r="D85" s="41" t="s">
        <v>128</v>
      </c>
      <c r="E85" s="40">
        <v>1</v>
      </c>
      <c r="F85" s="40">
        <v>35</v>
      </c>
      <c r="G85" s="40"/>
      <c r="H85" s="42">
        <f>MROUND($H$4/100*C85,500)</f>
        <v>500</v>
      </c>
      <c r="I85" s="40">
        <f>H85/100*F85</f>
        <v>175</v>
      </c>
      <c r="J85" s="40">
        <f t="shared" si="17"/>
        <v>35</v>
      </c>
      <c r="K85" s="43">
        <f t="shared" si="18"/>
        <v>325</v>
      </c>
      <c r="L85" s="40"/>
      <c r="M85" s="42">
        <f>MROUND($M$4/100*C85,500)</f>
        <v>500</v>
      </c>
      <c r="N85" s="40">
        <f>M85/100*F85</f>
        <v>175</v>
      </c>
      <c r="O85" s="40">
        <f>(M85-P85)/M85*100</f>
        <v>35</v>
      </c>
      <c r="P85" s="43">
        <f>M85-N85</f>
        <v>325</v>
      </c>
      <c r="Q85" s="40"/>
      <c r="R85" s="42">
        <f>MROUND($R$4/100*C85,500)</f>
        <v>500</v>
      </c>
      <c r="S85" s="40">
        <f t="shared" si="19"/>
        <v>175</v>
      </c>
      <c r="T85" s="40">
        <f t="shared" si="20"/>
        <v>35</v>
      </c>
      <c r="U85" s="43">
        <f t="shared" si="21"/>
        <v>325</v>
      </c>
      <c r="V85" s="40"/>
      <c r="W85" s="42">
        <f t="shared" si="22"/>
        <v>500</v>
      </c>
      <c r="X85" s="40">
        <f t="shared" si="23"/>
        <v>175</v>
      </c>
      <c r="Y85" s="40">
        <f t="shared" si="24"/>
        <v>35</v>
      </c>
      <c r="Z85" s="43">
        <f t="shared" si="25"/>
        <v>325</v>
      </c>
      <c r="AA85" s="40"/>
      <c r="AB85" s="42">
        <f t="shared" si="26"/>
        <v>1000</v>
      </c>
      <c r="AC85" s="40">
        <f t="shared" si="27"/>
        <v>350</v>
      </c>
      <c r="AD85" s="40">
        <f t="shared" si="28"/>
        <v>35</v>
      </c>
      <c r="AE85" s="43">
        <f t="shared" si="29"/>
        <v>650</v>
      </c>
      <c r="AF85" s="40"/>
    </row>
    <row r="86" spans="1:32" s="41" customFormat="1" ht="20.100000000000001" customHeight="1" thickBot="1" x14ac:dyDescent="0.3">
      <c r="A86" s="80"/>
      <c r="B86" s="40">
        <v>20</v>
      </c>
      <c r="C86" s="40">
        <f t="shared" si="16"/>
        <v>2.5</v>
      </c>
      <c r="D86" s="41" t="s">
        <v>129</v>
      </c>
      <c r="E86" s="40">
        <v>1</v>
      </c>
      <c r="F86" s="40">
        <v>35</v>
      </c>
      <c r="G86" s="40"/>
      <c r="H86" s="44">
        <f>MROUND($H$4/100*C86,500)</f>
        <v>1000</v>
      </c>
      <c r="I86" s="45">
        <f>H86/100*F86</f>
        <v>350</v>
      </c>
      <c r="J86" s="45">
        <f t="shared" si="17"/>
        <v>35</v>
      </c>
      <c r="K86" s="46">
        <f t="shared" si="18"/>
        <v>650</v>
      </c>
      <c r="L86" s="40"/>
      <c r="M86" s="44">
        <f>MROUND($M$4/100*C86,500)</f>
        <v>1000</v>
      </c>
      <c r="N86" s="45">
        <f>M86/100*F86</f>
        <v>350</v>
      </c>
      <c r="O86" s="45">
        <f>(M86-P86)/M86*100</f>
        <v>35</v>
      </c>
      <c r="P86" s="46">
        <f>M86-N86</f>
        <v>650</v>
      </c>
      <c r="Q86" s="40"/>
      <c r="R86" s="44">
        <f>MROUND($R$4/100*C86,500)</f>
        <v>1000</v>
      </c>
      <c r="S86" s="45">
        <f t="shared" si="19"/>
        <v>350</v>
      </c>
      <c r="T86" s="45">
        <f t="shared" si="20"/>
        <v>35</v>
      </c>
      <c r="U86" s="46">
        <f>R86-S86</f>
        <v>650</v>
      </c>
      <c r="V86" s="40"/>
      <c r="W86" s="44">
        <f t="shared" si="22"/>
        <v>1500</v>
      </c>
      <c r="X86" s="45">
        <f t="shared" si="23"/>
        <v>525</v>
      </c>
      <c r="Y86" s="45">
        <f t="shared" si="24"/>
        <v>35</v>
      </c>
      <c r="Z86" s="46">
        <f t="shared" si="25"/>
        <v>975</v>
      </c>
      <c r="AA86" s="40"/>
      <c r="AB86" s="42">
        <f t="shared" si="26"/>
        <v>2000</v>
      </c>
      <c r="AC86" s="40">
        <f t="shared" si="27"/>
        <v>700</v>
      </c>
      <c r="AD86" s="40">
        <f t="shared" si="28"/>
        <v>35</v>
      </c>
      <c r="AE86" s="43">
        <f t="shared" si="29"/>
        <v>1300</v>
      </c>
      <c r="AF86" s="40"/>
    </row>
    <row r="87" spans="1:32" s="1" customFormat="1" ht="20.100000000000001" customHeight="1" x14ac:dyDescent="0.25">
      <c r="B87" s="27"/>
      <c r="C87" s="27"/>
      <c r="E87" s="27"/>
      <c r="F87" s="27"/>
      <c r="G87" s="27"/>
      <c r="H87" s="28"/>
      <c r="I87" s="27"/>
      <c r="J87" s="27"/>
      <c r="K87" s="27"/>
      <c r="L87" s="27"/>
      <c r="M87" s="28"/>
      <c r="N87" s="27"/>
      <c r="O87" s="27"/>
      <c r="P87" s="27"/>
      <c r="Q87" s="27"/>
      <c r="R87" s="28"/>
      <c r="S87" s="27"/>
      <c r="T87" s="27"/>
      <c r="U87" s="27"/>
      <c r="V87" s="27"/>
      <c r="W87" s="28"/>
      <c r="X87" s="27"/>
      <c r="Y87" s="27"/>
      <c r="Z87" s="27"/>
      <c r="AA87" s="27"/>
      <c r="AB87" s="28"/>
      <c r="AC87" s="27"/>
      <c r="AD87" s="27"/>
      <c r="AE87" s="27"/>
      <c r="AF87" s="27"/>
    </row>
    <row r="88" spans="1:32" s="3" customFormat="1" ht="20.100000000000001" customHeight="1" x14ac:dyDescent="0.25">
      <c r="A88" s="1"/>
      <c r="B88" s="2"/>
      <c r="C88" s="2"/>
      <c r="E88" s="4"/>
      <c r="F88" s="4"/>
      <c r="G88" s="4"/>
      <c r="H88" s="9"/>
      <c r="I88" s="4"/>
      <c r="J88" s="4"/>
      <c r="K88" s="4"/>
      <c r="L88" s="4"/>
      <c r="M88" s="9"/>
      <c r="N88" s="4"/>
      <c r="O88" s="4"/>
      <c r="P88" s="4"/>
      <c r="Q88" s="4"/>
      <c r="R88" s="9"/>
      <c r="S88" s="4"/>
      <c r="T88" s="4"/>
      <c r="U88" s="4"/>
      <c r="V88" s="4"/>
      <c r="W88" s="9"/>
      <c r="X88" s="4"/>
      <c r="Y88" s="4"/>
      <c r="Z88" s="4"/>
      <c r="AA88" s="4"/>
      <c r="AB88" s="9"/>
      <c r="AC88" s="4"/>
      <c r="AD88" s="4"/>
      <c r="AE88" s="4"/>
      <c r="AF88" s="4"/>
    </row>
    <row r="89" spans="1:32" s="3" customFormat="1" ht="20.100000000000001" customHeight="1" x14ac:dyDescent="0.25">
      <c r="A89" s="1"/>
      <c r="B89" s="2"/>
      <c r="C89" s="2"/>
      <c r="E89" s="4"/>
      <c r="F89" s="4"/>
      <c r="G89" s="4"/>
      <c r="H89" s="9"/>
      <c r="I89" s="4"/>
      <c r="J89" s="4"/>
      <c r="K89" s="4"/>
      <c r="L89" s="4"/>
      <c r="M89" s="9"/>
      <c r="N89" s="4"/>
      <c r="O89" s="4"/>
      <c r="P89" s="4"/>
      <c r="Q89" s="4"/>
      <c r="R89" s="9"/>
      <c r="S89" s="4"/>
      <c r="T89" s="4"/>
      <c r="U89" s="4"/>
      <c r="V89" s="4"/>
      <c r="W89" s="9"/>
      <c r="X89" s="4"/>
      <c r="Y89" s="4"/>
      <c r="Z89" s="4"/>
      <c r="AA89" s="4"/>
      <c r="AB89" s="9"/>
      <c r="AC89" s="4"/>
      <c r="AD89" s="4"/>
      <c r="AE89" s="4"/>
      <c r="AF89" s="4"/>
    </row>
    <row r="90" spans="1:32" s="3" customFormat="1" ht="20.100000000000001" customHeight="1" x14ac:dyDescent="0.25">
      <c r="A90" s="1"/>
      <c r="B90" s="2"/>
      <c r="C90" s="2"/>
      <c r="E90" s="4"/>
      <c r="F90" s="4"/>
      <c r="G90" s="4"/>
      <c r="H90" s="9"/>
      <c r="I90" s="4"/>
      <c r="J90" s="4"/>
      <c r="K90" s="4"/>
      <c r="L90" s="4"/>
      <c r="M90" s="9"/>
      <c r="N90" s="4"/>
      <c r="O90" s="4"/>
      <c r="P90" s="4"/>
      <c r="Q90" s="4"/>
      <c r="R90" s="9"/>
      <c r="S90" s="4"/>
      <c r="T90" s="4"/>
      <c r="U90" s="4"/>
      <c r="V90" s="4"/>
      <c r="W90" s="9"/>
      <c r="X90" s="4"/>
      <c r="Y90" s="4"/>
      <c r="Z90" s="4"/>
      <c r="AA90" s="4"/>
      <c r="AB90" s="9"/>
      <c r="AC90" s="4"/>
      <c r="AD90" s="4"/>
      <c r="AE90" s="4"/>
      <c r="AF90" s="4"/>
    </row>
    <row r="91" spans="1:32" s="3" customFormat="1" ht="20.100000000000001" customHeight="1" x14ac:dyDescent="0.25">
      <c r="A91" s="1"/>
      <c r="B91" s="2"/>
      <c r="C91" s="2"/>
      <c r="E91" s="4"/>
      <c r="F91" s="4"/>
      <c r="G91" s="4"/>
      <c r="H91" s="9"/>
      <c r="I91" s="4"/>
      <c r="J91" s="4"/>
      <c r="K91" s="4"/>
      <c r="L91" s="4"/>
      <c r="M91" s="9"/>
      <c r="N91" s="4"/>
      <c r="O91" s="4"/>
      <c r="P91" s="4"/>
      <c r="Q91" s="4"/>
      <c r="R91" s="9"/>
      <c r="S91" s="4"/>
      <c r="T91" s="4"/>
      <c r="U91" s="4"/>
      <c r="V91" s="4"/>
      <c r="W91" s="9"/>
      <c r="X91" s="4"/>
      <c r="Y91" s="4"/>
      <c r="Z91" s="4"/>
      <c r="AA91" s="4"/>
      <c r="AB91" s="9"/>
      <c r="AC91" s="4"/>
      <c r="AD91" s="4"/>
      <c r="AE91" s="4"/>
      <c r="AF91" s="4"/>
    </row>
    <row r="92" spans="1:32" s="3" customFormat="1" ht="20.100000000000001" customHeight="1" x14ac:dyDescent="0.25">
      <c r="A92" s="1"/>
      <c r="B92" s="2"/>
      <c r="C92" s="2"/>
      <c r="E92" s="4"/>
      <c r="F92" s="4"/>
      <c r="G92" s="4"/>
      <c r="H92" s="9"/>
      <c r="I92" s="4"/>
      <c r="J92" s="4"/>
      <c r="K92" s="4"/>
      <c r="L92" s="4"/>
      <c r="M92" s="9"/>
      <c r="N92" s="4"/>
      <c r="O92" s="4"/>
      <c r="P92" s="4"/>
      <c r="Q92" s="4"/>
      <c r="R92" s="9"/>
      <c r="S92" s="4"/>
      <c r="T92" s="4"/>
      <c r="U92" s="4"/>
      <c r="V92" s="4"/>
      <c r="W92" s="9"/>
      <c r="X92" s="4"/>
      <c r="Y92" s="4"/>
      <c r="Z92" s="4"/>
      <c r="AA92" s="4"/>
      <c r="AB92" s="9"/>
      <c r="AC92" s="4"/>
      <c r="AD92" s="4"/>
      <c r="AE92" s="4"/>
      <c r="AF92" s="4"/>
    </row>
    <row r="93" spans="1:32" s="3" customFormat="1" ht="20.100000000000001" customHeight="1" x14ac:dyDescent="0.25">
      <c r="A93" s="1"/>
      <c r="B93" s="2"/>
      <c r="C93" s="2"/>
      <c r="E93" s="4"/>
      <c r="F93" s="4"/>
      <c r="G93" s="4"/>
      <c r="H93" s="9"/>
      <c r="I93" s="4"/>
      <c r="J93" s="4"/>
      <c r="K93" s="4"/>
      <c r="L93" s="4"/>
      <c r="M93" s="9"/>
      <c r="N93" s="4"/>
      <c r="O93" s="4"/>
      <c r="P93" s="4"/>
      <c r="Q93" s="4"/>
      <c r="R93" s="9"/>
      <c r="S93" s="4"/>
      <c r="T93" s="4"/>
      <c r="U93" s="4"/>
      <c r="V93" s="4"/>
      <c r="W93" s="9"/>
      <c r="X93" s="4"/>
      <c r="Y93" s="4"/>
      <c r="Z93" s="4"/>
      <c r="AA93" s="4"/>
      <c r="AB93" s="9"/>
      <c r="AC93" s="4"/>
      <c r="AD93" s="4"/>
      <c r="AE93" s="4"/>
      <c r="AF93" s="4"/>
    </row>
    <row r="94" spans="1:32" s="3" customFormat="1" ht="20.100000000000001" customHeight="1" x14ac:dyDescent="0.25">
      <c r="A94" s="1"/>
      <c r="B94" s="2"/>
      <c r="C94" s="2"/>
      <c r="E94" s="4"/>
      <c r="F94" s="4"/>
      <c r="G94" s="4"/>
      <c r="H94" s="9"/>
      <c r="I94" s="4"/>
      <c r="J94" s="4"/>
      <c r="K94" s="4"/>
      <c r="L94" s="4"/>
      <c r="M94" s="9"/>
      <c r="N94" s="4"/>
      <c r="O94" s="4"/>
      <c r="P94" s="4"/>
      <c r="Q94" s="4"/>
      <c r="R94" s="9"/>
      <c r="S94" s="4"/>
      <c r="T94" s="4"/>
      <c r="U94" s="4"/>
      <c r="V94" s="4"/>
      <c r="W94" s="9"/>
      <c r="X94" s="4"/>
      <c r="Y94" s="4"/>
      <c r="Z94" s="4"/>
      <c r="AA94" s="4"/>
      <c r="AB94" s="9"/>
      <c r="AC94" s="4"/>
      <c r="AD94" s="4"/>
      <c r="AE94" s="4"/>
      <c r="AF94" s="4"/>
    </row>
    <row r="95" spans="1:32" s="3" customFormat="1" ht="20.100000000000001" customHeight="1" x14ac:dyDescent="0.25">
      <c r="A95" s="1"/>
      <c r="B95" s="2"/>
      <c r="C95" s="2"/>
      <c r="E95" s="4"/>
      <c r="F95" s="4"/>
      <c r="G95" s="4"/>
      <c r="H95" s="9"/>
      <c r="I95" s="4"/>
      <c r="J95" s="4"/>
      <c r="K95" s="4"/>
      <c r="L95" s="4"/>
      <c r="M95" s="9"/>
      <c r="N95" s="4"/>
      <c r="O95" s="4"/>
      <c r="P95" s="4"/>
      <c r="Q95" s="4"/>
      <c r="R95" s="9"/>
      <c r="S95" s="4"/>
      <c r="T95" s="4"/>
      <c r="U95" s="4"/>
      <c r="V95" s="4"/>
      <c r="W95" s="9"/>
      <c r="X95" s="4"/>
      <c r="Y95" s="4"/>
      <c r="Z95" s="4"/>
      <c r="AA95" s="4"/>
      <c r="AB95" s="9"/>
      <c r="AC95" s="4"/>
      <c r="AD95" s="4"/>
      <c r="AE95" s="4"/>
      <c r="AF95" s="4"/>
    </row>
    <row r="96" spans="1:32" s="3" customFormat="1" ht="20.100000000000001" customHeight="1" x14ac:dyDescent="0.25">
      <c r="B96" s="4"/>
      <c r="C96" s="2"/>
      <c r="E96" s="4"/>
      <c r="F96" s="4"/>
      <c r="G96" s="4"/>
      <c r="H96" s="9"/>
      <c r="I96" s="4"/>
      <c r="J96" s="4"/>
      <c r="K96" s="4"/>
      <c r="L96" s="4"/>
      <c r="M96" s="9"/>
      <c r="N96" s="4"/>
      <c r="O96" s="4"/>
      <c r="P96" s="4"/>
      <c r="Q96" s="4"/>
      <c r="R96" s="9"/>
      <c r="S96" s="4"/>
      <c r="T96" s="4"/>
      <c r="U96" s="4"/>
      <c r="V96" s="4"/>
      <c r="W96" s="9"/>
      <c r="X96" s="4"/>
      <c r="Y96" s="4"/>
      <c r="Z96" s="4"/>
      <c r="AA96" s="4"/>
      <c r="AB96" s="9"/>
      <c r="AC96" s="4"/>
      <c r="AD96" s="4"/>
      <c r="AE96" s="4"/>
      <c r="AF96" s="4"/>
    </row>
    <row r="97" spans="1:32" s="3" customFormat="1" ht="20.100000000000001" customHeight="1" x14ac:dyDescent="0.25">
      <c r="B97" s="4"/>
      <c r="C97" s="2"/>
      <c r="E97" s="4"/>
      <c r="F97" s="4"/>
      <c r="G97" s="4"/>
      <c r="H97" s="9"/>
      <c r="I97" s="4"/>
      <c r="J97" s="4"/>
      <c r="K97" s="4"/>
      <c r="L97" s="4"/>
      <c r="M97" s="9"/>
      <c r="N97" s="4"/>
      <c r="O97" s="4"/>
      <c r="P97" s="4"/>
      <c r="Q97" s="4"/>
      <c r="R97" s="9"/>
      <c r="S97" s="4"/>
      <c r="T97" s="4"/>
      <c r="U97" s="4"/>
      <c r="V97" s="4"/>
      <c r="W97" s="9"/>
      <c r="X97" s="4"/>
      <c r="Y97" s="4"/>
      <c r="Z97" s="4"/>
      <c r="AA97" s="4"/>
      <c r="AB97" s="9"/>
      <c r="AC97" s="4"/>
      <c r="AD97" s="4"/>
      <c r="AE97" s="4"/>
      <c r="AF97" s="4"/>
    </row>
    <row r="98" spans="1:32" s="3" customFormat="1" ht="20.100000000000001" customHeight="1" x14ac:dyDescent="0.25">
      <c r="A98" s="77" t="s">
        <v>124</v>
      </c>
      <c r="B98" s="4"/>
      <c r="C98" s="2"/>
      <c r="D98" s="3" t="s">
        <v>125</v>
      </c>
      <c r="E98" s="4">
        <v>1</v>
      </c>
      <c r="F98" s="4"/>
      <c r="G98" s="4"/>
      <c r="H98" s="9"/>
      <c r="I98" s="4"/>
      <c r="J98" s="4"/>
      <c r="K98" s="4"/>
      <c r="L98" s="4"/>
      <c r="M98" s="9"/>
      <c r="N98" s="4"/>
      <c r="O98" s="4"/>
      <c r="P98" s="4"/>
      <c r="Q98" s="4"/>
      <c r="R98" s="9"/>
      <c r="S98" s="4"/>
      <c r="T98" s="4"/>
      <c r="U98" s="4"/>
      <c r="V98" s="4"/>
      <c r="W98" s="9"/>
      <c r="X98" s="4"/>
      <c r="Y98" s="4"/>
      <c r="Z98" s="4"/>
      <c r="AA98" s="4"/>
      <c r="AB98" s="9"/>
      <c r="AC98" s="4"/>
      <c r="AD98" s="4"/>
      <c r="AE98" s="4"/>
      <c r="AF98" s="4"/>
    </row>
    <row r="99" spans="1:32" s="3" customFormat="1" ht="20.100000000000001" customHeight="1" x14ac:dyDescent="0.25">
      <c r="A99" s="77"/>
      <c r="B99" s="4"/>
      <c r="C99" s="2"/>
      <c r="D99" s="3" t="s">
        <v>126</v>
      </c>
      <c r="E99" s="4">
        <v>1</v>
      </c>
      <c r="F99" s="4"/>
      <c r="G99" s="4"/>
      <c r="H99" s="9"/>
      <c r="I99" s="4"/>
      <c r="J99" s="4"/>
      <c r="K99" s="4"/>
      <c r="L99" s="4"/>
      <c r="M99" s="9"/>
      <c r="N99" s="4"/>
      <c r="O99" s="4"/>
      <c r="P99" s="4"/>
      <c r="Q99" s="4"/>
      <c r="R99" s="9"/>
      <c r="S99" s="4"/>
      <c r="T99" s="4"/>
      <c r="U99" s="4"/>
      <c r="V99" s="4"/>
      <c r="W99" s="9"/>
      <c r="X99" s="4"/>
      <c r="Y99" s="4"/>
      <c r="Z99" s="4"/>
      <c r="AA99" s="4"/>
      <c r="AB99" s="9"/>
      <c r="AC99" s="4"/>
      <c r="AD99" s="4"/>
      <c r="AE99" s="4"/>
      <c r="AF99" s="4"/>
    </row>
    <row r="100" spans="1:32" s="3" customFormat="1" ht="20.100000000000001" customHeight="1" x14ac:dyDescent="0.25">
      <c r="B100" s="4"/>
      <c r="C100" s="2"/>
      <c r="E100" s="4"/>
      <c r="F100" s="4"/>
      <c r="G100" s="4"/>
      <c r="H100" s="9"/>
      <c r="I100" s="4"/>
      <c r="J100" s="4"/>
      <c r="K100" s="4"/>
      <c r="L100" s="4"/>
      <c r="M100" s="9"/>
      <c r="N100" s="4"/>
      <c r="O100" s="4"/>
      <c r="P100" s="4"/>
      <c r="Q100" s="4"/>
      <c r="R100" s="9"/>
      <c r="S100" s="4"/>
      <c r="T100" s="4"/>
      <c r="U100" s="4"/>
      <c r="V100" s="4"/>
      <c r="W100" s="9"/>
      <c r="X100" s="4"/>
      <c r="Y100" s="4"/>
      <c r="Z100" s="4"/>
      <c r="AA100" s="4"/>
      <c r="AB100" s="9"/>
      <c r="AC100" s="4"/>
      <c r="AD100" s="4"/>
      <c r="AE100" s="4"/>
      <c r="AF100" s="4"/>
    </row>
    <row r="101" spans="1:32" s="3" customFormat="1" ht="20.100000000000001" customHeight="1" x14ac:dyDescent="0.25">
      <c r="A101" s="77" t="s">
        <v>133</v>
      </c>
      <c r="B101" s="4"/>
      <c r="C101" s="2"/>
      <c r="D101" s="3" t="s">
        <v>134</v>
      </c>
      <c r="E101" s="4">
        <v>1</v>
      </c>
      <c r="F101" s="4"/>
      <c r="G101" s="4"/>
      <c r="H101" s="9"/>
      <c r="I101" s="4"/>
      <c r="J101" s="4"/>
      <c r="K101" s="4"/>
      <c r="L101" s="4"/>
      <c r="M101" s="9"/>
      <c r="N101" s="4"/>
      <c r="O101" s="4"/>
      <c r="P101" s="4"/>
      <c r="Q101" s="4"/>
      <c r="R101" s="9"/>
      <c r="S101" s="4"/>
      <c r="T101" s="4"/>
      <c r="U101" s="4"/>
      <c r="V101" s="4"/>
      <c r="W101" s="9"/>
      <c r="X101" s="4"/>
      <c r="Y101" s="4"/>
      <c r="Z101" s="4"/>
      <c r="AA101" s="4"/>
      <c r="AB101" s="9"/>
      <c r="AC101" s="4"/>
      <c r="AD101" s="4"/>
      <c r="AE101" s="4"/>
      <c r="AF101" s="4"/>
    </row>
    <row r="102" spans="1:32" s="3" customFormat="1" ht="20.100000000000001" customHeight="1" x14ac:dyDescent="0.25">
      <c r="A102" s="77"/>
      <c r="B102" s="4"/>
      <c r="C102" s="2"/>
      <c r="D102" s="3" t="s">
        <v>135</v>
      </c>
      <c r="E102" s="4">
        <v>1</v>
      </c>
      <c r="F102" s="4"/>
      <c r="G102" s="4"/>
      <c r="H102" s="9"/>
      <c r="I102" s="4"/>
      <c r="J102" s="4"/>
      <c r="K102" s="4"/>
      <c r="L102" s="4"/>
      <c r="M102" s="9"/>
      <c r="N102" s="4"/>
      <c r="O102" s="4"/>
      <c r="P102" s="4"/>
      <c r="Q102" s="4"/>
      <c r="R102" s="9"/>
      <c r="S102" s="4"/>
      <c r="T102" s="4"/>
      <c r="U102" s="4"/>
      <c r="V102" s="4"/>
      <c r="W102" s="9"/>
      <c r="X102" s="4"/>
      <c r="Y102" s="4"/>
      <c r="Z102" s="4"/>
      <c r="AA102" s="4"/>
      <c r="AB102" s="9"/>
      <c r="AC102" s="4"/>
      <c r="AD102" s="4"/>
      <c r="AE102" s="4"/>
      <c r="AF102" s="4"/>
    </row>
    <row r="103" spans="1:32" s="3" customFormat="1" ht="20.100000000000001" customHeight="1" x14ac:dyDescent="0.25">
      <c r="B103" s="4"/>
      <c r="C103" s="2"/>
      <c r="E103" s="4"/>
      <c r="F103" s="4"/>
      <c r="G103" s="4"/>
      <c r="H103" s="9"/>
      <c r="I103" s="4"/>
      <c r="J103" s="4"/>
      <c r="K103" s="4"/>
      <c r="L103" s="4"/>
      <c r="M103" s="9"/>
      <c r="N103" s="4"/>
      <c r="O103" s="4"/>
      <c r="P103" s="4"/>
      <c r="Q103" s="4"/>
      <c r="R103" s="9"/>
      <c r="S103" s="4"/>
      <c r="T103" s="4"/>
      <c r="U103" s="4"/>
      <c r="V103" s="4"/>
      <c r="W103" s="9"/>
      <c r="X103" s="4"/>
      <c r="Y103" s="4"/>
      <c r="Z103" s="4"/>
      <c r="AA103" s="4"/>
      <c r="AB103" s="9"/>
      <c r="AC103" s="4"/>
      <c r="AD103" s="4"/>
      <c r="AE103" s="4"/>
      <c r="AF103" s="4"/>
    </row>
    <row r="104" spans="1:32" s="3" customFormat="1" ht="20.100000000000001" customHeight="1" x14ac:dyDescent="0.25">
      <c r="A104" s="77" t="s">
        <v>84</v>
      </c>
      <c r="B104" s="4"/>
      <c r="C104" s="2"/>
      <c r="D104" s="3" t="s">
        <v>87</v>
      </c>
      <c r="E104" s="4">
        <v>2</v>
      </c>
      <c r="F104" s="4"/>
      <c r="G104" s="4"/>
      <c r="H104" s="9"/>
      <c r="I104" s="4"/>
      <c r="J104" s="4"/>
      <c r="K104" s="4"/>
      <c r="L104" s="4"/>
      <c r="M104" s="9"/>
      <c r="N104" s="4"/>
      <c r="O104" s="4"/>
      <c r="P104" s="4"/>
      <c r="Q104" s="4"/>
      <c r="R104" s="9"/>
      <c r="S104" s="4"/>
      <c r="T104" s="4"/>
      <c r="U104" s="4"/>
      <c r="V104" s="4"/>
      <c r="W104" s="9"/>
      <c r="X104" s="4"/>
      <c r="Y104" s="4"/>
      <c r="Z104" s="4"/>
      <c r="AA104" s="4"/>
      <c r="AB104" s="9"/>
      <c r="AC104" s="4"/>
      <c r="AD104" s="4"/>
      <c r="AE104" s="4"/>
      <c r="AF104" s="4"/>
    </row>
    <row r="105" spans="1:32" s="3" customFormat="1" ht="20.100000000000001" customHeight="1" x14ac:dyDescent="0.25">
      <c r="A105" s="77"/>
      <c r="B105" s="4"/>
      <c r="C105" s="2"/>
      <c r="D105" s="3" t="s">
        <v>88</v>
      </c>
      <c r="E105" s="4">
        <v>2</v>
      </c>
      <c r="F105" s="4"/>
      <c r="G105" s="4"/>
      <c r="H105" s="9"/>
      <c r="I105" s="4"/>
      <c r="J105" s="4"/>
      <c r="K105" s="4"/>
      <c r="L105" s="4"/>
      <c r="M105" s="9"/>
      <c r="N105" s="4"/>
      <c r="O105" s="4"/>
      <c r="P105" s="4"/>
      <c r="Q105" s="4"/>
      <c r="R105" s="9"/>
      <c r="S105" s="4"/>
      <c r="T105" s="4"/>
      <c r="U105" s="4"/>
      <c r="V105" s="4"/>
      <c r="W105" s="9"/>
      <c r="X105" s="4"/>
      <c r="Y105" s="4"/>
      <c r="Z105" s="4"/>
      <c r="AA105" s="4"/>
      <c r="AB105" s="9"/>
      <c r="AC105" s="4"/>
      <c r="AD105" s="4"/>
      <c r="AE105" s="4"/>
      <c r="AF105" s="4"/>
    </row>
    <row r="106" spans="1:32" s="3" customFormat="1" ht="20.100000000000001" customHeight="1" x14ac:dyDescent="0.25">
      <c r="B106" s="4"/>
      <c r="C106" s="2"/>
      <c r="E106" s="4"/>
      <c r="F106" s="4"/>
      <c r="G106" s="4"/>
      <c r="H106" s="9"/>
      <c r="I106" s="4"/>
      <c r="J106" s="4"/>
      <c r="K106" s="4"/>
      <c r="L106" s="4"/>
      <c r="M106" s="9"/>
      <c r="N106" s="4"/>
      <c r="O106" s="4"/>
      <c r="P106" s="4"/>
      <c r="Q106" s="4"/>
      <c r="R106" s="9"/>
      <c r="S106" s="4"/>
      <c r="T106" s="4"/>
      <c r="U106" s="4"/>
      <c r="V106" s="4"/>
      <c r="W106" s="9"/>
      <c r="X106" s="4"/>
      <c r="Y106" s="4"/>
      <c r="Z106" s="4"/>
      <c r="AA106" s="4"/>
      <c r="AB106" s="9"/>
      <c r="AC106" s="4"/>
      <c r="AD106" s="4"/>
      <c r="AE106" s="4"/>
      <c r="AF106" s="4"/>
    </row>
    <row r="107" spans="1:32" s="3" customFormat="1" ht="20.100000000000001" customHeight="1" x14ac:dyDescent="0.25">
      <c r="A107" s="77" t="s">
        <v>85</v>
      </c>
      <c r="B107" s="4"/>
      <c r="C107" s="2"/>
      <c r="D107" s="3" t="s">
        <v>89</v>
      </c>
      <c r="E107" s="4">
        <v>1</v>
      </c>
      <c r="F107" s="4"/>
      <c r="G107" s="4"/>
      <c r="H107" s="9"/>
      <c r="I107" s="4"/>
      <c r="J107" s="4"/>
      <c r="K107" s="4"/>
      <c r="L107" s="4"/>
      <c r="M107" s="9"/>
      <c r="N107" s="4"/>
      <c r="O107" s="4"/>
      <c r="P107" s="4"/>
      <c r="Q107" s="4"/>
      <c r="R107" s="9"/>
      <c r="S107" s="4"/>
      <c r="T107" s="4"/>
      <c r="U107" s="4"/>
      <c r="V107" s="4"/>
      <c r="W107" s="9"/>
      <c r="X107" s="4"/>
      <c r="Y107" s="4"/>
      <c r="Z107" s="4"/>
      <c r="AA107" s="4"/>
      <c r="AB107" s="9"/>
      <c r="AC107" s="4"/>
      <c r="AD107" s="4"/>
      <c r="AE107" s="4"/>
      <c r="AF107" s="4"/>
    </row>
    <row r="108" spans="1:32" s="3" customFormat="1" ht="20.100000000000001" customHeight="1" x14ac:dyDescent="0.25">
      <c r="A108" s="77"/>
      <c r="B108" s="4"/>
      <c r="C108" s="2"/>
      <c r="D108" s="3" t="s">
        <v>90</v>
      </c>
      <c r="E108" s="4">
        <v>1</v>
      </c>
      <c r="F108" s="4"/>
      <c r="G108" s="4"/>
      <c r="H108" s="9"/>
      <c r="I108" s="4"/>
      <c r="J108" s="4"/>
      <c r="K108" s="4"/>
      <c r="L108" s="4"/>
      <c r="M108" s="9"/>
      <c r="N108" s="4"/>
      <c r="O108" s="4"/>
      <c r="P108" s="4"/>
      <c r="Q108" s="4"/>
      <c r="R108" s="9"/>
      <c r="S108" s="4"/>
      <c r="T108" s="4"/>
      <c r="U108" s="4"/>
      <c r="V108" s="4"/>
      <c r="W108" s="9"/>
      <c r="X108" s="4"/>
      <c r="Y108" s="4"/>
      <c r="Z108" s="4"/>
      <c r="AA108" s="4"/>
      <c r="AB108" s="9"/>
      <c r="AC108" s="4"/>
      <c r="AD108" s="4"/>
      <c r="AE108" s="4"/>
      <c r="AF108" s="4"/>
    </row>
    <row r="109" spans="1:32" s="3" customFormat="1" ht="20.100000000000001" customHeight="1" x14ac:dyDescent="0.25">
      <c r="B109" s="4"/>
      <c r="C109" s="2"/>
      <c r="E109" s="4"/>
      <c r="F109" s="4"/>
      <c r="G109" s="4"/>
      <c r="H109" s="9"/>
      <c r="I109" s="4"/>
      <c r="J109" s="4"/>
      <c r="K109" s="4"/>
      <c r="L109" s="4"/>
      <c r="M109" s="9"/>
      <c r="N109" s="4"/>
      <c r="O109" s="4"/>
      <c r="P109" s="4"/>
      <c r="Q109" s="4"/>
      <c r="R109" s="9"/>
      <c r="S109" s="4"/>
      <c r="T109" s="4"/>
      <c r="U109" s="4"/>
      <c r="V109" s="4"/>
      <c r="W109" s="9"/>
      <c r="X109" s="4"/>
      <c r="Y109" s="4"/>
      <c r="Z109" s="4"/>
      <c r="AA109" s="4"/>
      <c r="AB109" s="9"/>
      <c r="AC109" s="4"/>
      <c r="AD109" s="4"/>
      <c r="AE109" s="4"/>
      <c r="AF109" s="4"/>
    </row>
    <row r="110" spans="1:32" s="3" customFormat="1" ht="20.100000000000001" customHeight="1" x14ac:dyDescent="0.25">
      <c r="A110" s="77" t="s">
        <v>86</v>
      </c>
      <c r="B110" s="4"/>
      <c r="C110" s="2"/>
      <c r="D110" s="3" t="s">
        <v>91</v>
      </c>
      <c r="E110" s="4">
        <v>1</v>
      </c>
      <c r="F110" s="4"/>
      <c r="G110" s="4"/>
      <c r="H110" s="9"/>
      <c r="I110" s="4"/>
      <c r="J110" s="4"/>
      <c r="K110" s="4"/>
      <c r="L110" s="4"/>
      <c r="M110" s="9"/>
      <c r="N110" s="4"/>
      <c r="O110" s="4"/>
      <c r="P110" s="4"/>
      <c r="Q110" s="4"/>
      <c r="R110" s="9"/>
      <c r="S110" s="4"/>
      <c r="T110" s="4"/>
      <c r="U110" s="4"/>
      <c r="V110" s="4"/>
      <c r="W110" s="9"/>
      <c r="X110" s="4"/>
      <c r="Y110" s="4"/>
      <c r="Z110" s="4"/>
      <c r="AA110" s="4"/>
      <c r="AB110" s="9"/>
      <c r="AC110" s="4"/>
      <c r="AD110" s="4"/>
      <c r="AE110" s="4"/>
      <c r="AF110" s="4"/>
    </row>
    <row r="111" spans="1:32" s="3" customFormat="1" ht="20.100000000000001" customHeight="1" x14ac:dyDescent="0.25">
      <c r="A111" s="77"/>
      <c r="B111" s="4"/>
      <c r="C111" s="2"/>
      <c r="D111" s="3" t="s">
        <v>92</v>
      </c>
      <c r="E111" s="4">
        <v>1</v>
      </c>
      <c r="F111" s="4"/>
      <c r="G111" s="4"/>
      <c r="H111" s="9"/>
      <c r="I111" s="4"/>
      <c r="J111" s="4"/>
      <c r="K111" s="4"/>
      <c r="L111" s="4"/>
      <c r="M111" s="9"/>
      <c r="N111" s="4"/>
      <c r="O111" s="4"/>
      <c r="P111" s="4"/>
      <c r="Q111" s="4"/>
      <c r="R111" s="9"/>
      <c r="S111" s="4"/>
      <c r="T111" s="4"/>
      <c r="U111" s="4"/>
      <c r="V111" s="4"/>
      <c r="W111" s="9"/>
      <c r="X111" s="4"/>
      <c r="Y111" s="4"/>
      <c r="Z111" s="4"/>
      <c r="AA111" s="4"/>
      <c r="AB111" s="9"/>
      <c r="AC111" s="4"/>
      <c r="AD111" s="4"/>
      <c r="AE111" s="4"/>
      <c r="AF111" s="4"/>
    </row>
    <row r="112" spans="1:32" s="3" customFormat="1" ht="20.100000000000001" customHeight="1" x14ac:dyDescent="0.25">
      <c r="B112" s="4"/>
      <c r="C112" s="2"/>
      <c r="E112" s="4"/>
      <c r="F112" s="4"/>
      <c r="G112" s="4"/>
      <c r="H112" s="9"/>
      <c r="I112" s="4"/>
      <c r="J112" s="4"/>
      <c r="K112" s="4"/>
      <c r="L112" s="4"/>
      <c r="M112" s="9"/>
      <c r="N112" s="4"/>
      <c r="O112" s="4"/>
      <c r="P112" s="4"/>
      <c r="Q112" s="4"/>
      <c r="R112" s="9"/>
      <c r="S112" s="4"/>
      <c r="T112" s="4"/>
      <c r="U112" s="4"/>
      <c r="V112" s="4"/>
      <c r="W112" s="9"/>
      <c r="X112" s="4"/>
      <c r="Y112" s="4"/>
      <c r="Z112" s="4"/>
      <c r="AA112" s="4"/>
      <c r="AB112" s="9"/>
      <c r="AC112" s="4"/>
      <c r="AD112" s="4"/>
      <c r="AE112" s="4"/>
      <c r="AF112" s="4"/>
    </row>
    <row r="113" spans="1:32" s="3" customFormat="1" ht="20.100000000000001" customHeight="1" x14ac:dyDescent="0.25">
      <c r="A113" s="77" t="s">
        <v>93</v>
      </c>
      <c r="B113" s="4"/>
      <c r="C113" s="2"/>
      <c r="D113" s="3" t="s">
        <v>94</v>
      </c>
      <c r="E113" s="4">
        <v>1</v>
      </c>
      <c r="F113" s="4"/>
      <c r="G113" s="4"/>
      <c r="H113" s="9"/>
      <c r="I113" s="4"/>
      <c r="J113" s="4"/>
      <c r="K113" s="4"/>
      <c r="L113" s="4"/>
      <c r="M113" s="9"/>
      <c r="N113" s="4"/>
      <c r="O113" s="4"/>
      <c r="P113" s="4"/>
      <c r="Q113" s="4"/>
      <c r="R113" s="9"/>
      <c r="S113" s="4"/>
      <c r="T113" s="4"/>
      <c r="U113" s="4"/>
      <c r="V113" s="4"/>
      <c r="W113" s="9"/>
      <c r="X113" s="4"/>
      <c r="Y113" s="4"/>
      <c r="Z113" s="4"/>
      <c r="AA113" s="4"/>
      <c r="AB113" s="9"/>
      <c r="AC113" s="4"/>
      <c r="AD113" s="4"/>
      <c r="AE113" s="4"/>
      <c r="AF113" s="4"/>
    </row>
    <row r="114" spans="1:32" s="3" customFormat="1" ht="20.100000000000001" customHeight="1" x14ac:dyDescent="0.25">
      <c r="A114" s="77"/>
      <c r="B114" s="4"/>
      <c r="C114" s="2"/>
      <c r="D114" s="3" t="s">
        <v>95</v>
      </c>
      <c r="E114" s="4">
        <v>1</v>
      </c>
      <c r="F114" s="4"/>
      <c r="G114" s="4"/>
      <c r="H114" s="9"/>
      <c r="I114" s="4"/>
      <c r="J114" s="4"/>
      <c r="K114" s="4"/>
      <c r="L114" s="4"/>
      <c r="M114" s="9"/>
      <c r="N114" s="4"/>
      <c r="O114" s="4"/>
      <c r="P114" s="4"/>
      <c r="Q114" s="4"/>
      <c r="R114" s="9"/>
      <c r="S114" s="4"/>
      <c r="T114" s="4"/>
      <c r="U114" s="4"/>
      <c r="V114" s="4"/>
      <c r="W114" s="9"/>
      <c r="X114" s="4"/>
      <c r="Y114" s="4"/>
      <c r="Z114" s="4"/>
      <c r="AA114" s="4"/>
      <c r="AB114" s="9"/>
      <c r="AC114" s="4"/>
      <c r="AD114" s="4"/>
      <c r="AE114" s="4"/>
      <c r="AF114" s="4"/>
    </row>
    <row r="115" spans="1:32" s="3" customFormat="1" ht="20.100000000000001" customHeight="1" x14ac:dyDescent="0.25">
      <c r="A115" s="77"/>
      <c r="B115" s="4"/>
      <c r="C115" s="2"/>
      <c r="D115" s="3" t="s">
        <v>96</v>
      </c>
      <c r="E115" s="4">
        <v>1</v>
      </c>
      <c r="F115" s="4"/>
      <c r="G115" s="4"/>
      <c r="H115" s="9"/>
      <c r="I115" s="4"/>
      <c r="J115" s="4"/>
      <c r="K115" s="4"/>
      <c r="L115" s="4"/>
      <c r="M115" s="9"/>
      <c r="N115" s="4"/>
      <c r="O115" s="4"/>
      <c r="P115" s="4"/>
      <c r="Q115" s="4"/>
      <c r="R115" s="9"/>
      <c r="S115" s="4"/>
      <c r="T115" s="4"/>
      <c r="U115" s="4"/>
      <c r="V115" s="4"/>
      <c r="W115" s="9"/>
      <c r="X115" s="4"/>
      <c r="Y115" s="4"/>
      <c r="Z115" s="4"/>
      <c r="AA115" s="4"/>
      <c r="AB115" s="9"/>
      <c r="AC115" s="4"/>
      <c r="AD115" s="4"/>
      <c r="AE115" s="4"/>
      <c r="AF115" s="4"/>
    </row>
    <row r="116" spans="1:32" s="3" customFormat="1" ht="20.100000000000001" customHeight="1" x14ac:dyDescent="0.25">
      <c r="A116" s="77"/>
      <c r="B116" s="4"/>
      <c r="C116" s="2"/>
      <c r="D116" s="3" t="s">
        <v>97</v>
      </c>
      <c r="E116" s="4">
        <v>1</v>
      </c>
      <c r="F116" s="4"/>
      <c r="G116" s="4"/>
      <c r="H116" s="9"/>
      <c r="I116" s="4"/>
      <c r="J116" s="4"/>
      <c r="K116" s="4"/>
      <c r="L116" s="4"/>
      <c r="M116" s="9"/>
      <c r="N116" s="4"/>
      <c r="O116" s="4"/>
      <c r="P116" s="4"/>
      <c r="Q116" s="4"/>
      <c r="R116" s="9"/>
      <c r="S116" s="4"/>
      <c r="T116" s="4"/>
      <c r="U116" s="4"/>
      <c r="V116" s="4"/>
      <c r="W116" s="9"/>
      <c r="X116" s="4"/>
      <c r="Y116" s="4"/>
      <c r="Z116" s="4"/>
      <c r="AA116" s="4"/>
      <c r="AB116" s="9"/>
      <c r="AC116" s="4"/>
      <c r="AD116" s="4"/>
      <c r="AE116" s="4"/>
      <c r="AF116" s="4"/>
    </row>
    <row r="117" spans="1:32" s="3" customFormat="1" ht="20.100000000000001" customHeight="1" x14ac:dyDescent="0.25">
      <c r="B117" s="4"/>
      <c r="C117" s="2"/>
      <c r="E117" s="4"/>
      <c r="F117" s="4"/>
      <c r="G117" s="4"/>
      <c r="H117" s="9"/>
      <c r="I117" s="4"/>
      <c r="J117" s="4"/>
      <c r="K117" s="4"/>
      <c r="L117" s="4"/>
      <c r="M117" s="9"/>
      <c r="N117" s="4"/>
      <c r="O117" s="4"/>
      <c r="P117" s="4"/>
      <c r="Q117" s="4"/>
      <c r="R117" s="9"/>
      <c r="S117" s="4"/>
      <c r="T117" s="4"/>
      <c r="U117" s="4"/>
      <c r="V117" s="4"/>
      <c r="W117" s="9"/>
      <c r="X117" s="4"/>
      <c r="Y117" s="4"/>
      <c r="Z117" s="4"/>
      <c r="AA117" s="4"/>
      <c r="AB117" s="9"/>
      <c r="AC117" s="4"/>
      <c r="AD117" s="4"/>
      <c r="AE117" s="4"/>
      <c r="AF117" s="4"/>
    </row>
    <row r="118" spans="1:32" s="3" customFormat="1" ht="20.100000000000001" customHeight="1" x14ac:dyDescent="0.25">
      <c r="A118" s="77" t="s">
        <v>98</v>
      </c>
      <c r="B118" s="4"/>
      <c r="C118" s="2"/>
      <c r="D118" s="3" t="s">
        <v>99</v>
      </c>
      <c r="E118" s="4">
        <v>1</v>
      </c>
      <c r="F118" s="4"/>
      <c r="G118" s="4"/>
      <c r="H118" s="9"/>
      <c r="I118" s="4"/>
      <c r="J118" s="4"/>
      <c r="K118" s="4"/>
      <c r="L118" s="4"/>
      <c r="M118" s="9"/>
      <c r="N118" s="4"/>
      <c r="O118" s="4"/>
      <c r="P118" s="4"/>
      <c r="Q118" s="4"/>
      <c r="R118" s="9"/>
      <c r="S118" s="4"/>
      <c r="T118" s="4"/>
      <c r="U118" s="4"/>
      <c r="V118" s="4"/>
      <c r="W118" s="9"/>
      <c r="X118" s="4"/>
      <c r="Y118" s="4"/>
      <c r="Z118" s="4"/>
      <c r="AA118" s="4"/>
      <c r="AB118" s="9"/>
      <c r="AC118" s="4"/>
      <c r="AD118" s="4"/>
      <c r="AE118" s="4"/>
      <c r="AF118" s="4"/>
    </row>
    <row r="119" spans="1:32" s="3" customFormat="1" ht="20.100000000000001" customHeight="1" x14ac:dyDescent="0.25">
      <c r="A119" s="77"/>
      <c r="B119" s="4"/>
      <c r="C119" s="2"/>
      <c r="D119" s="3" t="s">
        <v>100</v>
      </c>
      <c r="E119" s="4">
        <v>1</v>
      </c>
      <c r="F119" s="4"/>
      <c r="G119" s="4"/>
      <c r="H119" s="9"/>
      <c r="I119" s="4"/>
      <c r="J119" s="4"/>
      <c r="K119" s="4"/>
      <c r="L119" s="4"/>
      <c r="M119" s="9"/>
      <c r="N119" s="4"/>
      <c r="O119" s="4"/>
      <c r="P119" s="4"/>
      <c r="Q119" s="4"/>
      <c r="R119" s="9"/>
      <c r="S119" s="4"/>
      <c r="T119" s="4"/>
      <c r="U119" s="4"/>
      <c r="V119" s="4"/>
      <c r="W119" s="9"/>
      <c r="X119" s="4"/>
      <c r="Y119" s="4"/>
      <c r="Z119" s="4"/>
      <c r="AA119" s="4"/>
      <c r="AB119" s="9"/>
      <c r="AC119" s="4"/>
      <c r="AD119" s="4"/>
      <c r="AE119" s="4"/>
      <c r="AF119" s="4"/>
    </row>
    <row r="120" spans="1:32" s="3" customFormat="1" ht="20.100000000000001" customHeight="1" x14ac:dyDescent="0.25">
      <c r="A120" s="77"/>
      <c r="B120" s="4"/>
      <c r="C120" s="2"/>
      <c r="D120" s="3" t="s">
        <v>101</v>
      </c>
      <c r="E120" s="4">
        <v>1</v>
      </c>
      <c r="F120" s="4"/>
      <c r="G120" s="4"/>
      <c r="H120" s="9"/>
      <c r="I120" s="4"/>
      <c r="J120" s="4"/>
      <c r="K120" s="4"/>
      <c r="L120" s="4"/>
      <c r="M120" s="9"/>
      <c r="N120" s="4"/>
      <c r="O120" s="4"/>
      <c r="P120" s="4"/>
      <c r="Q120" s="4"/>
      <c r="R120" s="9"/>
      <c r="S120" s="4"/>
      <c r="T120" s="4"/>
      <c r="U120" s="4"/>
      <c r="V120" s="4"/>
      <c r="W120" s="9"/>
      <c r="X120" s="4"/>
      <c r="Y120" s="4"/>
      <c r="Z120" s="4"/>
      <c r="AA120" s="4"/>
      <c r="AB120" s="9"/>
      <c r="AC120" s="4"/>
      <c r="AD120" s="4"/>
      <c r="AE120" s="4"/>
      <c r="AF120" s="4"/>
    </row>
    <row r="121" spans="1:32" s="3" customFormat="1" ht="20.100000000000001" customHeight="1" x14ac:dyDescent="0.25">
      <c r="A121" s="77"/>
      <c r="B121" s="4"/>
      <c r="C121" s="2"/>
      <c r="D121" s="3" t="s">
        <v>102</v>
      </c>
      <c r="E121" s="4">
        <v>1</v>
      </c>
      <c r="F121" s="4"/>
      <c r="G121" s="4"/>
      <c r="H121" s="9"/>
      <c r="I121" s="4"/>
      <c r="J121" s="4"/>
      <c r="K121" s="4"/>
      <c r="L121" s="4"/>
      <c r="M121" s="9"/>
      <c r="N121" s="4"/>
      <c r="O121" s="4"/>
      <c r="P121" s="4"/>
      <c r="Q121" s="4"/>
      <c r="R121" s="9"/>
      <c r="S121" s="4"/>
      <c r="T121" s="4"/>
      <c r="U121" s="4"/>
      <c r="V121" s="4"/>
      <c r="W121" s="9"/>
      <c r="X121" s="4"/>
      <c r="Y121" s="4"/>
      <c r="Z121" s="4"/>
      <c r="AA121" s="4"/>
      <c r="AB121" s="9"/>
      <c r="AC121" s="4"/>
      <c r="AD121" s="4"/>
      <c r="AE121" s="4"/>
      <c r="AF121" s="4"/>
    </row>
    <row r="122" spans="1:32" s="3" customFormat="1" ht="20.100000000000001" customHeight="1" x14ac:dyDescent="0.25">
      <c r="B122" s="4"/>
      <c r="C122" s="2"/>
      <c r="E122" s="4"/>
      <c r="F122" s="4"/>
      <c r="G122" s="4"/>
      <c r="H122" s="9"/>
      <c r="I122" s="4"/>
      <c r="J122" s="4"/>
      <c r="K122" s="4"/>
      <c r="L122" s="4"/>
      <c r="M122" s="9"/>
      <c r="N122" s="4"/>
      <c r="O122" s="4"/>
      <c r="P122" s="4"/>
      <c r="Q122" s="4"/>
      <c r="R122" s="9"/>
      <c r="S122" s="4"/>
      <c r="T122" s="4"/>
      <c r="U122" s="4"/>
      <c r="V122" s="4"/>
      <c r="W122" s="9"/>
      <c r="X122" s="4"/>
      <c r="Y122" s="4"/>
      <c r="Z122" s="4"/>
      <c r="AA122" s="4"/>
      <c r="AB122" s="9"/>
      <c r="AC122" s="4"/>
      <c r="AD122" s="4"/>
      <c r="AE122" s="4"/>
      <c r="AF122" s="4"/>
    </row>
    <row r="123" spans="1:32" s="3" customFormat="1" ht="20.100000000000001" customHeight="1" x14ac:dyDescent="0.25">
      <c r="A123" s="77" t="s">
        <v>103</v>
      </c>
      <c r="B123" s="4"/>
      <c r="C123" s="2"/>
      <c r="D123" s="3" t="s">
        <v>104</v>
      </c>
      <c r="E123" s="4">
        <v>1</v>
      </c>
      <c r="F123" s="4"/>
      <c r="G123" s="4"/>
      <c r="H123" s="9"/>
      <c r="I123" s="4"/>
      <c r="J123" s="4"/>
      <c r="K123" s="4"/>
      <c r="L123" s="4"/>
      <c r="M123" s="9"/>
      <c r="N123" s="4"/>
      <c r="O123" s="4"/>
      <c r="P123" s="4"/>
      <c r="Q123" s="4"/>
      <c r="R123" s="9"/>
      <c r="S123" s="4"/>
      <c r="T123" s="4"/>
      <c r="U123" s="4"/>
      <c r="V123" s="4"/>
      <c r="W123" s="9"/>
      <c r="X123" s="4"/>
      <c r="Y123" s="4"/>
      <c r="Z123" s="4"/>
      <c r="AA123" s="4"/>
      <c r="AB123" s="9"/>
      <c r="AC123" s="4"/>
      <c r="AD123" s="4"/>
      <c r="AE123" s="4"/>
      <c r="AF123" s="4"/>
    </row>
    <row r="124" spans="1:32" s="3" customFormat="1" ht="20.100000000000001" customHeight="1" x14ac:dyDescent="0.25">
      <c r="A124" s="77"/>
      <c r="B124" s="4"/>
      <c r="C124" s="2"/>
      <c r="D124" s="3" t="s">
        <v>105</v>
      </c>
      <c r="E124" s="4">
        <v>1</v>
      </c>
      <c r="F124" s="4"/>
      <c r="G124" s="4"/>
      <c r="H124" s="9"/>
      <c r="I124" s="4"/>
      <c r="J124" s="4"/>
      <c r="K124" s="4"/>
      <c r="L124" s="4"/>
      <c r="M124" s="9"/>
      <c r="N124" s="4"/>
      <c r="O124" s="4"/>
      <c r="P124" s="4"/>
      <c r="Q124" s="4"/>
      <c r="R124" s="9"/>
      <c r="S124" s="4"/>
      <c r="T124" s="4"/>
      <c r="U124" s="4"/>
      <c r="V124" s="4"/>
      <c r="W124" s="9"/>
      <c r="X124" s="4"/>
      <c r="Y124" s="4"/>
      <c r="Z124" s="4"/>
      <c r="AA124" s="4"/>
      <c r="AB124" s="9"/>
      <c r="AC124" s="4"/>
      <c r="AD124" s="4"/>
      <c r="AE124" s="4"/>
      <c r="AF124" s="4"/>
    </row>
    <row r="125" spans="1:32" s="3" customFormat="1" ht="20.100000000000001" customHeight="1" x14ac:dyDescent="0.25">
      <c r="B125" s="4"/>
      <c r="C125" s="2"/>
      <c r="E125" s="4"/>
      <c r="F125" s="4"/>
      <c r="G125" s="4"/>
      <c r="H125" s="9"/>
      <c r="I125" s="4"/>
      <c r="J125" s="4"/>
      <c r="K125" s="4"/>
      <c r="L125" s="4"/>
      <c r="M125" s="9"/>
      <c r="N125" s="4"/>
      <c r="O125" s="4"/>
      <c r="P125" s="4"/>
      <c r="Q125" s="4"/>
      <c r="R125" s="9"/>
      <c r="S125" s="4"/>
      <c r="T125" s="4"/>
      <c r="U125" s="4"/>
      <c r="V125" s="4"/>
      <c r="W125" s="9"/>
      <c r="X125" s="4"/>
      <c r="Y125" s="4"/>
      <c r="Z125" s="4"/>
      <c r="AA125" s="4"/>
      <c r="AB125" s="9"/>
      <c r="AC125" s="4"/>
      <c r="AD125" s="4"/>
      <c r="AE125" s="4"/>
      <c r="AF125" s="4"/>
    </row>
    <row r="126" spans="1:32" s="3" customFormat="1" ht="20.100000000000001" customHeight="1" x14ac:dyDescent="0.25">
      <c r="A126" s="77" t="s">
        <v>106</v>
      </c>
      <c r="B126" s="4"/>
      <c r="C126" s="2"/>
      <c r="D126" s="3" t="s">
        <v>107</v>
      </c>
      <c r="E126" s="4">
        <v>1</v>
      </c>
      <c r="F126" s="4"/>
      <c r="G126" s="4"/>
      <c r="H126" s="9"/>
      <c r="I126" s="4"/>
      <c r="J126" s="4"/>
      <c r="K126" s="4"/>
      <c r="L126" s="4"/>
      <c r="M126" s="9"/>
      <c r="N126" s="4"/>
      <c r="O126" s="4"/>
      <c r="P126" s="4"/>
      <c r="Q126" s="4"/>
      <c r="R126" s="9"/>
      <c r="S126" s="4"/>
      <c r="T126" s="4"/>
      <c r="U126" s="4"/>
      <c r="V126" s="4"/>
      <c r="W126" s="9"/>
      <c r="X126" s="4"/>
      <c r="Y126" s="4"/>
      <c r="Z126" s="4"/>
      <c r="AA126" s="4"/>
      <c r="AB126" s="9"/>
      <c r="AC126" s="4"/>
      <c r="AD126" s="4"/>
      <c r="AE126" s="4"/>
      <c r="AF126" s="4"/>
    </row>
    <row r="127" spans="1:32" s="3" customFormat="1" ht="20.100000000000001" customHeight="1" x14ac:dyDescent="0.25">
      <c r="A127" s="77"/>
      <c r="B127" s="4"/>
      <c r="C127" s="2"/>
      <c r="D127" s="3" t="s">
        <v>108</v>
      </c>
      <c r="E127" s="4">
        <v>1</v>
      </c>
      <c r="F127" s="4"/>
      <c r="G127" s="4"/>
      <c r="H127" s="9"/>
      <c r="I127" s="4"/>
      <c r="J127" s="4"/>
      <c r="K127" s="4"/>
      <c r="L127" s="4"/>
      <c r="M127" s="9"/>
      <c r="N127" s="4"/>
      <c r="O127" s="4"/>
      <c r="P127" s="4"/>
      <c r="Q127" s="4"/>
      <c r="R127" s="9"/>
      <c r="S127" s="4"/>
      <c r="T127" s="4"/>
      <c r="U127" s="4"/>
      <c r="V127" s="4"/>
      <c r="W127" s="9"/>
      <c r="X127" s="4"/>
      <c r="Y127" s="4"/>
      <c r="Z127" s="4"/>
      <c r="AA127" s="4"/>
      <c r="AB127" s="9"/>
      <c r="AC127" s="4"/>
      <c r="AD127" s="4"/>
      <c r="AE127" s="4"/>
      <c r="AF127" s="4"/>
    </row>
    <row r="128" spans="1:32" s="3" customFormat="1" ht="20.100000000000001" customHeight="1" x14ac:dyDescent="0.25">
      <c r="B128" s="4"/>
      <c r="C128" s="2"/>
      <c r="E128" s="4"/>
      <c r="F128" s="4"/>
      <c r="G128" s="4"/>
      <c r="H128" s="9"/>
      <c r="I128" s="4"/>
      <c r="J128" s="4"/>
      <c r="K128" s="4"/>
      <c r="L128" s="4"/>
      <c r="M128" s="9"/>
      <c r="N128" s="4"/>
      <c r="O128" s="4"/>
      <c r="P128" s="4"/>
      <c r="Q128" s="4"/>
      <c r="R128" s="9"/>
      <c r="S128" s="4"/>
      <c r="T128" s="4"/>
      <c r="U128" s="4"/>
      <c r="V128" s="4"/>
      <c r="W128" s="9"/>
      <c r="X128" s="4"/>
      <c r="Y128" s="4"/>
      <c r="Z128" s="4"/>
      <c r="AA128" s="4"/>
      <c r="AB128" s="9"/>
      <c r="AC128" s="4"/>
      <c r="AD128" s="4"/>
      <c r="AE128" s="4"/>
      <c r="AF128" s="4"/>
    </row>
    <row r="129" spans="1:32" s="3" customFormat="1" ht="20.100000000000001" customHeight="1" x14ac:dyDescent="0.25">
      <c r="A129" s="77" t="s">
        <v>109</v>
      </c>
      <c r="B129" s="4"/>
      <c r="C129" s="2"/>
      <c r="D129" s="3" t="s">
        <v>110</v>
      </c>
      <c r="E129" s="4">
        <v>1</v>
      </c>
      <c r="F129" s="4"/>
      <c r="G129" s="4"/>
      <c r="H129" s="9"/>
      <c r="I129" s="4"/>
      <c r="J129" s="4"/>
      <c r="K129" s="4"/>
      <c r="L129" s="4"/>
      <c r="M129" s="9"/>
      <c r="N129" s="4"/>
      <c r="O129" s="4"/>
      <c r="P129" s="4"/>
      <c r="Q129" s="4"/>
      <c r="R129" s="9"/>
      <c r="S129" s="4"/>
      <c r="T129" s="4"/>
      <c r="U129" s="4"/>
      <c r="V129" s="4"/>
      <c r="W129" s="9"/>
      <c r="X129" s="4"/>
      <c r="Y129" s="4"/>
      <c r="Z129" s="4"/>
      <c r="AA129" s="4"/>
      <c r="AB129" s="9"/>
      <c r="AC129" s="4"/>
      <c r="AD129" s="4"/>
      <c r="AE129" s="4"/>
      <c r="AF129" s="4"/>
    </row>
    <row r="130" spans="1:32" s="3" customFormat="1" ht="20.100000000000001" customHeight="1" x14ac:dyDescent="0.25">
      <c r="A130" s="77"/>
      <c r="B130" s="4"/>
      <c r="C130" s="2"/>
      <c r="D130" s="3" t="s">
        <v>111</v>
      </c>
      <c r="E130" s="4">
        <v>1</v>
      </c>
      <c r="F130" s="4"/>
      <c r="G130" s="4"/>
      <c r="H130" s="9"/>
      <c r="I130" s="4"/>
      <c r="J130" s="4"/>
      <c r="K130" s="4"/>
      <c r="L130" s="4"/>
      <c r="M130" s="9"/>
      <c r="N130" s="4"/>
      <c r="O130" s="4"/>
      <c r="P130" s="4"/>
      <c r="Q130" s="4"/>
      <c r="R130" s="9"/>
      <c r="S130" s="4"/>
      <c r="T130" s="4"/>
      <c r="U130" s="4"/>
      <c r="V130" s="4"/>
      <c r="W130" s="9"/>
      <c r="X130" s="4"/>
      <c r="Y130" s="4"/>
      <c r="Z130" s="4"/>
      <c r="AA130" s="4"/>
      <c r="AB130" s="9"/>
      <c r="AC130" s="4"/>
      <c r="AD130" s="4"/>
      <c r="AE130" s="4"/>
      <c r="AF130" s="4"/>
    </row>
    <row r="131" spans="1:32" s="3" customFormat="1" ht="20.100000000000001" customHeight="1" x14ac:dyDescent="0.25">
      <c r="B131" s="4"/>
      <c r="C131" s="2"/>
      <c r="E131" s="4"/>
      <c r="F131" s="4"/>
      <c r="G131" s="4"/>
      <c r="H131" s="9"/>
      <c r="I131" s="4"/>
      <c r="J131" s="4"/>
      <c r="K131" s="4"/>
      <c r="L131" s="4"/>
      <c r="M131" s="9"/>
      <c r="N131" s="4"/>
      <c r="O131" s="4"/>
      <c r="P131" s="4"/>
      <c r="Q131" s="4"/>
      <c r="R131" s="9"/>
      <c r="S131" s="4"/>
      <c r="T131" s="4"/>
      <c r="U131" s="4"/>
      <c r="V131" s="4"/>
      <c r="W131" s="9"/>
      <c r="X131" s="4"/>
      <c r="Y131" s="4"/>
      <c r="Z131" s="4"/>
      <c r="AA131" s="4"/>
      <c r="AB131" s="9"/>
      <c r="AC131" s="4"/>
      <c r="AD131" s="4"/>
      <c r="AE131" s="4"/>
      <c r="AF131" s="4"/>
    </row>
    <row r="132" spans="1:32" s="3" customFormat="1" ht="20.100000000000001" customHeight="1" x14ac:dyDescent="0.25">
      <c r="A132" s="77" t="s">
        <v>112</v>
      </c>
      <c r="B132" s="4"/>
      <c r="C132" s="2"/>
      <c r="D132" s="3" t="s">
        <v>113</v>
      </c>
      <c r="E132" s="4">
        <v>1</v>
      </c>
      <c r="F132" s="4"/>
      <c r="G132" s="4"/>
      <c r="H132" s="9"/>
      <c r="I132" s="4"/>
      <c r="J132" s="4"/>
      <c r="K132" s="4"/>
      <c r="L132" s="4"/>
      <c r="M132" s="9"/>
      <c r="N132" s="4"/>
      <c r="O132" s="4"/>
      <c r="P132" s="4"/>
      <c r="Q132" s="4"/>
      <c r="R132" s="9"/>
      <c r="S132" s="4"/>
      <c r="T132" s="4"/>
      <c r="U132" s="4"/>
      <c r="V132" s="4"/>
      <c r="W132" s="9"/>
      <c r="X132" s="4"/>
      <c r="Y132" s="4"/>
      <c r="Z132" s="4"/>
      <c r="AA132" s="4"/>
      <c r="AB132" s="9"/>
      <c r="AC132" s="4"/>
      <c r="AD132" s="4"/>
      <c r="AE132" s="4"/>
      <c r="AF132" s="4"/>
    </row>
    <row r="133" spans="1:32" s="3" customFormat="1" ht="20.100000000000001" customHeight="1" x14ac:dyDescent="0.25">
      <c r="A133" s="77"/>
      <c r="B133" s="4"/>
      <c r="C133" s="2"/>
      <c r="D133" s="3" t="s">
        <v>114</v>
      </c>
      <c r="E133" s="4">
        <v>1</v>
      </c>
      <c r="F133" s="4"/>
      <c r="G133" s="4"/>
      <c r="H133" s="9"/>
      <c r="I133" s="4"/>
      <c r="J133" s="4"/>
      <c r="K133" s="4"/>
      <c r="L133" s="4"/>
      <c r="M133" s="9"/>
      <c r="N133" s="4"/>
      <c r="O133" s="4"/>
      <c r="P133" s="4"/>
      <c r="Q133" s="4"/>
      <c r="R133" s="9"/>
      <c r="S133" s="4"/>
      <c r="T133" s="4"/>
      <c r="U133" s="4"/>
      <c r="V133" s="4"/>
      <c r="W133" s="9"/>
      <c r="X133" s="4"/>
      <c r="Y133" s="4"/>
      <c r="Z133" s="4"/>
      <c r="AA133" s="4"/>
      <c r="AB133" s="9"/>
      <c r="AC133" s="4"/>
      <c r="AD133" s="4"/>
      <c r="AE133" s="4"/>
      <c r="AF133" s="4"/>
    </row>
    <row r="134" spans="1:32" s="3" customFormat="1" ht="20.100000000000001" customHeight="1" x14ac:dyDescent="0.25">
      <c r="B134" s="4"/>
      <c r="C134" s="2"/>
      <c r="E134" s="4"/>
      <c r="F134" s="4"/>
      <c r="G134" s="4"/>
      <c r="H134" s="9"/>
      <c r="I134" s="4"/>
      <c r="J134" s="4"/>
      <c r="K134" s="4"/>
      <c r="L134" s="4"/>
      <c r="M134" s="9"/>
      <c r="N134" s="4"/>
      <c r="O134" s="4"/>
      <c r="P134" s="4"/>
      <c r="Q134" s="4"/>
      <c r="R134" s="9"/>
      <c r="S134" s="4"/>
      <c r="T134" s="4"/>
      <c r="U134" s="4"/>
      <c r="V134" s="4"/>
      <c r="W134" s="9"/>
      <c r="X134" s="4"/>
      <c r="Y134" s="4"/>
      <c r="Z134" s="4"/>
      <c r="AA134" s="4"/>
      <c r="AB134" s="9"/>
      <c r="AC134" s="4"/>
      <c r="AD134" s="4"/>
      <c r="AE134" s="4"/>
      <c r="AF134" s="4"/>
    </row>
    <row r="135" spans="1:32" s="3" customFormat="1" ht="20.100000000000001" customHeight="1" x14ac:dyDescent="0.25">
      <c r="A135" s="77" t="s">
        <v>115</v>
      </c>
      <c r="B135" s="4"/>
      <c r="C135" s="2"/>
      <c r="D135" s="3" t="s">
        <v>116</v>
      </c>
      <c r="E135" s="4">
        <v>1</v>
      </c>
      <c r="F135" s="4"/>
      <c r="G135" s="4"/>
      <c r="H135" s="9"/>
      <c r="I135" s="4"/>
      <c r="J135" s="4"/>
      <c r="K135" s="4"/>
      <c r="L135" s="4"/>
      <c r="M135" s="9"/>
      <c r="N135" s="4"/>
      <c r="O135" s="4"/>
      <c r="P135" s="4"/>
      <c r="Q135" s="4"/>
      <c r="R135" s="9"/>
      <c r="S135" s="4"/>
      <c r="T135" s="4"/>
      <c r="U135" s="4"/>
      <c r="V135" s="4"/>
      <c r="W135" s="9"/>
      <c r="X135" s="4"/>
      <c r="Y135" s="4"/>
      <c r="Z135" s="4"/>
      <c r="AA135" s="4"/>
      <c r="AB135" s="9"/>
      <c r="AC135" s="4"/>
      <c r="AD135" s="4"/>
      <c r="AE135" s="4"/>
      <c r="AF135" s="4"/>
    </row>
    <row r="136" spans="1:32" s="3" customFormat="1" ht="20.100000000000001" customHeight="1" x14ac:dyDescent="0.25">
      <c r="A136" s="77"/>
      <c r="B136" s="4"/>
      <c r="C136" s="2"/>
      <c r="D136" s="3" t="s">
        <v>117</v>
      </c>
      <c r="E136" s="4">
        <v>1</v>
      </c>
      <c r="F136" s="4"/>
      <c r="G136" s="4"/>
      <c r="H136" s="9"/>
      <c r="I136" s="4"/>
      <c r="J136" s="4"/>
      <c r="K136" s="4"/>
      <c r="L136" s="4"/>
      <c r="M136" s="9"/>
      <c r="N136" s="4"/>
      <c r="O136" s="4"/>
      <c r="P136" s="4"/>
      <c r="Q136" s="4"/>
      <c r="R136" s="9"/>
      <c r="S136" s="4"/>
      <c r="T136" s="4"/>
      <c r="U136" s="4"/>
      <c r="V136" s="4"/>
      <c r="W136" s="9"/>
      <c r="X136" s="4"/>
      <c r="Y136" s="4"/>
      <c r="Z136" s="4"/>
      <c r="AA136" s="4"/>
      <c r="AB136" s="9"/>
      <c r="AC136" s="4"/>
      <c r="AD136" s="4"/>
      <c r="AE136" s="4"/>
      <c r="AF136" s="4"/>
    </row>
    <row r="137" spans="1:32" s="3" customFormat="1" ht="20.100000000000001" customHeight="1" x14ac:dyDescent="0.25">
      <c r="B137" s="4"/>
      <c r="C137" s="2"/>
      <c r="E137" s="4"/>
      <c r="F137" s="4"/>
      <c r="G137" s="4"/>
      <c r="H137" s="9"/>
      <c r="I137" s="4"/>
      <c r="J137" s="4"/>
      <c r="K137" s="4"/>
      <c r="L137" s="4"/>
      <c r="M137" s="9"/>
      <c r="N137" s="4"/>
      <c r="O137" s="4"/>
      <c r="P137" s="4"/>
      <c r="Q137" s="4"/>
      <c r="R137" s="9"/>
      <c r="S137" s="4"/>
      <c r="T137" s="4"/>
      <c r="U137" s="4"/>
      <c r="V137" s="4"/>
      <c r="W137" s="9"/>
      <c r="X137" s="4"/>
      <c r="Y137" s="4"/>
      <c r="Z137" s="4"/>
      <c r="AA137" s="4"/>
      <c r="AB137" s="9"/>
      <c r="AC137" s="4"/>
      <c r="AD137" s="4"/>
      <c r="AE137" s="4"/>
      <c r="AF137" s="4"/>
    </row>
    <row r="138" spans="1:32" s="3" customFormat="1" ht="20.100000000000001" customHeight="1" x14ac:dyDescent="0.25">
      <c r="A138" s="77" t="s">
        <v>118</v>
      </c>
      <c r="B138" s="4"/>
      <c r="C138" s="2"/>
      <c r="D138" s="3" t="s">
        <v>119</v>
      </c>
      <c r="E138" s="4">
        <v>1</v>
      </c>
      <c r="F138" s="4"/>
      <c r="G138" s="4"/>
      <c r="H138" s="9"/>
      <c r="I138" s="4"/>
      <c r="J138" s="4"/>
      <c r="K138" s="4"/>
      <c r="L138" s="4"/>
      <c r="M138" s="9"/>
      <c r="N138" s="4"/>
      <c r="O138" s="4"/>
      <c r="P138" s="4"/>
      <c r="Q138" s="4"/>
      <c r="R138" s="9"/>
      <c r="S138" s="4"/>
      <c r="T138" s="4"/>
      <c r="U138" s="4"/>
      <c r="V138" s="4"/>
      <c r="W138" s="9"/>
      <c r="X138" s="4"/>
      <c r="Y138" s="4"/>
      <c r="Z138" s="4"/>
      <c r="AA138" s="4"/>
      <c r="AB138" s="9"/>
      <c r="AC138" s="4"/>
      <c r="AD138" s="4"/>
      <c r="AE138" s="4"/>
      <c r="AF138" s="4"/>
    </row>
    <row r="139" spans="1:32" s="3" customFormat="1" ht="20.100000000000001" customHeight="1" x14ac:dyDescent="0.25">
      <c r="A139" s="77"/>
      <c r="B139" s="4"/>
      <c r="C139" s="2"/>
      <c r="D139" s="3" t="s">
        <v>120</v>
      </c>
      <c r="E139" s="4">
        <v>1</v>
      </c>
      <c r="F139" s="4"/>
      <c r="G139" s="4"/>
      <c r="H139" s="9"/>
      <c r="I139" s="4"/>
      <c r="J139" s="4"/>
      <c r="K139" s="4"/>
      <c r="L139" s="4"/>
      <c r="M139" s="9"/>
      <c r="N139" s="4"/>
      <c r="O139" s="4"/>
      <c r="P139" s="4"/>
      <c r="Q139" s="4"/>
      <c r="R139" s="9"/>
      <c r="S139" s="4"/>
      <c r="T139" s="4"/>
      <c r="U139" s="4"/>
      <c r="V139" s="4"/>
      <c r="W139" s="9"/>
      <c r="X139" s="4"/>
      <c r="Y139" s="4"/>
      <c r="Z139" s="4"/>
      <c r="AA139" s="4"/>
      <c r="AB139" s="9"/>
      <c r="AC139" s="4"/>
      <c r="AD139" s="4"/>
      <c r="AE139" s="4"/>
      <c r="AF139" s="4"/>
    </row>
    <row r="140" spans="1:32" s="3" customFormat="1" ht="20.100000000000001" customHeight="1" x14ac:dyDescent="0.25">
      <c r="B140" s="4"/>
      <c r="C140" s="2"/>
      <c r="E140" s="4"/>
      <c r="F140" s="4"/>
      <c r="G140" s="4"/>
      <c r="H140" s="9"/>
      <c r="I140" s="4"/>
      <c r="J140" s="4"/>
      <c r="K140" s="4"/>
      <c r="L140" s="4"/>
      <c r="M140" s="9"/>
      <c r="N140" s="4"/>
      <c r="O140" s="4"/>
      <c r="P140" s="4"/>
      <c r="Q140" s="4"/>
      <c r="R140" s="9"/>
      <c r="S140" s="4"/>
      <c r="T140" s="4"/>
      <c r="U140" s="4"/>
      <c r="V140" s="4"/>
      <c r="W140" s="9"/>
      <c r="X140" s="4"/>
      <c r="Y140" s="4"/>
      <c r="Z140" s="4"/>
      <c r="AA140" s="4"/>
      <c r="AB140" s="9"/>
      <c r="AC140" s="4"/>
      <c r="AD140" s="4"/>
      <c r="AE140" s="4"/>
      <c r="AF140" s="4"/>
    </row>
    <row r="141" spans="1:32" s="3" customFormat="1" ht="20.100000000000001" customHeight="1" x14ac:dyDescent="0.25">
      <c r="A141" s="77" t="s">
        <v>121</v>
      </c>
      <c r="B141" s="4"/>
      <c r="C141" s="2"/>
      <c r="D141" s="3" t="s">
        <v>122</v>
      </c>
      <c r="E141" s="4">
        <v>1</v>
      </c>
      <c r="F141" s="4"/>
      <c r="G141" s="4"/>
      <c r="H141" s="9"/>
      <c r="I141" s="4"/>
      <c r="J141" s="4"/>
      <c r="K141" s="4"/>
      <c r="L141" s="4"/>
      <c r="M141" s="9"/>
      <c r="N141" s="4"/>
      <c r="O141" s="4"/>
      <c r="P141" s="4"/>
      <c r="Q141" s="4"/>
      <c r="R141" s="9"/>
      <c r="S141" s="4"/>
      <c r="T141" s="4"/>
      <c r="U141" s="4"/>
      <c r="V141" s="4"/>
      <c r="W141" s="9"/>
      <c r="X141" s="4"/>
      <c r="Y141" s="4"/>
      <c r="Z141" s="4"/>
      <c r="AA141" s="4"/>
      <c r="AB141" s="9"/>
      <c r="AC141" s="4"/>
      <c r="AD141" s="4"/>
      <c r="AE141" s="4"/>
      <c r="AF141" s="4"/>
    </row>
    <row r="142" spans="1:32" s="3" customFormat="1" ht="20.100000000000001" customHeight="1" x14ac:dyDescent="0.25">
      <c r="A142" s="77"/>
      <c r="B142" s="4"/>
      <c r="C142" s="2"/>
      <c r="D142" s="3" t="s">
        <v>123</v>
      </c>
      <c r="E142" s="4">
        <v>1</v>
      </c>
      <c r="F142" s="4"/>
      <c r="G142" s="4"/>
      <c r="H142" s="9"/>
      <c r="I142" s="4"/>
      <c r="J142" s="4"/>
      <c r="K142" s="4"/>
      <c r="L142" s="4"/>
      <c r="M142" s="9"/>
      <c r="N142" s="4"/>
      <c r="O142" s="4"/>
      <c r="P142" s="4"/>
      <c r="Q142" s="4"/>
      <c r="R142" s="9"/>
      <c r="S142" s="4"/>
      <c r="T142" s="4"/>
      <c r="U142" s="4"/>
      <c r="V142" s="4"/>
      <c r="W142" s="9"/>
      <c r="X142" s="4"/>
      <c r="Y142" s="4"/>
      <c r="Z142" s="4"/>
      <c r="AA142" s="4"/>
      <c r="AB142" s="9"/>
      <c r="AC142" s="4"/>
      <c r="AD142" s="4"/>
      <c r="AE142" s="4"/>
      <c r="AF142" s="4"/>
    </row>
    <row r="143" spans="1:32" s="3" customFormat="1" ht="20.100000000000001" customHeight="1" x14ac:dyDescent="0.25">
      <c r="B143" s="4"/>
      <c r="C143" s="2"/>
      <c r="E143" s="4"/>
      <c r="F143" s="4"/>
      <c r="G143" s="4"/>
      <c r="H143" s="9"/>
      <c r="I143" s="4"/>
      <c r="J143" s="4"/>
      <c r="K143" s="4"/>
      <c r="L143" s="4"/>
      <c r="M143" s="9"/>
      <c r="N143" s="4"/>
      <c r="O143" s="4"/>
      <c r="P143" s="4"/>
      <c r="Q143" s="4"/>
      <c r="R143" s="9"/>
      <c r="S143" s="4"/>
      <c r="T143" s="4"/>
      <c r="U143" s="4"/>
      <c r="V143" s="4"/>
      <c r="W143" s="9"/>
      <c r="X143" s="4"/>
      <c r="Y143" s="4"/>
      <c r="Z143" s="4"/>
      <c r="AA143" s="4"/>
      <c r="AB143" s="9"/>
      <c r="AC143" s="4"/>
      <c r="AD143" s="4"/>
      <c r="AE143" s="4"/>
      <c r="AF143" s="4"/>
    </row>
    <row r="144" spans="1:32" s="3" customFormat="1" ht="20.100000000000001" customHeight="1" x14ac:dyDescent="0.25">
      <c r="A144" s="77" t="s">
        <v>130</v>
      </c>
      <c r="B144" s="4"/>
      <c r="C144" s="2"/>
      <c r="D144" s="3" t="s">
        <v>131</v>
      </c>
      <c r="E144" s="4">
        <v>1</v>
      </c>
      <c r="F144" s="4"/>
      <c r="G144" s="4"/>
      <c r="H144" s="9"/>
      <c r="I144" s="4"/>
      <c r="J144" s="4"/>
      <c r="K144" s="4"/>
      <c r="L144" s="4"/>
      <c r="M144" s="9"/>
      <c r="N144" s="4"/>
      <c r="O144" s="4"/>
      <c r="P144" s="4"/>
      <c r="Q144" s="4"/>
      <c r="R144" s="9"/>
      <c r="S144" s="4"/>
      <c r="T144" s="4"/>
      <c r="U144" s="4"/>
      <c r="V144" s="4"/>
      <c r="W144" s="9"/>
      <c r="X144" s="4"/>
      <c r="Y144" s="4"/>
      <c r="Z144" s="4"/>
      <c r="AA144" s="4"/>
      <c r="AB144" s="9"/>
      <c r="AC144" s="4"/>
      <c r="AD144" s="4"/>
      <c r="AE144" s="4"/>
      <c r="AF144" s="4"/>
    </row>
    <row r="145" spans="1:32" s="3" customFormat="1" ht="20.100000000000001" customHeight="1" x14ac:dyDescent="0.25">
      <c r="A145" s="77"/>
      <c r="B145" s="4"/>
      <c r="C145" s="2"/>
      <c r="D145" s="3" t="s">
        <v>132</v>
      </c>
      <c r="E145" s="4">
        <v>1</v>
      </c>
      <c r="F145" s="4"/>
      <c r="G145" s="4"/>
      <c r="H145" s="9"/>
      <c r="I145" s="4"/>
      <c r="J145" s="4"/>
      <c r="K145" s="4"/>
      <c r="L145" s="4"/>
      <c r="M145" s="9"/>
      <c r="N145" s="4"/>
      <c r="O145" s="4"/>
      <c r="P145" s="4"/>
      <c r="Q145" s="4"/>
      <c r="R145" s="9"/>
      <c r="S145" s="4"/>
      <c r="T145" s="4"/>
      <c r="U145" s="4"/>
      <c r="V145" s="4"/>
      <c r="W145" s="9"/>
      <c r="X145" s="4"/>
      <c r="Y145" s="4"/>
      <c r="Z145" s="4"/>
      <c r="AA145" s="4"/>
      <c r="AB145" s="9"/>
      <c r="AC145" s="4"/>
      <c r="AD145" s="4"/>
      <c r="AE145" s="4"/>
      <c r="AF145" s="4"/>
    </row>
  </sheetData>
  <mergeCells count="64">
    <mergeCell ref="AD2:AD5"/>
    <mergeCell ref="AE2:AE5"/>
    <mergeCell ref="W6:Z6"/>
    <mergeCell ref="AB6:AE6"/>
    <mergeCell ref="R6:U6"/>
    <mergeCell ref="X2:X5"/>
    <mergeCell ref="Y2:Y5"/>
    <mergeCell ref="Z2:Z5"/>
    <mergeCell ref="AC2:AC5"/>
    <mergeCell ref="B2:B6"/>
    <mergeCell ref="C1:C4"/>
    <mergeCell ref="H1:AB1"/>
    <mergeCell ref="E1:E6"/>
    <mergeCell ref="F1:F6"/>
    <mergeCell ref="H6:K6"/>
    <mergeCell ref="I2:I5"/>
    <mergeCell ref="J2:J5"/>
    <mergeCell ref="K2:K5"/>
    <mergeCell ref="M6:P6"/>
    <mergeCell ref="N2:N5"/>
    <mergeCell ref="O2:O5"/>
    <mergeCell ref="P2:P5"/>
    <mergeCell ref="S2:S5"/>
    <mergeCell ref="T2:T5"/>
    <mergeCell ref="U2:U5"/>
    <mergeCell ref="A8:A11"/>
    <mergeCell ref="A13:A16"/>
    <mergeCell ref="A18:A21"/>
    <mergeCell ref="A23:A26"/>
    <mergeCell ref="A28:A31"/>
    <mergeCell ref="A33:A34"/>
    <mergeCell ref="A36:A37"/>
    <mergeCell ref="A39:A40"/>
    <mergeCell ref="A42:A43"/>
    <mergeCell ref="A45:A46"/>
    <mergeCell ref="A48:A49"/>
    <mergeCell ref="A51:A54"/>
    <mergeCell ref="A56:A59"/>
    <mergeCell ref="A61:A62"/>
    <mergeCell ref="A64:A65"/>
    <mergeCell ref="A107:A108"/>
    <mergeCell ref="A110:A111"/>
    <mergeCell ref="A113:A116"/>
    <mergeCell ref="A67:A68"/>
    <mergeCell ref="A70:A71"/>
    <mergeCell ref="A73:A74"/>
    <mergeCell ref="A76:A77"/>
    <mergeCell ref="A79:A80"/>
    <mergeCell ref="A144:A145"/>
    <mergeCell ref="A101:A102"/>
    <mergeCell ref="A1:A6"/>
    <mergeCell ref="D1:D6"/>
    <mergeCell ref="A135:A136"/>
    <mergeCell ref="A138:A139"/>
    <mergeCell ref="A141:A142"/>
    <mergeCell ref="A98:A99"/>
    <mergeCell ref="A85:A86"/>
    <mergeCell ref="A118:A121"/>
    <mergeCell ref="A123:A124"/>
    <mergeCell ref="A126:A127"/>
    <mergeCell ref="A129:A130"/>
    <mergeCell ref="A132:A133"/>
    <mergeCell ref="A82:A83"/>
    <mergeCell ref="A104:A105"/>
  </mergeCells>
  <pageMargins left="0.25" right="0.25" top="0.75" bottom="0.75" header="0.3" footer="0.3"/>
  <pageSetup paperSize="9" scale="3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AY1066"/>
  <sheetViews>
    <sheetView topLeftCell="A10" zoomScale="70" zoomScaleNormal="70" workbookViewId="0">
      <selection activeCell="AD151" sqref="AD151:AD152"/>
    </sheetView>
  </sheetViews>
  <sheetFormatPr defaultRowHeight="18.75" outlineLevelCol="1" x14ac:dyDescent="0.3"/>
  <cols>
    <col min="1" max="1" width="4.7109375" style="29" customWidth="1"/>
    <col min="2" max="2" width="9.140625" style="56"/>
    <col min="3" max="3" width="9.140625" style="29"/>
    <col min="4" max="6" width="10.7109375" style="31" customWidth="1"/>
    <col min="7" max="7" width="4.7109375" style="29" customWidth="1"/>
    <col min="8" max="10" width="21.7109375" style="30" customWidth="1"/>
    <col min="11" max="11" width="4.7109375" style="29" customWidth="1"/>
    <col min="12" max="12" width="15.7109375" style="50" customWidth="1"/>
    <col min="13" max="16" width="10.7109375" style="29" hidden="1" customWidth="1" outlineLevel="1"/>
    <col min="17" max="17" width="4.7109375" style="29" customWidth="1" collapsed="1"/>
    <col min="18" max="18" width="15.7109375" style="52" customWidth="1"/>
    <col min="19" max="22" width="10.7109375" style="29" hidden="1" customWidth="1" outlineLevel="1"/>
    <col min="23" max="23" width="4.7109375" style="29" customWidth="1" collapsed="1"/>
    <col min="24" max="24" width="15.7109375" style="52" customWidth="1"/>
    <col min="25" max="28" width="10.7109375" style="29" hidden="1" customWidth="1" outlineLevel="1"/>
    <col min="29" max="29" width="4.7109375" style="29" customWidth="1" collapsed="1"/>
    <col min="30" max="30" width="15.7109375" style="52" customWidth="1"/>
    <col min="31" max="34" width="10.7109375" style="29" hidden="1" customWidth="1" outlineLevel="1"/>
    <col min="35" max="35" width="4.7109375" style="29" customWidth="1" collapsed="1"/>
    <col min="36" max="36" width="15.7109375" style="52" customWidth="1"/>
    <col min="37" max="40" width="10.7109375" style="29" hidden="1" customWidth="1" outlineLevel="1"/>
    <col min="41" max="41" width="4.7109375" style="29" customWidth="1" collapsed="1"/>
    <col min="42" max="16384" width="9.140625" style="29"/>
  </cols>
  <sheetData>
    <row r="1" spans="2:51" x14ac:dyDescent="0.3">
      <c r="L1" s="47"/>
      <c r="R1" s="51"/>
      <c r="X1" s="51"/>
      <c r="AD1" s="51"/>
      <c r="AJ1" s="51"/>
    </row>
    <row r="2" spans="2:51" ht="37.5" x14ac:dyDescent="0.3">
      <c r="L2" s="57"/>
      <c r="M2" s="38" t="s">
        <v>136</v>
      </c>
      <c r="N2" s="38" t="s">
        <v>137</v>
      </c>
      <c r="O2" s="38" t="s">
        <v>138</v>
      </c>
      <c r="P2" s="38" t="s">
        <v>139</v>
      </c>
      <c r="Q2" s="38"/>
      <c r="R2" s="57"/>
      <c r="S2" s="38" t="s">
        <v>136</v>
      </c>
      <c r="T2" s="38" t="s">
        <v>137</v>
      </c>
      <c r="U2" s="38" t="s">
        <v>138</v>
      </c>
      <c r="V2" s="38" t="s">
        <v>139</v>
      </c>
      <c r="W2" s="38"/>
      <c r="X2" s="57"/>
      <c r="Y2" s="38" t="s">
        <v>136</v>
      </c>
      <c r="Z2" s="38" t="s">
        <v>137</v>
      </c>
      <c r="AA2" s="38" t="s">
        <v>138</v>
      </c>
      <c r="AB2" s="38" t="s">
        <v>139</v>
      </c>
      <c r="AC2" s="38"/>
      <c r="AD2" s="57"/>
      <c r="AE2" s="38" t="s">
        <v>136</v>
      </c>
      <c r="AF2" s="38" t="s">
        <v>137</v>
      </c>
      <c r="AG2" s="38" t="s">
        <v>138</v>
      </c>
      <c r="AH2" s="38" t="s">
        <v>139</v>
      </c>
      <c r="AI2" s="38"/>
      <c r="AJ2" s="57"/>
      <c r="AK2" s="38" t="s">
        <v>136</v>
      </c>
      <c r="AL2" s="38" t="s">
        <v>137</v>
      </c>
      <c r="AM2" s="38" t="s">
        <v>138</v>
      </c>
      <c r="AN2" s="38" t="s">
        <v>139</v>
      </c>
    </row>
    <row r="3" spans="2:51" ht="19.5" thickBot="1" x14ac:dyDescent="0.35">
      <c r="L3" s="47"/>
      <c r="R3" s="51"/>
      <c r="X3" s="51"/>
      <c r="AD3" s="51"/>
      <c r="AJ3" s="51"/>
    </row>
    <row r="4" spans="2:51" s="38" customFormat="1" ht="36.75" customHeight="1" thickBot="1" x14ac:dyDescent="0.3">
      <c r="B4" s="95" t="s">
        <v>190</v>
      </c>
      <c r="D4" s="98" t="s">
        <v>147</v>
      </c>
      <c r="E4" s="99"/>
      <c r="F4" s="99"/>
      <c r="G4" s="99"/>
      <c r="H4" s="99"/>
      <c r="I4" s="99"/>
      <c r="J4" s="100"/>
      <c r="L4" s="117" t="s">
        <v>191</v>
      </c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9"/>
      <c r="AS4" s="59"/>
      <c r="AT4" s="59"/>
      <c r="AU4" s="59"/>
      <c r="AV4" s="59"/>
      <c r="AW4" s="59"/>
      <c r="AX4" s="59"/>
      <c r="AY4" s="59"/>
    </row>
    <row r="5" spans="2:51" ht="19.5" thickBot="1" x14ac:dyDescent="0.35">
      <c r="B5" s="96"/>
      <c r="C5" s="31"/>
      <c r="D5" s="101"/>
      <c r="E5" s="102"/>
      <c r="F5" s="102"/>
      <c r="G5" s="102"/>
      <c r="H5" s="102"/>
      <c r="I5" s="102"/>
      <c r="J5" s="103"/>
      <c r="L5" s="47"/>
      <c r="R5" s="51"/>
      <c r="X5" s="51"/>
      <c r="AD5" s="51"/>
      <c r="AJ5" s="51"/>
      <c r="AS5" s="60"/>
      <c r="AT5" s="60"/>
      <c r="AU5" s="60"/>
      <c r="AV5" s="60"/>
      <c r="AW5" s="60"/>
      <c r="AX5" s="60"/>
      <c r="AY5" s="60"/>
    </row>
    <row r="6" spans="2:51" ht="19.5" thickBot="1" x14ac:dyDescent="0.35">
      <c r="B6" s="97"/>
      <c r="C6" s="31"/>
      <c r="D6" s="104"/>
      <c r="E6" s="105"/>
      <c r="F6" s="105"/>
      <c r="G6" s="105"/>
      <c r="H6" s="105"/>
      <c r="I6" s="105"/>
      <c r="J6" s="106"/>
      <c r="L6" s="113" t="s">
        <v>2</v>
      </c>
      <c r="M6" s="114"/>
      <c r="N6" s="114"/>
      <c r="O6" s="114"/>
      <c r="P6" s="115"/>
      <c r="Q6" s="32"/>
      <c r="R6" s="113" t="s">
        <v>3</v>
      </c>
      <c r="S6" s="114"/>
      <c r="T6" s="114"/>
      <c r="U6" s="114"/>
      <c r="V6" s="115"/>
      <c r="W6" s="32"/>
      <c r="X6" s="113" t="s">
        <v>4</v>
      </c>
      <c r="Y6" s="114"/>
      <c r="Z6" s="114"/>
      <c r="AA6" s="114"/>
      <c r="AB6" s="115"/>
      <c r="AC6" s="32"/>
      <c r="AD6" s="113" t="s">
        <v>5</v>
      </c>
      <c r="AE6" s="114"/>
      <c r="AF6" s="114"/>
      <c r="AG6" s="114"/>
      <c r="AH6" s="115"/>
      <c r="AI6" s="32"/>
      <c r="AJ6" s="113" t="s">
        <v>6</v>
      </c>
      <c r="AK6" s="114"/>
      <c r="AL6" s="114"/>
      <c r="AM6" s="114"/>
      <c r="AN6" s="115"/>
      <c r="AS6" s="60"/>
      <c r="AT6" s="60"/>
      <c r="AU6" s="60"/>
      <c r="AV6" s="60"/>
      <c r="AW6" s="60"/>
      <c r="AX6" s="60"/>
      <c r="AY6" s="60"/>
    </row>
    <row r="7" spans="2:51" ht="19.5" thickBot="1" x14ac:dyDescent="0.35">
      <c r="B7" s="31"/>
      <c r="C7" s="31"/>
      <c r="G7" s="31"/>
      <c r="H7" s="36"/>
      <c r="I7" s="36"/>
      <c r="J7" s="36"/>
      <c r="L7" s="48"/>
      <c r="M7" s="37"/>
      <c r="N7" s="37"/>
      <c r="O7" s="37"/>
      <c r="P7" s="37"/>
      <c r="Q7" s="32"/>
      <c r="R7" s="48"/>
      <c r="S7" s="37"/>
      <c r="T7" s="37"/>
      <c r="U7" s="37"/>
      <c r="V7" s="37"/>
      <c r="W7" s="32"/>
      <c r="X7" s="48"/>
      <c r="Y7" s="37"/>
      <c r="Z7" s="37"/>
      <c r="AA7" s="37"/>
      <c r="AB7" s="37"/>
      <c r="AC7" s="32"/>
      <c r="AD7" s="48"/>
      <c r="AE7" s="37"/>
      <c r="AF7" s="37"/>
      <c r="AG7" s="37"/>
      <c r="AH7" s="37"/>
      <c r="AI7" s="32"/>
      <c r="AJ7" s="48"/>
      <c r="AK7" s="37"/>
      <c r="AL7" s="37"/>
      <c r="AM7" s="37"/>
      <c r="AN7" s="37"/>
      <c r="AS7" s="60"/>
      <c r="AT7" s="60"/>
      <c r="AU7" s="60"/>
      <c r="AV7" s="60"/>
      <c r="AW7" s="60"/>
      <c r="AX7" s="60"/>
      <c r="AY7" s="60"/>
    </row>
    <row r="8" spans="2:51" ht="20.100000000000001" customHeight="1" thickBot="1" x14ac:dyDescent="0.35">
      <c r="B8" s="113" t="s">
        <v>148</v>
      </c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5"/>
      <c r="AS8" s="60"/>
      <c r="AT8" s="60"/>
      <c r="AU8" s="60"/>
      <c r="AV8" s="60"/>
      <c r="AW8" s="60"/>
      <c r="AX8" s="60"/>
      <c r="AY8" s="60"/>
    </row>
    <row r="9" spans="2:51" ht="20.100000000000001" customHeight="1" thickBot="1" x14ac:dyDescent="0.35">
      <c r="B9" s="37"/>
      <c r="C9" s="37"/>
      <c r="D9" s="37"/>
      <c r="E9" s="37"/>
      <c r="F9" s="37"/>
      <c r="G9" s="37"/>
      <c r="H9" s="37"/>
      <c r="I9" s="37"/>
      <c r="J9" s="37"/>
      <c r="K9" s="37"/>
      <c r="L9" s="49"/>
      <c r="M9" s="37"/>
      <c r="N9" s="37"/>
      <c r="O9" s="37"/>
      <c r="P9" s="37"/>
      <c r="Q9" s="37"/>
      <c r="R9" s="48"/>
      <c r="S9" s="37"/>
      <c r="T9" s="37"/>
      <c r="U9" s="37"/>
      <c r="V9" s="37"/>
      <c r="W9" s="37"/>
      <c r="X9" s="48"/>
      <c r="Y9" s="37"/>
      <c r="Z9" s="37"/>
      <c r="AA9" s="37"/>
      <c r="AB9" s="37"/>
      <c r="AC9" s="37"/>
      <c r="AD9" s="48"/>
      <c r="AE9" s="37"/>
      <c r="AF9" s="37"/>
      <c r="AG9" s="37"/>
      <c r="AH9" s="37"/>
      <c r="AI9" s="37"/>
      <c r="AJ9" s="48"/>
      <c r="AK9" s="37"/>
      <c r="AL9" s="37"/>
      <c r="AM9" s="37"/>
      <c r="AN9" s="37"/>
      <c r="AS9" s="60"/>
      <c r="AT9" s="60"/>
      <c r="AU9" s="60"/>
      <c r="AV9" s="60"/>
      <c r="AW9" s="60"/>
      <c r="AX9" s="60"/>
      <c r="AY9" s="60"/>
    </row>
    <row r="10" spans="2:51" ht="20.100000000000001" customHeight="1" x14ac:dyDescent="0.3">
      <c r="B10" s="124">
        <v>1</v>
      </c>
      <c r="D10" s="107" t="s">
        <v>183</v>
      </c>
      <c r="E10" s="108"/>
      <c r="F10" s="109"/>
      <c r="G10" s="31"/>
      <c r="H10" s="116" t="s">
        <v>22</v>
      </c>
      <c r="I10" s="116"/>
      <c r="J10" s="116"/>
      <c r="L10" s="53">
        <v>1000</v>
      </c>
      <c r="M10" s="29">
        <v>35</v>
      </c>
      <c r="N10" s="29">
        <f>L10/100*M10</f>
        <v>350</v>
      </c>
      <c r="O10" s="29">
        <f>(L10-P10)/L10*100</f>
        <v>35</v>
      </c>
      <c r="P10" s="39">
        <f>L10-N10</f>
        <v>650</v>
      </c>
      <c r="R10" s="53">
        <v>1000</v>
      </c>
      <c r="S10" s="29">
        <v>35</v>
      </c>
      <c r="T10" s="29">
        <f t="shared" ref="T10:T13" si="0">R10/100*S10</f>
        <v>350</v>
      </c>
      <c r="U10" s="29">
        <f>(R10-V10)/R10*100</f>
        <v>35</v>
      </c>
      <c r="V10" s="39">
        <f>R10-T10</f>
        <v>650</v>
      </c>
      <c r="X10" s="53">
        <v>1000</v>
      </c>
      <c r="Y10" s="29">
        <v>35</v>
      </c>
      <c r="Z10" s="29">
        <f t="shared" ref="Z10:Z13" si="1">X10/100*Y10</f>
        <v>350</v>
      </c>
      <c r="AA10" s="29">
        <f>(X10-AB10)/X10*100</f>
        <v>35</v>
      </c>
      <c r="AB10" s="39">
        <f>X10-Z10</f>
        <v>650</v>
      </c>
      <c r="AD10" s="53">
        <v>1500</v>
      </c>
      <c r="AE10" s="29">
        <v>35</v>
      </c>
      <c r="AF10" s="29">
        <f t="shared" ref="AF10:AF13" si="2">AD10/100*AE10</f>
        <v>525</v>
      </c>
      <c r="AG10" s="29">
        <f>(AD10-AH10)/AD10*100</f>
        <v>35</v>
      </c>
      <c r="AH10" s="39">
        <f>AD10-AF10</f>
        <v>975</v>
      </c>
      <c r="AJ10" s="53">
        <v>2000</v>
      </c>
      <c r="AK10" s="29">
        <v>35</v>
      </c>
      <c r="AL10" s="29">
        <f t="shared" ref="AL10:AL13" si="3">AJ10/100*AK10</f>
        <v>700</v>
      </c>
      <c r="AM10" s="29">
        <f>(AJ10-AN10)/AJ10*100</f>
        <v>35</v>
      </c>
      <c r="AN10" s="39">
        <f>AJ10-AL10</f>
        <v>1300</v>
      </c>
      <c r="AS10" s="60"/>
      <c r="AT10" s="60"/>
      <c r="AU10" s="60"/>
      <c r="AV10" s="60"/>
      <c r="AW10" s="60"/>
      <c r="AX10" s="60"/>
      <c r="AY10" s="60"/>
    </row>
    <row r="11" spans="2:51" ht="20.100000000000001" customHeight="1" x14ac:dyDescent="0.3">
      <c r="B11" s="125"/>
      <c r="D11" s="120"/>
      <c r="E11" s="121"/>
      <c r="F11" s="122"/>
      <c r="G11" s="31"/>
      <c r="H11" s="116" t="s">
        <v>23</v>
      </c>
      <c r="I11" s="116"/>
      <c r="J11" s="116"/>
      <c r="L11" s="54">
        <v>1000</v>
      </c>
      <c r="M11" s="29">
        <v>35</v>
      </c>
      <c r="N11" s="29">
        <f>L11/100*M11</f>
        <v>350</v>
      </c>
      <c r="O11" s="29">
        <f t="shared" ref="O11:O76" si="4">(L11-P11)/L11*100</f>
        <v>35</v>
      </c>
      <c r="P11" s="39">
        <f>L11-N11</f>
        <v>650</v>
      </c>
      <c r="R11" s="54">
        <v>1000</v>
      </c>
      <c r="S11" s="29">
        <v>35</v>
      </c>
      <c r="T11" s="29">
        <f t="shared" si="0"/>
        <v>350</v>
      </c>
      <c r="U11" s="29">
        <f t="shared" ref="U11:U76" si="5">(R11-V11)/R11*100</f>
        <v>35</v>
      </c>
      <c r="V11" s="39">
        <f>R11-T11</f>
        <v>650</v>
      </c>
      <c r="X11" s="54">
        <v>1000</v>
      </c>
      <c r="Y11" s="29">
        <v>35</v>
      </c>
      <c r="Z11" s="29">
        <f t="shared" si="1"/>
        <v>350</v>
      </c>
      <c r="AA11" s="29">
        <f t="shared" ref="AA11:AA76" si="6">(X11-AB11)/X11*100</f>
        <v>35</v>
      </c>
      <c r="AB11" s="39">
        <f>X11-Z11</f>
        <v>650</v>
      </c>
      <c r="AD11" s="54">
        <v>1500</v>
      </c>
      <c r="AE11" s="29">
        <v>35</v>
      </c>
      <c r="AF11" s="29">
        <f t="shared" si="2"/>
        <v>525</v>
      </c>
      <c r="AG11" s="29">
        <f t="shared" ref="AG11:AG76" si="7">(AD11-AH11)/AD11*100</f>
        <v>35</v>
      </c>
      <c r="AH11" s="39">
        <f>AD11-AF11</f>
        <v>975</v>
      </c>
      <c r="AJ11" s="54">
        <v>2000</v>
      </c>
      <c r="AK11" s="29">
        <v>35</v>
      </c>
      <c r="AL11" s="29">
        <f t="shared" si="3"/>
        <v>700</v>
      </c>
      <c r="AM11" s="29">
        <f t="shared" ref="AM11:AM76" si="8">(AJ11-AN11)/AJ11*100</f>
        <v>35</v>
      </c>
      <c r="AN11" s="39">
        <f>AJ11-AL11</f>
        <v>1300</v>
      </c>
      <c r="AS11" s="60"/>
      <c r="AT11" s="60"/>
      <c r="AU11" s="60"/>
      <c r="AV11" s="60"/>
      <c r="AW11" s="60"/>
      <c r="AX11" s="60"/>
      <c r="AY11" s="60"/>
    </row>
    <row r="12" spans="2:51" ht="20.100000000000001" customHeight="1" x14ac:dyDescent="0.3">
      <c r="B12" s="125"/>
      <c r="D12" s="120"/>
      <c r="E12" s="121"/>
      <c r="F12" s="122"/>
      <c r="G12" s="31"/>
      <c r="H12" s="116" t="s">
        <v>24</v>
      </c>
      <c r="I12" s="116"/>
      <c r="J12" s="116"/>
      <c r="L12" s="54">
        <v>1000</v>
      </c>
      <c r="M12" s="29">
        <v>35</v>
      </c>
      <c r="N12" s="29">
        <f>L12/100*M12</f>
        <v>350</v>
      </c>
      <c r="O12" s="29">
        <f t="shared" si="4"/>
        <v>35</v>
      </c>
      <c r="P12" s="39">
        <f>L12-N12</f>
        <v>650</v>
      </c>
      <c r="R12" s="54">
        <v>1000</v>
      </c>
      <c r="S12" s="29">
        <v>35</v>
      </c>
      <c r="T12" s="29">
        <f t="shared" si="0"/>
        <v>350</v>
      </c>
      <c r="U12" s="29">
        <f t="shared" si="5"/>
        <v>35</v>
      </c>
      <c r="V12" s="39">
        <f>R12-T12</f>
        <v>650</v>
      </c>
      <c r="X12" s="54">
        <v>1000</v>
      </c>
      <c r="Y12" s="29">
        <v>35</v>
      </c>
      <c r="Z12" s="29">
        <f t="shared" si="1"/>
        <v>350</v>
      </c>
      <c r="AA12" s="29">
        <f t="shared" si="6"/>
        <v>35</v>
      </c>
      <c r="AB12" s="39">
        <f>X12-Z12</f>
        <v>650</v>
      </c>
      <c r="AD12" s="54">
        <v>1500</v>
      </c>
      <c r="AE12" s="29">
        <v>35</v>
      </c>
      <c r="AF12" s="29">
        <f t="shared" si="2"/>
        <v>525</v>
      </c>
      <c r="AG12" s="29">
        <f t="shared" si="7"/>
        <v>35</v>
      </c>
      <c r="AH12" s="39">
        <f>AD12-AF12</f>
        <v>975</v>
      </c>
      <c r="AJ12" s="54">
        <v>2000</v>
      </c>
      <c r="AK12" s="29">
        <v>35</v>
      </c>
      <c r="AL12" s="29">
        <f t="shared" si="3"/>
        <v>700</v>
      </c>
      <c r="AM12" s="29">
        <f t="shared" si="8"/>
        <v>35</v>
      </c>
      <c r="AN12" s="39">
        <f>AJ12-AL12</f>
        <v>1300</v>
      </c>
      <c r="AS12" s="60"/>
      <c r="AT12" s="60"/>
      <c r="AU12" s="60"/>
      <c r="AV12" s="60"/>
      <c r="AW12" s="60"/>
      <c r="AX12" s="60"/>
      <c r="AY12" s="60"/>
    </row>
    <row r="13" spans="2:51" ht="20.100000000000001" customHeight="1" thickBot="1" x14ac:dyDescent="0.35">
      <c r="B13" s="126"/>
      <c r="D13" s="110"/>
      <c r="E13" s="111"/>
      <c r="F13" s="112"/>
      <c r="G13" s="31"/>
      <c r="H13" s="116" t="s">
        <v>25</v>
      </c>
      <c r="I13" s="116"/>
      <c r="J13" s="116"/>
      <c r="L13" s="55">
        <v>1000</v>
      </c>
      <c r="M13" s="29">
        <v>35</v>
      </c>
      <c r="N13" s="29">
        <f>L13/100*M13</f>
        <v>350</v>
      </c>
      <c r="O13" s="29">
        <f t="shared" si="4"/>
        <v>35</v>
      </c>
      <c r="P13" s="39">
        <f>L13-N13</f>
        <v>650</v>
      </c>
      <c r="R13" s="55">
        <v>1000</v>
      </c>
      <c r="S13" s="29">
        <v>35</v>
      </c>
      <c r="T13" s="29">
        <f t="shared" si="0"/>
        <v>350</v>
      </c>
      <c r="U13" s="29">
        <f t="shared" si="5"/>
        <v>35</v>
      </c>
      <c r="V13" s="39">
        <f>R13-T13</f>
        <v>650</v>
      </c>
      <c r="X13" s="55">
        <v>1000</v>
      </c>
      <c r="Y13" s="29">
        <v>35</v>
      </c>
      <c r="Z13" s="29">
        <f t="shared" si="1"/>
        <v>350</v>
      </c>
      <c r="AA13" s="29">
        <f t="shared" si="6"/>
        <v>35</v>
      </c>
      <c r="AB13" s="39">
        <f>X13-Z13</f>
        <v>650</v>
      </c>
      <c r="AD13" s="55">
        <v>1500</v>
      </c>
      <c r="AE13" s="29">
        <v>35</v>
      </c>
      <c r="AF13" s="29">
        <f t="shared" si="2"/>
        <v>525</v>
      </c>
      <c r="AG13" s="29">
        <f t="shared" si="7"/>
        <v>35</v>
      </c>
      <c r="AH13" s="39">
        <f>AD13-AF13</f>
        <v>975</v>
      </c>
      <c r="AJ13" s="55">
        <v>2000</v>
      </c>
      <c r="AK13" s="29">
        <v>35</v>
      </c>
      <c r="AL13" s="29">
        <f t="shared" si="3"/>
        <v>700</v>
      </c>
      <c r="AM13" s="29">
        <f t="shared" si="8"/>
        <v>35</v>
      </c>
      <c r="AN13" s="39">
        <f>AJ13-AL13</f>
        <v>1300</v>
      </c>
      <c r="AS13" s="60"/>
      <c r="AT13" s="60"/>
      <c r="AU13" s="60"/>
      <c r="AV13" s="60"/>
      <c r="AW13" s="60"/>
      <c r="AX13" s="60"/>
      <c r="AY13" s="60"/>
    </row>
    <row r="14" spans="2:51" ht="20.100000000000001" customHeight="1" thickBot="1" x14ac:dyDescent="0.35"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49"/>
      <c r="M14" s="37"/>
      <c r="N14" s="37"/>
      <c r="P14" s="37"/>
      <c r="Q14" s="37"/>
      <c r="R14" s="48"/>
      <c r="S14" s="37"/>
      <c r="T14" s="37"/>
      <c r="V14" s="37"/>
      <c r="W14" s="37"/>
      <c r="X14" s="48"/>
      <c r="Y14" s="37"/>
      <c r="Z14" s="37"/>
      <c r="AB14" s="37"/>
      <c r="AC14" s="37"/>
      <c r="AD14" s="48"/>
      <c r="AE14" s="37"/>
      <c r="AF14" s="37"/>
      <c r="AH14" s="37"/>
      <c r="AI14" s="37"/>
      <c r="AJ14" s="48"/>
      <c r="AK14" s="37"/>
      <c r="AL14" s="37"/>
      <c r="AN14" s="37"/>
      <c r="AS14" s="60"/>
      <c r="AT14" s="60"/>
      <c r="AU14" s="60"/>
      <c r="AV14" s="60"/>
      <c r="AW14" s="60"/>
      <c r="AX14" s="60"/>
      <c r="AY14" s="60"/>
    </row>
    <row r="15" spans="2:51" ht="20.100000000000001" customHeight="1" x14ac:dyDescent="0.3">
      <c r="B15" s="124">
        <v>2</v>
      </c>
      <c r="D15" s="107" t="s">
        <v>184</v>
      </c>
      <c r="E15" s="108"/>
      <c r="F15" s="109"/>
      <c r="G15" s="31"/>
      <c r="H15" s="116" t="s">
        <v>13</v>
      </c>
      <c r="I15" s="116"/>
      <c r="J15" s="116"/>
      <c r="L15" s="53">
        <v>1000</v>
      </c>
      <c r="M15" s="29">
        <v>35</v>
      </c>
      <c r="N15" s="29">
        <f>L15/100*M15</f>
        <v>350</v>
      </c>
      <c r="O15" s="29">
        <f t="shared" si="4"/>
        <v>35</v>
      </c>
      <c r="P15" s="39">
        <f>L15-N15</f>
        <v>650</v>
      </c>
      <c r="R15" s="53">
        <v>1000</v>
      </c>
      <c r="S15" s="29">
        <v>35</v>
      </c>
      <c r="T15" s="29">
        <f t="shared" ref="T15:T18" si="9">R15/100*S15</f>
        <v>350</v>
      </c>
      <c r="U15" s="29">
        <f t="shared" si="5"/>
        <v>35</v>
      </c>
      <c r="V15" s="39">
        <f>R15-T15</f>
        <v>650</v>
      </c>
      <c r="X15" s="53">
        <v>1500</v>
      </c>
      <c r="Y15" s="29">
        <v>35</v>
      </c>
      <c r="Z15" s="29">
        <f t="shared" ref="Z15:Z18" si="10">X15/100*Y15</f>
        <v>525</v>
      </c>
      <c r="AA15" s="29">
        <f t="shared" si="6"/>
        <v>35</v>
      </c>
      <c r="AB15" s="39">
        <f>X15-Z15</f>
        <v>975</v>
      </c>
      <c r="AD15" s="53">
        <v>2000</v>
      </c>
      <c r="AE15" s="29">
        <v>35</v>
      </c>
      <c r="AF15" s="29">
        <f t="shared" ref="AF15:AF18" si="11">AD15/100*AE15</f>
        <v>700</v>
      </c>
      <c r="AG15" s="29">
        <f t="shared" si="7"/>
        <v>35</v>
      </c>
      <c r="AH15" s="39">
        <f>AD15-AF15</f>
        <v>1300</v>
      </c>
      <c r="AJ15" s="53">
        <v>2500</v>
      </c>
      <c r="AK15" s="29">
        <v>35</v>
      </c>
      <c r="AL15" s="29">
        <f t="shared" ref="AL15:AL18" si="12">AJ15/100*AK15</f>
        <v>875</v>
      </c>
      <c r="AM15" s="29">
        <f t="shared" si="8"/>
        <v>35</v>
      </c>
      <c r="AN15" s="39">
        <f>AJ15-AL15</f>
        <v>1625</v>
      </c>
      <c r="AS15" s="60"/>
      <c r="AT15" s="60"/>
      <c r="AU15" s="60"/>
      <c r="AV15" s="60"/>
      <c r="AW15" s="60"/>
      <c r="AX15" s="60"/>
      <c r="AY15" s="60"/>
    </row>
    <row r="16" spans="2:51" ht="20.100000000000001" customHeight="1" x14ac:dyDescent="0.3">
      <c r="B16" s="125"/>
      <c r="D16" s="120"/>
      <c r="E16" s="121"/>
      <c r="F16" s="122"/>
      <c r="G16" s="31"/>
      <c r="H16" s="116" t="s">
        <v>14</v>
      </c>
      <c r="I16" s="116"/>
      <c r="J16" s="116"/>
      <c r="L16" s="54">
        <v>1000</v>
      </c>
      <c r="M16" s="29">
        <v>35</v>
      </c>
      <c r="N16" s="29">
        <f>L16/100*M16</f>
        <v>350</v>
      </c>
      <c r="O16" s="29">
        <f t="shared" si="4"/>
        <v>35</v>
      </c>
      <c r="P16" s="39">
        <f>L16-N16</f>
        <v>650</v>
      </c>
      <c r="R16" s="54">
        <v>1000</v>
      </c>
      <c r="S16" s="29">
        <v>35</v>
      </c>
      <c r="T16" s="29">
        <f t="shared" si="9"/>
        <v>350</v>
      </c>
      <c r="U16" s="29">
        <f t="shared" si="5"/>
        <v>35</v>
      </c>
      <c r="V16" s="39">
        <f>R16-T16</f>
        <v>650</v>
      </c>
      <c r="X16" s="54">
        <v>1000</v>
      </c>
      <c r="Y16" s="29">
        <v>35</v>
      </c>
      <c r="Z16" s="29">
        <f t="shared" si="10"/>
        <v>350</v>
      </c>
      <c r="AA16" s="29">
        <f t="shared" si="6"/>
        <v>35</v>
      </c>
      <c r="AB16" s="39">
        <f>X16-Z16</f>
        <v>650</v>
      </c>
      <c r="AD16" s="54">
        <v>1500</v>
      </c>
      <c r="AE16" s="29">
        <v>35</v>
      </c>
      <c r="AF16" s="29">
        <f t="shared" si="11"/>
        <v>525</v>
      </c>
      <c r="AG16" s="29">
        <f t="shared" si="7"/>
        <v>35</v>
      </c>
      <c r="AH16" s="39">
        <f>AD16-AF16</f>
        <v>975</v>
      </c>
      <c r="AJ16" s="54">
        <v>2000</v>
      </c>
      <c r="AK16" s="29">
        <v>35</v>
      </c>
      <c r="AL16" s="29">
        <f t="shared" si="12"/>
        <v>700</v>
      </c>
      <c r="AM16" s="29">
        <f t="shared" si="8"/>
        <v>35</v>
      </c>
      <c r="AN16" s="39">
        <f>AJ16-AL16</f>
        <v>1300</v>
      </c>
      <c r="AS16" s="60"/>
      <c r="AT16" s="60"/>
      <c r="AU16" s="60"/>
      <c r="AV16" s="60"/>
      <c r="AW16" s="60"/>
      <c r="AX16" s="60"/>
      <c r="AY16" s="60"/>
    </row>
    <row r="17" spans="2:40" ht="20.100000000000001" customHeight="1" x14ac:dyDescent="0.3">
      <c r="B17" s="125"/>
      <c r="D17" s="120"/>
      <c r="E17" s="121"/>
      <c r="F17" s="122"/>
      <c r="G17" s="31"/>
      <c r="H17" s="116" t="s">
        <v>15</v>
      </c>
      <c r="I17" s="116"/>
      <c r="J17" s="116"/>
      <c r="L17" s="54">
        <v>1000</v>
      </c>
      <c r="M17" s="29">
        <v>35</v>
      </c>
      <c r="N17" s="29">
        <f>L17/100*M17</f>
        <v>350</v>
      </c>
      <c r="O17" s="29">
        <f t="shared" si="4"/>
        <v>35</v>
      </c>
      <c r="P17" s="39">
        <f>L17-N17</f>
        <v>650</v>
      </c>
      <c r="R17" s="54">
        <v>1000</v>
      </c>
      <c r="S17" s="29">
        <v>35</v>
      </c>
      <c r="T17" s="29">
        <f t="shared" si="9"/>
        <v>350</v>
      </c>
      <c r="U17" s="29">
        <f t="shared" si="5"/>
        <v>35</v>
      </c>
      <c r="V17" s="39">
        <f>R17-T17</f>
        <v>650</v>
      </c>
      <c r="X17" s="54">
        <v>1000</v>
      </c>
      <c r="Y17" s="29">
        <v>35</v>
      </c>
      <c r="Z17" s="29">
        <f t="shared" si="10"/>
        <v>350</v>
      </c>
      <c r="AA17" s="29">
        <f t="shared" si="6"/>
        <v>35</v>
      </c>
      <c r="AB17" s="39">
        <f>X17-Z17</f>
        <v>650</v>
      </c>
      <c r="AD17" s="54">
        <v>1500</v>
      </c>
      <c r="AE17" s="29">
        <v>35</v>
      </c>
      <c r="AF17" s="29">
        <f t="shared" si="11"/>
        <v>525</v>
      </c>
      <c r="AG17" s="29">
        <f t="shared" si="7"/>
        <v>35</v>
      </c>
      <c r="AH17" s="39">
        <f>AD17-AF17</f>
        <v>975</v>
      </c>
      <c r="AJ17" s="54">
        <v>2000</v>
      </c>
      <c r="AK17" s="29">
        <v>35</v>
      </c>
      <c r="AL17" s="29">
        <f t="shared" si="12"/>
        <v>700</v>
      </c>
      <c r="AM17" s="29">
        <f t="shared" si="8"/>
        <v>35</v>
      </c>
      <c r="AN17" s="39">
        <f>AJ17-AL17</f>
        <v>1300</v>
      </c>
    </row>
    <row r="18" spans="2:40" ht="20.100000000000001" customHeight="1" thickBot="1" x14ac:dyDescent="0.35">
      <c r="B18" s="126"/>
      <c r="D18" s="110"/>
      <c r="E18" s="111"/>
      <c r="F18" s="112"/>
      <c r="G18" s="31"/>
      <c r="H18" s="116" t="s">
        <v>16</v>
      </c>
      <c r="I18" s="116"/>
      <c r="J18" s="116"/>
      <c r="L18" s="55">
        <v>1000</v>
      </c>
      <c r="M18" s="29">
        <v>35</v>
      </c>
      <c r="N18" s="29">
        <f>L18/100*M18</f>
        <v>350</v>
      </c>
      <c r="O18" s="29">
        <f t="shared" si="4"/>
        <v>35</v>
      </c>
      <c r="P18" s="39">
        <f>L18-N18</f>
        <v>650</v>
      </c>
      <c r="R18" s="55">
        <v>1000</v>
      </c>
      <c r="S18" s="29">
        <v>35</v>
      </c>
      <c r="T18" s="29">
        <f t="shared" si="9"/>
        <v>350</v>
      </c>
      <c r="U18" s="29">
        <f t="shared" si="5"/>
        <v>35</v>
      </c>
      <c r="V18" s="39">
        <f>R18-T18</f>
        <v>650</v>
      </c>
      <c r="X18" s="55">
        <v>1500</v>
      </c>
      <c r="Y18" s="29">
        <v>35</v>
      </c>
      <c r="Z18" s="29">
        <f t="shared" si="10"/>
        <v>525</v>
      </c>
      <c r="AA18" s="29">
        <f t="shared" si="6"/>
        <v>35</v>
      </c>
      <c r="AB18" s="39">
        <f>X18-Z18</f>
        <v>975</v>
      </c>
      <c r="AD18" s="55">
        <v>2000</v>
      </c>
      <c r="AE18" s="29">
        <v>35</v>
      </c>
      <c r="AF18" s="29">
        <f t="shared" si="11"/>
        <v>700</v>
      </c>
      <c r="AG18" s="29">
        <f t="shared" si="7"/>
        <v>35</v>
      </c>
      <c r="AH18" s="39">
        <f>AD18-AF18</f>
        <v>1300</v>
      </c>
      <c r="AJ18" s="55">
        <v>2500</v>
      </c>
      <c r="AK18" s="29">
        <v>35</v>
      </c>
      <c r="AL18" s="29">
        <f t="shared" si="12"/>
        <v>875</v>
      </c>
      <c r="AM18" s="29">
        <f t="shared" si="8"/>
        <v>35</v>
      </c>
      <c r="AN18" s="39">
        <f>AJ18-AL18</f>
        <v>1625</v>
      </c>
    </row>
    <row r="19" spans="2:40" ht="20.100000000000001" customHeight="1" thickBot="1" x14ac:dyDescent="0.35"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49"/>
      <c r="M19" s="37"/>
      <c r="N19" s="37"/>
      <c r="P19" s="37"/>
      <c r="Q19" s="37"/>
      <c r="R19" s="48"/>
      <c r="S19" s="37"/>
      <c r="T19" s="37"/>
      <c r="V19" s="37"/>
      <c r="W19" s="37"/>
      <c r="X19" s="48"/>
      <c r="Y19" s="37"/>
      <c r="Z19" s="37"/>
      <c r="AB19" s="37"/>
      <c r="AC19" s="37"/>
      <c r="AD19" s="48"/>
      <c r="AE19" s="37"/>
      <c r="AF19" s="37"/>
      <c r="AH19" s="37"/>
      <c r="AI19" s="37"/>
      <c r="AJ19" s="48"/>
      <c r="AK19" s="37"/>
      <c r="AL19" s="37"/>
      <c r="AN19" s="37"/>
    </row>
    <row r="20" spans="2:40" ht="20.100000000000001" customHeight="1" x14ac:dyDescent="0.3">
      <c r="B20" s="124">
        <v>3</v>
      </c>
      <c r="D20" s="107" t="s">
        <v>164</v>
      </c>
      <c r="E20" s="108"/>
      <c r="F20" s="109"/>
      <c r="H20" s="116" t="s">
        <v>104</v>
      </c>
      <c r="I20" s="116"/>
      <c r="J20" s="116"/>
      <c r="L20" s="53">
        <v>1000</v>
      </c>
      <c r="M20" s="29">
        <v>35</v>
      </c>
      <c r="N20" s="29">
        <f t="shared" ref="N20:N21" si="13">L20/100*M20</f>
        <v>350</v>
      </c>
      <c r="O20" s="29">
        <f t="shared" si="4"/>
        <v>35</v>
      </c>
      <c r="P20" s="39">
        <f t="shared" ref="P20:P21" si="14">L20-N20</f>
        <v>650</v>
      </c>
      <c r="R20" s="53">
        <v>1000</v>
      </c>
      <c r="S20" s="29">
        <v>35</v>
      </c>
      <c r="T20" s="29">
        <f t="shared" ref="T20:T21" si="15">R20/100*S20</f>
        <v>350</v>
      </c>
      <c r="U20" s="29">
        <f t="shared" si="5"/>
        <v>35</v>
      </c>
      <c r="V20" s="39">
        <f t="shared" ref="V20:V21" si="16">R20-T20</f>
        <v>650</v>
      </c>
      <c r="X20" s="53">
        <v>1500</v>
      </c>
      <c r="Y20" s="29">
        <v>35</v>
      </c>
      <c r="Z20" s="29">
        <f t="shared" ref="Z20:Z21" si="17">X20/100*Y20</f>
        <v>525</v>
      </c>
      <c r="AA20" s="29">
        <f t="shared" si="6"/>
        <v>35</v>
      </c>
      <c r="AB20" s="39">
        <f t="shared" ref="AB20:AB21" si="18">X20-Z20</f>
        <v>975</v>
      </c>
      <c r="AD20" s="53">
        <v>1500</v>
      </c>
      <c r="AE20" s="29">
        <v>35</v>
      </c>
      <c r="AF20" s="29">
        <f t="shared" ref="AF20:AF21" si="19">AD20/100*AE20</f>
        <v>525</v>
      </c>
      <c r="AG20" s="29">
        <f t="shared" si="7"/>
        <v>35</v>
      </c>
      <c r="AH20" s="39">
        <f t="shared" ref="AH20:AH21" si="20">AD20-AF20</f>
        <v>975</v>
      </c>
      <c r="AJ20" s="53">
        <v>2000</v>
      </c>
      <c r="AK20" s="29">
        <v>35</v>
      </c>
      <c r="AL20" s="29">
        <f t="shared" ref="AL20:AL21" si="21">AJ20/100*AK20</f>
        <v>700</v>
      </c>
      <c r="AM20" s="29">
        <f t="shared" si="8"/>
        <v>35</v>
      </c>
      <c r="AN20" s="39">
        <f t="shared" ref="AN20:AN21" si="22">AJ20-AL20</f>
        <v>1300</v>
      </c>
    </row>
    <row r="21" spans="2:40" ht="19.5" customHeight="1" thickBot="1" x14ac:dyDescent="0.35">
      <c r="B21" s="126"/>
      <c r="D21" s="110"/>
      <c r="E21" s="111"/>
      <c r="F21" s="112"/>
      <c r="H21" s="116" t="s">
        <v>105</v>
      </c>
      <c r="I21" s="116"/>
      <c r="J21" s="116"/>
      <c r="L21" s="55">
        <v>1000</v>
      </c>
      <c r="M21" s="29">
        <v>35</v>
      </c>
      <c r="N21" s="29">
        <f t="shared" si="13"/>
        <v>350</v>
      </c>
      <c r="O21" s="29">
        <f t="shared" si="4"/>
        <v>35</v>
      </c>
      <c r="P21" s="39">
        <f t="shared" si="14"/>
        <v>650</v>
      </c>
      <c r="R21" s="55">
        <v>1000</v>
      </c>
      <c r="S21" s="29">
        <v>35</v>
      </c>
      <c r="T21" s="29">
        <f t="shared" si="15"/>
        <v>350</v>
      </c>
      <c r="U21" s="29">
        <f t="shared" si="5"/>
        <v>35</v>
      </c>
      <c r="V21" s="39">
        <f t="shared" si="16"/>
        <v>650</v>
      </c>
      <c r="X21" s="55">
        <v>1500</v>
      </c>
      <c r="Y21" s="29">
        <v>35</v>
      </c>
      <c r="Z21" s="29">
        <f t="shared" si="17"/>
        <v>525</v>
      </c>
      <c r="AA21" s="29">
        <f t="shared" si="6"/>
        <v>35</v>
      </c>
      <c r="AB21" s="39">
        <f t="shared" si="18"/>
        <v>975</v>
      </c>
      <c r="AD21" s="55">
        <v>1500</v>
      </c>
      <c r="AE21" s="29">
        <v>35</v>
      </c>
      <c r="AF21" s="29">
        <f t="shared" si="19"/>
        <v>525</v>
      </c>
      <c r="AG21" s="29">
        <f t="shared" si="7"/>
        <v>35</v>
      </c>
      <c r="AH21" s="39">
        <f t="shared" si="20"/>
        <v>975</v>
      </c>
      <c r="AJ21" s="55">
        <v>2000</v>
      </c>
      <c r="AK21" s="29">
        <v>35</v>
      </c>
      <c r="AL21" s="29">
        <f t="shared" si="21"/>
        <v>700</v>
      </c>
      <c r="AM21" s="29">
        <f t="shared" si="8"/>
        <v>35</v>
      </c>
      <c r="AN21" s="39">
        <f t="shared" si="22"/>
        <v>1300</v>
      </c>
    </row>
    <row r="22" spans="2:40" ht="20.100000000000001" customHeight="1" thickBot="1" x14ac:dyDescent="0.35">
      <c r="H22" s="34"/>
      <c r="I22" s="34"/>
      <c r="J22" s="34"/>
      <c r="L22" s="47"/>
      <c r="P22" s="39"/>
      <c r="R22" s="47"/>
      <c r="V22" s="39"/>
      <c r="X22" s="47"/>
      <c r="AB22" s="39"/>
      <c r="AD22" s="47"/>
      <c r="AH22" s="39"/>
      <c r="AJ22" s="47"/>
      <c r="AN22" s="39"/>
    </row>
    <row r="23" spans="2:40" ht="20.100000000000001" customHeight="1" x14ac:dyDescent="0.3">
      <c r="B23" s="124">
        <v>4</v>
      </c>
      <c r="D23" s="107" t="s">
        <v>165</v>
      </c>
      <c r="E23" s="108"/>
      <c r="F23" s="109"/>
      <c r="H23" s="116" t="s">
        <v>76</v>
      </c>
      <c r="I23" s="116"/>
      <c r="J23" s="116"/>
      <c r="L23" s="53">
        <v>500</v>
      </c>
      <c r="M23" s="29">
        <v>35</v>
      </c>
      <c r="N23" s="29">
        <f>L23/100*M23</f>
        <v>175</v>
      </c>
      <c r="O23" s="29">
        <f t="shared" si="4"/>
        <v>35</v>
      </c>
      <c r="P23" s="39">
        <f>L23-N23</f>
        <v>325</v>
      </c>
      <c r="R23" s="53">
        <v>500</v>
      </c>
      <c r="S23" s="29">
        <v>35</v>
      </c>
      <c r="T23" s="29">
        <f>R23/100*S23</f>
        <v>175</v>
      </c>
      <c r="U23" s="29">
        <f t="shared" si="5"/>
        <v>35</v>
      </c>
      <c r="V23" s="39">
        <f>R23-T23</f>
        <v>325</v>
      </c>
      <c r="X23" s="53">
        <v>500</v>
      </c>
      <c r="Y23" s="29">
        <v>35</v>
      </c>
      <c r="Z23" s="29">
        <f>X23/100*Y23</f>
        <v>175</v>
      </c>
      <c r="AA23" s="29">
        <f t="shared" si="6"/>
        <v>35</v>
      </c>
      <c r="AB23" s="39">
        <f>X23-Z23</f>
        <v>325</v>
      </c>
      <c r="AD23" s="53">
        <v>750</v>
      </c>
      <c r="AE23" s="29">
        <v>35</v>
      </c>
      <c r="AF23" s="29">
        <f>AD23/100*AE23</f>
        <v>262.5</v>
      </c>
      <c r="AG23" s="29">
        <f t="shared" si="7"/>
        <v>35</v>
      </c>
      <c r="AH23" s="39">
        <f>AD23-AF23</f>
        <v>487.5</v>
      </c>
      <c r="AJ23" s="53">
        <v>1000</v>
      </c>
      <c r="AK23" s="29">
        <v>35</v>
      </c>
      <c r="AL23" s="29">
        <f>AJ23/100*AK23</f>
        <v>350</v>
      </c>
      <c r="AM23" s="29">
        <f t="shared" si="8"/>
        <v>35</v>
      </c>
      <c r="AN23" s="39">
        <f>AJ23-AL23</f>
        <v>650</v>
      </c>
    </row>
    <row r="24" spans="2:40" ht="20.100000000000001" customHeight="1" thickBot="1" x14ac:dyDescent="0.35">
      <c r="B24" s="126"/>
      <c r="D24" s="110"/>
      <c r="E24" s="111"/>
      <c r="F24" s="112"/>
      <c r="H24" s="116" t="s">
        <v>77</v>
      </c>
      <c r="I24" s="116"/>
      <c r="J24" s="116"/>
      <c r="L24" s="55">
        <v>500</v>
      </c>
      <c r="M24" s="29">
        <v>35</v>
      </c>
      <c r="N24" s="29">
        <f t="shared" ref="N24:N85" si="23">L24/100*M24</f>
        <v>175</v>
      </c>
      <c r="O24" s="29">
        <f t="shared" si="4"/>
        <v>35</v>
      </c>
      <c r="P24" s="39">
        <f>L24-N24</f>
        <v>325</v>
      </c>
      <c r="R24" s="55">
        <v>500</v>
      </c>
      <c r="S24" s="29">
        <v>35</v>
      </c>
      <c r="T24" s="29">
        <f t="shared" ref="T24" si="24">R24/100*S24</f>
        <v>175</v>
      </c>
      <c r="U24" s="29">
        <f t="shared" si="5"/>
        <v>35</v>
      </c>
      <c r="V24" s="39">
        <f>R24-T24</f>
        <v>325</v>
      </c>
      <c r="X24" s="55">
        <v>500</v>
      </c>
      <c r="Y24" s="29">
        <v>35</v>
      </c>
      <c r="Z24" s="29">
        <f t="shared" ref="Z24" si="25">X24/100*Y24</f>
        <v>175</v>
      </c>
      <c r="AA24" s="29">
        <f t="shared" si="6"/>
        <v>35</v>
      </c>
      <c r="AB24" s="39">
        <f>X24-Z24</f>
        <v>325</v>
      </c>
      <c r="AD24" s="55">
        <v>750</v>
      </c>
      <c r="AE24" s="29">
        <v>35</v>
      </c>
      <c r="AF24" s="29">
        <f t="shared" ref="AF24" si="26">AD24/100*AE24</f>
        <v>262.5</v>
      </c>
      <c r="AG24" s="29">
        <f t="shared" si="7"/>
        <v>35</v>
      </c>
      <c r="AH24" s="39">
        <f>AD24-AF24</f>
        <v>487.5</v>
      </c>
      <c r="AJ24" s="55">
        <v>1000</v>
      </c>
      <c r="AK24" s="29">
        <v>35</v>
      </c>
      <c r="AL24" s="29">
        <f t="shared" ref="AL24" si="27">AJ24/100*AK24</f>
        <v>350</v>
      </c>
      <c r="AM24" s="29">
        <f t="shared" si="8"/>
        <v>35</v>
      </c>
      <c r="AN24" s="39">
        <f>AJ24-AL24</f>
        <v>650</v>
      </c>
    </row>
    <row r="25" spans="2:40" ht="20.100000000000001" customHeight="1" thickBot="1" x14ac:dyDescent="0.35">
      <c r="H25" s="34"/>
      <c r="I25" s="34"/>
      <c r="J25" s="34"/>
      <c r="L25" s="47"/>
      <c r="P25" s="39"/>
      <c r="R25" s="47"/>
      <c r="V25" s="39"/>
      <c r="X25" s="47"/>
      <c r="AB25" s="39"/>
      <c r="AD25" s="47"/>
      <c r="AH25" s="39"/>
      <c r="AJ25" s="47"/>
      <c r="AN25" s="39"/>
    </row>
    <row r="26" spans="2:40" ht="20.100000000000001" customHeight="1" x14ac:dyDescent="0.3">
      <c r="B26" s="124">
        <v>5</v>
      </c>
      <c r="D26" s="107" t="s">
        <v>166</v>
      </c>
      <c r="E26" s="108"/>
      <c r="F26" s="109"/>
      <c r="H26" s="116" t="s">
        <v>89</v>
      </c>
      <c r="I26" s="116"/>
      <c r="J26" s="116"/>
      <c r="L26" s="53">
        <v>500</v>
      </c>
      <c r="M26" s="29">
        <v>35</v>
      </c>
      <c r="N26" s="29">
        <f t="shared" si="23"/>
        <v>175</v>
      </c>
      <c r="O26" s="29">
        <f t="shared" si="4"/>
        <v>35</v>
      </c>
      <c r="P26" s="39">
        <f t="shared" ref="P26:P85" si="28">L26-N26</f>
        <v>325</v>
      </c>
      <c r="R26" s="53">
        <v>500</v>
      </c>
      <c r="S26" s="29">
        <v>35</v>
      </c>
      <c r="T26" s="29">
        <f t="shared" ref="T26:T27" si="29">R26/100*S26</f>
        <v>175</v>
      </c>
      <c r="U26" s="29">
        <f t="shared" si="5"/>
        <v>35</v>
      </c>
      <c r="V26" s="39">
        <f t="shared" ref="V26:V27" si="30">R26-T26</f>
        <v>325</v>
      </c>
      <c r="X26" s="53">
        <v>500</v>
      </c>
      <c r="Y26" s="29">
        <v>35</v>
      </c>
      <c r="Z26" s="29">
        <f t="shared" ref="Z26:Z27" si="31">X26/100*Y26</f>
        <v>175</v>
      </c>
      <c r="AA26" s="29">
        <f t="shared" si="6"/>
        <v>35</v>
      </c>
      <c r="AB26" s="39">
        <f t="shared" ref="AB26:AB27" si="32">X26-Z26</f>
        <v>325</v>
      </c>
      <c r="AD26" s="53">
        <v>500</v>
      </c>
      <c r="AE26" s="29">
        <v>35</v>
      </c>
      <c r="AF26" s="29">
        <f t="shared" ref="AF26:AF27" si="33">AD26/100*AE26</f>
        <v>175</v>
      </c>
      <c r="AG26" s="29">
        <f t="shared" si="7"/>
        <v>35</v>
      </c>
      <c r="AH26" s="39">
        <f t="shared" ref="AH26:AH27" si="34">AD26-AF26</f>
        <v>325</v>
      </c>
      <c r="AJ26" s="53">
        <v>750</v>
      </c>
      <c r="AK26" s="29">
        <v>35</v>
      </c>
      <c r="AL26" s="29">
        <f t="shared" ref="AL26:AL27" si="35">AJ26/100*AK26</f>
        <v>262.5</v>
      </c>
      <c r="AM26" s="29">
        <f t="shared" si="8"/>
        <v>35</v>
      </c>
      <c r="AN26" s="39">
        <f t="shared" ref="AN26:AN27" si="36">AJ26-AL26</f>
        <v>487.5</v>
      </c>
    </row>
    <row r="27" spans="2:40" ht="20.100000000000001" customHeight="1" thickBot="1" x14ac:dyDescent="0.35">
      <c r="B27" s="126"/>
      <c r="D27" s="110"/>
      <c r="E27" s="111"/>
      <c r="F27" s="112"/>
      <c r="H27" s="116" t="s">
        <v>90</v>
      </c>
      <c r="I27" s="116"/>
      <c r="J27" s="116"/>
      <c r="L27" s="55">
        <v>500</v>
      </c>
      <c r="M27" s="29">
        <v>35</v>
      </c>
      <c r="N27" s="29">
        <f t="shared" si="23"/>
        <v>175</v>
      </c>
      <c r="O27" s="29">
        <f t="shared" si="4"/>
        <v>35</v>
      </c>
      <c r="P27" s="39">
        <f t="shared" si="28"/>
        <v>325</v>
      </c>
      <c r="R27" s="55">
        <v>500</v>
      </c>
      <c r="S27" s="29">
        <v>35</v>
      </c>
      <c r="T27" s="29">
        <f t="shared" si="29"/>
        <v>175</v>
      </c>
      <c r="U27" s="29">
        <f t="shared" si="5"/>
        <v>35</v>
      </c>
      <c r="V27" s="39">
        <f t="shared" si="30"/>
        <v>325</v>
      </c>
      <c r="X27" s="55">
        <v>500</v>
      </c>
      <c r="Y27" s="29">
        <v>35</v>
      </c>
      <c r="Z27" s="29">
        <f t="shared" si="31"/>
        <v>175</v>
      </c>
      <c r="AA27" s="29">
        <f t="shared" si="6"/>
        <v>35</v>
      </c>
      <c r="AB27" s="39">
        <f t="shared" si="32"/>
        <v>325</v>
      </c>
      <c r="AD27" s="55">
        <v>500</v>
      </c>
      <c r="AE27" s="29">
        <v>35</v>
      </c>
      <c r="AF27" s="29">
        <f t="shared" si="33"/>
        <v>175</v>
      </c>
      <c r="AG27" s="29">
        <f t="shared" si="7"/>
        <v>35</v>
      </c>
      <c r="AH27" s="39">
        <f t="shared" si="34"/>
        <v>325</v>
      </c>
      <c r="AJ27" s="55">
        <v>750</v>
      </c>
      <c r="AK27" s="29">
        <v>35</v>
      </c>
      <c r="AL27" s="29">
        <f t="shared" si="35"/>
        <v>262.5</v>
      </c>
      <c r="AM27" s="29">
        <f t="shared" si="8"/>
        <v>35</v>
      </c>
      <c r="AN27" s="39">
        <f t="shared" si="36"/>
        <v>487.5</v>
      </c>
    </row>
    <row r="28" spans="2:40" ht="20.100000000000001" customHeight="1" thickBot="1" x14ac:dyDescent="0.35">
      <c r="H28" s="34"/>
      <c r="I28" s="34"/>
      <c r="J28" s="34"/>
      <c r="L28" s="47"/>
      <c r="P28" s="39"/>
      <c r="R28" s="47"/>
      <c r="V28" s="39"/>
      <c r="X28" s="47"/>
      <c r="AB28" s="39"/>
      <c r="AD28" s="47"/>
      <c r="AH28" s="39"/>
      <c r="AJ28" s="47"/>
      <c r="AN28" s="39"/>
    </row>
    <row r="29" spans="2:40" ht="20.100000000000001" customHeight="1" x14ac:dyDescent="0.3">
      <c r="B29" s="124">
        <v>6</v>
      </c>
      <c r="D29" s="107" t="s">
        <v>160</v>
      </c>
      <c r="E29" s="108"/>
      <c r="F29" s="109"/>
      <c r="G29" s="33"/>
      <c r="H29" s="116" t="s">
        <v>73</v>
      </c>
      <c r="I29" s="116"/>
      <c r="J29" s="116"/>
      <c r="L29" s="53">
        <v>500</v>
      </c>
      <c r="M29" s="29">
        <v>35</v>
      </c>
      <c r="N29" s="29">
        <f t="shared" si="23"/>
        <v>175</v>
      </c>
      <c r="O29" s="29">
        <f t="shared" si="4"/>
        <v>35</v>
      </c>
      <c r="P29" s="39">
        <f t="shared" si="28"/>
        <v>325</v>
      </c>
      <c r="R29" s="53">
        <v>500</v>
      </c>
      <c r="S29" s="29">
        <v>35</v>
      </c>
      <c r="T29" s="29">
        <f t="shared" ref="T29:T30" si="37">R29/100*S29</f>
        <v>175</v>
      </c>
      <c r="U29" s="29">
        <f t="shared" si="5"/>
        <v>35</v>
      </c>
      <c r="V29" s="39">
        <f t="shared" ref="V29:V30" si="38">R29-T29</f>
        <v>325</v>
      </c>
      <c r="X29" s="53">
        <v>500</v>
      </c>
      <c r="Y29" s="29">
        <v>35</v>
      </c>
      <c r="Z29" s="29">
        <f t="shared" ref="Z29:Z30" si="39">X29/100*Y29</f>
        <v>175</v>
      </c>
      <c r="AA29" s="29">
        <f t="shared" si="6"/>
        <v>35</v>
      </c>
      <c r="AB29" s="39">
        <f t="shared" ref="AB29:AB30" si="40">X29-Z29</f>
        <v>325</v>
      </c>
      <c r="AD29" s="53">
        <v>1000</v>
      </c>
      <c r="AE29" s="29">
        <v>35</v>
      </c>
      <c r="AF29" s="29">
        <f t="shared" ref="AF29:AF30" si="41">AD29/100*AE29</f>
        <v>350</v>
      </c>
      <c r="AG29" s="29">
        <f t="shared" si="7"/>
        <v>35</v>
      </c>
      <c r="AH29" s="39">
        <f t="shared" ref="AH29:AH30" si="42">AD29-AF29</f>
        <v>650</v>
      </c>
      <c r="AJ29" s="53">
        <v>1500</v>
      </c>
      <c r="AK29" s="29">
        <v>35</v>
      </c>
      <c r="AL29" s="29">
        <f t="shared" ref="AL29:AL30" si="43">AJ29/100*AK29</f>
        <v>525</v>
      </c>
      <c r="AM29" s="29">
        <f t="shared" si="8"/>
        <v>35</v>
      </c>
      <c r="AN29" s="39">
        <f t="shared" ref="AN29:AN30" si="44">AJ29-AL29</f>
        <v>975</v>
      </c>
    </row>
    <row r="30" spans="2:40" ht="19.5" customHeight="1" thickBot="1" x14ac:dyDescent="0.35">
      <c r="B30" s="126"/>
      <c r="D30" s="110"/>
      <c r="E30" s="111"/>
      <c r="F30" s="112"/>
      <c r="G30" s="33"/>
      <c r="H30" s="116" t="s">
        <v>74</v>
      </c>
      <c r="I30" s="116"/>
      <c r="J30" s="116"/>
      <c r="L30" s="55">
        <v>500</v>
      </c>
      <c r="M30" s="29">
        <v>35</v>
      </c>
      <c r="N30" s="29">
        <f t="shared" si="23"/>
        <v>175</v>
      </c>
      <c r="O30" s="29">
        <f t="shared" si="4"/>
        <v>35</v>
      </c>
      <c r="P30" s="39">
        <f t="shared" si="28"/>
        <v>325</v>
      </c>
      <c r="R30" s="55">
        <v>500</v>
      </c>
      <c r="S30" s="29">
        <v>35</v>
      </c>
      <c r="T30" s="29">
        <f t="shared" si="37"/>
        <v>175</v>
      </c>
      <c r="U30" s="29">
        <f t="shared" si="5"/>
        <v>35</v>
      </c>
      <c r="V30" s="39">
        <f t="shared" si="38"/>
        <v>325</v>
      </c>
      <c r="X30" s="55">
        <v>500</v>
      </c>
      <c r="Y30" s="29">
        <v>35</v>
      </c>
      <c r="Z30" s="29">
        <f t="shared" si="39"/>
        <v>175</v>
      </c>
      <c r="AA30" s="29">
        <f t="shared" si="6"/>
        <v>35</v>
      </c>
      <c r="AB30" s="39">
        <f t="shared" si="40"/>
        <v>325</v>
      </c>
      <c r="AD30" s="55">
        <v>1000</v>
      </c>
      <c r="AE30" s="29">
        <v>35</v>
      </c>
      <c r="AF30" s="29">
        <f t="shared" si="41"/>
        <v>350</v>
      </c>
      <c r="AG30" s="29">
        <f t="shared" si="7"/>
        <v>35</v>
      </c>
      <c r="AH30" s="39">
        <f t="shared" si="42"/>
        <v>650</v>
      </c>
      <c r="AJ30" s="55">
        <v>1500</v>
      </c>
      <c r="AK30" s="29">
        <v>35</v>
      </c>
      <c r="AL30" s="29">
        <f t="shared" si="43"/>
        <v>525</v>
      </c>
      <c r="AM30" s="29">
        <f t="shared" si="8"/>
        <v>35</v>
      </c>
      <c r="AN30" s="39">
        <f t="shared" si="44"/>
        <v>975</v>
      </c>
    </row>
    <row r="31" spans="2:40" ht="20.100000000000001" customHeight="1" thickBot="1" x14ac:dyDescent="0.35">
      <c r="D31" s="32"/>
      <c r="E31" s="32"/>
      <c r="F31" s="32"/>
      <c r="G31" s="33"/>
      <c r="H31" s="35"/>
      <c r="I31" s="35"/>
      <c r="J31" s="35"/>
      <c r="L31" s="47"/>
      <c r="P31" s="39"/>
      <c r="R31" s="47"/>
      <c r="V31" s="39"/>
      <c r="X31" s="47"/>
      <c r="AB31" s="39"/>
      <c r="AD31" s="47"/>
      <c r="AH31" s="39"/>
      <c r="AJ31" s="47"/>
      <c r="AN31" s="39"/>
    </row>
    <row r="32" spans="2:40" ht="20.100000000000001" customHeight="1" x14ac:dyDescent="0.3">
      <c r="B32" s="124">
        <v>7</v>
      </c>
      <c r="D32" s="107" t="s">
        <v>157</v>
      </c>
      <c r="E32" s="108"/>
      <c r="F32" s="109"/>
      <c r="G32" s="33"/>
      <c r="H32" s="116" t="s">
        <v>54</v>
      </c>
      <c r="I32" s="116"/>
      <c r="J32" s="116"/>
      <c r="L32" s="53">
        <v>250</v>
      </c>
      <c r="M32" s="29">
        <v>35</v>
      </c>
      <c r="N32" s="29">
        <f t="shared" si="23"/>
        <v>87.5</v>
      </c>
      <c r="O32" s="29">
        <f t="shared" si="4"/>
        <v>35</v>
      </c>
      <c r="P32" s="39">
        <f t="shared" si="28"/>
        <v>162.5</v>
      </c>
      <c r="R32" s="53">
        <v>250</v>
      </c>
      <c r="S32" s="29">
        <v>35</v>
      </c>
      <c r="T32" s="29">
        <f t="shared" ref="T32:T34" si="45">R32/100*S32</f>
        <v>87.5</v>
      </c>
      <c r="U32" s="29">
        <f t="shared" si="5"/>
        <v>35</v>
      </c>
      <c r="V32" s="39">
        <f t="shared" ref="V32:V34" si="46">R32-T32</f>
        <v>162.5</v>
      </c>
      <c r="X32" s="53">
        <v>250</v>
      </c>
      <c r="Y32" s="29">
        <v>35</v>
      </c>
      <c r="Z32" s="29">
        <f t="shared" ref="Z32:Z34" si="47">X32/100*Y32</f>
        <v>87.5</v>
      </c>
      <c r="AA32" s="29">
        <f t="shared" si="6"/>
        <v>35</v>
      </c>
      <c r="AB32" s="39">
        <f t="shared" ref="AB32:AB34" si="48">X32-Z32</f>
        <v>162.5</v>
      </c>
      <c r="AD32" s="53">
        <v>300</v>
      </c>
      <c r="AE32" s="29">
        <v>35</v>
      </c>
      <c r="AF32" s="29">
        <f t="shared" ref="AF32:AF34" si="49">AD32/100*AE32</f>
        <v>105</v>
      </c>
      <c r="AG32" s="29">
        <f t="shared" si="7"/>
        <v>35</v>
      </c>
      <c r="AH32" s="39">
        <f t="shared" ref="AH32:AH34" si="50">AD32-AF32</f>
        <v>195</v>
      </c>
      <c r="AJ32" s="53">
        <v>300</v>
      </c>
      <c r="AK32" s="29">
        <v>35</v>
      </c>
      <c r="AL32" s="29">
        <f t="shared" ref="AL32:AL35" si="51">AJ32/100*AK32</f>
        <v>105</v>
      </c>
      <c r="AM32" s="29">
        <f t="shared" si="8"/>
        <v>35</v>
      </c>
      <c r="AN32" s="39">
        <f t="shared" ref="AN32:AN35" si="52">AJ32-AL32</f>
        <v>195</v>
      </c>
    </row>
    <row r="33" spans="2:40" ht="20.100000000000001" customHeight="1" x14ac:dyDescent="0.3">
      <c r="B33" s="125"/>
      <c r="D33" s="120"/>
      <c r="E33" s="121"/>
      <c r="F33" s="122"/>
      <c r="G33" s="33"/>
      <c r="H33" s="116" t="s">
        <v>51</v>
      </c>
      <c r="I33" s="116"/>
      <c r="J33" s="116"/>
      <c r="L33" s="54">
        <v>250</v>
      </c>
      <c r="M33" s="29">
        <v>35</v>
      </c>
      <c r="N33" s="29">
        <f t="shared" si="23"/>
        <v>87.5</v>
      </c>
      <c r="O33" s="29">
        <f t="shared" si="4"/>
        <v>35</v>
      </c>
      <c r="P33" s="39">
        <f t="shared" si="28"/>
        <v>162.5</v>
      </c>
      <c r="R33" s="54">
        <v>250</v>
      </c>
      <c r="S33" s="29">
        <v>35</v>
      </c>
      <c r="T33" s="29">
        <f t="shared" si="45"/>
        <v>87.5</v>
      </c>
      <c r="U33" s="29">
        <f t="shared" si="5"/>
        <v>35</v>
      </c>
      <c r="V33" s="39">
        <f t="shared" si="46"/>
        <v>162.5</v>
      </c>
      <c r="X33" s="54">
        <v>250</v>
      </c>
      <c r="Y33" s="29">
        <v>35</v>
      </c>
      <c r="Z33" s="29">
        <f t="shared" si="47"/>
        <v>87.5</v>
      </c>
      <c r="AA33" s="29">
        <f t="shared" si="6"/>
        <v>35</v>
      </c>
      <c r="AB33" s="39">
        <f t="shared" si="48"/>
        <v>162.5</v>
      </c>
      <c r="AD33" s="54">
        <v>300</v>
      </c>
      <c r="AE33" s="29">
        <v>35</v>
      </c>
      <c r="AF33" s="29">
        <f t="shared" si="49"/>
        <v>105</v>
      </c>
      <c r="AG33" s="29">
        <f t="shared" si="7"/>
        <v>35</v>
      </c>
      <c r="AH33" s="39">
        <f t="shared" si="50"/>
        <v>195</v>
      </c>
      <c r="AJ33" s="54">
        <v>500</v>
      </c>
      <c r="AK33" s="29">
        <v>35</v>
      </c>
      <c r="AL33" s="29">
        <f t="shared" si="51"/>
        <v>175</v>
      </c>
      <c r="AM33" s="29">
        <f t="shared" si="8"/>
        <v>35</v>
      </c>
      <c r="AN33" s="39">
        <f t="shared" si="52"/>
        <v>325</v>
      </c>
    </row>
    <row r="34" spans="2:40" ht="20.100000000000001" customHeight="1" x14ac:dyDescent="0.3">
      <c r="B34" s="125"/>
      <c r="D34" s="120"/>
      <c r="E34" s="121"/>
      <c r="F34" s="122"/>
      <c r="G34" s="33"/>
      <c r="H34" s="116" t="s">
        <v>52</v>
      </c>
      <c r="I34" s="116"/>
      <c r="J34" s="116"/>
      <c r="L34" s="54">
        <v>250</v>
      </c>
      <c r="M34" s="29">
        <v>35</v>
      </c>
      <c r="N34" s="29">
        <f t="shared" si="23"/>
        <v>87.5</v>
      </c>
      <c r="O34" s="29">
        <f t="shared" si="4"/>
        <v>35</v>
      </c>
      <c r="P34" s="39">
        <f t="shared" si="28"/>
        <v>162.5</v>
      </c>
      <c r="R34" s="54">
        <v>250</v>
      </c>
      <c r="S34" s="29">
        <v>35</v>
      </c>
      <c r="T34" s="29">
        <f t="shared" si="45"/>
        <v>87.5</v>
      </c>
      <c r="U34" s="29">
        <f t="shared" si="5"/>
        <v>35</v>
      </c>
      <c r="V34" s="39">
        <f t="shared" si="46"/>
        <v>162.5</v>
      </c>
      <c r="X34" s="54">
        <v>250</v>
      </c>
      <c r="Y34" s="29">
        <v>35</v>
      </c>
      <c r="Z34" s="29">
        <f t="shared" si="47"/>
        <v>87.5</v>
      </c>
      <c r="AA34" s="29">
        <f t="shared" si="6"/>
        <v>35</v>
      </c>
      <c r="AB34" s="39">
        <f t="shared" si="48"/>
        <v>162.5</v>
      </c>
      <c r="AD34" s="54">
        <v>300</v>
      </c>
      <c r="AE34" s="29">
        <v>35</v>
      </c>
      <c r="AF34" s="29">
        <f t="shared" si="49"/>
        <v>105</v>
      </c>
      <c r="AG34" s="29">
        <f t="shared" si="7"/>
        <v>35</v>
      </c>
      <c r="AH34" s="39">
        <f t="shared" si="50"/>
        <v>195</v>
      </c>
      <c r="AJ34" s="54">
        <v>500</v>
      </c>
      <c r="AK34" s="29">
        <v>35</v>
      </c>
      <c r="AL34" s="29">
        <f t="shared" si="51"/>
        <v>175</v>
      </c>
      <c r="AM34" s="29">
        <f t="shared" si="8"/>
        <v>35</v>
      </c>
      <c r="AN34" s="39">
        <f t="shared" si="52"/>
        <v>325</v>
      </c>
    </row>
    <row r="35" spans="2:40" ht="20.100000000000001" customHeight="1" thickBot="1" x14ac:dyDescent="0.35">
      <c r="B35" s="126"/>
      <c r="D35" s="110"/>
      <c r="E35" s="111"/>
      <c r="F35" s="112"/>
      <c r="G35" s="33"/>
      <c r="H35" s="116" t="s">
        <v>53</v>
      </c>
      <c r="I35" s="116"/>
      <c r="J35" s="116"/>
      <c r="L35" s="55">
        <v>250</v>
      </c>
      <c r="M35" s="29">
        <v>35</v>
      </c>
      <c r="N35" s="29">
        <f t="shared" ref="N35" si="53">L35/100*M35</f>
        <v>87.5</v>
      </c>
      <c r="O35" s="29">
        <f t="shared" si="4"/>
        <v>35</v>
      </c>
      <c r="P35" s="39">
        <f t="shared" ref="P35" si="54">L35-N35</f>
        <v>162.5</v>
      </c>
      <c r="R35" s="55">
        <v>250</v>
      </c>
      <c r="S35" s="29">
        <v>35</v>
      </c>
      <c r="T35" s="29">
        <f t="shared" ref="T35" si="55">R35/100*S35</f>
        <v>87.5</v>
      </c>
      <c r="U35" s="29">
        <f t="shared" si="5"/>
        <v>35</v>
      </c>
      <c r="V35" s="39">
        <f t="shared" ref="V35" si="56">R35-T35</f>
        <v>162.5</v>
      </c>
      <c r="X35" s="55">
        <v>250</v>
      </c>
      <c r="Y35" s="29">
        <v>35</v>
      </c>
      <c r="Z35" s="29">
        <f t="shared" ref="Z35" si="57">X35/100*Y35</f>
        <v>87.5</v>
      </c>
      <c r="AA35" s="29">
        <f t="shared" si="6"/>
        <v>35</v>
      </c>
      <c r="AB35" s="39">
        <f t="shared" ref="AB35" si="58">X35-Z35</f>
        <v>162.5</v>
      </c>
      <c r="AD35" s="55">
        <v>300</v>
      </c>
      <c r="AE35" s="29">
        <v>35</v>
      </c>
      <c r="AF35" s="29">
        <f t="shared" ref="AF35" si="59">AD35/100*AE35</f>
        <v>105</v>
      </c>
      <c r="AG35" s="29">
        <f t="shared" si="7"/>
        <v>35</v>
      </c>
      <c r="AH35" s="39">
        <f t="shared" ref="AH35" si="60">AD35-AF35</f>
        <v>195</v>
      </c>
      <c r="AJ35" s="55">
        <v>300</v>
      </c>
      <c r="AK35" s="29">
        <v>35</v>
      </c>
      <c r="AL35" s="29">
        <f t="shared" si="51"/>
        <v>105</v>
      </c>
      <c r="AM35" s="29">
        <f t="shared" si="8"/>
        <v>35</v>
      </c>
      <c r="AN35" s="39">
        <f t="shared" si="52"/>
        <v>195</v>
      </c>
    </row>
    <row r="36" spans="2:40" ht="20.100000000000001" customHeight="1" thickBot="1" x14ac:dyDescent="0.35">
      <c r="H36" s="34"/>
      <c r="I36" s="34"/>
      <c r="J36" s="34"/>
      <c r="L36" s="47"/>
      <c r="P36" s="39"/>
      <c r="R36" s="47"/>
      <c r="V36" s="39"/>
      <c r="X36" s="47"/>
      <c r="AB36" s="39"/>
      <c r="AD36" s="47"/>
      <c r="AH36" s="39"/>
      <c r="AJ36" s="47"/>
      <c r="AN36" s="39"/>
    </row>
    <row r="37" spans="2:40" ht="20.100000000000001" customHeight="1" x14ac:dyDescent="0.3">
      <c r="B37" s="124">
        <v>8</v>
      </c>
      <c r="D37" s="107" t="s">
        <v>167</v>
      </c>
      <c r="E37" s="108"/>
      <c r="F37" s="109"/>
      <c r="H37" s="116" t="s">
        <v>87</v>
      </c>
      <c r="I37" s="116"/>
      <c r="J37" s="116"/>
      <c r="L37" s="53">
        <v>500</v>
      </c>
      <c r="M37" s="29">
        <v>35</v>
      </c>
      <c r="N37" s="29">
        <f t="shared" si="23"/>
        <v>175</v>
      </c>
      <c r="O37" s="29">
        <f t="shared" si="4"/>
        <v>35</v>
      </c>
      <c r="P37" s="39">
        <f t="shared" si="28"/>
        <v>325</v>
      </c>
      <c r="R37" s="53">
        <v>750</v>
      </c>
      <c r="S37" s="29">
        <v>35</v>
      </c>
      <c r="T37" s="29">
        <f t="shared" ref="T37:T38" si="61">R37/100*S37</f>
        <v>262.5</v>
      </c>
      <c r="U37" s="29">
        <f t="shared" si="5"/>
        <v>35</v>
      </c>
      <c r="V37" s="39">
        <f t="shared" ref="V37:V38" si="62">R37-T37</f>
        <v>487.5</v>
      </c>
      <c r="X37" s="53">
        <v>750</v>
      </c>
      <c r="Y37" s="29">
        <v>35</v>
      </c>
      <c r="Z37" s="29">
        <f t="shared" ref="Z37:Z38" si="63">X37/100*Y37</f>
        <v>262.5</v>
      </c>
      <c r="AA37" s="29">
        <f t="shared" si="6"/>
        <v>35</v>
      </c>
      <c r="AB37" s="39">
        <f t="shared" ref="AB37:AB38" si="64">X37-Z37</f>
        <v>487.5</v>
      </c>
      <c r="AD37" s="53">
        <v>1000</v>
      </c>
      <c r="AE37" s="29">
        <v>35</v>
      </c>
      <c r="AF37" s="29">
        <f t="shared" ref="AF37:AF38" si="65">AD37/100*AE37</f>
        <v>350</v>
      </c>
      <c r="AG37" s="29">
        <f t="shared" si="7"/>
        <v>35</v>
      </c>
      <c r="AH37" s="39">
        <f t="shared" ref="AH37:AH38" si="66">AD37-AF37</f>
        <v>650</v>
      </c>
      <c r="AJ37" s="53">
        <v>1500</v>
      </c>
      <c r="AK37" s="29">
        <v>35</v>
      </c>
      <c r="AL37" s="29">
        <f t="shared" ref="AL37:AL38" si="67">AJ37/100*AK37</f>
        <v>525</v>
      </c>
      <c r="AM37" s="29">
        <f t="shared" si="8"/>
        <v>35</v>
      </c>
      <c r="AN37" s="39">
        <f t="shared" ref="AN37:AN38" si="68">AJ37-AL37</f>
        <v>975</v>
      </c>
    </row>
    <row r="38" spans="2:40" ht="20.100000000000001" customHeight="1" thickBot="1" x14ac:dyDescent="0.35">
      <c r="B38" s="126"/>
      <c r="D38" s="110"/>
      <c r="E38" s="111"/>
      <c r="F38" s="112"/>
      <c r="H38" s="116" t="s">
        <v>88</v>
      </c>
      <c r="I38" s="116"/>
      <c r="J38" s="116"/>
      <c r="L38" s="55">
        <v>500</v>
      </c>
      <c r="M38" s="29">
        <v>35</v>
      </c>
      <c r="N38" s="29">
        <f t="shared" si="23"/>
        <v>175</v>
      </c>
      <c r="O38" s="29">
        <f t="shared" si="4"/>
        <v>35</v>
      </c>
      <c r="P38" s="39">
        <f t="shared" si="28"/>
        <v>325</v>
      </c>
      <c r="R38" s="55">
        <v>750</v>
      </c>
      <c r="S38" s="29">
        <v>35</v>
      </c>
      <c r="T38" s="29">
        <f t="shared" si="61"/>
        <v>262.5</v>
      </c>
      <c r="U38" s="29">
        <f t="shared" si="5"/>
        <v>35</v>
      </c>
      <c r="V38" s="39">
        <f t="shared" si="62"/>
        <v>487.5</v>
      </c>
      <c r="X38" s="55">
        <v>750</v>
      </c>
      <c r="Y38" s="29">
        <v>35</v>
      </c>
      <c r="Z38" s="29">
        <f t="shared" si="63"/>
        <v>262.5</v>
      </c>
      <c r="AA38" s="29">
        <f t="shared" si="6"/>
        <v>35</v>
      </c>
      <c r="AB38" s="39">
        <f t="shared" si="64"/>
        <v>487.5</v>
      </c>
      <c r="AD38" s="55">
        <v>1000</v>
      </c>
      <c r="AE38" s="29">
        <v>35</v>
      </c>
      <c r="AF38" s="29">
        <f t="shared" si="65"/>
        <v>350</v>
      </c>
      <c r="AG38" s="29">
        <f t="shared" si="7"/>
        <v>35</v>
      </c>
      <c r="AH38" s="39">
        <f t="shared" si="66"/>
        <v>650</v>
      </c>
      <c r="AJ38" s="55">
        <v>1500</v>
      </c>
      <c r="AK38" s="29">
        <v>35</v>
      </c>
      <c r="AL38" s="29">
        <f t="shared" si="67"/>
        <v>525</v>
      </c>
      <c r="AM38" s="29">
        <f t="shared" si="8"/>
        <v>35</v>
      </c>
      <c r="AN38" s="39">
        <f t="shared" si="68"/>
        <v>975</v>
      </c>
    </row>
    <row r="39" spans="2:40" ht="20.100000000000001" customHeight="1" thickBot="1" x14ac:dyDescent="0.35">
      <c r="H39" s="34"/>
      <c r="I39" s="34"/>
      <c r="J39" s="34"/>
      <c r="L39" s="47"/>
      <c r="P39" s="39"/>
      <c r="R39" s="47"/>
      <c r="V39" s="39"/>
      <c r="X39" s="47"/>
      <c r="AB39" s="39"/>
      <c r="AD39" s="47"/>
      <c r="AH39" s="39"/>
      <c r="AJ39" s="47"/>
      <c r="AN39" s="39"/>
    </row>
    <row r="40" spans="2:40" ht="20.100000000000001" customHeight="1" x14ac:dyDescent="0.3">
      <c r="B40" s="124">
        <v>9</v>
      </c>
      <c r="D40" s="107" t="s">
        <v>168</v>
      </c>
      <c r="E40" s="108"/>
      <c r="F40" s="109"/>
      <c r="H40" s="116" t="s">
        <v>107</v>
      </c>
      <c r="I40" s="116"/>
      <c r="J40" s="116"/>
      <c r="L40" s="53">
        <v>1000</v>
      </c>
      <c r="M40" s="29">
        <v>35</v>
      </c>
      <c r="N40" s="29">
        <f t="shared" si="23"/>
        <v>350</v>
      </c>
      <c r="O40" s="29">
        <f t="shared" si="4"/>
        <v>35</v>
      </c>
      <c r="P40" s="39">
        <f t="shared" si="28"/>
        <v>650</v>
      </c>
      <c r="R40" s="53">
        <v>1500</v>
      </c>
      <c r="S40" s="29">
        <v>35</v>
      </c>
      <c r="T40" s="29">
        <f t="shared" ref="T40:T41" si="69">R40/100*S40</f>
        <v>525</v>
      </c>
      <c r="U40" s="29">
        <f t="shared" si="5"/>
        <v>35</v>
      </c>
      <c r="V40" s="39">
        <f t="shared" ref="V40:V41" si="70">R40-T40</f>
        <v>975</v>
      </c>
      <c r="X40" s="53">
        <v>1500</v>
      </c>
      <c r="Y40" s="29">
        <v>35</v>
      </c>
      <c r="Z40" s="29">
        <f t="shared" ref="Z40:Z41" si="71">X40/100*Y40</f>
        <v>525</v>
      </c>
      <c r="AA40" s="29">
        <f t="shared" si="6"/>
        <v>35</v>
      </c>
      <c r="AB40" s="39">
        <f t="shared" ref="AB40:AB41" si="72">X40-Z40</f>
        <v>975</v>
      </c>
      <c r="AD40" s="53">
        <v>2000</v>
      </c>
      <c r="AE40" s="29">
        <v>35</v>
      </c>
      <c r="AF40" s="29">
        <f t="shared" ref="AF40:AF41" si="73">AD40/100*AE40</f>
        <v>700</v>
      </c>
      <c r="AG40" s="29">
        <f t="shared" si="7"/>
        <v>35</v>
      </c>
      <c r="AH40" s="39">
        <f t="shared" ref="AH40:AH41" si="74">AD40-AF40</f>
        <v>1300</v>
      </c>
      <c r="AJ40" s="53">
        <v>2500</v>
      </c>
      <c r="AK40" s="29">
        <v>35</v>
      </c>
      <c r="AL40" s="29">
        <f t="shared" ref="AL40:AL41" si="75">AJ40/100*AK40</f>
        <v>875</v>
      </c>
      <c r="AM40" s="29">
        <f t="shared" si="8"/>
        <v>35</v>
      </c>
      <c r="AN40" s="39">
        <f t="shared" ref="AN40:AN41" si="76">AJ40-AL40</f>
        <v>1625</v>
      </c>
    </row>
    <row r="41" spans="2:40" ht="20.100000000000001" customHeight="1" thickBot="1" x14ac:dyDescent="0.35">
      <c r="B41" s="126"/>
      <c r="D41" s="110"/>
      <c r="E41" s="111"/>
      <c r="F41" s="112"/>
      <c r="H41" s="116" t="s">
        <v>108</v>
      </c>
      <c r="I41" s="116"/>
      <c r="J41" s="116"/>
      <c r="L41" s="55">
        <v>1000</v>
      </c>
      <c r="M41" s="29">
        <v>35</v>
      </c>
      <c r="N41" s="29">
        <f t="shared" si="23"/>
        <v>350</v>
      </c>
      <c r="O41" s="29">
        <f t="shared" si="4"/>
        <v>35</v>
      </c>
      <c r="P41" s="39">
        <f t="shared" si="28"/>
        <v>650</v>
      </c>
      <c r="R41" s="55">
        <v>1500</v>
      </c>
      <c r="S41" s="29">
        <v>35</v>
      </c>
      <c r="T41" s="29">
        <f t="shared" si="69"/>
        <v>525</v>
      </c>
      <c r="U41" s="29">
        <f t="shared" si="5"/>
        <v>35</v>
      </c>
      <c r="V41" s="39">
        <f t="shared" si="70"/>
        <v>975</v>
      </c>
      <c r="X41" s="55">
        <v>1500</v>
      </c>
      <c r="Y41" s="29">
        <v>35</v>
      </c>
      <c r="Z41" s="29">
        <f t="shared" si="71"/>
        <v>525</v>
      </c>
      <c r="AA41" s="29">
        <f t="shared" si="6"/>
        <v>35</v>
      </c>
      <c r="AB41" s="39">
        <f t="shared" si="72"/>
        <v>975</v>
      </c>
      <c r="AD41" s="55">
        <v>2000</v>
      </c>
      <c r="AE41" s="29">
        <v>35</v>
      </c>
      <c r="AF41" s="29">
        <f t="shared" si="73"/>
        <v>700</v>
      </c>
      <c r="AG41" s="29">
        <f t="shared" si="7"/>
        <v>35</v>
      </c>
      <c r="AH41" s="39">
        <f t="shared" si="74"/>
        <v>1300</v>
      </c>
      <c r="AJ41" s="55">
        <v>2500</v>
      </c>
      <c r="AK41" s="29">
        <v>35</v>
      </c>
      <c r="AL41" s="29">
        <f t="shared" si="75"/>
        <v>875</v>
      </c>
      <c r="AM41" s="29">
        <f t="shared" si="8"/>
        <v>35</v>
      </c>
      <c r="AN41" s="39">
        <f t="shared" si="76"/>
        <v>1625</v>
      </c>
    </row>
    <row r="42" spans="2:40" ht="20.100000000000001" customHeight="1" thickBot="1" x14ac:dyDescent="0.35">
      <c r="H42" s="34"/>
      <c r="I42" s="34"/>
      <c r="J42" s="34"/>
      <c r="L42" s="47"/>
      <c r="P42" s="39"/>
      <c r="R42" s="47"/>
      <c r="V42" s="39"/>
      <c r="X42" s="47"/>
      <c r="AB42" s="39"/>
      <c r="AD42" s="47"/>
      <c r="AH42" s="39"/>
      <c r="AJ42" s="47"/>
      <c r="AN42" s="39"/>
    </row>
    <row r="43" spans="2:40" ht="20.100000000000001" customHeight="1" x14ac:dyDescent="0.3">
      <c r="B43" s="124">
        <v>10</v>
      </c>
      <c r="D43" s="107" t="s">
        <v>169</v>
      </c>
      <c r="E43" s="108"/>
      <c r="F43" s="109"/>
      <c r="H43" s="116" t="s">
        <v>122</v>
      </c>
      <c r="I43" s="116"/>
      <c r="J43" s="116"/>
      <c r="L43" s="53">
        <v>500</v>
      </c>
      <c r="M43" s="29">
        <v>35</v>
      </c>
      <c r="N43" s="29">
        <f t="shared" si="23"/>
        <v>175</v>
      </c>
      <c r="O43" s="29">
        <f t="shared" si="4"/>
        <v>35</v>
      </c>
      <c r="P43" s="39">
        <f t="shared" si="28"/>
        <v>325</v>
      </c>
      <c r="R43" s="53">
        <v>500</v>
      </c>
      <c r="S43" s="29">
        <v>35</v>
      </c>
      <c r="T43" s="29">
        <f t="shared" ref="T43:T44" si="77">R43/100*S43</f>
        <v>175</v>
      </c>
      <c r="U43" s="29">
        <f t="shared" si="5"/>
        <v>35</v>
      </c>
      <c r="V43" s="39">
        <f t="shared" ref="V43:V44" si="78">R43-T43</f>
        <v>325</v>
      </c>
      <c r="X43" s="53">
        <v>750</v>
      </c>
      <c r="Y43" s="29">
        <v>35</v>
      </c>
      <c r="Z43" s="29">
        <f t="shared" ref="Z43:Z44" si="79">X43/100*Y43</f>
        <v>262.5</v>
      </c>
      <c r="AA43" s="29">
        <f t="shared" si="6"/>
        <v>35</v>
      </c>
      <c r="AB43" s="39">
        <f t="shared" ref="AB43:AB44" si="80">X43-Z43</f>
        <v>487.5</v>
      </c>
      <c r="AD43" s="53">
        <v>750</v>
      </c>
      <c r="AE43" s="29">
        <v>35</v>
      </c>
      <c r="AF43" s="29">
        <f t="shared" ref="AF43:AF44" si="81">AD43/100*AE43</f>
        <v>262.5</v>
      </c>
      <c r="AG43" s="29">
        <f t="shared" si="7"/>
        <v>35</v>
      </c>
      <c r="AH43" s="39">
        <f t="shared" ref="AH43:AH44" si="82">AD43-AF43</f>
        <v>487.5</v>
      </c>
      <c r="AJ43" s="53">
        <v>1000</v>
      </c>
      <c r="AK43" s="29">
        <v>35</v>
      </c>
      <c r="AL43" s="29">
        <f t="shared" ref="AL43:AL44" si="83">AJ43/100*AK43</f>
        <v>350</v>
      </c>
      <c r="AM43" s="29">
        <f t="shared" si="8"/>
        <v>35</v>
      </c>
      <c r="AN43" s="39">
        <f t="shared" ref="AN43:AN44" si="84">AJ43-AL43</f>
        <v>650</v>
      </c>
    </row>
    <row r="44" spans="2:40" ht="20.100000000000001" customHeight="1" thickBot="1" x14ac:dyDescent="0.35">
      <c r="B44" s="126"/>
      <c r="D44" s="110"/>
      <c r="E44" s="111"/>
      <c r="F44" s="112"/>
      <c r="H44" s="116" t="s">
        <v>123</v>
      </c>
      <c r="I44" s="116"/>
      <c r="J44" s="116"/>
      <c r="L44" s="55">
        <v>500</v>
      </c>
      <c r="M44" s="29">
        <v>35</v>
      </c>
      <c r="N44" s="29">
        <f t="shared" si="23"/>
        <v>175</v>
      </c>
      <c r="O44" s="29">
        <f t="shared" si="4"/>
        <v>35</v>
      </c>
      <c r="P44" s="39">
        <f t="shared" si="28"/>
        <v>325</v>
      </c>
      <c r="R44" s="55">
        <v>500</v>
      </c>
      <c r="S44" s="29">
        <v>35</v>
      </c>
      <c r="T44" s="29">
        <f t="shared" si="77"/>
        <v>175</v>
      </c>
      <c r="U44" s="29">
        <f t="shared" si="5"/>
        <v>35</v>
      </c>
      <c r="V44" s="39">
        <f t="shared" si="78"/>
        <v>325</v>
      </c>
      <c r="X44" s="55">
        <v>750</v>
      </c>
      <c r="Y44" s="29">
        <v>35</v>
      </c>
      <c r="Z44" s="29">
        <f t="shared" si="79"/>
        <v>262.5</v>
      </c>
      <c r="AA44" s="29">
        <f t="shared" si="6"/>
        <v>35</v>
      </c>
      <c r="AB44" s="39">
        <f t="shared" si="80"/>
        <v>487.5</v>
      </c>
      <c r="AD44" s="55">
        <v>750</v>
      </c>
      <c r="AE44" s="29">
        <v>35</v>
      </c>
      <c r="AF44" s="29">
        <f t="shared" si="81"/>
        <v>262.5</v>
      </c>
      <c r="AG44" s="29">
        <f t="shared" si="7"/>
        <v>35</v>
      </c>
      <c r="AH44" s="39">
        <f t="shared" si="82"/>
        <v>487.5</v>
      </c>
      <c r="AJ44" s="55">
        <v>1000</v>
      </c>
      <c r="AK44" s="29">
        <v>35</v>
      </c>
      <c r="AL44" s="29">
        <f t="shared" si="83"/>
        <v>350</v>
      </c>
      <c r="AM44" s="29">
        <f t="shared" si="8"/>
        <v>35</v>
      </c>
      <c r="AN44" s="39">
        <f t="shared" si="84"/>
        <v>650</v>
      </c>
    </row>
    <row r="45" spans="2:40" ht="19.5" customHeight="1" thickBot="1" x14ac:dyDescent="0.35">
      <c r="H45" s="34"/>
      <c r="I45" s="34"/>
      <c r="J45" s="34"/>
      <c r="L45" s="47"/>
      <c r="P45" s="39"/>
      <c r="R45" s="47"/>
      <c r="V45" s="39"/>
      <c r="X45" s="47"/>
      <c r="AB45" s="39"/>
      <c r="AD45" s="47"/>
      <c r="AH45" s="39"/>
      <c r="AJ45" s="47"/>
      <c r="AN45" s="39"/>
    </row>
    <row r="46" spans="2:40" ht="20.100000000000001" customHeight="1" x14ac:dyDescent="0.3">
      <c r="B46" s="124">
        <v>11</v>
      </c>
      <c r="D46" s="123" t="s">
        <v>177</v>
      </c>
      <c r="E46" s="108"/>
      <c r="F46" s="109"/>
      <c r="H46" s="116" t="s">
        <v>110</v>
      </c>
      <c r="I46" s="116"/>
      <c r="J46" s="116"/>
      <c r="L46" s="53">
        <v>1000</v>
      </c>
      <c r="M46" s="29">
        <v>35</v>
      </c>
      <c r="N46" s="29">
        <f t="shared" si="23"/>
        <v>350</v>
      </c>
      <c r="O46" s="29">
        <f t="shared" si="4"/>
        <v>35</v>
      </c>
      <c r="P46" s="39">
        <f t="shared" si="28"/>
        <v>650</v>
      </c>
      <c r="R46" s="53">
        <v>1500</v>
      </c>
      <c r="S46" s="29">
        <v>35</v>
      </c>
      <c r="T46" s="29">
        <f t="shared" ref="T46:T47" si="85">R46/100*S46</f>
        <v>525</v>
      </c>
      <c r="U46" s="29">
        <f t="shared" si="5"/>
        <v>35</v>
      </c>
      <c r="V46" s="39">
        <f t="shared" ref="V46:V47" si="86">R46-T46</f>
        <v>975</v>
      </c>
      <c r="X46" s="53">
        <v>1500</v>
      </c>
      <c r="Y46" s="29">
        <v>35</v>
      </c>
      <c r="Z46" s="29">
        <f t="shared" ref="Z46:Z47" si="87">X46/100*Y46</f>
        <v>525</v>
      </c>
      <c r="AA46" s="29">
        <f t="shared" si="6"/>
        <v>35</v>
      </c>
      <c r="AB46" s="39">
        <f t="shared" ref="AB46:AB47" si="88">X46-Z46</f>
        <v>975</v>
      </c>
      <c r="AD46" s="53">
        <v>2000</v>
      </c>
      <c r="AE46" s="29">
        <v>35</v>
      </c>
      <c r="AF46" s="29">
        <f t="shared" ref="AF46:AF47" si="89">AD46/100*AE46</f>
        <v>700</v>
      </c>
      <c r="AG46" s="29">
        <f t="shared" si="7"/>
        <v>35</v>
      </c>
      <c r="AH46" s="39">
        <f t="shared" ref="AH46:AH47" si="90">AD46-AF46</f>
        <v>1300</v>
      </c>
      <c r="AJ46" s="53">
        <v>2500</v>
      </c>
      <c r="AK46" s="29">
        <v>35</v>
      </c>
      <c r="AL46" s="29">
        <f t="shared" ref="AL46:AL47" si="91">AJ46/100*AK46</f>
        <v>875</v>
      </c>
      <c r="AM46" s="29">
        <f t="shared" si="8"/>
        <v>35</v>
      </c>
      <c r="AN46" s="39">
        <f t="shared" ref="AN46:AN47" si="92">AJ46-AL46</f>
        <v>1625</v>
      </c>
    </row>
    <row r="47" spans="2:40" ht="19.5" customHeight="1" thickBot="1" x14ac:dyDescent="0.35">
      <c r="B47" s="126"/>
      <c r="D47" s="110"/>
      <c r="E47" s="111"/>
      <c r="F47" s="112"/>
      <c r="H47" s="116" t="s">
        <v>111</v>
      </c>
      <c r="I47" s="116"/>
      <c r="J47" s="116"/>
      <c r="L47" s="55">
        <v>1000</v>
      </c>
      <c r="M47" s="29">
        <v>35</v>
      </c>
      <c r="N47" s="29">
        <f t="shared" si="23"/>
        <v>350</v>
      </c>
      <c r="O47" s="29">
        <f t="shared" si="4"/>
        <v>35</v>
      </c>
      <c r="P47" s="39">
        <f t="shared" si="28"/>
        <v>650</v>
      </c>
      <c r="R47" s="55">
        <v>1500</v>
      </c>
      <c r="S47" s="29">
        <v>35</v>
      </c>
      <c r="T47" s="29">
        <f t="shared" si="85"/>
        <v>525</v>
      </c>
      <c r="U47" s="29">
        <f t="shared" si="5"/>
        <v>35</v>
      </c>
      <c r="V47" s="39">
        <f t="shared" si="86"/>
        <v>975</v>
      </c>
      <c r="X47" s="55">
        <v>1500</v>
      </c>
      <c r="Y47" s="29">
        <v>35</v>
      </c>
      <c r="Z47" s="29">
        <f t="shared" si="87"/>
        <v>525</v>
      </c>
      <c r="AA47" s="29">
        <f t="shared" si="6"/>
        <v>35</v>
      </c>
      <c r="AB47" s="39">
        <f t="shared" si="88"/>
        <v>975</v>
      </c>
      <c r="AD47" s="55">
        <v>2000</v>
      </c>
      <c r="AE47" s="29">
        <v>35</v>
      </c>
      <c r="AF47" s="29">
        <f t="shared" si="89"/>
        <v>700</v>
      </c>
      <c r="AG47" s="29">
        <f t="shared" si="7"/>
        <v>35</v>
      </c>
      <c r="AH47" s="39">
        <f t="shared" si="90"/>
        <v>1300</v>
      </c>
      <c r="AJ47" s="55">
        <v>2500</v>
      </c>
      <c r="AK47" s="29">
        <v>35</v>
      </c>
      <c r="AL47" s="29">
        <f t="shared" si="91"/>
        <v>875</v>
      </c>
      <c r="AM47" s="29">
        <f t="shared" si="8"/>
        <v>35</v>
      </c>
      <c r="AN47" s="39">
        <f t="shared" si="92"/>
        <v>1625</v>
      </c>
    </row>
    <row r="48" spans="2:40" ht="19.5" customHeight="1" thickBot="1" x14ac:dyDescent="0.35">
      <c r="D48" s="32"/>
      <c r="E48" s="32"/>
      <c r="F48" s="32"/>
      <c r="H48" s="35"/>
      <c r="I48" s="35"/>
      <c r="J48" s="35"/>
      <c r="L48" s="47"/>
      <c r="P48" s="39"/>
      <c r="R48" s="47"/>
      <c r="V48" s="39"/>
      <c r="X48" s="47"/>
      <c r="AB48" s="39"/>
      <c r="AD48" s="47"/>
      <c r="AH48" s="39"/>
      <c r="AJ48" s="47"/>
      <c r="AN48" s="39"/>
    </row>
    <row r="49" spans="2:40" x14ac:dyDescent="0.3">
      <c r="B49" s="124">
        <v>12</v>
      </c>
      <c r="D49" s="107" t="s">
        <v>187</v>
      </c>
      <c r="E49" s="108"/>
      <c r="F49" s="109"/>
      <c r="G49" s="33"/>
      <c r="H49" s="116" t="s">
        <v>188</v>
      </c>
      <c r="I49" s="116"/>
      <c r="J49" s="116"/>
      <c r="L49" s="53">
        <v>250</v>
      </c>
      <c r="M49" s="29">
        <v>35</v>
      </c>
      <c r="N49" s="29">
        <f>L49/100*M49</f>
        <v>87.5</v>
      </c>
      <c r="O49" s="29">
        <f>(L49-P49)/L49*100</f>
        <v>35</v>
      </c>
      <c r="P49" s="39">
        <f>L49-N49</f>
        <v>162.5</v>
      </c>
      <c r="R49" s="53">
        <v>250</v>
      </c>
      <c r="S49" s="29">
        <v>35</v>
      </c>
      <c r="T49" s="29">
        <f>R49/100*S49</f>
        <v>87.5</v>
      </c>
      <c r="U49" s="29">
        <f>(R49-V49)/R49*100</f>
        <v>35</v>
      </c>
      <c r="V49" s="39">
        <f>R49-T49</f>
        <v>162.5</v>
      </c>
      <c r="X49" s="53">
        <v>350</v>
      </c>
      <c r="Y49" s="29">
        <v>35</v>
      </c>
      <c r="Z49" s="29">
        <f>X49/100*Y49</f>
        <v>122.5</v>
      </c>
      <c r="AA49" s="29">
        <f>(X49-AB49)/X49*100</f>
        <v>35</v>
      </c>
      <c r="AB49" s="39">
        <f>X49-Z49</f>
        <v>227.5</v>
      </c>
      <c r="AD49" s="53">
        <v>350</v>
      </c>
      <c r="AE49" s="29">
        <v>35</v>
      </c>
      <c r="AF49" s="29">
        <f>AD49/100*AE49</f>
        <v>122.5</v>
      </c>
      <c r="AG49" s="29">
        <f>(AD49-AH49)/AD49*100</f>
        <v>35</v>
      </c>
      <c r="AH49" s="39">
        <f>AD49-AF49</f>
        <v>227.5</v>
      </c>
      <c r="AJ49" s="53">
        <v>500</v>
      </c>
    </row>
    <row r="50" spans="2:40" ht="19.5" thickBot="1" x14ac:dyDescent="0.35">
      <c r="B50" s="126"/>
      <c r="D50" s="110"/>
      <c r="E50" s="111"/>
      <c r="F50" s="112"/>
      <c r="G50" s="33"/>
      <c r="H50" s="116" t="s">
        <v>189</v>
      </c>
      <c r="I50" s="116"/>
      <c r="J50" s="116"/>
      <c r="L50" s="55">
        <v>250</v>
      </c>
      <c r="M50" s="29">
        <v>35</v>
      </c>
      <c r="N50" s="29">
        <f>L50/100*M50</f>
        <v>87.5</v>
      </c>
      <c r="O50" s="29">
        <f>(L50-P50)/L50*100</f>
        <v>35</v>
      </c>
      <c r="P50" s="39">
        <f>L50-N50</f>
        <v>162.5</v>
      </c>
      <c r="R50" s="55">
        <v>250</v>
      </c>
      <c r="S50" s="29">
        <v>35</v>
      </c>
      <c r="T50" s="29">
        <f>R50/100*S50</f>
        <v>87.5</v>
      </c>
      <c r="U50" s="29">
        <f>(R50-V50)/R50*100</f>
        <v>35</v>
      </c>
      <c r="V50" s="39">
        <f>R50-T50</f>
        <v>162.5</v>
      </c>
      <c r="X50" s="55">
        <v>350</v>
      </c>
      <c r="Y50" s="29">
        <v>35</v>
      </c>
      <c r="Z50" s="29">
        <f>X50/100*Y50</f>
        <v>122.5</v>
      </c>
      <c r="AA50" s="29">
        <f>(X50-AB50)/X50*100</f>
        <v>35</v>
      </c>
      <c r="AB50" s="39">
        <f>X50-Z50</f>
        <v>227.5</v>
      </c>
      <c r="AD50" s="55">
        <v>350</v>
      </c>
      <c r="AE50" s="29">
        <v>35</v>
      </c>
      <c r="AF50" s="29">
        <f>AD50/100*AE50</f>
        <v>122.5</v>
      </c>
      <c r="AG50" s="29">
        <f>(AD50-AH50)/AD50*100</f>
        <v>35</v>
      </c>
      <c r="AH50" s="39">
        <f>AD50-AF50</f>
        <v>227.5</v>
      </c>
      <c r="AJ50" s="55">
        <v>500</v>
      </c>
    </row>
    <row r="51" spans="2:40" ht="19.5" customHeight="1" thickBot="1" x14ac:dyDescent="0.35">
      <c r="H51" s="34"/>
      <c r="I51" s="34"/>
      <c r="J51" s="34"/>
      <c r="L51" s="47"/>
      <c r="P51" s="39"/>
      <c r="R51" s="47"/>
      <c r="V51" s="39"/>
      <c r="X51" s="47"/>
      <c r="AB51" s="39"/>
      <c r="AD51" s="47"/>
      <c r="AH51" s="39"/>
      <c r="AJ51" s="47"/>
      <c r="AN51" s="39"/>
    </row>
    <row r="52" spans="2:40" ht="20.100000000000001" customHeight="1" x14ac:dyDescent="0.3">
      <c r="B52" s="124">
        <v>13</v>
      </c>
      <c r="D52" s="107" t="s">
        <v>170</v>
      </c>
      <c r="E52" s="108"/>
      <c r="F52" s="109"/>
      <c r="H52" s="116" t="s">
        <v>42</v>
      </c>
      <c r="I52" s="116"/>
      <c r="J52" s="116"/>
      <c r="L52" s="53">
        <v>500</v>
      </c>
      <c r="M52" s="29">
        <v>35</v>
      </c>
      <c r="N52" s="29">
        <f t="shared" si="23"/>
        <v>175</v>
      </c>
      <c r="O52" s="29">
        <f t="shared" si="4"/>
        <v>35</v>
      </c>
      <c r="P52" s="39">
        <f t="shared" si="28"/>
        <v>325</v>
      </c>
      <c r="R52" s="53">
        <v>500</v>
      </c>
      <c r="S52" s="29">
        <v>35</v>
      </c>
      <c r="T52" s="29">
        <f t="shared" ref="T52:T53" si="93">R52/100*S52</f>
        <v>175</v>
      </c>
      <c r="U52" s="29">
        <f t="shared" si="5"/>
        <v>35</v>
      </c>
      <c r="V52" s="39">
        <f t="shared" ref="V52:V53" si="94">R52-T52</f>
        <v>325</v>
      </c>
      <c r="X52" s="53">
        <v>500</v>
      </c>
      <c r="Y52" s="29">
        <v>35</v>
      </c>
      <c r="Z52" s="29">
        <f t="shared" ref="Z52:Z53" si="95">X52/100*Y52</f>
        <v>175</v>
      </c>
      <c r="AA52" s="29">
        <f t="shared" si="6"/>
        <v>35</v>
      </c>
      <c r="AB52" s="39">
        <f t="shared" ref="AB52:AB53" si="96">X52-Z52</f>
        <v>325</v>
      </c>
      <c r="AD52" s="53">
        <v>500</v>
      </c>
      <c r="AE52" s="29">
        <v>35</v>
      </c>
      <c r="AF52" s="29">
        <f t="shared" ref="AF52:AF53" si="97">AD52/100*AE52</f>
        <v>175</v>
      </c>
      <c r="AG52" s="29">
        <f t="shared" si="7"/>
        <v>35</v>
      </c>
      <c r="AH52" s="39">
        <f t="shared" ref="AH52:AH53" si="98">AD52-AF52</f>
        <v>325</v>
      </c>
      <c r="AJ52" s="53">
        <v>750</v>
      </c>
      <c r="AK52" s="29">
        <v>35</v>
      </c>
      <c r="AL52" s="29">
        <f t="shared" ref="AL52:AL53" si="99">AJ52/100*AK52</f>
        <v>262.5</v>
      </c>
      <c r="AM52" s="29">
        <f t="shared" si="8"/>
        <v>35</v>
      </c>
      <c r="AN52" s="39">
        <f t="shared" ref="AN52:AN53" si="100">AJ52-AL52</f>
        <v>487.5</v>
      </c>
    </row>
    <row r="53" spans="2:40" ht="20.100000000000001" customHeight="1" thickBot="1" x14ac:dyDescent="0.35">
      <c r="B53" s="126"/>
      <c r="D53" s="110"/>
      <c r="E53" s="111"/>
      <c r="F53" s="112"/>
      <c r="H53" s="116" t="s">
        <v>43</v>
      </c>
      <c r="I53" s="116"/>
      <c r="J53" s="116"/>
      <c r="L53" s="55">
        <v>500</v>
      </c>
      <c r="M53" s="29">
        <v>35</v>
      </c>
      <c r="N53" s="29">
        <f t="shared" si="23"/>
        <v>175</v>
      </c>
      <c r="O53" s="29">
        <f t="shared" si="4"/>
        <v>35</v>
      </c>
      <c r="P53" s="39">
        <f t="shared" si="28"/>
        <v>325</v>
      </c>
      <c r="R53" s="55">
        <v>500</v>
      </c>
      <c r="S53" s="29">
        <v>35</v>
      </c>
      <c r="T53" s="29">
        <f t="shared" si="93"/>
        <v>175</v>
      </c>
      <c r="U53" s="29">
        <f t="shared" si="5"/>
        <v>35</v>
      </c>
      <c r="V53" s="39">
        <f t="shared" si="94"/>
        <v>325</v>
      </c>
      <c r="X53" s="55">
        <v>500</v>
      </c>
      <c r="Y53" s="29">
        <v>35</v>
      </c>
      <c r="Z53" s="29">
        <f t="shared" si="95"/>
        <v>175</v>
      </c>
      <c r="AA53" s="29">
        <f t="shared" si="6"/>
        <v>35</v>
      </c>
      <c r="AB53" s="39">
        <f t="shared" si="96"/>
        <v>325</v>
      </c>
      <c r="AD53" s="55">
        <v>500</v>
      </c>
      <c r="AE53" s="29">
        <v>35</v>
      </c>
      <c r="AF53" s="29">
        <f t="shared" si="97"/>
        <v>175</v>
      </c>
      <c r="AG53" s="29">
        <f t="shared" si="7"/>
        <v>35</v>
      </c>
      <c r="AH53" s="39">
        <f t="shared" si="98"/>
        <v>325</v>
      </c>
      <c r="AJ53" s="55">
        <v>750</v>
      </c>
      <c r="AK53" s="29">
        <v>35</v>
      </c>
      <c r="AL53" s="29">
        <f t="shared" si="99"/>
        <v>262.5</v>
      </c>
      <c r="AM53" s="29">
        <f t="shared" si="8"/>
        <v>35</v>
      </c>
      <c r="AN53" s="39">
        <f t="shared" si="100"/>
        <v>487.5</v>
      </c>
    </row>
    <row r="54" spans="2:40" ht="20.100000000000001" customHeight="1" thickBot="1" x14ac:dyDescent="0.35">
      <c r="H54" s="34"/>
      <c r="I54" s="34"/>
      <c r="J54" s="34"/>
      <c r="L54" s="47"/>
      <c r="P54" s="39"/>
      <c r="R54" s="47"/>
      <c r="V54" s="39"/>
      <c r="X54" s="47"/>
      <c r="AB54" s="39"/>
      <c r="AD54" s="47"/>
      <c r="AH54" s="39"/>
      <c r="AJ54" s="47"/>
      <c r="AN54" s="39"/>
    </row>
    <row r="55" spans="2:40" ht="20.100000000000001" customHeight="1" x14ac:dyDescent="0.3">
      <c r="B55" s="124">
        <v>14</v>
      </c>
      <c r="D55" s="107" t="s">
        <v>162</v>
      </c>
      <c r="E55" s="108"/>
      <c r="F55" s="109"/>
      <c r="G55" s="33"/>
      <c r="H55" s="116" t="s">
        <v>119</v>
      </c>
      <c r="I55" s="116"/>
      <c r="J55" s="116"/>
      <c r="L55" s="53">
        <v>250</v>
      </c>
      <c r="M55" s="29">
        <v>35</v>
      </c>
      <c r="N55" s="29">
        <f t="shared" si="23"/>
        <v>87.5</v>
      </c>
      <c r="O55" s="29">
        <f t="shared" si="4"/>
        <v>35</v>
      </c>
      <c r="P55" s="39">
        <f t="shared" si="28"/>
        <v>162.5</v>
      </c>
      <c r="R55" s="53">
        <v>250</v>
      </c>
      <c r="S55" s="29">
        <v>35</v>
      </c>
      <c r="T55" s="29">
        <f t="shared" ref="T55:T56" si="101">R55/100*S55</f>
        <v>87.5</v>
      </c>
      <c r="U55" s="29">
        <f t="shared" si="5"/>
        <v>35</v>
      </c>
      <c r="V55" s="39">
        <f t="shared" ref="V55:V56" si="102">R55-T55</f>
        <v>162.5</v>
      </c>
      <c r="X55" s="53">
        <v>300</v>
      </c>
      <c r="Y55" s="29">
        <v>35</v>
      </c>
      <c r="Z55" s="29">
        <f t="shared" ref="Z55:Z56" si="103">X55/100*Y55</f>
        <v>105</v>
      </c>
      <c r="AA55" s="29">
        <f t="shared" si="6"/>
        <v>35</v>
      </c>
      <c r="AB55" s="39">
        <f t="shared" ref="AB55:AB56" si="104">X55-Z55</f>
        <v>195</v>
      </c>
      <c r="AD55" s="53">
        <v>300</v>
      </c>
      <c r="AE55" s="29">
        <v>35</v>
      </c>
      <c r="AF55" s="29">
        <f t="shared" ref="AF55:AF56" si="105">AD55/100*AE55</f>
        <v>105</v>
      </c>
      <c r="AG55" s="29">
        <f t="shared" si="7"/>
        <v>35</v>
      </c>
      <c r="AH55" s="39">
        <f t="shared" ref="AH55:AH56" si="106">AD55-AF55</f>
        <v>195</v>
      </c>
      <c r="AJ55" s="53">
        <v>350</v>
      </c>
      <c r="AK55" s="29">
        <v>35</v>
      </c>
      <c r="AL55" s="29">
        <f t="shared" ref="AL55:AL56" si="107">AJ55/100*AK55</f>
        <v>122.5</v>
      </c>
      <c r="AM55" s="29">
        <f t="shared" si="8"/>
        <v>35</v>
      </c>
      <c r="AN55" s="39">
        <f t="shared" ref="AN55:AN56" si="108">AJ55-AL55</f>
        <v>227.5</v>
      </c>
    </row>
    <row r="56" spans="2:40" ht="20.100000000000001" customHeight="1" thickBot="1" x14ac:dyDescent="0.35">
      <c r="B56" s="126"/>
      <c r="D56" s="110"/>
      <c r="E56" s="111"/>
      <c r="F56" s="112"/>
      <c r="G56" s="33"/>
      <c r="H56" s="116" t="s">
        <v>120</v>
      </c>
      <c r="I56" s="116"/>
      <c r="J56" s="116"/>
      <c r="L56" s="55">
        <v>250</v>
      </c>
      <c r="M56" s="29">
        <v>35</v>
      </c>
      <c r="N56" s="29">
        <f t="shared" si="23"/>
        <v>87.5</v>
      </c>
      <c r="O56" s="29">
        <f t="shared" si="4"/>
        <v>35</v>
      </c>
      <c r="P56" s="39">
        <f t="shared" si="28"/>
        <v>162.5</v>
      </c>
      <c r="R56" s="55">
        <v>250</v>
      </c>
      <c r="S56" s="29">
        <v>35</v>
      </c>
      <c r="T56" s="29">
        <f t="shared" si="101"/>
        <v>87.5</v>
      </c>
      <c r="U56" s="29">
        <f t="shared" si="5"/>
        <v>35</v>
      </c>
      <c r="V56" s="39">
        <f t="shared" si="102"/>
        <v>162.5</v>
      </c>
      <c r="X56" s="55">
        <v>300</v>
      </c>
      <c r="Y56" s="29">
        <v>35</v>
      </c>
      <c r="Z56" s="29">
        <f t="shared" si="103"/>
        <v>105</v>
      </c>
      <c r="AA56" s="29">
        <f t="shared" si="6"/>
        <v>35</v>
      </c>
      <c r="AB56" s="39">
        <f t="shared" si="104"/>
        <v>195</v>
      </c>
      <c r="AD56" s="55">
        <v>300</v>
      </c>
      <c r="AE56" s="29">
        <v>35</v>
      </c>
      <c r="AF56" s="29">
        <f t="shared" si="105"/>
        <v>105</v>
      </c>
      <c r="AG56" s="29">
        <f t="shared" si="7"/>
        <v>35</v>
      </c>
      <c r="AH56" s="39">
        <f t="shared" si="106"/>
        <v>195</v>
      </c>
      <c r="AJ56" s="55">
        <v>350</v>
      </c>
      <c r="AK56" s="29">
        <v>35</v>
      </c>
      <c r="AL56" s="29">
        <f t="shared" si="107"/>
        <v>122.5</v>
      </c>
      <c r="AM56" s="29">
        <f t="shared" si="8"/>
        <v>35</v>
      </c>
      <c r="AN56" s="39">
        <f t="shared" si="108"/>
        <v>227.5</v>
      </c>
    </row>
    <row r="57" spans="2:40" ht="20.100000000000001" customHeight="1" thickBot="1" x14ac:dyDescent="0.35">
      <c r="H57" s="34"/>
      <c r="I57" s="34"/>
      <c r="J57" s="34"/>
      <c r="L57" s="47"/>
      <c r="P57" s="39"/>
      <c r="R57" s="47"/>
      <c r="V57" s="39"/>
      <c r="X57" s="47"/>
      <c r="AB57" s="39"/>
      <c r="AD57" s="47"/>
      <c r="AH57" s="39"/>
      <c r="AJ57" s="47"/>
      <c r="AN57" s="39"/>
    </row>
    <row r="58" spans="2:40" ht="20.100000000000001" customHeight="1" x14ac:dyDescent="0.3">
      <c r="B58" s="124">
        <v>15</v>
      </c>
      <c r="D58" s="107" t="s">
        <v>158</v>
      </c>
      <c r="E58" s="108"/>
      <c r="F58" s="109"/>
      <c r="G58" s="33"/>
      <c r="H58" s="116" t="s">
        <v>56</v>
      </c>
      <c r="I58" s="116"/>
      <c r="J58" s="116"/>
      <c r="L58" s="53">
        <v>500</v>
      </c>
      <c r="M58" s="29">
        <v>35</v>
      </c>
      <c r="N58" s="29">
        <f t="shared" si="23"/>
        <v>175</v>
      </c>
      <c r="O58" s="29">
        <f t="shared" si="4"/>
        <v>35</v>
      </c>
      <c r="P58" s="39">
        <f t="shared" si="28"/>
        <v>325</v>
      </c>
      <c r="R58" s="53">
        <v>500</v>
      </c>
      <c r="S58" s="29">
        <v>35</v>
      </c>
      <c r="T58" s="29">
        <f t="shared" ref="T58:T61" si="109">R58/100*S58</f>
        <v>175</v>
      </c>
      <c r="U58" s="29">
        <f t="shared" si="5"/>
        <v>35</v>
      </c>
      <c r="V58" s="39">
        <f t="shared" ref="V58:V61" si="110">R58-T58</f>
        <v>325</v>
      </c>
      <c r="X58" s="53">
        <v>500</v>
      </c>
      <c r="Y58" s="29">
        <v>35</v>
      </c>
      <c r="Z58" s="29">
        <f t="shared" ref="Z58:Z61" si="111">X58/100*Y58</f>
        <v>175</v>
      </c>
      <c r="AA58" s="29">
        <f t="shared" si="6"/>
        <v>35</v>
      </c>
      <c r="AB58" s="39">
        <f t="shared" ref="AB58:AB61" si="112">X58-Z58</f>
        <v>325</v>
      </c>
      <c r="AD58" s="53">
        <v>500</v>
      </c>
      <c r="AE58" s="29">
        <v>35</v>
      </c>
      <c r="AF58" s="29">
        <f t="shared" ref="AF58:AF61" si="113">AD58/100*AE58</f>
        <v>175</v>
      </c>
      <c r="AG58" s="29">
        <f t="shared" si="7"/>
        <v>35</v>
      </c>
      <c r="AH58" s="39">
        <f t="shared" ref="AH58:AH61" si="114">AD58-AF58</f>
        <v>325</v>
      </c>
      <c r="AJ58" s="53">
        <v>750</v>
      </c>
      <c r="AK58" s="29">
        <v>35</v>
      </c>
      <c r="AL58" s="29">
        <f t="shared" ref="AL58:AL61" si="115">AJ58/100*AK58</f>
        <v>262.5</v>
      </c>
      <c r="AM58" s="29">
        <f t="shared" si="8"/>
        <v>35</v>
      </c>
      <c r="AN58" s="39">
        <f t="shared" ref="AN58:AN61" si="116">AJ58-AL58</f>
        <v>487.5</v>
      </c>
    </row>
    <row r="59" spans="2:40" ht="20.100000000000001" customHeight="1" x14ac:dyDescent="0.3">
      <c r="B59" s="125"/>
      <c r="D59" s="120"/>
      <c r="E59" s="121"/>
      <c r="F59" s="122"/>
      <c r="G59" s="33"/>
      <c r="H59" s="116" t="s">
        <v>57</v>
      </c>
      <c r="I59" s="116"/>
      <c r="J59" s="116"/>
      <c r="L59" s="54">
        <v>250</v>
      </c>
      <c r="M59" s="29">
        <v>35</v>
      </c>
      <c r="N59" s="29">
        <f t="shared" si="23"/>
        <v>87.5</v>
      </c>
      <c r="O59" s="29">
        <f t="shared" si="4"/>
        <v>35</v>
      </c>
      <c r="P59" s="39">
        <f t="shared" si="28"/>
        <v>162.5</v>
      </c>
      <c r="R59" s="54">
        <v>250</v>
      </c>
      <c r="S59" s="29">
        <v>35</v>
      </c>
      <c r="T59" s="29">
        <f t="shared" si="109"/>
        <v>87.5</v>
      </c>
      <c r="U59" s="29">
        <f t="shared" si="5"/>
        <v>35</v>
      </c>
      <c r="V59" s="39">
        <f t="shared" si="110"/>
        <v>162.5</v>
      </c>
      <c r="X59" s="54">
        <v>250</v>
      </c>
      <c r="Y59" s="29">
        <v>35</v>
      </c>
      <c r="Z59" s="29">
        <f t="shared" si="111"/>
        <v>87.5</v>
      </c>
      <c r="AA59" s="29">
        <f t="shared" si="6"/>
        <v>35</v>
      </c>
      <c r="AB59" s="39">
        <f t="shared" si="112"/>
        <v>162.5</v>
      </c>
      <c r="AD59" s="54">
        <v>300</v>
      </c>
      <c r="AE59" s="29">
        <v>35</v>
      </c>
      <c r="AF59" s="29">
        <f t="shared" si="113"/>
        <v>105</v>
      </c>
      <c r="AG59" s="29">
        <f t="shared" si="7"/>
        <v>35</v>
      </c>
      <c r="AH59" s="39">
        <f t="shared" si="114"/>
        <v>195</v>
      </c>
      <c r="AJ59" s="54">
        <v>500</v>
      </c>
      <c r="AK59" s="29">
        <v>35</v>
      </c>
      <c r="AL59" s="29">
        <f t="shared" si="115"/>
        <v>175</v>
      </c>
      <c r="AM59" s="29">
        <f t="shared" si="8"/>
        <v>35</v>
      </c>
      <c r="AN59" s="39">
        <f t="shared" si="116"/>
        <v>325</v>
      </c>
    </row>
    <row r="60" spans="2:40" ht="20.100000000000001" customHeight="1" x14ac:dyDescent="0.3">
      <c r="B60" s="125"/>
      <c r="D60" s="120"/>
      <c r="E60" s="121"/>
      <c r="F60" s="122"/>
      <c r="G60" s="33"/>
      <c r="H60" s="116" t="s">
        <v>58</v>
      </c>
      <c r="I60" s="116"/>
      <c r="J60" s="116"/>
      <c r="L60" s="54">
        <v>250</v>
      </c>
      <c r="M60" s="29">
        <v>35</v>
      </c>
      <c r="N60" s="29">
        <f t="shared" si="23"/>
        <v>87.5</v>
      </c>
      <c r="O60" s="29">
        <f t="shared" si="4"/>
        <v>35</v>
      </c>
      <c r="P60" s="39">
        <f t="shared" si="28"/>
        <v>162.5</v>
      </c>
      <c r="R60" s="54">
        <v>250</v>
      </c>
      <c r="S60" s="29">
        <v>35</v>
      </c>
      <c r="T60" s="29">
        <f t="shared" si="109"/>
        <v>87.5</v>
      </c>
      <c r="U60" s="29">
        <f t="shared" si="5"/>
        <v>35</v>
      </c>
      <c r="V60" s="39">
        <f t="shared" si="110"/>
        <v>162.5</v>
      </c>
      <c r="X60" s="54">
        <v>250</v>
      </c>
      <c r="Y60" s="29">
        <v>35</v>
      </c>
      <c r="Z60" s="29">
        <f t="shared" si="111"/>
        <v>87.5</v>
      </c>
      <c r="AA60" s="29">
        <f t="shared" si="6"/>
        <v>35</v>
      </c>
      <c r="AB60" s="39">
        <f t="shared" si="112"/>
        <v>162.5</v>
      </c>
      <c r="AD60" s="54">
        <v>300</v>
      </c>
      <c r="AE60" s="29">
        <v>35</v>
      </c>
      <c r="AF60" s="29">
        <f t="shared" si="113"/>
        <v>105</v>
      </c>
      <c r="AG60" s="29">
        <f t="shared" si="7"/>
        <v>35</v>
      </c>
      <c r="AH60" s="39">
        <f t="shared" si="114"/>
        <v>195</v>
      </c>
      <c r="AJ60" s="54">
        <v>500</v>
      </c>
      <c r="AK60" s="29">
        <v>35</v>
      </c>
      <c r="AL60" s="29">
        <f t="shared" si="115"/>
        <v>175</v>
      </c>
      <c r="AM60" s="29">
        <f t="shared" si="8"/>
        <v>35</v>
      </c>
      <c r="AN60" s="39">
        <f t="shared" si="116"/>
        <v>325</v>
      </c>
    </row>
    <row r="61" spans="2:40" ht="20.100000000000001" customHeight="1" thickBot="1" x14ac:dyDescent="0.35">
      <c r="B61" s="126"/>
      <c r="D61" s="110"/>
      <c r="E61" s="111"/>
      <c r="F61" s="112"/>
      <c r="G61" s="33"/>
      <c r="H61" s="116" t="s">
        <v>59</v>
      </c>
      <c r="I61" s="116"/>
      <c r="J61" s="116"/>
      <c r="L61" s="55">
        <v>500</v>
      </c>
      <c r="M61" s="29">
        <v>35</v>
      </c>
      <c r="N61" s="29">
        <f t="shared" si="23"/>
        <v>175</v>
      </c>
      <c r="O61" s="29">
        <f t="shared" si="4"/>
        <v>35</v>
      </c>
      <c r="P61" s="39">
        <f t="shared" si="28"/>
        <v>325</v>
      </c>
      <c r="R61" s="55">
        <v>500</v>
      </c>
      <c r="S61" s="29">
        <v>35</v>
      </c>
      <c r="T61" s="29">
        <f t="shared" si="109"/>
        <v>175</v>
      </c>
      <c r="U61" s="29">
        <f t="shared" si="5"/>
        <v>35</v>
      </c>
      <c r="V61" s="39">
        <f t="shared" si="110"/>
        <v>325</v>
      </c>
      <c r="X61" s="55">
        <v>500</v>
      </c>
      <c r="Y61" s="29">
        <v>35</v>
      </c>
      <c r="Z61" s="29">
        <f t="shared" si="111"/>
        <v>175</v>
      </c>
      <c r="AA61" s="29">
        <f t="shared" si="6"/>
        <v>35</v>
      </c>
      <c r="AB61" s="39">
        <f t="shared" si="112"/>
        <v>325</v>
      </c>
      <c r="AD61" s="55">
        <v>500</v>
      </c>
      <c r="AE61" s="29">
        <v>35</v>
      </c>
      <c r="AF61" s="29">
        <f t="shared" si="113"/>
        <v>175</v>
      </c>
      <c r="AG61" s="29">
        <f t="shared" si="7"/>
        <v>35</v>
      </c>
      <c r="AH61" s="39">
        <f t="shared" si="114"/>
        <v>325</v>
      </c>
      <c r="AJ61" s="55">
        <v>750</v>
      </c>
      <c r="AK61" s="29">
        <v>35</v>
      </c>
      <c r="AL61" s="29">
        <f t="shared" si="115"/>
        <v>262.5</v>
      </c>
      <c r="AM61" s="29">
        <f t="shared" si="8"/>
        <v>35</v>
      </c>
      <c r="AN61" s="39">
        <f t="shared" si="116"/>
        <v>487.5</v>
      </c>
    </row>
    <row r="62" spans="2:40" ht="20.100000000000001" customHeight="1" thickBot="1" x14ac:dyDescent="0.35">
      <c r="H62" s="34"/>
      <c r="I62" s="34"/>
      <c r="J62" s="34"/>
      <c r="L62" s="47"/>
      <c r="P62" s="39"/>
      <c r="R62" s="47"/>
      <c r="V62" s="39"/>
      <c r="X62" s="47"/>
      <c r="AB62" s="39"/>
      <c r="AD62" s="47"/>
      <c r="AH62" s="39"/>
      <c r="AJ62" s="47"/>
      <c r="AN62" s="39"/>
    </row>
    <row r="63" spans="2:40" ht="20.100000000000001" customHeight="1" x14ac:dyDescent="0.3">
      <c r="B63" s="124">
        <v>16</v>
      </c>
      <c r="D63" s="107" t="s">
        <v>171</v>
      </c>
      <c r="E63" s="108"/>
      <c r="F63" s="109"/>
      <c r="H63" s="116" t="s">
        <v>116</v>
      </c>
      <c r="I63" s="116"/>
      <c r="J63" s="116"/>
      <c r="L63" s="53">
        <v>250</v>
      </c>
      <c r="M63" s="29">
        <v>35</v>
      </c>
      <c r="N63" s="29">
        <f t="shared" si="23"/>
        <v>87.5</v>
      </c>
      <c r="O63" s="29">
        <f t="shared" si="4"/>
        <v>35</v>
      </c>
      <c r="P63" s="39">
        <f t="shared" si="28"/>
        <v>162.5</v>
      </c>
      <c r="R63" s="53">
        <v>250</v>
      </c>
      <c r="S63" s="29">
        <v>35</v>
      </c>
      <c r="T63" s="29">
        <f t="shared" ref="T63:T64" si="117">R63/100*S63</f>
        <v>87.5</v>
      </c>
      <c r="U63" s="29">
        <f t="shared" si="5"/>
        <v>35</v>
      </c>
      <c r="V63" s="39">
        <f t="shared" ref="V63:V64" si="118">R63-T63</f>
        <v>162.5</v>
      </c>
      <c r="X63" s="53">
        <v>250</v>
      </c>
      <c r="Y63" s="29">
        <v>35</v>
      </c>
      <c r="Z63" s="29">
        <f t="shared" ref="Z63:Z64" si="119">X63/100*Y63</f>
        <v>87.5</v>
      </c>
      <c r="AA63" s="29">
        <f t="shared" si="6"/>
        <v>35</v>
      </c>
      <c r="AB63" s="39">
        <f t="shared" ref="AB63:AB64" si="120">X63-Z63</f>
        <v>162.5</v>
      </c>
      <c r="AD63" s="53">
        <v>250</v>
      </c>
      <c r="AE63" s="29">
        <v>35</v>
      </c>
      <c r="AF63" s="29">
        <f t="shared" ref="AF63:AF64" si="121">AD63/100*AE63</f>
        <v>87.5</v>
      </c>
      <c r="AG63" s="29">
        <f t="shared" si="7"/>
        <v>35</v>
      </c>
      <c r="AH63" s="39">
        <f t="shared" ref="AH63:AH64" si="122">AD63-AF63</f>
        <v>162.5</v>
      </c>
      <c r="AJ63" s="53">
        <v>500</v>
      </c>
      <c r="AK63" s="29">
        <v>35</v>
      </c>
      <c r="AL63" s="29">
        <f t="shared" ref="AL63:AL64" si="123">AJ63/100*AK63</f>
        <v>175</v>
      </c>
      <c r="AM63" s="29">
        <f t="shared" si="8"/>
        <v>35</v>
      </c>
      <c r="AN63" s="39">
        <f t="shared" ref="AN63:AN64" si="124">AJ63-AL63</f>
        <v>325</v>
      </c>
    </row>
    <row r="64" spans="2:40" ht="20.100000000000001" customHeight="1" thickBot="1" x14ac:dyDescent="0.35">
      <c r="B64" s="126"/>
      <c r="D64" s="110"/>
      <c r="E64" s="111"/>
      <c r="F64" s="112"/>
      <c r="H64" s="116" t="s">
        <v>117</v>
      </c>
      <c r="I64" s="116"/>
      <c r="J64" s="116"/>
      <c r="L64" s="55">
        <v>250</v>
      </c>
      <c r="M64" s="29">
        <v>35</v>
      </c>
      <c r="N64" s="29">
        <f t="shared" si="23"/>
        <v>87.5</v>
      </c>
      <c r="O64" s="29">
        <f t="shared" si="4"/>
        <v>35</v>
      </c>
      <c r="P64" s="39">
        <f t="shared" si="28"/>
        <v>162.5</v>
      </c>
      <c r="R64" s="55">
        <v>250</v>
      </c>
      <c r="S64" s="29">
        <v>35</v>
      </c>
      <c r="T64" s="29">
        <f t="shared" si="117"/>
        <v>87.5</v>
      </c>
      <c r="U64" s="29">
        <f t="shared" si="5"/>
        <v>35</v>
      </c>
      <c r="V64" s="39">
        <f t="shared" si="118"/>
        <v>162.5</v>
      </c>
      <c r="X64" s="55">
        <v>250</v>
      </c>
      <c r="Y64" s="29">
        <v>35</v>
      </c>
      <c r="Z64" s="29">
        <f t="shared" si="119"/>
        <v>87.5</v>
      </c>
      <c r="AA64" s="29">
        <f t="shared" si="6"/>
        <v>35</v>
      </c>
      <c r="AB64" s="39">
        <f t="shared" si="120"/>
        <v>162.5</v>
      </c>
      <c r="AD64" s="55">
        <v>250</v>
      </c>
      <c r="AE64" s="29">
        <v>35</v>
      </c>
      <c r="AF64" s="29">
        <f t="shared" si="121"/>
        <v>87.5</v>
      </c>
      <c r="AG64" s="29">
        <f t="shared" si="7"/>
        <v>35</v>
      </c>
      <c r="AH64" s="39">
        <f t="shared" si="122"/>
        <v>162.5</v>
      </c>
      <c r="AJ64" s="55">
        <v>500</v>
      </c>
      <c r="AK64" s="29">
        <v>35</v>
      </c>
      <c r="AL64" s="29">
        <f t="shared" si="123"/>
        <v>175</v>
      </c>
      <c r="AM64" s="29">
        <f t="shared" si="8"/>
        <v>35</v>
      </c>
      <c r="AN64" s="39">
        <f t="shared" si="124"/>
        <v>325</v>
      </c>
    </row>
    <row r="65" spans="2:40" ht="19.5" customHeight="1" thickBot="1" x14ac:dyDescent="0.35">
      <c r="H65" s="34"/>
      <c r="I65" s="34"/>
      <c r="J65" s="34"/>
      <c r="L65" s="47"/>
      <c r="P65" s="39"/>
      <c r="R65" s="47"/>
      <c r="V65" s="39"/>
      <c r="X65" s="47"/>
      <c r="AB65" s="39"/>
      <c r="AD65" s="47"/>
      <c r="AH65" s="39"/>
      <c r="AJ65" s="47"/>
      <c r="AN65" s="39"/>
    </row>
    <row r="66" spans="2:40" ht="20.100000000000001" customHeight="1" x14ac:dyDescent="0.3">
      <c r="B66" s="124">
        <v>17</v>
      </c>
      <c r="D66" s="107" t="s">
        <v>152</v>
      </c>
      <c r="E66" s="108"/>
      <c r="F66" s="109"/>
      <c r="G66" s="33"/>
      <c r="H66" s="116" t="s">
        <v>45</v>
      </c>
      <c r="I66" s="116"/>
      <c r="J66" s="116"/>
      <c r="L66" s="53">
        <v>150</v>
      </c>
      <c r="M66" s="29">
        <v>35</v>
      </c>
      <c r="N66" s="29">
        <f t="shared" si="23"/>
        <v>52.5</v>
      </c>
      <c r="O66" s="29">
        <f t="shared" si="4"/>
        <v>35</v>
      </c>
      <c r="P66" s="39">
        <f t="shared" si="28"/>
        <v>97.5</v>
      </c>
      <c r="R66" s="53">
        <v>150</v>
      </c>
      <c r="S66" s="29">
        <v>35</v>
      </c>
      <c r="T66" s="29">
        <f t="shared" ref="T66:T67" si="125">R66/100*S66</f>
        <v>52.5</v>
      </c>
      <c r="U66" s="29">
        <f t="shared" si="5"/>
        <v>35</v>
      </c>
      <c r="V66" s="39">
        <f t="shared" ref="V66:V67" si="126">R66-T66</f>
        <v>97.5</v>
      </c>
      <c r="X66" s="53">
        <v>150</v>
      </c>
      <c r="Y66" s="29">
        <v>35</v>
      </c>
      <c r="Z66" s="29">
        <f t="shared" ref="Z66:Z67" si="127">X66/100*Y66</f>
        <v>52.5</v>
      </c>
      <c r="AA66" s="29">
        <f t="shared" si="6"/>
        <v>35</v>
      </c>
      <c r="AB66" s="39">
        <f t="shared" ref="AB66:AB67" si="128">X66-Z66</f>
        <v>97.5</v>
      </c>
      <c r="AD66" s="53">
        <v>200</v>
      </c>
      <c r="AE66" s="29">
        <v>35</v>
      </c>
      <c r="AF66" s="29">
        <f t="shared" ref="AF66:AF67" si="129">AD66/100*AE66</f>
        <v>70</v>
      </c>
      <c r="AG66" s="29">
        <f t="shared" si="7"/>
        <v>35</v>
      </c>
      <c r="AH66" s="39">
        <f t="shared" ref="AH66:AH67" si="130">AD66-AF66</f>
        <v>130</v>
      </c>
      <c r="AJ66" s="53">
        <v>500</v>
      </c>
      <c r="AK66" s="29">
        <v>35</v>
      </c>
      <c r="AL66" s="29">
        <f t="shared" ref="AL66:AL67" si="131">AJ66/100*AK66</f>
        <v>175</v>
      </c>
      <c r="AM66" s="29">
        <f t="shared" si="8"/>
        <v>35</v>
      </c>
      <c r="AN66" s="39">
        <f t="shared" ref="AN66:AN67" si="132">AJ66-AL66</f>
        <v>325</v>
      </c>
    </row>
    <row r="67" spans="2:40" ht="20.100000000000001" customHeight="1" thickBot="1" x14ac:dyDescent="0.35">
      <c r="B67" s="126"/>
      <c r="D67" s="110"/>
      <c r="E67" s="111"/>
      <c r="F67" s="112"/>
      <c r="G67" s="33"/>
      <c r="H67" s="116" t="s">
        <v>46</v>
      </c>
      <c r="I67" s="116"/>
      <c r="J67" s="116"/>
      <c r="L67" s="55">
        <v>150</v>
      </c>
      <c r="M67" s="29">
        <v>35</v>
      </c>
      <c r="N67" s="29">
        <f t="shared" si="23"/>
        <v>52.5</v>
      </c>
      <c r="O67" s="29">
        <f t="shared" si="4"/>
        <v>35</v>
      </c>
      <c r="P67" s="39">
        <f t="shared" si="28"/>
        <v>97.5</v>
      </c>
      <c r="R67" s="55">
        <v>150</v>
      </c>
      <c r="S67" s="29">
        <v>35</v>
      </c>
      <c r="T67" s="29">
        <f t="shared" si="125"/>
        <v>52.5</v>
      </c>
      <c r="U67" s="29">
        <f t="shared" si="5"/>
        <v>35</v>
      </c>
      <c r="V67" s="39">
        <f t="shared" si="126"/>
        <v>97.5</v>
      </c>
      <c r="X67" s="55">
        <v>150</v>
      </c>
      <c r="Y67" s="29">
        <v>35</v>
      </c>
      <c r="Z67" s="29">
        <f t="shared" si="127"/>
        <v>52.5</v>
      </c>
      <c r="AA67" s="29">
        <f t="shared" si="6"/>
        <v>35</v>
      </c>
      <c r="AB67" s="39">
        <f t="shared" si="128"/>
        <v>97.5</v>
      </c>
      <c r="AD67" s="55">
        <v>200</v>
      </c>
      <c r="AE67" s="29">
        <v>35</v>
      </c>
      <c r="AF67" s="29">
        <f t="shared" si="129"/>
        <v>70</v>
      </c>
      <c r="AG67" s="29">
        <f t="shared" si="7"/>
        <v>35</v>
      </c>
      <c r="AH67" s="39">
        <f t="shared" si="130"/>
        <v>130</v>
      </c>
      <c r="AJ67" s="55">
        <v>500</v>
      </c>
      <c r="AK67" s="29">
        <v>35</v>
      </c>
      <c r="AL67" s="29">
        <f t="shared" si="131"/>
        <v>175</v>
      </c>
      <c r="AM67" s="29">
        <f t="shared" si="8"/>
        <v>35</v>
      </c>
      <c r="AN67" s="39">
        <f t="shared" si="132"/>
        <v>325</v>
      </c>
    </row>
    <row r="68" spans="2:40" ht="20.100000000000001" customHeight="1" thickBot="1" x14ac:dyDescent="0.35">
      <c r="H68" s="35"/>
      <c r="I68" s="34"/>
      <c r="J68" s="34"/>
      <c r="L68" s="47"/>
      <c r="P68" s="39"/>
      <c r="R68" s="47"/>
      <c r="V68" s="39"/>
      <c r="X68" s="47"/>
      <c r="AB68" s="39"/>
      <c r="AD68" s="47"/>
      <c r="AH68" s="39"/>
      <c r="AJ68" s="47"/>
      <c r="AN68" s="39"/>
    </row>
    <row r="69" spans="2:40" ht="20.100000000000001" customHeight="1" x14ac:dyDescent="0.3">
      <c r="B69" s="124">
        <v>18</v>
      </c>
      <c r="D69" s="123" t="s">
        <v>155</v>
      </c>
      <c r="E69" s="108"/>
      <c r="F69" s="109"/>
      <c r="G69" s="33"/>
      <c r="H69" s="116" t="s">
        <v>153</v>
      </c>
      <c r="I69" s="116"/>
      <c r="J69" s="116"/>
      <c r="L69" s="53">
        <v>500</v>
      </c>
      <c r="M69" s="29">
        <v>35</v>
      </c>
      <c r="N69" s="29">
        <f t="shared" si="23"/>
        <v>175</v>
      </c>
      <c r="O69" s="29">
        <f t="shared" si="4"/>
        <v>35</v>
      </c>
      <c r="P69" s="39">
        <f t="shared" si="28"/>
        <v>325</v>
      </c>
      <c r="R69" s="53">
        <v>500</v>
      </c>
      <c r="S69" s="29">
        <v>35</v>
      </c>
      <c r="T69" s="29">
        <f t="shared" ref="T69:T70" si="133">R69/100*S69</f>
        <v>175</v>
      </c>
      <c r="U69" s="29">
        <f t="shared" si="5"/>
        <v>35</v>
      </c>
      <c r="V69" s="39">
        <f t="shared" ref="V69:V70" si="134">R69-T69</f>
        <v>325</v>
      </c>
      <c r="X69" s="53">
        <v>500</v>
      </c>
      <c r="Y69" s="29">
        <v>35</v>
      </c>
      <c r="Z69" s="29">
        <f t="shared" ref="Z69:Z70" si="135">X69/100*Y69</f>
        <v>175</v>
      </c>
      <c r="AA69" s="29">
        <f t="shared" si="6"/>
        <v>35</v>
      </c>
      <c r="AB69" s="39">
        <f t="shared" ref="AB69:AB70" si="136">X69-Z69</f>
        <v>325</v>
      </c>
      <c r="AD69" s="53">
        <v>500</v>
      </c>
      <c r="AE69" s="29">
        <v>35</v>
      </c>
      <c r="AF69" s="29">
        <f t="shared" ref="AF69:AF70" si="137">AD69/100*AE69</f>
        <v>175</v>
      </c>
      <c r="AG69" s="29">
        <f t="shared" si="7"/>
        <v>35</v>
      </c>
      <c r="AH69" s="39">
        <f t="shared" ref="AH69:AH70" si="138">AD69-AF69</f>
        <v>325</v>
      </c>
      <c r="AJ69" s="53">
        <v>750</v>
      </c>
      <c r="AK69" s="29">
        <v>35</v>
      </c>
      <c r="AL69" s="29">
        <f t="shared" ref="AL69:AL70" si="139">AJ69/100*AK69</f>
        <v>262.5</v>
      </c>
      <c r="AM69" s="29">
        <f t="shared" si="8"/>
        <v>35</v>
      </c>
      <c r="AN69" s="39">
        <f t="shared" ref="AN69:AN70" si="140">AJ69-AL69</f>
        <v>487.5</v>
      </c>
    </row>
    <row r="70" spans="2:40" ht="20.100000000000001" customHeight="1" thickBot="1" x14ac:dyDescent="0.35">
      <c r="B70" s="126"/>
      <c r="D70" s="110"/>
      <c r="E70" s="111"/>
      <c r="F70" s="112"/>
      <c r="G70" s="33"/>
      <c r="H70" s="116" t="s">
        <v>154</v>
      </c>
      <c r="I70" s="116"/>
      <c r="J70" s="116"/>
      <c r="L70" s="55">
        <v>500</v>
      </c>
      <c r="M70" s="29">
        <v>35</v>
      </c>
      <c r="N70" s="29">
        <f t="shared" si="23"/>
        <v>175</v>
      </c>
      <c r="O70" s="29">
        <f t="shared" si="4"/>
        <v>35</v>
      </c>
      <c r="P70" s="39">
        <f t="shared" si="28"/>
        <v>325</v>
      </c>
      <c r="R70" s="55">
        <v>500</v>
      </c>
      <c r="S70" s="29">
        <v>35</v>
      </c>
      <c r="T70" s="29">
        <f t="shared" si="133"/>
        <v>175</v>
      </c>
      <c r="U70" s="29">
        <f t="shared" si="5"/>
        <v>35</v>
      </c>
      <c r="V70" s="39">
        <f t="shared" si="134"/>
        <v>325</v>
      </c>
      <c r="X70" s="55">
        <v>500</v>
      </c>
      <c r="Y70" s="29">
        <v>35</v>
      </c>
      <c r="Z70" s="29">
        <f t="shared" si="135"/>
        <v>175</v>
      </c>
      <c r="AA70" s="29">
        <f t="shared" si="6"/>
        <v>35</v>
      </c>
      <c r="AB70" s="39">
        <f t="shared" si="136"/>
        <v>325</v>
      </c>
      <c r="AD70" s="55">
        <v>500</v>
      </c>
      <c r="AE70" s="29">
        <v>35</v>
      </c>
      <c r="AF70" s="29">
        <f t="shared" si="137"/>
        <v>175</v>
      </c>
      <c r="AG70" s="29">
        <f t="shared" si="7"/>
        <v>35</v>
      </c>
      <c r="AH70" s="39">
        <f t="shared" si="138"/>
        <v>325</v>
      </c>
      <c r="AJ70" s="55">
        <v>750</v>
      </c>
      <c r="AK70" s="29">
        <v>35</v>
      </c>
      <c r="AL70" s="29">
        <f t="shared" si="139"/>
        <v>262.5</v>
      </c>
      <c r="AM70" s="29">
        <f t="shared" si="8"/>
        <v>35</v>
      </c>
      <c r="AN70" s="39">
        <f t="shared" si="140"/>
        <v>487.5</v>
      </c>
    </row>
    <row r="71" spans="2:40" ht="20.100000000000001" customHeight="1" thickBot="1" x14ac:dyDescent="0.35">
      <c r="H71" s="35"/>
      <c r="I71" s="34"/>
      <c r="J71" s="34"/>
      <c r="L71" s="47"/>
      <c r="P71" s="39"/>
      <c r="R71" s="47"/>
      <c r="V71" s="39"/>
      <c r="X71" s="47"/>
      <c r="AB71" s="39"/>
      <c r="AD71" s="47"/>
      <c r="AH71" s="39"/>
      <c r="AJ71" s="47"/>
      <c r="AN71" s="39"/>
    </row>
    <row r="72" spans="2:40" ht="20.100000000000001" customHeight="1" x14ac:dyDescent="0.3">
      <c r="B72" s="124">
        <v>19</v>
      </c>
      <c r="D72" s="123" t="s">
        <v>178</v>
      </c>
      <c r="E72" s="108"/>
      <c r="F72" s="109"/>
      <c r="G72" s="33"/>
      <c r="H72" s="116" t="s">
        <v>67</v>
      </c>
      <c r="I72" s="116"/>
      <c r="J72" s="116"/>
      <c r="L72" s="53">
        <v>500</v>
      </c>
      <c r="M72" s="29">
        <v>35</v>
      </c>
      <c r="N72" s="29">
        <f t="shared" si="23"/>
        <v>175</v>
      </c>
      <c r="O72" s="29">
        <f t="shared" si="4"/>
        <v>35</v>
      </c>
      <c r="P72" s="39">
        <f t="shared" si="28"/>
        <v>325</v>
      </c>
      <c r="R72" s="53">
        <v>500</v>
      </c>
      <c r="S72" s="29">
        <v>35</v>
      </c>
      <c r="T72" s="29">
        <f t="shared" ref="T72:T73" si="141">R72/100*S72</f>
        <v>175</v>
      </c>
      <c r="U72" s="29">
        <f t="shared" si="5"/>
        <v>35</v>
      </c>
      <c r="V72" s="39">
        <f t="shared" ref="V72:V73" si="142">R72-T72</f>
        <v>325</v>
      </c>
      <c r="X72" s="53">
        <v>500</v>
      </c>
      <c r="Y72" s="29">
        <v>35</v>
      </c>
      <c r="Z72" s="29">
        <f t="shared" ref="Z72:Z73" si="143">X72/100*Y72</f>
        <v>175</v>
      </c>
      <c r="AA72" s="29">
        <f t="shared" si="6"/>
        <v>35</v>
      </c>
      <c r="AB72" s="39">
        <f t="shared" ref="AB72:AB73" si="144">X72-Z72</f>
        <v>325</v>
      </c>
      <c r="AD72" s="53">
        <v>500</v>
      </c>
      <c r="AE72" s="29">
        <v>35</v>
      </c>
      <c r="AF72" s="29">
        <f t="shared" ref="AF72:AF73" si="145">AD72/100*AE72</f>
        <v>175</v>
      </c>
      <c r="AG72" s="29">
        <f t="shared" si="7"/>
        <v>35</v>
      </c>
      <c r="AH72" s="39">
        <f t="shared" ref="AH72:AH73" si="146">AD72-AF72</f>
        <v>325</v>
      </c>
      <c r="AJ72" s="53">
        <v>750</v>
      </c>
      <c r="AK72" s="29">
        <v>35</v>
      </c>
      <c r="AL72" s="29">
        <f t="shared" ref="AL72:AL73" si="147">AJ72/100*AK72</f>
        <v>262.5</v>
      </c>
      <c r="AM72" s="29">
        <f t="shared" si="8"/>
        <v>35</v>
      </c>
      <c r="AN72" s="39">
        <f t="shared" ref="AN72:AN73" si="148">AJ72-AL72</f>
        <v>487.5</v>
      </c>
    </row>
    <row r="73" spans="2:40" ht="20.100000000000001" customHeight="1" thickBot="1" x14ac:dyDescent="0.35">
      <c r="B73" s="126"/>
      <c r="D73" s="110"/>
      <c r="E73" s="111"/>
      <c r="F73" s="112"/>
      <c r="G73" s="33"/>
      <c r="H73" s="116" t="s">
        <v>68</v>
      </c>
      <c r="I73" s="116"/>
      <c r="J73" s="116"/>
      <c r="L73" s="55">
        <v>500</v>
      </c>
      <c r="M73" s="29">
        <v>35</v>
      </c>
      <c r="N73" s="29">
        <f t="shared" si="23"/>
        <v>175</v>
      </c>
      <c r="O73" s="29">
        <f t="shared" si="4"/>
        <v>35</v>
      </c>
      <c r="P73" s="39">
        <f t="shared" si="28"/>
        <v>325</v>
      </c>
      <c r="R73" s="55">
        <v>500</v>
      </c>
      <c r="S73" s="29">
        <v>35</v>
      </c>
      <c r="T73" s="29">
        <f t="shared" si="141"/>
        <v>175</v>
      </c>
      <c r="U73" s="29">
        <f t="shared" si="5"/>
        <v>35</v>
      </c>
      <c r="V73" s="39">
        <f t="shared" si="142"/>
        <v>325</v>
      </c>
      <c r="X73" s="55">
        <v>500</v>
      </c>
      <c r="Y73" s="29">
        <v>35</v>
      </c>
      <c r="Z73" s="29">
        <f t="shared" si="143"/>
        <v>175</v>
      </c>
      <c r="AA73" s="29">
        <f t="shared" si="6"/>
        <v>35</v>
      </c>
      <c r="AB73" s="39">
        <f t="shared" si="144"/>
        <v>325</v>
      </c>
      <c r="AD73" s="55">
        <v>500</v>
      </c>
      <c r="AE73" s="29">
        <v>35</v>
      </c>
      <c r="AF73" s="29">
        <f t="shared" si="145"/>
        <v>175</v>
      </c>
      <c r="AG73" s="29">
        <f t="shared" si="7"/>
        <v>35</v>
      </c>
      <c r="AH73" s="39">
        <f t="shared" si="146"/>
        <v>325</v>
      </c>
      <c r="AJ73" s="55">
        <v>750</v>
      </c>
      <c r="AK73" s="29">
        <v>35</v>
      </c>
      <c r="AL73" s="29">
        <f t="shared" si="147"/>
        <v>262.5</v>
      </c>
      <c r="AM73" s="29">
        <f t="shared" si="8"/>
        <v>35</v>
      </c>
      <c r="AN73" s="39">
        <f t="shared" si="148"/>
        <v>487.5</v>
      </c>
    </row>
    <row r="74" spans="2:40" ht="20.100000000000001" customHeight="1" thickBot="1" x14ac:dyDescent="0.35">
      <c r="H74" s="34"/>
      <c r="I74" s="34"/>
      <c r="J74" s="34"/>
      <c r="L74" s="47"/>
      <c r="P74" s="39"/>
      <c r="R74" s="47"/>
      <c r="V74" s="39"/>
      <c r="X74" s="47"/>
      <c r="AB74" s="39"/>
      <c r="AD74" s="47"/>
      <c r="AH74" s="39"/>
      <c r="AJ74" s="47"/>
      <c r="AN74" s="39"/>
    </row>
    <row r="75" spans="2:40" ht="20.100000000000001" customHeight="1" x14ac:dyDescent="0.3">
      <c r="B75" s="124">
        <v>20</v>
      </c>
      <c r="D75" s="123" t="s">
        <v>179</v>
      </c>
      <c r="E75" s="108"/>
      <c r="F75" s="109"/>
      <c r="G75" s="33"/>
      <c r="H75" s="116" t="s">
        <v>71</v>
      </c>
      <c r="I75" s="116"/>
      <c r="J75" s="116"/>
      <c r="L75" s="53">
        <v>500</v>
      </c>
      <c r="M75" s="29">
        <v>35</v>
      </c>
      <c r="N75" s="29">
        <f t="shared" si="23"/>
        <v>175</v>
      </c>
      <c r="O75" s="29">
        <f t="shared" si="4"/>
        <v>35</v>
      </c>
      <c r="P75" s="39">
        <f t="shared" si="28"/>
        <v>325</v>
      </c>
      <c r="R75" s="53">
        <v>500</v>
      </c>
      <c r="S75" s="29">
        <v>35</v>
      </c>
      <c r="T75" s="29">
        <f t="shared" ref="T75:T76" si="149">R75/100*S75</f>
        <v>175</v>
      </c>
      <c r="U75" s="29">
        <f t="shared" si="5"/>
        <v>35</v>
      </c>
      <c r="V75" s="39">
        <f t="shared" ref="V75:V76" si="150">R75-T75</f>
        <v>325</v>
      </c>
      <c r="X75" s="53">
        <v>500</v>
      </c>
      <c r="Y75" s="29">
        <v>35</v>
      </c>
      <c r="Z75" s="29">
        <f t="shared" ref="Z75:Z76" si="151">X75/100*Y75</f>
        <v>175</v>
      </c>
      <c r="AA75" s="29">
        <f t="shared" si="6"/>
        <v>35</v>
      </c>
      <c r="AB75" s="39">
        <f t="shared" ref="AB75:AB76" si="152">X75-Z75</f>
        <v>325</v>
      </c>
      <c r="AD75" s="53">
        <v>500</v>
      </c>
      <c r="AE75" s="29">
        <v>35</v>
      </c>
      <c r="AF75" s="29">
        <f t="shared" ref="AF75:AF76" si="153">AD75/100*AE75</f>
        <v>175</v>
      </c>
      <c r="AG75" s="29">
        <f t="shared" si="7"/>
        <v>35</v>
      </c>
      <c r="AH75" s="39">
        <f t="shared" ref="AH75:AH76" si="154">AD75-AF75</f>
        <v>325</v>
      </c>
      <c r="AJ75" s="53">
        <v>750</v>
      </c>
      <c r="AK75" s="29">
        <v>35</v>
      </c>
      <c r="AL75" s="29">
        <f t="shared" ref="AL75:AL76" si="155">AJ75/100*AK75</f>
        <v>262.5</v>
      </c>
      <c r="AM75" s="29">
        <f t="shared" si="8"/>
        <v>35</v>
      </c>
      <c r="AN75" s="39">
        <f t="shared" ref="AN75:AN76" si="156">AJ75-AL75</f>
        <v>487.5</v>
      </c>
    </row>
    <row r="76" spans="2:40" ht="20.100000000000001" customHeight="1" thickBot="1" x14ac:dyDescent="0.35">
      <c r="B76" s="126"/>
      <c r="D76" s="110"/>
      <c r="E76" s="111"/>
      <c r="F76" s="112"/>
      <c r="G76" s="33"/>
      <c r="H76" s="116" t="s">
        <v>70</v>
      </c>
      <c r="I76" s="116"/>
      <c r="J76" s="116"/>
      <c r="L76" s="55">
        <v>500</v>
      </c>
      <c r="M76" s="29">
        <v>35</v>
      </c>
      <c r="N76" s="29">
        <f t="shared" si="23"/>
        <v>175</v>
      </c>
      <c r="O76" s="29">
        <f t="shared" si="4"/>
        <v>35</v>
      </c>
      <c r="P76" s="39">
        <f t="shared" si="28"/>
        <v>325</v>
      </c>
      <c r="R76" s="55">
        <v>500</v>
      </c>
      <c r="S76" s="29">
        <v>35</v>
      </c>
      <c r="T76" s="29">
        <f t="shared" si="149"/>
        <v>175</v>
      </c>
      <c r="U76" s="29">
        <f t="shared" si="5"/>
        <v>35</v>
      </c>
      <c r="V76" s="39">
        <f t="shared" si="150"/>
        <v>325</v>
      </c>
      <c r="X76" s="55">
        <v>500</v>
      </c>
      <c r="Y76" s="29">
        <v>35</v>
      </c>
      <c r="Z76" s="29">
        <f t="shared" si="151"/>
        <v>175</v>
      </c>
      <c r="AA76" s="29">
        <f t="shared" si="6"/>
        <v>35</v>
      </c>
      <c r="AB76" s="39">
        <f t="shared" si="152"/>
        <v>325</v>
      </c>
      <c r="AD76" s="55">
        <v>500</v>
      </c>
      <c r="AE76" s="29">
        <v>35</v>
      </c>
      <c r="AF76" s="29">
        <f t="shared" si="153"/>
        <v>175</v>
      </c>
      <c r="AG76" s="29">
        <f t="shared" si="7"/>
        <v>35</v>
      </c>
      <c r="AH76" s="39">
        <f t="shared" si="154"/>
        <v>325</v>
      </c>
      <c r="AJ76" s="55">
        <v>750</v>
      </c>
      <c r="AK76" s="29">
        <v>35</v>
      </c>
      <c r="AL76" s="29">
        <f t="shared" si="155"/>
        <v>262.5</v>
      </c>
      <c r="AM76" s="29">
        <f t="shared" si="8"/>
        <v>35</v>
      </c>
      <c r="AN76" s="39">
        <f t="shared" si="156"/>
        <v>487.5</v>
      </c>
    </row>
    <row r="77" spans="2:40" ht="19.5" customHeight="1" thickBot="1" x14ac:dyDescent="0.35">
      <c r="H77" s="34"/>
      <c r="I77" s="34"/>
      <c r="J77" s="34"/>
      <c r="L77" s="47"/>
      <c r="P77" s="39"/>
      <c r="R77" s="47"/>
      <c r="V77" s="39"/>
      <c r="X77" s="47"/>
      <c r="AB77" s="39"/>
      <c r="AD77" s="47"/>
      <c r="AH77" s="39"/>
      <c r="AJ77" s="47"/>
      <c r="AN77" s="39"/>
    </row>
    <row r="78" spans="2:40" ht="20.100000000000001" customHeight="1" x14ac:dyDescent="0.3">
      <c r="B78" s="124">
        <v>21</v>
      </c>
      <c r="D78" s="107" t="s">
        <v>172</v>
      </c>
      <c r="E78" s="108"/>
      <c r="F78" s="109"/>
      <c r="H78" s="116" t="s">
        <v>79</v>
      </c>
      <c r="I78" s="116"/>
      <c r="J78" s="116"/>
      <c r="L78" s="53">
        <v>3500</v>
      </c>
      <c r="M78" s="29">
        <v>35</v>
      </c>
      <c r="N78" s="29">
        <f t="shared" si="23"/>
        <v>1225</v>
      </c>
      <c r="O78" s="29">
        <f t="shared" ref="O78:O140" si="157">(L78-P78)/L78*100</f>
        <v>35</v>
      </c>
      <c r="P78" s="39">
        <f t="shared" si="28"/>
        <v>2275</v>
      </c>
      <c r="R78" s="53">
        <v>3500</v>
      </c>
      <c r="S78" s="29">
        <v>35</v>
      </c>
      <c r="T78" s="29">
        <f t="shared" ref="T78:T79" si="158">R78/100*S78</f>
        <v>1225</v>
      </c>
      <c r="U78" s="29">
        <f t="shared" ref="U78:U139" si="159">(R78-V78)/R78*100</f>
        <v>35</v>
      </c>
      <c r="V78" s="39">
        <f t="shared" ref="V78:V79" si="160">R78-T78</f>
        <v>2275</v>
      </c>
      <c r="X78" s="53">
        <v>4500</v>
      </c>
      <c r="Y78" s="29">
        <v>35</v>
      </c>
      <c r="Z78" s="29">
        <f t="shared" ref="Z78:Z79" si="161">X78/100*Y78</f>
        <v>1575</v>
      </c>
      <c r="AA78" s="29">
        <f t="shared" ref="AA78:AA140" si="162">(X78-AB78)/X78*100</f>
        <v>35</v>
      </c>
      <c r="AB78" s="39">
        <f t="shared" ref="AB78:AB79" si="163">X78-Z78</f>
        <v>2925</v>
      </c>
      <c r="AD78" s="53">
        <v>6000</v>
      </c>
      <c r="AE78" s="29">
        <v>35</v>
      </c>
      <c r="AF78" s="29">
        <f t="shared" ref="AF78:AF79" si="164">AD78/100*AE78</f>
        <v>2100</v>
      </c>
      <c r="AG78" s="29">
        <f t="shared" ref="AG78:AG140" si="165">(AD78-AH78)/AD78*100</f>
        <v>35</v>
      </c>
      <c r="AH78" s="39">
        <f t="shared" ref="AH78:AH79" si="166">AD78-AF78</f>
        <v>3900</v>
      </c>
      <c r="AJ78" s="53">
        <v>9000</v>
      </c>
      <c r="AK78" s="29">
        <v>35</v>
      </c>
      <c r="AL78" s="29">
        <f t="shared" ref="AL78:AL79" si="167">AJ78/100*AK78</f>
        <v>3150</v>
      </c>
      <c r="AM78" s="29">
        <f t="shared" ref="AM78:AM140" si="168">(AJ78-AN78)/AJ78*100</f>
        <v>35</v>
      </c>
      <c r="AN78" s="39">
        <f t="shared" ref="AN78:AN79" si="169">AJ78-AL78</f>
        <v>5850</v>
      </c>
    </row>
    <row r="79" spans="2:40" ht="20.100000000000001" customHeight="1" thickBot="1" x14ac:dyDescent="0.35">
      <c r="B79" s="126"/>
      <c r="D79" s="110"/>
      <c r="E79" s="111"/>
      <c r="F79" s="112"/>
      <c r="H79" s="116" t="s">
        <v>80</v>
      </c>
      <c r="I79" s="116"/>
      <c r="J79" s="116"/>
      <c r="L79" s="55">
        <v>3500</v>
      </c>
      <c r="M79" s="29">
        <v>35</v>
      </c>
      <c r="N79" s="29">
        <f t="shared" si="23"/>
        <v>1225</v>
      </c>
      <c r="O79" s="29">
        <f t="shared" si="157"/>
        <v>35</v>
      </c>
      <c r="P79" s="39">
        <f t="shared" si="28"/>
        <v>2275</v>
      </c>
      <c r="R79" s="55">
        <v>3500</v>
      </c>
      <c r="S79" s="29">
        <v>35</v>
      </c>
      <c r="T79" s="29">
        <f t="shared" si="158"/>
        <v>1225</v>
      </c>
      <c r="U79" s="29">
        <f t="shared" si="159"/>
        <v>35</v>
      </c>
      <c r="V79" s="39">
        <f t="shared" si="160"/>
        <v>2275</v>
      </c>
      <c r="X79" s="55">
        <v>4500</v>
      </c>
      <c r="Y79" s="29">
        <v>35</v>
      </c>
      <c r="Z79" s="29">
        <f t="shared" si="161"/>
        <v>1575</v>
      </c>
      <c r="AA79" s="29">
        <f t="shared" si="162"/>
        <v>35</v>
      </c>
      <c r="AB79" s="39">
        <f t="shared" si="163"/>
        <v>2925</v>
      </c>
      <c r="AD79" s="55">
        <v>6000</v>
      </c>
      <c r="AE79" s="29">
        <v>35</v>
      </c>
      <c r="AF79" s="29">
        <f t="shared" si="164"/>
        <v>2100</v>
      </c>
      <c r="AG79" s="29">
        <f t="shared" si="165"/>
        <v>35</v>
      </c>
      <c r="AH79" s="39">
        <f t="shared" si="166"/>
        <v>3900</v>
      </c>
      <c r="AJ79" s="55">
        <v>9000</v>
      </c>
      <c r="AK79" s="29">
        <v>35</v>
      </c>
      <c r="AL79" s="29">
        <f t="shared" si="167"/>
        <v>3150</v>
      </c>
      <c r="AM79" s="29">
        <f t="shared" si="168"/>
        <v>35</v>
      </c>
      <c r="AN79" s="39">
        <f t="shared" si="169"/>
        <v>5850</v>
      </c>
    </row>
    <row r="80" spans="2:40" ht="20.100000000000001" customHeight="1" thickBot="1" x14ac:dyDescent="0.35">
      <c r="H80" s="34"/>
      <c r="I80" s="34"/>
      <c r="J80" s="34"/>
      <c r="L80" s="47"/>
      <c r="P80" s="39"/>
      <c r="R80" s="47"/>
      <c r="V80" s="39"/>
      <c r="X80" s="47"/>
      <c r="AB80" s="39"/>
      <c r="AD80" s="47"/>
      <c r="AH80" s="39"/>
      <c r="AJ80" s="47"/>
      <c r="AN80" s="39"/>
    </row>
    <row r="81" spans="2:40" ht="20.100000000000001" customHeight="1" x14ac:dyDescent="0.3">
      <c r="B81" s="124">
        <v>22</v>
      </c>
      <c r="D81" s="123" t="s">
        <v>180</v>
      </c>
      <c r="E81" s="108"/>
      <c r="F81" s="109"/>
      <c r="H81" s="116" t="s">
        <v>82</v>
      </c>
      <c r="I81" s="116"/>
      <c r="J81" s="116"/>
      <c r="L81" s="53">
        <v>500</v>
      </c>
      <c r="M81" s="29">
        <v>35</v>
      </c>
      <c r="N81" s="29">
        <f t="shared" si="23"/>
        <v>175</v>
      </c>
      <c r="O81" s="29">
        <f t="shared" si="157"/>
        <v>35</v>
      </c>
      <c r="P81" s="39">
        <f t="shared" si="28"/>
        <v>325</v>
      </c>
      <c r="R81" s="53">
        <v>500</v>
      </c>
      <c r="S81" s="29">
        <v>35</v>
      </c>
      <c r="T81" s="29">
        <f t="shared" ref="T81:T82" si="170">R81/100*S81</f>
        <v>175</v>
      </c>
      <c r="U81" s="29">
        <f t="shared" si="159"/>
        <v>35</v>
      </c>
      <c r="V81" s="39">
        <f t="shared" ref="V81:V82" si="171">R81-T81</f>
        <v>325</v>
      </c>
      <c r="X81" s="53">
        <v>500</v>
      </c>
      <c r="Y81" s="29">
        <v>35</v>
      </c>
      <c r="Z81" s="29">
        <f t="shared" ref="Z81:Z82" si="172">X81/100*Y81</f>
        <v>175</v>
      </c>
      <c r="AA81" s="29">
        <f t="shared" si="162"/>
        <v>35</v>
      </c>
      <c r="AB81" s="39">
        <f t="shared" ref="AB81:AB82" si="173">X81-Z81</f>
        <v>325</v>
      </c>
      <c r="AD81" s="53">
        <v>500</v>
      </c>
      <c r="AE81" s="29">
        <v>35</v>
      </c>
      <c r="AF81" s="29">
        <f t="shared" ref="AF81:AF82" si="174">AD81/100*AE81</f>
        <v>175</v>
      </c>
      <c r="AG81" s="29">
        <f t="shared" si="165"/>
        <v>35</v>
      </c>
      <c r="AH81" s="39">
        <f t="shared" ref="AH81:AH82" si="175">AD81-AF81</f>
        <v>325</v>
      </c>
      <c r="AJ81" s="53">
        <v>750</v>
      </c>
      <c r="AK81" s="29">
        <v>35</v>
      </c>
      <c r="AL81" s="29">
        <f t="shared" ref="AL81:AL82" si="176">AJ81/100*AK81</f>
        <v>262.5</v>
      </c>
      <c r="AM81" s="29">
        <f t="shared" si="168"/>
        <v>35</v>
      </c>
      <c r="AN81" s="39">
        <f t="shared" ref="AN81:AN82" si="177">AJ81-AL81</f>
        <v>487.5</v>
      </c>
    </row>
    <row r="82" spans="2:40" ht="19.5" customHeight="1" thickBot="1" x14ac:dyDescent="0.35">
      <c r="B82" s="126"/>
      <c r="D82" s="110"/>
      <c r="E82" s="111"/>
      <c r="F82" s="112"/>
      <c r="H82" s="116" t="s">
        <v>83</v>
      </c>
      <c r="I82" s="116"/>
      <c r="J82" s="116"/>
      <c r="L82" s="55">
        <v>500</v>
      </c>
      <c r="M82" s="29">
        <v>35</v>
      </c>
      <c r="N82" s="29">
        <f t="shared" si="23"/>
        <v>175</v>
      </c>
      <c r="O82" s="29">
        <f t="shared" si="157"/>
        <v>35</v>
      </c>
      <c r="P82" s="39">
        <f t="shared" si="28"/>
        <v>325</v>
      </c>
      <c r="R82" s="55">
        <v>500</v>
      </c>
      <c r="S82" s="29">
        <v>35</v>
      </c>
      <c r="T82" s="29">
        <f t="shared" si="170"/>
        <v>175</v>
      </c>
      <c r="U82" s="29">
        <f t="shared" si="159"/>
        <v>35</v>
      </c>
      <c r="V82" s="39">
        <f t="shared" si="171"/>
        <v>325</v>
      </c>
      <c r="X82" s="55">
        <v>500</v>
      </c>
      <c r="Y82" s="29">
        <v>35</v>
      </c>
      <c r="Z82" s="29">
        <f t="shared" si="172"/>
        <v>175</v>
      </c>
      <c r="AA82" s="29">
        <f t="shared" si="162"/>
        <v>35</v>
      </c>
      <c r="AB82" s="39">
        <f t="shared" si="173"/>
        <v>325</v>
      </c>
      <c r="AD82" s="55">
        <v>500</v>
      </c>
      <c r="AE82" s="29">
        <v>35</v>
      </c>
      <c r="AF82" s="29">
        <f t="shared" si="174"/>
        <v>175</v>
      </c>
      <c r="AG82" s="29">
        <f t="shared" si="165"/>
        <v>35</v>
      </c>
      <c r="AH82" s="39">
        <f t="shared" si="175"/>
        <v>325</v>
      </c>
      <c r="AJ82" s="55">
        <v>750</v>
      </c>
      <c r="AK82" s="29">
        <v>35</v>
      </c>
      <c r="AL82" s="29">
        <f t="shared" si="176"/>
        <v>262.5</v>
      </c>
      <c r="AM82" s="29">
        <f t="shared" si="168"/>
        <v>35</v>
      </c>
      <c r="AN82" s="39">
        <f t="shared" si="177"/>
        <v>487.5</v>
      </c>
    </row>
    <row r="83" spans="2:40" ht="20.100000000000001" customHeight="1" thickBot="1" x14ac:dyDescent="0.35">
      <c r="H83" s="34"/>
      <c r="I83" s="34"/>
      <c r="J83" s="34"/>
      <c r="L83" s="47"/>
      <c r="P83" s="39"/>
      <c r="R83" s="47"/>
      <c r="V83" s="39"/>
      <c r="X83" s="47"/>
      <c r="AB83" s="39"/>
      <c r="AD83" s="47"/>
      <c r="AH83" s="39"/>
      <c r="AJ83" s="47"/>
      <c r="AN83" s="39"/>
    </row>
    <row r="84" spans="2:40" ht="20.100000000000001" customHeight="1" x14ac:dyDescent="0.3">
      <c r="B84" s="124">
        <v>23</v>
      </c>
      <c r="D84" s="107" t="s">
        <v>173</v>
      </c>
      <c r="E84" s="108"/>
      <c r="F84" s="109"/>
      <c r="H84" s="116" t="s">
        <v>125</v>
      </c>
      <c r="I84" s="116"/>
      <c r="J84" s="116"/>
      <c r="L84" s="53">
        <v>500</v>
      </c>
      <c r="M84" s="29">
        <v>35</v>
      </c>
      <c r="N84" s="29">
        <f t="shared" si="23"/>
        <v>175</v>
      </c>
      <c r="O84" s="29">
        <f t="shared" si="157"/>
        <v>35</v>
      </c>
      <c r="P84" s="39">
        <f t="shared" si="28"/>
        <v>325</v>
      </c>
      <c r="R84" s="53">
        <v>750</v>
      </c>
      <c r="S84" s="29">
        <v>35</v>
      </c>
      <c r="T84" s="29">
        <f t="shared" ref="T84:T85" si="178">R84/100*S84</f>
        <v>262.5</v>
      </c>
      <c r="U84" s="29">
        <f t="shared" si="159"/>
        <v>35</v>
      </c>
      <c r="V84" s="39">
        <f t="shared" ref="V84:V85" si="179">R84-T84</f>
        <v>487.5</v>
      </c>
      <c r="X84" s="53">
        <v>750</v>
      </c>
      <c r="Y84" s="29">
        <v>35</v>
      </c>
      <c r="Z84" s="29">
        <f t="shared" ref="Z84:Z85" si="180">X84/100*Y84</f>
        <v>262.5</v>
      </c>
      <c r="AA84" s="29">
        <f t="shared" si="162"/>
        <v>35</v>
      </c>
      <c r="AB84" s="39">
        <f t="shared" ref="AB84:AB85" si="181">X84-Z84</f>
        <v>487.5</v>
      </c>
      <c r="AD84" s="53">
        <v>1000</v>
      </c>
      <c r="AE84" s="29">
        <v>35</v>
      </c>
      <c r="AF84" s="29">
        <f t="shared" ref="AF84:AF85" si="182">AD84/100*AE84</f>
        <v>350</v>
      </c>
      <c r="AG84" s="29">
        <f t="shared" si="165"/>
        <v>35</v>
      </c>
      <c r="AH84" s="39">
        <f t="shared" ref="AH84:AH85" si="183">AD84-AF84</f>
        <v>650</v>
      </c>
      <c r="AJ84" s="53">
        <v>1500</v>
      </c>
      <c r="AK84" s="29">
        <v>35</v>
      </c>
      <c r="AL84" s="29">
        <f t="shared" ref="AL84:AL85" si="184">AJ84/100*AK84</f>
        <v>525</v>
      </c>
      <c r="AM84" s="29">
        <f t="shared" si="168"/>
        <v>35</v>
      </c>
      <c r="AN84" s="39">
        <f t="shared" ref="AN84:AN85" si="185">AJ84-AL84</f>
        <v>975</v>
      </c>
    </row>
    <row r="85" spans="2:40" ht="20.100000000000001" customHeight="1" thickBot="1" x14ac:dyDescent="0.35">
      <c r="B85" s="126"/>
      <c r="D85" s="110"/>
      <c r="E85" s="111"/>
      <c r="F85" s="112"/>
      <c r="H85" s="116" t="s">
        <v>126</v>
      </c>
      <c r="I85" s="116"/>
      <c r="J85" s="116"/>
      <c r="L85" s="55">
        <v>500</v>
      </c>
      <c r="M85" s="29">
        <v>35</v>
      </c>
      <c r="N85" s="29">
        <f t="shared" si="23"/>
        <v>175</v>
      </c>
      <c r="O85" s="29">
        <f t="shared" si="157"/>
        <v>35</v>
      </c>
      <c r="P85" s="39">
        <f t="shared" si="28"/>
        <v>325</v>
      </c>
      <c r="R85" s="55">
        <v>750</v>
      </c>
      <c r="S85" s="29">
        <v>35</v>
      </c>
      <c r="T85" s="29">
        <f t="shared" si="178"/>
        <v>262.5</v>
      </c>
      <c r="U85" s="29">
        <f t="shared" si="159"/>
        <v>35</v>
      </c>
      <c r="V85" s="39">
        <f t="shared" si="179"/>
        <v>487.5</v>
      </c>
      <c r="X85" s="55">
        <v>750</v>
      </c>
      <c r="Y85" s="29">
        <v>35</v>
      </c>
      <c r="Z85" s="29">
        <f t="shared" si="180"/>
        <v>262.5</v>
      </c>
      <c r="AA85" s="29">
        <f t="shared" si="162"/>
        <v>35</v>
      </c>
      <c r="AB85" s="39">
        <f t="shared" si="181"/>
        <v>487.5</v>
      </c>
      <c r="AD85" s="55">
        <v>1000</v>
      </c>
      <c r="AE85" s="29">
        <v>35</v>
      </c>
      <c r="AF85" s="29">
        <f t="shared" si="182"/>
        <v>350</v>
      </c>
      <c r="AG85" s="29">
        <f t="shared" si="165"/>
        <v>35</v>
      </c>
      <c r="AH85" s="39">
        <f t="shared" si="183"/>
        <v>650</v>
      </c>
      <c r="AJ85" s="55">
        <v>1500</v>
      </c>
      <c r="AK85" s="29">
        <v>35</v>
      </c>
      <c r="AL85" s="29">
        <f t="shared" si="184"/>
        <v>525</v>
      </c>
      <c r="AM85" s="29">
        <f t="shared" si="168"/>
        <v>35</v>
      </c>
      <c r="AN85" s="39">
        <f t="shared" si="185"/>
        <v>975</v>
      </c>
    </row>
    <row r="86" spans="2:40" ht="20.100000000000001" customHeight="1" thickBot="1" x14ac:dyDescent="0.35">
      <c r="H86" s="34"/>
      <c r="I86" s="34"/>
      <c r="J86" s="34"/>
      <c r="L86" s="47"/>
      <c r="P86" s="39"/>
      <c r="R86" s="47"/>
      <c r="V86" s="39"/>
      <c r="X86" s="47"/>
      <c r="AB86" s="39"/>
      <c r="AD86" s="47"/>
      <c r="AH86" s="39"/>
      <c r="AJ86" s="47"/>
      <c r="AN86" s="39"/>
    </row>
    <row r="87" spans="2:40" ht="20.100000000000001" customHeight="1" x14ac:dyDescent="0.3">
      <c r="B87" s="124">
        <v>24</v>
      </c>
      <c r="D87" s="123" t="s">
        <v>181</v>
      </c>
      <c r="E87" s="108"/>
      <c r="F87" s="109"/>
      <c r="H87" s="116" t="s">
        <v>134</v>
      </c>
      <c r="I87" s="116"/>
      <c r="J87" s="116"/>
      <c r="L87" s="53">
        <v>2000</v>
      </c>
      <c r="M87" s="29">
        <v>35</v>
      </c>
      <c r="N87" s="29">
        <f t="shared" ref="N87:N139" si="186">L87/100*M87</f>
        <v>700</v>
      </c>
      <c r="O87" s="29">
        <f t="shared" si="157"/>
        <v>35</v>
      </c>
      <c r="P87" s="39">
        <f t="shared" ref="P87:P140" si="187">L87-N87</f>
        <v>1300</v>
      </c>
      <c r="R87" s="53">
        <v>2000</v>
      </c>
      <c r="S87" s="29">
        <v>35</v>
      </c>
      <c r="T87" s="29">
        <f t="shared" ref="T87:T88" si="188">R87/100*S87</f>
        <v>700</v>
      </c>
      <c r="U87" s="29">
        <f t="shared" si="159"/>
        <v>35</v>
      </c>
      <c r="V87" s="39">
        <f t="shared" ref="V87:V88" si="189">R87-T87</f>
        <v>1300</v>
      </c>
      <c r="X87" s="53">
        <v>2500</v>
      </c>
      <c r="Y87" s="29">
        <v>35</v>
      </c>
      <c r="Z87" s="29">
        <f t="shared" ref="Z87:Z88" si="190">X87/100*Y87</f>
        <v>875</v>
      </c>
      <c r="AA87" s="29">
        <f t="shared" si="162"/>
        <v>35</v>
      </c>
      <c r="AB87" s="39">
        <f t="shared" ref="AB87:AB88" si="191">X87-Z87</f>
        <v>1625</v>
      </c>
      <c r="AD87" s="53">
        <v>2500</v>
      </c>
      <c r="AE87" s="29">
        <v>35</v>
      </c>
      <c r="AF87" s="29">
        <f t="shared" ref="AF87:AF88" si="192">AD87/100*AE87</f>
        <v>875</v>
      </c>
      <c r="AG87" s="29">
        <f t="shared" si="165"/>
        <v>35</v>
      </c>
      <c r="AH87" s="39">
        <f t="shared" ref="AH87:AH88" si="193">AD87-AF87</f>
        <v>1625</v>
      </c>
      <c r="AJ87" s="53">
        <v>3000</v>
      </c>
      <c r="AK87" s="29">
        <v>35</v>
      </c>
      <c r="AL87" s="29">
        <f t="shared" ref="AL87:AL88" si="194">AJ87/100*AK87</f>
        <v>1050</v>
      </c>
      <c r="AM87" s="29">
        <f t="shared" si="168"/>
        <v>35</v>
      </c>
      <c r="AN87" s="39">
        <f t="shared" ref="AN87:AN88" si="195">AJ87-AL87</f>
        <v>1950</v>
      </c>
    </row>
    <row r="88" spans="2:40" ht="20.100000000000001" customHeight="1" thickBot="1" x14ac:dyDescent="0.35">
      <c r="B88" s="126"/>
      <c r="D88" s="110"/>
      <c r="E88" s="111"/>
      <c r="F88" s="112"/>
      <c r="H88" s="116" t="s">
        <v>135</v>
      </c>
      <c r="I88" s="116"/>
      <c r="J88" s="116"/>
      <c r="L88" s="55">
        <v>2000</v>
      </c>
      <c r="M88" s="29">
        <v>35</v>
      </c>
      <c r="N88" s="29">
        <f t="shared" si="186"/>
        <v>700</v>
      </c>
      <c r="O88" s="29">
        <f t="shared" si="157"/>
        <v>35</v>
      </c>
      <c r="P88" s="39">
        <f t="shared" si="187"/>
        <v>1300</v>
      </c>
      <c r="R88" s="55">
        <v>2000</v>
      </c>
      <c r="S88" s="29">
        <v>35</v>
      </c>
      <c r="T88" s="29">
        <f t="shared" si="188"/>
        <v>700</v>
      </c>
      <c r="U88" s="29">
        <f t="shared" si="159"/>
        <v>35</v>
      </c>
      <c r="V88" s="39">
        <f t="shared" si="189"/>
        <v>1300</v>
      </c>
      <c r="X88" s="55">
        <v>2500</v>
      </c>
      <c r="Y88" s="29">
        <v>35</v>
      </c>
      <c r="Z88" s="29">
        <f t="shared" si="190"/>
        <v>875</v>
      </c>
      <c r="AA88" s="29">
        <f t="shared" si="162"/>
        <v>35</v>
      </c>
      <c r="AB88" s="39">
        <f t="shared" si="191"/>
        <v>1625</v>
      </c>
      <c r="AD88" s="55">
        <v>2500</v>
      </c>
      <c r="AE88" s="29">
        <v>35</v>
      </c>
      <c r="AF88" s="29">
        <f t="shared" si="192"/>
        <v>875</v>
      </c>
      <c r="AG88" s="29">
        <f t="shared" si="165"/>
        <v>35</v>
      </c>
      <c r="AH88" s="39">
        <f t="shared" si="193"/>
        <v>1625</v>
      </c>
      <c r="AJ88" s="55">
        <v>3000</v>
      </c>
      <c r="AK88" s="29">
        <v>35</v>
      </c>
      <c r="AL88" s="29">
        <f t="shared" si="194"/>
        <v>1050</v>
      </c>
      <c r="AM88" s="29">
        <f t="shared" si="168"/>
        <v>35</v>
      </c>
      <c r="AN88" s="39">
        <f t="shared" si="195"/>
        <v>1950</v>
      </c>
    </row>
    <row r="89" spans="2:40" ht="20.100000000000001" customHeight="1" thickBot="1" x14ac:dyDescent="0.35">
      <c r="H89" s="34"/>
      <c r="I89" s="34"/>
      <c r="J89" s="34"/>
      <c r="L89" s="47"/>
      <c r="P89" s="39"/>
      <c r="R89" s="47"/>
      <c r="V89" s="39"/>
      <c r="X89" s="47"/>
      <c r="AB89" s="39"/>
      <c r="AD89" s="47"/>
      <c r="AH89" s="39"/>
      <c r="AJ89" s="47"/>
      <c r="AN89" s="39"/>
    </row>
    <row r="90" spans="2:40" ht="20.100000000000001" customHeight="1" x14ac:dyDescent="0.3">
      <c r="B90" s="124">
        <v>25</v>
      </c>
      <c r="D90" s="107" t="s">
        <v>163</v>
      </c>
      <c r="E90" s="108"/>
      <c r="F90" s="109"/>
      <c r="G90" s="33"/>
      <c r="H90" s="116" t="s">
        <v>131</v>
      </c>
      <c r="I90" s="116"/>
      <c r="J90" s="116"/>
      <c r="L90" s="53">
        <v>250</v>
      </c>
      <c r="M90" s="29">
        <v>35</v>
      </c>
      <c r="N90" s="29">
        <f t="shared" si="186"/>
        <v>87.5</v>
      </c>
      <c r="O90" s="29">
        <f t="shared" si="157"/>
        <v>35</v>
      </c>
      <c r="P90" s="39">
        <f t="shared" si="187"/>
        <v>162.5</v>
      </c>
      <c r="R90" s="53">
        <v>250</v>
      </c>
      <c r="S90" s="29">
        <v>35</v>
      </c>
      <c r="T90" s="29">
        <f t="shared" ref="T90:T91" si="196">R90/100*S90</f>
        <v>87.5</v>
      </c>
      <c r="U90" s="29">
        <f t="shared" si="159"/>
        <v>35</v>
      </c>
      <c r="V90" s="39">
        <f t="shared" ref="V90:V91" si="197">R90-T90</f>
        <v>162.5</v>
      </c>
      <c r="X90" s="53">
        <v>250</v>
      </c>
      <c r="Y90" s="29">
        <v>35</v>
      </c>
      <c r="Z90" s="29">
        <f t="shared" ref="Z90:Z91" si="198">X90/100*Y90</f>
        <v>87.5</v>
      </c>
      <c r="AA90" s="29">
        <f t="shared" si="162"/>
        <v>35</v>
      </c>
      <c r="AB90" s="39">
        <f t="shared" ref="AB90:AB91" si="199">X90-Z90</f>
        <v>162.5</v>
      </c>
      <c r="AD90" s="53">
        <v>500</v>
      </c>
      <c r="AE90" s="29">
        <v>35</v>
      </c>
      <c r="AF90" s="29">
        <f t="shared" ref="AF90:AF91" si="200">AD90/100*AE90</f>
        <v>175</v>
      </c>
      <c r="AG90" s="29">
        <f t="shared" si="165"/>
        <v>35</v>
      </c>
      <c r="AH90" s="39">
        <f t="shared" ref="AH90:AH91" si="201">AD90-AF90</f>
        <v>325</v>
      </c>
      <c r="AJ90" s="53">
        <v>750</v>
      </c>
      <c r="AK90" s="29">
        <v>35</v>
      </c>
      <c r="AL90" s="29">
        <f t="shared" ref="AL90:AL91" si="202">AJ90/100*AK90</f>
        <v>262.5</v>
      </c>
      <c r="AM90" s="29">
        <f t="shared" si="168"/>
        <v>35</v>
      </c>
      <c r="AN90" s="39">
        <f t="shared" ref="AN90:AN91" si="203">AJ90-AL90</f>
        <v>487.5</v>
      </c>
    </row>
    <row r="91" spans="2:40" ht="20.100000000000001" customHeight="1" thickBot="1" x14ac:dyDescent="0.35">
      <c r="B91" s="126"/>
      <c r="D91" s="110"/>
      <c r="E91" s="111"/>
      <c r="F91" s="112"/>
      <c r="G91" s="33"/>
      <c r="H91" s="116" t="s">
        <v>132</v>
      </c>
      <c r="I91" s="116"/>
      <c r="J91" s="116"/>
      <c r="L91" s="55">
        <v>250</v>
      </c>
      <c r="M91" s="29">
        <v>35</v>
      </c>
      <c r="N91" s="29">
        <f t="shared" si="186"/>
        <v>87.5</v>
      </c>
      <c r="O91" s="29">
        <f t="shared" si="157"/>
        <v>35</v>
      </c>
      <c r="P91" s="39">
        <f t="shared" si="187"/>
        <v>162.5</v>
      </c>
      <c r="R91" s="55">
        <v>250</v>
      </c>
      <c r="S91" s="29">
        <v>35</v>
      </c>
      <c r="T91" s="29">
        <f t="shared" si="196"/>
        <v>87.5</v>
      </c>
      <c r="U91" s="29">
        <f t="shared" si="159"/>
        <v>35</v>
      </c>
      <c r="V91" s="39">
        <f t="shared" si="197"/>
        <v>162.5</v>
      </c>
      <c r="X91" s="55">
        <v>250</v>
      </c>
      <c r="Y91" s="29">
        <v>35</v>
      </c>
      <c r="Z91" s="29">
        <f t="shared" si="198"/>
        <v>87.5</v>
      </c>
      <c r="AA91" s="29">
        <f t="shared" si="162"/>
        <v>35</v>
      </c>
      <c r="AB91" s="39">
        <f t="shared" si="199"/>
        <v>162.5</v>
      </c>
      <c r="AD91" s="55">
        <v>500</v>
      </c>
      <c r="AE91" s="29">
        <v>35</v>
      </c>
      <c r="AF91" s="29">
        <f t="shared" si="200"/>
        <v>175</v>
      </c>
      <c r="AG91" s="29">
        <f t="shared" si="165"/>
        <v>35</v>
      </c>
      <c r="AH91" s="39">
        <f t="shared" si="201"/>
        <v>325</v>
      </c>
      <c r="AJ91" s="55">
        <v>750</v>
      </c>
      <c r="AK91" s="29">
        <v>35</v>
      </c>
      <c r="AL91" s="29">
        <f t="shared" si="202"/>
        <v>262.5</v>
      </c>
      <c r="AM91" s="29">
        <f t="shared" si="168"/>
        <v>35</v>
      </c>
      <c r="AN91" s="39">
        <f t="shared" si="203"/>
        <v>487.5</v>
      </c>
    </row>
    <row r="92" spans="2:40" ht="20.100000000000001" customHeight="1" thickBot="1" x14ac:dyDescent="0.35">
      <c r="H92" s="34"/>
      <c r="I92" s="34"/>
      <c r="J92" s="34"/>
      <c r="L92" s="47"/>
      <c r="P92" s="39"/>
      <c r="R92" s="47"/>
      <c r="V92" s="39"/>
      <c r="X92" s="47"/>
      <c r="AB92" s="39"/>
      <c r="AD92" s="47"/>
      <c r="AH92" s="39"/>
      <c r="AJ92" s="47"/>
      <c r="AN92" s="39"/>
    </row>
    <row r="93" spans="2:40" ht="20.100000000000001" customHeight="1" x14ac:dyDescent="0.3">
      <c r="B93" s="124">
        <v>26</v>
      </c>
      <c r="D93" s="107" t="s">
        <v>149</v>
      </c>
      <c r="E93" s="108"/>
      <c r="F93" s="109"/>
      <c r="G93" s="31"/>
      <c r="H93" s="116" t="s">
        <v>18</v>
      </c>
      <c r="I93" s="116"/>
      <c r="J93" s="116"/>
      <c r="L93" s="53">
        <v>1000</v>
      </c>
      <c r="M93" s="29">
        <v>35</v>
      </c>
      <c r="N93" s="29">
        <f t="shared" si="186"/>
        <v>350</v>
      </c>
      <c r="O93" s="29">
        <f t="shared" si="157"/>
        <v>35</v>
      </c>
      <c r="P93" s="39">
        <f t="shared" si="187"/>
        <v>650</v>
      </c>
      <c r="R93" s="53">
        <v>1000</v>
      </c>
      <c r="S93" s="29">
        <v>35</v>
      </c>
      <c r="T93" s="29">
        <f t="shared" ref="T93:T96" si="204">R93/100*S93</f>
        <v>350</v>
      </c>
      <c r="U93" s="29">
        <f t="shared" si="159"/>
        <v>35</v>
      </c>
      <c r="V93" s="39">
        <f t="shared" ref="V93:V96" si="205">R93-T93</f>
        <v>650</v>
      </c>
      <c r="X93" s="53">
        <v>1000</v>
      </c>
      <c r="Y93" s="29">
        <v>35</v>
      </c>
      <c r="Z93" s="29">
        <f t="shared" ref="Z93:Z96" si="206">X93/100*Y93</f>
        <v>350</v>
      </c>
      <c r="AA93" s="29">
        <f t="shared" si="162"/>
        <v>35</v>
      </c>
      <c r="AB93" s="39">
        <f t="shared" ref="AB93:AB96" si="207">X93-Z93</f>
        <v>650</v>
      </c>
      <c r="AD93" s="53">
        <v>1500</v>
      </c>
      <c r="AE93" s="29">
        <v>35</v>
      </c>
      <c r="AF93" s="29">
        <f t="shared" ref="AF93:AF96" si="208">AD93/100*AE93</f>
        <v>525</v>
      </c>
      <c r="AG93" s="29">
        <f t="shared" si="165"/>
        <v>35</v>
      </c>
      <c r="AH93" s="39">
        <f t="shared" ref="AH93:AH96" si="209">AD93-AF93</f>
        <v>975</v>
      </c>
      <c r="AJ93" s="53">
        <v>2000</v>
      </c>
      <c r="AK93" s="29">
        <v>35</v>
      </c>
      <c r="AL93" s="29">
        <f t="shared" ref="AL93:AL96" si="210">AJ93/100*AK93</f>
        <v>700</v>
      </c>
      <c r="AM93" s="29">
        <f t="shared" si="168"/>
        <v>35</v>
      </c>
      <c r="AN93" s="39">
        <f t="shared" ref="AN93:AN96" si="211">AJ93-AL93</f>
        <v>1300</v>
      </c>
    </row>
    <row r="94" spans="2:40" ht="20.100000000000001" customHeight="1" x14ac:dyDescent="0.3">
      <c r="B94" s="125"/>
      <c r="D94" s="120"/>
      <c r="E94" s="121"/>
      <c r="F94" s="122"/>
      <c r="G94" s="31"/>
      <c r="H94" s="116" t="s">
        <v>19</v>
      </c>
      <c r="I94" s="116"/>
      <c r="J94" s="116"/>
      <c r="L94" s="54">
        <v>500</v>
      </c>
      <c r="M94" s="29">
        <v>35</v>
      </c>
      <c r="N94" s="29">
        <f t="shared" si="186"/>
        <v>175</v>
      </c>
      <c r="O94" s="29">
        <f t="shared" si="157"/>
        <v>35</v>
      </c>
      <c r="P94" s="39">
        <f t="shared" si="187"/>
        <v>325</v>
      </c>
      <c r="R94" s="54">
        <v>500</v>
      </c>
      <c r="S94" s="29">
        <v>35</v>
      </c>
      <c r="T94" s="29">
        <f t="shared" si="204"/>
        <v>175</v>
      </c>
      <c r="U94" s="29">
        <f t="shared" si="159"/>
        <v>35</v>
      </c>
      <c r="V94" s="39">
        <f t="shared" si="205"/>
        <v>325</v>
      </c>
      <c r="X94" s="54">
        <v>500</v>
      </c>
      <c r="Y94" s="29">
        <v>35</v>
      </c>
      <c r="Z94" s="29">
        <f t="shared" si="206"/>
        <v>175</v>
      </c>
      <c r="AA94" s="29">
        <f t="shared" si="162"/>
        <v>35</v>
      </c>
      <c r="AB94" s="39">
        <f t="shared" si="207"/>
        <v>325</v>
      </c>
      <c r="AD94" s="54">
        <v>1000</v>
      </c>
      <c r="AE94" s="29">
        <v>35</v>
      </c>
      <c r="AF94" s="29">
        <f t="shared" si="208"/>
        <v>350</v>
      </c>
      <c r="AG94" s="29">
        <f t="shared" si="165"/>
        <v>35</v>
      </c>
      <c r="AH94" s="39">
        <f t="shared" si="209"/>
        <v>650</v>
      </c>
      <c r="AJ94" s="54">
        <v>1500</v>
      </c>
      <c r="AK94" s="29">
        <v>35</v>
      </c>
      <c r="AL94" s="29">
        <f t="shared" si="210"/>
        <v>525</v>
      </c>
      <c r="AM94" s="29">
        <f t="shared" si="168"/>
        <v>35</v>
      </c>
      <c r="AN94" s="39">
        <f t="shared" si="211"/>
        <v>975</v>
      </c>
    </row>
    <row r="95" spans="2:40" ht="20.100000000000001" customHeight="1" x14ac:dyDescent="0.3">
      <c r="B95" s="125"/>
      <c r="D95" s="120"/>
      <c r="E95" s="121"/>
      <c r="F95" s="122"/>
      <c r="G95" s="31"/>
      <c r="H95" s="116" t="s">
        <v>20</v>
      </c>
      <c r="I95" s="116"/>
      <c r="J95" s="116"/>
      <c r="L95" s="54">
        <v>500</v>
      </c>
      <c r="M95" s="29">
        <v>35</v>
      </c>
      <c r="N95" s="29">
        <f t="shared" si="186"/>
        <v>175</v>
      </c>
      <c r="O95" s="29">
        <f t="shared" si="157"/>
        <v>35</v>
      </c>
      <c r="P95" s="39">
        <f t="shared" si="187"/>
        <v>325</v>
      </c>
      <c r="R95" s="54">
        <v>500</v>
      </c>
      <c r="S95" s="29">
        <v>35</v>
      </c>
      <c r="T95" s="29">
        <f t="shared" si="204"/>
        <v>175</v>
      </c>
      <c r="U95" s="29">
        <f t="shared" si="159"/>
        <v>35</v>
      </c>
      <c r="V95" s="39">
        <f t="shared" si="205"/>
        <v>325</v>
      </c>
      <c r="X95" s="54">
        <v>500</v>
      </c>
      <c r="Y95" s="29">
        <v>35</v>
      </c>
      <c r="Z95" s="29">
        <f t="shared" si="206"/>
        <v>175</v>
      </c>
      <c r="AA95" s="29">
        <f t="shared" si="162"/>
        <v>35</v>
      </c>
      <c r="AB95" s="39">
        <f t="shared" si="207"/>
        <v>325</v>
      </c>
      <c r="AD95" s="54">
        <v>1000</v>
      </c>
      <c r="AE95" s="29">
        <v>35</v>
      </c>
      <c r="AF95" s="29">
        <f t="shared" si="208"/>
        <v>350</v>
      </c>
      <c r="AG95" s="29">
        <f t="shared" si="165"/>
        <v>35</v>
      </c>
      <c r="AH95" s="39">
        <f t="shared" si="209"/>
        <v>650</v>
      </c>
      <c r="AJ95" s="54">
        <v>1500</v>
      </c>
      <c r="AK95" s="29">
        <v>35</v>
      </c>
      <c r="AL95" s="29">
        <f t="shared" si="210"/>
        <v>525</v>
      </c>
      <c r="AM95" s="29">
        <f t="shared" si="168"/>
        <v>35</v>
      </c>
      <c r="AN95" s="39">
        <f t="shared" si="211"/>
        <v>975</v>
      </c>
    </row>
    <row r="96" spans="2:40" ht="20.100000000000001" customHeight="1" thickBot="1" x14ac:dyDescent="0.35">
      <c r="B96" s="126"/>
      <c r="D96" s="110"/>
      <c r="E96" s="111"/>
      <c r="F96" s="112"/>
      <c r="G96" s="31"/>
      <c r="H96" s="116" t="s">
        <v>21</v>
      </c>
      <c r="I96" s="116"/>
      <c r="J96" s="116"/>
      <c r="L96" s="55">
        <v>1000</v>
      </c>
      <c r="M96" s="29">
        <v>35</v>
      </c>
      <c r="N96" s="29">
        <f t="shared" si="186"/>
        <v>350</v>
      </c>
      <c r="O96" s="29">
        <f t="shared" si="157"/>
        <v>35</v>
      </c>
      <c r="P96" s="39">
        <f t="shared" si="187"/>
        <v>650</v>
      </c>
      <c r="R96" s="55">
        <v>1000</v>
      </c>
      <c r="S96" s="29">
        <v>35</v>
      </c>
      <c r="T96" s="29">
        <f t="shared" si="204"/>
        <v>350</v>
      </c>
      <c r="U96" s="29">
        <f t="shared" si="159"/>
        <v>35</v>
      </c>
      <c r="V96" s="39">
        <f t="shared" si="205"/>
        <v>650</v>
      </c>
      <c r="X96" s="55">
        <v>1000</v>
      </c>
      <c r="Y96" s="29">
        <v>35</v>
      </c>
      <c r="Z96" s="29">
        <f t="shared" si="206"/>
        <v>350</v>
      </c>
      <c r="AA96" s="29">
        <f t="shared" si="162"/>
        <v>35</v>
      </c>
      <c r="AB96" s="39">
        <f t="shared" si="207"/>
        <v>650</v>
      </c>
      <c r="AD96" s="55">
        <v>1500</v>
      </c>
      <c r="AE96" s="29">
        <v>35</v>
      </c>
      <c r="AF96" s="29">
        <f t="shared" si="208"/>
        <v>525</v>
      </c>
      <c r="AG96" s="29">
        <f t="shared" si="165"/>
        <v>35</v>
      </c>
      <c r="AH96" s="39">
        <f t="shared" si="209"/>
        <v>975</v>
      </c>
      <c r="AJ96" s="55">
        <v>2000</v>
      </c>
      <c r="AK96" s="29">
        <v>35</v>
      </c>
      <c r="AL96" s="29">
        <f t="shared" si="210"/>
        <v>700</v>
      </c>
      <c r="AM96" s="29">
        <f t="shared" si="168"/>
        <v>35</v>
      </c>
      <c r="AN96" s="39">
        <f t="shared" si="211"/>
        <v>1300</v>
      </c>
    </row>
    <row r="97" spans="2:40" ht="20.100000000000001" customHeight="1" thickBot="1" x14ac:dyDescent="0.35">
      <c r="H97" s="34"/>
      <c r="I97" s="34"/>
      <c r="J97" s="34"/>
      <c r="L97" s="47"/>
      <c r="P97" s="39"/>
      <c r="R97" s="47"/>
      <c r="V97" s="39"/>
      <c r="X97" s="47"/>
      <c r="AB97" s="39"/>
      <c r="AD97" s="47"/>
      <c r="AH97" s="39"/>
      <c r="AJ97" s="47"/>
      <c r="AN97" s="39"/>
    </row>
    <row r="98" spans="2:40" ht="20.100000000000001" customHeight="1" x14ac:dyDescent="0.3">
      <c r="B98" s="124">
        <v>27</v>
      </c>
      <c r="D98" s="107" t="s">
        <v>146</v>
      </c>
      <c r="E98" s="108"/>
      <c r="F98" s="109"/>
      <c r="G98" s="31"/>
      <c r="H98" s="116" t="s">
        <v>8</v>
      </c>
      <c r="I98" s="116"/>
      <c r="J98" s="116"/>
      <c r="L98" s="53">
        <v>1000</v>
      </c>
      <c r="M98" s="29">
        <v>35</v>
      </c>
      <c r="N98" s="29">
        <f t="shared" si="186"/>
        <v>350</v>
      </c>
      <c r="O98" s="29">
        <f t="shared" si="157"/>
        <v>35</v>
      </c>
      <c r="P98" s="39">
        <f t="shared" si="187"/>
        <v>650</v>
      </c>
      <c r="R98" s="53">
        <v>1000</v>
      </c>
      <c r="S98" s="29">
        <v>35</v>
      </c>
      <c r="T98" s="29">
        <f t="shared" ref="T98:T101" si="212">R98/100*S98</f>
        <v>350</v>
      </c>
      <c r="U98" s="29">
        <f t="shared" si="159"/>
        <v>35</v>
      </c>
      <c r="V98" s="39">
        <f t="shared" ref="V98:V101" si="213">R98-T98</f>
        <v>650</v>
      </c>
      <c r="X98" s="53">
        <v>1000</v>
      </c>
      <c r="Y98" s="29">
        <v>35</v>
      </c>
      <c r="Z98" s="29">
        <f t="shared" ref="Z98:Z101" si="214">X98/100*Y98</f>
        <v>350</v>
      </c>
      <c r="AA98" s="29">
        <f t="shared" si="162"/>
        <v>35</v>
      </c>
      <c r="AB98" s="39">
        <f t="shared" ref="AB98:AB101" si="215">X98-Z98</f>
        <v>650</v>
      </c>
      <c r="AD98" s="53">
        <v>1500</v>
      </c>
      <c r="AE98" s="29">
        <v>35</v>
      </c>
      <c r="AF98" s="29">
        <f t="shared" ref="AF98:AF101" si="216">AD98/100*AE98</f>
        <v>525</v>
      </c>
      <c r="AG98" s="29">
        <f t="shared" si="165"/>
        <v>35</v>
      </c>
      <c r="AH98" s="39">
        <f t="shared" ref="AH98:AH101" si="217">AD98-AF98</f>
        <v>975</v>
      </c>
      <c r="AJ98" s="53">
        <v>2000</v>
      </c>
      <c r="AK98" s="29">
        <v>35</v>
      </c>
      <c r="AL98" s="29">
        <f t="shared" ref="AL98:AL101" si="218">AJ98/100*AK98</f>
        <v>700</v>
      </c>
      <c r="AM98" s="29">
        <f t="shared" si="168"/>
        <v>35</v>
      </c>
      <c r="AN98" s="39">
        <f t="shared" ref="AN98:AN101" si="219">AJ98-AL98</f>
        <v>1300</v>
      </c>
    </row>
    <row r="99" spans="2:40" ht="20.100000000000001" customHeight="1" x14ac:dyDescent="0.3">
      <c r="B99" s="125"/>
      <c r="D99" s="120"/>
      <c r="E99" s="121"/>
      <c r="F99" s="122"/>
      <c r="G99" s="31"/>
      <c r="H99" s="116" t="s">
        <v>9</v>
      </c>
      <c r="I99" s="116"/>
      <c r="J99" s="116"/>
      <c r="L99" s="54">
        <v>250</v>
      </c>
      <c r="M99" s="29">
        <v>35</v>
      </c>
      <c r="N99" s="29">
        <f t="shared" si="186"/>
        <v>87.5</v>
      </c>
      <c r="O99" s="29">
        <f t="shared" si="157"/>
        <v>35</v>
      </c>
      <c r="P99" s="39">
        <f t="shared" si="187"/>
        <v>162.5</v>
      </c>
      <c r="R99" s="54">
        <v>250</v>
      </c>
      <c r="S99" s="29">
        <v>35</v>
      </c>
      <c r="T99" s="29">
        <f t="shared" si="212"/>
        <v>87.5</v>
      </c>
      <c r="U99" s="29">
        <f t="shared" si="159"/>
        <v>35</v>
      </c>
      <c r="V99" s="39">
        <f t="shared" si="213"/>
        <v>162.5</v>
      </c>
      <c r="X99" s="54">
        <v>500</v>
      </c>
      <c r="Y99" s="29">
        <v>35</v>
      </c>
      <c r="Z99" s="29">
        <f t="shared" si="214"/>
        <v>175</v>
      </c>
      <c r="AA99" s="29">
        <f t="shared" si="162"/>
        <v>35</v>
      </c>
      <c r="AB99" s="39">
        <f t="shared" si="215"/>
        <v>325</v>
      </c>
      <c r="AD99" s="54">
        <v>500</v>
      </c>
      <c r="AE99" s="29">
        <v>35</v>
      </c>
      <c r="AF99" s="29">
        <f t="shared" si="216"/>
        <v>175</v>
      </c>
      <c r="AG99" s="29">
        <f t="shared" si="165"/>
        <v>35</v>
      </c>
      <c r="AH99" s="39">
        <f t="shared" si="217"/>
        <v>325</v>
      </c>
      <c r="AJ99" s="54">
        <v>1000</v>
      </c>
      <c r="AK99" s="29">
        <v>35</v>
      </c>
      <c r="AL99" s="29">
        <f t="shared" si="218"/>
        <v>350</v>
      </c>
      <c r="AM99" s="29">
        <f t="shared" si="168"/>
        <v>35</v>
      </c>
      <c r="AN99" s="39">
        <f t="shared" si="219"/>
        <v>650</v>
      </c>
    </row>
    <row r="100" spans="2:40" ht="20.100000000000001" customHeight="1" x14ac:dyDescent="0.3">
      <c r="B100" s="125"/>
      <c r="D100" s="120"/>
      <c r="E100" s="121"/>
      <c r="F100" s="122"/>
      <c r="G100" s="31"/>
      <c r="H100" s="116" t="s">
        <v>11</v>
      </c>
      <c r="I100" s="116"/>
      <c r="J100" s="116"/>
      <c r="L100" s="54">
        <v>250</v>
      </c>
      <c r="M100" s="29">
        <v>35</v>
      </c>
      <c r="N100" s="29">
        <f t="shared" si="186"/>
        <v>87.5</v>
      </c>
      <c r="O100" s="29">
        <f t="shared" si="157"/>
        <v>35</v>
      </c>
      <c r="P100" s="39">
        <f t="shared" si="187"/>
        <v>162.5</v>
      </c>
      <c r="R100" s="54">
        <v>250</v>
      </c>
      <c r="S100" s="29">
        <v>35</v>
      </c>
      <c r="T100" s="29">
        <f t="shared" si="212"/>
        <v>87.5</v>
      </c>
      <c r="U100" s="29">
        <f t="shared" si="159"/>
        <v>35</v>
      </c>
      <c r="V100" s="39">
        <f t="shared" si="213"/>
        <v>162.5</v>
      </c>
      <c r="X100" s="54">
        <v>500</v>
      </c>
      <c r="Y100" s="29">
        <v>35</v>
      </c>
      <c r="Z100" s="29">
        <f t="shared" si="214"/>
        <v>175</v>
      </c>
      <c r="AA100" s="29">
        <f t="shared" si="162"/>
        <v>35</v>
      </c>
      <c r="AB100" s="39">
        <f t="shared" si="215"/>
        <v>325</v>
      </c>
      <c r="AD100" s="54">
        <v>500</v>
      </c>
      <c r="AE100" s="29">
        <v>35</v>
      </c>
      <c r="AF100" s="29">
        <f t="shared" si="216"/>
        <v>175</v>
      </c>
      <c r="AG100" s="29">
        <f t="shared" si="165"/>
        <v>35</v>
      </c>
      <c r="AH100" s="39">
        <f t="shared" si="217"/>
        <v>325</v>
      </c>
      <c r="AJ100" s="54">
        <v>1000</v>
      </c>
      <c r="AK100" s="29">
        <v>35</v>
      </c>
      <c r="AL100" s="29">
        <f t="shared" si="218"/>
        <v>350</v>
      </c>
      <c r="AM100" s="29">
        <f t="shared" si="168"/>
        <v>35</v>
      </c>
      <c r="AN100" s="39">
        <f t="shared" si="219"/>
        <v>650</v>
      </c>
    </row>
    <row r="101" spans="2:40" ht="20.100000000000001" customHeight="1" thickBot="1" x14ac:dyDescent="0.35">
      <c r="B101" s="126"/>
      <c r="D101" s="110"/>
      <c r="E101" s="111"/>
      <c r="F101" s="112"/>
      <c r="G101" s="31"/>
      <c r="H101" s="116" t="s">
        <v>10</v>
      </c>
      <c r="I101" s="116"/>
      <c r="J101" s="116"/>
      <c r="L101" s="55">
        <v>1000</v>
      </c>
      <c r="M101" s="29">
        <v>35</v>
      </c>
      <c r="N101" s="29">
        <f t="shared" si="186"/>
        <v>350</v>
      </c>
      <c r="O101" s="29">
        <f t="shared" si="157"/>
        <v>35</v>
      </c>
      <c r="P101" s="39">
        <f t="shared" si="187"/>
        <v>650</v>
      </c>
      <c r="R101" s="55">
        <v>1000</v>
      </c>
      <c r="S101" s="29">
        <v>35</v>
      </c>
      <c r="T101" s="29">
        <f t="shared" si="212"/>
        <v>350</v>
      </c>
      <c r="U101" s="29">
        <f t="shared" si="159"/>
        <v>35</v>
      </c>
      <c r="V101" s="39">
        <f t="shared" si="213"/>
        <v>650</v>
      </c>
      <c r="X101" s="55">
        <v>1000</v>
      </c>
      <c r="Y101" s="29">
        <v>35</v>
      </c>
      <c r="Z101" s="29">
        <f t="shared" si="214"/>
        <v>350</v>
      </c>
      <c r="AA101" s="29">
        <f t="shared" si="162"/>
        <v>35</v>
      </c>
      <c r="AB101" s="39">
        <f t="shared" si="215"/>
        <v>650</v>
      </c>
      <c r="AD101" s="55">
        <v>1500</v>
      </c>
      <c r="AE101" s="29">
        <v>35</v>
      </c>
      <c r="AF101" s="29">
        <f t="shared" si="216"/>
        <v>525</v>
      </c>
      <c r="AG101" s="29">
        <f t="shared" si="165"/>
        <v>35</v>
      </c>
      <c r="AH101" s="39">
        <f t="shared" si="217"/>
        <v>975</v>
      </c>
      <c r="AJ101" s="55">
        <v>2000</v>
      </c>
      <c r="AK101" s="29">
        <v>35</v>
      </c>
      <c r="AL101" s="29">
        <f t="shared" si="218"/>
        <v>700</v>
      </c>
      <c r="AM101" s="29">
        <f t="shared" si="168"/>
        <v>35</v>
      </c>
      <c r="AN101" s="39">
        <f t="shared" si="219"/>
        <v>1300</v>
      </c>
    </row>
    <row r="102" spans="2:40" ht="20.100000000000001" customHeight="1" thickBot="1" x14ac:dyDescent="0.35">
      <c r="H102" s="34"/>
      <c r="I102" s="34"/>
      <c r="J102" s="34"/>
      <c r="L102" s="47"/>
      <c r="P102" s="39"/>
      <c r="R102" s="47"/>
      <c r="V102" s="39"/>
      <c r="X102" s="47"/>
      <c r="AB102" s="39"/>
      <c r="AD102" s="47"/>
      <c r="AH102" s="39"/>
      <c r="AJ102" s="47"/>
      <c r="AN102" s="39"/>
    </row>
    <row r="103" spans="2:40" ht="20.100000000000001" customHeight="1" x14ac:dyDescent="0.3">
      <c r="B103" s="124">
        <v>28</v>
      </c>
      <c r="D103" s="123" t="s">
        <v>151</v>
      </c>
      <c r="E103" s="108"/>
      <c r="F103" s="109"/>
      <c r="G103" s="33"/>
      <c r="H103" s="116" t="s">
        <v>39</v>
      </c>
      <c r="I103" s="116"/>
      <c r="J103" s="116"/>
      <c r="L103" s="53">
        <v>250</v>
      </c>
      <c r="M103" s="29">
        <v>35</v>
      </c>
      <c r="N103" s="29">
        <f t="shared" si="186"/>
        <v>87.5</v>
      </c>
      <c r="O103" s="29">
        <f t="shared" si="157"/>
        <v>35</v>
      </c>
      <c r="P103" s="39">
        <f t="shared" si="187"/>
        <v>162.5</v>
      </c>
      <c r="R103" s="53">
        <v>250</v>
      </c>
      <c r="S103" s="29">
        <v>35</v>
      </c>
      <c r="T103" s="29">
        <f t="shared" ref="T103:T104" si="220">R103/100*S103</f>
        <v>87.5</v>
      </c>
      <c r="U103" s="29">
        <f t="shared" si="159"/>
        <v>35</v>
      </c>
      <c r="V103" s="39">
        <f t="shared" ref="V103:V104" si="221">R103-T103</f>
        <v>162.5</v>
      </c>
      <c r="X103" s="53">
        <v>250</v>
      </c>
      <c r="Y103" s="29">
        <v>35</v>
      </c>
      <c r="Z103" s="29">
        <f t="shared" ref="Z103:Z104" si="222">X103/100*Y103</f>
        <v>87.5</v>
      </c>
      <c r="AA103" s="29">
        <f t="shared" si="162"/>
        <v>35</v>
      </c>
      <c r="AB103" s="39">
        <f t="shared" ref="AB103:AB104" si="223">X103-Z103</f>
        <v>162.5</v>
      </c>
      <c r="AD103" s="53">
        <v>250</v>
      </c>
      <c r="AE103" s="29">
        <v>35</v>
      </c>
      <c r="AF103" s="29">
        <f t="shared" ref="AF103:AF104" si="224">AD103/100*AE103</f>
        <v>87.5</v>
      </c>
      <c r="AG103" s="29">
        <f t="shared" si="165"/>
        <v>35</v>
      </c>
      <c r="AH103" s="39">
        <f t="shared" ref="AH103:AH104" si="225">AD103-AF103</f>
        <v>162.5</v>
      </c>
      <c r="AJ103" s="53">
        <v>500</v>
      </c>
      <c r="AK103" s="29">
        <v>35</v>
      </c>
      <c r="AL103" s="29">
        <f t="shared" ref="AL103:AL104" si="226">AJ103/100*AK103</f>
        <v>175</v>
      </c>
      <c r="AM103" s="29">
        <f t="shared" si="168"/>
        <v>35</v>
      </c>
      <c r="AN103" s="39">
        <f t="shared" ref="AN103:AN104" si="227">AJ103-AL103</f>
        <v>325</v>
      </c>
    </row>
    <row r="104" spans="2:40" ht="20.100000000000001" customHeight="1" thickBot="1" x14ac:dyDescent="0.35">
      <c r="B104" s="126"/>
      <c r="D104" s="110"/>
      <c r="E104" s="111"/>
      <c r="F104" s="112"/>
      <c r="G104" s="33"/>
      <c r="H104" s="116" t="s">
        <v>38</v>
      </c>
      <c r="I104" s="116"/>
      <c r="J104" s="116"/>
      <c r="L104" s="55">
        <v>250</v>
      </c>
      <c r="M104" s="29">
        <v>35</v>
      </c>
      <c r="N104" s="29">
        <f t="shared" si="186"/>
        <v>87.5</v>
      </c>
      <c r="O104" s="29">
        <f t="shared" si="157"/>
        <v>35</v>
      </c>
      <c r="P104" s="39">
        <f t="shared" si="187"/>
        <v>162.5</v>
      </c>
      <c r="R104" s="55">
        <v>250</v>
      </c>
      <c r="S104" s="29">
        <v>35</v>
      </c>
      <c r="T104" s="29">
        <f t="shared" si="220"/>
        <v>87.5</v>
      </c>
      <c r="U104" s="29">
        <f t="shared" si="159"/>
        <v>35</v>
      </c>
      <c r="V104" s="39">
        <f t="shared" si="221"/>
        <v>162.5</v>
      </c>
      <c r="X104" s="55">
        <v>250</v>
      </c>
      <c r="Y104" s="29">
        <v>35</v>
      </c>
      <c r="Z104" s="29">
        <f t="shared" si="222"/>
        <v>87.5</v>
      </c>
      <c r="AA104" s="29">
        <f t="shared" si="162"/>
        <v>35</v>
      </c>
      <c r="AB104" s="39">
        <f t="shared" si="223"/>
        <v>162.5</v>
      </c>
      <c r="AD104" s="55">
        <v>500</v>
      </c>
      <c r="AE104" s="29">
        <v>35</v>
      </c>
      <c r="AF104" s="29">
        <f t="shared" si="224"/>
        <v>175</v>
      </c>
      <c r="AG104" s="29">
        <f t="shared" si="165"/>
        <v>35</v>
      </c>
      <c r="AH104" s="39">
        <f t="shared" si="225"/>
        <v>325</v>
      </c>
      <c r="AJ104" s="55">
        <v>500</v>
      </c>
      <c r="AK104" s="29">
        <v>35</v>
      </c>
      <c r="AL104" s="29">
        <f t="shared" si="226"/>
        <v>175</v>
      </c>
      <c r="AM104" s="29">
        <f t="shared" si="168"/>
        <v>35</v>
      </c>
      <c r="AN104" s="39">
        <f t="shared" si="227"/>
        <v>325</v>
      </c>
    </row>
    <row r="105" spans="2:40" ht="20.100000000000001" customHeight="1" thickBot="1" x14ac:dyDescent="0.35">
      <c r="H105" s="34"/>
      <c r="I105" s="34"/>
      <c r="J105" s="34"/>
      <c r="L105" s="47"/>
      <c r="P105" s="39"/>
      <c r="R105" s="47"/>
      <c r="V105" s="39"/>
      <c r="X105" s="47"/>
      <c r="AB105" s="39"/>
      <c r="AD105" s="47"/>
      <c r="AH105" s="39"/>
      <c r="AJ105" s="47"/>
      <c r="AN105" s="39"/>
    </row>
    <row r="106" spans="2:40" ht="20.100000000000001" customHeight="1" x14ac:dyDescent="0.3">
      <c r="B106" s="124">
        <v>29</v>
      </c>
      <c r="D106" s="107" t="s">
        <v>156</v>
      </c>
      <c r="E106" s="108"/>
      <c r="F106" s="109"/>
      <c r="G106" s="33"/>
      <c r="H106" s="116" t="s">
        <v>61</v>
      </c>
      <c r="I106" s="116"/>
      <c r="J106" s="116"/>
      <c r="L106" s="53">
        <v>500</v>
      </c>
      <c r="M106" s="29">
        <v>35</v>
      </c>
      <c r="N106" s="29">
        <f t="shared" si="186"/>
        <v>175</v>
      </c>
      <c r="O106" s="29">
        <f t="shared" si="157"/>
        <v>35</v>
      </c>
      <c r="P106" s="39">
        <f t="shared" si="187"/>
        <v>325</v>
      </c>
      <c r="R106" s="53">
        <v>500</v>
      </c>
      <c r="S106" s="29">
        <v>35</v>
      </c>
      <c r="T106" s="29">
        <f t="shared" ref="T106:T107" si="228">R106/100*S106</f>
        <v>175</v>
      </c>
      <c r="U106" s="29">
        <f t="shared" si="159"/>
        <v>35</v>
      </c>
      <c r="V106" s="39">
        <f t="shared" ref="V106:V107" si="229">R106-T106</f>
        <v>325</v>
      </c>
      <c r="X106" s="53">
        <v>500</v>
      </c>
      <c r="Y106" s="29">
        <v>35</v>
      </c>
      <c r="Z106" s="29">
        <f t="shared" ref="Z106:Z107" si="230">X106/100*Y106</f>
        <v>175</v>
      </c>
      <c r="AA106" s="29">
        <f t="shared" si="162"/>
        <v>35</v>
      </c>
      <c r="AB106" s="39">
        <f t="shared" ref="AB106:AB107" si="231">X106-Z106</f>
        <v>325</v>
      </c>
      <c r="AD106" s="53">
        <v>600</v>
      </c>
      <c r="AE106" s="29">
        <v>35</v>
      </c>
      <c r="AF106" s="29">
        <f t="shared" ref="AF106:AF107" si="232">AD106/100*AE106</f>
        <v>210</v>
      </c>
      <c r="AG106" s="29">
        <f t="shared" si="165"/>
        <v>35</v>
      </c>
      <c r="AH106" s="39">
        <f t="shared" ref="AH106:AH107" si="233">AD106-AF106</f>
        <v>390</v>
      </c>
      <c r="AJ106" s="53">
        <v>750</v>
      </c>
      <c r="AK106" s="29">
        <v>35</v>
      </c>
      <c r="AL106" s="29">
        <f t="shared" ref="AL106:AL107" si="234">AJ106/100*AK106</f>
        <v>262.5</v>
      </c>
      <c r="AM106" s="29">
        <f t="shared" si="168"/>
        <v>35</v>
      </c>
      <c r="AN106" s="39">
        <f t="shared" ref="AN106:AN107" si="235">AJ106-AL106</f>
        <v>487.5</v>
      </c>
    </row>
    <row r="107" spans="2:40" ht="20.100000000000001" customHeight="1" thickBot="1" x14ac:dyDescent="0.35">
      <c r="B107" s="126"/>
      <c r="D107" s="110"/>
      <c r="E107" s="111"/>
      <c r="F107" s="112"/>
      <c r="G107" s="33"/>
      <c r="H107" s="116" t="s">
        <v>62</v>
      </c>
      <c r="I107" s="116"/>
      <c r="J107" s="116"/>
      <c r="L107" s="55">
        <v>500</v>
      </c>
      <c r="M107" s="29">
        <v>35</v>
      </c>
      <c r="N107" s="29">
        <f t="shared" si="186"/>
        <v>175</v>
      </c>
      <c r="O107" s="29">
        <f t="shared" si="157"/>
        <v>35</v>
      </c>
      <c r="P107" s="39">
        <f t="shared" si="187"/>
        <v>325</v>
      </c>
      <c r="R107" s="55">
        <v>500</v>
      </c>
      <c r="S107" s="29">
        <v>35</v>
      </c>
      <c r="T107" s="29">
        <f t="shared" si="228"/>
        <v>175</v>
      </c>
      <c r="U107" s="29">
        <f t="shared" si="159"/>
        <v>35</v>
      </c>
      <c r="V107" s="39">
        <f t="shared" si="229"/>
        <v>325</v>
      </c>
      <c r="X107" s="55">
        <v>500</v>
      </c>
      <c r="Y107" s="29">
        <v>35</v>
      </c>
      <c r="Z107" s="29">
        <f t="shared" si="230"/>
        <v>175</v>
      </c>
      <c r="AA107" s="29">
        <f t="shared" si="162"/>
        <v>35</v>
      </c>
      <c r="AB107" s="39">
        <f t="shared" si="231"/>
        <v>325</v>
      </c>
      <c r="AD107" s="55">
        <v>600</v>
      </c>
      <c r="AE107" s="29">
        <v>35</v>
      </c>
      <c r="AF107" s="29">
        <f t="shared" si="232"/>
        <v>210</v>
      </c>
      <c r="AG107" s="29">
        <f t="shared" si="165"/>
        <v>35</v>
      </c>
      <c r="AH107" s="39">
        <f t="shared" si="233"/>
        <v>390</v>
      </c>
      <c r="AJ107" s="55">
        <v>750</v>
      </c>
      <c r="AK107" s="29">
        <v>35</v>
      </c>
      <c r="AL107" s="29">
        <f t="shared" si="234"/>
        <v>262.5</v>
      </c>
      <c r="AM107" s="29">
        <f t="shared" si="168"/>
        <v>35</v>
      </c>
      <c r="AN107" s="39">
        <f t="shared" si="235"/>
        <v>487.5</v>
      </c>
    </row>
    <row r="108" spans="2:40" ht="20.100000000000001" customHeight="1" thickBot="1" x14ac:dyDescent="0.35">
      <c r="H108" s="34"/>
      <c r="I108" s="34"/>
      <c r="J108" s="34"/>
      <c r="L108" s="47"/>
      <c r="P108" s="39"/>
      <c r="R108" s="47"/>
      <c r="V108" s="39"/>
      <c r="X108" s="47"/>
      <c r="AB108" s="39"/>
      <c r="AD108" s="47"/>
      <c r="AH108" s="39"/>
      <c r="AJ108" s="47"/>
      <c r="AN108" s="39"/>
    </row>
    <row r="109" spans="2:40" ht="20.100000000000001" customHeight="1" x14ac:dyDescent="0.3">
      <c r="B109" s="124">
        <v>30</v>
      </c>
      <c r="D109" s="107" t="s">
        <v>159</v>
      </c>
      <c r="E109" s="108"/>
      <c r="F109" s="109"/>
      <c r="G109" s="33"/>
      <c r="H109" s="116" t="s">
        <v>48</v>
      </c>
      <c r="I109" s="116"/>
      <c r="J109" s="116"/>
      <c r="L109" s="53">
        <v>150</v>
      </c>
      <c r="M109" s="29">
        <v>35</v>
      </c>
      <c r="N109" s="29">
        <f t="shared" si="186"/>
        <v>52.5</v>
      </c>
      <c r="O109" s="29">
        <f t="shared" si="157"/>
        <v>35</v>
      </c>
      <c r="P109" s="39">
        <f t="shared" si="187"/>
        <v>97.5</v>
      </c>
      <c r="R109" s="53">
        <v>150</v>
      </c>
      <c r="S109" s="29">
        <v>35</v>
      </c>
      <c r="T109" s="29">
        <f t="shared" ref="T109:T110" si="236">R109/100*S109</f>
        <v>52.5</v>
      </c>
      <c r="U109" s="29">
        <f t="shared" si="159"/>
        <v>35</v>
      </c>
      <c r="V109" s="39">
        <f t="shared" ref="V109:V110" si="237">R109-T109</f>
        <v>97.5</v>
      </c>
      <c r="X109" s="53">
        <v>150</v>
      </c>
      <c r="Y109" s="29">
        <v>35</v>
      </c>
      <c r="Z109" s="29">
        <f t="shared" ref="Z109:Z110" si="238">X109/100*Y109</f>
        <v>52.5</v>
      </c>
      <c r="AA109" s="29">
        <f t="shared" si="162"/>
        <v>35</v>
      </c>
      <c r="AB109" s="39">
        <f t="shared" ref="AB109:AB110" si="239">X109-Z109</f>
        <v>97.5</v>
      </c>
      <c r="AD109" s="53">
        <v>200</v>
      </c>
      <c r="AE109" s="29">
        <v>35</v>
      </c>
      <c r="AF109" s="29">
        <f t="shared" ref="AF109:AF110" si="240">AD109/100*AE109</f>
        <v>70</v>
      </c>
      <c r="AG109" s="29">
        <f t="shared" si="165"/>
        <v>35</v>
      </c>
      <c r="AH109" s="39">
        <f t="shared" ref="AH109:AH110" si="241">AD109-AF109</f>
        <v>130</v>
      </c>
      <c r="AJ109" s="53">
        <v>300</v>
      </c>
      <c r="AK109" s="29">
        <v>35</v>
      </c>
      <c r="AL109" s="29">
        <f t="shared" ref="AL109:AL110" si="242">AJ109/100*AK109</f>
        <v>105</v>
      </c>
      <c r="AM109" s="29">
        <f t="shared" si="168"/>
        <v>35</v>
      </c>
      <c r="AN109" s="39">
        <f t="shared" ref="AN109:AN110" si="243">AJ109-AL109</f>
        <v>195</v>
      </c>
    </row>
    <row r="110" spans="2:40" ht="20.100000000000001" customHeight="1" thickBot="1" x14ac:dyDescent="0.35">
      <c r="B110" s="126"/>
      <c r="D110" s="110"/>
      <c r="E110" s="111"/>
      <c r="F110" s="112"/>
      <c r="G110" s="33"/>
      <c r="H110" s="116" t="s">
        <v>49</v>
      </c>
      <c r="I110" s="116"/>
      <c r="J110" s="116"/>
      <c r="L110" s="55">
        <v>150</v>
      </c>
      <c r="M110" s="29">
        <v>35</v>
      </c>
      <c r="N110" s="29">
        <f t="shared" si="186"/>
        <v>52.5</v>
      </c>
      <c r="O110" s="29">
        <f t="shared" si="157"/>
        <v>35</v>
      </c>
      <c r="P110" s="39">
        <f t="shared" si="187"/>
        <v>97.5</v>
      </c>
      <c r="R110" s="55">
        <v>150</v>
      </c>
      <c r="S110" s="29">
        <v>35</v>
      </c>
      <c r="T110" s="29">
        <f t="shared" si="236"/>
        <v>52.5</v>
      </c>
      <c r="U110" s="29">
        <f t="shared" si="159"/>
        <v>35</v>
      </c>
      <c r="V110" s="39">
        <f t="shared" si="237"/>
        <v>97.5</v>
      </c>
      <c r="X110" s="55">
        <v>150</v>
      </c>
      <c r="Y110" s="29">
        <v>35</v>
      </c>
      <c r="Z110" s="29">
        <f t="shared" si="238"/>
        <v>52.5</v>
      </c>
      <c r="AA110" s="29">
        <f t="shared" si="162"/>
        <v>35</v>
      </c>
      <c r="AB110" s="39">
        <f t="shared" si="239"/>
        <v>97.5</v>
      </c>
      <c r="AD110" s="55">
        <v>200</v>
      </c>
      <c r="AE110" s="29">
        <v>35</v>
      </c>
      <c r="AF110" s="29">
        <f t="shared" si="240"/>
        <v>70</v>
      </c>
      <c r="AG110" s="29">
        <f t="shared" si="165"/>
        <v>35</v>
      </c>
      <c r="AH110" s="39">
        <f t="shared" si="241"/>
        <v>130</v>
      </c>
      <c r="AJ110" s="55">
        <v>300</v>
      </c>
      <c r="AK110" s="29">
        <v>35</v>
      </c>
      <c r="AL110" s="29">
        <f t="shared" si="242"/>
        <v>105</v>
      </c>
      <c r="AM110" s="29">
        <f t="shared" si="168"/>
        <v>35</v>
      </c>
      <c r="AN110" s="39">
        <f t="shared" si="243"/>
        <v>195</v>
      </c>
    </row>
    <row r="111" spans="2:40" ht="20.100000000000001" customHeight="1" thickBot="1" x14ac:dyDescent="0.35">
      <c r="H111" s="34"/>
      <c r="I111" s="34"/>
      <c r="J111" s="34"/>
      <c r="L111" s="47"/>
      <c r="P111" s="39"/>
      <c r="R111" s="47"/>
      <c r="V111" s="39"/>
      <c r="X111" s="47"/>
      <c r="AB111" s="39"/>
      <c r="AD111" s="47"/>
      <c r="AH111" s="39"/>
      <c r="AJ111" s="47"/>
      <c r="AN111" s="39"/>
    </row>
    <row r="112" spans="2:40" ht="20.100000000000001" customHeight="1" x14ac:dyDescent="0.3">
      <c r="B112" s="124">
        <v>31</v>
      </c>
      <c r="D112" s="107" t="s">
        <v>174</v>
      </c>
      <c r="E112" s="108"/>
      <c r="F112" s="109"/>
      <c r="H112" s="116" t="s">
        <v>91</v>
      </c>
      <c r="I112" s="116"/>
      <c r="J112" s="116"/>
      <c r="L112" s="53">
        <v>1000</v>
      </c>
      <c r="M112" s="29">
        <v>35</v>
      </c>
      <c r="N112" s="29">
        <f t="shared" si="186"/>
        <v>350</v>
      </c>
      <c r="O112" s="29">
        <f t="shared" si="157"/>
        <v>35</v>
      </c>
      <c r="P112" s="39">
        <f t="shared" si="187"/>
        <v>650</v>
      </c>
      <c r="R112" s="53">
        <v>1000</v>
      </c>
      <c r="S112" s="29">
        <v>35</v>
      </c>
      <c r="T112" s="29">
        <f t="shared" ref="T112:T113" si="244">R112/100*S112</f>
        <v>350</v>
      </c>
      <c r="U112" s="29">
        <f t="shared" si="159"/>
        <v>35</v>
      </c>
      <c r="V112" s="39">
        <f t="shared" ref="V112:V113" si="245">R112-T112</f>
        <v>650</v>
      </c>
      <c r="X112" s="53">
        <v>1500</v>
      </c>
      <c r="Y112" s="29">
        <v>35</v>
      </c>
      <c r="Z112" s="29">
        <f t="shared" ref="Z112:Z113" si="246">X112/100*Y112</f>
        <v>525</v>
      </c>
      <c r="AA112" s="29">
        <f t="shared" si="162"/>
        <v>35</v>
      </c>
      <c r="AB112" s="39">
        <f t="shared" ref="AB112:AB113" si="247">X112-Z112</f>
        <v>975</v>
      </c>
      <c r="AD112" s="53">
        <v>1500</v>
      </c>
      <c r="AE112" s="29">
        <v>35</v>
      </c>
      <c r="AF112" s="29">
        <f t="shared" ref="AF112:AF113" si="248">AD112/100*AE112</f>
        <v>525</v>
      </c>
      <c r="AG112" s="29">
        <f t="shared" si="165"/>
        <v>35</v>
      </c>
      <c r="AH112" s="39">
        <f t="shared" ref="AH112:AH113" si="249">AD112-AF112</f>
        <v>975</v>
      </c>
      <c r="AJ112" s="53">
        <v>2000</v>
      </c>
      <c r="AK112" s="29">
        <v>35</v>
      </c>
      <c r="AL112" s="29">
        <f t="shared" ref="AL112:AL113" si="250">AJ112/100*AK112</f>
        <v>700</v>
      </c>
      <c r="AM112" s="29">
        <f t="shared" si="168"/>
        <v>35</v>
      </c>
      <c r="AN112" s="39">
        <f t="shared" ref="AN112:AN113" si="251">AJ112-AL112</f>
        <v>1300</v>
      </c>
    </row>
    <row r="113" spans="2:40" ht="20.100000000000001" customHeight="1" thickBot="1" x14ac:dyDescent="0.35">
      <c r="B113" s="126"/>
      <c r="D113" s="110"/>
      <c r="E113" s="111"/>
      <c r="F113" s="112"/>
      <c r="H113" s="116" t="s">
        <v>92</v>
      </c>
      <c r="I113" s="116"/>
      <c r="J113" s="116"/>
      <c r="L113" s="55">
        <v>1000</v>
      </c>
      <c r="M113" s="29">
        <v>35</v>
      </c>
      <c r="N113" s="29">
        <f t="shared" si="186"/>
        <v>350</v>
      </c>
      <c r="O113" s="29">
        <f t="shared" si="157"/>
        <v>35</v>
      </c>
      <c r="P113" s="39">
        <f t="shared" si="187"/>
        <v>650</v>
      </c>
      <c r="R113" s="55">
        <v>1000</v>
      </c>
      <c r="S113" s="29">
        <v>35</v>
      </c>
      <c r="T113" s="29">
        <f t="shared" si="244"/>
        <v>350</v>
      </c>
      <c r="U113" s="29">
        <f t="shared" si="159"/>
        <v>35</v>
      </c>
      <c r="V113" s="39">
        <f t="shared" si="245"/>
        <v>650</v>
      </c>
      <c r="X113" s="55">
        <v>1500</v>
      </c>
      <c r="Y113" s="29">
        <v>35</v>
      </c>
      <c r="Z113" s="29">
        <f t="shared" si="246"/>
        <v>525</v>
      </c>
      <c r="AA113" s="29">
        <f t="shared" si="162"/>
        <v>35</v>
      </c>
      <c r="AB113" s="39">
        <f t="shared" si="247"/>
        <v>975</v>
      </c>
      <c r="AD113" s="55">
        <v>1500</v>
      </c>
      <c r="AE113" s="29">
        <v>35</v>
      </c>
      <c r="AF113" s="29">
        <f t="shared" si="248"/>
        <v>525</v>
      </c>
      <c r="AG113" s="29">
        <f t="shared" si="165"/>
        <v>35</v>
      </c>
      <c r="AH113" s="39">
        <f t="shared" si="249"/>
        <v>975</v>
      </c>
      <c r="AJ113" s="55">
        <v>2000</v>
      </c>
      <c r="AK113" s="29">
        <v>35</v>
      </c>
      <c r="AL113" s="29">
        <f t="shared" si="250"/>
        <v>700</v>
      </c>
      <c r="AM113" s="29">
        <f t="shared" si="168"/>
        <v>35</v>
      </c>
      <c r="AN113" s="39">
        <f t="shared" si="251"/>
        <v>1300</v>
      </c>
    </row>
    <row r="114" spans="2:40" ht="20.100000000000001" customHeight="1" thickBot="1" x14ac:dyDescent="0.35">
      <c r="H114" s="35"/>
      <c r="I114" s="34"/>
      <c r="J114" s="34"/>
      <c r="L114" s="47"/>
      <c r="P114" s="39"/>
      <c r="R114" s="47"/>
      <c r="V114" s="39"/>
      <c r="X114" s="47"/>
      <c r="AB114" s="39"/>
      <c r="AD114" s="47"/>
      <c r="AH114" s="39"/>
      <c r="AJ114" s="47"/>
      <c r="AN114" s="39"/>
    </row>
    <row r="115" spans="2:40" ht="20.100000000000001" customHeight="1" x14ac:dyDescent="0.3">
      <c r="B115" s="124">
        <v>32</v>
      </c>
      <c r="D115" s="107" t="s">
        <v>175</v>
      </c>
      <c r="E115" s="108"/>
      <c r="F115" s="109"/>
      <c r="H115" s="116" t="s">
        <v>113</v>
      </c>
      <c r="I115" s="116"/>
      <c r="J115" s="116"/>
      <c r="L115" s="53">
        <v>250</v>
      </c>
      <c r="M115" s="29">
        <v>35</v>
      </c>
      <c r="N115" s="29">
        <f t="shared" si="186"/>
        <v>87.5</v>
      </c>
      <c r="O115" s="29">
        <f t="shared" si="157"/>
        <v>35</v>
      </c>
      <c r="P115" s="39">
        <f t="shared" si="187"/>
        <v>162.5</v>
      </c>
      <c r="R115" s="53">
        <v>250</v>
      </c>
      <c r="S115" s="29">
        <v>35</v>
      </c>
      <c r="T115" s="29">
        <f t="shared" ref="T115:T116" si="252">R115/100*S115</f>
        <v>87.5</v>
      </c>
      <c r="U115" s="29">
        <f t="shared" si="159"/>
        <v>35</v>
      </c>
      <c r="V115" s="39">
        <f t="shared" ref="V115:V116" si="253">R115-T115</f>
        <v>162.5</v>
      </c>
      <c r="X115" s="53">
        <v>450</v>
      </c>
      <c r="Y115" s="29">
        <v>35</v>
      </c>
      <c r="Z115" s="29">
        <f t="shared" ref="Z115:Z116" si="254">X115/100*Y115</f>
        <v>157.5</v>
      </c>
      <c r="AA115" s="29">
        <f t="shared" si="162"/>
        <v>35</v>
      </c>
      <c r="AB115" s="39">
        <f t="shared" ref="AB115:AB116" si="255">X115-Z115</f>
        <v>292.5</v>
      </c>
      <c r="AD115" s="53">
        <v>750</v>
      </c>
      <c r="AE115" s="29">
        <v>35</v>
      </c>
      <c r="AF115" s="29">
        <f t="shared" ref="AF115:AF116" si="256">AD115/100*AE115</f>
        <v>262.5</v>
      </c>
      <c r="AG115" s="29">
        <f t="shared" si="165"/>
        <v>35</v>
      </c>
      <c r="AH115" s="39">
        <f t="shared" ref="AH115:AH116" si="257">AD115-AF115</f>
        <v>487.5</v>
      </c>
      <c r="AJ115" s="53">
        <v>750</v>
      </c>
      <c r="AK115" s="29">
        <v>35</v>
      </c>
      <c r="AL115" s="29">
        <f t="shared" ref="AL115:AL116" si="258">AJ115/100*AK115</f>
        <v>262.5</v>
      </c>
      <c r="AM115" s="29">
        <f t="shared" si="168"/>
        <v>35</v>
      </c>
      <c r="AN115" s="39">
        <f t="shared" ref="AN115:AN116" si="259">AJ115-AL115</f>
        <v>487.5</v>
      </c>
    </row>
    <row r="116" spans="2:40" ht="20.100000000000001" customHeight="1" thickBot="1" x14ac:dyDescent="0.35">
      <c r="B116" s="126"/>
      <c r="D116" s="110"/>
      <c r="E116" s="111"/>
      <c r="F116" s="112"/>
      <c r="H116" s="116" t="s">
        <v>114</v>
      </c>
      <c r="I116" s="116"/>
      <c r="J116" s="116"/>
      <c r="L116" s="55">
        <v>250</v>
      </c>
      <c r="M116" s="29">
        <v>35</v>
      </c>
      <c r="N116" s="29">
        <f t="shared" si="186"/>
        <v>87.5</v>
      </c>
      <c r="O116" s="29">
        <f t="shared" si="157"/>
        <v>35</v>
      </c>
      <c r="P116" s="39">
        <f t="shared" si="187"/>
        <v>162.5</v>
      </c>
      <c r="R116" s="55">
        <v>250</v>
      </c>
      <c r="S116" s="29">
        <v>35</v>
      </c>
      <c r="T116" s="29">
        <f t="shared" si="252"/>
        <v>87.5</v>
      </c>
      <c r="U116" s="29">
        <f t="shared" si="159"/>
        <v>35</v>
      </c>
      <c r="V116" s="39">
        <f t="shared" si="253"/>
        <v>162.5</v>
      </c>
      <c r="X116" s="55">
        <v>450</v>
      </c>
      <c r="Y116" s="29">
        <v>35</v>
      </c>
      <c r="Z116" s="29">
        <f t="shared" si="254"/>
        <v>157.5</v>
      </c>
      <c r="AA116" s="29">
        <f t="shared" si="162"/>
        <v>35</v>
      </c>
      <c r="AB116" s="39">
        <f t="shared" si="255"/>
        <v>292.5</v>
      </c>
      <c r="AD116" s="55">
        <v>750</v>
      </c>
      <c r="AE116" s="29">
        <v>35</v>
      </c>
      <c r="AF116" s="29">
        <f t="shared" si="256"/>
        <v>262.5</v>
      </c>
      <c r="AG116" s="29">
        <f t="shared" si="165"/>
        <v>35</v>
      </c>
      <c r="AH116" s="39">
        <f t="shared" si="257"/>
        <v>487.5</v>
      </c>
      <c r="AJ116" s="55">
        <v>750</v>
      </c>
      <c r="AK116" s="29">
        <v>35</v>
      </c>
      <c r="AL116" s="29">
        <f t="shared" si="258"/>
        <v>262.5</v>
      </c>
      <c r="AM116" s="29">
        <f t="shared" si="168"/>
        <v>35</v>
      </c>
      <c r="AN116" s="39">
        <f t="shared" si="259"/>
        <v>487.5</v>
      </c>
    </row>
    <row r="117" spans="2:40" ht="20.100000000000001" customHeight="1" thickBot="1" x14ac:dyDescent="0.35">
      <c r="H117" s="34"/>
      <c r="I117" s="34"/>
      <c r="J117" s="34"/>
      <c r="L117" s="47"/>
      <c r="P117" s="39"/>
      <c r="R117" s="47"/>
      <c r="V117" s="39"/>
      <c r="X117" s="47"/>
      <c r="AB117" s="39"/>
      <c r="AD117" s="47"/>
      <c r="AH117" s="39"/>
      <c r="AJ117" s="47"/>
      <c r="AN117" s="39"/>
    </row>
    <row r="118" spans="2:40" ht="20.100000000000001" customHeight="1" x14ac:dyDescent="0.3">
      <c r="B118" s="124">
        <v>33</v>
      </c>
      <c r="D118" s="107" t="s">
        <v>150</v>
      </c>
      <c r="E118" s="108"/>
      <c r="F118" s="109"/>
      <c r="G118" s="31"/>
      <c r="H118" s="116" t="s">
        <v>28</v>
      </c>
      <c r="I118" s="116"/>
      <c r="J118" s="116"/>
      <c r="L118" s="53">
        <v>500</v>
      </c>
      <c r="M118" s="29">
        <v>35</v>
      </c>
      <c r="N118" s="29">
        <f t="shared" si="186"/>
        <v>175</v>
      </c>
      <c r="O118" s="29">
        <f t="shared" si="157"/>
        <v>35</v>
      </c>
      <c r="P118" s="39">
        <f t="shared" si="187"/>
        <v>325</v>
      </c>
      <c r="R118" s="53">
        <v>500</v>
      </c>
      <c r="S118" s="29">
        <v>35</v>
      </c>
      <c r="T118" s="29">
        <f t="shared" ref="T118:T121" si="260">R118/100*S118</f>
        <v>175</v>
      </c>
      <c r="U118" s="29">
        <f t="shared" si="159"/>
        <v>35</v>
      </c>
      <c r="V118" s="39">
        <f t="shared" ref="V118:V121" si="261">R118-T118</f>
        <v>325</v>
      </c>
      <c r="X118" s="53">
        <v>500</v>
      </c>
      <c r="Y118" s="29">
        <v>35</v>
      </c>
      <c r="Z118" s="29">
        <f t="shared" ref="Z118:Z121" si="262">X118/100*Y118</f>
        <v>175</v>
      </c>
      <c r="AA118" s="29">
        <f t="shared" si="162"/>
        <v>35</v>
      </c>
      <c r="AB118" s="39">
        <f t="shared" ref="AB118:AB121" si="263">X118-Z118</f>
        <v>325</v>
      </c>
      <c r="AD118" s="53">
        <v>750</v>
      </c>
      <c r="AE118" s="29">
        <v>35</v>
      </c>
      <c r="AF118" s="29">
        <f t="shared" ref="AF118:AF121" si="264">AD118/100*AE118</f>
        <v>262.5</v>
      </c>
      <c r="AG118" s="29">
        <f t="shared" si="165"/>
        <v>35</v>
      </c>
      <c r="AH118" s="39">
        <f t="shared" ref="AH118:AH121" si="265">AD118-AF118</f>
        <v>487.5</v>
      </c>
      <c r="AJ118" s="53">
        <v>1000</v>
      </c>
      <c r="AK118" s="29">
        <v>35</v>
      </c>
      <c r="AL118" s="29">
        <f t="shared" ref="AL118:AL121" si="266">AJ118/100*AK118</f>
        <v>350</v>
      </c>
      <c r="AM118" s="29">
        <f t="shared" si="168"/>
        <v>35</v>
      </c>
      <c r="AN118" s="39">
        <f t="shared" ref="AN118:AN121" si="267">AJ118-AL118</f>
        <v>650</v>
      </c>
    </row>
    <row r="119" spans="2:40" ht="20.100000000000001" customHeight="1" x14ac:dyDescent="0.3">
      <c r="B119" s="125"/>
      <c r="D119" s="120"/>
      <c r="E119" s="121"/>
      <c r="F119" s="122"/>
      <c r="G119" s="31"/>
      <c r="H119" s="116" t="s">
        <v>29</v>
      </c>
      <c r="I119" s="116"/>
      <c r="J119" s="116"/>
      <c r="L119" s="54">
        <v>500</v>
      </c>
      <c r="M119" s="29">
        <v>35</v>
      </c>
      <c r="N119" s="29">
        <f t="shared" si="186"/>
        <v>175</v>
      </c>
      <c r="O119" s="29">
        <f t="shared" si="157"/>
        <v>35</v>
      </c>
      <c r="P119" s="39">
        <f t="shared" si="187"/>
        <v>325</v>
      </c>
      <c r="R119" s="54">
        <v>500</v>
      </c>
      <c r="S119" s="29">
        <v>35</v>
      </c>
      <c r="T119" s="29">
        <f t="shared" si="260"/>
        <v>175</v>
      </c>
      <c r="U119" s="29">
        <f t="shared" si="159"/>
        <v>35</v>
      </c>
      <c r="V119" s="39">
        <f t="shared" si="261"/>
        <v>325</v>
      </c>
      <c r="X119" s="54">
        <v>500</v>
      </c>
      <c r="Y119" s="29">
        <v>35</v>
      </c>
      <c r="Z119" s="29">
        <f t="shared" si="262"/>
        <v>175</v>
      </c>
      <c r="AA119" s="29">
        <f t="shared" si="162"/>
        <v>35</v>
      </c>
      <c r="AB119" s="39">
        <f t="shared" si="263"/>
        <v>325</v>
      </c>
      <c r="AD119" s="54">
        <v>500</v>
      </c>
      <c r="AE119" s="29">
        <v>35</v>
      </c>
      <c r="AF119" s="29">
        <f t="shared" si="264"/>
        <v>175</v>
      </c>
      <c r="AG119" s="29">
        <f t="shared" si="165"/>
        <v>35</v>
      </c>
      <c r="AH119" s="39">
        <f t="shared" si="265"/>
        <v>325</v>
      </c>
      <c r="AJ119" s="54">
        <v>750</v>
      </c>
      <c r="AK119" s="29">
        <v>35</v>
      </c>
      <c r="AL119" s="29">
        <f t="shared" si="266"/>
        <v>262.5</v>
      </c>
      <c r="AM119" s="29">
        <f t="shared" si="168"/>
        <v>35</v>
      </c>
      <c r="AN119" s="39">
        <f t="shared" si="267"/>
        <v>487.5</v>
      </c>
    </row>
    <row r="120" spans="2:40" ht="20.100000000000001" customHeight="1" x14ac:dyDescent="0.3">
      <c r="B120" s="125"/>
      <c r="D120" s="120"/>
      <c r="E120" s="121"/>
      <c r="F120" s="122"/>
      <c r="G120" s="31"/>
      <c r="H120" s="116" t="s">
        <v>30</v>
      </c>
      <c r="I120" s="116"/>
      <c r="J120" s="116"/>
      <c r="L120" s="54">
        <v>500</v>
      </c>
      <c r="M120" s="29">
        <v>35</v>
      </c>
      <c r="N120" s="29">
        <f t="shared" si="186"/>
        <v>175</v>
      </c>
      <c r="O120" s="29">
        <f t="shared" si="157"/>
        <v>35</v>
      </c>
      <c r="P120" s="39">
        <f t="shared" si="187"/>
        <v>325</v>
      </c>
      <c r="R120" s="54">
        <v>500</v>
      </c>
      <c r="S120" s="29">
        <v>35</v>
      </c>
      <c r="T120" s="29">
        <f t="shared" si="260"/>
        <v>175</v>
      </c>
      <c r="U120" s="29">
        <f t="shared" si="159"/>
        <v>35</v>
      </c>
      <c r="V120" s="39">
        <f t="shared" si="261"/>
        <v>325</v>
      </c>
      <c r="X120" s="54">
        <v>500</v>
      </c>
      <c r="Y120" s="29">
        <v>35</v>
      </c>
      <c r="Z120" s="29">
        <f t="shared" si="262"/>
        <v>175</v>
      </c>
      <c r="AA120" s="29">
        <f t="shared" si="162"/>
        <v>35</v>
      </c>
      <c r="AB120" s="39">
        <f t="shared" si="263"/>
        <v>325</v>
      </c>
      <c r="AD120" s="54">
        <v>500</v>
      </c>
      <c r="AE120" s="29">
        <v>35</v>
      </c>
      <c r="AF120" s="29">
        <f t="shared" si="264"/>
        <v>175</v>
      </c>
      <c r="AG120" s="29">
        <f t="shared" si="165"/>
        <v>35</v>
      </c>
      <c r="AH120" s="39">
        <f t="shared" si="265"/>
        <v>325</v>
      </c>
      <c r="AJ120" s="54">
        <v>750</v>
      </c>
      <c r="AK120" s="29">
        <v>35</v>
      </c>
      <c r="AL120" s="29">
        <f t="shared" si="266"/>
        <v>262.5</v>
      </c>
      <c r="AM120" s="29">
        <f t="shared" si="168"/>
        <v>35</v>
      </c>
      <c r="AN120" s="39">
        <f t="shared" si="267"/>
        <v>487.5</v>
      </c>
    </row>
    <row r="121" spans="2:40" ht="20.100000000000001" customHeight="1" thickBot="1" x14ac:dyDescent="0.35">
      <c r="B121" s="126"/>
      <c r="D121" s="110"/>
      <c r="E121" s="111"/>
      <c r="F121" s="112"/>
      <c r="G121" s="31"/>
      <c r="H121" s="116" t="s">
        <v>31</v>
      </c>
      <c r="I121" s="116"/>
      <c r="J121" s="116"/>
      <c r="L121" s="55">
        <v>500</v>
      </c>
      <c r="M121" s="29">
        <v>35</v>
      </c>
      <c r="N121" s="29">
        <f t="shared" si="186"/>
        <v>175</v>
      </c>
      <c r="O121" s="29">
        <f t="shared" si="157"/>
        <v>35</v>
      </c>
      <c r="P121" s="39">
        <f t="shared" si="187"/>
        <v>325</v>
      </c>
      <c r="R121" s="55">
        <v>500</v>
      </c>
      <c r="S121" s="29">
        <v>35</v>
      </c>
      <c r="T121" s="29">
        <f t="shared" si="260"/>
        <v>175</v>
      </c>
      <c r="U121" s="29">
        <f t="shared" si="159"/>
        <v>35</v>
      </c>
      <c r="V121" s="39">
        <f t="shared" si="261"/>
        <v>325</v>
      </c>
      <c r="X121" s="55">
        <v>500</v>
      </c>
      <c r="Y121" s="29">
        <v>35</v>
      </c>
      <c r="Z121" s="29">
        <f t="shared" si="262"/>
        <v>175</v>
      </c>
      <c r="AA121" s="29">
        <f t="shared" si="162"/>
        <v>35</v>
      </c>
      <c r="AB121" s="39">
        <f t="shared" si="263"/>
        <v>325</v>
      </c>
      <c r="AD121" s="55">
        <v>750</v>
      </c>
      <c r="AE121" s="29">
        <v>35</v>
      </c>
      <c r="AF121" s="29">
        <f t="shared" si="264"/>
        <v>262.5</v>
      </c>
      <c r="AG121" s="29">
        <f t="shared" si="165"/>
        <v>35</v>
      </c>
      <c r="AH121" s="39">
        <f t="shared" si="265"/>
        <v>487.5</v>
      </c>
      <c r="AJ121" s="55">
        <v>1000</v>
      </c>
      <c r="AK121" s="29">
        <v>35</v>
      </c>
      <c r="AL121" s="29">
        <f t="shared" si="266"/>
        <v>350</v>
      </c>
      <c r="AM121" s="29">
        <f t="shared" si="168"/>
        <v>35</v>
      </c>
      <c r="AN121" s="39">
        <f t="shared" si="267"/>
        <v>650</v>
      </c>
    </row>
    <row r="122" spans="2:40" ht="20.100000000000001" customHeight="1" thickBot="1" x14ac:dyDescent="0.35">
      <c r="H122" s="34"/>
      <c r="I122" s="34"/>
      <c r="J122" s="34"/>
      <c r="L122" s="47"/>
      <c r="P122" s="39"/>
      <c r="R122" s="47"/>
      <c r="V122" s="39"/>
      <c r="X122" s="47"/>
      <c r="AB122" s="39"/>
      <c r="AD122" s="47"/>
      <c r="AH122" s="39"/>
      <c r="AJ122" s="47"/>
      <c r="AN122" s="39"/>
    </row>
    <row r="123" spans="2:40" ht="20.100000000000001" customHeight="1" x14ac:dyDescent="0.3">
      <c r="B123" s="124">
        <v>34</v>
      </c>
      <c r="D123" s="107" t="s">
        <v>176</v>
      </c>
      <c r="E123" s="108"/>
      <c r="F123" s="109"/>
      <c r="H123" s="116" t="s">
        <v>94</v>
      </c>
      <c r="I123" s="116"/>
      <c r="J123" s="116"/>
      <c r="L123" s="53">
        <v>1500</v>
      </c>
      <c r="M123" s="29">
        <v>35</v>
      </c>
      <c r="N123" s="29">
        <f t="shared" si="186"/>
        <v>525</v>
      </c>
      <c r="O123" s="29">
        <f t="shared" si="157"/>
        <v>35</v>
      </c>
      <c r="P123" s="39">
        <f t="shared" si="187"/>
        <v>975</v>
      </c>
      <c r="R123" s="53">
        <v>2000</v>
      </c>
      <c r="S123" s="29">
        <v>35</v>
      </c>
      <c r="T123" s="29">
        <f t="shared" ref="T123:T126" si="268">R123/100*S123</f>
        <v>700</v>
      </c>
      <c r="U123" s="29">
        <f t="shared" si="159"/>
        <v>35</v>
      </c>
      <c r="V123" s="39">
        <f t="shared" ref="V123:V126" si="269">R123-T123</f>
        <v>1300</v>
      </c>
      <c r="X123" s="53">
        <v>2500</v>
      </c>
      <c r="Y123" s="29">
        <v>35</v>
      </c>
      <c r="Z123" s="29">
        <f t="shared" ref="Z123:Z126" si="270">X123/100*Y123</f>
        <v>875</v>
      </c>
      <c r="AA123" s="29">
        <f t="shared" si="162"/>
        <v>35</v>
      </c>
      <c r="AB123" s="39">
        <f t="shared" ref="AB123:AB126" si="271">X123-Z123</f>
        <v>1625</v>
      </c>
      <c r="AD123" s="53">
        <v>3000</v>
      </c>
      <c r="AE123" s="29">
        <v>35</v>
      </c>
      <c r="AF123" s="29">
        <f t="shared" ref="AF123:AF126" si="272">AD123/100*AE123</f>
        <v>1050</v>
      </c>
      <c r="AG123" s="29">
        <f t="shared" si="165"/>
        <v>35</v>
      </c>
      <c r="AH123" s="39">
        <f t="shared" ref="AH123:AH126" si="273">AD123-AF123</f>
        <v>1950</v>
      </c>
      <c r="AJ123" s="53">
        <v>4000</v>
      </c>
      <c r="AK123" s="29">
        <v>35</v>
      </c>
      <c r="AL123" s="29">
        <f t="shared" ref="AL123:AL126" si="274">AJ123/100*AK123</f>
        <v>1400</v>
      </c>
      <c r="AM123" s="29">
        <f t="shared" si="168"/>
        <v>35</v>
      </c>
      <c r="AN123" s="39">
        <f t="shared" ref="AN123:AN126" si="275">AJ123-AL123</f>
        <v>2600</v>
      </c>
    </row>
    <row r="124" spans="2:40" ht="20.100000000000001" customHeight="1" x14ac:dyDescent="0.3">
      <c r="B124" s="125"/>
      <c r="D124" s="120"/>
      <c r="E124" s="121"/>
      <c r="F124" s="122"/>
      <c r="H124" s="116" t="s">
        <v>95</v>
      </c>
      <c r="I124" s="116"/>
      <c r="J124" s="116"/>
      <c r="L124" s="54">
        <v>500</v>
      </c>
      <c r="M124" s="29">
        <v>35</v>
      </c>
      <c r="N124" s="29">
        <f t="shared" si="186"/>
        <v>175</v>
      </c>
      <c r="O124" s="29">
        <f t="shared" si="157"/>
        <v>35</v>
      </c>
      <c r="P124" s="39">
        <f t="shared" si="187"/>
        <v>325</v>
      </c>
      <c r="R124" s="54">
        <v>500</v>
      </c>
      <c r="S124" s="29">
        <v>35</v>
      </c>
      <c r="T124" s="29">
        <f t="shared" si="268"/>
        <v>175</v>
      </c>
      <c r="U124" s="29">
        <f t="shared" si="159"/>
        <v>35</v>
      </c>
      <c r="V124" s="39">
        <f t="shared" si="269"/>
        <v>325</v>
      </c>
      <c r="X124" s="54">
        <v>1000</v>
      </c>
      <c r="Y124" s="29">
        <v>35</v>
      </c>
      <c r="Z124" s="29">
        <f t="shared" si="270"/>
        <v>350</v>
      </c>
      <c r="AA124" s="29">
        <f t="shared" si="162"/>
        <v>35</v>
      </c>
      <c r="AB124" s="39">
        <f t="shared" si="271"/>
        <v>650</v>
      </c>
      <c r="AD124" s="54">
        <v>1000</v>
      </c>
      <c r="AE124" s="29">
        <v>35</v>
      </c>
      <c r="AF124" s="29">
        <f t="shared" si="272"/>
        <v>350</v>
      </c>
      <c r="AG124" s="29">
        <f t="shared" si="165"/>
        <v>35</v>
      </c>
      <c r="AH124" s="39">
        <f t="shared" si="273"/>
        <v>650</v>
      </c>
      <c r="AJ124" s="54">
        <v>1500</v>
      </c>
      <c r="AK124" s="29">
        <v>35</v>
      </c>
      <c r="AL124" s="29">
        <f t="shared" si="274"/>
        <v>525</v>
      </c>
      <c r="AM124" s="29">
        <f t="shared" si="168"/>
        <v>35</v>
      </c>
      <c r="AN124" s="39">
        <f t="shared" si="275"/>
        <v>975</v>
      </c>
    </row>
    <row r="125" spans="2:40" ht="20.100000000000001" customHeight="1" x14ac:dyDescent="0.3">
      <c r="B125" s="125"/>
      <c r="D125" s="120"/>
      <c r="E125" s="121"/>
      <c r="F125" s="122"/>
      <c r="H125" s="116" t="s">
        <v>96</v>
      </c>
      <c r="I125" s="116"/>
      <c r="J125" s="116"/>
      <c r="L125" s="54">
        <v>500</v>
      </c>
      <c r="M125" s="29">
        <v>35</v>
      </c>
      <c r="N125" s="29">
        <f t="shared" si="186"/>
        <v>175</v>
      </c>
      <c r="O125" s="29">
        <f t="shared" si="157"/>
        <v>35</v>
      </c>
      <c r="P125" s="39">
        <f t="shared" si="187"/>
        <v>325</v>
      </c>
      <c r="R125" s="54">
        <v>500</v>
      </c>
      <c r="S125" s="29">
        <v>35</v>
      </c>
      <c r="T125" s="29">
        <f t="shared" si="268"/>
        <v>175</v>
      </c>
      <c r="U125" s="29">
        <f t="shared" si="159"/>
        <v>35</v>
      </c>
      <c r="V125" s="39">
        <f t="shared" si="269"/>
        <v>325</v>
      </c>
      <c r="X125" s="54">
        <v>1000</v>
      </c>
      <c r="Y125" s="29">
        <v>35</v>
      </c>
      <c r="Z125" s="29">
        <f t="shared" si="270"/>
        <v>350</v>
      </c>
      <c r="AA125" s="29">
        <f t="shared" si="162"/>
        <v>35</v>
      </c>
      <c r="AB125" s="39">
        <f t="shared" si="271"/>
        <v>650</v>
      </c>
      <c r="AD125" s="54">
        <v>1000</v>
      </c>
      <c r="AE125" s="29">
        <v>35</v>
      </c>
      <c r="AF125" s="29">
        <f t="shared" si="272"/>
        <v>350</v>
      </c>
      <c r="AG125" s="29">
        <f t="shared" si="165"/>
        <v>35</v>
      </c>
      <c r="AH125" s="39">
        <f t="shared" si="273"/>
        <v>650</v>
      </c>
      <c r="AJ125" s="54">
        <v>1500</v>
      </c>
      <c r="AK125" s="29">
        <v>35</v>
      </c>
      <c r="AL125" s="29">
        <f t="shared" si="274"/>
        <v>525</v>
      </c>
      <c r="AM125" s="29">
        <f t="shared" si="168"/>
        <v>35</v>
      </c>
      <c r="AN125" s="39">
        <f t="shared" si="275"/>
        <v>975</v>
      </c>
    </row>
    <row r="126" spans="2:40" ht="20.100000000000001" customHeight="1" thickBot="1" x14ac:dyDescent="0.35">
      <c r="B126" s="126"/>
      <c r="D126" s="110"/>
      <c r="E126" s="111"/>
      <c r="F126" s="112"/>
      <c r="H126" s="116" t="s">
        <v>97</v>
      </c>
      <c r="I126" s="116"/>
      <c r="J126" s="116"/>
      <c r="L126" s="55">
        <v>1500</v>
      </c>
      <c r="M126" s="29">
        <v>35</v>
      </c>
      <c r="N126" s="29">
        <f t="shared" si="186"/>
        <v>525</v>
      </c>
      <c r="O126" s="29">
        <f t="shared" si="157"/>
        <v>35</v>
      </c>
      <c r="P126" s="39">
        <f t="shared" si="187"/>
        <v>975</v>
      </c>
      <c r="R126" s="55">
        <v>2000</v>
      </c>
      <c r="S126" s="29">
        <v>35</v>
      </c>
      <c r="T126" s="29">
        <f t="shared" si="268"/>
        <v>700</v>
      </c>
      <c r="U126" s="29">
        <f t="shared" si="159"/>
        <v>35</v>
      </c>
      <c r="V126" s="39">
        <f t="shared" si="269"/>
        <v>1300</v>
      </c>
      <c r="X126" s="55">
        <v>2500</v>
      </c>
      <c r="Y126" s="29">
        <v>35</v>
      </c>
      <c r="Z126" s="29">
        <f t="shared" si="270"/>
        <v>875</v>
      </c>
      <c r="AA126" s="29">
        <f t="shared" si="162"/>
        <v>35</v>
      </c>
      <c r="AB126" s="39">
        <f t="shared" si="271"/>
        <v>1625</v>
      </c>
      <c r="AD126" s="55">
        <v>3000</v>
      </c>
      <c r="AE126" s="29">
        <v>35</v>
      </c>
      <c r="AF126" s="29">
        <f t="shared" si="272"/>
        <v>1050</v>
      </c>
      <c r="AG126" s="29">
        <f t="shared" si="165"/>
        <v>35</v>
      </c>
      <c r="AH126" s="39">
        <f t="shared" si="273"/>
        <v>1950</v>
      </c>
      <c r="AJ126" s="55">
        <v>4000</v>
      </c>
      <c r="AK126" s="29">
        <v>35</v>
      </c>
      <c r="AL126" s="29">
        <f t="shared" si="274"/>
        <v>1400</v>
      </c>
      <c r="AM126" s="29">
        <f t="shared" si="168"/>
        <v>35</v>
      </c>
      <c r="AN126" s="39">
        <f t="shared" si="275"/>
        <v>2600</v>
      </c>
    </row>
    <row r="127" spans="2:40" ht="20.100000000000001" customHeight="1" thickBot="1" x14ac:dyDescent="0.35">
      <c r="H127" s="34"/>
      <c r="I127" s="34"/>
      <c r="J127" s="34"/>
      <c r="L127" s="47"/>
      <c r="P127" s="39"/>
      <c r="R127" s="47"/>
      <c r="V127" s="39"/>
      <c r="X127" s="47"/>
      <c r="AB127" s="39"/>
      <c r="AD127" s="47"/>
      <c r="AH127" s="39"/>
      <c r="AJ127" s="47"/>
      <c r="AN127" s="39"/>
    </row>
    <row r="128" spans="2:40" ht="20.100000000000001" customHeight="1" x14ac:dyDescent="0.3">
      <c r="B128" s="124">
        <v>35</v>
      </c>
      <c r="D128" s="123" t="s">
        <v>185</v>
      </c>
      <c r="E128" s="108"/>
      <c r="F128" s="109"/>
      <c r="H128" s="116" t="s">
        <v>36</v>
      </c>
      <c r="I128" s="116"/>
      <c r="J128" s="116"/>
      <c r="L128" s="53">
        <v>500</v>
      </c>
      <c r="M128" s="29">
        <v>35</v>
      </c>
      <c r="N128" s="29">
        <f t="shared" si="186"/>
        <v>175</v>
      </c>
      <c r="O128" s="29">
        <f t="shared" si="157"/>
        <v>35</v>
      </c>
      <c r="P128" s="39">
        <f t="shared" si="187"/>
        <v>325</v>
      </c>
      <c r="R128" s="53">
        <v>500</v>
      </c>
      <c r="S128" s="29">
        <v>35</v>
      </c>
      <c r="T128" s="29">
        <f t="shared" ref="T128:T129" si="276">R128/100*S128</f>
        <v>175</v>
      </c>
      <c r="U128" s="29">
        <f t="shared" si="159"/>
        <v>35</v>
      </c>
      <c r="V128" s="39">
        <f t="shared" ref="V128:V129" si="277">R128-T128</f>
        <v>325</v>
      </c>
      <c r="X128" s="53">
        <v>500</v>
      </c>
      <c r="Y128" s="29">
        <v>35</v>
      </c>
      <c r="Z128" s="29">
        <f t="shared" ref="Z128:Z129" si="278">X128/100*Y128</f>
        <v>175</v>
      </c>
      <c r="AA128" s="29">
        <f t="shared" si="162"/>
        <v>35</v>
      </c>
      <c r="AB128" s="39">
        <f t="shared" ref="AB128:AB129" si="279">X128-Z128</f>
        <v>325</v>
      </c>
      <c r="AD128" s="53">
        <v>750</v>
      </c>
      <c r="AE128" s="29">
        <v>35</v>
      </c>
      <c r="AF128" s="29">
        <f t="shared" ref="AF128:AF129" si="280">AD128/100*AE128</f>
        <v>262.5</v>
      </c>
      <c r="AG128" s="29">
        <f t="shared" si="165"/>
        <v>35</v>
      </c>
      <c r="AH128" s="39">
        <f t="shared" ref="AH128:AH129" si="281">AD128-AF128</f>
        <v>487.5</v>
      </c>
      <c r="AJ128" s="53">
        <v>1000</v>
      </c>
      <c r="AK128" s="29">
        <v>35</v>
      </c>
      <c r="AL128" s="29">
        <f t="shared" ref="AL128:AL129" si="282">AJ128/100*AK128</f>
        <v>350</v>
      </c>
      <c r="AM128" s="29">
        <f t="shared" si="168"/>
        <v>35</v>
      </c>
      <c r="AN128" s="39">
        <f t="shared" ref="AN128:AN129" si="283">AJ128-AL128</f>
        <v>650</v>
      </c>
    </row>
    <row r="129" spans="2:40" ht="20.100000000000001" customHeight="1" thickBot="1" x14ac:dyDescent="0.35">
      <c r="B129" s="126"/>
      <c r="D129" s="110"/>
      <c r="E129" s="111"/>
      <c r="F129" s="112"/>
      <c r="H129" s="116" t="s">
        <v>37</v>
      </c>
      <c r="I129" s="116"/>
      <c r="J129" s="116"/>
      <c r="L129" s="55">
        <v>500</v>
      </c>
      <c r="M129" s="29">
        <v>35</v>
      </c>
      <c r="N129" s="29">
        <f t="shared" si="186"/>
        <v>175</v>
      </c>
      <c r="O129" s="29">
        <f t="shared" si="157"/>
        <v>35</v>
      </c>
      <c r="P129" s="39">
        <f t="shared" si="187"/>
        <v>325</v>
      </c>
      <c r="R129" s="55">
        <v>500</v>
      </c>
      <c r="S129" s="29">
        <v>35</v>
      </c>
      <c r="T129" s="29">
        <f t="shared" si="276"/>
        <v>175</v>
      </c>
      <c r="U129" s="29">
        <f t="shared" si="159"/>
        <v>35</v>
      </c>
      <c r="V129" s="39">
        <f t="shared" si="277"/>
        <v>325</v>
      </c>
      <c r="X129" s="55">
        <v>500</v>
      </c>
      <c r="Y129" s="29">
        <v>35</v>
      </c>
      <c r="Z129" s="29">
        <f t="shared" si="278"/>
        <v>175</v>
      </c>
      <c r="AA129" s="29">
        <f t="shared" si="162"/>
        <v>35</v>
      </c>
      <c r="AB129" s="39">
        <f t="shared" si="279"/>
        <v>325</v>
      </c>
      <c r="AD129" s="55">
        <v>750</v>
      </c>
      <c r="AE129" s="29">
        <v>35</v>
      </c>
      <c r="AF129" s="29">
        <f t="shared" si="280"/>
        <v>262.5</v>
      </c>
      <c r="AG129" s="29">
        <f t="shared" si="165"/>
        <v>35</v>
      </c>
      <c r="AH129" s="39">
        <f t="shared" si="281"/>
        <v>487.5</v>
      </c>
      <c r="AJ129" s="55">
        <v>1000</v>
      </c>
      <c r="AK129" s="29">
        <v>35</v>
      </c>
      <c r="AL129" s="29">
        <f t="shared" si="282"/>
        <v>350</v>
      </c>
      <c r="AM129" s="29">
        <f t="shared" si="168"/>
        <v>35</v>
      </c>
      <c r="AN129" s="39">
        <f t="shared" si="283"/>
        <v>650</v>
      </c>
    </row>
    <row r="130" spans="2:40" ht="20.100000000000001" customHeight="1" thickBot="1" x14ac:dyDescent="0.35">
      <c r="H130" s="34"/>
      <c r="I130" s="34"/>
      <c r="J130" s="34"/>
      <c r="L130" s="47"/>
      <c r="P130" s="39"/>
      <c r="R130" s="47"/>
      <c r="V130" s="39"/>
      <c r="X130" s="47"/>
      <c r="AB130" s="39"/>
      <c r="AD130" s="47"/>
      <c r="AH130" s="39"/>
      <c r="AJ130" s="47"/>
      <c r="AN130" s="39"/>
    </row>
    <row r="131" spans="2:40" ht="20.100000000000001" customHeight="1" x14ac:dyDescent="0.3">
      <c r="B131" s="124">
        <v>36</v>
      </c>
      <c r="D131" s="123" t="s">
        <v>186</v>
      </c>
      <c r="E131" s="108"/>
      <c r="F131" s="109"/>
      <c r="H131" s="116" t="s">
        <v>34</v>
      </c>
      <c r="I131" s="116"/>
      <c r="J131" s="116"/>
      <c r="L131" s="53">
        <v>500</v>
      </c>
      <c r="M131" s="29">
        <v>35</v>
      </c>
      <c r="N131" s="29">
        <f t="shared" ref="N131:N132" si="284">L131/100*M131</f>
        <v>175</v>
      </c>
      <c r="O131" s="29">
        <f t="shared" si="157"/>
        <v>35</v>
      </c>
      <c r="P131" s="39">
        <f t="shared" ref="P131:P132" si="285">L131-N131</f>
        <v>325</v>
      </c>
      <c r="R131" s="53">
        <v>500</v>
      </c>
      <c r="S131" s="29">
        <v>35</v>
      </c>
      <c r="T131" s="29">
        <f t="shared" ref="T131:T132" si="286">R131/100*S131</f>
        <v>175</v>
      </c>
      <c r="U131" s="29">
        <f t="shared" si="159"/>
        <v>35</v>
      </c>
      <c r="V131" s="39">
        <f t="shared" ref="V131:V132" si="287">R131-T131</f>
        <v>325</v>
      </c>
      <c r="X131" s="53">
        <v>500</v>
      </c>
      <c r="Y131" s="29">
        <v>35</v>
      </c>
      <c r="Z131" s="29">
        <f t="shared" ref="Z131:Z132" si="288">X131/100*Y131</f>
        <v>175</v>
      </c>
      <c r="AA131" s="29">
        <f t="shared" si="162"/>
        <v>35</v>
      </c>
      <c r="AB131" s="39">
        <f t="shared" ref="AB131:AB132" si="289">X131-Z131</f>
        <v>325</v>
      </c>
      <c r="AD131" s="53">
        <v>750</v>
      </c>
      <c r="AE131" s="29">
        <v>35</v>
      </c>
      <c r="AF131" s="29">
        <f t="shared" ref="AF131:AF132" si="290">AD131/100*AE131</f>
        <v>262.5</v>
      </c>
      <c r="AG131" s="29">
        <f t="shared" si="165"/>
        <v>35</v>
      </c>
      <c r="AH131" s="39">
        <f t="shared" ref="AH131:AH132" si="291">AD131-AF131</f>
        <v>487.5</v>
      </c>
      <c r="AJ131" s="53">
        <v>1000</v>
      </c>
      <c r="AK131" s="29">
        <v>35</v>
      </c>
      <c r="AL131" s="29">
        <f t="shared" ref="AL131:AL132" si="292">AJ131/100*AK131</f>
        <v>350</v>
      </c>
      <c r="AM131" s="29">
        <f t="shared" si="168"/>
        <v>35</v>
      </c>
      <c r="AN131" s="39">
        <f t="shared" ref="AN131:AN132" si="293">AJ131-AL131</f>
        <v>650</v>
      </c>
    </row>
    <row r="132" spans="2:40" ht="20.100000000000001" customHeight="1" thickBot="1" x14ac:dyDescent="0.35">
      <c r="B132" s="126"/>
      <c r="D132" s="110"/>
      <c r="E132" s="111"/>
      <c r="F132" s="112"/>
      <c r="H132" s="116" t="s">
        <v>35</v>
      </c>
      <c r="I132" s="116"/>
      <c r="J132" s="116"/>
      <c r="L132" s="55">
        <v>500</v>
      </c>
      <c r="M132" s="29">
        <v>35</v>
      </c>
      <c r="N132" s="29">
        <f t="shared" si="284"/>
        <v>175</v>
      </c>
      <c r="O132" s="29">
        <f t="shared" si="157"/>
        <v>35</v>
      </c>
      <c r="P132" s="39">
        <f t="shared" si="285"/>
        <v>325</v>
      </c>
      <c r="R132" s="55">
        <v>500</v>
      </c>
      <c r="S132" s="29">
        <v>35</v>
      </c>
      <c r="T132" s="29">
        <f t="shared" si="286"/>
        <v>175</v>
      </c>
      <c r="U132" s="29">
        <f t="shared" si="159"/>
        <v>35</v>
      </c>
      <c r="V132" s="39">
        <f t="shared" si="287"/>
        <v>325</v>
      </c>
      <c r="X132" s="55">
        <v>500</v>
      </c>
      <c r="Y132" s="29">
        <v>35</v>
      </c>
      <c r="Z132" s="29">
        <f t="shared" si="288"/>
        <v>175</v>
      </c>
      <c r="AA132" s="29">
        <f t="shared" si="162"/>
        <v>35</v>
      </c>
      <c r="AB132" s="39">
        <f t="shared" si="289"/>
        <v>325</v>
      </c>
      <c r="AD132" s="55">
        <v>750</v>
      </c>
      <c r="AE132" s="29">
        <v>35</v>
      </c>
      <c r="AF132" s="29">
        <f t="shared" si="290"/>
        <v>262.5</v>
      </c>
      <c r="AG132" s="29">
        <f t="shared" si="165"/>
        <v>35</v>
      </c>
      <c r="AH132" s="39">
        <f t="shared" si="291"/>
        <v>487.5</v>
      </c>
      <c r="AJ132" s="55">
        <v>1000</v>
      </c>
      <c r="AK132" s="29">
        <v>35</v>
      </c>
      <c r="AL132" s="29">
        <f t="shared" si="292"/>
        <v>350</v>
      </c>
      <c r="AM132" s="29">
        <f t="shared" si="168"/>
        <v>35</v>
      </c>
      <c r="AN132" s="39">
        <f t="shared" si="293"/>
        <v>650</v>
      </c>
    </row>
    <row r="133" spans="2:40" ht="20.100000000000001" customHeight="1" thickBot="1" x14ac:dyDescent="0.35">
      <c r="H133" s="34"/>
      <c r="I133" s="34"/>
      <c r="J133" s="34"/>
      <c r="L133" s="47"/>
      <c r="P133" s="39"/>
      <c r="R133" s="47"/>
      <c r="V133" s="39"/>
      <c r="X133" s="47"/>
      <c r="AB133" s="39"/>
      <c r="AD133" s="47"/>
      <c r="AH133" s="39"/>
      <c r="AJ133" s="47"/>
      <c r="AN133" s="39"/>
    </row>
    <row r="134" spans="2:40" ht="20.100000000000001" customHeight="1" x14ac:dyDescent="0.3">
      <c r="B134" s="124">
        <v>37</v>
      </c>
      <c r="D134" s="123" t="s">
        <v>182</v>
      </c>
      <c r="E134" s="108"/>
      <c r="F134" s="109"/>
      <c r="H134" s="116" t="s">
        <v>99</v>
      </c>
      <c r="I134" s="116"/>
      <c r="J134" s="116"/>
      <c r="L134" s="53">
        <v>1000</v>
      </c>
      <c r="M134" s="29">
        <v>35</v>
      </c>
      <c r="N134" s="29">
        <f t="shared" si="186"/>
        <v>350</v>
      </c>
      <c r="O134" s="29">
        <f t="shared" si="157"/>
        <v>35</v>
      </c>
      <c r="P134" s="39">
        <f t="shared" si="187"/>
        <v>650</v>
      </c>
      <c r="R134" s="53">
        <v>1500</v>
      </c>
      <c r="S134" s="29">
        <v>35</v>
      </c>
      <c r="T134" s="29">
        <f t="shared" ref="T134:T137" si="294">R134/100*S134</f>
        <v>525</v>
      </c>
      <c r="U134" s="29">
        <f t="shared" si="159"/>
        <v>35</v>
      </c>
      <c r="V134" s="39">
        <f t="shared" ref="V134:V137" si="295">R134-T134</f>
        <v>975</v>
      </c>
      <c r="X134" s="53">
        <v>1500</v>
      </c>
      <c r="Y134" s="29">
        <v>35</v>
      </c>
      <c r="Z134" s="29">
        <f t="shared" ref="Z134:Z137" si="296">X134/100*Y134</f>
        <v>525</v>
      </c>
      <c r="AA134" s="29">
        <f t="shared" si="162"/>
        <v>35</v>
      </c>
      <c r="AB134" s="39">
        <f t="shared" ref="AB134:AB137" si="297">X134-Z134</f>
        <v>975</v>
      </c>
      <c r="AD134" s="53">
        <v>2000</v>
      </c>
      <c r="AE134" s="29">
        <v>35</v>
      </c>
      <c r="AF134" s="29">
        <f t="shared" ref="AF134:AF137" si="298">AD134/100*AE134</f>
        <v>700</v>
      </c>
      <c r="AG134" s="29">
        <f t="shared" si="165"/>
        <v>35</v>
      </c>
      <c r="AH134" s="39">
        <f t="shared" ref="AH134:AH137" si="299">AD134-AF134</f>
        <v>1300</v>
      </c>
      <c r="AJ134" s="53">
        <v>2500</v>
      </c>
      <c r="AK134" s="29">
        <v>35</v>
      </c>
      <c r="AL134" s="29">
        <f t="shared" ref="AL134:AL137" si="300">AJ134/100*AK134</f>
        <v>875</v>
      </c>
      <c r="AM134" s="29">
        <f t="shared" si="168"/>
        <v>35</v>
      </c>
      <c r="AN134" s="39">
        <f t="shared" ref="AN134:AN137" si="301">AJ134-AL134</f>
        <v>1625</v>
      </c>
    </row>
    <row r="135" spans="2:40" ht="20.100000000000001" customHeight="1" x14ac:dyDescent="0.3">
      <c r="B135" s="125"/>
      <c r="D135" s="120"/>
      <c r="E135" s="121"/>
      <c r="F135" s="122"/>
      <c r="H135" s="116" t="s">
        <v>100</v>
      </c>
      <c r="I135" s="116"/>
      <c r="J135" s="116"/>
      <c r="L135" s="54">
        <v>500</v>
      </c>
      <c r="M135" s="29">
        <v>35</v>
      </c>
      <c r="N135" s="29">
        <f t="shared" si="186"/>
        <v>175</v>
      </c>
      <c r="O135" s="29">
        <f t="shared" si="157"/>
        <v>35</v>
      </c>
      <c r="P135" s="39">
        <f t="shared" si="187"/>
        <v>325</v>
      </c>
      <c r="R135" s="54">
        <v>500</v>
      </c>
      <c r="S135" s="29">
        <v>35</v>
      </c>
      <c r="T135" s="29">
        <f t="shared" si="294"/>
        <v>175</v>
      </c>
      <c r="U135" s="29">
        <f t="shared" si="159"/>
        <v>35</v>
      </c>
      <c r="V135" s="39">
        <f t="shared" si="295"/>
        <v>325</v>
      </c>
      <c r="X135" s="54">
        <v>1000</v>
      </c>
      <c r="Y135" s="29">
        <v>35</v>
      </c>
      <c r="Z135" s="29">
        <f t="shared" si="296"/>
        <v>350</v>
      </c>
      <c r="AA135" s="29">
        <f t="shared" si="162"/>
        <v>35</v>
      </c>
      <c r="AB135" s="39">
        <f t="shared" si="297"/>
        <v>650</v>
      </c>
      <c r="AD135" s="54">
        <v>1000</v>
      </c>
      <c r="AE135" s="29">
        <v>35</v>
      </c>
      <c r="AF135" s="29">
        <f t="shared" si="298"/>
        <v>350</v>
      </c>
      <c r="AG135" s="29">
        <f t="shared" si="165"/>
        <v>35</v>
      </c>
      <c r="AH135" s="39">
        <f t="shared" si="299"/>
        <v>650</v>
      </c>
      <c r="AJ135" s="54">
        <v>1500</v>
      </c>
      <c r="AK135" s="29">
        <v>35</v>
      </c>
      <c r="AL135" s="29">
        <f t="shared" si="300"/>
        <v>525</v>
      </c>
      <c r="AM135" s="29">
        <f t="shared" si="168"/>
        <v>35</v>
      </c>
      <c r="AN135" s="39">
        <f t="shared" si="301"/>
        <v>975</v>
      </c>
    </row>
    <row r="136" spans="2:40" ht="20.100000000000001" customHeight="1" x14ac:dyDescent="0.3">
      <c r="B136" s="125"/>
      <c r="D136" s="120"/>
      <c r="E136" s="121"/>
      <c r="F136" s="122"/>
      <c r="H136" s="116" t="s">
        <v>101</v>
      </c>
      <c r="I136" s="116"/>
      <c r="J136" s="116"/>
      <c r="L136" s="54">
        <v>500</v>
      </c>
      <c r="M136" s="29">
        <v>35</v>
      </c>
      <c r="N136" s="29">
        <f t="shared" si="186"/>
        <v>175</v>
      </c>
      <c r="O136" s="29">
        <f t="shared" si="157"/>
        <v>35</v>
      </c>
      <c r="P136" s="39">
        <f t="shared" si="187"/>
        <v>325</v>
      </c>
      <c r="R136" s="54">
        <v>500</v>
      </c>
      <c r="S136" s="29">
        <v>35</v>
      </c>
      <c r="T136" s="29">
        <f t="shared" si="294"/>
        <v>175</v>
      </c>
      <c r="U136" s="29">
        <f t="shared" si="159"/>
        <v>35</v>
      </c>
      <c r="V136" s="39">
        <f t="shared" si="295"/>
        <v>325</v>
      </c>
      <c r="X136" s="54">
        <v>1000</v>
      </c>
      <c r="Y136" s="29">
        <v>35</v>
      </c>
      <c r="Z136" s="29">
        <f t="shared" si="296"/>
        <v>350</v>
      </c>
      <c r="AA136" s="29">
        <f t="shared" si="162"/>
        <v>35</v>
      </c>
      <c r="AB136" s="39">
        <f t="shared" si="297"/>
        <v>650</v>
      </c>
      <c r="AD136" s="54">
        <v>1000</v>
      </c>
      <c r="AE136" s="29">
        <v>35</v>
      </c>
      <c r="AF136" s="29">
        <f t="shared" si="298"/>
        <v>350</v>
      </c>
      <c r="AG136" s="29">
        <f t="shared" si="165"/>
        <v>35</v>
      </c>
      <c r="AH136" s="39">
        <f t="shared" si="299"/>
        <v>650</v>
      </c>
      <c r="AJ136" s="54">
        <v>1500</v>
      </c>
      <c r="AK136" s="29">
        <v>35</v>
      </c>
      <c r="AL136" s="29">
        <f t="shared" si="300"/>
        <v>525</v>
      </c>
      <c r="AM136" s="29">
        <f t="shared" si="168"/>
        <v>35</v>
      </c>
      <c r="AN136" s="39">
        <f t="shared" si="301"/>
        <v>975</v>
      </c>
    </row>
    <row r="137" spans="2:40" ht="20.100000000000001" customHeight="1" thickBot="1" x14ac:dyDescent="0.35">
      <c r="B137" s="126"/>
      <c r="D137" s="110"/>
      <c r="E137" s="111"/>
      <c r="F137" s="112"/>
      <c r="H137" s="116" t="s">
        <v>102</v>
      </c>
      <c r="I137" s="116"/>
      <c r="J137" s="116"/>
      <c r="L137" s="55">
        <v>1000</v>
      </c>
      <c r="M137" s="29">
        <v>35</v>
      </c>
      <c r="N137" s="29">
        <f t="shared" si="186"/>
        <v>350</v>
      </c>
      <c r="O137" s="29">
        <f t="shared" si="157"/>
        <v>35</v>
      </c>
      <c r="P137" s="39">
        <f t="shared" si="187"/>
        <v>650</v>
      </c>
      <c r="R137" s="55">
        <v>1500</v>
      </c>
      <c r="S137" s="29">
        <v>35</v>
      </c>
      <c r="T137" s="29">
        <f t="shared" si="294"/>
        <v>525</v>
      </c>
      <c r="U137" s="29">
        <f t="shared" si="159"/>
        <v>35</v>
      </c>
      <c r="V137" s="39">
        <f t="shared" si="295"/>
        <v>975</v>
      </c>
      <c r="X137" s="55">
        <v>1500</v>
      </c>
      <c r="Y137" s="29">
        <v>35</v>
      </c>
      <c r="Z137" s="29">
        <f t="shared" si="296"/>
        <v>525</v>
      </c>
      <c r="AA137" s="29">
        <f t="shared" si="162"/>
        <v>35</v>
      </c>
      <c r="AB137" s="39">
        <f t="shared" si="297"/>
        <v>975</v>
      </c>
      <c r="AD137" s="55">
        <v>2000</v>
      </c>
      <c r="AE137" s="29">
        <v>35</v>
      </c>
      <c r="AF137" s="29">
        <f t="shared" si="298"/>
        <v>700</v>
      </c>
      <c r="AG137" s="29">
        <f t="shared" si="165"/>
        <v>35</v>
      </c>
      <c r="AH137" s="39">
        <f t="shared" si="299"/>
        <v>1300</v>
      </c>
      <c r="AJ137" s="55">
        <v>2500</v>
      </c>
      <c r="AK137" s="29">
        <v>35</v>
      </c>
      <c r="AL137" s="29">
        <f t="shared" si="300"/>
        <v>875</v>
      </c>
      <c r="AM137" s="29">
        <f t="shared" si="168"/>
        <v>35</v>
      </c>
      <c r="AN137" s="39">
        <f t="shared" si="301"/>
        <v>1625</v>
      </c>
    </row>
    <row r="138" spans="2:40" ht="20.100000000000001" customHeight="1" thickBot="1" x14ac:dyDescent="0.35">
      <c r="H138" s="34"/>
      <c r="I138" s="34"/>
      <c r="J138" s="34"/>
      <c r="L138" s="47"/>
      <c r="P138" s="39"/>
      <c r="R138" s="47"/>
      <c r="V138" s="39"/>
      <c r="X138" s="47"/>
      <c r="AB138" s="39"/>
      <c r="AD138" s="47"/>
      <c r="AH138" s="39"/>
      <c r="AJ138" s="47"/>
      <c r="AN138" s="39"/>
    </row>
    <row r="139" spans="2:40" ht="20.100000000000001" customHeight="1" x14ac:dyDescent="0.3">
      <c r="B139" s="124">
        <v>38</v>
      </c>
      <c r="D139" s="107" t="s">
        <v>161</v>
      </c>
      <c r="E139" s="108"/>
      <c r="F139" s="109"/>
      <c r="G139" s="33"/>
      <c r="H139" s="116" t="s">
        <v>128</v>
      </c>
      <c r="I139" s="116"/>
      <c r="J139" s="116"/>
      <c r="L139" s="53">
        <v>500</v>
      </c>
      <c r="M139" s="29">
        <v>35</v>
      </c>
      <c r="N139" s="29">
        <f t="shared" si="186"/>
        <v>175</v>
      </c>
      <c r="O139" s="29">
        <f t="shared" si="157"/>
        <v>35</v>
      </c>
      <c r="P139" s="39">
        <f t="shared" si="187"/>
        <v>325</v>
      </c>
      <c r="R139" s="53">
        <v>500</v>
      </c>
      <c r="S139" s="29">
        <v>35</v>
      </c>
      <c r="T139" s="29">
        <f t="shared" ref="T139" si="302">R139/100*S139</f>
        <v>175</v>
      </c>
      <c r="U139" s="29">
        <f t="shared" si="159"/>
        <v>35</v>
      </c>
      <c r="V139" s="39">
        <f t="shared" ref="V139:V140" si="303">R139-T139</f>
        <v>325</v>
      </c>
      <c r="X139" s="53">
        <v>500</v>
      </c>
      <c r="Y139" s="29">
        <v>35</v>
      </c>
      <c r="Z139" s="29">
        <f t="shared" ref="Z139" si="304">X139/100*Y139</f>
        <v>175</v>
      </c>
      <c r="AA139" s="29">
        <f t="shared" si="162"/>
        <v>35</v>
      </c>
      <c r="AB139" s="39">
        <f t="shared" ref="AB139:AB140" si="305">X139-Z139</f>
        <v>325</v>
      </c>
      <c r="AD139" s="53">
        <v>500</v>
      </c>
      <c r="AE139" s="29">
        <v>35</v>
      </c>
      <c r="AF139" s="29">
        <f t="shared" ref="AF139" si="306">AD139/100*AE139</f>
        <v>175</v>
      </c>
      <c r="AG139" s="29">
        <f t="shared" si="165"/>
        <v>35</v>
      </c>
      <c r="AH139" s="39">
        <f t="shared" ref="AH139:AH140" si="307">AD139-AF139</f>
        <v>325</v>
      </c>
      <c r="AJ139" s="53">
        <v>1000</v>
      </c>
      <c r="AK139" s="29">
        <v>35</v>
      </c>
      <c r="AL139" s="29">
        <f t="shared" ref="AL139" si="308">AJ139/100*AK139</f>
        <v>350</v>
      </c>
      <c r="AM139" s="29">
        <f t="shared" si="168"/>
        <v>35</v>
      </c>
      <c r="AN139" s="39">
        <f t="shared" ref="AN139:AN140" si="309">AJ139-AL139</f>
        <v>650</v>
      </c>
    </row>
    <row r="140" spans="2:40" ht="20.100000000000001" customHeight="1" thickBot="1" x14ac:dyDescent="0.35">
      <c r="B140" s="126"/>
      <c r="D140" s="110"/>
      <c r="E140" s="111"/>
      <c r="F140" s="112"/>
      <c r="G140" s="33"/>
      <c r="H140" s="116" t="s">
        <v>129</v>
      </c>
      <c r="I140" s="116"/>
      <c r="J140" s="116"/>
      <c r="L140" s="55">
        <v>1000</v>
      </c>
      <c r="M140" s="29">
        <v>35</v>
      </c>
      <c r="N140" s="29">
        <f>L140/100*M140</f>
        <v>350</v>
      </c>
      <c r="O140" s="29">
        <f t="shared" si="157"/>
        <v>35</v>
      </c>
      <c r="P140" s="39">
        <f t="shared" si="187"/>
        <v>650</v>
      </c>
      <c r="R140" s="55">
        <v>1000</v>
      </c>
      <c r="S140" s="29">
        <v>35</v>
      </c>
      <c r="T140" s="29">
        <f>R140/100*S140</f>
        <v>350</v>
      </c>
      <c r="U140" s="29">
        <f>(R140-V140)/R140*100</f>
        <v>35</v>
      </c>
      <c r="V140" s="39">
        <f t="shared" si="303"/>
        <v>650</v>
      </c>
      <c r="X140" s="55">
        <v>1000</v>
      </c>
      <c r="Y140" s="29">
        <v>35</v>
      </c>
      <c r="Z140" s="29">
        <f>X140/100*Y140</f>
        <v>350</v>
      </c>
      <c r="AA140" s="29">
        <f t="shared" si="162"/>
        <v>35</v>
      </c>
      <c r="AB140" s="39">
        <f t="shared" si="305"/>
        <v>650</v>
      </c>
      <c r="AD140" s="55">
        <v>1500</v>
      </c>
      <c r="AE140" s="29">
        <v>35</v>
      </c>
      <c r="AF140" s="29">
        <f>AD140/100*AE140</f>
        <v>525</v>
      </c>
      <c r="AG140" s="29">
        <f t="shared" si="165"/>
        <v>35</v>
      </c>
      <c r="AH140" s="39">
        <f t="shared" si="307"/>
        <v>975</v>
      </c>
      <c r="AJ140" s="55">
        <v>2000</v>
      </c>
      <c r="AK140" s="29">
        <v>35</v>
      </c>
      <c r="AL140" s="29">
        <f>AJ140/100*AK140</f>
        <v>700</v>
      </c>
      <c r="AM140" s="29">
        <f t="shared" si="168"/>
        <v>35</v>
      </c>
      <c r="AN140" s="39">
        <f t="shared" si="309"/>
        <v>1300</v>
      </c>
    </row>
    <row r="141" spans="2:40" ht="20.100000000000001" customHeight="1" x14ac:dyDescent="0.3">
      <c r="H141" s="34"/>
      <c r="I141" s="34"/>
      <c r="J141" s="34"/>
      <c r="L141" s="47"/>
      <c r="R141" s="51"/>
      <c r="X141" s="51"/>
      <c r="AD141" s="51"/>
      <c r="AJ141" s="51"/>
    </row>
    <row r="142" spans="2:40" x14ac:dyDescent="0.3">
      <c r="L142" s="47"/>
      <c r="R142" s="51"/>
      <c r="X142" s="51"/>
      <c r="AD142" s="51"/>
      <c r="AJ142" s="51"/>
    </row>
    <row r="143" spans="2:40" x14ac:dyDescent="0.3">
      <c r="L143" s="47"/>
      <c r="R143" s="51"/>
      <c r="X143" s="51"/>
      <c r="AD143" s="51"/>
      <c r="AJ143" s="51"/>
    </row>
    <row r="144" spans="2:40" x14ac:dyDescent="0.3">
      <c r="H144" s="34"/>
      <c r="I144" s="34"/>
      <c r="J144" s="34"/>
      <c r="L144" s="47"/>
      <c r="R144" s="51"/>
      <c r="X144" s="51"/>
      <c r="AD144" s="51"/>
      <c r="AJ144" s="51"/>
    </row>
    <row r="145" spans="4:36" x14ac:dyDescent="0.3">
      <c r="H145" s="34"/>
      <c r="I145" s="34"/>
      <c r="J145" s="34"/>
      <c r="L145" s="47"/>
      <c r="R145" s="51"/>
      <c r="X145" s="51"/>
      <c r="AD145" s="51"/>
      <c r="AJ145" s="51"/>
    </row>
    <row r="146" spans="4:36" x14ac:dyDescent="0.3">
      <c r="H146" s="34"/>
      <c r="I146" s="34"/>
      <c r="J146" s="34"/>
      <c r="L146" s="47"/>
      <c r="R146" s="51"/>
      <c r="X146" s="51"/>
      <c r="AD146" s="51"/>
      <c r="AJ146" s="51"/>
    </row>
    <row r="147" spans="4:36" x14ac:dyDescent="0.3">
      <c r="H147" s="34"/>
      <c r="I147" s="34"/>
      <c r="J147" s="34"/>
      <c r="L147" s="47"/>
      <c r="R147" s="51"/>
      <c r="X147" s="51"/>
      <c r="AD147" s="51"/>
      <c r="AJ147" s="51"/>
    </row>
    <row r="148" spans="4:36" x14ac:dyDescent="0.3">
      <c r="H148" s="34"/>
      <c r="I148" s="34"/>
      <c r="J148" s="34"/>
      <c r="L148" s="47"/>
      <c r="R148" s="51"/>
      <c r="X148" s="51"/>
      <c r="AD148" s="51"/>
      <c r="AJ148" s="51"/>
    </row>
    <row r="149" spans="4:36" x14ac:dyDescent="0.3">
      <c r="H149" s="34"/>
      <c r="I149" s="34"/>
      <c r="J149" s="34"/>
      <c r="L149" s="47"/>
      <c r="R149" s="51"/>
      <c r="X149" s="51"/>
      <c r="AD149" s="51"/>
      <c r="AJ149" s="51"/>
    </row>
    <row r="150" spans="4:36" x14ac:dyDescent="0.3">
      <c r="H150" s="34"/>
      <c r="I150" s="34"/>
      <c r="J150" s="34"/>
      <c r="L150" s="47"/>
      <c r="R150" s="51"/>
      <c r="X150" s="51"/>
      <c r="AD150" s="51"/>
      <c r="AJ150" s="51"/>
    </row>
    <row r="151" spans="4:36" x14ac:dyDescent="0.3">
      <c r="D151" s="127" t="s">
        <v>220</v>
      </c>
      <c r="E151" s="127"/>
      <c r="F151" s="127"/>
      <c r="H151" s="34"/>
      <c r="I151" s="34"/>
      <c r="J151" s="34"/>
      <c r="L151" s="128">
        <f>L10+L11+L12+L13+L15+L16+L17+L18+L32*2+L33*2+L34*2+L35*2+L58+L59+L60+L61+L66*4+L67*4+L69+L70+L72*2+L73*2+L75*2+L76*2+L78+L79+L81+L82+L93*2+L94*2+L95*2+L96*2+L98+L99+L100+L101+L106+L107+L109*4+L110*4+L139+L140</f>
        <v>37900</v>
      </c>
      <c r="R151" s="128">
        <f>R10+R11+R12+R13+R15+R16+R17+R18+R32*2+R33*2+R34*2+R35*2+R58+R59+R60+R61+R66*4+R67*4+R69+R70+R72*2+R73*2+R75*2+R76*2+R78+R79+R81+R82+R93*2+R94*2+R95*2+R96*2+R98+R99+R100+R101+R106+R107+R109*4+R110*4+R139+R140</f>
        <v>37900</v>
      </c>
      <c r="X151" s="128">
        <f>X10+X11+X12+X13+X15+X16+X17+X18+X32*2+X33*2+X34*2+X35*2+X58+X59+X60+X61+X66*4+X67*4+X69+X70+X72*2+X73*2+X75*2+X76*2+X78+X79+X81+X82+X93*2+X94*2+X95*2+X96*2+X98+X99+X100+X101+X106+X107+X109*4+X110*4+X139+X140</f>
        <v>41400</v>
      </c>
      <c r="AD151" s="128">
        <f>AD10+AD11+AD12+AD13+AD15+AD16+AD17+AD18+AD32*2+AD33*2+AD34*2+AD35*2+AD58+AD59+AD60+AD61+AD66*4+AD67*4+AD69+AD70+AD72*2+AD73*2+AD75*2+AD76*2+AD78+AD79+AD81+AD82+AD93*2+AD94*2+AD95*2+AD96*2+AD98+AD99+AD100+AD101+AD106+AD107+AD109*4+AD110*4+AD139+AD140</f>
        <v>55400</v>
      </c>
      <c r="AJ151" s="128">
        <f>AJ10+AJ11+AJ12+AJ13+AJ15+AJ16+AJ17+AJ18+AJ32*2+AJ33*2+AJ34*2+AJ35*2+AJ58+AJ59+AJ60+AJ61+AJ66*4+AJ67*4+AJ69+AJ70+AJ72*2+AJ73*2+AJ75*2+AJ76*2+AJ78+AJ79+AJ81+AJ82+AJ93*2+AJ94*2+AJ95*2+AJ96*2+AJ98+AJ99+AJ100+AJ101+AJ106+AJ107+AJ109*4+AJ110*4+AJ139+AJ140</f>
        <v>80600</v>
      </c>
    </row>
    <row r="152" spans="4:36" x14ac:dyDescent="0.3">
      <c r="D152" s="127"/>
      <c r="E152" s="127"/>
      <c r="F152" s="127"/>
      <c r="H152" s="34"/>
      <c r="I152" s="34"/>
      <c r="J152" s="34"/>
      <c r="L152" s="129"/>
      <c r="R152" s="129"/>
      <c r="X152" s="129"/>
      <c r="AD152" s="129"/>
      <c r="AJ152" s="129"/>
    </row>
    <row r="153" spans="4:36" x14ac:dyDescent="0.3">
      <c r="D153" s="58"/>
      <c r="E153" s="58"/>
      <c r="F153" s="58"/>
      <c r="H153" s="34"/>
      <c r="I153" s="34"/>
      <c r="J153" s="34"/>
      <c r="L153" s="47"/>
      <c r="R153" s="47"/>
      <c r="X153" s="47"/>
      <c r="AD153" s="47"/>
      <c r="AJ153" s="47"/>
    </row>
    <row r="154" spans="4:36" x14ac:dyDescent="0.3">
      <c r="D154" s="127" t="s">
        <v>221</v>
      </c>
      <c r="E154" s="127"/>
      <c r="F154" s="127"/>
      <c r="H154" s="34"/>
      <c r="I154" s="34"/>
      <c r="J154" s="34"/>
      <c r="L154" s="128">
        <f>L151-L78-L79-L106-L107</f>
        <v>29900</v>
      </c>
      <c r="R154" s="128">
        <f>R151-R78-R79-R106-R107</f>
        <v>29900</v>
      </c>
      <c r="X154" s="128">
        <f>X151-X78-X79-X106-X107</f>
        <v>31400</v>
      </c>
      <c r="AD154" s="128">
        <f>AD151-AD78-AD79-AD106-AD107</f>
        <v>42200</v>
      </c>
      <c r="AJ154" s="128">
        <f>AJ151-AJ78-AJ79-AJ106-AJ107</f>
        <v>61100</v>
      </c>
    </row>
    <row r="155" spans="4:36" x14ac:dyDescent="0.3">
      <c r="D155" s="127"/>
      <c r="E155" s="127"/>
      <c r="F155" s="127"/>
      <c r="H155" s="34"/>
      <c r="I155" s="34"/>
      <c r="J155" s="34"/>
      <c r="L155" s="129"/>
      <c r="R155" s="129"/>
      <c r="X155" s="129"/>
      <c r="AD155" s="129"/>
      <c r="AJ155" s="129"/>
    </row>
    <row r="156" spans="4:36" x14ac:dyDescent="0.3">
      <c r="D156" s="58"/>
      <c r="E156" s="58"/>
      <c r="F156" s="58"/>
      <c r="H156" s="34"/>
      <c r="I156" s="34"/>
      <c r="J156" s="34"/>
      <c r="L156" s="47"/>
      <c r="R156" s="47"/>
      <c r="X156" s="47"/>
      <c r="AD156" s="47"/>
      <c r="AJ156" s="47"/>
    </row>
    <row r="157" spans="4:36" x14ac:dyDescent="0.3">
      <c r="D157" s="127" t="s">
        <v>218</v>
      </c>
      <c r="E157" s="127"/>
      <c r="F157" s="127"/>
      <c r="H157" s="35"/>
      <c r="I157" s="34"/>
      <c r="J157" s="34"/>
      <c r="L157" s="128">
        <f>L10+L11+L12+L13+L15+L16+L17+L18+L23*2+L24*2+L32*2+L35*2+L52+L53+L58+L61+L66*4+L67*4+L69+L70+L72*2+L73*2+L75*2+L76*2+L78+L79+L81+L82+L93*2+L94*2+L95*2+L96*2+L98+L101+L103*4+L104*4+L106+L107+L109*4+L110*4+L118+L121+L128*2+L129*2+L131*2+L132*2+L139+L140</f>
        <v>45900</v>
      </c>
      <c r="R157" s="128">
        <f>R10+R11+R12+R13+R15+R16+R17+R18+R23*2+R24*2+R32*2+R35*2+R52+R53+R58+R61+R66*4+R67*4+R69+R70+R72*2+R73*2+R75*2+R76*2+R78+R79+R81+R82+R93*2+R94*2+R95*2+R96*2+R98+R101+R103*4+R104*4+R106+R107+R109*4+R110*4+R118+R121+R128*2+R129*2+R131*2+R132*2+R139+R140</f>
        <v>45900</v>
      </c>
      <c r="X157" s="128">
        <f>X10+X11+X12+X13+X15+X16+X17+X18+X23*2+X24*2+X32*2+X35*2+X52+X53+X58+X61+X66*4+X67*4+X69+X70+X72*2+X73*2+X75*2+X76*2+X78+X79+X81+X82+X93*2+X94*2+X95*2+X96*2+X98+X101+X103*4+X104*4+X106+X107+X109*4+X110*4+X118+X121+X128*2+X129*2+X131*2+X132*2+X139+X140</f>
        <v>48900</v>
      </c>
      <c r="AD157" s="128">
        <f>AD10+AD11+AD12+AD13+AD15+AD16+AD17+AD18+AD23*2+AD24*2+AD32*2+AD35*2+AD52+AD53+AD58+AD61+AD66*4+AD67*4+AD69+AD70+AD72*2+AD73*2+AD75*2+AD76*2+AD78+AD79+AD81+AD82+AD93*2+AD94*2+AD95*2+AD96*2+AD98+AD101+AD103*4+AD104*4+AD106+AD107+AD109*4+AD110*4+AD118+AD121+AD128*2+AD129*2+AD131*2+AD132*2+AD139+AD140</f>
        <v>67100</v>
      </c>
      <c r="AJ157" s="128">
        <f>AJ10+AJ11+AJ12+AJ13+AJ15+AJ16+AJ17+AJ18+AJ23*2+AJ24*2+AJ32*2+AJ35*2+AJ52+AJ53+AJ58+AJ61+AJ66*4+AJ67*4+AJ69+AJ70+AJ72*2+AJ73*2+AJ75*2+AJ76*2+AJ78+AJ79+AJ81+AJ82+AJ93*2+AJ94*2+AJ95*2+AJ96*2+AJ98+AJ101+AJ103*4+AJ104*4+AJ106+AJ107+AJ109*4+AJ110*4+AJ118+AJ121+AJ128*2+AJ129*2+AJ131*2+AJ132*2+AJ139+AJ140</f>
        <v>95100</v>
      </c>
    </row>
    <row r="158" spans="4:36" x14ac:dyDescent="0.3">
      <c r="D158" s="127"/>
      <c r="E158" s="127"/>
      <c r="F158" s="127"/>
      <c r="H158" s="34"/>
      <c r="I158" s="34"/>
      <c r="J158" s="34"/>
      <c r="L158" s="129"/>
      <c r="R158" s="129"/>
      <c r="X158" s="129"/>
      <c r="AD158" s="129"/>
      <c r="AJ158" s="129"/>
    </row>
    <row r="159" spans="4:36" ht="18.75" customHeight="1" x14ac:dyDescent="0.3">
      <c r="D159" s="58"/>
      <c r="E159" s="76"/>
      <c r="F159" s="76"/>
      <c r="H159" s="34"/>
      <c r="I159" s="34"/>
      <c r="J159" s="34"/>
      <c r="L159" s="47"/>
      <c r="R159" s="47"/>
      <c r="X159" s="47"/>
      <c r="AD159" s="47"/>
      <c r="AJ159" s="47"/>
    </row>
    <row r="160" spans="4:36" ht="18.75" customHeight="1" x14ac:dyDescent="0.3">
      <c r="D160" s="127" t="s">
        <v>219</v>
      </c>
      <c r="E160" s="127"/>
      <c r="F160" s="127"/>
      <c r="H160" s="35"/>
      <c r="I160" s="34"/>
      <c r="J160" s="34"/>
      <c r="L160" s="128">
        <f>L157-L78-L79-L106-L107</f>
        <v>37900</v>
      </c>
      <c r="R160" s="128">
        <f>R157-R78-R79-R106-R107</f>
        <v>37900</v>
      </c>
      <c r="X160" s="128">
        <f>X157-X78-X79-X106-X107</f>
        <v>38900</v>
      </c>
      <c r="AD160" s="128">
        <f>AD157-AD78-AD79-AD106-AD107</f>
        <v>53900</v>
      </c>
      <c r="AJ160" s="128">
        <f>AJ157-AJ78-AJ79-AJ106-AJ107</f>
        <v>75600</v>
      </c>
    </row>
    <row r="161" spans="4:36" ht="18.75" customHeight="1" x14ac:dyDescent="0.3">
      <c r="D161" s="127"/>
      <c r="E161" s="127"/>
      <c r="F161" s="127"/>
      <c r="H161" s="34"/>
      <c r="I161" s="34"/>
      <c r="J161" s="34"/>
      <c r="L161" s="129"/>
      <c r="R161" s="129"/>
      <c r="X161" s="129"/>
      <c r="AD161" s="129"/>
      <c r="AJ161" s="129"/>
    </row>
    <row r="162" spans="4:36" x14ac:dyDescent="0.3">
      <c r="H162" s="34"/>
      <c r="I162" s="34"/>
      <c r="J162" s="34"/>
      <c r="L162" s="47"/>
      <c r="R162" s="47"/>
      <c r="X162" s="47"/>
      <c r="AD162" s="47"/>
      <c r="AJ162" s="47"/>
    </row>
    <row r="163" spans="4:36" x14ac:dyDescent="0.3">
      <c r="D163" s="130" t="s">
        <v>216</v>
      </c>
      <c r="E163" s="130"/>
      <c r="F163" s="130"/>
      <c r="H163" s="35"/>
      <c r="I163" s="34"/>
      <c r="J163" s="34"/>
      <c r="L163" s="128">
        <f>L23*4+L24*4+L26+L27+L29+L30+L37*2+L38*2+L49*4+L50*4+L55*4+L56*4+L78+L79+L81+L82+L84+L85+L87+L88+L134+L137</f>
        <v>27000</v>
      </c>
      <c r="M163" s="56"/>
      <c r="N163" s="56"/>
      <c r="O163" s="56"/>
      <c r="P163" s="56"/>
      <c r="Q163" s="56"/>
      <c r="R163" s="128">
        <f>R23*4+R24*4+R26+R27+R29+R30+R37*2+R38*2+R49*4+R50*4+R55*4+R56*4+R78+R79+R81+R82+R84+R85+R87+R88+R134+R137</f>
        <v>29500</v>
      </c>
      <c r="S163" s="56"/>
      <c r="T163" s="56"/>
      <c r="U163" s="56"/>
      <c r="V163" s="56"/>
      <c r="W163" s="56"/>
      <c r="X163" s="128">
        <f>X23*4+X24*4+X26+X27+X29+X30+X37*2+X38*2+X49*4+X50*4+X55*4+X56*4+X78+X79+X81+X82+X84+X85+X87+X88+X134+X137</f>
        <v>33700</v>
      </c>
      <c r="Y163" s="56"/>
      <c r="Z163" s="56"/>
      <c r="AA163" s="56"/>
      <c r="AB163" s="56"/>
      <c r="AC163" s="56"/>
      <c r="AD163" s="128">
        <f>AD23*4+AD24*4+AD26+AD27+AD29+AD30+AD37*2+AD38*2+AD49*4+AD50*4+AD55*4+AD56*4+AD78+AD79+AD81+AD82+AD84+AD85+AD87+AD88+AD134+AD137</f>
        <v>42200</v>
      </c>
      <c r="AE163" s="56"/>
      <c r="AF163" s="56"/>
      <c r="AG163" s="56"/>
      <c r="AH163" s="56"/>
      <c r="AI163" s="56"/>
      <c r="AJ163" s="128">
        <f>AJ23*4+AJ24*4+AJ26+AJ27+AJ29+AJ30+AJ37*2+AJ38*2+AJ49*4+AJ50*4+AJ55*4+AJ56*4+AJ78+AJ79+AJ81+AJ82+AJ84+AJ85+AJ87+AJ88+AJ134+AJ137</f>
        <v>58800</v>
      </c>
    </row>
    <row r="164" spans="4:36" x14ac:dyDescent="0.3">
      <c r="D164" s="130"/>
      <c r="E164" s="130"/>
      <c r="F164" s="130"/>
      <c r="H164" s="34"/>
      <c r="I164" s="34"/>
      <c r="J164" s="34"/>
      <c r="L164" s="129"/>
      <c r="M164" s="56"/>
      <c r="N164" s="56"/>
      <c r="O164" s="56"/>
      <c r="P164" s="56"/>
      <c r="Q164" s="56"/>
      <c r="R164" s="129"/>
      <c r="S164" s="56"/>
      <c r="T164" s="56"/>
      <c r="U164" s="56"/>
      <c r="V164" s="56"/>
      <c r="W164" s="56"/>
      <c r="X164" s="129"/>
      <c r="Y164" s="56"/>
      <c r="Z164" s="56"/>
      <c r="AA164" s="56"/>
      <c r="AB164" s="56"/>
      <c r="AC164" s="56"/>
      <c r="AD164" s="129"/>
      <c r="AE164" s="56"/>
      <c r="AF164" s="56"/>
      <c r="AG164" s="56"/>
      <c r="AH164" s="56"/>
      <c r="AI164" s="56"/>
      <c r="AJ164" s="129"/>
    </row>
    <row r="165" spans="4:36" x14ac:dyDescent="0.3">
      <c r="H165" s="34"/>
      <c r="I165" s="34"/>
      <c r="J165" s="34"/>
      <c r="L165" s="47"/>
      <c r="R165" s="47"/>
      <c r="X165" s="47"/>
      <c r="AD165" s="47"/>
      <c r="AJ165" s="47"/>
    </row>
    <row r="166" spans="4:36" s="31" customFormat="1" x14ac:dyDescent="0.25">
      <c r="D166" s="130" t="s">
        <v>217</v>
      </c>
      <c r="E166" s="130"/>
      <c r="F166" s="130"/>
      <c r="H166" s="32"/>
      <c r="L166" s="128">
        <f>L26+L27+L37*2+L38*2</f>
        <v>3000</v>
      </c>
      <c r="R166" s="128">
        <f>R26+R27+R37*2+R38*2</f>
        <v>4000</v>
      </c>
      <c r="X166" s="128">
        <f>X26+X27+X37*2+X38*2</f>
        <v>4000</v>
      </c>
      <c r="AD166" s="128">
        <f>AD26+AD27+AD37*2+AD38*2</f>
        <v>5000</v>
      </c>
      <c r="AJ166" s="128">
        <f>AJ26+AJ27+AJ37*2+AJ38*2</f>
        <v>7500</v>
      </c>
    </row>
    <row r="167" spans="4:36" s="31" customFormat="1" x14ac:dyDescent="0.25">
      <c r="D167" s="130"/>
      <c r="E167" s="130"/>
      <c r="F167" s="130"/>
      <c r="L167" s="129"/>
      <c r="R167" s="129"/>
      <c r="X167" s="129"/>
      <c r="AD167" s="129"/>
      <c r="AJ167" s="129"/>
    </row>
    <row r="168" spans="4:36" x14ac:dyDescent="0.3">
      <c r="H168" s="34"/>
      <c r="I168" s="34"/>
      <c r="J168" s="34"/>
      <c r="L168" s="47"/>
      <c r="R168" s="51"/>
      <c r="X168" s="51"/>
      <c r="AD168" s="51"/>
      <c r="AJ168" s="51"/>
    </row>
    <row r="169" spans="4:36" x14ac:dyDescent="0.3">
      <c r="H169" s="35"/>
      <c r="I169" s="34"/>
      <c r="J169" s="34"/>
      <c r="L169" s="47"/>
      <c r="R169" s="51"/>
      <c r="X169" s="51"/>
      <c r="AD169" s="51"/>
      <c r="AJ169" s="51"/>
    </row>
    <row r="170" spans="4:36" x14ac:dyDescent="0.3">
      <c r="H170" s="34"/>
      <c r="I170" s="34"/>
      <c r="J170" s="34"/>
      <c r="L170" s="47"/>
      <c r="R170" s="51"/>
      <c r="X170" s="51"/>
      <c r="AD170" s="51"/>
      <c r="AJ170" s="51"/>
    </row>
    <row r="171" spans="4:36" x14ac:dyDescent="0.3">
      <c r="H171" s="34"/>
      <c r="I171" s="34"/>
      <c r="J171" s="34"/>
      <c r="L171" s="47"/>
      <c r="R171" s="51"/>
      <c r="X171" s="51"/>
      <c r="AD171" s="51"/>
      <c r="AJ171" s="51"/>
    </row>
    <row r="172" spans="4:36" x14ac:dyDescent="0.3">
      <c r="H172" s="34"/>
      <c r="I172" s="34"/>
      <c r="J172" s="34"/>
      <c r="L172" s="47"/>
      <c r="R172" s="51"/>
      <c r="X172" s="51"/>
      <c r="AD172" s="51"/>
      <c r="AJ172" s="51"/>
    </row>
    <row r="173" spans="4:36" x14ac:dyDescent="0.3">
      <c r="H173" s="34"/>
      <c r="I173" s="34"/>
      <c r="J173" s="34"/>
      <c r="L173" s="47"/>
      <c r="R173" s="51"/>
      <c r="X173" s="51"/>
      <c r="AD173" s="51"/>
      <c r="AJ173" s="51"/>
    </row>
    <row r="174" spans="4:36" x14ac:dyDescent="0.3">
      <c r="L174" s="47"/>
      <c r="R174" s="51"/>
      <c r="X174" s="51"/>
      <c r="AD174" s="51"/>
      <c r="AJ174" s="51"/>
    </row>
    <row r="175" spans="4:36" x14ac:dyDescent="0.3">
      <c r="L175" s="47"/>
      <c r="R175" s="51"/>
      <c r="X175" s="51"/>
      <c r="AD175" s="51"/>
      <c r="AJ175" s="51"/>
    </row>
    <row r="176" spans="4:36" x14ac:dyDescent="0.3">
      <c r="L176" s="47"/>
      <c r="R176" s="51"/>
      <c r="X176" s="51"/>
      <c r="AD176" s="51"/>
      <c r="AJ176" s="51"/>
    </row>
    <row r="177" spans="12:36" x14ac:dyDescent="0.3">
      <c r="L177" s="47"/>
      <c r="R177" s="51"/>
      <c r="X177" s="51"/>
      <c r="AD177" s="51"/>
      <c r="AJ177" s="51"/>
    </row>
    <row r="178" spans="12:36" x14ac:dyDescent="0.3">
      <c r="L178" s="47"/>
      <c r="R178" s="51"/>
      <c r="X178" s="51"/>
      <c r="AD178" s="51"/>
      <c r="AJ178" s="51"/>
    </row>
    <row r="179" spans="12:36" x14ac:dyDescent="0.3">
      <c r="L179" s="47"/>
      <c r="R179" s="51"/>
      <c r="X179" s="51"/>
      <c r="AD179" s="51"/>
      <c r="AJ179" s="51"/>
    </row>
    <row r="180" spans="12:36" x14ac:dyDescent="0.3">
      <c r="L180" s="47"/>
      <c r="R180" s="51"/>
      <c r="X180" s="51"/>
      <c r="AD180" s="51"/>
      <c r="AJ180" s="51"/>
    </row>
    <row r="181" spans="12:36" x14ac:dyDescent="0.3">
      <c r="L181" s="47"/>
      <c r="R181" s="51"/>
      <c r="X181" s="51"/>
      <c r="AD181" s="51"/>
      <c r="AJ181" s="51"/>
    </row>
    <row r="182" spans="12:36" x14ac:dyDescent="0.3">
      <c r="L182" s="47"/>
      <c r="R182" s="51"/>
      <c r="X182" s="51"/>
      <c r="AD182" s="51"/>
      <c r="AJ182" s="51"/>
    </row>
    <row r="183" spans="12:36" x14ac:dyDescent="0.3">
      <c r="L183" s="47"/>
      <c r="R183" s="51"/>
      <c r="X183" s="51"/>
      <c r="AD183" s="51"/>
      <c r="AJ183" s="51"/>
    </row>
    <row r="184" spans="12:36" x14ac:dyDescent="0.3">
      <c r="L184" s="47"/>
      <c r="R184" s="51"/>
      <c r="X184" s="51"/>
      <c r="AD184" s="51"/>
      <c r="AJ184" s="51"/>
    </row>
    <row r="185" spans="12:36" x14ac:dyDescent="0.3">
      <c r="L185" s="47"/>
      <c r="R185" s="51"/>
      <c r="X185" s="51"/>
      <c r="AD185" s="51"/>
      <c r="AJ185" s="51"/>
    </row>
    <row r="186" spans="12:36" x14ac:dyDescent="0.3">
      <c r="L186" s="47"/>
      <c r="R186" s="51"/>
      <c r="X186" s="51"/>
      <c r="AD186" s="51"/>
      <c r="AJ186" s="51"/>
    </row>
    <row r="187" spans="12:36" x14ac:dyDescent="0.3">
      <c r="L187" s="47"/>
      <c r="R187" s="51"/>
      <c r="X187" s="51"/>
      <c r="AD187" s="51"/>
      <c r="AJ187" s="51"/>
    </row>
    <row r="188" spans="12:36" x14ac:dyDescent="0.3">
      <c r="L188" s="47"/>
      <c r="R188" s="51"/>
      <c r="X188" s="51"/>
      <c r="AD188" s="51"/>
      <c r="AJ188" s="51"/>
    </row>
    <row r="189" spans="12:36" x14ac:dyDescent="0.3">
      <c r="L189" s="47"/>
      <c r="R189" s="51"/>
      <c r="X189" s="51"/>
      <c r="AD189" s="51"/>
      <c r="AJ189" s="51"/>
    </row>
    <row r="190" spans="12:36" x14ac:dyDescent="0.3">
      <c r="L190" s="47"/>
      <c r="R190" s="51"/>
      <c r="X190" s="51"/>
      <c r="AD190" s="51"/>
      <c r="AJ190" s="51"/>
    </row>
    <row r="191" spans="12:36" x14ac:dyDescent="0.3">
      <c r="L191" s="47"/>
      <c r="R191" s="51"/>
      <c r="X191" s="51"/>
      <c r="AD191" s="51"/>
      <c r="AJ191" s="51"/>
    </row>
    <row r="192" spans="12:36" x14ac:dyDescent="0.3">
      <c r="L192" s="47"/>
      <c r="R192" s="51"/>
      <c r="X192" s="51"/>
      <c r="AD192" s="51"/>
      <c r="AJ192" s="51"/>
    </row>
    <row r="193" spans="12:36" x14ac:dyDescent="0.3">
      <c r="L193" s="47"/>
      <c r="R193" s="51"/>
      <c r="X193" s="51"/>
      <c r="AD193" s="51"/>
      <c r="AJ193" s="51"/>
    </row>
    <row r="194" spans="12:36" x14ac:dyDescent="0.3">
      <c r="L194" s="47"/>
      <c r="R194" s="51"/>
      <c r="X194" s="51"/>
      <c r="AD194" s="51"/>
      <c r="AJ194" s="51"/>
    </row>
    <row r="195" spans="12:36" x14ac:dyDescent="0.3">
      <c r="L195" s="47"/>
      <c r="R195" s="51"/>
      <c r="X195" s="51"/>
      <c r="AD195" s="51"/>
      <c r="AJ195" s="51"/>
    </row>
    <row r="196" spans="12:36" x14ac:dyDescent="0.3">
      <c r="L196" s="47"/>
      <c r="R196" s="51"/>
      <c r="X196" s="51"/>
      <c r="AD196" s="51"/>
      <c r="AJ196" s="51"/>
    </row>
    <row r="197" spans="12:36" x14ac:dyDescent="0.3">
      <c r="L197" s="47"/>
      <c r="R197" s="51"/>
      <c r="X197" s="51"/>
      <c r="AD197" s="51"/>
      <c r="AJ197" s="51"/>
    </row>
    <row r="198" spans="12:36" x14ac:dyDescent="0.3">
      <c r="L198" s="47"/>
      <c r="R198" s="51"/>
      <c r="X198" s="51"/>
      <c r="AD198" s="51"/>
      <c r="AJ198" s="51"/>
    </row>
    <row r="199" spans="12:36" x14ac:dyDescent="0.3">
      <c r="L199" s="47"/>
      <c r="R199" s="51"/>
      <c r="X199" s="51"/>
      <c r="AD199" s="51"/>
      <c r="AJ199" s="51"/>
    </row>
    <row r="200" spans="12:36" x14ac:dyDescent="0.3">
      <c r="L200" s="47"/>
      <c r="R200" s="51"/>
      <c r="X200" s="51"/>
      <c r="AD200" s="51"/>
      <c r="AJ200" s="51"/>
    </row>
    <row r="201" spans="12:36" x14ac:dyDescent="0.3">
      <c r="L201" s="47"/>
      <c r="R201" s="51"/>
      <c r="X201" s="51"/>
      <c r="AD201" s="51"/>
      <c r="AJ201" s="51"/>
    </row>
    <row r="202" spans="12:36" x14ac:dyDescent="0.3">
      <c r="L202" s="47"/>
      <c r="R202" s="51"/>
      <c r="X202" s="51"/>
      <c r="AD202" s="51"/>
      <c r="AJ202" s="51"/>
    </row>
    <row r="203" spans="12:36" x14ac:dyDescent="0.3">
      <c r="L203" s="47"/>
      <c r="R203" s="51"/>
      <c r="X203" s="51"/>
      <c r="AD203" s="51"/>
      <c r="AJ203" s="51"/>
    </row>
    <row r="204" spans="12:36" x14ac:dyDescent="0.3">
      <c r="L204" s="47"/>
      <c r="R204" s="51"/>
      <c r="X204" s="51"/>
      <c r="AD204" s="51"/>
      <c r="AJ204" s="51"/>
    </row>
    <row r="205" spans="12:36" x14ac:dyDescent="0.3">
      <c r="L205" s="47"/>
      <c r="R205" s="51"/>
      <c r="X205" s="51"/>
      <c r="AD205" s="51"/>
      <c r="AJ205" s="51"/>
    </row>
    <row r="206" spans="12:36" x14ac:dyDescent="0.3">
      <c r="L206" s="47"/>
      <c r="R206" s="51"/>
      <c r="X206" s="51"/>
      <c r="AD206" s="51"/>
      <c r="AJ206" s="51"/>
    </row>
    <row r="207" spans="12:36" x14ac:dyDescent="0.3">
      <c r="L207" s="47"/>
      <c r="R207" s="51"/>
      <c r="X207" s="51"/>
      <c r="AD207" s="51"/>
      <c r="AJ207" s="51"/>
    </row>
    <row r="208" spans="12:36" x14ac:dyDescent="0.3">
      <c r="L208" s="47"/>
      <c r="R208" s="51"/>
      <c r="X208" s="51"/>
      <c r="AD208" s="51"/>
      <c r="AJ208" s="51"/>
    </row>
    <row r="209" spans="12:36" x14ac:dyDescent="0.3">
      <c r="L209" s="47"/>
      <c r="R209" s="51"/>
      <c r="X209" s="51"/>
      <c r="AD209" s="51"/>
      <c r="AJ209" s="51"/>
    </row>
    <row r="210" spans="12:36" x14ac:dyDescent="0.3">
      <c r="L210" s="47"/>
      <c r="R210" s="51"/>
      <c r="X210" s="51"/>
      <c r="AD210" s="51"/>
      <c r="AJ210" s="51"/>
    </row>
    <row r="211" spans="12:36" x14ac:dyDescent="0.3">
      <c r="L211" s="47"/>
      <c r="R211" s="51"/>
      <c r="X211" s="51"/>
      <c r="AD211" s="51"/>
      <c r="AJ211" s="51"/>
    </row>
    <row r="212" spans="12:36" x14ac:dyDescent="0.3">
      <c r="L212" s="47"/>
      <c r="R212" s="51"/>
      <c r="X212" s="51"/>
      <c r="AD212" s="51"/>
      <c r="AJ212" s="51"/>
    </row>
    <row r="213" spans="12:36" x14ac:dyDescent="0.3">
      <c r="L213" s="47"/>
      <c r="R213" s="51"/>
      <c r="X213" s="51"/>
      <c r="AD213" s="51"/>
      <c r="AJ213" s="51"/>
    </row>
    <row r="214" spans="12:36" x14ac:dyDescent="0.3">
      <c r="L214" s="47"/>
      <c r="R214" s="51"/>
      <c r="X214" s="51"/>
      <c r="AD214" s="51"/>
      <c r="AJ214" s="51"/>
    </row>
    <row r="215" spans="12:36" x14ac:dyDescent="0.3">
      <c r="L215" s="47"/>
      <c r="R215" s="51"/>
      <c r="X215" s="51"/>
      <c r="AD215" s="51"/>
      <c r="AJ215" s="51"/>
    </row>
    <row r="216" spans="12:36" x14ac:dyDescent="0.3">
      <c r="L216" s="47"/>
      <c r="R216" s="51"/>
      <c r="X216" s="51"/>
      <c r="AD216" s="51"/>
      <c r="AJ216" s="51"/>
    </row>
    <row r="217" spans="12:36" x14ac:dyDescent="0.3">
      <c r="L217" s="47"/>
      <c r="R217" s="51"/>
      <c r="X217" s="51"/>
      <c r="AD217" s="51"/>
      <c r="AJ217" s="51"/>
    </row>
    <row r="218" spans="12:36" x14ac:dyDescent="0.3">
      <c r="L218" s="47"/>
      <c r="R218" s="51"/>
      <c r="X218" s="51"/>
      <c r="AD218" s="51"/>
      <c r="AJ218" s="51"/>
    </row>
    <row r="219" spans="12:36" x14ac:dyDescent="0.3">
      <c r="L219" s="47"/>
      <c r="R219" s="51"/>
      <c r="X219" s="51"/>
      <c r="AD219" s="51"/>
      <c r="AJ219" s="51"/>
    </row>
    <row r="220" spans="12:36" x14ac:dyDescent="0.3">
      <c r="L220" s="47"/>
      <c r="R220" s="51"/>
      <c r="X220" s="51"/>
      <c r="AD220" s="51"/>
      <c r="AJ220" s="51"/>
    </row>
    <row r="221" spans="12:36" x14ac:dyDescent="0.3">
      <c r="L221" s="47"/>
      <c r="R221" s="51"/>
      <c r="X221" s="51"/>
      <c r="AD221" s="51"/>
      <c r="AJ221" s="51"/>
    </row>
    <row r="222" spans="12:36" x14ac:dyDescent="0.3">
      <c r="L222" s="47"/>
      <c r="R222" s="51"/>
      <c r="X222" s="51"/>
      <c r="AD222" s="51"/>
      <c r="AJ222" s="51"/>
    </row>
    <row r="223" spans="12:36" x14ac:dyDescent="0.3">
      <c r="L223" s="47"/>
      <c r="R223" s="51"/>
      <c r="X223" s="51"/>
      <c r="AD223" s="51"/>
      <c r="AJ223" s="51"/>
    </row>
    <row r="224" spans="12:36" x14ac:dyDescent="0.3">
      <c r="L224" s="47"/>
      <c r="R224" s="51"/>
      <c r="X224" s="51"/>
      <c r="AD224" s="51"/>
      <c r="AJ224" s="51"/>
    </row>
    <row r="225" spans="12:36" x14ac:dyDescent="0.3">
      <c r="L225" s="47"/>
      <c r="R225" s="51"/>
      <c r="X225" s="51"/>
      <c r="AD225" s="51"/>
      <c r="AJ225" s="51"/>
    </row>
    <row r="226" spans="12:36" x14ac:dyDescent="0.3">
      <c r="L226" s="47"/>
      <c r="R226" s="51"/>
      <c r="X226" s="51"/>
      <c r="AD226" s="51"/>
      <c r="AJ226" s="51"/>
    </row>
    <row r="227" spans="12:36" x14ac:dyDescent="0.3">
      <c r="L227" s="47"/>
      <c r="R227" s="51"/>
      <c r="X227" s="51"/>
      <c r="AD227" s="51"/>
      <c r="AJ227" s="51"/>
    </row>
    <row r="228" spans="12:36" x14ac:dyDescent="0.3">
      <c r="L228" s="47"/>
      <c r="R228" s="51"/>
      <c r="X228" s="51"/>
      <c r="AD228" s="51"/>
      <c r="AJ228" s="51"/>
    </row>
    <row r="229" spans="12:36" x14ac:dyDescent="0.3">
      <c r="L229" s="47"/>
      <c r="R229" s="51"/>
      <c r="X229" s="51"/>
      <c r="AD229" s="51"/>
      <c r="AJ229" s="51"/>
    </row>
    <row r="230" spans="12:36" x14ac:dyDescent="0.3">
      <c r="L230" s="47"/>
      <c r="R230" s="51"/>
      <c r="X230" s="51"/>
      <c r="AD230" s="51"/>
      <c r="AJ230" s="51"/>
    </row>
    <row r="231" spans="12:36" x14ac:dyDescent="0.3">
      <c r="L231" s="47"/>
      <c r="R231" s="51"/>
      <c r="X231" s="51"/>
      <c r="AD231" s="51"/>
      <c r="AJ231" s="51"/>
    </row>
    <row r="232" spans="12:36" x14ac:dyDescent="0.3">
      <c r="L232" s="47"/>
      <c r="R232" s="51"/>
      <c r="X232" s="51"/>
      <c r="AD232" s="51"/>
      <c r="AJ232" s="51"/>
    </row>
    <row r="233" spans="12:36" x14ac:dyDescent="0.3">
      <c r="L233" s="47"/>
      <c r="R233" s="51"/>
      <c r="X233" s="51"/>
      <c r="AD233" s="51"/>
      <c r="AJ233" s="51"/>
    </row>
    <row r="234" spans="12:36" x14ac:dyDescent="0.3">
      <c r="L234" s="47"/>
      <c r="R234" s="51"/>
      <c r="X234" s="51"/>
      <c r="AD234" s="51"/>
      <c r="AJ234" s="51"/>
    </row>
    <row r="235" spans="12:36" x14ac:dyDescent="0.3">
      <c r="L235" s="47"/>
      <c r="R235" s="51"/>
      <c r="X235" s="51"/>
      <c r="AD235" s="51"/>
      <c r="AJ235" s="51"/>
    </row>
    <row r="236" spans="12:36" x14ac:dyDescent="0.3">
      <c r="L236" s="47"/>
      <c r="R236" s="51"/>
      <c r="X236" s="51"/>
      <c r="AD236" s="51"/>
      <c r="AJ236" s="51"/>
    </row>
    <row r="237" spans="12:36" x14ac:dyDescent="0.3">
      <c r="L237" s="47"/>
      <c r="R237" s="51"/>
      <c r="X237" s="51"/>
      <c r="AD237" s="51"/>
      <c r="AJ237" s="51"/>
    </row>
    <row r="238" spans="12:36" x14ac:dyDescent="0.3">
      <c r="L238" s="47"/>
      <c r="R238" s="51"/>
      <c r="X238" s="51"/>
      <c r="AD238" s="51"/>
      <c r="AJ238" s="51"/>
    </row>
    <row r="239" spans="12:36" x14ac:dyDescent="0.3">
      <c r="L239" s="47"/>
      <c r="R239" s="51"/>
      <c r="X239" s="51"/>
      <c r="AD239" s="51"/>
      <c r="AJ239" s="51"/>
    </row>
    <row r="240" spans="12:36" x14ac:dyDescent="0.3">
      <c r="L240" s="47"/>
      <c r="R240" s="51"/>
      <c r="X240" s="51"/>
      <c r="AD240" s="51"/>
      <c r="AJ240" s="51"/>
    </row>
    <row r="241" spans="12:36" x14ac:dyDescent="0.3">
      <c r="L241" s="47"/>
      <c r="R241" s="51"/>
      <c r="X241" s="51"/>
      <c r="AD241" s="51"/>
      <c r="AJ241" s="51"/>
    </row>
    <row r="242" spans="12:36" x14ac:dyDescent="0.3">
      <c r="L242" s="47"/>
      <c r="R242" s="51"/>
      <c r="X242" s="51"/>
      <c r="AD242" s="51"/>
      <c r="AJ242" s="51"/>
    </row>
    <row r="243" spans="12:36" x14ac:dyDescent="0.3">
      <c r="L243" s="47"/>
      <c r="R243" s="51"/>
      <c r="X243" s="51"/>
      <c r="AD243" s="51"/>
      <c r="AJ243" s="51"/>
    </row>
    <row r="244" spans="12:36" x14ac:dyDescent="0.3">
      <c r="L244" s="47"/>
      <c r="R244" s="51"/>
      <c r="X244" s="51"/>
      <c r="AD244" s="51"/>
      <c r="AJ244" s="51"/>
    </row>
    <row r="245" spans="12:36" x14ac:dyDescent="0.3">
      <c r="L245" s="47"/>
      <c r="R245" s="51"/>
      <c r="X245" s="51"/>
      <c r="AD245" s="51"/>
      <c r="AJ245" s="51"/>
    </row>
    <row r="246" spans="12:36" x14ac:dyDescent="0.3">
      <c r="L246" s="47"/>
      <c r="R246" s="51"/>
      <c r="X246" s="51"/>
      <c r="AD246" s="51"/>
      <c r="AJ246" s="51"/>
    </row>
    <row r="247" spans="12:36" x14ac:dyDescent="0.3">
      <c r="L247" s="47"/>
      <c r="R247" s="51"/>
      <c r="X247" s="51"/>
      <c r="AD247" s="51"/>
      <c r="AJ247" s="51"/>
    </row>
    <row r="248" spans="12:36" x14ac:dyDescent="0.3">
      <c r="L248" s="47"/>
      <c r="R248" s="51"/>
      <c r="X248" s="51"/>
      <c r="AD248" s="51"/>
      <c r="AJ248" s="51"/>
    </row>
    <row r="249" spans="12:36" x14ac:dyDescent="0.3">
      <c r="L249" s="47"/>
      <c r="R249" s="51"/>
      <c r="X249" s="51"/>
      <c r="AD249" s="51"/>
      <c r="AJ249" s="51"/>
    </row>
    <row r="250" spans="12:36" x14ac:dyDescent="0.3">
      <c r="L250" s="47"/>
      <c r="R250" s="51"/>
      <c r="X250" s="51"/>
      <c r="AD250" s="51"/>
      <c r="AJ250" s="51"/>
    </row>
    <row r="251" spans="12:36" x14ac:dyDescent="0.3">
      <c r="L251" s="47"/>
      <c r="R251" s="51"/>
      <c r="X251" s="51"/>
      <c r="AD251" s="51"/>
      <c r="AJ251" s="51"/>
    </row>
    <row r="252" spans="12:36" x14ac:dyDescent="0.3">
      <c r="L252" s="47"/>
      <c r="R252" s="51"/>
      <c r="X252" s="51"/>
      <c r="AD252" s="51"/>
      <c r="AJ252" s="51"/>
    </row>
    <row r="253" spans="12:36" x14ac:dyDescent="0.3">
      <c r="L253" s="47"/>
      <c r="R253" s="51"/>
      <c r="X253" s="51"/>
      <c r="AD253" s="51"/>
      <c r="AJ253" s="51"/>
    </row>
    <row r="254" spans="12:36" x14ac:dyDescent="0.3">
      <c r="L254" s="47"/>
      <c r="R254" s="51"/>
      <c r="X254" s="51"/>
      <c r="AD254" s="51"/>
      <c r="AJ254" s="51"/>
    </row>
    <row r="255" spans="12:36" x14ac:dyDescent="0.3">
      <c r="L255" s="47"/>
      <c r="R255" s="51"/>
      <c r="X255" s="51"/>
      <c r="AD255" s="51"/>
      <c r="AJ255" s="51"/>
    </row>
    <row r="256" spans="12:36" x14ac:dyDescent="0.3">
      <c r="L256" s="47"/>
      <c r="R256" s="51"/>
      <c r="X256" s="51"/>
      <c r="AD256" s="51"/>
      <c r="AJ256" s="51"/>
    </row>
    <row r="257" spans="12:36" x14ac:dyDescent="0.3">
      <c r="L257" s="47"/>
      <c r="R257" s="51"/>
      <c r="X257" s="51"/>
      <c r="AD257" s="51"/>
      <c r="AJ257" s="51"/>
    </row>
    <row r="258" spans="12:36" x14ac:dyDescent="0.3">
      <c r="L258" s="47"/>
      <c r="R258" s="51"/>
      <c r="X258" s="51"/>
      <c r="AD258" s="51"/>
      <c r="AJ258" s="51"/>
    </row>
    <row r="259" spans="12:36" x14ac:dyDescent="0.3">
      <c r="L259" s="47"/>
      <c r="R259" s="51"/>
      <c r="X259" s="51"/>
      <c r="AD259" s="51"/>
      <c r="AJ259" s="51"/>
    </row>
    <row r="260" spans="12:36" x14ac:dyDescent="0.3">
      <c r="L260" s="47"/>
      <c r="R260" s="51"/>
      <c r="X260" s="51"/>
      <c r="AD260" s="51"/>
      <c r="AJ260" s="51"/>
    </row>
    <row r="261" spans="12:36" x14ac:dyDescent="0.3">
      <c r="L261" s="47"/>
      <c r="R261" s="51"/>
      <c r="X261" s="51"/>
      <c r="AD261" s="51"/>
      <c r="AJ261" s="51"/>
    </row>
    <row r="262" spans="12:36" x14ac:dyDescent="0.3">
      <c r="L262" s="47"/>
      <c r="R262" s="51"/>
      <c r="X262" s="51"/>
      <c r="AD262" s="51"/>
      <c r="AJ262" s="51"/>
    </row>
    <row r="263" spans="12:36" x14ac:dyDescent="0.3">
      <c r="L263" s="47"/>
      <c r="R263" s="51"/>
      <c r="X263" s="51"/>
      <c r="AD263" s="51"/>
      <c r="AJ263" s="51"/>
    </row>
    <row r="264" spans="12:36" x14ac:dyDescent="0.3">
      <c r="L264" s="47"/>
      <c r="R264" s="51"/>
      <c r="X264" s="51"/>
      <c r="AD264" s="51"/>
      <c r="AJ264" s="51"/>
    </row>
    <row r="265" spans="12:36" x14ac:dyDescent="0.3">
      <c r="L265" s="47"/>
      <c r="R265" s="51"/>
      <c r="X265" s="51"/>
      <c r="AD265" s="51"/>
      <c r="AJ265" s="51"/>
    </row>
    <row r="266" spans="12:36" x14ac:dyDescent="0.3">
      <c r="L266" s="47"/>
      <c r="R266" s="51"/>
      <c r="X266" s="51"/>
      <c r="AD266" s="51"/>
      <c r="AJ266" s="51"/>
    </row>
    <row r="267" spans="12:36" x14ac:dyDescent="0.3">
      <c r="L267" s="47"/>
      <c r="R267" s="51"/>
      <c r="X267" s="51"/>
      <c r="AD267" s="51"/>
      <c r="AJ267" s="51"/>
    </row>
    <row r="268" spans="12:36" x14ac:dyDescent="0.3">
      <c r="L268" s="47"/>
      <c r="R268" s="51"/>
      <c r="X268" s="51"/>
      <c r="AD268" s="51"/>
      <c r="AJ268" s="51"/>
    </row>
    <row r="269" spans="12:36" x14ac:dyDescent="0.3">
      <c r="L269" s="47"/>
      <c r="R269" s="51"/>
      <c r="X269" s="51"/>
      <c r="AD269" s="51"/>
      <c r="AJ269" s="51"/>
    </row>
    <row r="270" spans="12:36" x14ac:dyDescent="0.3">
      <c r="L270" s="47"/>
      <c r="R270" s="51"/>
      <c r="X270" s="51"/>
      <c r="AD270" s="51"/>
      <c r="AJ270" s="51"/>
    </row>
    <row r="271" spans="12:36" x14ac:dyDescent="0.3">
      <c r="L271" s="47"/>
      <c r="R271" s="51"/>
      <c r="X271" s="51"/>
      <c r="AD271" s="51"/>
      <c r="AJ271" s="51"/>
    </row>
    <row r="272" spans="12:36" x14ac:dyDescent="0.3">
      <c r="L272" s="47"/>
      <c r="R272" s="51"/>
      <c r="X272" s="51"/>
      <c r="AD272" s="51"/>
      <c r="AJ272" s="51"/>
    </row>
    <row r="273" spans="12:36" x14ac:dyDescent="0.3">
      <c r="L273" s="47"/>
      <c r="R273" s="51"/>
      <c r="X273" s="51"/>
      <c r="AD273" s="51"/>
      <c r="AJ273" s="51"/>
    </row>
    <row r="274" spans="12:36" x14ac:dyDescent="0.3">
      <c r="L274" s="47"/>
      <c r="R274" s="51"/>
      <c r="X274" s="51"/>
      <c r="AD274" s="51"/>
      <c r="AJ274" s="51"/>
    </row>
    <row r="275" spans="12:36" x14ac:dyDescent="0.3">
      <c r="L275" s="47"/>
      <c r="R275" s="51"/>
      <c r="X275" s="51"/>
      <c r="AD275" s="51"/>
      <c r="AJ275" s="51"/>
    </row>
    <row r="276" spans="12:36" x14ac:dyDescent="0.3">
      <c r="L276" s="47"/>
      <c r="R276" s="51"/>
      <c r="X276" s="51"/>
      <c r="AD276" s="51"/>
      <c r="AJ276" s="51"/>
    </row>
    <row r="277" spans="12:36" x14ac:dyDescent="0.3">
      <c r="L277" s="47"/>
      <c r="R277" s="51"/>
      <c r="X277" s="51"/>
      <c r="AD277" s="51"/>
      <c r="AJ277" s="51"/>
    </row>
    <row r="278" spans="12:36" x14ac:dyDescent="0.3">
      <c r="L278" s="47"/>
      <c r="R278" s="51"/>
      <c r="X278" s="51"/>
      <c r="AD278" s="51"/>
      <c r="AJ278" s="51"/>
    </row>
    <row r="279" spans="12:36" x14ac:dyDescent="0.3">
      <c r="L279" s="47"/>
      <c r="R279" s="51"/>
      <c r="X279" s="51"/>
      <c r="AD279" s="51"/>
      <c r="AJ279" s="51"/>
    </row>
    <row r="280" spans="12:36" x14ac:dyDescent="0.3">
      <c r="L280" s="47"/>
      <c r="R280" s="51"/>
      <c r="X280" s="51"/>
      <c r="AD280" s="51"/>
      <c r="AJ280" s="51"/>
    </row>
    <row r="281" spans="12:36" x14ac:dyDescent="0.3">
      <c r="L281" s="47"/>
      <c r="R281" s="51"/>
      <c r="X281" s="51"/>
      <c r="AD281" s="51"/>
      <c r="AJ281" s="51"/>
    </row>
    <row r="282" spans="12:36" x14ac:dyDescent="0.3">
      <c r="L282" s="47"/>
      <c r="R282" s="51"/>
      <c r="X282" s="51"/>
      <c r="AD282" s="51"/>
      <c r="AJ282" s="51"/>
    </row>
    <row r="283" spans="12:36" x14ac:dyDescent="0.3">
      <c r="L283" s="47"/>
      <c r="R283" s="51"/>
      <c r="X283" s="51"/>
      <c r="AD283" s="51"/>
      <c r="AJ283" s="51"/>
    </row>
    <row r="284" spans="12:36" x14ac:dyDescent="0.3">
      <c r="L284" s="47"/>
      <c r="R284" s="51"/>
      <c r="X284" s="51"/>
      <c r="AD284" s="51"/>
      <c r="AJ284" s="51"/>
    </row>
    <row r="285" spans="12:36" x14ac:dyDescent="0.3">
      <c r="L285" s="47"/>
      <c r="R285" s="51"/>
      <c r="X285" s="51"/>
      <c r="AD285" s="51"/>
      <c r="AJ285" s="51"/>
    </row>
    <row r="286" spans="12:36" x14ac:dyDescent="0.3">
      <c r="L286" s="47"/>
      <c r="R286" s="51"/>
      <c r="X286" s="51"/>
      <c r="AD286" s="51"/>
      <c r="AJ286" s="51"/>
    </row>
    <row r="287" spans="12:36" x14ac:dyDescent="0.3">
      <c r="L287" s="47"/>
      <c r="R287" s="51"/>
      <c r="X287" s="51"/>
      <c r="AD287" s="51"/>
      <c r="AJ287" s="51"/>
    </row>
    <row r="288" spans="12:36" x14ac:dyDescent="0.3">
      <c r="L288" s="47"/>
      <c r="R288" s="51"/>
      <c r="X288" s="51"/>
      <c r="AD288" s="51"/>
      <c r="AJ288" s="51"/>
    </row>
    <row r="289" spans="12:36" x14ac:dyDescent="0.3">
      <c r="L289" s="47"/>
      <c r="R289" s="51"/>
      <c r="X289" s="51"/>
      <c r="AD289" s="51"/>
      <c r="AJ289" s="51"/>
    </row>
    <row r="290" spans="12:36" x14ac:dyDescent="0.3">
      <c r="L290" s="47"/>
      <c r="R290" s="51"/>
      <c r="X290" s="51"/>
      <c r="AD290" s="51"/>
      <c r="AJ290" s="51"/>
    </row>
    <row r="291" spans="12:36" x14ac:dyDescent="0.3">
      <c r="L291" s="47"/>
      <c r="R291" s="51"/>
      <c r="X291" s="51"/>
      <c r="AD291" s="51"/>
      <c r="AJ291" s="51"/>
    </row>
    <row r="292" spans="12:36" x14ac:dyDescent="0.3">
      <c r="L292" s="47"/>
      <c r="R292" s="51"/>
      <c r="X292" s="51"/>
      <c r="AD292" s="51"/>
      <c r="AJ292" s="51"/>
    </row>
    <row r="293" spans="12:36" x14ac:dyDescent="0.3">
      <c r="L293" s="47"/>
      <c r="R293" s="51"/>
      <c r="X293" s="51"/>
      <c r="AD293" s="51"/>
      <c r="AJ293" s="51"/>
    </row>
    <row r="294" spans="12:36" x14ac:dyDescent="0.3">
      <c r="L294" s="47"/>
      <c r="R294" s="51"/>
      <c r="X294" s="51"/>
      <c r="AD294" s="51"/>
      <c r="AJ294" s="51"/>
    </row>
    <row r="295" spans="12:36" x14ac:dyDescent="0.3">
      <c r="L295" s="47"/>
      <c r="R295" s="51"/>
      <c r="X295" s="51"/>
      <c r="AD295" s="51"/>
      <c r="AJ295" s="51"/>
    </row>
    <row r="296" spans="12:36" x14ac:dyDescent="0.3">
      <c r="L296" s="47"/>
      <c r="R296" s="51"/>
      <c r="X296" s="51"/>
      <c r="AD296" s="51"/>
      <c r="AJ296" s="51"/>
    </row>
    <row r="297" spans="12:36" x14ac:dyDescent="0.3">
      <c r="L297" s="47"/>
      <c r="R297" s="51"/>
      <c r="X297" s="51"/>
      <c r="AD297" s="51"/>
      <c r="AJ297" s="51"/>
    </row>
    <row r="298" spans="12:36" x14ac:dyDescent="0.3">
      <c r="L298" s="47"/>
      <c r="R298" s="51"/>
      <c r="X298" s="51"/>
      <c r="AD298" s="51"/>
      <c r="AJ298" s="51"/>
    </row>
    <row r="299" spans="12:36" x14ac:dyDescent="0.3">
      <c r="L299" s="47"/>
      <c r="R299" s="51"/>
      <c r="X299" s="51"/>
      <c r="AD299" s="51"/>
      <c r="AJ299" s="51"/>
    </row>
    <row r="300" spans="12:36" x14ac:dyDescent="0.3">
      <c r="L300" s="47"/>
      <c r="R300" s="51"/>
      <c r="X300" s="51"/>
      <c r="AD300" s="51"/>
      <c r="AJ300" s="51"/>
    </row>
    <row r="301" spans="12:36" x14ac:dyDescent="0.3">
      <c r="L301" s="47"/>
      <c r="R301" s="51"/>
      <c r="X301" s="51"/>
      <c r="AD301" s="51"/>
      <c r="AJ301" s="51"/>
    </row>
    <row r="302" spans="12:36" x14ac:dyDescent="0.3">
      <c r="L302" s="47"/>
      <c r="R302" s="51"/>
      <c r="X302" s="51"/>
      <c r="AD302" s="51"/>
      <c r="AJ302" s="51"/>
    </row>
    <row r="303" spans="12:36" x14ac:dyDescent="0.3">
      <c r="L303" s="47"/>
      <c r="R303" s="51"/>
      <c r="X303" s="51"/>
      <c r="AD303" s="51"/>
      <c r="AJ303" s="51"/>
    </row>
    <row r="304" spans="12:36" x14ac:dyDescent="0.3">
      <c r="L304" s="47"/>
      <c r="R304" s="51"/>
      <c r="X304" s="51"/>
      <c r="AD304" s="51"/>
      <c r="AJ304" s="51"/>
    </row>
    <row r="305" spans="12:36" x14ac:dyDescent="0.3">
      <c r="L305" s="47"/>
      <c r="R305" s="51"/>
      <c r="X305" s="51"/>
      <c r="AD305" s="51"/>
      <c r="AJ305" s="51"/>
    </row>
    <row r="306" spans="12:36" x14ac:dyDescent="0.3">
      <c r="L306" s="47"/>
      <c r="R306" s="51"/>
      <c r="X306" s="51"/>
      <c r="AD306" s="51"/>
      <c r="AJ306" s="51"/>
    </row>
    <row r="307" spans="12:36" x14ac:dyDescent="0.3">
      <c r="L307" s="47"/>
      <c r="R307" s="51"/>
      <c r="X307" s="51"/>
      <c r="AD307" s="51"/>
      <c r="AJ307" s="51"/>
    </row>
    <row r="308" spans="12:36" x14ac:dyDescent="0.3">
      <c r="L308" s="47"/>
      <c r="R308" s="51"/>
      <c r="X308" s="51"/>
      <c r="AD308" s="51"/>
      <c r="AJ308" s="51"/>
    </row>
    <row r="309" spans="12:36" x14ac:dyDescent="0.3">
      <c r="L309" s="47"/>
      <c r="R309" s="51"/>
      <c r="X309" s="51"/>
      <c r="AD309" s="51"/>
      <c r="AJ309" s="51"/>
    </row>
    <row r="310" spans="12:36" x14ac:dyDescent="0.3">
      <c r="L310" s="47"/>
      <c r="R310" s="51"/>
      <c r="X310" s="51"/>
      <c r="AD310" s="51"/>
      <c r="AJ310" s="51"/>
    </row>
    <row r="311" spans="12:36" x14ac:dyDescent="0.3">
      <c r="L311" s="47"/>
      <c r="R311" s="51"/>
      <c r="X311" s="51"/>
      <c r="AD311" s="51"/>
      <c r="AJ311" s="51"/>
    </row>
    <row r="312" spans="12:36" x14ac:dyDescent="0.3">
      <c r="L312" s="47"/>
      <c r="R312" s="51"/>
      <c r="X312" s="51"/>
      <c r="AD312" s="51"/>
      <c r="AJ312" s="51"/>
    </row>
    <row r="313" spans="12:36" x14ac:dyDescent="0.3">
      <c r="L313" s="47"/>
      <c r="R313" s="51"/>
      <c r="X313" s="51"/>
      <c r="AD313" s="51"/>
      <c r="AJ313" s="51"/>
    </row>
    <row r="314" spans="12:36" x14ac:dyDescent="0.3">
      <c r="L314" s="47"/>
      <c r="R314" s="51"/>
      <c r="X314" s="51"/>
      <c r="AD314" s="51"/>
      <c r="AJ314" s="51"/>
    </row>
    <row r="315" spans="12:36" x14ac:dyDescent="0.3">
      <c r="L315" s="47"/>
      <c r="R315" s="51"/>
      <c r="X315" s="51"/>
      <c r="AD315" s="51"/>
      <c r="AJ315" s="51"/>
    </row>
    <row r="316" spans="12:36" x14ac:dyDescent="0.3">
      <c r="L316" s="47"/>
      <c r="R316" s="51"/>
      <c r="X316" s="51"/>
      <c r="AD316" s="51"/>
      <c r="AJ316" s="51"/>
    </row>
    <row r="317" spans="12:36" x14ac:dyDescent="0.3">
      <c r="L317" s="47"/>
      <c r="R317" s="51"/>
      <c r="X317" s="51"/>
      <c r="AD317" s="51"/>
      <c r="AJ317" s="51"/>
    </row>
    <row r="318" spans="12:36" x14ac:dyDescent="0.3">
      <c r="L318" s="47"/>
      <c r="R318" s="51"/>
      <c r="X318" s="51"/>
      <c r="AD318" s="51"/>
      <c r="AJ318" s="51"/>
    </row>
    <row r="319" spans="12:36" x14ac:dyDescent="0.3">
      <c r="L319" s="47"/>
      <c r="R319" s="51"/>
      <c r="X319" s="51"/>
      <c r="AD319" s="51"/>
      <c r="AJ319" s="51"/>
    </row>
    <row r="320" spans="12:36" x14ac:dyDescent="0.3">
      <c r="L320" s="47"/>
      <c r="R320" s="51"/>
      <c r="X320" s="51"/>
      <c r="AD320" s="51"/>
      <c r="AJ320" s="51"/>
    </row>
    <row r="321" spans="12:36" x14ac:dyDescent="0.3">
      <c r="L321" s="47"/>
      <c r="R321" s="51"/>
      <c r="X321" s="51"/>
      <c r="AD321" s="51"/>
      <c r="AJ321" s="51"/>
    </row>
    <row r="322" spans="12:36" x14ac:dyDescent="0.3">
      <c r="L322" s="47"/>
      <c r="R322" s="51"/>
      <c r="X322" s="51"/>
      <c r="AD322" s="51"/>
      <c r="AJ322" s="51"/>
    </row>
    <row r="323" spans="12:36" x14ac:dyDescent="0.3">
      <c r="L323" s="47"/>
      <c r="R323" s="51"/>
      <c r="X323" s="51"/>
      <c r="AD323" s="51"/>
      <c r="AJ323" s="51"/>
    </row>
    <row r="324" spans="12:36" x14ac:dyDescent="0.3">
      <c r="L324" s="47"/>
      <c r="R324" s="51"/>
      <c r="X324" s="51"/>
      <c r="AD324" s="51"/>
      <c r="AJ324" s="51"/>
    </row>
    <row r="325" spans="12:36" x14ac:dyDescent="0.3">
      <c r="L325" s="47"/>
      <c r="R325" s="51"/>
      <c r="X325" s="51"/>
      <c r="AD325" s="51"/>
      <c r="AJ325" s="51"/>
    </row>
    <row r="326" spans="12:36" x14ac:dyDescent="0.3">
      <c r="L326" s="47"/>
      <c r="R326" s="51"/>
      <c r="X326" s="51"/>
      <c r="AD326" s="51"/>
      <c r="AJ326" s="51"/>
    </row>
    <row r="327" spans="12:36" x14ac:dyDescent="0.3">
      <c r="L327" s="47"/>
      <c r="R327" s="51"/>
      <c r="X327" s="51"/>
      <c r="AD327" s="51"/>
      <c r="AJ327" s="51"/>
    </row>
    <row r="328" spans="12:36" x14ac:dyDescent="0.3">
      <c r="L328" s="47"/>
      <c r="R328" s="51"/>
      <c r="X328" s="51"/>
      <c r="AD328" s="51"/>
      <c r="AJ328" s="51"/>
    </row>
    <row r="329" spans="12:36" x14ac:dyDescent="0.3">
      <c r="L329" s="47"/>
      <c r="R329" s="51"/>
      <c r="X329" s="51"/>
      <c r="AD329" s="51"/>
      <c r="AJ329" s="51"/>
    </row>
    <row r="330" spans="12:36" x14ac:dyDescent="0.3">
      <c r="L330" s="47"/>
      <c r="R330" s="51"/>
      <c r="X330" s="51"/>
      <c r="AD330" s="51"/>
      <c r="AJ330" s="51"/>
    </row>
    <row r="331" spans="12:36" x14ac:dyDescent="0.3">
      <c r="L331" s="47"/>
      <c r="R331" s="51"/>
      <c r="X331" s="51"/>
      <c r="AD331" s="51"/>
      <c r="AJ331" s="51"/>
    </row>
    <row r="332" spans="12:36" x14ac:dyDescent="0.3">
      <c r="L332" s="47"/>
      <c r="R332" s="51"/>
      <c r="X332" s="51"/>
      <c r="AD332" s="51"/>
      <c r="AJ332" s="51"/>
    </row>
    <row r="333" spans="12:36" x14ac:dyDescent="0.3">
      <c r="L333" s="47"/>
      <c r="R333" s="51"/>
      <c r="X333" s="51"/>
      <c r="AD333" s="51"/>
      <c r="AJ333" s="51"/>
    </row>
    <row r="334" spans="12:36" x14ac:dyDescent="0.3">
      <c r="L334" s="47"/>
      <c r="R334" s="51"/>
      <c r="X334" s="51"/>
      <c r="AD334" s="51"/>
      <c r="AJ334" s="51"/>
    </row>
    <row r="335" spans="12:36" x14ac:dyDescent="0.3">
      <c r="L335" s="47"/>
      <c r="R335" s="51"/>
      <c r="X335" s="51"/>
      <c r="AD335" s="51"/>
      <c r="AJ335" s="51"/>
    </row>
    <row r="336" spans="12:36" x14ac:dyDescent="0.3">
      <c r="L336" s="47"/>
      <c r="R336" s="51"/>
      <c r="X336" s="51"/>
      <c r="AD336" s="51"/>
      <c r="AJ336" s="51"/>
    </row>
    <row r="337" spans="12:36" x14ac:dyDescent="0.3">
      <c r="L337" s="47"/>
      <c r="R337" s="51"/>
      <c r="X337" s="51"/>
      <c r="AD337" s="51"/>
      <c r="AJ337" s="51"/>
    </row>
    <row r="338" spans="12:36" x14ac:dyDescent="0.3">
      <c r="L338" s="47"/>
      <c r="R338" s="51"/>
      <c r="X338" s="51"/>
      <c r="AD338" s="51"/>
      <c r="AJ338" s="51"/>
    </row>
    <row r="339" spans="12:36" x14ac:dyDescent="0.3">
      <c r="L339" s="47"/>
      <c r="R339" s="51"/>
      <c r="X339" s="51"/>
      <c r="AD339" s="51"/>
      <c r="AJ339" s="51"/>
    </row>
    <row r="340" spans="12:36" x14ac:dyDescent="0.3">
      <c r="L340" s="47"/>
      <c r="R340" s="51"/>
      <c r="X340" s="51"/>
      <c r="AD340" s="51"/>
      <c r="AJ340" s="51"/>
    </row>
    <row r="341" spans="12:36" x14ac:dyDescent="0.3">
      <c r="L341" s="47"/>
      <c r="R341" s="51"/>
      <c r="X341" s="51"/>
      <c r="AD341" s="51"/>
      <c r="AJ341" s="51"/>
    </row>
    <row r="342" spans="12:36" x14ac:dyDescent="0.3">
      <c r="L342" s="47"/>
      <c r="R342" s="51"/>
      <c r="X342" s="51"/>
      <c r="AD342" s="51"/>
      <c r="AJ342" s="51"/>
    </row>
    <row r="343" spans="12:36" x14ac:dyDescent="0.3">
      <c r="L343" s="47"/>
      <c r="R343" s="51"/>
      <c r="X343" s="51"/>
      <c r="AD343" s="51"/>
      <c r="AJ343" s="51"/>
    </row>
    <row r="344" spans="12:36" x14ac:dyDescent="0.3">
      <c r="L344" s="47"/>
      <c r="R344" s="51"/>
      <c r="X344" s="51"/>
      <c r="AD344" s="51"/>
      <c r="AJ344" s="51"/>
    </row>
    <row r="345" spans="12:36" x14ac:dyDescent="0.3">
      <c r="L345" s="47"/>
      <c r="R345" s="51"/>
      <c r="X345" s="51"/>
      <c r="AD345" s="51"/>
      <c r="AJ345" s="51"/>
    </row>
    <row r="346" spans="12:36" x14ac:dyDescent="0.3">
      <c r="L346" s="47"/>
      <c r="R346" s="51"/>
      <c r="X346" s="51"/>
      <c r="AD346" s="51"/>
      <c r="AJ346" s="51"/>
    </row>
    <row r="347" spans="12:36" x14ac:dyDescent="0.3">
      <c r="L347" s="47"/>
      <c r="R347" s="51"/>
      <c r="X347" s="51"/>
      <c r="AD347" s="51"/>
      <c r="AJ347" s="51"/>
    </row>
    <row r="348" spans="12:36" x14ac:dyDescent="0.3">
      <c r="L348" s="47"/>
      <c r="R348" s="51"/>
      <c r="X348" s="51"/>
      <c r="AD348" s="51"/>
      <c r="AJ348" s="51"/>
    </row>
    <row r="349" spans="12:36" x14ac:dyDescent="0.3">
      <c r="L349" s="47"/>
      <c r="R349" s="51"/>
      <c r="X349" s="51"/>
      <c r="AD349" s="51"/>
      <c r="AJ349" s="51"/>
    </row>
    <row r="350" spans="12:36" x14ac:dyDescent="0.3">
      <c r="L350" s="47"/>
      <c r="R350" s="51"/>
      <c r="X350" s="51"/>
      <c r="AD350" s="51"/>
      <c r="AJ350" s="51"/>
    </row>
    <row r="351" spans="12:36" x14ac:dyDescent="0.3">
      <c r="L351" s="47"/>
      <c r="R351" s="51"/>
      <c r="X351" s="51"/>
      <c r="AD351" s="51"/>
      <c r="AJ351" s="51"/>
    </row>
    <row r="352" spans="12:36" x14ac:dyDescent="0.3">
      <c r="L352" s="47"/>
      <c r="R352" s="51"/>
      <c r="X352" s="51"/>
      <c r="AD352" s="51"/>
      <c r="AJ352" s="51"/>
    </row>
    <row r="353" spans="12:36" x14ac:dyDescent="0.3">
      <c r="L353" s="47"/>
      <c r="R353" s="51"/>
      <c r="X353" s="51"/>
      <c r="AD353" s="51"/>
      <c r="AJ353" s="51"/>
    </row>
    <row r="354" spans="12:36" x14ac:dyDescent="0.3">
      <c r="L354" s="47"/>
      <c r="R354" s="51"/>
      <c r="X354" s="51"/>
      <c r="AD354" s="51"/>
      <c r="AJ354" s="51"/>
    </row>
    <row r="355" spans="12:36" x14ac:dyDescent="0.3">
      <c r="L355" s="47"/>
      <c r="R355" s="51"/>
      <c r="X355" s="51"/>
      <c r="AD355" s="51"/>
      <c r="AJ355" s="51"/>
    </row>
    <row r="356" spans="12:36" x14ac:dyDescent="0.3">
      <c r="L356" s="47"/>
      <c r="R356" s="51"/>
      <c r="X356" s="51"/>
      <c r="AD356" s="51"/>
      <c r="AJ356" s="51"/>
    </row>
    <row r="357" spans="12:36" x14ac:dyDescent="0.3">
      <c r="L357" s="47"/>
      <c r="R357" s="51"/>
      <c r="X357" s="51"/>
      <c r="AD357" s="51"/>
      <c r="AJ357" s="51"/>
    </row>
    <row r="358" spans="12:36" x14ac:dyDescent="0.3">
      <c r="L358" s="47"/>
      <c r="R358" s="51"/>
      <c r="X358" s="51"/>
      <c r="AD358" s="51"/>
      <c r="AJ358" s="51"/>
    </row>
    <row r="359" spans="12:36" x14ac:dyDescent="0.3">
      <c r="L359" s="47"/>
      <c r="R359" s="51"/>
      <c r="X359" s="51"/>
      <c r="AD359" s="51"/>
      <c r="AJ359" s="51"/>
    </row>
    <row r="360" spans="12:36" x14ac:dyDescent="0.3">
      <c r="L360" s="47"/>
      <c r="R360" s="51"/>
      <c r="X360" s="51"/>
      <c r="AD360" s="51"/>
      <c r="AJ360" s="51"/>
    </row>
    <row r="361" spans="12:36" x14ac:dyDescent="0.3">
      <c r="L361" s="47"/>
      <c r="R361" s="51"/>
      <c r="X361" s="51"/>
      <c r="AD361" s="51"/>
      <c r="AJ361" s="51"/>
    </row>
    <row r="362" spans="12:36" x14ac:dyDescent="0.3">
      <c r="L362" s="47"/>
      <c r="R362" s="51"/>
      <c r="X362" s="51"/>
      <c r="AD362" s="51"/>
      <c r="AJ362" s="51"/>
    </row>
    <row r="363" spans="12:36" x14ac:dyDescent="0.3">
      <c r="L363" s="47"/>
      <c r="R363" s="51"/>
      <c r="X363" s="51"/>
      <c r="AD363" s="51"/>
      <c r="AJ363" s="51"/>
    </row>
    <row r="364" spans="12:36" x14ac:dyDescent="0.3">
      <c r="L364" s="47"/>
      <c r="R364" s="51"/>
      <c r="X364" s="51"/>
      <c r="AD364" s="51"/>
      <c r="AJ364" s="51"/>
    </row>
    <row r="365" spans="12:36" x14ac:dyDescent="0.3">
      <c r="L365" s="47"/>
      <c r="R365" s="51"/>
      <c r="X365" s="51"/>
      <c r="AD365" s="51"/>
      <c r="AJ365" s="51"/>
    </row>
    <row r="366" spans="12:36" x14ac:dyDescent="0.3">
      <c r="L366" s="47"/>
      <c r="R366" s="51"/>
      <c r="X366" s="51"/>
      <c r="AD366" s="51"/>
      <c r="AJ366" s="51"/>
    </row>
    <row r="367" spans="12:36" x14ac:dyDescent="0.3">
      <c r="L367" s="47"/>
      <c r="R367" s="51"/>
      <c r="X367" s="51"/>
      <c r="AD367" s="51"/>
      <c r="AJ367" s="51"/>
    </row>
    <row r="368" spans="12:36" x14ac:dyDescent="0.3">
      <c r="L368" s="47"/>
      <c r="R368" s="51"/>
      <c r="X368" s="51"/>
      <c r="AD368" s="51"/>
      <c r="AJ368" s="51"/>
    </row>
    <row r="369" spans="12:36" x14ac:dyDescent="0.3">
      <c r="L369" s="47"/>
      <c r="R369" s="51"/>
      <c r="X369" s="51"/>
      <c r="AD369" s="51"/>
      <c r="AJ369" s="51"/>
    </row>
    <row r="370" spans="12:36" x14ac:dyDescent="0.3">
      <c r="L370" s="47"/>
      <c r="R370" s="51"/>
      <c r="X370" s="51"/>
      <c r="AD370" s="51"/>
      <c r="AJ370" s="51"/>
    </row>
    <row r="371" spans="12:36" x14ac:dyDescent="0.3">
      <c r="L371" s="47"/>
      <c r="R371" s="51"/>
      <c r="X371" s="51"/>
      <c r="AD371" s="51"/>
      <c r="AJ371" s="51"/>
    </row>
    <row r="372" spans="12:36" x14ac:dyDescent="0.3">
      <c r="L372" s="47"/>
      <c r="R372" s="51"/>
      <c r="X372" s="51"/>
      <c r="AD372" s="51"/>
      <c r="AJ372" s="51"/>
    </row>
    <row r="373" spans="12:36" x14ac:dyDescent="0.3">
      <c r="L373" s="47"/>
      <c r="R373" s="51"/>
      <c r="X373" s="51"/>
      <c r="AD373" s="51"/>
      <c r="AJ373" s="51"/>
    </row>
    <row r="374" spans="12:36" x14ac:dyDescent="0.3">
      <c r="L374" s="47"/>
      <c r="R374" s="51"/>
      <c r="X374" s="51"/>
      <c r="AD374" s="51"/>
      <c r="AJ374" s="51"/>
    </row>
    <row r="375" spans="12:36" x14ac:dyDescent="0.3">
      <c r="L375" s="47"/>
      <c r="R375" s="51"/>
      <c r="X375" s="51"/>
      <c r="AD375" s="51"/>
      <c r="AJ375" s="51"/>
    </row>
    <row r="376" spans="12:36" x14ac:dyDescent="0.3">
      <c r="L376" s="47"/>
      <c r="R376" s="51"/>
      <c r="X376" s="51"/>
      <c r="AD376" s="51"/>
      <c r="AJ376" s="51"/>
    </row>
    <row r="377" spans="12:36" x14ac:dyDescent="0.3">
      <c r="L377" s="47"/>
      <c r="R377" s="51"/>
      <c r="X377" s="51"/>
      <c r="AD377" s="51"/>
      <c r="AJ377" s="51"/>
    </row>
    <row r="378" spans="12:36" x14ac:dyDescent="0.3">
      <c r="L378" s="47"/>
      <c r="R378" s="51"/>
      <c r="X378" s="51"/>
      <c r="AD378" s="51"/>
      <c r="AJ378" s="51"/>
    </row>
    <row r="379" spans="12:36" x14ac:dyDescent="0.3">
      <c r="L379" s="47"/>
      <c r="R379" s="51"/>
      <c r="X379" s="51"/>
      <c r="AD379" s="51"/>
      <c r="AJ379" s="51"/>
    </row>
    <row r="380" spans="12:36" x14ac:dyDescent="0.3">
      <c r="L380" s="47"/>
      <c r="R380" s="51"/>
      <c r="X380" s="51"/>
      <c r="AD380" s="51"/>
      <c r="AJ380" s="51"/>
    </row>
    <row r="381" spans="12:36" x14ac:dyDescent="0.3">
      <c r="L381" s="47"/>
      <c r="R381" s="51"/>
      <c r="X381" s="51"/>
      <c r="AD381" s="51"/>
      <c r="AJ381" s="51"/>
    </row>
    <row r="382" spans="12:36" x14ac:dyDescent="0.3">
      <c r="L382" s="47"/>
      <c r="R382" s="51"/>
      <c r="X382" s="51"/>
      <c r="AD382" s="51"/>
      <c r="AJ382" s="51"/>
    </row>
    <row r="383" spans="12:36" x14ac:dyDescent="0.3">
      <c r="L383" s="47"/>
      <c r="R383" s="51"/>
      <c r="X383" s="51"/>
      <c r="AD383" s="51"/>
      <c r="AJ383" s="51"/>
    </row>
    <row r="384" spans="12:36" x14ac:dyDescent="0.3">
      <c r="L384" s="47"/>
      <c r="R384" s="51"/>
      <c r="X384" s="51"/>
      <c r="AD384" s="51"/>
      <c r="AJ384" s="51"/>
    </row>
    <row r="385" spans="12:36" x14ac:dyDescent="0.3">
      <c r="L385" s="47"/>
      <c r="R385" s="51"/>
      <c r="X385" s="51"/>
      <c r="AD385" s="51"/>
      <c r="AJ385" s="51"/>
    </row>
    <row r="386" spans="12:36" x14ac:dyDescent="0.3">
      <c r="L386" s="47"/>
      <c r="R386" s="51"/>
      <c r="X386" s="51"/>
      <c r="AD386" s="51"/>
      <c r="AJ386" s="51"/>
    </row>
    <row r="387" spans="12:36" x14ac:dyDescent="0.3">
      <c r="L387" s="47"/>
      <c r="R387" s="51"/>
      <c r="X387" s="51"/>
      <c r="AD387" s="51"/>
      <c r="AJ387" s="51"/>
    </row>
    <row r="388" spans="12:36" x14ac:dyDescent="0.3">
      <c r="L388" s="47"/>
      <c r="R388" s="51"/>
      <c r="X388" s="51"/>
      <c r="AD388" s="51"/>
      <c r="AJ388" s="51"/>
    </row>
    <row r="389" spans="12:36" x14ac:dyDescent="0.3">
      <c r="L389" s="47"/>
      <c r="R389" s="51"/>
      <c r="X389" s="51"/>
      <c r="AD389" s="51"/>
      <c r="AJ389" s="51"/>
    </row>
    <row r="390" spans="12:36" x14ac:dyDescent="0.3">
      <c r="L390" s="47"/>
      <c r="R390" s="51"/>
      <c r="X390" s="51"/>
      <c r="AD390" s="51"/>
      <c r="AJ390" s="51"/>
    </row>
    <row r="391" spans="12:36" x14ac:dyDescent="0.3">
      <c r="L391" s="47"/>
      <c r="R391" s="51"/>
      <c r="X391" s="51"/>
      <c r="AD391" s="51"/>
      <c r="AJ391" s="51"/>
    </row>
    <row r="392" spans="12:36" x14ac:dyDescent="0.3">
      <c r="L392" s="47"/>
      <c r="R392" s="51"/>
      <c r="X392" s="51"/>
      <c r="AD392" s="51"/>
      <c r="AJ392" s="51"/>
    </row>
    <row r="393" spans="12:36" x14ac:dyDescent="0.3">
      <c r="L393" s="47"/>
      <c r="R393" s="51"/>
      <c r="X393" s="51"/>
      <c r="AD393" s="51"/>
      <c r="AJ393" s="51"/>
    </row>
    <row r="394" spans="12:36" x14ac:dyDescent="0.3">
      <c r="L394" s="47"/>
      <c r="R394" s="51"/>
      <c r="X394" s="51"/>
      <c r="AD394" s="51"/>
      <c r="AJ394" s="51"/>
    </row>
    <row r="395" spans="12:36" x14ac:dyDescent="0.3">
      <c r="L395" s="47"/>
      <c r="R395" s="51"/>
      <c r="X395" s="51"/>
      <c r="AD395" s="51"/>
      <c r="AJ395" s="51"/>
    </row>
    <row r="396" spans="12:36" x14ac:dyDescent="0.3">
      <c r="L396" s="47"/>
      <c r="R396" s="51"/>
      <c r="X396" s="51"/>
      <c r="AD396" s="51"/>
      <c r="AJ396" s="51"/>
    </row>
    <row r="397" spans="12:36" x14ac:dyDescent="0.3">
      <c r="L397" s="47"/>
      <c r="R397" s="51"/>
      <c r="X397" s="51"/>
      <c r="AD397" s="51"/>
      <c r="AJ397" s="51"/>
    </row>
    <row r="398" spans="12:36" x14ac:dyDescent="0.3">
      <c r="L398" s="47"/>
      <c r="R398" s="51"/>
      <c r="X398" s="51"/>
      <c r="AD398" s="51"/>
      <c r="AJ398" s="51"/>
    </row>
    <row r="399" spans="12:36" x14ac:dyDescent="0.3">
      <c r="L399" s="47"/>
      <c r="R399" s="51"/>
      <c r="X399" s="51"/>
      <c r="AD399" s="51"/>
      <c r="AJ399" s="51"/>
    </row>
    <row r="400" spans="12:36" x14ac:dyDescent="0.3">
      <c r="L400" s="47"/>
      <c r="R400" s="51"/>
      <c r="X400" s="51"/>
      <c r="AD400" s="51"/>
      <c r="AJ400" s="51"/>
    </row>
    <row r="401" spans="12:36" x14ac:dyDescent="0.3">
      <c r="L401" s="47"/>
      <c r="R401" s="51"/>
      <c r="X401" s="51"/>
      <c r="AD401" s="51"/>
      <c r="AJ401" s="51"/>
    </row>
    <row r="402" spans="12:36" x14ac:dyDescent="0.3">
      <c r="L402" s="47"/>
      <c r="R402" s="51"/>
      <c r="X402" s="51"/>
      <c r="AD402" s="51"/>
      <c r="AJ402" s="51"/>
    </row>
    <row r="403" spans="12:36" x14ac:dyDescent="0.3">
      <c r="L403" s="47"/>
      <c r="R403" s="51"/>
      <c r="X403" s="51"/>
      <c r="AD403" s="51"/>
      <c r="AJ403" s="51"/>
    </row>
    <row r="404" spans="12:36" x14ac:dyDescent="0.3">
      <c r="L404" s="47"/>
      <c r="R404" s="51"/>
      <c r="X404" s="51"/>
      <c r="AD404" s="51"/>
      <c r="AJ404" s="51"/>
    </row>
    <row r="405" spans="12:36" x14ac:dyDescent="0.3">
      <c r="L405" s="47"/>
      <c r="R405" s="51"/>
      <c r="X405" s="51"/>
      <c r="AD405" s="51"/>
      <c r="AJ405" s="51"/>
    </row>
    <row r="406" spans="12:36" x14ac:dyDescent="0.3">
      <c r="L406" s="47"/>
      <c r="R406" s="51"/>
      <c r="X406" s="51"/>
      <c r="AD406" s="51"/>
      <c r="AJ406" s="51"/>
    </row>
    <row r="407" spans="12:36" x14ac:dyDescent="0.3">
      <c r="L407" s="47"/>
      <c r="R407" s="51"/>
      <c r="X407" s="51"/>
      <c r="AD407" s="51"/>
      <c r="AJ407" s="51"/>
    </row>
    <row r="408" spans="12:36" x14ac:dyDescent="0.3">
      <c r="L408" s="47"/>
      <c r="R408" s="51"/>
      <c r="X408" s="51"/>
      <c r="AD408" s="51"/>
      <c r="AJ408" s="51"/>
    </row>
    <row r="409" spans="12:36" x14ac:dyDescent="0.3">
      <c r="L409" s="47"/>
      <c r="R409" s="51"/>
      <c r="X409" s="51"/>
      <c r="AD409" s="51"/>
      <c r="AJ409" s="51"/>
    </row>
    <row r="410" spans="12:36" x14ac:dyDescent="0.3">
      <c r="L410" s="47"/>
      <c r="R410" s="51"/>
      <c r="X410" s="51"/>
      <c r="AD410" s="51"/>
      <c r="AJ410" s="51"/>
    </row>
    <row r="411" spans="12:36" x14ac:dyDescent="0.3">
      <c r="L411" s="47"/>
      <c r="R411" s="51"/>
      <c r="X411" s="51"/>
      <c r="AD411" s="51"/>
      <c r="AJ411" s="51"/>
    </row>
    <row r="412" spans="12:36" x14ac:dyDescent="0.3">
      <c r="L412" s="47"/>
      <c r="R412" s="51"/>
      <c r="X412" s="51"/>
      <c r="AD412" s="51"/>
      <c r="AJ412" s="51"/>
    </row>
    <row r="413" spans="12:36" x14ac:dyDescent="0.3">
      <c r="L413" s="47"/>
      <c r="R413" s="51"/>
      <c r="X413" s="51"/>
      <c r="AD413" s="51"/>
      <c r="AJ413" s="51"/>
    </row>
    <row r="414" spans="12:36" x14ac:dyDescent="0.3">
      <c r="L414" s="47"/>
      <c r="R414" s="51"/>
      <c r="X414" s="51"/>
      <c r="AD414" s="51"/>
      <c r="AJ414" s="51"/>
    </row>
    <row r="415" spans="12:36" x14ac:dyDescent="0.3">
      <c r="L415" s="47"/>
      <c r="R415" s="51"/>
      <c r="X415" s="51"/>
      <c r="AD415" s="51"/>
      <c r="AJ415" s="51"/>
    </row>
    <row r="416" spans="12:36" x14ac:dyDescent="0.3">
      <c r="L416" s="47"/>
      <c r="R416" s="51"/>
      <c r="X416" s="51"/>
      <c r="AD416" s="51"/>
      <c r="AJ416" s="51"/>
    </row>
    <row r="417" spans="12:36" x14ac:dyDescent="0.3">
      <c r="L417" s="47"/>
      <c r="R417" s="51"/>
      <c r="X417" s="51"/>
      <c r="AD417" s="51"/>
      <c r="AJ417" s="51"/>
    </row>
    <row r="418" spans="12:36" x14ac:dyDescent="0.3">
      <c r="L418" s="47"/>
      <c r="R418" s="51"/>
      <c r="X418" s="51"/>
      <c r="AD418" s="51"/>
      <c r="AJ418" s="51"/>
    </row>
    <row r="419" spans="12:36" x14ac:dyDescent="0.3">
      <c r="L419" s="47"/>
      <c r="R419" s="51"/>
      <c r="X419" s="51"/>
      <c r="AD419" s="51"/>
      <c r="AJ419" s="51"/>
    </row>
    <row r="420" spans="12:36" x14ac:dyDescent="0.3">
      <c r="L420" s="47"/>
      <c r="R420" s="51"/>
      <c r="X420" s="51"/>
      <c r="AD420" s="51"/>
      <c r="AJ420" s="51"/>
    </row>
    <row r="421" spans="12:36" x14ac:dyDescent="0.3">
      <c r="L421" s="47"/>
      <c r="R421" s="51"/>
      <c r="X421" s="51"/>
      <c r="AD421" s="51"/>
      <c r="AJ421" s="51"/>
    </row>
    <row r="422" spans="12:36" x14ac:dyDescent="0.3">
      <c r="L422" s="47"/>
      <c r="R422" s="51"/>
      <c r="X422" s="51"/>
      <c r="AD422" s="51"/>
      <c r="AJ422" s="51"/>
    </row>
    <row r="423" spans="12:36" x14ac:dyDescent="0.3">
      <c r="L423" s="47"/>
      <c r="R423" s="51"/>
      <c r="X423" s="51"/>
      <c r="AD423" s="51"/>
      <c r="AJ423" s="51"/>
    </row>
    <row r="424" spans="12:36" x14ac:dyDescent="0.3">
      <c r="L424" s="47"/>
      <c r="R424" s="51"/>
      <c r="X424" s="51"/>
      <c r="AD424" s="51"/>
      <c r="AJ424" s="51"/>
    </row>
    <row r="425" spans="12:36" x14ac:dyDescent="0.3">
      <c r="L425" s="47"/>
      <c r="R425" s="51"/>
      <c r="X425" s="51"/>
      <c r="AD425" s="51"/>
      <c r="AJ425" s="51"/>
    </row>
    <row r="426" spans="12:36" x14ac:dyDescent="0.3">
      <c r="L426" s="47"/>
      <c r="R426" s="51"/>
      <c r="X426" s="51"/>
      <c r="AD426" s="51"/>
      <c r="AJ426" s="51"/>
    </row>
    <row r="427" spans="12:36" x14ac:dyDescent="0.3">
      <c r="L427" s="47"/>
      <c r="R427" s="51"/>
      <c r="X427" s="51"/>
      <c r="AD427" s="51"/>
      <c r="AJ427" s="51"/>
    </row>
    <row r="428" spans="12:36" x14ac:dyDescent="0.3">
      <c r="L428" s="47"/>
      <c r="R428" s="51"/>
      <c r="X428" s="51"/>
      <c r="AD428" s="51"/>
      <c r="AJ428" s="51"/>
    </row>
    <row r="429" spans="12:36" x14ac:dyDescent="0.3">
      <c r="L429" s="47"/>
      <c r="R429" s="51"/>
      <c r="X429" s="51"/>
      <c r="AD429" s="51"/>
      <c r="AJ429" s="51"/>
    </row>
    <row r="430" spans="12:36" x14ac:dyDescent="0.3">
      <c r="L430" s="47"/>
      <c r="R430" s="51"/>
      <c r="X430" s="51"/>
      <c r="AD430" s="51"/>
      <c r="AJ430" s="51"/>
    </row>
    <row r="431" spans="12:36" x14ac:dyDescent="0.3">
      <c r="L431" s="47"/>
      <c r="R431" s="51"/>
      <c r="X431" s="51"/>
      <c r="AD431" s="51"/>
      <c r="AJ431" s="51"/>
    </row>
    <row r="432" spans="12:36" x14ac:dyDescent="0.3">
      <c r="L432" s="47"/>
      <c r="R432" s="51"/>
      <c r="X432" s="51"/>
      <c r="AD432" s="51"/>
      <c r="AJ432" s="51"/>
    </row>
    <row r="433" spans="12:36" x14ac:dyDescent="0.3">
      <c r="L433" s="47"/>
      <c r="R433" s="51"/>
      <c r="X433" s="51"/>
      <c r="AD433" s="51"/>
      <c r="AJ433" s="51"/>
    </row>
    <row r="434" spans="12:36" x14ac:dyDescent="0.3">
      <c r="L434" s="47"/>
      <c r="R434" s="51"/>
      <c r="X434" s="51"/>
      <c r="AD434" s="51"/>
      <c r="AJ434" s="51"/>
    </row>
    <row r="435" spans="12:36" x14ac:dyDescent="0.3">
      <c r="L435" s="47"/>
      <c r="R435" s="51"/>
      <c r="X435" s="51"/>
      <c r="AD435" s="51"/>
      <c r="AJ435" s="51"/>
    </row>
    <row r="436" spans="12:36" x14ac:dyDescent="0.3">
      <c r="L436" s="47"/>
      <c r="R436" s="51"/>
      <c r="X436" s="51"/>
      <c r="AD436" s="51"/>
      <c r="AJ436" s="51"/>
    </row>
    <row r="437" spans="12:36" x14ac:dyDescent="0.3">
      <c r="L437" s="47"/>
      <c r="R437" s="51"/>
      <c r="X437" s="51"/>
      <c r="AD437" s="51"/>
      <c r="AJ437" s="51"/>
    </row>
    <row r="438" spans="12:36" x14ac:dyDescent="0.3">
      <c r="L438" s="47"/>
      <c r="R438" s="51"/>
      <c r="X438" s="51"/>
      <c r="AD438" s="51"/>
      <c r="AJ438" s="51"/>
    </row>
    <row r="439" spans="12:36" x14ac:dyDescent="0.3">
      <c r="L439" s="47"/>
      <c r="R439" s="51"/>
      <c r="X439" s="51"/>
      <c r="AD439" s="51"/>
      <c r="AJ439" s="51"/>
    </row>
    <row r="440" spans="12:36" x14ac:dyDescent="0.3">
      <c r="L440" s="47"/>
      <c r="R440" s="51"/>
      <c r="X440" s="51"/>
      <c r="AD440" s="51"/>
      <c r="AJ440" s="51"/>
    </row>
    <row r="441" spans="12:36" x14ac:dyDescent="0.3">
      <c r="L441" s="47"/>
      <c r="R441" s="51"/>
      <c r="X441" s="51"/>
      <c r="AD441" s="51"/>
      <c r="AJ441" s="51"/>
    </row>
    <row r="442" spans="12:36" x14ac:dyDescent="0.3">
      <c r="L442" s="47"/>
      <c r="R442" s="51"/>
      <c r="X442" s="51"/>
      <c r="AD442" s="51"/>
      <c r="AJ442" s="51"/>
    </row>
    <row r="443" spans="12:36" x14ac:dyDescent="0.3">
      <c r="L443" s="47"/>
      <c r="R443" s="51"/>
      <c r="X443" s="51"/>
      <c r="AD443" s="51"/>
      <c r="AJ443" s="51"/>
    </row>
    <row r="444" spans="12:36" x14ac:dyDescent="0.3">
      <c r="L444" s="47"/>
      <c r="R444" s="51"/>
      <c r="X444" s="51"/>
      <c r="AD444" s="51"/>
      <c r="AJ444" s="51"/>
    </row>
    <row r="445" spans="12:36" x14ac:dyDescent="0.3">
      <c r="L445" s="47"/>
      <c r="R445" s="51"/>
      <c r="X445" s="51"/>
      <c r="AD445" s="51"/>
      <c r="AJ445" s="51"/>
    </row>
    <row r="446" spans="12:36" x14ac:dyDescent="0.3">
      <c r="L446" s="47"/>
      <c r="R446" s="51"/>
      <c r="X446" s="51"/>
      <c r="AD446" s="51"/>
      <c r="AJ446" s="51"/>
    </row>
    <row r="447" spans="12:36" x14ac:dyDescent="0.3">
      <c r="L447" s="47"/>
      <c r="R447" s="51"/>
      <c r="X447" s="51"/>
      <c r="AD447" s="51"/>
      <c r="AJ447" s="51"/>
    </row>
    <row r="448" spans="12:36" x14ac:dyDescent="0.3">
      <c r="L448" s="47"/>
      <c r="R448" s="51"/>
      <c r="X448" s="51"/>
      <c r="AD448" s="51"/>
      <c r="AJ448" s="51"/>
    </row>
    <row r="449" spans="12:36" x14ac:dyDescent="0.3">
      <c r="L449" s="47"/>
      <c r="R449" s="51"/>
      <c r="X449" s="51"/>
      <c r="AD449" s="51"/>
      <c r="AJ449" s="51"/>
    </row>
    <row r="450" spans="12:36" x14ac:dyDescent="0.3">
      <c r="L450" s="47"/>
      <c r="R450" s="51"/>
      <c r="X450" s="51"/>
      <c r="AD450" s="51"/>
      <c r="AJ450" s="51"/>
    </row>
    <row r="451" spans="12:36" x14ac:dyDescent="0.3">
      <c r="L451" s="47"/>
      <c r="R451" s="51"/>
      <c r="X451" s="51"/>
      <c r="AD451" s="51"/>
      <c r="AJ451" s="51"/>
    </row>
    <row r="452" spans="12:36" x14ac:dyDescent="0.3">
      <c r="L452" s="47"/>
      <c r="R452" s="51"/>
      <c r="X452" s="51"/>
      <c r="AD452" s="51"/>
      <c r="AJ452" s="51"/>
    </row>
    <row r="453" spans="12:36" x14ac:dyDescent="0.3">
      <c r="L453" s="47"/>
      <c r="R453" s="51"/>
      <c r="X453" s="51"/>
      <c r="AD453" s="51"/>
      <c r="AJ453" s="51"/>
    </row>
    <row r="454" spans="12:36" x14ac:dyDescent="0.3">
      <c r="L454" s="47"/>
      <c r="R454" s="51"/>
      <c r="X454" s="51"/>
      <c r="AD454" s="51"/>
      <c r="AJ454" s="51"/>
    </row>
    <row r="455" spans="12:36" x14ac:dyDescent="0.3">
      <c r="L455" s="47"/>
      <c r="R455" s="51"/>
      <c r="X455" s="51"/>
      <c r="AD455" s="51"/>
      <c r="AJ455" s="51"/>
    </row>
    <row r="456" spans="12:36" x14ac:dyDescent="0.3">
      <c r="L456" s="47"/>
      <c r="R456" s="51"/>
      <c r="X456" s="51"/>
      <c r="AD456" s="51"/>
      <c r="AJ456" s="51"/>
    </row>
    <row r="457" spans="12:36" x14ac:dyDescent="0.3">
      <c r="L457" s="47"/>
      <c r="R457" s="51"/>
      <c r="X457" s="51"/>
      <c r="AD457" s="51"/>
      <c r="AJ457" s="51"/>
    </row>
    <row r="458" spans="12:36" x14ac:dyDescent="0.3">
      <c r="L458" s="47"/>
      <c r="R458" s="51"/>
      <c r="X458" s="51"/>
      <c r="AD458" s="51"/>
      <c r="AJ458" s="51"/>
    </row>
    <row r="459" spans="12:36" x14ac:dyDescent="0.3">
      <c r="L459" s="47"/>
      <c r="R459" s="51"/>
      <c r="X459" s="51"/>
      <c r="AD459" s="51"/>
      <c r="AJ459" s="51"/>
    </row>
    <row r="460" spans="12:36" x14ac:dyDescent="0.3">
      <c r="L460" s="47"/>
      <c r="R460" s="51"/>
      <c r="X460" s="51"/>
      <c r="AD460" s="51"/>
      <c r="AJ460" s="51"/>
    </row>
    <row r="461" spans="12:36" x14ac:dyDescent="0.3">
      <c r="L461" s="47"/>
      <c r="R461" s="51"/>
      <c r="X461" s="51"/>
      <c r="AD461" s="51"/>
      <c r="AJ461" s="51"/>
    </row>
    <row r="462" spans="12:36" x14ac:dyDescent="0.3">
      <c r="L462" s="47"/>
      <c r="R462" s="51"/>
      <c r="X462" s="51"/>
      <c r="AD462" s="51"/>
      <c r="AJ462" s="51"/>
    </row>
    <row r="463" spans="12:36" x14ac:dyDescent="0.3">
      <c r="L463" s="47"/>
      <c r="R463" s="51"/>
      <c r="X463" s="51"/>
      <c r="AD463" s="51"/>
      <c r="AJ463" s="51"/>
    </row>
    <row r="464" spans="12:36" x14ac:dyDescent="0.3">
      <c r="L464" s="47"/>
      <c r="R464" s="51"/>
      <c r="X464" s="51"/>
      <c r="AD464" s="51"/>
      <c r="AJ464" s="51"/>
    </row>
    <row r="465" spans="12:36" x14ac:dyDescent="0.3">
      <c r="L465" s="47"/>
      <c r="R465" s="51"/>
      <c r="X465" s="51"/>
      <c r="AD465" s="51"/>
      <c r="AJ465" s="51"/>
    </row>
    <row r="466" spans="12:36" x14ac:dyDescent="0.3">
      <c r="L466" s="47"/>
      <c r="R466" s="51"/>
      <c r="X466" s="51"/>
      <c r="AD466" s="51"/>
      <c r="AJ466" s="51"/>
    </row>
    <row r="467" spans="12:36" x14ac:dyDescent="0.3">
      <c r="L467" s="47"/>
      <c r="R467" s="51"/>
      <c r="X467" s="51"/>
      <c r="AD467" s="51"/>
      <c r="AJ467" s="51"/>
    </row>
    <row r="468" spans="12:36" x14ac:dyDescent="0.3">
      <c r="L468" s="47"/>
      <c r="R468" s="51"/>
      <c r="X468" s="51"/>
      <c r="AD468" s="51"/>
      <c r="AJ468" s="51"/>
    </row>
    <row r="469" spans="12:36" x14ac:dyDescent="0.3">
      <c r="L469" s="47"/>
      <c r="R469" s="51"/>
      <c r="X469" s="51"/>
      <c r="AD469" s="51"/>
      <c r="AJ469" s="51"/>
    </row>
    <row r="470" spans="12:36" x14ac:dyDescent="0.3">
      <c r="L470" s="47"/>
      <c r="R470" s="51"/>
      <c r="X470" s="51"/>
      <c r="AD470" s="51"/>
      <c r="AJ470" s="51"/>
    </row>
    <row r="471" spans="12:36" x14ac:dyDescent="0.3">
      <c r="L471" s="47"/>
      <c r="R471" s="51"/>
      <c r="X471" s="51"/>
      <c r="AD471" s="51"/>
      <c r="AJ471" s="51"/>
    </row>
    <row r="472" spans="12:36" x14ac:dyDescent="0.3">
      <c r="L472" s="47"/>
      <c r="R472" s="51"/>
      <c r="X472" s="51"/>
      <c r="AD472" s="51"/>
      <c r="AJ472" s="51"/>
    </row>
    <row r="473" spans="12:36" x14ac:dyDescent="0.3">
      <c r="L473" s="47"/>
      <c r="R473" s="51"/>
      <c r="X473" s="51"/>
      <c r="AD473" s="51"/>
      <c r="AJ473" s="51"/>
    </row>
    <row r="474" spans="12:36" x14ac:dyDescent="0.3">
      <c r="L474" s="47"/>
      <c r="R474" s="51"/>
      <c r="X474" s="51"/>
      <c r="AD474" s="51"/>
      <c r="AJ474" s="51"/>
    </row>
    <row r="475" spans="12:36" x14ac:dyDescent="0.3">
      <c r="L475" s="47"/>
      <c r="R475" s="51"/>
      <c r="X475" s="51"/>
      <c r="AD475" s="51"/>
      <c r="AJ475" s="51"/>
    </row>
    <row r="476" spans="12:36" x14ac:dyDescent="0.3">
      <c r="L476" s="47"/>
      <c r="R476" s="51"/>
      <c r="X476" s="51"/>
      <c r="AD476" s="51"/>
      <c r="AJ476" s="51"/>
    </row>
    <row r="477" spans="12:36" x14ac:dyDescent="0.3">
      <c r="L477" s="47"/>
      <c r="R477" s="51"/>
      <c r="X477" s="51"/>
      <c r="AD477" s="51"/>
      <c r="AJ477" s="51"/>
    </row>
    <row r="478" spans="12:36" x14ac:dyDescent="0.3">
      <c r="L478" s="47"/>
      <c r="R478" s="51"/>
      <c r="X478" s="51"/>
      <c r="AD478" s="51"/>
      <c r="AJ478" s="51"/>
    </row>
    <row r="479" spans="12:36" x14ac:dyDescent="0.3">
      <c r="L479" s="47"/>
      <c r="R479" s="51"/>
      <c r="X479" s="51"/>
      <c r="AD479" s="51"/>
      <c r="AJ479" s="51"/>
    </row>
    <row r="480" spans="12:36" x14ac:dyDescent="0.3">
      <c r="L480" s="47"/>
      <c r="R480" s="51"/>
      <c r="X480" s="51"/>
      <c r="AD480" s="51"/>
      <c r="AJ480" s="51"/>
    </row>
    <row r="481" spans="12:36" x14ac:dyDescent="0.3">
      <c r="L481" s="47"/>
      <c r="R481" s="51"/>
      <c r="X481" s="51"/>
      <c r="AD481" s="51"/>
      <c r="AJ481" s="51"/>
    </row>
    <row r="482" spans="12:36" x14ac:dyDescent="0.3">
      <c r="L482" s="47"/>
      <c r="R482" s="51"/>
      <c r="X482" s="51"/>
      <c r="AD482" s="51"/>
      <c r="AJ482" s="51"/>
    </row>
    <row r="483" spans="12:36" x14ac:dyDescent="0.3">
      <c r="L483" s="47"/>
      <c r="R483" s="51"/>
      <c r="X483" s="51"/>
      <c r="AD483" s="51"/>
      <c r="AJ483" s="51"/>
    </row>
    <row r="484" spans="12:36" x14ac:dyDescent="0.3">
      <c r="L484" s="47"/>
      <c r="R484" s="51"/>
      <c r="X484" s="51"/>
      <c r="AD484" s="51"/>
      <c r="AJ484" s="51"/>
    </row>
    <row r="485" spans="12:36" x14ac:dyDescent="0.3">
      <c r="L485" s="47"/>
      <c r="R485" s="51"/>
      <c r="X485" s="51"/>
      <c r="AD485" s="51"/>
      <c r="AJ485" s="51"/>
    </row>
    <row r="486" spans="12:36" x14ac:dyDescent="0.3">
      <c r="L486" s="47"/>
      <c r="R486" s="51"/>
      <c r="X486" s="51"/>
      <c r="AD486" s="51"/>
      <c r="AJ486" s="51"/>
    </row>
    <row r="487" spans="12:36" x14ac:dyDescent="0.3">
      <c r="L487" s="47"/>
      <c r="R487" s="51"/>
      <c r="X487" s="51"/>
      <c r="AD487" s="51"/>
      <c r="AJ487" s="51"/>
    </row>
    <row r="488" spans="12:36" x14ac:dyDescent="0.3">
      <c r="L488" s="47"/>
      <c r="R488" s="51"/>
      <c r="X488" s="51"/>
      <c r="AD488" s="51"/>
      <c r="AJ488" s="51"/>
    </row>
    <row r="489" spans="12:36" x14ac:dyDescent="0.3">
      <c r="L489" s="47"/>
      <c r="R489" s="51"/>
      <c r="X489" s="51"/>
      <c r="AD489" s="51"/>
      <c r="AJ489" s="51"/>
    </row>
    <row r="490" spans="12:36" x14ac:dyDescent="0.3">
      <c r="L490" s="47"/>
      <c r="R490" s="51"/>
      <c r="X490" s="51"/>
      <c r="AD490" s="51"/>
      <c r="AJ490" s="51"/>
    </row>
    <row r="491" spans="12:36" x14ac:dyDescent="0.3">
      <c r="L491" s="47"/>
      <c r="R491" s="51"/>
      <c r="X491" s="51"/>
      <c r="AD491" s="51"/>
      <c r="AJ491" s="51"/>
    </row>
    <row r="492" spans="12:36" x14ac:dyDescent="0.3">
      <c r="L492" s="47"/>
      <c r="R492" s="51"/>
      <c r="X492" s="51"/>
      <c r="AD492" s="51"/>
      <c r="AJ492" s="51"/>
    </row>
    <row r="493" spans="12:36" x14ac:dyDescent="0.3">
      <c r="L493" s="47"/>
      <c r="R493" s="51"/>
      <c r="X493" s="51"/>
      <c r="AD493" s="51"/>
      <c r="AJ493" s="51"/>
    </row>
    <row r="494" spans="12:36" x14ac:dyDescent="0.3">
      <c r="L494" s="47"/>
      <c r="R494" s="51"/>
      <c r="X494" s="51"/>
      <c r="AD494" s="51"/>
      <c r="AJ494" s="51"/>
    </row>
    <row r="495" spans="12:36" x14ac:dyDescent="0.3">
      <c r="L495" s="47"/>
      <c r="R495" s="51"/>
      <c r="X495" s="51"/>
      <c r="AD495" s="51"/>
      <c r="AJ495" s="51"/>
    </row>
    <row r="496" spans="12:36" x14ac:dyDescent="0.3">
      <c r="L496" s="47"/>
      <c r="R496" s="51"/>
      <c r="X496" s="51"/>
      <c r="AD496" s="51"/>
      <c r="AJ496" s="51"/>
    </row>
    <row r="497" spans="12:36" x14ac:dyDescent="0.3">
      <c r="L497" s="47"/>
      <c r="R497" s="51"/>
      <c r="X497" s="51"/>
      <c r="AD497" s="51"/>
      <c r="AJ497" s="51"/>
    </row>
    <row r="498" spans="12:36" x14ac:dyDescent="0.3">
      <c r="L498" s="47"/>
      <c r="R498" s="51"/>
      <c r="X498" s="51"/>
      <c r="AD498" s="51"/>
      <c r="AJ498" s="51"/>
    </row>
    <row r="499" spans="12:36" x14ac:dyDescent="0.3">
      <c r="L499" s="47"/>
      <c r="R499" s="51"/>
      <c r="X499" s="51"/>
      <c r="AD499" s="51"/>
      <c r="AJ499" s="51"/>
    </row>
    <row r="500" spans="12:36" x14ac:dyDescent="0.3">
      <c r="L500" s="47"/>
      <c r="R500" s="51"/>
      <c r="X500" s="51"/>
      <c r="AD500" s="51"/>
      <c r="AJ500" s="51"/>
    </row>
    <row r="501" spans="12:36" x14ac:dyDescent="0.3">
      <c r="L501" s="47"/>
      <c r="R501" s="51"/>
      <c r="X501" s="51"/>
      <c r="AD501" s="51"/>
      <c r="AJ501" s="51"/>
    </row>
    <row r="502" spans="12:36" x14ac:dyDescent="0.3">
      <c r="L502" s="47"/>
      <c r="R502" s="51"/>
      <c r="X502" s="51"/>
      <c r="AD502" s="51"/>
      <c r="AJ502" s="51"/>
    </row>
    <row r="503" spans="12:36" x14ac:dyDescent="0.3">
      <c r="L503" s="47"/>
      <c r="R503" s="51"/>
      <c r="X503" s="51"/>
      <c r="AD503" s="51"/>
      <c r="AJ503" s="51"/>
    </row>
    <row r="504" spans="12:36" x14ac:dyDescent="0.3">
      <c r="L504" s="47"/>
      <c r="R504" s="51"/>
      <c r="X504" s="51"/>
      <c r="AD504" s="51"/>
      <c r="AJ504" s="51"/>
    </row>
    <row r="505" spans="12:36" x14ac:dyDescent="0.3">
      <c r="L505" s="47"/>
      <c r="R505" s="51"/>
      <c r="X505" s="51"/>
      <c r="AD505" s="51"/>
      <c r="AJ505" s="51"/>
    </row>
    <row r="506" spans="12:36" x14ac:dyDescent="0.3">
      <c r="L506" s="47"/>
      <c r="R506" s="51"/>
      <c r="X506" s="51"/>
      <c r="AD506" s="51"/>
      <c r="AJ506" s="51"/>
    </row>
    <row r="507" spans="12:36" x14ac:dyDescent="0.3">
      <c r="L507" s="47"/>
      <c r="R507" s="51"/>
      <c r="X507" s="51"/>
      <c r="AD507" s="51"/>
      <c r="AJ507" s="51"/>
    </row>
    <row r="508" spans="12:36" x14ac:dyDescent="0.3">
      <c r="L508" s="47"/>
      <c r="R508" s="51"/>
      <c r="X508" s="51"/>
      <c r="AD508" s="51"/>
      <c r="AJ508" s="51"/>
    </row>
    <row r="509" spans="12:36" x14ac:dyDescent="0.3">
      <c r="L509" s="47"/>
      <c r="R509" s="51"/>
      <c r="X509" s="51"/>
      <c r="AD509" s="51"/>
      <c r="AJ509" s="51"/>
    </row>
    <row r="510" spans="12:36" x14ac:dyDescent="0.3">
      <c r="L510" s="47"/>
      <c r="R510" s="51"/>
      <c r="X510" s="51"/>
      <c r="AD510" s="51"/>
      <c r="AJ510" s="51"/>
    </row>
    <row r="511" spans="12:36" x14ac:dyDescent="0.3">
      <c r="L511" s="47"/>
      <c r="R511" s="51"/>
      <c r="X511" s="51"/>
      <c r="AD511" s="51"/>
      <c r="AJ511" s="51"/>
    </row>
    <row r="512" spans="12:36" x14ac:dyDescent="0.3">
      <c r="L512" s="47"/>
      <c r="R512" s="51"/>
      <c r="X512" s="51"/>
      <c r="AD512" s="51"/>
      <c r="AJ512" s="51"/>
    </row>
    <row r="513" spans="12:36" x14ac:dyDescent="0.3">
      <c r="L513" s="47"/>
      <c r="R513" s="51"/>
      <c r="X513" s="51"/>
      <c r="AD513" s="51"/>
      <c r="AJ513" s="51"/>
    </row>
    <row r="514" spans="12:36" x14ac:dyDescent="0.3">
      <c r="L514" s="47"/>
      <c r="R514" s="51"/>
      <c r="X514" s="51"/>
      <c r="AD514" s="51"/>
      <c r="AJ514" s="51"/>
    </row>
    <row r="515" spans="12:36" x14ac:dyDescent="0.3">
      <c r="L515" s="47"/>
      <c r="R515" s="51"/>
      <c r="X515" s="51"/>
      <c r="AD515" s="51"/>
      <c r="AJ515" s="51"/>
    </row>
    <row r="516" spans="12:36" x14ac:dyDescent="0.3">
      <c r="L516" s="47"/>
      <c r="R516" s="51"/>
      <c r="X516" s="51"/>
      <c r="AD516" s="51"/>
      <c r="AJ516" s="51"/>
    </row>
    <row r="517" spans="12:36" x14ac:dyDescent="0.3">
      <c r="L517" s="47"/>
      <c r="R517" s="51"/>
      <c r="X517" s="51"/>
      <c r="AD517" s="51"/>
      <c r="AJ517" s="51"/>
    </row>
    <row r="518" spans="12:36" x14ac:dyDescent="0.3">
      <c r="L518" s="47"/>
      <c r="R518" s="51"/>
      <c r="X518" s="51"/>
      <c r="AD518" s="51"/>
      <c r="AJ518" s="51"/>
    </row>
    <row r="519" spans="12:36" x14ac:dyDescent="0.3">
      <c r="L519" s="47"/>
      <c r="R519" s="51"/>
      <c r="X519" s="51"/>
      <c r="AD519" s="51"/>
      <c r="AJ519" s="51"/>
    </row>
    <row r="520" spans="12:36" x14ac:dyDescent="0.3">
      <c r="L520" s="47"/>
      <c r="R520" s="51"/>
      <c r="X520" s="51"/>
      <c r="AD520" s="51"/>
      <c r="AJ520" s="51"/>
    </row>
    <row r="521" spans="12:36" x14ac:dyDescent="0.3">
      <c r="L521" s="47"/>
      <c r="R521" s="51"/>
      <c r="X521" s="51"/>
      <c r="AD521" s="51"/>
      <c r="AJ521" s="51"/>
    </row>
    <row r="522" spans="12:36" x14ac:dyDescent="0.3">
      <c r="L522" s="47"/>
      <c r="R522" s="51"/>
      <c r="X522" s="51"/>
      <c r="AD522" s="51"/>
      <c r="AJ522" s="51"/>
    </row>
    <row r="523" spans="12:36" x14ac:dyDescent="0.3">
      <c r="L523" s="47"/>
      <c r="R523" s="51"/>
      <c r="X523" s="51"/>
      <c r="AD523" s="51"/>
      <c r="AJ523" s="51"/>
    </row>
    <row r="524" spans="12:36" x14ac:dyDescent="0.3">
      <c r="L524" s="47"/>
      <c r="R524" s="51"/>
      <c r="X524" s="51"/>
      <c r="AD524" s="51"/>
      <c r="AJ524" s="51"/>
    </row>
    <row r="525" spans="12:36" x14ac:dyDescent="0.3">
      <c r="L525" s="47"/>
      <c r="R525" s="51"/>
      <c r="X525" s="51"/>
      <c r="AD525" s="51"/>
      <c r="AJ525" s="51"/>
    </row>
    <row r="526" spans="12:36" x14ac:dyDescent="0.3">
      <c r="L526" s="47"/>
      <c r="R526" s="51"/>
      <c r="X526" s="51"/>
      <c r="AD526" s="51"/>
      <c r="AJ526" s="51"/>
    </row>
    <row r="527" spans="12:36" x14ac:dyDescent="0.3">
      <c r="L527" s="47"/>
      <c r="R527" s="51"/>
      <c r="X527" s="51"/>
      <c r="AD527" s="51"/>
      <c r="AJ527" s="51"/>
    </row>
    <row r="528" spans="12:36" x14ac:dyDescent="0.3">
      <c r="L528" s="47"/>
      <c r="R528" s="51"/>
      <c r="X528" s="51"/>
      <c r="AD528" s="51"/>
      <c r="AJ528" s="51"/>
    </row>
    <row r="529" spans="12:36" x14ac:dyDescent="0.3">
      <c r="L529" s="47"/>
      <c r="R529" s="51"/>
      <c r="X529" s="51"/>
      <c r="AD529" s="51"/>
      <c r="AJ529" s="51"/>
    </row>
    <row r="530" spans="12:36" x14ac:dyDescent="0.3">
      <c r="L530" s="47"/>
      <c r="R530" s="51"/>
      <c r="X530" s="51"/>
      <c r="AD530" s="51"/>
      <c r="AJ530" s="51"/>
    </row>
    <row r="531" spans="12:36" x14ac:dyDescent="0.3">
      <c r="L531" s="47"/>
      <c r="R531" s="51"/>
      <c r="X531" s="51"/>
      <c r="AD531" s="51"/>
      <c r="AJ531" s="51"/>
    </row>
    <row r="532" spans="12:36" x14ac:dyDescent="0.3">
      <c r="L532" s="47"/>
      <c r="R532" s="51"/>
      <c r="X532" s="51"/>
      <c r="AD532" s="51"/>
      <c r="AJ532" s="51"/>
    </row>
    <row r="533" spans="12:36" x14ac:dyDescent="0.3">
      <c r="L533" s="47"/>
      <c r="R533" s="51"/>
      <c r="X533" s="51"/>
      <c r="AD533" s="51"/>
      <c r="AJ533" s="51"/>
    </row>
    <row r="534" spans="12:36" x14ac:dyDescent="0.3">
      <c r="L534" s="47"/>
      <c r="R534" s="51"/>
      <c r="X534" s="51"/>
      <c r="AD534" s="51"/>
      <c r="AJ534" s="51"/>
    </row>
    <row r="535" spans="12:36" x14ac:dyDescent="0.3">
      <c r="L535" s="47"/>
      <c r="R535" s="51"/>
      <c r="X535" s="51"/>
      <c r="AD535" s="51"/>
      <c r="AJ535" s="51"/>
    </row>
    <row r="536" spans="12:36" x14ac:dyDescent="0.3">
      <c r="L536" s="47"/>
      <c r="R536" s="51"/>
      <c r="X536" s="51"/>
      <c r="AD536" s="51"/>
      <c r="AJ536" s="51"/>
    </row>
    <row r="537" spans="12:36" x14ac:dyDescent="0.3">
      <c r="L537" s="47"/>
      <c r="R537" s="51"/>
      <c r="X537" s="51"/>
      <c r="AD537" s="51"/>
      <c r="AJ537" s="51"/>
    </row>
    <row r="538" spans="12:36" x14ac:dyDescent="0.3">
      <c r="L538" s="47"/>
      <c r="R538" s="51"/>
      <c r="X538" s="51"/>
      <c r="AD538" s="51"/>
      <c r="AJ538" s="51"/>
    </row>
    <row r="539" spans="12:36" x14ac:dyDescent="0.3">
      <c r="L539" s="47"/>
      <c r="R539" s="51"/>
      <c r="X539" s="51"/>
      <c r="AD539" s="51"/>
      <c r="AJ539" s="51"/>
    </row>
    <row r="540" spans="12:36" x14ac:dyDescent="0.3">
      <c r="L540" s="47"/>
      <c r="R540" s="51"/>
      <c r="X540" s="51"/>
      <c r="AD540" s="51"/>
      <c r="AJ540" s="51"/>
    </row>
    <row r="541" spans="12:36" x14ac:dyDescent="0.3">
      <c r="L541" s="47"/>
      <c r="R541" s="51"/>
      <c r="X541" s="51"/>
      <c r="AD541" s="51"/>
      <c r="AJ541" s="51"/>
    </row>
    <row r="542" spans="12:36" x14ac:dyDescent="0.3">
      <c r="L542" s="47"/>
      <c r="R542" s="51"/>
      <c r="X542" s="51"/>
      <c r="AD542" s="51"/>
      <c r="AJ542" s="51"/>
    </row>
    <row r="543" spans="12:36" x14ac:dyDescent="0.3">
      <c r="L543" s="47"/>
      <c r="R543" s="51"/>
      <c r="X543" s="51"/>
      <c r="AD543" s="51"/>
      <c r="AJ543" s="51"/>
    </row>
    <row r="544" spans="12:36" x14ac:dyDescent="0.3">
      <c r="L544" s="47"/>
      <c r="R544" s="51"/>
      <c r="X544" s="51"/>
      <c r="AD544" s="51"/>
      <c r="AJ544" s="51"/>
    </row>
    <row r="545" spans="12:36" x14ac:dyDescent="0.3">
      <c r="L545" s="47"/>
      <c r="R545" s="51"/>
      <c r="X545" s="51"/>
      <c r="AD545" s="51"/>
      <c r="AJ545" s="51"/>
    </row>
    <row r="546" spans="12:36" x14ac:dyDescent="0.3">
      <c r="L546" s="47"/>
      <c r="R546" s="51"/>
      <c r="X546" s="51"/>
      <c r="AD546" s="51"/>
      <c r="AJ546" s="51"/>
    </row>
    <row r="547" spans="12:36" x14ac:dyDescent="0.3">
      <c r="L547" s="47"/>
      <c r="R547" s="51"/>
      <c r="X547" s="51"/>
      <c r="AD547" s="51"/>
      <c r="AJ547" s="51"/>
    </row>
    <row r="548" spans="12:36" x14ac:dyDescent="0.3">
      <c r="L548" s="47"/>
      <c r="R548" s="51"/>
      <c r="X548" s="51"/>
      <c r="AD548" s="51"/>
      <c r="AJ548" s="51"/>
    </row>
    <row r="549" spans="12:36" x14ac:dyDescent="0.3">
      <c r="L549" s="47"/>
      <c r="R549" s="51"/>
      <c r="X549" s="51"/>
      <c r="AD549" s="51"/>
      <c r="AJ549" s="51"/>
    </row>
    <row r="550" spans="12:36" x14ac:dyDescent="0.3">
      <c r="L550" s="47"/>
      <c r="R550" s="51"/>
      <c r="X550" s="51"/>
      <c r="AD550" s="51"/>
      <c r="AJ550" s="51"/>
    </row>
    <row r="551" spans="12:36" x14ac:dyDescent="0.3">
      <c r="L551" s="47"/>
      <c r="R551" s="51"/>
      <c r="X551" s="51"/>
      <c r="AD551" s="51"/>
      <c r="AJ551" s="51"/>
    </row>
    <row r="552" spans="12:36" x14ac:dyDescent="0.3">
      <c r="L552" s="47"/>
      <c r="R552" s="51"/>
      <c r="X552" s="51"/>
      <c r="AD552" s="51"/>
      <c r="AJ552" s="51"/>
    </row>
    <row r="553" spans="12:36" x14ac:dyDescent="0.3">
      <c r="L553" s="47"/>
      <c r="R553" s="51"/>
      <c r="X553" s="51"/>
      <c r="AD553" s="51"/>
      <c r="AJ553" s="51"/>
    </row>
    <row r="554" spans="12:36" x14ac:dyDescent="0.3">
      <c r="L554" s="47"/>
      <c r="R554" s="51"/>
      <c r="X554" s="51"/>
      <c r="AD554" s="51"/>
      <c r="AJ554" s="51"/>
    </row>
    <row r="555" spans="12:36" x14ac:dyDescent="0.3">
      <c r="L555" s="47"/>
      <c r="R555" s="51"/>
      <c r="X555" s="51"/>
      <c r="AD555" s="51"/>
      <c r="AJ555" s="51"/>
    </row>
    <row r="556" spans="12:36" x14ac:dyDescent="0.3">
      <c r="L556" s="47"/>
      <c r="R556" s="51"/>
      <c r="X556" s="51"/>
      <c r="AD556" s="51"/>
      <c r="AJ556" s="51"/>
    </row>
    <row r="557" spans="12:36" x14ac:dyDescent="0.3">
      <c r="L557" s="47"/>
      <c r="R557" s="51"/>
      <c r="X557" s="51"/>
      <c r="AD557" s="51"/>
      <c r="AJ557" s="51"/>
    </row>
    <row r="558" spans="12:36" x14ac:dyDescent="0.3">
      <c r="L558" s="47"/>
      <c r="R558" s="51"/>
      <c r="X558" s="51"/>
      <c r="AD558" s="51"/>
      <c r="AJ558" s="51"/>
    </row>
    <row r="559" spans="12:36" x14ac:dyDescent="0.3">
      <c r="L559" s="47"/>
      <c r="R559" s="51"/>
      <c r="X559" s="51"/>
      <c r="AD559" s="51"/>
      <c r="AJ559" s="51"/>
    </row>
    <row r="560" spans="12:36" x14ac:dyDescent="0.3">
      <c r="L560" s="47"/>
      <c r="R560" s="51"/>
      <c r="X560" s="51"/>
      <c r="AD560" s="51"/>
      <c r="AJ560" s="51"/>
    </row>
    <row r="561" spans="12:36" x14ac:dyDescent="0.3">
      <c r="L561" s="47"/>
      <c r="R561" s="51"/>
      <c r="X561" s="51"/>
      <c r="AD561" s="51"/>
      <c r="AJ561" s="51"/>
    </row>
    <row r="562" spans="12:36" x14ac:dyDescent="0.3">
      <c r="L562" s="47"/>
      <c r="R562" s="51"/>
      <c r="X562" s="51"/>
      <c r="AD562" s="51"/>
      <c r="AJ562" s="51"/>
    </row>
    <row r="563" spans="12:36" x14ac:dyDescent="0.3">
      <c r="L563" s="47"/>
      <c r="R563" s="51"/>
      <c r="X563" s="51"/>
      <c r="AD563" s="51"/>
      <c r="AJ563" s="51"/>
    </row>
    <row r="564" spans="12:36" x14ac:dyDescent="0.3">
      <c r="L564" s="47"/>
      <c r="R564" s="51"/>
      <c r="X564" s="51"/>
      <c r="AD564" s="51"/>
      <c r="AJ564" s="51"/>
    </row>
    <row r="565" spans="12:36" x14ac:dyDescent="0.3">
      <c r="L565" s="47"/>
      <c r="R565" s="51"/>
      <c r="X565" s="51"/>
      <c r="AD565" s="51"/>
      <c r="AJ565" s="51"/>
    </row>
    <row r="566" spans="12:36" x14ac:dyDescent="0.3">
      <c r="L566" s="47"/>
      <c r="R566" s="51"/>
      <c r="X566" s="51"/>
      <c r="AD566" s="51"/>
      <c r="AJ566" s="51"/>
    </row>
    <row r="567" spans="12:36" x14ac:dyDescent="0.3">
      <c r="L567" s="47"/>
      <c r="R567" s="51"/>
      <c r="X567" s="51"/>
      <c r="AD567" s="51"/>
      <c r="AJ567" s="51"/>
    </row>
    <row r="568" spans="12:36" x14ac:dyDescent="0.3">
      <c r="L568" s="47"/>
      <c r="R568" s="51"/>
      <c r="X568" s="51"/>
      <c r="AD568" s="51"/>
      <c r="AJ568" s="51"/>
    </row>
    <row r="569" spans="12:36" x14ac:dyDescent="0.3">
      <c r="L569" s="47"/>
      <c r="R569" s="51"/>
      <c r="X569" s="51"/>
      <c r="AD569" s="51"/>
      <c r="AJ569" s="51"/>
    </row>
    <row r="570" spans="12:36" x14ac:dyDescent="0.3">
      <c r="L570" s="47"/>
      <c r="R570" s="51"/>
      <c r="X570" s="51"/>
      <c r="AD570" s="51"/>
      <c r="AJ570" s="51"/>
    </row>
    <row r="571" spans="12:36" x14ac:dyDescent="0.3">
      <c r="L571" s="47"/>
      <c r="R571" s="51"/>
      <c r="X571" s="51"/>
      <c r="AD571" s="51"/>
      <c r="AJ571" s="51"/>
    </row>
    <row r="572" spans="12:36" x14ac:dyDescent="0.3">
      <c r="L572" s="47"/>
      <c r="R572" s="51"/>
      <c r="X572" s="51"/>
      <c r="AD572" s="51"/>
      <c r="AJ572" s="51"/>
    </row>
    <row r="573" spans="12:36" x14ac:dyDescent="0.3">
      <c r="L573" s="47"/>
      <c r="R573" s="51"/>
      <c r="X573" s="51"/>
      <c r="AD573" s="51"/>
      <c r="AJ573" s="51"/>
    </row>
    <row r="574" spans="12:36" x14ac:dyDescent="0.3">
      <c r="L574" s="47"/>
      <c r="R574" s="51"/>
      <c r="X574" s="51"/>
      <c r="AD574" s="51"/>
      <c r="AJ574" s="51"/>
    </row>
    <row r="575" spans="12:36" x14ac:dyDescent="0.3">
      <c r="L575" s="47"/>
      <c r="R575" s="51"/>
      <c r="X575" s="51"/>
      <c r="AD575" s="51"/>
      <c r="AJ575" s="51"/>
    </row>
    <row r="576" spans="12:36" x14ac:dyDescent="0.3">
      <c r="L576" s="47"/>
      <c r="R576" s="51"/>
      <c r="X576" s="51"/>
      <c r="AD576" s="51"/>
      <c r="AJ576" s="51"/>
    </row>
    <row r="577" spans="12:36" x14ac:dyDescent="0.3">
      <c r="L577" s="47"/>
      <c r="R577" s="51"/>
      <c r="X577" s="51"/>
      <c r="AD577" s="51"/>
      <c r="AJ577" s="51"/>
    </row>
    <row r="578" spans="12:36" x14ac:dyDescent="0.3">
      <c r="L578" s="47"/>
      <c r="R578" s="51"/>
      <c r="X578" s="51"/>
      <c r="AD578" s="51"/>
      <c r="AJ578" s="51"/>
    </row>
    <row r="579" spans="12:36" x14ac:dyDescent="0.3">
      <c r="L579" s="47"/>
      <c r="R579" s="51"/>
      <c r="X579" s="51"/>
      <c r="AD579" s="51"/>
      <c r="AJ579" s="51"/>
    </row>
    <row r="580" spans="12:36" x14ac:dyDescent="0.3">
      <c r="L580" s="47"/>
      <c r="R580" s="51"/>
      <c r="X580" s="51"/>
      <c r="AD580" s="51"/>
      <c r="AJ580" s="51"/>
    </row>
    <row r="581" spans="12:36" x14ac:dyDescent="0.3">
      <c r="L581" s="47"/>
      <c r="R581" s="51"/>
      <c r="X581" s="51"/>
      <c r="AD581" s="51"/>
      <c r="AJ581" s="51"/>
    </row>
    <row r="582" spans="12:36" x14ac:dyDescent="0.3">
      <c r="L582" s="47"/>
      <c r="R582" s="51"/>
      <c r="X582" s="51"/>
      <c r="AD582" s="51"/>
      <c r="AJ582" s="51"/>
    </row>
    <row r="583" spans="12:36" x14ac:dyDescent="0.3">
      <c r="L583" s="47"/>
      <c r="R583" s="51"/>
      <c r="X583" s="51"/>
      <c r="AD583" s="51"/>
      <c r="AJ583" s="51"/>
    </row>
    <row r="584" spans="12:36" x14ac:dyDescent="0.3">
      <c r="L584" s="47"/>
      <c r="R584" s="51"/>
      <c r="X584" s="51"/>
      <c r="AD584" s="51"/>
      <c r="AJ584" s="51"/>
    </row>
    <row r="585" spans="12:36" x14ac:dyDescent="0.3">
      <c r="L585" s="47"/>
      <c r="R585" s="51"/>
      <c r="X585" s="51"/>
      <c r="AD585" s="51"/>
      <c r="AJ585" s="51"/>
    </row>
    <row r="586" spans="12:36" x14ac:dyDescent="0.3">
      <c r="L586" s="47"/>
      <c r="R586" s="51"/>
      <c r="X586" s="51"/>
      <c r="AD586" s="51"/>
      <c r="AJ586" s="51"/>
    </row>
    <row r="587" spans="12:36" x14ac:dyDescent="0.3">
      <c r="L587" s="47"/>
      <c r="R587" s="51"/>
      <c r="X587" s="51"/>
      <c r="AD587" s="51"/>
      <c r="AJ587" s="51"/>
    </row>
    <row r="588" spans="12:36" x14ac:dyDescent="0.3">
      <c r="L588" s="47"/>
      <c r="R588" s="51"/>
      <c r="X588" s="51"/>
      <c r="AD588" s="51"/>
      <c r="AJ588" s="51"/>
    </row>
    <row r="589" spans="12:36" x14ac:dyDescent="0.3">
      <c r="L589" s="47"/>
      <c r="R589" s="51"/>
      <c r="X589" s="51"/>
      <c r="AD589" s="51"/>
      <c r="AJ589" s="51"/>
    </row>
    <row r="590" spans="12:36" x14ac:dyDescent="0.3">
      <c r="L590" s="47"/>
      <c r="R590" s="51"/>
      <c r="X590" s="51"/>
      <c r="AD590" s="51"/>
      <c r="AJ590" s="51"/>
    </row>
    <row r="591" spans="12:36" x14ac:dyDescent="0.3">
      <c r="L591" s="47"/>
      <c r="R591" s="51"/>
      <c r="X591" s="51"/>
      <c r="AD591" s="51"/>
      <c r="AJ591" s="51"/>
    </row>
    <row r="592" spans="12:36" x14ac:dyDescent="0.3">
      <c r="L592" s="47"/>
      <c r="R592" s="51"/>
      <c r="X592" s="51"/>
      <c r="AD592" s="51"/>
      <c r="AJ592" s="51"/>
    </row>
    <row r="593" spans="12:36" x14ac:dyDescent="0.3">
      <c r="L593" s="47"/>
      <c r="R593" s="51"/>
      <c r="X593" s="51"/>
      <c r="AD593" s="51"/>
      <c r="AJ593" s="51"/>
    </row>
    <row r="594" spans="12:36" x14ac:dyDescent="0.3">
      <c r="L594" s="47"/>
      <c r="R594" s="51"/>
      <c r="X594" s="51"/>
      <c r="AD594" s="51"/>
      <c r="AJ594" s="51"/>
    </row>
    <row r="595" spans="12:36" x14ac:dyDescent="0.3">
      <c r="L595" s="47"/>
      <c r="R595" s="51"/>
      <c r="X595" s="51"/>
      <c r="AD595" s="51"/>
      <c r="AJ595" s="51"/>
    </row>
    <row r="596" spans="12:36" x14ac:dyDescent="0.3">
      <c r="L596" s="47"/>
      <c r="R596" s="51"/>
      <c r="X596" s="51"/>
      <c r="AD596" s="51"/>
      <c r="AJ596" s="51"/>
    </row>
    <row r="597" spans="12:36" x14ac:dyDescent="0.3">
      <c r="L597" s="47"/>
      <c r="R597" s="51"/>
      <c r="X597" s="51"/>
      <c r="AD597" s="51"/>
      <c r="AJ597" s="51"/>
    </row>
    <row r="598" spans="12:36" x14ac:dyDescent="0.3">
      <c r="L598" s="47"/>
      <c r="R598" s="51"/>
      <c r="X598" s="51"/>
      <c r="AD598" s="51"/>
      <c r="AJ598" s="51"/>
    </row>
    <row r="599" spans="12:36" x14ac:dyDescent="0.3">
      <c r="L599" s="47"/>
      <c r="R599" s="51"/>
      <c r="X599" s="51"/>
      <c r="AD599" s="51"/>
      <c r="AJ599" s="51"/>
    </row>
    <row r="600" spans="12:36" x14ac:dyDescent="0.3">
      <c r="L600" s="47"/>
      <c r="R600" s="51"/>
      <c r="X600" s="51"/>
      <c r="AD600" s="51"/>
      <c r="AJ600" s="51"/>
    </row>
    <row r="601" spans="12:36" x14ac:dyDescent="0.3">
      <c r="L601" s="47"/>
      <c r="R601" s="51"/>
      <c r="X601" s="51"/>
      <c r="AD601" s="51"/>
      <c r="AJ601" s="51"/>
    </row>
    <row r="602" spans="12:36" x14ac:dyDescent="0.3">
      <c r="L602" s="47"/>
      <c r="R602" s="51"/>
      <c r="X602" s="51"/>
      <c r="AD602" s="51"/>
      <c r="AJ602" s="51"/>
    </row>
    <row r="603" spans="12:36" x14ac:dyDescent="0.3">
      <c r="L603" s="47"/>
      <c r="R603" s="51"/>
      <c r="X603" s="51"/>
      <c r="AD603" s="51"/>
      <c r="AJ603" s="51"/>
    </row>
    <row r="604" spans="12:36" x14ac:dyDescent="0.3">
      <c r="L604" s="47"/>
      <c r="R604" s="51"/>
      <c r="X604" s="51"/>
      <c r="AD604" s="51"/>
      <c r="AJ604" s="51"/>
    </row>
    <row r="605" spans="12:36" x14ac:dyDescent="0.3">
      <c r="L605" s="47"/>
      <c r="R605" s="51"/>
      <c r="X605" s="51"/>
      <c r="AD605" s="51"/>
      <c r="AJ605" s="51"/>
    </row>
    <row r="606" spans="12:36" x14ac:dyDescent="0.3">
      <c r="L606" s="47"/>
      <c r="R606" s="51"/>
      <c r="X606" s="51"/>
      <c r="AD606" s="51"/>
      <c r="AJ606" s="51"/>
    </row>
    <row r="607" spans="12:36" x14ac:dyDescent="0.3">
      <c r="L607" s="47"/>
      <c r="R607" s="51"/>
      <c r="X607" s="51"/>
      <c r="AD607" s="51"/>
      <c r="AJ607" s="51"/>
    </row>
    <row r="608" spans="12:36" x14ac:dyDescent="0.3">
      <c r="L608" s="47"/>
      <c r="R608" s="51"/>
      <c r="X608" s="51"/>
      <c r="AD608" s="51"/>
      <c r="AJ608" s="51"/>
    </row>
    <row r="609" spans="12:36" x14ac:dyDescent="0.3">
      <c r="L609" s="47"/>
      <c r="R609" s="51"/>
      <c r="X609" s="51"/>
      <c r="AD609" s="51"/>
      <c r="AJ609" s="51"/>
    </row>
    <row r="610" spans="12:36" x14ac:dyDescent="0.3">
      <c r="L610" s="47"/>
      <c r="R610" s="51"/>
      <c r="X610" s="51"/>
      <c r="AD610" s="51"/>
      <c r="AJ610" s="51"/>
    </row>
    <row r="611" spans="12:36" x14ac:dyDescent="0.3">
      <c r="L611" s="47"/>
      <c r="R611" s="51"/>
      <c r="X611" s="51"/>
      <c r="AD611" s="51"/>
      <c r="AJ611" s="51"/>
    </row>
    <row r="612" spans="12:36" x14ac:dyDescent="0.3">
      <c r="L612" s="47"/>
      <c r="R612" s="51"/>
      <c r="X612" s="51"/>
      <c r="AD612" s="51"/>
      <c r="AJ612" s="51"/>
    </row>
    <row r="613" spans="12:36" x14ac:dyDescent="0.3">
      <c r="L613" s="47"/>
      <c r="R613" s="51"/>
      <c r="X613" s="51"/>
      <c r="AD613" s="51"/>
      <c r="AJ613" s="51"/>
    </row>
    <row r="614" spans="12:36" x14ac:dyDescent="0.3">
      <c r="L614" s="47"/>
      <c r="R614" s="51"/>
      <c r="X614" s="51"/>
      <c r="AD614" s="51"/>
      <c r="AJ614" s="51"/>
    </row>
    <row r="615" spans="12:36" x14ac:dyDescent="0.3">
      <c r="L615" s="47"/>
      <c r="R615" s="51"/>
      <c r="X615" s="51"/>
      <c r="AD615" s="51"/>
      <c r="AJ615" s="51"/>
    </row>
    <row r="616" spans="12:36" x14ac:dyDescent="0.3">
      <c r="L616" s="47"/>
      <c r="R616" s="51"/>
      <c r="X616" s="51"/>
      <c r="AD616" s="51"/>
      <c r="AJ616" s="51"/>
    </row>
    <row r="617" spans="12:36" x14ac:dyDescent="0.3">
      <c r="L617" s="47"/>
      <c r="R617" s="51"/>
      <c r="X617" s="51"/>
      <c r="AD617" s="51"/>
      <c r="AJ617" s="51"/>
    </row>
    <row r="618" spans="12:36" x14ac:dyDescent="0.3">
      <c r="L618" s="47"/>
      <c r="R618" s="51"/>
      <c r="X618" s="51"/>
      <c r="AD618" s="51"/>
      <c r="AJ618" s="51"/>
    </row>
    <row r="619" spans="12:36" x14ac:dyDescent="0.3">
      <c r="L619" s="47"/>
      <c r="R619" s="51"/>
      <c r="X619" s="51"/>
      <c r="AD619" s="51"/>
      <c r="AJ619" s="51"/>
    </row>
    <row r="620" spans="12:36" x14ac:dyDescent="0.3">
      <c r="L620" s="47"/>
      <c r="R620" s="51"/>
      <c r="X620" s="51"/>
      <c r="AD620" s="51"/>
      <c r="AJ620" s="51"/>
    </row>
    <row r="621" spans="12:36" x14ac:dyDescent="0.3">
      <c r="L621" s="47"/>
      <c r="R621" s="51"/>
      <c r="X621" s="51"/>
      <c r="AD621" s="51"/>
      <c r="AJ621" s="51"/>
    </row>
    <row r="622" spans="12:36" x14ac:dyDescent="0.3">
      <c r="L622" s="47"/>
      <c r="R622" s="51"/>
      <c r="X622" s="51"/>
      <c r="AD622" s="51"/>
      <c r="AJ622" s="51"/>
    </row>
    <row r="623" spans="12:36" x14ac:dyDescent="0.3">
      <c r="L623" s="47"/>
      <c r="R623" s="51"/>
      <c r="X623" s="51"/>
      <c r="AD623" s="51"/>
      <c r="AJ623" s="51"/>
    </row>
    <row r="624" spans="12:36" x14ac:dyDescent="0.3">
      <c r="L624" s="47"/>
      <c r="R624" s="51"/>
      <c r="X624" s="51"/>
      <c r="AD624" s="51"/>
      <c r="AJ624" s="51"/>
    </row>
    <row r="625" spans="12:36" x14ac:dyDescent="0.3">
      <c r="L625" s="47"/>
      <c r="R625" s="51"/>
      <c r="X625" s="51"/>
      <c r="AD625" s="51"/>
      <c r="AJ625" s="51"/>
    </row>
    <row r="626" spans="12:36" x14ac:dyDescent="0.3">
      <c r="L626" s="47"/>
      <c r="R626" s="51"/>
      <c r="X626" s="51"/>
      <c r="AD626" s="51"/>
      <c r="AJ626" s="51"/>
    </row>
    <row r="627" spans="12:36" x14ac:dyDescent="0.3">
      <c r="L627" s="47"/>
      <c r="R627" s="51"/>
      <c r="X627" s="51"/>
      <c r="AD627" s="51"/>
      <c r="AJ627" s="51"/>
    </row>
    <row r="628" spans="12:36" x14ac:dyDescent="0.3">
      <c r="L628" s="47"/>
      <c r="R628" s="51"/>
      <c r="X628" s="51"/>
      <c r="AD628" s="51"/>
      <c r="AJ628" s="51"/>
    </row>
    <row r="629" spans="12:36" x14ac:dyDescent="0.3">
      <c r="L629" s="47"/>
      <c r="R629" s="51"/>
      <c r="X629" s="51"/>
      <c r="AD629" s="51"/>
      <c r="AJ629" s="51"/>
    </row>
    <row r="630" spans="12:36" x14ac:dyDescent="0.3">
      <c r="L630" s="47"/>
      <c r="R630" s="51"/>
      <c r="X630" s="51"/>
      <c r="AD630" s="51"/>
      <c r="AJ630" s="51"/>
    </row>
    <row r="631" spans="12:36" x14ac:dyDescent="0.3">
      <c r="L631" s="47"/>
      <c r="R631" s="51"/>
      <c r="X631" s="51"/>
      <c r="AD631" s="51"/>
      <c r="AJ631" s="51"/>
    </row>
    <row r="632" spans="12:36" x14ac:dyDescent="0.3">
      <c r="L632" s="47"/>
      <c r="R632" s="51"/>
      <c r="X632" s="51"/>
      <c r="AD632" s="51"/>
      <c r="AJ632" s="51"/>
    </row>
    <row r="633" spans="12:36" x14ac:dyDescent="0.3">
      <c r="L633" s="47"/>
      <c r="R633" s="51"/>
      <c r="X633" s="51"/>
      <c r="AD633" s="51"/>
      <c r="AJ633" s="51"/>
    </row>
    <row r="634" spans="12:36" x14ac:dyDescent="0.3">
      <c r="L634" s="47"/>
      <c r="R634" s="51"/>
      <c r="X634" s="51"/>
      <c r="AD634" s="51"/>
      <c r="AJ634" s="51"/>
    </row>
    <row r="635" spans="12:36" x14ac:dyDescent="0.3">
      <c r="L635" s="47"/>
      <c r="R635" s="51"/>
      <c r="X635" s="51"/>
      <c r="AD635" s="51"/>
      <c r="AJ635" s="51"/>
    </row>
    <row r="636" spans="12:36" x14ac:dyDescent="0.3">
      <c r="L636" s="47"/>
      <c r="R636" s="51"/>
      <c r="X636" s="51"/>
      <c r="AD636" s="51"/>
      <c r="AJ636" s="51"/>
    </row>
    <row r="637" spans="12:36" x14ac:dyDescent="0.3">
      <c r="L637" s="47"/>
      <c r="R637" s="51"/>
      <c r="X637" s="51"/>
      <c r="AD637" s="51"/>
      <c r="AJ637" s="51"/>
    </row>
    <row r="638" spans="12:36" x14ac:dyDescent="0.3">
      <c r="L638" s="47"/>
      <c r="R638" s="51"/>
      <c r="X638" s="51"/>
      <c r="AD638" s="51"/>
      <c r="AJ638" s="51"/>
    </row>
    <row r="639" spans="12:36" x14ac:dyDescent="0.3">
      <c r="L639" s="47"/>
      <c r="R639" s="51"/>
      <c r="X639" s="51"/>
      <c r="AD639" s="51"/>
      <c r="AJ639" s="51"/>
    </row>
    <row r="640" spans="12:36" x14ac:dyDescent="0.3">
      <c r="L640" s="47"/>
      <c r="R640" s="51"/>
      <c r="X640" s="51"/>
      <c r="AD640" s="51"/>
      <c r="AJ640" s="51"/>
    </row>
    <row r="641" spans="12:36" x14ac:dyDescent="0.3">
      <c r="L641" s="47"/>
      <c r="R641" s="51"/>
      <c r="X641" s="51"/>
      <c r="AD641" s="51"/>
      <c r="AJ641" s="51"/>
    </row>
    <row r="642" spans="12:36" x14ac:dyDescent="0.3">
      <c r="L642" s="47"/>
      <c r="R642" s="51"/>
      <c r="X642" s="51"/>
      <c r="AD642" s="51"/>
      <c r="AJ642" s="51"/>
    </row>
    <row r="643" spans="12:36" x14ac:dyDescent="0.3">
      <c r="L643" s="47"/>
      <c r="R643" s="51"/>
      <c r="X643" s="51"/>
      <c r="AD643" s="51"/>
      <c r="AJ643" s="51"/>
    </row>
    <row r="644" spans="12:36" x14ac:dyDescent="0.3">
      <c r="L644" s="47"/>
      <c r="R644" s="51"/>
      <c r="X644" s="51"/>
      <c r="AD644" s="51"/>
      <c r="AJ644" s="51"/>
    </row>
    <row r="645" spans="12:36" x14ac:dyDescent="0.3">
      <c r="L645" s="47"/>
      <c r="R645" s="51"/>
      <c r="X645" s="51"/>
      <c r="AD645" s="51"/>
      <c r="AJ645" s="51"/>
    </row>
    <row r="646" spans="12:36" x14ac:dyDescent="0.3">
      <c r="L646" s="47"/>
      <c r="R646" s="51"/>
      <c r="X646" s="51"/>
      <c r="AD646" s="51"/>
      <c r="AJ646" s="51"/>
    </row>
    <row r="647" spans="12:36" x14ac:dyDescent="0.3">
      <c r="L647" s="47"/>
      <c r="R647" s="51"/>
      <c r="X647" s="51"/>
      <c r="AD647" s="51"/>
      <c r="AJ647" s="51"/>
    </row>
    <row r="648" spans="12:36" x14ac:dyDescent="0.3">
      <c r="L648" s="47"/>
      <c r="R648" s="51"/>
      <c r="X648" s="51"/>
      <c r="AD648" s="51"/>
      <c r="AJ648" s="51"/>
    </row>
    <row r="649" spans="12:36" x14ac:dyDescent="0.3">
      <c r="L649" s="47"/>
      <c r="R649" s="51"/>
      <c r="X649" s="51"/>
      <c r="AD649" s="51"/>
      <c r="AJ649" s="51"/>
    </row>
    <row r="650" spans="12:36" x14ac:dyDescent="0.3">
      <c r="L650" s="47"/>
      <c r="R650" s="51"/>
      <c r="X650" s="51"/>
      <c r="AD650" s="51"/>
      <c r="AJ650" s="51"/>
    </row>
    <row r="651" spans="12:36" x14ac:dyDescent="0.3">
      <c r="L651" s="47"/>
      <c r="R651" s="51"/>
      <c r="X651" s="51"/>
      <c r="AD651" s="51"/>
      <c r="AJ651" s="51"/>
    </row>
    <row r="652" spans="12:36" x14ac:dyDescent="0.3">
      <c r="L652" s="47"/>
      <c r="R652" s="51"/>
      <c r="X652" s="51"/>
      <c r="AD652" s="51"/>
      <c r="AJ652" s="51"/>
    </row>
    <row r="653" spans="12:36" x14ac:dyDescent="0.3">
      <c r="L653" s="47"/>
      <c r="R653" s="51"/>
      <c r="X653" s="51"/>
      <c r="AD653" s="51"/>
      <c r="AJ653" s="51"/>
    </row>
    <row r="654" spans="12:36" x14ac:dyDescent="0.3">
      <c r="L654" s="47"/>
      <c r="R654" s="51"/>
      <c r="X654" s="51"/>
      <c r="AD654" s="51"/>
      <c r="AJ654" s="51"/>
    </row>
    <row r="655" spans="12:36" x14ac:dyDescent="0.3">
      <c r="L655" s="47"/>
      <c r="R655" s="51"/>
      <c r="X655" s="51"/>
      <c r="AD655" s="51"/>
      <c r="AJ655" s="51"/>
    </row>
    <row r="656" spans="12:36" x14ac:dyDescent="0.3">
      <c r="L656" s="47"/>
      <c r="R656" s="51"/>
      <c r="X656" s="51"/>
      <c r="AD656" s="51"/>
      <c r="AJ656" s="51"/>
    </row>
    <row r="657" spans="12:36" x14ac:dyDescent="0.3">
      <c r="L657" s="47"/>
      <c r="R657" s="51"/>
      <c r="X657" s="51"/>
      <c r="AD657" s="51"/>
      <c r="AJ657" s="51"/>
    </row>
    <row r="658" spans="12:36" x14ac:dyDescent="0.3">
      <c r="L658" s="47"/>
      <c r="R658" s="51"/>
      <c r="X658" s="51"/>
      <c r="AD658" s="51"/>
      <c r="AJ658" s="51"/>
    </row>
    <row r="659" spans="12:36" x14ac:dyDescent="0.3">
      <c r="L659" s="47"/>
      <c r="R659" s="51"/>
      <c r="X659" s="51"/>
      <c r="AD659" s="51"/>
      <c r="AJ659" s="51"/>
    </row>
    <row r="660" spans="12:36" x14ac:dyDescent="0.3">
      <c r="L660" s="47"/>
      <c r="R660" s="51"/>
      <c r="X660" s="51"/>
      <c r="AD660" s="51"/>
      <c r="AJ660" s="51"/>
    </row>
    <row r="661" spans="12:36" x14ac:dyDescent="0.3">
      <c r="L661" s="47"/>
      <c r="R661" s="51"/>
      <c r="X661" s="51"/>
      <c r="AD661" s="51"/>
      <c r="AJ661" s="51"/>
    </row>
    <row r="662" spans="12:36" x14ac:dyDescent="0.3">
      <c r="L662" s="47"/>
      <c r="R662" s="51"/>
      <c r="X662" s="51"/>
      <c r="AD662" s="51"/>
      <c r="AJ662" s="51"/>
    </row>
    <row r="663" spans="12:36" x14ac:dyDescent="0.3">
      <c r="L663" s="47"/>
      <c r="R663" s="51"/>
      <c r="X663" s="51"/>
      <c r="AD663" s="51"/>
      <c r="AJ663" s="51"/>
    </row>
    <row r="664" spans="12:36" x14ac:dyDescent="0.3">
      <c r="L664" s="47"/>
      <c r="R664" s="51"/>
      <c r="X664" s="51"/>
      <c r="AD664" s="51"/>
      <c r="AJ664" s="51"/>
    </row>
    <row r="665" spans="12:36" x14ac:dyDescent="0.3">
      <c r="L665" s="47"/>
      <c r="R665" s="51"/>
      <c r="X665" s="51"/>
      <c r="AD665" s="51"/>
      <c r="AJ665" s="51"/>
    </row>
    <row r="666" spans="12:36" x14ac:dyDescent="0.3">
      <c r="L666" s="47"/>
      <c r="R666" s="51"/>
      <c r="X666" s="51"/>
      <c r="AD666" s="51"/>
      <c r="AJ666" s="51"/>
    </row>
    <row r="667" spans="12:36" x14ac:dyDescent="0.3">
      <c r="L667" s="47"/>
      <c r="R667" s="51"/>
      <c r="X667" s="51"/>
      <c r="AD667" s="51"/>
      <c r="AJ667" s="51"/>
    </row>
    <row r="668" spans="12:36" x14ac:dyDescent="0.3">
      <c r="L668" s="47"/>
      <c r="R668" s="51"/>
      <c r="X668" s="51"/>
      <c r="AD668" s="51"/>
      <c r="AJ668" s="51"/>
    </row>
    <row r="669" spans="12:36" x14ac:dyDescent="0.3">
      <c r="L669" s="47"/>
      <c r="R669" s="51"/>
      <c r="X669" s="51"/>
      <c r="AD669" s="51"/>
      <c r="AJ669" s="51"/>
    </row>
    <row r="670" spans="12:36" x14ac:dyDescent="0.3">
      <c r="L670" s="47"/>
      <c r="R670" s="51"/>
      <c r="X670" s="51"/>
      <c r="AD670" s="51"/>
      <c r="AJ670" s="51"/>
    </row>
    <row r="671" spans="12:36" x14ac:dyDescent="0.3">
      <c r="L671" s="47"/>
      <c r="R671" s="51"/>
      <c r="X671" s="51"/>
      <c r="AD671" s="51"/>
      <c r="AJ671" s="51"/>
    </row>
    <row r="672" spans="12:36" x14ac:dyDescent="0.3">
      <c r="L672" s="47"/>
      <c r="R672" s="51"/>
      <c r="X672" s="51"/>
      <c r="AD672" s="51"/>
      <c r="AJ672" s="51"/>
    </row>
    <row r="673" spans="12:36" x14ac:dyDescent="0.3">
      <c r="L673" s="47"/>
      <c r="R673" s="51"/>
      <c r="X673" s="51"/>
      <c r="AD673" s="51"/>
      <c r="AJ673" s="51"/>
    </row>
    <row r="674" spans="12:36" x14ac:dyDescent="0.3">
      <c r="L674" s="47"/>
      <c r="R674" s="51"/>
      <c r="X674" s="51"/>
      <c r="AD674" s="51"/>
      <c r="AJ674" s="51"/>
    </row>
    <row r="675" spans="12:36" x14ac:dyDescent="0.3">
      <c r="L675" s="47"/>
      <c r="R675" s="51"/>
      <c r="X675" s="51"/>
      <c r="AD675" s="51"/>
      <c r="AJ675" s="51"/>
    </row>
    <row r="676" spans="12:36" x14ac:dyDescent="0.3">
      <c r="L676" s="47"/>
      <c r="R676" s="51"/>
      <c r="X676" s="51"/>
      <c r="AD676" s="51"/>
      <c r="AJ676" s="51"/>
    </row>
    <row r="677" spans="12:36" x14ac:dyDescent="0.3">
      <c r="L677" s="47"/>
      <c r="R677" s="51"/>
      <c r="X677" s="51"/>
      <c r="AD677" s="51"/>
      <c r="AJ677" s="51"/>
    </row>
    <row r="678" spans="12:36" x14ac:dyDescent="0.3">
      <c r="L678" s="47"/>
      <c r="R678" s="51"/>
      <c r="X678" s="51"/>
      <c r="AD678" s="51"/>
      <c r="AJ678" s="51"/>
    </row>
    <row r="679" spans="12:36" x14ac:dyDescent="0.3">
      <c r="L679" s="47"/>
      <c r="R679" s="51"/>
      <c r="X679" s="51"/>
      <c r="AD679" s="51"/>
      <c r="AJ679" s="51"/>
    </row>
    <row r="680" spans="12:36" x14ac:dyDescent="0.3">
      <c r="L680" s="47"/>
      <c r="R680" s="51"/>
      <c r="X680" s="51"/>
      <c r="AD680" s="51"/>
      <c r="AJ680" s="51"/>
    </row>
    <row r="681" spans="12:36" x14ac:dyDescent="0.3">
      <c r="L681" s="47"/>
      <c r="R681" s="51"/>
      <c r="X681" s="51"/>
      <c r="AD681" s="51"/>
      <c r="AJ681" s="51"/>
    </row>
    <row r="682" spans="12:36" x14ac:dyDescent="0.3">
      <c r="L682" s="47"/>
      <c r="R682" s="51"/>
      <c r="X682" s="51"/>
      <c r="AD682" s="51"/>
      <c r="AJ682" s="51"/>
    </row>
    <row r="683" spans="12:36" x14ac:dyDescent="0.3">
      <c r="L683" s="47"/>
      <c r="R683" s="51"/>
      <c r="X683" s="51"/>
      <c r="AD683" s="51"/>
      <c r="AJ683" s="51"/>
    </row>
    <row r="684" spans="12:36" x14ac:dyDescent="0.3">
      <c r="L684" s="47"/>
      <c r="R684" s="51"/>
      <c r="X684" s="51"/>
      <c r="AD684" s="51"/>
      <c r="AJ684" s="51"/>
    </row>
    <row r="685" spans="12:36" x14ac:dyDescent="0.3">
      <c r="L685" s="47"/>
      <c r="R685" s="51"/>
      <c r="X685" s="51"/>
      <c r="AD685" s="51"/>
      <c r="AJ685" s="51"/>
    </row>
    <row r="686" spans="12:36" x14ac:dyDescent="0.3">
      <c r="L686" s="47"/>
      <c r="R686" s="51"/>
      <c r="X686" s="51"/>
      <c r="AD686" s="51"/>
      <c r="AJ686" s="51"/>
    </row>
    <row r="687" spans="12:36" x14ac:dyDescent="0.3">
      <c r="L687" s="47"/>
      <c r="R687" s="51"/>
      <c r="X687" s="51"/>
      <c r="AD687" s="51"/>
      <c r="AJ687" s="51"/>
    </row>
    <row r="688" spans="12:36" x14ac:dyDescent="0.3">
      <c r="L688" s="47"/>
      <c r="R688" s="51"/>
      <c r="X688" s="51"/>
      <c r="AD688" s="51"/>
      <c r="AJ688" s="51"/>
    </row>
    <row r="689" spans="12:36" x14ac:dyDescent="0.3">
      <c r="L689" s="47"/>
      <c r="R689" s="51"/>
      <c r="X689" s="51"/>
      <c r="AD689" s="51"/>
      <c r="AJ689" s="51"/>
    </row>
    <row r="690" spans="12:36" x14ac:dyDescent="0.3">
      <c r="L690" s="47"/>
      <c r="R690" s="51"/>
      <c r="X690" s="51"/>
      <c r="AD690" s="51"/>
      <c r="AJ690" s="51"/>
    </row>
    <row r="691" spans="12:36" x14ac:dyDescent="0.3">
      <c r="L691" s="47"/>
      <c r="R691" s="51"/>
      <c r="X691" s="51"/>
      <c r="AD691" s="51"/>
      <c r="AJ691" s="51"/>
    </row>
    <row r="692" spans="12:36" x14ac:dyDescent="0.3">
      <c r="L692" s="47"/>
      <c r="R692" s="51"/>
      <c r="X692" s="51"/>
      <c r="AD692" s="51"/>
      <c r="AJ692" s="51"/>
    </row>
    <row r="693" spans="12:36" x14ac:dyDescent="0.3">
      <c r="L693" s="47"/>
      <c r="R693" s="51"/>
      <c r="X693" s="51"/>
      <c r="AD693" s="51"/>
      <c r="AJ693" s="51"/>
    </row>
    <row r="694" spans="12:36" x14ac:dyDescent="0.3">
      <c r="L694" s="47"/>
      <c r="R694" s="51"/>
      <c r="X694" s="51"/>
      <c r="AD694" s="51"/>
      <c r="AJ694" s="51"/>
    </row>
    <row r="695" spans="12:36" x14ac:dyDescent="0.3">
      <c r="L695" s="47"/>
      <c r="R695" s="51"/>
      <c r="X695" s="51"/>
      <c r="AD695" s="51"/>
      <c r="AJ695" s="51"/>
    </row>
    <row r="696" spans="12:36" x14ac:dyDescent="0.3">
      <c r="L696" s="47"/>
      <c r="R696" s="51"/>
      <c r="X696" s="51"/>
      <c r="AD696" s="51"/>
      <c r="AJ696" s="51"/>
    </row>
    <row r="697" spans="12:36" x14ac:dyDescent="0.3">
      <c r="L697" s="47"/>
      <c r="R697" s="51"/>
      <c r="X697" s="51"/>
      <c r="AD697" s="51"/>
      <c r="AJ697" s="51"/>
    </row>
    <row r="698" spans="12:36" x14ac:dyDescent="0.3">
      <c r="L698" s="47"/>
      <c r="R698" s="51"/>
      <c r="X698" s="51"/>
      <c r="AD698" s="51"/>
      <c r="AJ698" s="51"/>
    </row>
    <row r="699" spans="12:36" x14ac:dyDescent="0.3">
      <c r="L699" s="47"/>
      <c r="R699" s="51"/>
      <c r="X699" s="51"/>
      <c r="AD699" s="51"/>
      <c r="AJ699" s="51"/>
    </row>
    <row r="700" spans="12:36" x14ac:dyDescent="0.3">
      <c r="L700" s="47"/>
      <c r="R700" s="51"/>
      <c r="X700" s="51"/>
      <c r="AD700" s="51"/>
      <c r="AJ700" s="51"/>
    </row>
    <row r="701" spans="12:36" x14ac:dyDescent="0.3">
      <c r="L701" s="47"/>
      <c r="R701" s="51"/>
      <c r="X701" s="51"/>
      <c r="AD701" s="51"/>
      <c r="AJ701" s="51"/>
    </row>
    <row r="702" spans="12:36" x14ac:dyDescent="0.3">
      <c r="L702" s="47"/>
      <c r="R702" s="51"/>
      <c r="X702" s="51"/>
      <c r="AD702" s="51"/>
      <c r="AJ702" s="51"/>
    </row>
    <row r="703" spans="12:36" x14ac:dyDescent="0.3">
      <c r="L703" s="47"/>
      <c r="R703" s="51"/>
      <c r="X703" s="51"/>
      <c r="AD703" s="51"/>
      <c r="AJ703" s="51"/>
    </row>
    <row r="704" spans="12:36" x14ac:dyDescent="0.3">
      <c r="L704" s="47"/>
      <c r="R704" s="51"/>
      <c r="X704" s="51"/>
      <c r="AD704" s="51"/>
      <c r="AJ704" s="51"/>
    </row>
    <row r="705" spans="12:36" x14ac:dyDescent="0.3">
      <c r="L705" s="47"/>
      <c r="R705" s="51"/>
      <c r="X705" s="51"/>
      <c r="AD705" s="51"/>
      <c r="AJ705" s="51"/>
    </row>
    <row r="706" spans="12:36" x14ac:dyDescent="0.3">
      <c r="L706" s="47"/>
      <c r="R706" s="51"/>
      <c r="X706" s="51"/>
      <c r="AD706" s="51"/>
      <c r="AJ706" s="51"/>
    </row>
    <row r="707" spans="12:36" x14ac:dyDescent="0.3">
      <c r="L707" s="47"/>
      <c r="R707" s="51"/>
      <c r="X707" s="51"/>
      <c r="AD707" s="51"/>
      <c r="AJ707" s="51"/>
    </row>
    <row r="708" spans="12:36" x14ac:dyDescent="0.3">
      <c r="L708" s="47"/>
      <c r="R708" s="51"/>
      <c r="X708" s="51"/>
      <c r="AD708" s="51"/>
      <c r="AJ708" s="51"/>
    </row>
    <row r="709" spans="12:36" x14ac:dyDescent="0.3">
      <c r="L709" s="47"/>
      <c r="R709" s="51"/>
      <c r="X709" s="51"/>
      <c r="AD709" s="51"/>
      <c r="AJ709" s="51"/>
    </row>
    <row r="710" spans="12:36" x14ac:dyDescent="0.3">
      <c r="L710" s="47"/>
      <c r="R710" s="51"/>
      <c r="X710" s="51"/>
      <c r="AD710" s="51"/>
      <c r="AJ710" s="51"/>
    </row>
    <row r="711" spans="12:36" x14ac:dyDescent="0.3">
      <c r="L711" s="47"/>
      <c r="R711" s="51"/>
      <c r="X711" s="51"/>
      <c r="AD711" s="51"/>
      <c r="AJ711" s="51"/>
    </row>
    <row r="712" spans="12:36" x14ac:dyDescent="0.3">
      <c r="L712" s="47"/>
      <c r="R712" s="51"/>
      <c r="X712" s="51"/>
      <c r="AD712" s="51"/>
      <c r="AJ712" s="51"/>
    </row>
    <row r="713" spans="12:36" x14ac:dyDescent="0.3">
      <c r="L713" s="47"/>
      <c r="R713" s="51"/>
      <c r="X713" s="51"/>
      <c r="AD713" s="51"/>
      <c r="AJ713" s="51"/>
    </row>
    <row r="714" spans="12:36" x14ac:dyDescent="0.3">
      <c r="L714" s="47"/>
      <c r="R714" s="51"/>
      <c r="X714" s="51"/>
      <c r="AD714" s="51"/>
      <c r="AJ714" s="51"/>
    </row>
    <row r="715" spans="12:36" x14ac:dyDescent="0.3">
      <c r="L715" s="47"/>
      <c r="R715" s="51"/>
      <c r="X715" s="51"/>
      <c r="AD715" s="51"/>
      <c r="AJ715" s="51"/>
    </row>
    <row r="716" spans="12:36" x14ac:dyDescent="0.3">
      <c r="L716" s="47"/>
      <c r="R716" s="51"/>
      <c r="X716" s="51"/>
      <c r="AD716" s="51"/>
      <c r="AJ716" s="51"/>
    </row>
    <row r="717" spans="12:36" x14ac:dyDescent="0.3">
      <c r="L717" s="47"/>
      <c r="R717" s="51"/>
      <c r="X717" s="51"/>
      <c r="AD717" s="51"/>
      <c r="AJ717" s="51"/>
    </row>
    <row r="718" spans="12:36" x14ac:dyDescent="0.3">
      <c r="L718" s="47"/>
      <c r="R718" s="51"/>
      <c r="X718" s="51"/>
      <c r="AD718" s="51"/>
      <c r="AJ718" s="51"/>
    </row>
    <row r="719" spans="12:36" x14ac:dyDescent="0.3">
      <c r="L719" s="47"/>
      <c r="R719" s="51"/>
      <c r="X719" s="51"/>
      <c r="AD719" s="51"/>
      <c r="AJ719" s="51"/>
    </row>
    <row r="720" spans="12:36" x14ac:dyDescent="0.3">
      <c r="L720" s="47"/>
      <c r="R720" s="51"/>
      <c r="X720" s="51"/>
      <c r="AD720" s="51"/>
      <c r="AJ720" s="51"/>
    </row>
    <row r="721" spans="12:36" x14ac:dyDescent="0.3">
      <c r="L721" s="47"/>
      <c r="R721" s="51"/>
      <c r="X721" s="51"/>
      <c r="AD721" s="51"/>
      <c r="AJ721" s="51"/>
    </row>
    <row r="722" spans="12:36" x14ac:dyDescent="0.3">
      <c r="L722" s="47"/>
      <c r="R722" s="51"/>
      <c r="X722" s="51"/>
      <c r="AD722" s="51"/>
      <c r="AJ722" s="51"/>
    </row>
    <row r="723" spans="12:36" x14ac:dyDescent="0.3">
      <c r="L723" s="47"/>
      <c r="R723" s="51"/>
      <c r="X723" s="51"/>
      <c r="AD723" s="51"/>
      <c r="AJ723" s="51"/>
    </row>
    <row r="724" spans="12:36" x14ac:dyDescent="0.3">
      <c r="L724" s="47"/>
      <c r="R724" s="51"/>
      <c r="X724" s="51"/>
      <c r="AD724" s="51"/>
      <c r="AJ724" s="51"/>
    </row>
    <row r="725" spans="12:36" x14ac:dyDescent="0.3">
      <c r="L725" s="47"/>
      <c r="R725" s="51"/>
      <c r="X725" s="51"/>
      <c r="AD725" s="51"/>
      <c r="AJ725" s="51"/>
    </row>
    <row r="726" spans="12:36" x14ac:dyDescent="0.3">
      <c r="L726" s="47"/>
      <c r="R726" s="51"/>
      <c r="X726" s="51"/>
      <c r="AD726" s="51"/>
      <c r="AJ726" s="51"/>
    </row>
    <row r="727" spans="12:36" x14ac:dyDescent="0.3">
      <c r="L727" s="47"/>
      <c r="R727" s="51"/>
      <c r="X727" s="51"/>
      <c r="AD727" s="51"/>
      <c r="AJ727" s="51"/>
    </row>
    <row r="728" spans="12:36" x14ac:dyDescent="0.3">
      <c r="L728" s="47"/>
      <c r="R728" s="51"/>
      <c r="X728" s="51"/>
      <c r="AD728" s="51"/>
      <c r="AJ728" s="51"/>
    </row>
    <row r="729" spans="12:36" x14ac:dyDescent="0.3">
      <c r="L729" s="47"/>
      <c r="R729" s="51"/>
      <c r="X729" s="51"/>
      <c r="AD729" s="51"/>
      <c r="AJ729" s="51"/>
    </row>
    <row r="730" spans="12:36" x14ac:dyDescent="0.3">
      <c r="L730" s="47"/>
      <c r="R730" s="51"/>
      <c r="X730" s="51"/>
      <c r="AD730" s="51"/>
      <c r="AJ730" s="51"/>
    </row>
    <row r="731" spans="12:36" x14ac:dyDescent="0.3">
      <c r="L731" s="47"/>
      <c r="R731" s="51"/>
      <c r="X731" s="51"/>
      <c r="AD731" s="51"/>
      <c r="AJ731" s="51"/>
    </row>
    <row r="732" spans="12:36" x14ac:dyDescent="0.3">
      <c r="L732" s="47"/>
      <c r="R732" s="51"/>
      <c r="X732" s="51"/>
      <c r="AD732" s="51"/>
      <c r="AJ732" s="51"/>
    </row>
    <row r="733" spans="12:36" x14ac:dyDescent="0.3">
      <c r="L733" s="47"/>
      <c r="R733" s="51"/>
      <c r="X733" s="51"/>
      <c r="AD733" s="51"/>
      <c r="AJ733" s="51"/>
    </row>
    <row r="734" spans="12:36" x14ac:dyDescent="0.3">
      <c r="L734" s="47"/>
      <c r="R734" s="51"/>
      <c r="X734" s="51"/>
      <c r="AD734" s="51"/>
      <c r="AJ734" s="51"/>
    </row>
    <row r="735" spans="12:36" x14ac:dyDescent="0.3">
      <c r="L735" s="47"/>
      <c r="R735" s="51"/>
      <c r="X735" s="51"/>
      <c r="AD735" s="51"/>
      <c r="AJ735" s="51"/>
    </row>
    <row r="736" spans="12:36" x14ac:dyDescent="0.3">
      <c r="L736" s="47"/>
      <c r="R736" s="51"/>
      <c r="X736" s="51"/>
      <c r="AD736" s="51"/>
      <c r="AJ736" s="51"/>
    </row>
    <row r="737" spans="12:36" x14ac:dyDescent="0.3">
      <c r="L737" s="47"/>
      <c r="R737" s="51"/>
      <c r="X737" s="51"/>
      <c r="AD737" s="51"/>
      <c r="AJ737" s="51"/>
    </row>
    <row r="738" spans="12:36" x14ac:dyDescent="0.3">
      <c r="L738" s="47"/>
      <c r="R738" s="51"/>
      <c r="X738" s="51"/>
      <c r="AD738" s="51"/>
      <c r="AJ738" s="51"/>
    </row>
    <row r="739" spans="12:36" x14ac:dyDescent="0.3">
      <c r="L739" s="47"/>
      <c r="R739" s="51"/>
      <c r="X739" s="51"/>
      <c r="AD739" s="51"/>
      <c r="AJ739" s="51"/>
    </row>
    <row r="740" spans="12:36" x14ac:dyDescent="0.3">
      <c r="L740" s="47"/>
      <c r="R740" s="51"/>
      <c r="X740" s="51"/>
      <c r="AD740" s="51"/>
      <c r="AJ740" s="51"/>
    </row>
    <row r="741" spans="12:36" x14ac:dyDescent="0.3">
      <c r="L741" s="47"/>
      <c r="R741" s="51"/>
      <c r="X741" s="51"/>
      <c r="AD741" s="51"/>
      <c r="AJ741" s="51"/>
    </row>
    <row r="742" spans="12:36" x14ac:dyDescent="0.3">
      <c r="L742" s="47"/>
      <c r="R742" s="51"/>
      <c r="X742" s="51"/>
      <c r="AD742" s="51"/>
      <c r="AJ742" s="51"/>
    </row>
    <row r="743" spans="12:36" x14ac:dyDescent="0.3">
      <c r="L743" s="47"/>
      <c r="R743" s="51"/>
      <c r="X743" s="51"/>
      <c r="AD743" s="51"/>
      <c r="AJ743" s="51"/>
    </row>
    <row r="744" spans="12:36" x14ac:dyDescent="0.3">
      <c r="L744" s="47"/>
      <c r="R744" s="51"/>
      <c r="X744" s="51"/>
      <c r="AD744" s="51"/>
      <c r="AJ744" s="51"/>
    </row>
    <row r="745" spans="12:36" x14ac:dyDescent="0.3">
      <c r="L745" s="47"/>
      <c r="R745" s="51"/>
      <c r="X745" s="51"/>
      <c r="AD745" s="51"/>
      <c r="AJ745" s="51"/>
    </row>
    <row r="746" spans="12:36" x14ac:dyDescent="0.3">
      <c r="L746" s="47"/>
      <c r="R746" s="51"/>
      <c r="X746" s="51"/>
      <c r="AD746" s="51"/>
      <c r="AJ746" s="51"/>
    </row>
    <row r="747" spans="12:36" x14ac:dyDescent="0.3">
      <c r="L747" s="47"/>
      <c r="R747" s="51"/>
      <c r="X747" s="51"/>
      <c r="AD747" s="51"/>
      <c r="AJ747" s="51"/>
    </row>
    <row r="748" spans="12:36" x14ac:dyDescent="0.3">
      <c r="L748" s="47"/>
      <c r="R748" s="51"/>
      <c r="X748" s="51"/>
      <c r="AD748" s="51"/>
      <c r="AJ748" s="51"/>
    </row>
    <row r="749" spans="12:36" x14ac:dyDescent="0.3">
      <c r="L749" s="47"/>
      <c r="R749" s="51"/>
      <c r="X749" s="51"/>
      <c r="AD749" s="51"/>
      <c r="AJ749" s="51"/>
    </row>
    <row r="750" spans="12:36" x14ac:dyDescent="0.3">
      <c r="L750" s="47"/>
      <c r="R750" s="51"/>
      <c r="X750" s="51"/>
      <c r="AD750" s="51"/>
      <c r="AJ750" s="51"/>
    </row>
    <row r="751" spans="12:36" x14ac:dyDescent="0.3">
      <c r="L751" s="47"/>
      <c r="R751" s="51"/>
      <c r="X751" s="51"/>
      <c r="AD751" s="51"/>
      <c r="AJ751" s="51"/>
    </row>
    <row r="752" spans="12:36" x14ac:dyDescent="0.3">
      <c r="L752" s="47"/>
      <c r="R752" s="51"/>
      <c r="X752" s="51"/>
      <c r="AD752" s="51"/>
      <c r="AJ752" s="51"/>
    </row>
    <row r="753" spans="12:36" x14ac:dyDescent="0.3">
      <c r="L753" s="47"/>
      <c r="R753" s="51"/>
      <c r="X753" s="51"/>
      <c r="AD753" s="51"/>
      <c r="AJ753" s="51"/>
    </row>
    <row r="754" spans="12:36" x14ac:dyDescent="0.3">
      <c r="L754" s="47"/>
      <c r="R754" s="51"/>
      <c r="X754" s="51"/>
      <c r="AD754" s="51"/>
      <c r="AJ754" s="51"/>
    </row>
    <row r="755" spans="12:36" x14ac:dyDescent="0.3">
      <c r="L755" s="47"/>
      <c r="R755" s="51"/>
      <c r="X755" s="51"/>
      <c r="AD755" s="51"/>
      <c r="AJ755" s="51"/>
    </row>
    <row r="756" spans="12:36" x14ac:dyDescent="0.3">
      <c r="L756" s="47"/>
      <c r="R756" s="51"/>
      <c r="X756" s="51"/>
      <c r="AD756" s="51"/>
      <c r="AJ756" s="51"/>
    </row>
    <row r="757" spans="12:36" x14ac:dyDescent="0.3">
      <c r="L757" s="47"/>
      <c r="R757" s="51"/>
      <c r="X757" s="51"/>
      <c r="AD757" s="51"/>
      <c r="AJ757" s="51"/>
    </row>
    <row r="758" spans="12:36" x14ac:dyDescent="0.3">
      <c r="L758" s="47"/>
      <c r="R758" s="51"/>
      <c r="X758" s="51"/>
      <c r="AD758" s="51"/>
      <c r="AJ758" s="51"/>
    </row>
    <row r="759" spans="12:36" x14ac:dyDescent="0.3">
      <c r="L759" s="47"/>
      <c r="R759" s="51"/>
      <c r="X759" s="51"/>
      <c r="AD759" s="51"/>
      <c r="AJ759" s="51"/>
    </row>
    <row r="760" spans="12:36" x14ac:dyDescent="0.3">
      <c r="L760" s="47"/>
      <c r="R760" s="51"/>
      <c r="X760" s="51"/>
      <c r="AD760" s="51"/>
      <c r="AJ760" s="51"/>
    </row>
    <row r="761" spans="12:36" x14ac:dyDescent="0.3">
      <c r="L761" s="47"/>
      <c r="R761" s="51"/>
      <c r="X761" s="51"/>
      <c r="AD761" s="51"/>
      <c r="AJ761" s="51"/>
    </row>
    <row r="762" spans="12:36" x14ac:dyDescent="0.3">
      <c r="L762" s="47"/>
      <c r="R762" s="51"/>
      <c r="X762" s="51"/>
      <c r="AD762" s="51"/>
      <c r="AJ762" s="51"/>
    </row>
    <row r="763" spans="12:36" x14ac:dyDescent="0.3">
      <c r="L763" s="47"/>
      <c r="R763" s="51"/>
      <c r="X763" s="51"/>
      <c r="AD763" s="51"/>
      <c r="AJ763" s="51"/>
    </row>
    <row r="764" spans="12:36" x14ac:dyDescent="0.3">
      <c r="L764" s="47"/>
      <c r="R764" s="51"/>
      <c r="X764" s="51"/>
      <c r="AD764" s="51"/>
      <c r="AJ764" s="51"/>
    </row>
    <row r="765" spans="12:36" x14ac:dyDescent="0.3">
      <c r="L765" s="47"/>
      <c r="R765" s="51"/>
      <c r="X765" s="51"/>
      <c r="AD765" s="51"/>
      <c r="AJ765" s="51"/>
    </row>
    <row r="766" spans="12:36" x14ac:dyDescent="0.3">
      <c r="L766" s="47"/>
      <c r="R766" s="51"/>
      <c r="X766" s="51"/>
      <c r="AD766" s="51"/>
      <c r="AJ766" s="51"/>
    </row>
    <row r="767" spans="12:36" x14ac:dyDescent="0.3">
      <c r="L767" s="47"/>
      <c r="R767" s="51"/>
      <c r="X767" s="51"/>
      <c r="AD767" s="51"/>
      <c r="AJ767" s="51"/>
    </row>
    <row r="768" spans="12:36" x14ac:dyDescent="0.3">
      <c r="L768" s="47"/>
      <c r="R768" s="51"/>
      <c r="X768" s="51"/>
      <c r="AD768" s="51"/>
      <c r="AJ768" s="51"/>
    </row>
    <row r="769" spans="12:36" x14ac:dyDescent="0.3">
      <c r="L769" s="47"/>
      <c r="R769" s="51"/>
      <c r="X769" s="51"/>
      <c r="AD769" s="51"/>
      <c r="AJ769" s="51"/>
    </row>
    <row r="770" spans="12:36" x14ac:dyDescent="0.3">
      <c r="L770" s="47"/>
      <c r="R770" s="51"/>
      <c r="X770" s="51"/>
      <c r="AD770" s="51"/>
      <c r="AJ770" s="51"/>
    </row>
    <row r="771" spans="12:36" x14ac:dyDescent="0.3">
      <c r="L771" s="47"/>
      <c r="R771" s="51"/>
      <c r="X771" s="51"/>
      <c r="AD771" s="51"/>
      <c r="AJ771" s="51"/>
    </row>
    <row r="772" spans="12:36" x14ac:dyDescent="0.3">
      <c r="L772" s="47"/>
      <c r="R772" s="51"/>
      <c r="X772" s="51"/>
      <c r="AD772" s="51"/>
      <c r="AJ772" s="51"/>
    </row>
    <row r="773" spans="12:36" x14ac:dyDescent="0.3">
      <c r="L773" s="47"/>
      <c r="R773" s="51"/>
      <c r="X773" s="51"/>
      <c r="AD773" s="51"/>
      <c r="AJ773" s="51"/>
    </row>
    <row r="774" spans="12:36" x14ac:dyDescent="0.3">
      <c r="L774" s="47"/>
      <c r="R774" s="51"/>
      <c r="X774" s="51"/>
      <c r="AD774" s="51"/>
      <c r="AJ774" s="51"/>
    </row>
    <row r="775" spans="12:36" x14ac:dyDescent="0.3">
      <c r="L775" s="47"/>
      <c r="R775" s="51"/>
      <c r="X775" s="51"/>
      <c r="AD775" s="51"/>
      <c r="AJ775" s="51"/>
    </row>
    <row r="776" spans="12:36" x14ac:dyDescent="0.3">
      <c r="L776" s="47"/>
      <c r="R776" s="51"/>
      <c r="X776" s="51"/>
      <c r="AD776" s="51"/>
      <c r="AJ776" s="51"/>
    </row>
    <row r="777" spans="12:36" x14ac:dyDescent="0.3">
      <c r="L777" s="47"/>
      <c r="R777" s="51"/>
      <c r="X777" s="51"/>
      <c r="AD777" s="51"/>
      <c r="AJ777" s="51"/>
    </row>
    <row r="778" spans="12:36" x14ac:dyDescent="0.3">
      <c r="L778" s="47"/>
      <c r="R778" s="51"/>
      <c r="X778" s="51"/>
      <c r="AD778" s="51"/>
      <c r="AJ778" s="51"/>
    </row>
    <row r="779" spans="12:36" x14ac:dyDescent="0.3">
      <c r="L779" s="47"/>
      <c r="R779" s="51"/>
      <c r="X779" s="51"/>
      <c r="AD779" s="51"/>
      <c r="AJ779" s="51"/>
    </row>
    <row r="780" spans="12:36" x14ac:dyDescent="0.3">
      <c r="L780" s="47"/>
      <c r="R780" s="51"/>
      <c r="X780" s="51"/>
      <c r="AD780" s="51"/>
      <c r="AJ780" s="51"/>
    </row>
    <row r="781" spans="12:36" x14ac:dyDescent="0.3">
      <c r="L781" s="47"/>
      <c r="R781" s="51"/>
      <c r="X781" s="51"/>
      <c r="AD781" s="51"/>
      <c r="AJ781" s="51"/>
    </row>
    <row r="782" spans="12:36" x14ac:dyDescent="0.3">
      <c r="L782" s="47"/>
      <c r="R782" s="51"/>
      <c r="X782" s="51"/>
      <c r="AD782" s="51"/>
      <c r="AJ782" s="51"/>
    </row>
    <row r="783" spans="12:36" x14ac:dyDescent="0.3">
      <c r="L783" s="47"/>
      <c r="R783" s="51"/>
      <c r="X783" s="51"/>
      <c r="AD783" s="51"/>
      <c r="AJ783" s="51"/>
    </row>
    <row r="784" spans="12:36" x14ac:dyDescent="0.3">
      <c r="L784" s="47"/>
      <c r="R784" s="51"/>
      <c r="X784" s="51"/>
      <c r="AD784" s="51"/>
      <c r="AJ784" s="51"/>
    </row>
    <row r="785" spans="12:36" x14ac:dyDescent="0.3">
      <c r="L785" s="47"/>
      <c r="R785" s="51"/>
      <c r="X785" s="51"/>
      <c r="AD785" s="51"/>
      <c r="AJ785" s="51"/>
    </row>
    <row r="786" spans="12:36" x14ac:dyDescent="0.3">
      <c r="L786" s="47"/>
      <c r="R786" s="51"/>
      <c r="X786" s="51"/>
      <c r="AD786" s="51"/>
      <c r="AJ786" s="51"/>
    </row>
    <row r="787" spans="12:36" x14ac:dyDescent="0.3">
      <c r="L787" s="47"/>
      <c r="R787" s="51"/>
      <c r="X787" s="51"/>
      <c r="AD787" s="51"/>
      <c r="AJ787" s="51"/>
    </row>
    <row r="788" spans="12:36" x14ac:dyDescent="0.3">
      <c r="L788" s="47"/>
      <c r="R788" s="51"/>
      <c r="X788" s="51"/>
      <c r="AD788" s="51"/>
      <c r="AJ788" s="51"/>
    </row>
    <row r="789" spans="12:36" x14ac:dyDescent="0.3">
      <c r="L789" s="47"/>
      <c r="R789" s="51"/>
      <c r="X789" s="51"/>
      <c r="AD789" s="51"/>
      <c r="AJ789" s="51"/>
    </row>
    <row r="790" spans="12:36" x14ac:dyDescent="0.3">
      <c r="L790" s="47"/>
      <c r="R790" s="51"/>
      <c r="X790" s="51"/>
      <c r="AD790" s="51"/>
      <c r="AJ790" s="51"/>
    </row>
    <row r="791" spans="12:36" x14ac:dyDescent="0.3">
      <c r="L791" s="47"/>
      <c r="R791" s="51"/>
      <c r="X791" s="51"/>
      <c r="AD791" s="51"/>
      <c r="AJ791" s="51"/>
    </row>
    <row r="792" spans="12:36" x14ac:dyDescent="0.3">
      <c r="L792" s="47"/>
      <c r="R792" s="51"/>
      <c r="X792" s="51"/>
      <c r="AD792" s="51"/>
      <c r="AJ792" s="51"/>
    </row>
    <row r="793" spans="12:36" x14ac:dyDescent="0.3">
      <c r="L793" s="47"/>
      <c r="R793" s="51"/>
      <c r="X793" s="51"/>
      <c r="AD793" s="51"/>
      <c r="AJ793" s="51"/>
    </row>
    <row r="794" spans="12:36" x14ac:dyDescent="0.3">
      <c r="L794" s="47"/>
      <c r="R794" s="51"/>
      <c r="X794" s="51"/>
      <c r="AD794" s="51"/>
      <c r="AJ794" s="51"/>
    </row>
    <row r="795" spans="12:36" x14ac:dyDescent="0.3">
      <c r="L795" s="47"/>
      <c r="R795" s="51"/>
      <c r="X795" s="51"/>
      <c r="AD795" s="51"/>
      <c r="AJ795" s="51"/>
    </row>
    <row r="796" spans="12:36" x14ac:dyDescent="0.3">
      <c r="L796" s="47"/>
      <c r="R796" s="51"/>
      <c r="X796" s="51"/>
      <c r="AD796" s="51"/>
      <c r="AJ796" s="51"/>
    </row>
    <row r="797" spans="12:36" x14ac:dyDescent="0.3">
      <c r="L797" s="47"/>
      <c r="R797" s="51"/>
      <c r="X797" s="51"/>
      <c r="AD797" s="51"/>
      <c r="AJ797" s="51"/>
    </row>
    <row r="798" spans="12:36" x14ac:dyDescent="0.3">
      <c r="L798" s="47"/>
      <c r="R798" s="51"/>
      <c r="X798" s="51"/>
      <c r="AD798" s="51"/>
      <c r="AJ798" s="51"/>
    </row>
    <row r="799" spans="12:36" x14ac:dyDescent="0.3">
      <c r="L799" s="47"/>
      <c r="R799" s="51"/>
      <c r="X799" s="51"/>
      <c r="AD799" s="51"/>
      <c r="AJ799" s="51"/>
    </row>
    <row r="800" spans="12:36" x14ac:dyDescent="0.3">
      <c r="L800" s="47"/>
      <c r="R800" s="51"/>
      <c r="X800" s="51"/>
      <c r="AD800" s="51"/>
      <c r="AJ800" s="51"/>
    </row>
    <row r="801" spans="12:36" x14ac:dyDescent="0.3">
      <c r="L801" s="47"/>
      <c r="R801" s="51"/>
      <c r="X801" s="51"/>
      <c r="AD801" s="51"/>
      <c r="AJ801" s="51"/>
    </row>
    <row r="802" spans="12:36" x14ac:dyDescent="0.3">
      <c r="L802" s="47"/>
      <c r="R802" s="51"/>
      <c r="X802" s="51"/>
      <c r="AD802" s="51"/>
      <c r="AJ802" s="51"/>
    </row>
    <row r="803" spans="12:36" x14ac:dyDescent="0.3">
      <c r="L803" s="47"/>
      <c r="R803" s="51"/>
      <c r="X803" s="51"/>
      <c r="AD803" s="51"/>
      <c r="AJ803" s="51"/>
    </row>
    <row r="804" spans="12:36" x14ac:dyDescent="0.3">
      <c r="L804" s="47"/>
      <c r="R804" s="51"/>
      <c r="X804" s="51"/>
      <c r="AD804" s="51"/>
      <c r="AJ804" s="51"/>
    </row>
    <row r="805" spans="12:36" x14ac:dyDescent="0.3">
      <c r="L805" s="47"/>
      <c r="R805" s="51"/>
      <c r="X805" s="51"/>
      <c r="AD805" s="51"/>
      <c r="AJ805" s="51"/>
    </row>
    <row r="806" spans="12:36" x14ac:dyDescent="0.3">
      <c r="L806" s="47"/>
      <c r="R806" s="51"/>
      <c r="X806" s="51"/>
      <c r="AD806" s="51"/>
      <c r="AJ806" s="51"/>
    </row>
    <row r="807" spans="12:36" x14ac:dyDescent="0.3">
      <c r="L807" s="47"/>
      <c r="R807" s="51"/>
      <c r="X807" s="51"/>
      <c r="AD807" s="51"/>
      <c r="AJ807" s="51"/>
    </row>
    <row r="808" spans="12:36" x14ac:dyDescent="0.3">
      <c r="L808" s="47"/>
      <c r="R808" s="51"/>
      <c r="X808" s="51"/>
      <c r="AD808" s="51"/>
      <c r="AJ808" s="51"/>
    </row>
    <row r="809" spans="12:36" x14ac:dyDescent="0.3">
      <c r="L809" s="47"/>
      <c r="R809" s="51"/>
      <c r="X809" s="51"/>
      <c r="AD809" s="51"/>
      <c r="AJ809" s="51"/>
    </row>
    <row r="810" spans="12:36" x14ac:dyDescent="0.3">
      <c r="L810" s="47"/>
      <c r="R810" s="51"/>
      <c r="X810" s="51"/>
      <c r="AD810" s="51"/>
      <c r="AJ810" s="51"/>
    </row>
    <row r="811" spans="12:36" x14ac:dyDescent="0.3">
      <c r="L811" s="47"/>
      <c r="R811" s="51"/>
      <c r="X811" s="51"/>
      <c r="AD811" s="51"/>
      <c r="AJ811" s="51"/>
    </row>
    <row r="812" spans="12:36" x14ac:dyDescent="0.3">
      <c r="L812" s="47"/>
      <c r="R812" s="51"/>
      <c r="X812" s="51"/>
      <c r="AD812" s="51"/>
      <c r="AJ812" s="51"/>
    </row>
    <row r="813" spans="12:36" x14ac:dyDescent="0.3">
      <c r="L813" s="47"/>
      <c r="R813" s="51"/>
      <c r="X813" s="51"/>
      <c r="AD813" s="51"/>
      <c r="AJ813" s="51"/>
    </row>
    <row r="814" spans="12:36" x14ac:dyDescent="0.3">
      <c r="L814" s="47"/>
      <c r="R814" s="51"/>
      <c r="X814" s="51"/>
      <c r="AD814" s="51"/>
      <c r="AJ814" s="51"/>
    </row>
    <row r="815" spans="12:36" x14ac:dyDescent="0.3">
      <c r="L815" s="47"/>
      <c r="R815" s="51"/>
      <c r="X815" s="51"/>
      <c r="AD815" s="51"/>
      <c r="AJ815" s="51"/>
    </row>
    <row r="816" spans="12:36" x14ac:dyDescent="0.3">
      <c r="L816" s="47"/>
      <c r="R816" s="51"/>
      <c r="X816" s="51"/>
      <c r="AD816" s="51"/>
      <c r="AJ816" s="51"/>
    </row>
    <row r="817" spans="12:36" x14ac:dyDescent="0.3">
      <c r="L817" s="47"/>
      <c r="R817" s="51"/>
      <c r="X817" s="51"/>
      <c r="AD817" s="51"/>
      <c r="AJ817" s="51"/>
    </row>
    <row r="818" spans="12:36" x14ac:dyDescent="0.3">
      <c r="L818" s="47"/>
      <c r="R818" s="51"/>
      <c r="X818" s="51"/>
      <c r="AD818" s="51"/>
      <c r="AJ818" s="51"/>
    </row>
    <row r="819" spans="12:36" x14ac:dyDescent="0.3">
      <c r="L819" s="47"/>
      <c r="R819" s="51"/>
      <c r="X819" s="51"/>
      <c r="AD819" s="51"/>
      <c r="AJ819" s="51"/>
    </row>
    <row r="820" spans="12:36" x14ac:dyDescent="0.3">
      <c r="L820" s="47"/>
      <c r="R820" s="51"/>
      <c r="X820" s="51"/>
      <c r="AD820" s="51"/>
      <c r="AJ820" s="51"/>
    </row>
    <row r="821" spans="12:36" x14ac:dyDescent="0.3">
      <c r="L821" s="47"/>
      <c r="R821" s="51"/>
      <c r="X821" s="51"/>
      <c r="AD821" s="51"/>
      <c r="AJ821" s="51"/>
    </row>
    <row r="822" spans="12:36" x14ac:dyDescent="0.3">
      <c r="L822" s="47"/>
      <c r="R822" s="51"/>
      <c r="X822" s="51"/>
      <c r="AD822" s="51"/>
      <c r="AJ822" s="51"/>
    </row>
    <row r="823" spans="12:36" x14ac:dyDescent="0.3">
      <c r="L823" s="47"/>
      <c r="R823" s="51"/>
      <c r="X823" s="51"/>
      <c r="AD823" s="51"/>
      <c r="AJ823" s="51"/>
    </row>
    <row r="824" spans="12:36" x14ac:dyDescent="0.3">
      <c r="L824" s="47"/>
      <c r="R824" s="51"/>
      <c r="X824" s="51"/>
      <c r="AD824" s="51"/>
      <c r="AJ824" s="51"/>
    </row>
    <row r="825" spans="12:36" x14ac:dyDescent="0.3">
      <c r="L825" s="47"/>
      <c r="R825" s="51"/>
      <c r="X825" s="51"/>
      <c r="AD825" s="51"/>
      <c r="AJ825" s="51"/>
    </row>
    <row r="826" spans="12:36" x14ac:dyDescent="0.3">
      <c r="L826" s="47"/>
      <c r="R826" s="51"/>
      <c r="X826" s="51"/>
      <c r="AD826" s="51"/>
      <c r="AJ826" s="51"/>
    </row>
    <row r="827" spans="12:36" x14ac:dyDescent="0.3">
      <c r="L827" s="47"/>
      <c r="R827" s="51"/>
      <c r="X827" s="51"/>
      <c r="AD827" s="51"/>
      <c r="AJ827" s="51"/>
    </row>
    <row r="828" spans="12:36" x14ac:dyDescent="0.3">
      <c r="L828" s="47"/>
      <c r="R828" s="51"/>
      <c r="X828" s="51"/>
      <c r="AD828" s="51"/>
      <c r="AJ828" s="51"/>
    </row>
    <row r="829" spans="12:36" x14ac:dyDescent="0.3">
      <c r="L829" s="47"/>
      <c r="R829" s="51"/>
      <c r="X829" s="51"/>
      <c r="AD829" s="51"/>
      <c r="AJ829" s="51"/>
    </row>
    <row r="830" spans="12:36" x14ac:dyDescent="0.3">
      <c r="L830" s="47"/>
      <c r="R830" s="51"/>
      <c r="X830" s="51"/>
      <c r="AD830" s="51"/>
      <c r="AJ830" s="51"/>
    </row>
    <row r="831" spans="12:36" x14ac:dyDescent="0.3">
      <c r="L831" s="47"/>
      <c r="R831" s="51"/>
      <c r="X831" s="51"/>
      <c r="AD831" s="51"/>
      <c r="AJ831" s="51"/>
    </row>
    <row r="832" spans="12:36" x14ac:dyDescent="0.3">
      <c r="L832" s="47"/>
      <c r="R832" s="51"/>
      <c r="X832" s="51"/>
      <c r="AD832" s="51"/>
      <c r="AJ832" s="51"/>
    </row>
    <row r="833" spans="12:36" x14ac:dyDescent="0.3">
      <c r="L833" s="47"/>
      <c r="R833" s="51"/>
      <c r="X833" s="51"/>
      <c r="AD833" s="51"/>
      <c r="AJ833" s="51"/>
    </row>
    <row r="834" spans="12:36" x14ac:dyDescent="0.3">
      <c r="L834" s="47"/>
      <c r="R834" s="51"/>
      <c r="X834" s="51"/>
      <c r="AD834" s="51"/>
      <c r="AJ834" s="51"/>
    </row>
    <row r="835" spans="12:36" x14ac:dyDescent="0.3">
      <c r="L835" s="47"/>
      <c r="R835" s="51"/>
      <c r="X835" s="51"/>
      <c r="AD835" s="51"/>
      <c r="AJ835" s="51"/>
    </row>
    <row r="836" spans="12:36" x14ac:dyDescent="0.3">
      <c r="L836" s="47"/>
      <c r="R836" s="51"/>
      <c r="X836" s="51"/>
      <c r="AD836" s="51"/>
      <c r="AJ836" s="51"/>
    </row>
    <row r="837" spans="12:36" x14ac:dyDescent="0.3">
      <c r="L837" s="47"/>
      <c r="R837" s="51"/>
      <c r="X837" s="51"/>
      <c r="AD837" s="51"/>
      <c r="AJ837" s="51"/>
    </row>
    <row r="838" spans="12:36" x14ac:dyDescent="0.3">
      <c r="L838" s="47"/>
      <c r="R838" s="51"/>
      <c r="X838" s="51"/>
      <c r="AD838" s="51"/>
      <c r="AJ838" s="51"/>
    </row>
    <row r="839" spans="12:36" x14ac:dyDescent="0.3">
      <c r="L839" s="47"/>
      <c r="R839" s="51"/>
      <c r="X839" s="51"/>
      <c r="AD839" s="51"/>
      <c r="AJ839" s="51"/>
    </row>
    <row r="840" spans="12:36" x14ac:dyDescent="0.3">
      <c r="L840" s="47"/>
      <c r="R840" s="51"/>
      <c r="X840" s="51"/>
      <c r="AD840" s="51"/>
      <c r="AJ840" s="51"/>
    </row>
    <row r="841" spans="12:36" x14ac:dyDescent="0.3">
      <c r="L841" s="47"/>
      <c r="R841" s="51"/>
      <c r="X841" s="51"/>
      <c r="AD841" s="51"/>
      <c r="AJ841" s="51"/>
    </row>
    <row r="842" spans="12:36" x14ac:dyDescent="0.3">
      <c r="L842" s="47"/>
      <c r="R842" s="51"/>
      <c r="X842" s="51"/>
      <c r="AD842" s="51"/>
      <c r="AJ842" s="51"/>
    </row>
    <row r="843" spans="12:36" x14ac:dyDescent="0.3">
      <c r="L843" s="47"/>
      <c r="R843" s="51"/>
      <c r="X843" s="51"/>
      <c r="AD843" s="51"/>
      <c r="AJ843" s="51"/>
    </row>
    <row r="844" spans="12:36" x14ac:dyDescent="0.3">
      <c r="L844" s="47"/>
      <c r="R844" s="51"/>
      <c r="X844" s="51"/>
      <c r="AD844" s="51"/>
      <c r="AJ844" s="51"/>
    </row>
    <row r="845" spans="12:36" x14ac:dyDescent="0.3">
      <c r="L845" s="47"/>
      <c r="R845" s="51"/>
      <c r="X845" s="51"/>
      <c r="AD845" s="51"/>
      <c r="AJ845" s="51"/>
    </row>
    <row r="846" spans="12:36" x14ac:dyDescent="0.3">
      <c r="L846" s="47"/>
      <c r="R846" s="51"/>
      <c r="X846" s="51"/>
      <c r="AD846" s="51"/>
      <c r="AJ846" s="51"/>
    </row>
    <row r="847" spans="12:36" x14ac:dyDescent="0.3">
      <c r="L847" s="47"/>
      <c r="R847" s="51"/>
      <c r="X847" s="51"/>
      <c r="AD847" s="51"/>
      <c r="AJ847" s="51"/>
    </row>
    <row r="848" spans="12:36" x14ac:dyDescent="0.3">
      <c r="L848" s="47"/>
      <c r="R848" s="51"/>
      <c r="X848" s="51"/>
      <c r="AD848" s="51"/>
      <c r="AJ848" s="51"/>
    </row>
    <row r="849" spans="12:36" x14ac:dyDescent="0.3">
      <c r="L849" s="47"/>
      <c r="R849" s="51"/>
      <c r="X849" s="51"/>
      <c r="AD849" s="51"/>
      <c r="AJ849" s="51"/>
    </row>
    <row r="850" spans="12:36" x14ac:dyDescent="0.3">
      <c r="L850" s="47"/>
      <c r="R850" s="51"/>
      <c r="X850" s="51"/>
      <c r="AD850" s="51"/>
      <c r="AJ850" s="51"/>
    </row>
    <row r="851" spans="12:36" x14ac:dyDescent="0.3">
      <c r="L851" s="47"/>
      <c r="R851" s="51"/>
      <c r="X851" s="51"/>
      <c r="AD851" s="51"/>
      <c r="AJ851" s="51"/>
    </row>
    <row r="852" spans="12:36" x14ac:dyDescent="0.3">
      <c r="L852" s="47"/>
      <c r="R852" s="51"/>
      <c r="X852" s="51"/>
      <c r="AD852" s="51"/>
      <c r="AJ852" s="51"/>
    </row>
    <row r="853" spans="12:36" x14ac:dyDescent="0.3">
      <c r="L853" s="47"/>
      <c r="R853" s="51"/>
      <c r="X853" s="51"/>
      <c r="AD853" s="51"/>
      <c r="AJ853" s="51"/>
    </row>
    <row r="854" spans="12:36" x14ac:dyDescent="0.3">
      <c r="L854" s="47"/>
      <c r="R854" s="51"/>
      <c r="X854" s="51"/>
      <c r="AD854" s="51"/>
      <c r="AJ854" s="51"/>
    </row>
    <row r="855" spans="12:36" x14ac:dyDescent="0.3">
      <c r="L855" s="47"/>
      <c r="R855" s="51"/>
      <c r="X855" s="51"/>
      <c r="AD855" s="51"/>
      <c r="AJ855" s="51"/>
    </row>
    <row r="856" spans="12:36" x14ac:dyDescent="0.3">
      <c r="L856" s="47"/>
      <c r="R856" s="51"/>
      <c r="X856" s="51"/>
      <c r="AD856" s="51"/>
      <c r="AJ856" s="51"/>
    </row>
    <row r="857" spans="12:36" x14ac:dyDescent="0.3">
      <c r="L857" s="47"/>
      <c r="R857" s="51"/>
      <c r="X857" s="51"/>
      <c r="AD857" s="51"/>
      <c r="AJ857" s="51"/>
    </row>
    <row r="858" spans="12:36" x14ac:dyDescent="0.3">
      <c r="L858" s="47"/>
      <c r="R858" s="51"/>
      <c r="X858" s="51"/>
      <c r="AD858" s="51"/>
      <c r="AJ858" s="51"/>
    </row>
    <row r="859" spans="12:36" x14ac:dyDescent="0.3">
      <c r="L859" s="47"/>
      <c r="R859" s="51"/>
      <c r="X859" s="51"/>
      <c r="AD859" s="51"/>
      <c r="AJ859" s="51"/>
    </row>
    <row r="860" spans="12:36" x14ac:dyDescent="0.3">
      <c r="L860" s="47"/>
      <c r="R860" s="51"/>
      <c r="X860" s="51"/>
      <c r="AD860" s="51"/>
      <c r="AJ860" s="51"/>
    </row>
    <row r="861" spans="12:36" x14ac:dyDescent="0.3">
      <c r="L861" s="47"/>
      <c r="R861" s="51"/>
      <c r="X861" s="51"/>
      <c r="AD861" s="51"/>
      <c r="AJ861" s="51"/>
    </row>
    <row r="862" spans="12:36" x14ac:dyDescent="0.3">
      <c r="L862" s="47"/>
      <c r="R862" s="51"/>
      <c r="X862" s="51"/>
      <c r="AD862" s="51"/>
      <c r="AJ862" s="51"/>
    </row>
    <row r="863" spans="12:36" x14ac:dyDescent="0.3">
      <c r="L863" s="47"/>
      <c r="R863" s="51"/>
      <c r="X863" s="51"/>
      <c r="AD863" s="51"/>
      <c r="AJ863" s="51"/>
    </row>
    <row r="864" spans="12:36" x14ac:dyDescent="0.3">
      <c r="L864" s="47"/>
      <c r="R864" s="51"/>
      <c r="X864" s="51"/>
      <c r="AD864" s="51"/>
      <c r="AJ864" s="51"/>
    </row>
    <row r="865" spans="12:36" x14ac:dyDescent="0.3">
      <c r="L865" s="47"/>
      <c r="R865" s="51"/>
      <c r="X865" s="51"/>
      <c r="AD865" s="51"/>
      <c r="AJ865" s="51"/>
    </row>
    <row r="866" spans="12:36" x14ac:dyDescent="0.3">
      <c r="L866" s="47"/>
      <c r="R866" s="51"/>
      <c r="X866" s="51"/>
      <c r="AD866" s="51"/>
      <c r="AJ866" s="51"/>
    </row>
    <row r="867" spans="12:36" x14ac:dyDescent="0.3">
      <c r="L867" s="47"/>
      <c r="R867" s="51"/>
      <c r="X867" s="51"/>
      <c r="AD867" s="51"/>
      <c r="AJ867" s="51"/>
    </row>
    <row r="868" spans="12:36" x14ac:dyDescent="0.3">
      <c r="L868" s="47"/>
      <c r="R868" s="51"/>
      <c r="X868" s="51"/>
      <c r="AD868" s="51"/>
      <c r="AJ868" s="51"/>
    </row>
    <row r="869" spans="12:36" x14ac:dyDescent="0.3">
      <c r="L869" s="47"/>
      <c r="R869" s="51"/>
      <c r="X869" s="51"/>
      <c r="AD869" s="51"/>
      <c r="AJ869" s="51"/>
    </row>
    <row r="870" spans="12:36" x14ac:dyDescent="0.3">
      <c r="L870" s="47"/>
      <c r="R870" s="51"/>
      <c r="X870" s="51"/>
      <c r="AD870" s="51"/>
      <c r="AJ870" s="51"/>
    </row>
    <row r="871" spans="12:36" x14ac:dyDescent="0.3">
      <c r="L871" s="47"/>
      <c r="R871" s="51"/>
      <c r="X871" s="51"/>
      <c r="AD871" s="51"/>
      <c r="AJ871" s="51"/>
    </row>
    <row r="872" spans="12:36" x14ac:dyDescent="0.3">
      <c r="L872" s="47"/>
      <c r="R872" s="51"/>
      <c r="X872" s="51"/>
      <c r="AD872" s="51"/>
      <c r="AJ872" s="51"/>
    </row>
    <row r="873" spans="12:36" x14ac:dyDescent="0.3">
      <c r="L873" s="47"/>
      <c r="R873" s="51"/>
      <c r="X873" s="51"/>
      <c r="AD873" s="51"/>
      <c r="AJ873" s="51"/>
    </row>
    <row r="874" spans="12:36" x14ac:dyDescent="0.3">
      <c r="L874" s="47"/>
      <c r="R874" s="51"/>
      <c r="X874" s="51"/>
      <c r="AD874" s="51"/>
      <c r="AJ874" s="51"/>
    </row>
    <row r="875" spans="12:36" x14ac:dyDescent="0.3">
      <c r="L875" s="47"/>
      <c r="R875" s="51"/>
      <c r="X875" s="51"/>
      <c r="AD875" s="51"/>
      <c r="AJ875" s="51"/>
    </row>
    <row r="876" spans="12:36" x14ac:dyDescent="0.3">
      <c r="L876" s="47"/>
      <c r="R876" s="51"/>
      <c r="X876" s="51"/>
      <c r="AD876" s="51"/>
      <c r="AJ876" s="51"/>
    </row>
    <row r="877" spans="12:36" x14ac:dyDescent="0.3">
      <c r="L877" s="47"/>
      <c r="R877" s="51"/>
      <c r="X877" s="51"/>
      <c r="AD877" s="51"/>
      <c r="AJ877" s="51"/>
    </row>
    <row r="878" spans="12:36" x14ac:dyDescent="0.3">
      <c r="L878" s="47"/>
      <c r="R878" s="51"/>
      <c r="X878" s="51"/>
      <c r="AD878" s="51"/>
      <c r="AJ878" s="51"/>
    </row>
    <row r="879" spans="12:36" x14ac:dyDescent="0.3">
      <c r="L879" s="47"/>
      <c r="R879" s="51"/>
      <c r="X879" s="51"/>
      <c r="AD879" s="51"/>
      <c r="AJ879" s="51"/>
    </row>
    <row r="880" spans="12:36" x14ac:dyDescent="0.3">
      <c r="L880" s="47"/>
      <c r="R880" s="51"/>
      <c r="X880" s="51"/>
      <c r="AD880" s="51"/>
      <c r="AJ880" s="51"/>
    </row>
    <row r="881" spans="12:36" x14ac:dyDescent="0.3">
      <c r="L881" s="47"/>
      <c r="R881" s="51"/>
      <c r="X881" s="51"/>
      <c r="AD881" s="51"/>
      <c r="AJ881" s="51"/>
    </row>
    <row r="882" spans="12:36" x14ac:dyDescent="0.3">
      <c r="L882" s="47"/>
      <c r="R882" s="51"/>
      <c r="X882" s="51"/>
      <c r="AD882" s="51"/>
      <c r="AJ882" s="51"/>
    </row>
    <row r="883" spans="12:36" x14ac:dyDescent="0.3">
      <c r="L883" s="47"/>
      <c r="R883" s="51"/>
      <c r="X883" s="51"/>
      <c r="AD883" s="51"/>
      <c r="AJ883" s="51"/>
    </row>
    <row r="884" spans="12:36" x14ac:dyDescent="0.3">
      <c r="L884" s="47"/>
      <c r="R884" s="51"/>
      <c r="X884" s="51"/>
      <c r="AD884" s="51"/>
      <c r="AJ884" s="51"/>
    </row>
    <row r="885" spans="12:36" x14ac:dyDescent="0.3">
      <c r="L885" s="47"/>
      <c r="R885" s="51"/>
      <c r="X885" s="51"/>
      <c r="AD885" s="51"/>
      <c r="AJ885" s="51"/>
    </row>
    <row r="886" spans="12:36" x14ac:dyDescent="0.3">
      <c r="L886" s="47"/>
      <c r="R886" s="51"/>
      <c r="X886" s="51"/>
      <c r="AD886" s="51"/>
      <c r="AJ886" s="51"/>
    </row>
    <row r="887" spans="12:36" x14ac:dyDescent="0.3">
      <c r="L887" s="47"/>
      <c r="R887" s="51"/>
      <c r="X887" s="51"/>
      <c r="AD887" s="51"/>
      <c r="AJ887" s="51"/>
    </row>
    <row r="888" spans="12:36" x14ac:dyDescent="0.3">
      <c r="L888" s="47"/>
      <c r="R888" s="51"/>
      <c r="X888" s="51"/>
      <c r="AD888" s="51"/>
      <c r="AJ888" s="51"/>
    </row>
    <row r="889" spans="12:36" x14ac:dyDescent="0.3">
      <c r="L889" s="47"/>
      <c r="R889" s="51"/>
      <c r="X889" s="51"/>
      <c r="AD889" s="51"/>
      <c r="AJ889" s="51"/>
    </row>
    <row r="890" spans="12:36" x14ac:dyDescent="0.3">
      <c r="L890" s="47"/>
      <c r="R890" s="51"/>
      <c r="X890" s="51"/>
      <c r="AD890" s="51"/>
      <c r="AJ890" s="51"/>
    </row>
    <row r="891" spans="12:36" x14ac:dyDescent="0.3">
      <c r="L891" s="47"/>
      <c r="R891" s="51"/>
      <c r="X891" s="51"/>
      <c r="AD891" s="51"/>
      <c r="AJ891" s="51"/>
    </row>
    <row r="892" spans="12:36" x14ac:dyDescent="0.3">
      <c r="L892" s="47"/>
      <c r="R892" s="51"/>
      <c r="X892" s="51"/>
      <c r="AD892" s="51"/>
      <c r="AJ892" s="51"/>
    </row>
    <row r="893" spans="12:36" x14ac:dyDescent="0.3">
      <c r="L893" s="47"/>
      <c r="R893" s="51"/>
      <c r="X893" s="51"/>
      <c r="AD893" s="51"/>
      <c r="AJ893" s="51"/>
    </row>
    <row r="894" spans="12:36" x14ac:dyDescent="0.3">
      <c r="L894" s="47"/>
      <c r="R894" s="51"/>
      <c r="X894" s="51"/>
      <c r="AD894" s="51"/>
      <c r="AJ894" s="51"/>
    </row>
    <row r="895" spans="12:36" x14ac:dyDescent="0.3">
      <c r="L895" s="47"/>
      <c r="R895" s="51"/>
      <c r="X895" s="51"/>
      <c r="AD895" s="51"/>
      <c r="AJ895" s="51"/>
    </row>
    <row r="896" spans="12:36" x14ac:dyDescent="0.3">
      <c r="L896" s="47"/>
      <c r="R896" s="51"/>
      <c r="X896" s="51"/>
      <c r="AD896" s="51"/>
      <c r="AJ896" s="51"/>
    </row>
    <row r="897" spans="12:36" x14ac:dyDescent="0.3">
      <c r="L897" s="47"/>
      <c r="R897" s="51"/>
      <c r="X897" s="51"/>
      <c r="AD897" s="51"/>
      <c r="AJ897" s="51"/>
    </row>
    <row r="898" spans="12:36" x14ac:dyDescent="0.3">
      <c r="L898" s="47"/>
      <c r="R898" s="51"/>
      <c r="X898" s="51"/>
      <c r="AD898" s="51"/>
      <c r="AJ898" s="51"/>
    </row>
    <row r="899" spans="12:36" x14ac:dyDescent="0.3">
      <c r="L899" s="47"/>
      <c r="R899" s="51"/>
      <c r="X899" s="51"/>
      <c r="AD899" s="51"/>
      <c r="AJ899" s="51"/>
    </row>
    <row r="900" spans="12:36" x14ac:dyDescent="0.3">
      <c r="L900" s="47"/>
      <c r="R900" s="51"/>
      <c r="X900" s="51"/>
      <c r="AD900" s="51"/>
      <c r="AJ900" s="51"/>
    </row>
    <row r="901" spans="12:36" x14ac:dyDescent="0.3">
      <c r="L901" s="47"/>
      <c r="R901" s="51"/>
      <c r="X901" s="51"/>
      <c r="AD901" s="51"/>
      <c r="AJ901" s="51"/>
    </row>
    <row r="902" spans="12:36" x14ac:dyDescent="0.3">
      <c r="L902" s="47"/>
      <c r="R902" s="51"/>
      <c r="X902" s="51"/>
      <c r="AD902" s="51"/>
      <c r="AJ902" s="51"/>
    </row>
    <row r="903" spans="12:36" x14ac:dyDescent="0.3">
      <c r="L903" s="47"/>
      <c r="R903" s="51"/>
      <c r="X903" s="51"/>
      <c r="AD903" s="51"/>
      <c r="AJ903" s="51"/>
    </row>
    <row r="904" spans="12:36" x14ac:dyDescent="0.3">
      <c r="L904" s="47"/>
      <c r="R904" s="51"/>
      <c r="X904" s="51"/>
      <c r="AD904" s="51"/>
      <c r="AJ904" s="51"/>
    </row>
    <row r="905" spans="12:36" x14ac:dyDescent="0.3">
      <c r="L905" s="47"/>
      <c r="R905" s="51"/>
      <c r="X905" s="51"/>
      <c r="AD905" s="51"/>
      <c r="AJ905" s="51"/>
    </row>
    <row r="906" spans="12:36" x14ac:dyDescent="0.3">
      <c r="L906" s="47"/>
      <c r="R906" s="51"/>
      <c r="X906" s="51"/>
      <c r="AD906" s="51"/>
      <c r="AJ906" s="51"/>
    </row>
    <row r="907" spans="12:36" x14ac:dyDescent="0.3">
      <c r="L907" s="47"/>
      <c r="R907" s="51"/>
      <c r="X907" s="51"/>
      <c r="AD907" s="51"/>
      <c r="AJ907" s="51"/>
    </row>
    <row r="908" spans="12:36" x14ac:dyDescent="0.3">
      <c r="L908" s="47"/>
      <c r="R908" s="51"/>
      <c r="X908" s="51"/>
      <c r="AD908" s="51"/>
      <c r="AJ908" s="51"/>
    </row>
    <row r="909" spans="12:36" x14ac:dyDescent="0.3">
      <c r="L909" s="47"/>
      <c r="R909" s="51"/>
      <c r="X909" s="51"/>
      <c r="AD909" s="51"/>
      <c r="AJ909" s="51"/>
    </row>
    <row r="910" spans="12:36" x14ac:dyDescent="0.3">
      <c r="L910" s="47"/>
      <c r="R910" s="51"/>
      <c r="X910" s="51"/>
      <c r="AD910" s="51"/>
      <c r="AJ910" s="51"/>
    </row>
    <row r="911" spans="12:36" x14ac:dyDescent="0.3">
      <c r="L911" s="47"/>
      <c r="R911" s="51"/>
      <c r="X911" s="51"/>
      <c r="AD911" s="51"/>
      <c r="AJ911" s="51"/>
    </row>
    <row r="912" spans="12:36" x14ac:dyDescent="0.3">
      <c r="L912" s="47"/>
      <c r="R912" s="51"/>
      <c r="X912" s="51"/>
      <c r="AD912" s="51"/>
      <c r="AJ912" s="51"/>
    </row>
    <row r="913" spans="12:36" x14ac:dyDescent="0.3">
      <c r="L913" s="47"/>
      <c r="R913" s="51"/>
      <c r="X913" s="51"/>
      <c r="AD913" s="51"/>
      <c r="AJ913" s="51"/>
    </row>
    <row r="914" spans="12:36" x14ac:dyDescent="0.3">
      <c r="L914" s="47"/>
      <c r="R914" s="51"/>
      <c r="X914" s="51"/>
      <c r="AD914" s="51"/>
      <c r="AJ914" s="51"/>
    </row>
    <row r="915" spans="12:36" x14ac:dyDescent="0.3">
      <c r="L915" s="47"/>
      <c r="R915" s="51"/>
      <c r="X915" s="51"/>
      <c r="AD915" s="51"/>
      <c r="AJ915" s="51"/>
    </row>
    <row r="916" spans="12:36" x14ac:dyDescent="0.3">
      <c r="L916" s="47"/>
      <c r="R916" s="51"/>
      <c r="X916" s="51"/>
      <c r="AD916" s="51"/>
      <c r="AJ916" s="51"/>
    </row>
    <row r="917" spans="12:36" x14ac:dyDescent="0.3">
      <c r="L917" s="47"/>
      <c r="R917" s="51"/>
      <c r="X917" s="51"/>
      <c r="AD917" s="51"/>
      <c r="AJ917" s="51"/>
    </row>
    <row r="918" spans="12:36" x14ac:dyDescent="0.3">
      <c r="L918" s="47"/>
      <c r="R918" s="51"/>
      <c r="X918" s="51"/>
      <c r="AD918" s="51"/>
      <c r="AJ918" s="51"/>
    </row>
    <row r="919" spans="12:36" x14ac:dyDescent="0.3">
      <c r="L919" s="47"/>
      <c r="R919" s="51"/>
      <c r="X919" s="51"/>
      <c r="AD919" s="51"/>
      <c r="AJ919" s="51"/>
    </row>
    <row r="920" spans="12:36" x14ac:dyDescent="0.3">
      <c r="L920" s="47"/>
      <c r="R920" s="51"/>
      <c r="X920" s="51"/>
      <c r="AD920" s="51"/>
      <c r="AJ920" s="51"/>
    </row>
    <row r="921" spans="12:36" x14ac:dyDescent="0.3">
      <c r="L921" s="47"/>
      <c r="R921" s="51"/>
      <c r="X921" s="51"/>
      <c r="AD921" s="51"/>
      <c r="AJ921" s="51"/>
    </row>
    <row r="922" spans="12:36" x14ac:dyDescent="0.3">
      <c r="L922" s="47"/>
      <c r="R922" s="51"/>
      <c r="X922" s="51"/>
      <c r="AD922" s="51"/>
      <c r="AJ922" s="51"/>
    </row>
    <row r="923" spans="12:36" x14ac:dyDescent="0.3">
      <c r="L923" s="47"/>
      <c r="R923" s="51"/>
      <c r="X923" s="51"/>
      <c r="AD923" s="51"/>
      <c r="AJ923" s="51"/>
    </row>
    <row r="924" spans="12:36" x14ac:dyDescent="0.3">
      <c r="L924" s="47"/>
      <c r="R924" s="51"/>
      <c r="X924" s="51"/>
      <c r="AD924" s="51"/>
      <c r="AJ924" s="51"/>
    </row>
    <row r="925" spans="12:36" x14ac:dyDescent="0.3">
      <c r="L925" s="47"/>
      <c r="R925" s="51"/>
      <c r="X925" s="51"/>
      <c r="AD925" s="51"/>
      <c r="AJ925" s="51"/>
    </row>
    <row r="926" spans="12:36" x14ac:dyDescent="0.3">
      <c r="L926" s="47"/>
      <c r="R926" s="51"/>
      <c r="X926" s="51"/>
      <c r="AD926" s="51"/>
      <c r="AJ926" s="51"/>
    </row>
    <row r="927" spans="12:36" x14ac:dyDescent="0.3">
      <c r="L927" s="47"/>
      <c r="R927" s="51"/>
      <c r="X927" s="51"/>
      <c r="AD927" s="51"/>
      <c r="AJ927" s="51"/>
    </row>
    <row r="928" spans="12:36" x14ac:dyDescent="0.3">
      <c r="L928" s="47"/>
      <c r="R928" s="51"/>
      <c r="X928" s="51"/>
      <c r="AD928" s="51"/>
      <c r="AJ928" s="51"/>
    </row>
    <row r="929" spans="12:36" x14ac:dyDescent="0.3">
      <c r="L929" s="47"/>
      <c r="R929" s="51"/>
      <c r="X929" s="51"/>
      <c r="AD929" s="51"/>
      <c r="AJ929" s="51"/>
    </row>
    <row r="930" spans="12:36" x14ac:dyDescent="0.3">
      <c r="L930" s="47"/>
      <c r="R930" s="51"/>
      <c r="X930" s="51"/>
      <c r="AD930" s="51"/>
      <c r="AJ930" s="51"/>
    </row>
    <row r="931" spans="12:36" x14ac:dyDescent="0.3">
      <c r="L931" s="47"/>
      <c r="R931" s="51"/>
      <c r="X931" s="51"/>
      <c r="AD931" s="51"/>
      <c r="AJ931" s="51"/>
    </row>
    <row r="932" spans="12:36" x14ac:dyDescent="0.3">
      <c r="L932" s="47"/>
      <c r="R932" s="51"/>
      <c r="X932" s="51"/>
      <c r="AD932" s="51"/>
      <c r="AJ932" s="51"/>
    </row>
    <row r="933" spans="12:36" x14ac:dyDescent="0.3">
      <c r="L933" s="47"/>
      <c r="R933" s="51"/>
      <c r="X933" s="51"/>
      <c r="AD933" s="51"/>
      <c r="AJ933" s="51"/>
    </row>
    <row r="934" spans="12:36" x14ac:dyDescent="0.3">
      <c r="L934" s="47"/>
      <c r="R934" s="51"/>
      <c r="X934" s="51"/>
      <c r="AD934" s="51"/>
      <c r="AJ934" s="51"/>
    </row>
    <row r="935" spans="12:36" x14ac:dyDescent="0.3">
      <c r="L935" s="47"/>
      <c r="R935" s="51"/>
      <c r="X935" s="51"/>
      <c r="AD935" s="51"/>
      <c r="AJ935" s="51"/>
    </row>
    <row r="936" spans="12:36" x14ac:dyDescent="0.3">
      <c r="L936" s="47"/>
      <c r="R936" s="51"/>
      <c r="X936" s="51"/>
      <c r="AD936" s="51"/>
      <c r="AJ936" s="51"/>
    </row>
    <row r="937" spans="12:36" x14ac:dyDescent="0.3">
      <c r="L937" s="47"/>
      <c r="R937" s="51"/>
      <c r="X937" s="51"/>
      <c r="AD937" s="51"/>
      <c r="AJ937" s="51"/>
    </row>
    <row r="938" spans="12:36" x14ac:dyDescent="0.3">
      <c r="L938" s="47"/>
      <c r="R938" s="51"/>
      <c r="X938" s="51"/>
      <c r="AD938" s="51"/>
      <c r="AJ938" s="51"/>
    </row>
    <row r="939" spans="12:36" x14ac:dyDescent="0.3">
      <c r="L939" s="47"/>
      <c r="R939" s="51"/>
      <c r="X939" s="51"/>
      <c r="AD939" s="51"/>
      <c r="AJ939" s="51"/>
    </row>
    <row r="940" spans="12:36" x14ac:dyDescent="0.3">
      <c r="L940" s="47"/>
      <c r="R940" s="51"/>
      <c r="X940" s="51"/>
      <c r="AD940" s="51"/>
      <c r="AJ940" s="51"/>
    </row>
    <row r="941" spans="12:36" x14ac:dyDescent="0.3">
      <c r="L941" s="47"/>
      <c r="R941" s="51"/>
      <c r="X941" s="51"/>
      <c r="AD941" s="51"/>
      <c r="AJ941" s="51"/>
    </row>
    <row r="942" spans="12:36" x14ac:dyDescent="0.3">
      <c r="L942" s="47"/>
      <c r="R942" s="51"/>
      <c r="X942" s="51"/>
      <c r="AD942" s="51"/>
      <c r="AJ942" s="51"/>
    </row>
    <row r="943" spans="12:36" x14ac:dyDescent="0.3">
      <c r="L943" s="47"/>
      <c r="R943" s="51"/>
      <c r="X943" s="51"/>
      <c r="AD943" s="51"/>
      <c r="AJ943" s="51"/>
    </row>
    <row r="944" spans="12:36" x14ac:dyDescent="0.3">
      <c r="L944" s="47"/>
      <c r="R944" s="51"/>
      <c r="X944" s="51"/>
      <c r="AD944" s="51"/>
      <c r="AJ944" s="51"/>
    </row>
    <row r="945" spans="12:36" x14ac:dyDescent="0.3">
      <c r="L945" s="47"/>
      <c r="R945" s="51"/>
      <c r="X945" s="51"/>
      <c r="AD945" s="51"/>
      <c r="AJ945" s="51"/>
    </row>
    <row r="946" spans="12:36" x14ac:dyDescent="0.3">
      <c r="L946" s="47"/>
      <c r="R946" s="51"/>
      <c r="X946" s="51"/>
      <c r="AD946" s="51"/>
      <c r="AJ946" s="51"/>
    </row>
    <row r="947" spans="12:36" x14ac:dyDescent="0.3">
      <c r="L947" s="47"/>
      <c r="R947" s="51"/>
      <c r="X947" s="51"/>
      <c r="AD947" s="51"/>
      <c r="AJ947" s="51"/>
    </row>
    <row r="948" spans="12:36" x14ac:dyDescent="0.3">
      <c r="L948" s="47"/>
      <c r="R948" s="51"/>
      <c r="X948" s="51"/>
      <c r="AD948" s="51"/>
      <c r="AJ948" s="51"/>
    </row>
    <row r="949" spans="12:36" x14ac:dyDescent="0.3">
      <c r="L949" s="47"/>
      <c r="R949" s="51"/>
      <c r="X949" s="51"/>
      <c r="AD949" s="51"/>
      <c r="AJ949" s="51"/>
    </row>
    <row r="950" spans="12:36" x14ac:dyDescent="0.3">
      <c r="L950" s="47"/>
      <c r="R950" s="51"/>
      <c r="X950" s="51"/>
      <c r="AD950" s="51"/>
      <c r="AJ950" s="51"/>
    </row>
    <row r="951" spans="12:36" x14ac:dyDescent="0.3">
      <c r="L951" s="47"/>
      <c r="R951" s="51"/>
      <c r="X951" s="51"/>
      <c r="AD951" s="51"/>
      <c r="AJ951" s="51"/>
    </row>
    <row r="952" spans="12:36" x14ac:dyDescent="0.3">
      <c r="L952" s="47"/>
      <c r="R952" s="51"/>
      <c r="X952" s="51"/>
      <c r="AD952" s="51"/>
      <c r="AJ952" s="51"/>
    </row>
    <row r="953" spans="12:36" x14ac:dyDescent="0.3">
      <c r="L953" s="47"/>
      <c r="R953" s="51"/>
      <c r="X953" s="51"/>
      <c r="AD953" s="51"/>
      <c r="AJ953" s="51"/>
    </row>
    <row r="954" spans="12:36" x14ac:dyDescent="0.3">
      <c r="L954" s="47"/>
      <c r="R954" s="51"/>
      <c r="X954" s="51"/>
      <c r="AD954" s="51"/>
      <c r="AJ954" s="51"/>
    </row>
    <row r="955" spans="12:36" x14ac:dyDescent="0.3">
      <c r="L955" s="47"/>
      <c r="R955" s="51"/>
      <c r="X955" s="51"/>
      <c r="AD955" s="51"/>
      <c r="AJ955" s="51"/>
    </row>
    <row r="956" spans="12:36" x14ac:dyDescent="0.3">
      <c r="L956" s="47"/>
      <c r="R956" s="51"/>
      <c r="X956" s="51"/>
      <c r="AD956" s="51"/>
      <c r="AJ956" s="51"/>
    </row>
    <row r="957" spans="12:36" x14ac:dyDescent="0.3">
      <c r="L957" s="47"/>
      <c r="R957" s="51"/>
      <c r="X957" s="51"/>
      <c r="AD957" s="51"/>
      <c r="AJ957" s="51"/>
    </row>
    <row r="958" spans="12:36" x14ac:dyDescent="0.3">
      <c r="L958" s="47"/>
      <c r="R958" s="51"/>
      <c r="X958" s="51"/>
      <c r="AD958" s="51"/>
      <c r="AJ958" s="51"/>
    </row>
    <row r="959" spans="12:36" x14ac:dyDescent="0.3">
      <c r="L959" s="47"/>
      <c r="R959" s="51"/>
      <c r="X959" s="51"/>
      <c r="AD959" s="51"/>
      <c r="AJ959" s="51"/>
    </row>
    <row r="960" spans="12:36" x14ac:dyDescent="0.3">
      <c r="L960" s="47"/>
      <c r="R960" s="51"/>
      <c r="X960" s="51"/>
      <c r="AD960" s="51"/>
      <c r="AJ960" s="51"/>
    </row>
    <row r="961" spans="12:36" x14ac:dyDescent="0.3">
      <c r="L961" s="47"/>
      <c r="R961" s="51"/>
      <c r="X961" s="51"/>
      <c r="AD961" s="51"/>
      <c r="AJ961" s="51"/>
    </row>
    <row r="962" spans="12:36" x14ac:dyDescent="0.3">
      <c r="L962" s="47"/>
      <c r="R962" s="51"/>
      <c r="X962" s="51"/>
      <c r="AD962" s="51"/>
      <c r="AJ962" s="51"/>
    </row>
    <row r="963" spans="12:36" x14ac:dyDescent="0.3">
      <c r="L963" s="47"/>
      <c r="R963" s="51"/>
      <c r="X963" s="51"/>
      <c r="AD963" s="51"/>
      <c r="AJ963" s="51"/>
    </row>
    <row r="964" spans="12:36" x14ac:dyDescent="0.3">
      <c r="L964" s="47"/>
      <c r="R964" s="51"/>
      <c r="X964" s="51"/>
      <c r="AD964" s="51"/>
      <c r="AJ964" s="51"/>
    </row>
    <row r="965" spans="12:36" x14ac:dyDescent="0.3">
      <c r="L965" s="47"/>
      <c r="R965" s="51"/>
      <c r="X965" s="51"/>
      <c r="AD965" s="51"/>
      <c r="AJ965" s="51"/>
    </row>
    <row r="966" spans="12:36" x14ac:dyDescent="0.3">
      <c r="L966" s="47"/>
      <c r="R966" s="51"/>
      <c r="X966" s="51"/>
      <c r="AD966" s="51"/>
      <c r="AJ966" s="51"/>
    </row>
    <row r="967" spans="12:36" x14ac:dyDescent="0.3">
      <c r="L967" s="47"/>
      <c r="R967" s="51"/>
      <c r="X967" s="51"/>
      <c r="AD967" s="51"/>
      <c r="AJ967" s="51"/>
    </row>
    <row r="968" spans="12:36" x14ac:dyDescent="0.3">
      <c r="L968" s="47"/>
      <c r="R968" s="51"/>
      <c r="X968" s="51"/>
      <c r="AD968" s="51"/>
      <c r="AJ968" s="51"/>
    </row>
    <row r="969" spans="12:36" x14ac:dyDescent="0.3">
      <c r="L969" s="47"/>
      <c r="R969" s="51"/>
      <c r="X969" s="51"/>
      <c r="AD969" s="51"/>
      <c r="AJ969" s="51"/>
    </row>
    <row r="970" spans="12:36" x14ac:dyDescent="0.3">
      <c r="L970" s="47"/>
      <c r="R970" s="51"/>
      <c r="X970" s="51"/>
      <c r="AD970" s="51"/>
      <c r="AJ970" s="51"/>
    </row>
    <row r="971" spans="12:36" x14ac:dyDescent="0.3">
      <c r="L971" s="47"/>
      <c r="R971" s="51"/>
      <c r="X971" s="51"/>
      <c r="AD971" s="51"/>
      <c r="AJ971" s="51"/>
    </row>
    <row r="972" spans="12:36" x14ac:dyDescent="0.3">
      <c r="L972" s="47"/>
      <c r="R972" s="51"/>
      <c r="X972" s="51"/>
      <c r="AD972" s="51"/>
      <c r="AJ972" s="51"/>
    </row>
    <row r="973" spans="12:36" x14ac:dyDescent="0.3">
      <c r="L973" s="47"/>
      <c r="R973" s="51"/>
      <c r="X973" s="51"/>
      <c r="AD973" s="51"/>
      <c r="AJ973" s="51"/>
    </row>
    <row r="974" spans="12:36" x14ac:dyDescent="0.3">
      <c r="L974" s="47"/>
      <c r="R974" s="51"/>
      <c r="X974" s="51"/>
      <c r="AD974" s="51"/>
      <c r="AJ974" s="51"/>
    </row>
    <row r="975" spans="12:36" x14ac:dyDescent="0.3">
      <c r="L975" s="47"/>
      <c r="R975" s="51"/>
      <c r="X975" s="51"/>
      <c r="AD975" s="51"/>
      <c r="AJ975" s="51"/>
    </row>
    <row r="976" spans="12:36" x14ac:dyDescent="0.3">
      <c r="L976" s="47"/>
      <c r="R976" s="51"/>
      <c r="X976" s="51"/>
      <c r="AD976" s="51"/>
      <c r="AJ976" s="51"/>
    </row>
    <row r="977" spans="12:36" x14ac:dyDescent="0.3">
      <c r="L977" s="47"/>
      <c r="R977" s="51"/>
      <c r="X977" s="51"/>
      <c r="AD977" s="51"/>
      <c r="AJ977" s="51"/>
    </row>
    <row r="978" spans="12:36" x14ac:dyDescent="0.3">
      <c r="L978" s="47"/>
      <c r="R978" s="51"/>
      <c r="X978" s="51"/>
      <c r="AD978" s="51"/>
      <c r="AJ978" s="51"/>
    </row>
    <row r="979" spans="12:36" x14ac:dyDescent="0.3">
      <c r="L979" s="47"/>
      <c r="R979" s="51"/>
      <c r="X979" s="51"/>
      <c r="AD979" s="51"/>
      <c r="AJ979" s="51"/>
    </row>
    <row r="980" spans="12:36" x14ac:dyDescent="0.3">
      <c r="L980" s="47"/>
      <c r="R980" s="51"/>
      <c r="X980" s="51"/>
      <c r="AD980" s="51"/>
      <c r="AJ980" s="51"/>
    </row>
    <row r="981" spans="12:36" x14ac:dyDescent="0.3">
      <c r="L981" s="47"/>
      <c r="R981" s="51"/>
      <c r="X981" s="51"/>
      <c r="AD981" s="51"/>
      <c r="AJ981" s="51"/>
    </row>
    <row r="982" spans="12:36" x14ac:dyDescent="0.3">
      <c r="L982" s="47"/>
      <c r="R982" s="51"/>
      <c r="X982" s="51"/>
      <c r="AD982" s="51"/>
      <c r="AJ982" s="51"/>
    </row>
    <row r="983" spans="12:36" x14ac:dyDescent="0.3">
      <c r="L983" s="47"/>
      <c r="R983" s="51"/>
      <c r="X983" s="51"/>
      <c r="AD983" s="51"/>
      <c r="AJ983" s="51"/>
    </row>
    <row r="984" spans="12:36" x14ac:dyDescent="0.3">
      <c r="L984" s="47"/>
      <c r="R984" s="51"/>
      <c r="X984" s="51"/>
      <c r="AD984" s="51"/>
      <c r="AJ984" s="51"/>
    </row>
    <row r="985" spans="12:36" x14ac:dyDescent="0.3">
      <c r="L985" s="47"/>
      <c r="R985" s="51"/>
      <c r="X985" s="51"/>
      <c r="AD985" s="51"/>
      <c r="AJ985" s="51"/>
    </row>
    <row r="986" spans="12:36" x14ac:dyDescent="0.3">
      <c r="L986" s="47"/>
      <c r="R986" s="51"/>
      <c r="X986" s="51"/>
      <c r="AD986" s="51"/>
      <c r="AJ986" s="51"/>
    </row>
    <row r="987" spans="12:36" x14ac:dyDescent="0.3">
      <c r="L987" s="47"/>
      <c r="R987" s="51"/>
      <c r="X987" s="51"/>
      <c r="AD987" s="51"/>
      <c r="AJ987" s="51"/>
    </row>
    <row r="988" spans="12:36" x14ac:dyDescent="0.3">
      <c r="L988" s="47"/>
      <c r="R988" s="51"/>
      <c r="X988" s="51"/>
      <c r="AD988" s="51"/>
      <c r="AJ988" s="51"/>
    </row>
    <row r="989" spans="12:36" x14ac:dyDescent="0.3">
      <c r="L989" s="47"/>
      <c r="R989" s="51"/>
      <c r="X989" s="51"/>
      <c r="AD989" s="51"/>
      <c r="AJ989" s="51"/>
    </row>
    <row r="990" spans="12:36" x14ac:dyDescent="0.3">
      <c r="L990" s="47"/>
      <c r="R990" s="51"/>
      <c r="X990" s="51"/>
      <c r="AD990" s="51"/>
      <c r="AJ990" s="51"/>
    </row>
    <row r="991" spans="12:36" x14ac:dyDescent="0.3">
      <c r="L991" s="47"/>
      <c r="R991" s="51"/>
      <c r="X991" s="51"/>
      <c r="AD991" s="51"/>
      <c r="AJ991" s="51"/>
    </row>
    <row r="992" spans="12:36" x14ac:dyDescent="0.3">
      <c r="L992" s="47"/>
      <c r="R992" s="51"/>
      <c r="X992" s="51"/>
      <c r="AD992" s="51"/>
      <c r="AJ992" s="51"/>
    </row>
    <row r="993" spans="12:36" x14ac:dyDescent="0.3">
      <c r="L993" s="47"/>
      <c r="R993" s="51"/>
      <c r="X993" s="51"/>
      <c r="AD993" s="51"/>
      <c r="AJ993" s="51"/>
    </row>
    <row r="994" spans="12:36" x14ac:dyDescent="0.3">
      <c r="L994" s="47"/>
      <c r="R994" s="51"/>
      <c r="X994" s="51"/>
      <c r="AD994" s="51"/>
      <c r="AJ994" s="51"/>
    </row>
    <row r="995" spans="12:36" x14ac:dyDescent="0.3">
      <c r="L995" s="47"/>
      <c r="R995" s="51"/>
      <c r="X995" s="51"/>
      <c r="AD995" s="51"/>
      <c r="AJ995" s="51"/>
    </row>
    <row r="996" spans="12:36" x14ac:dyDescent="0.3">
      <c r="L996" s="47"/>
      <c r="R996" s="51"/>
      <c r="X996" s="51"/>
      <c r="AD996" s="51"/>
      <c r="AJ996" s="51"/>
    </row>
    <row r="997" spans="12:36" x14ac:dyDescent="0.3">
      <c r="L997" s="47"/>
      <c r="R997" s="51"/>
      <c r="X997" s="51"/>
      <c r="AD997" s="51"/>
      <c r="AJ997" s="51"/>
    </row>
    <row r="998" spans="12:36" x14ac:dyDescent="0.3">
      <c r="L998" s="47"/>
      <c r="R998" s="51"/>
      <c r="X998" s="51"/>
      <c r="AD998" s="51"/>
      <c r="AJ998" s="51"/>
    </row>
    <row r="999" spans="12:36" x14ac:dyDescent="0.3">
      <c r="L999" s="47"/>
      <c r="R999" s="51"/>
      <c r="X999" s="51"/>
      <c r="AD999" s="51"/>
      <c r="AJ999" s="51"/>
    </row>
    <row r="1000" spans="12:36" x14ac:dyDescent="0.3">
      <c r="L1000" s="47"/>
      <c r="R1000" s="51"/>
      <c r="X1000" s="51"/>
      <c r="AD1000" s="51"/>
      <c r="AJ1000" s="51"/>
    </row>
    <row r="1001" spans="12:36" x14ac:dyDescent="0.3">
      <c r="L1001" s="47"/>
      <c r="R1001" s="51"/>
      <c r="X1001" s="51"/>
      <c r="AD1001" s="51"/>
      <c r="AJ1001" s="51"/>
    </row>
    <row r="1002" spans="12:36" x14ac:dyDescent="0.3">
      <c r="L1002" s="47"/>
      <c r="R1002" s="51"/>
      <c r="X1002" s="51"/>
      <c r="AD1002" s="51"/>
      <c r="AJ1002" s="51"/>
    </row>
    <row r="1003" spans="12:36" x14ac:dyDescent="0.3">
      <c r="L1003" s="47"/>
      <c r="R1003" s="51"/>
      <c r="X1003" s="51"/>
      <c r="AD1003" s="51"/>
      <c r="AJ1003" s="51"/>
    </row>
    <row r="1004" spans="12:36" x14ac:dyDescent="0.3">
      <c r="L1004" s="47"/>
      <c r="R1004" s="51"/>
      <c r="X1004" s="51"/>
      <c r="AD1004" s="51"/>
      <c r="AJ1004" s="51"/>
    </row>
    <row r="1005" spans="12:36" x14ac:dyDescent="0.3">
      <c r="L1005" s="47"/>
      <c r="R1005" s="51"/>
      <c r="X1005" s="51"/>
      <c r="AD1005" s="51"/>
      <c r="AJ1005" s="51"/>
    </row>
    <row r="1006" spans="12:36" x14ac:dyDescent="0.3">
      <c r="L1006" s="47"/>
      <c r="R1006" s="51"/>
      <c r="X1006" s="51"/>
      <c r="AD1006" s="51"/>
      <c r="AJ1006" s="51"/>
    </row>
    <row r="1007" spans="12:36" x14ac:dyDescent="0.3">
      <c r="L1007" s="47"/>
      <c r="R1007" s="51"/>
      <c r="X1007" s="51"/>
      <c r="AD1007" s="51"/>
      <c r="AJ1007" s="51"/>
    </row>
    <row r="1008" spans="12:36" x14ac:dyDescent="0.3">
      <c r="L1008" s="47"/>
      <c r="R1008" s="51"/>
      <c r="X1008" s="51"/>
      <c r="AD1008" s="51"/>
      <c r="AJ1008" s="51"/>
    </row>
    <row r="1009" spans="12:36" x14ac:dyDescent="0.3">
      <c r="L1009" s="47"/>
      <c r="R1009" s="51"/>
      <c r="X1009" s="51"/>
      <c r="AD1009" s="51"/>
      <c r="AJ1009" s="51"/>
    </row>
    <row r="1010" spans="12:36" x14ac:dyDescent="0.3">
      <c r="L1010" s="47"/>
      <c r="R1010" s="51"/>
      <c r="X1010" s="51"/>
      <c r="AD1010" s="51"/>
      <c r="AJ1010" s="51"/>
    </row>
    <row r="1011" spans="12:36" x14ac:dyDescent="0.3">
      <c r="L1011" s="47"/>
      <c r="R1011" s="51"/>
      <c r="X1011" s="51"/>
      <c r="AD1011" s="51"/>
      <c r="AJ1011" s="51"/>
    </row>
    <row r="1012" spans="12:36" x14ac:dyDescent="0.3">
      <c r="L1012" s="47"/>
      <c r="R1012" s="51"/>
      <c r="X1012" s="51"/>
      <c r="AD1012" s="51"/>
      <c r="AJ1012" s="51"/>
    </row>
    <row r="1013" spans="12:36" x14ac:dyDescent="0.3">
      <c r="L1013" s="47"/>
      <c r="R1013" s="51"/>
      <c r="X1013" s="51"/>
      <c r="AD1013" s="51"/>
      <c r="AJ1013" s="51"/>
    </row>
    <row r="1014" spans="12:36" x14ac:dyDescent="0.3">
      <c r="L1014" s="47"/>
      <c r="R1014" s="51"/>
      <c r="X1014" s="51"/>
      <c r="AD1014" s="51"/>
      <c r="AJ1014" s="51"/>
    </row>
    <row r="1015" spans="12:36" x14ac:dyDescent="0.3">
      <c r="L1015" s="47"/>
      <c r="R1015" s="51"/>
      <c r="X1015" s="51"/>
      <c r="AD1015" s="51"/>
      <c r="AJ1015" s="51"/>
    </row>
    <row r="1016" spans="12:36" x14ac:dyDescent="0.3">
      <c r="L1016" s="47"/>
      <c r="R1016" s="51"/>
      <c r="X1016" s="51"/>
      <c r="AD1016" s="51"/>
      <c r="AJ1016" s="51"/>
    </row>
    <row r="1017" spans="12:36" x14ac:dyDescent="0.3">
      <c r="L1017" s="47"/>
      <c r="R1017" s="51"/>
      <c r="X1017" s="51"/>
      <c r="AD1017" s="51"/>
      <c r="AJ1017" s="51"/>
    </row>
    <row r="1018" spans="12:36" x14ac:dyDescent="0.3">
      <c r="L1018" s="47"/>
      <c r="R1018" s="51"/>
      <c r="X1018" s="51"/>
      <c r="AD1018" s="51"/>
      <c r="AJ1018" s="51"/>
    </row>
    <row r="1019" spans="12:36" x14ac:dyDescent="0.3">
      <c r="L1019" s="47"/>
      <c r="R1019" s="51"/>
      <c r="X1019" s="51"/>
      <c r="AD1019" s="51"/>
      <c r="AJ1019" s="51"/>
    </row>
    <row r="1020" spans="12:36" x14ac:dyDescent="0.3">
      <c r="L1020" s="47"/>
      <c r="R1020" s="51"/>
      <c r="X1020" s="51"/>
      <c r="AD1020" s="51"/>
      <c r="AJ1020" s="51"/>
    </row>
    <row r="1021" spans="12:36" x14ac:dyDescent="0.3">
      <c r="L1021" s="47"/>
      <c r="R1021" s="51"/>
      <c r="X1021" s="51"/>
      <c r="AD1021" s="51"/>
      <c r="AJ1021" s="51"/>
    </row>
    <row r="1022" spans="12:36" x14ac:dyDescent="0.3">
      <c r="L1022" s="47"/>
      <c r="R1022" s="51"/>
      <c r="X1022" s="51"/>
      <c r="AD1022" s="51"/>
      <c r="AJ1022" s="51"/>
    </row>
    <row r="1023" spans="12:36" x14ac:dyDescent="0.3">
      <c r="L1023" s="47"/>
      <c r="R1023" s="51"/>
      <c r="X1023" s="51"/>
      <c r="AD1023" s="51"/>
      <c r="AJ1023" s="51"/>
    </row>
    <row r="1024" spans="12:36" x14ac:dyDescent="0.3">
      <c r="L1024" s="47"/>
      <c r="R1024" s="51"/>
      <c r="X1024" s="51"/>
      <c r="AD1024" s="51"/>
      <c r="AJ1024" s="51"/>
    </row>
    <row r="1025" spans="12:36" x14ac:dyDescent="0.3">
      <c r="L1025" s="47"/>
      <c r="R1025" s="51"/>
      <c r="X1025" s="51"/>
      <c r="AD1025" s="51"/>
      <c r="AJ1025" s="51"/>
    </row>
    <row r="1026" spans="12:36" x14ac:dyDescent="0.3">
      <c r="L1026" s="47"/>
      <c r="R1026" s="51"/>
      <c r="X1026" s="51"/>
      <c r="AD1026" s="51"/>
      <c r="AJ1026" s="51"/>
    </row>
    <row r="1027" spans="12:36" x14ac:dyDescent="0.3">
      <c r="L1027" s="47"/>
      <c r="R1027" s="51"/>
      <c r="X1027" s="51"/>
      <c r="AD1027" s="51"/>
      <c r="AJ1027" s="51"/>
    </row>
    <row r="1028" spans="12:36" x14ac:dyDescent="0.3">
      <c r="L1028" s="47"/>
      <c r="R1028" s="51"/>
      <c r="X1028" s="51"/>
      <c r="AD1028" s="51"/>
      <c r="AJ1028" s="51"/>
    </row>
    <row r="1029" spans="12:36" x14ac:dyDescent="0.3">
      <c r="L1029" s="47"/>
      <c r="R1029" s="51"/>
      <c r="X1029" s="51"/>
      <c r="AD1029" s="51"/>
      <c r="AJ1029" s="51"/>
    </row>
    <row r="1030" spans="12:36" x14ac:dyDescent="0.3">
      <c r="L1030" s="47"/>
      <c r="R1030" s="51"/>
      <c r="X1030" s="51"/>
      <c r="AD1030" s="51"/>
      <c r="AJ1030" s="51"/>
    </row>
    <row r="1031" spans="12:36" x14ac:dyDescent="0.3">
      <c r="L1031" s="47"/>
      <c r="R1031" s="51"/>
      <c r="X1031" s="51"/>
      <c r="AD1031" s="51"/>
      <c r="AJ1031" s="51"/>
    </row>
    <row r="1032" spans="12:36" x14ac:dyDescent="0.3">
      <c r="L1032" s="47"/>
      <c r="R1032" s="51"/>
      <c r="X1032" s="51"/>
      <c r="AD1032" s="51"/>
      <c r="AJ1032" s="51"/>
    </row>
    <row r="1033" spans="12:36" x14ac:dyDescent="0.3">
      <c r="L1033" s="47"/>
      <c r="R1033" s="51"/>
      <c r="X1033" s="51"/>
      <c r="AD1033" s="51"/>
      <c r="AJ1033" s="51"/>
    </row>
    <row r="1034" spans="12:36" x14ac:dyDescent="0.3">
      <c r="L1034" s="47"/>
      <c r="R1034" s="51"/>
      <c r="X1034" s="51"/>
      <c r="AD1034" s="51"/>
      <c r="AJ1034" s="51"/>
    </row>
    <row r="1035" spans="12:36" x14ac:dyDescent="0.3">
      <c r="L1035" s="47"/>
      <c r="R1035" s="51"/>
      <c r="X1035" s="51"/>
      <c r="AD1035" s="51"/>
      <c r="AJ1035" s="51"/>
    </row>
    <row r="1036" spans="12:36" x14ac:dyDescent="0.3">
      <c r="L1036" s="47"/>
      <c r="R1036" s="51"/>
      <c r="X1036" s="51"/>
      <c r="AD1036" s="51"/>
      <c r="AJ1036" s="51"/>
    </row>
    <row r="1037" spans="12:36" x14ac:dyDescent="0.3">
      <c r="L1037" s="47"/>
      <c r="R1037" s="51"/>
      <c r="X1037" s="51"/>
      <c r="AD1037" s="51"/>
      <c r="AJ1037" s="51"/>
    </row>
    <row r="1038" spans="12:36" x14ac:dyDescent="0.3">
      <c r="L1038" s="47"/>
      <c r="R1038" s="51"/>
      <c r="X1038" s="51"/>
      <c r="AD1038" s="51"/>
      <c r="AJ1038" s="51"/>
    </row>
    <row r="1039" spans="12:36" x14ac:dyDescent="0.3">
      <c r="L1039" s="47"/>
      <c r="R1039" s="51"/>
      <c r="X1039" s="51"/>
      <c r="AD1039" s="51"/>
      <c r="AJ1039" s="51"/>
    </row>
    <row r="1040" spans="12:36" x14ac:dyDescent="0.3">
      <c r="L1040" s="47"/>
      <c r="R1040" s="51"/>
      <c r="X1040" s="51"/>
      <c r="AD1040" s="51"/>
      <c r="AJ1040" s="51"/>
    </row>
    <row r="1041" spans="12:36" x14ac:dyDescent="0.3">
      <c r="L1041" s="47"/>
      <c r="R1041" s="51"/>
      <c r="X1041" s="51"/>
      <c r="AD1041" s="51"/>
      <c r="AJ1041" s="51"/>
    </row>
    <row r="1042" spans="12:36" x14ac:dyDescent="0.3">
      <c r="L1042" s="47"/>
      <c r="R1042" s="51"/>
      <c r="X1042" s="51"/>
      <c r="AD1042" s="51"/>
      <c r="AJ1042" s="51"/>
    </row>
    <row r="1043" spans="12:36" x14ac:dyDescent="0.3">
      <c r="L1043" s="47"/>
      <c r="R1043" s="51"/>
      <c r="X1043" s="51"/>
      <c r="AD1043" s="51"/>
      <c r="AJ1043" s="51"/>
    </row>
    <row r="1044" spans="12:36" x14ac:dyDescent="0.3">
      <c r="L1044" s="47"/>
      <c r="R1044" s="51"/>
      <c r="X1044" s="51"/>
      <c r="AD1044" s="51"/>
      <c r="AJ1044" s="51"/>
    </row>
    <row r="1045" spans="12:36" x14ac:dyDescent="0.3">
      <c r="L1045" s="47"/>
      <c r="R1045" s="51"/>
      <c r="X1045" s="51"/>
      <c r="AD1045" s="51"/>
      <c r="AJ1045" s="51"/>
    </row>
    <row r="1046" spans="12:36" x14ac:dyDescent="0.3">
      <c r="L1046" s="47"/>
      <c r="R1046" s="51"/>
      <c r="X1046" s="51"/>
      <c r="AD1046" s="51"/>
      <c r="AJ1046" s="51"/>
    </row>
    <row r="1047" spans="12:36" x14ac:dyDescent="0.3">
      <c r="L1047" s="47"/>
      <c r="R1047" s="51"/>
      <c r="X1047" s="51"/>
      <c r="AD1047" s="51"/>
      <c r="AJ1047" s="51"/>
    </row>
    <row r="1048" spans="12:36" x14ac:dyDescent="0.3">
      <c r="L1048" s="47"/>
      <c r="R1048" s="51"/>
      <c r="X1048" s="51"/>
      <c r="AD1048" s="51"/>
      <c r="AJ1048" s="51"/>
    </row>
    <row r="1049" spans="12:36" x14ac:dyDescent="0.3">
      <c r="L1049" s="47"/>
      <c r="R1049" s="51"/>
      <c r="X1049" s="51"/>
      <c r="AD1049" s="51"/>
      <c r="AJ1049" s="51"/>
    </row>
    <row r="1050" spans="12:36" x14ac:dyDescent="0.3">
      <c r="L1050" s="47"/>
      <c r="R1050" s="51"/>
      <c r="X1050" s="51"/>
      <c r="AD1050" s="51"/>
      <c r="AJ1050" s="51"/>
    </row>
    <row r="1051" spans="12:36" x14ac:dyDescent="0.3">
      <c r="L1051" s="47"/>
      <c r="R1051" s="51"/>
      <c r="X1051" s="51"/>
      <c r="AD1051" s="51"/>
      <c r="AJ1051" s="51"/>
    </row>
    <row r="1052" spans="12:36" x14ac:dyDescent="0.3">
      <c r="L1052" s="47"/>
      <c r="R1052" s="51"/>
      <c r="X1052" s="51"/>
      <c r="AD1052" s="51"/>
      <c r="AJ1052" s="51"/>
    </row>
    <row r="1053" spans="12:36" x14ac:dyDescent="0.3">
      <c r="L1053" s="47"/>
      <c r="R1053" s="51"/>
      <c r="X1053" s="51"/>
      <c r="AD1053" s="51"/>
      <c r="AJ1053" s="51"/>
    </row>
    <row r="1054" spans="12:36" x14ac:dyDescent="0.3">
      <c r="L1054" s="47"/>
      <c r="R1054" s="51"/>
      <c r="X1054" s="51"/>
      <c r="AD1054" s="51"/>
      <c r="AJ1054" s="51"/>
    </row>
    <row r="1055" spans="12:36" x14ac:dyDescent="0.3">
      <c r="L1055" s="47"/>
      <c r="R1055" s="51"/>
      <c r="X1055" s="51"/>
      <c r="AD1055" s="51"/>
      <c r="AJ1055" s="51"/>
    </row>
    <row r="1056" spans="12:36" x14ac:dyDescent="0.3">
      <c r="L1056" s="47"/>
      <c r="R1056" s="51"/>
      <c r="X1056" s="51"/>
      <c r="AD1056" s="51"/>
      <c r="AJ1056" s="51"/>
    </row>
    <row r="1057" spans="12:36" x14ac:dyDescent="0.3">
      <c r="L1057" s="47"/>
      <c r="R1057" s="51"/>
      <c r="X1057" s="51"/>
      <c r="AD1057" s="51"/>
      <c r="AJ1057" s="51"/>
    </row>
    <row r="1058" spans="12:36" x14ac:dyDescent="0.3">
      <c r="L1058" s="47"/>
      <c r="R1058" s="51"/>
      <c r="X1058" s="51"/>
      <c r="AD1058" s="51"/>
      <c r="AJ1058" s="51"/>
    </row>
    <row r="1059" spans="12:36" x14ac:dyDescent="0.3">
      <c r="L1059" s="47"/>
      <c r="R1059" s="51"/>
      <c r="X1059" s="51"/>
      <c r="AD1059" s="51"/>
      <c r="AJ1059" s="51"/>
    </row>
    <row r="1060" spans="12:36" x14ac:dyDescent="0.3">
      <c r="L1060" s="47"/>
      <c r="R1060" s="51"/>
      <c r="X1060" s="51"/>
      <c r="AD1060" s="51"/>
      <c r="AJ1060" s="51"/>
    </row>
    <row r="1061" spans="12:36" x14ac:dyDescent="0.3">
      <c r="L1061" s="47"/>
      <c r="R1061" s="51"/>
      <c r="X1061" s="51"/>
      <c r="AD1061" s="51"/>
      <c r="AJ1061" s="51"/>
    </row>
    <row r="1062" spans="12:36" x14ac:dyDescent="0.3">
      <c r="L1062" s="47"/>
      <c r="R1062" s="51"/>
      <c r="X1062" s="51"/>
      <c r="AD1062" s="51"/>
      <c r="AJ1062" s="51"/>
    </row>
    <row r="1063" spans="12:36" x14ac:dyDescent="0.3">
      <c r="L1063" s="47"/>
      <c r="R1063" s="51"/>
      <c r="X1063" s="51"/>
      <c r="AD1063" s="51"/>
      <c r="AJ1063" s="51"/>
    </row>
    <row r="1064" spans="12:36" x14ac:dyDescent="0.3">
      <c r="L1064" s="47"/>
      <c r="R1064" s="51"/>
      <c r="X1064" s="51"/>
      <c r="AD1064" s="51"/>
      <c r="AJ1064" s="51"/>
    </row>
    <row r="1065" spans="12:36" x14ac:dyDescent="0.3">
      <c r="L1065" s="47"/>
      <c r="R1065" s="51"/>
      <c r="X1065" s="51"/>
      <c r="AD1065" s="51"/>
      <c r="AJ1065" s="51"/>
    </row>
    <row r="1066" spans="12:36" x14ac:dyDescent="0.3">
      <c r="L1066" s="47"/>
      <c r="R1066" s="51"/>
      <c r="X1066" s="51"/>
      <c r="AD1066" s="51"/>
      <c r="AJ1066" s="51"/>
    </row>
  </sheetData>
  <mergeCells count="215">
    <mergeCell ref="AD160:AD161"/>
    <mergeCell ref="AD163:AD164"/>
    <mergeCell ref="AD166:AD167"/>
    <mergeCell ref="AJ160:AJ161"/>
    <mergeCell ref="AJ163:AJ164"/>
    <mergeCell ref="AJ166:AJ167"/>
    <mergeCell ref="D163:F164"/>
    <mergeCell ref="D166:F167"/>
    <mergeCell ref="L160:L161"/>
    <mergeCell ref="L163:L164"/>
    <mergeCell ref="L166:L167"/>
    <mergeCell ref="R160:R161"/>
    <mergeCell ref="R163:R164"/>
    <mergeCell ref="R166:R167"/>
    <mergeCell ref="X160:X161"/>
    <mergeCell ref="X163:X164"/>
    <mergeCell ref="X166:X167"/>
    <mergeCell ref="AD151:AD152"/>
    <mergeCell ref="AJ151:AJ152"/>
    <mergeCell ref="L154:L155"/>
    <mergeCell ref="R154:R155"/>
    <mergeCell ref="X154:X155"/>
    <mergeCell ref="AD154:AD155"/>
    <mergeCell ref="AJ154:AJ155"/>
    <mergeCell ref="L157:L158"/>
    <mergeCell ref="R157:R158"/>
    <mergeCell ref="X157:X158"/>
    <mergeCell ref="AD157:AD158"/>
    <mergeCell ref="AJ157:AJ158"/>
    <mergeCell ref="D151:F152"/>
    <mergeCell ref="D154:F155"/>
    <mergeCell ref="D157:F158"/>
    <mergeCell ref="D160:F161"/>
    <mergeCell ref="L151:L152"/>
    <mergeCell ref="R151:R152"/>
    <mergeCell ref="X151:X152"/>
    <mergeCell ref="B134:B137"/>
    <mergeCell ref="B139:B140"/>
    <mergeCell ref="H139:J139"/>
    <mergeCell ref="H140:J140"/>
    <mergeCell ref="D139:F140"/>
    <mergeCell ref="B112:B113"/>
    <mergeCell ref="B115:B116"/>
    <mergeCell ref="B118:B121"/>
    <mergeCell ref="B123:B126"/>
    <mergeCell ref="B128:B129"/>
    <mergeCell ref="B131:B132"/>
    <mergeCell ref="B90:B91"/>
    <mergeCell ref="B93:B96"/>
    <mergeCell ref="B98:B101"/>
    <mergeCell ref="B103:B104"/>
    <mergeCell ref="B106:B107"/>
    <mergeCell ref="B109:B110"/>
    <mergeCell ref="B72:B73"/>
    <mergeCell ref="B75:B76"/>
    <mergeCell ref="B78:B79"/>
    <mergeCell ref="B81:B82"/>
    <mergeCell ref="B84:B85"/>
    <mergeCell ref="B87:B88"/>
    <mergeCell ref="B52:B53"/>
    <mergeCell ref="B55:B56"/>
    <mergeCell ref="B58:B61"/>
    <mergeCell ref="B63:B64"/>
    <mergeCell ref="B66:B67"/>
    <mergeCell ref="B69:B70"/>
    <mergeCell ref="B32:B35"/>
    <mergeCell ref="B37:B38"/>
    <mergeCell ref="B40:B41"/>
    <mergeCell ref="B43:B44"/>
    <mergeCell ref="B46:B47"/>
    <mergeCell ref="B49:B50"/>
    <mergeCell ref="D49:F50"/>
    <mergeCell ref="H49:J49"/>
    <mergeCell ref="H50:J50"/>
    <mergeCell ref="H37:J37"/>
    <mergeCell ref="D43:F44"/>
    <mergeCell ref="D46:F47"/>
    <mergeCell ref="D131:F132"/>
    <mergeCell ref="D134:F137"/>
    <mergeCell ref="H135:J135"/>
    <mergeCell ref="H136:J136"/>
    <mergeCell ref="H137:J137"/>
    <mergeCell ref="H123:J123"/>
    <mergeCell ref="H124:J124"/>
    <mergeCell ref="H125:J125"/>
    <mergeCell ref="H126:J126"/>
    <mergeCell ref="H128:J128"/>
    <mergeCell ref="H129:J129"/>
    <mergeCell ref="H131:J131"/>
    <mergeCell ref="H132:J132"/>
    <mergeCell ref="H134:J134"/>
    <mergeCell ref="H23:J23"/>
    <mergeCell ref="D55:F56"/>
    <mergeCell ref="H88:J88"/>
    <mergeCell ref="H112:J112"/>
    <mergeCell ref="H113:J113"/>
    <mergeCell ref="H115:J115"/>
    <mergeCell ref="H116:J116"/>
    <mergeCell ref="D123:F126"/>
    <mergeCell ref="D128:F129"/>
    <mergeCell ref="H106:J106"/>
    <mergeCell ref="H107:J107"/>
    <mergeCell ref="D118:F121"/>
    <mergeCell ref="H24:J24"/>
    <mergeCell ref="H26:J26"/>
    <mergeCell ref="H67:J67"/>
    <mergeCell ref="H69:J69"/>
    <mergeCell ref="H70:J70"/>
    <mergeCell ref="H55:J55"/>
    <mergeCell ref="H56:J56"/>
    <mergeCell ref="B8:AN8"/>
    <mergeCell ref="H13:J13"/>
    <mergeCell ref="D15:F18"/>
    <mergeCell ref="D10:F13"/>
    <mergeCell ref="H15:J15"/>
    <mergeCell ref="H16:J16"/>
    <mergeCell ref="H17:J17"/>
    <mergeCell ref="H18:J18"/>
    <mergeCell ref="H10:J10"/>
    <mergeCell ref="H11:J11"/>
    <mergeCell ref="H12:J12"/>
    <mergeCell ref="B10:B13"/>
    <mergeCell ref="B15:B18"/>
    <mergeCell ref="B20:B21"/>
    <mergeCell ref="B23:B24"/>
    <mergeCell ref="B26:B27"/>
    <mergeCell ref="B29:B30"/>
    <mergeCell ref="H20:J20"/>
    <mergeCell ref="H21:J21"/>
    <mergeCell ref="H34:J34"/>
    <mergeCell ref="H35:J35"/>
    <mergeCell ref="H58:J58"/>
    <mergeCell ref="H59:J59"/>
    <mergeCell ref="H60:J60"/>
    <mergeCell ref="H61:J61"/>
    <mergeCell ref="H38:J38"/>
    <mergeCell ref="H40:J40"/>
    <mergeCell ref="H41:J41"/>
    <mergeCell ref="H43:J43"/>
    <mergeCell ref="H44:J44"/>
    <mergeCell ref="H46:J46"/>
    <mergeCell ref="H47:J47"/>
    <mergeCell ref="H52:J52"/>
    <mergeCell ref="H73:J73"/>
    <mergeCell ref="D75:F76"/>
    <mergeCell ref="D106:F107"/>
    <mergeCell ref="D58:F61"/>
    <mergeCell ref="D109:F110"/>
    <mergeCell ref="D90:F91"/>
    <mergeCell ref="D63:F64"/>
    <mergeCell ref="D78:F79"/>
    <mergeCell ref="D103:F104"/>
    <mergeCell ref="H103:J103"/>
    <mergeCell ref="H104:J104"/>
    <mergeCell ref="D66:F67"/>
    <mergeCell ref="D69:F70"/>
    <mergeCell ref="D72:F73"/>
    <mergeCell ref="D84:F85"/>
    <mergeCell ref="D87:F88"/>
    <mergeCell ref="H78:J78"/>
    <mergeCell ref="H81:J81"/>
    <mergeCell ref="H82:J82"/>
    <mergeCell ref="H90:J90"/>
    <mergeCell ref="H91:J91"/>
    <mergeCell ref="H75:J75"/>
    <mergeCell ref="H76:J76"/>
    <mergeCell ref="H66:J66"/>
    <mergeCell ref="H118:J118"/>
    <mergeCell ref="H119:J119"/>
    <mergeCell ref="H120:J120"/>
    <mergeCell ref="H121:J121"/>
    <mergeCell ref="D112:F113"/>
    <mergeCell ref="D115:F116"/>
    <mergeCell ref="H53:J53"/>
    <mergeCell ref="H63:J63"/>
    <mergeCell ref="D93:F96"/>
    <mergeCell ref="H99:J99"/>
    <mergeCell ref="H100:J100"/>
    <mergeCell ref="H101:J101"/>
    <mergeCell ref="D98:F101"/>
    <mergeCell ref="H93:J93"/>
    <mergeCell ref="H94:J94"/>
    <mergeCell ref="H95:J95"/>
    <mergeCell ref="H96:J96"/>
    <mergeCell ref="D81:F82"/>
    <mergeCell ref="H109:J109"/>
    <mergeCell ref="H110:J110"/>
    <mergeCell ref="D52:F53"/>
    <mergeCell ref="H79:J79"/>
    <mergeCell ref="H87:J87"/>
    <mergeCell ref="H72:J72"/>
    <mergeCell ref="B4:B6"/>
    <mergeCell ref="D4:J6"/>
    <mergeCell ref="D20:F21"/>
    <mergeCell ref="L6:P6"/>
    <mergeCell ref="R6:V6"/>
    <mergeCell ref="X6:AB6"/>
    <mergeCell ref="AD6:AH6"/>
    <mergeCell ref="AJ6:AN6"/>
    <mergeCell ref="H98:J98"/>
    <mergeCell ref="H27:J27"/>
    <mergeCell ref="H64:J64"/>
    <mergeCell ref="H84:J84"/>
    <mergeCell ref="H85:J85"/>
    <mergeCell ref="L4:AN4"/>
    <mergeCell ref="H29:J29"/>
    <mergeCell ref="H30:J30"/>
    <mergeCell ref="H32:J32"/>
    <mergeCell ref="H33:J33"/>
    <mergeCell ref="D29:F30"/>
    <mergeCell ref="D32:F35"/>
    <mergeCell ref="D23:F24"/>
    <mergeCell ref="D26:F27"/>
    <mergeCell ref="D37:F38"/>
    <mergeCell ref="D40:F41"/>
  </mergeCells>
  <pageMargins left="0.7" right="0.7" top="0.75" bottom="0.59" header="0.3" footer="0.3"/>
  <pageSetup paperSize="9" scale="3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D65"/>
  <sheetViews>
    <sheetView tabSelected="1" topLeftCell="A22" zoomScale="60" zoomScaleNormal="60" workbookViewId="0">
      <selection activeCell="P54" sqref="P54"/>
    </sheetView>
  </sheetViews>
  <sheetFormatPr defaultRowHeight="18.75" outlineLevelCol="1" x14ac:dyDescent="0.25"/>
  <cols>
    <col min="1" max="1" width="4.7109375" style="64" customWidth="1"/>
    <col min="2" max="2" width="9.140625" style="65"/>
    <col min="3" max="3" width="4.7109375" style="64" customWidth="1"/>
    <col min="4" max="4" width="10" style="64" bestFit="1" customWidth="1"/>
    <col min="5" max="10" width="9.140625" style="64"/>
    <col min="11" max="11" width="4.7109375" style="64" customWidth="1"/>
    <col min="12" max="12" width="15.7109375" style="70" customWidth="1"/>
    <col min="13" max="15" width="10.7109375" style="64" customWidth="1" outlineLevel="1"/>
    <col min="16" max="16" width="10.7109375" style="62" customWidth="1" outlineLevel="1"/>
    <col min="17" max="17" width="10.7109375" style="64" customWidth="1" outlineLevel="1"/>
    <col min="18" max="18" width="10.7109375" style="75" customWidth="1" outlineLevel="1"/>
    <col min="19" max="19" width="10.7109375" style="64" customWidth="1" outlineLevel="1"/>
    <col min="20" max="20" width="4.7109375" style="64" customWidth="1"/>
    <col min="21" max="21" width="15.7109375" style="64" customWidth="1"/>
    <col min="22" max="28" width="10.7109375" style="64" customWidth="1" outlineLevel="1"/>
    <col min="29" max="29" width="4.7109375" style="64" customWidth="1"/>
    <col min="30" max="30" width="15.7109375" style="64" customWidth="1"/>
    <col min="31" max="37" width="10.7109375" style="64" customWidth="1" outlineLevel="1"/>
    <col min="38" max="38" width="4.7109375" style="64" customWidth="1"/>
    <col min="39" max="39" width="15.7109375" style="64" customWidth="1"/>
    <col min="40" max="46" width="10.7109375" style="64" customWidth="1" outlineLevel="1"/>
    <col min="47" max="47" width="4.7109375" style="64" customWidth="1"/>
    <col min="48" max="48" width="15.7109375" style="64" customWidth="1"/>
    <col min="49" max="55" width="10.7109375" style="64" customWidth="1" outlineLevel="1"/>
    <col min="56" max="16384" width="9.140625" style="64"/>
  </cols>
  <sheetData>
    <row r="1" spans="1:56" x14ac:dyDescent="0.25">
      <c r="A1" s="56"/>
      <c r="B1" s="31"/>
      <c r="C1" s="56"/>
      <c r="D1" s="31"/>
      <c r="E1" s="31"/>
      <c r="F1" s="31"/>
      <c r="G1" s="56"/>
      <c r="H1" s="36"/>
      <c r="I1" s="36"/>
      <c r="J1" s="36"/>
      <c r="K1" s="56"/>
      <c r="L1" s="69"/>
      <c r="M1" s="56"/>
      <c r="N1" s="56"/>
      <c r="O1" s="56"/>
      <c r="P1" s="31"/>
      <c r="Q1" s="56"/>
      <c r="R1" s="73"/>
      <c r="S1" s="56"/>
      <c r="T1" s="56"/>
      <c r="U1" s="63"/>
      <c r="V1" s="56"/>
      <c r="W1" s="56"/>
      <c r="X1" s="56"/>
      <c r="Y1" s="56"/>
      <c r="Z1" s="56"/>
      <c r="AA1" s="56"/>
      <c r="AB1" s="56"/>
      <c r="AC1" s="56"/>
      <c r="AD1" s="63"/>
      <c r="AE1" s="56"/>
      <c r="AF1" s="56"/>
      <c r="AG1" s="56"/>
      <c r="AH1" s="56"/>
      <c r="AI1" s="56"/>
      <c r="AJ1" s="56"/>
      <c r="AK1" s="56"/>
      <c r="AL1" s="56"/>
      <c r="AM1" s="63"/>
      <c r="AN1" s="56"/>
      <c r="AO1" s="56"/>
      <c r="AP1" s="56"/>
      <c r="AQ1" s="56"/>
      <c r="AR1" s="56"/>
      <c r="AS1" s="56"/>
      <c r="AT1" s="56"/>
      <c r="AU1" s="56"/>
      <c r="AV1" s="63"/>
      <c r="AW1" s="56"/>
      <c r="AX1" s="56"/>
      <c r="AY1" s="56"/>
      <c r="AZ1" s="56"/>
      <c r="BA1" s="56"/>
      <c r="BB1" s="56"/>
      <c r="BC1" s="56"/>
      <c r="BD1" s="56"/>
    </row>
    <row r="2" spans="1:56" ht="24.95" customHeight="1" x14ac:dyDescent="0.25">
      <c r="A2" s="56"/>
      <c r="B2" s="31"/>
      <c r="C2" s="56"/>
      <c r="D2" s="31"/>
      <c r="E2" s="31"/>
      <c r="F2" s="31"/>
      <c r="G2" s="56"/>
      <c r="H2" s="36"/>
      <c r="I2" s="36"/>
      <c r="J2" s="36"/>
      <c r="K2" s="56"/>
      <c r="L2" s="153"/>
      <c r="M2" s="127" t="s">
        <v>136</v>
      </c>
      <c r="N2" s="127" t="s">
        <v>137</v>
      </c>
      <c r="O2" s="127" t="s">
        <v>192</v>
      </c>
      <c r="P2" s="127"/>
      <c r="Q2" s="127" t="s">
        <v>201</v>
      </c>
      <c r="R2" s="134" t="s">
        <v>138</v>
      </c>
      <c r="S2" s="127" t="s">
        <v>139</v>
      </c>
      <c r="T2" s="56"/>
      <c r="U2" s="133"/>
      <c r="V2" s="127" t="s">
        <v>136</v>
      </c>
      <c r="W2" s="127" t="s">
        <v>137</v>
      </c>
      <c r="X2" s="127" t="s">
        <v>192</v>
      </c>
      <c r="Y2" s="127"/>
      <c r="Z2" s="127" t="s">
        <v>201</v>
      </c>
      <c r="AA2" s="127" t="s">
        <v>138</v>
      </c>
      <c r="AB2" s="127" t="s">
        <v>139</v>
      </c>
      <c r="AC2" s="56"/>
      <c r="AD2" s="133"/>
      <c r="AE2" s="127" t="s">
        <v>136</v>
      </c>
      <c r="AF2" s="127" t="s">
        <v>137</v>
      </c>
      <c r="AG2" s="127" t="s">
        <v>192</v>
      </c>
      <c r="AH2" s="127"/>
      <c r="AI2" s="127" t="s">
        <v>201</v>
      </c>
      <c r="AJ2" s="127" t="s">
        <v>138</v>
      </c>
      <c r="AK2" s="127" t="s">
        <v>139</v>
      </c>
      <c r="AL2" s="56"/>
      <c r="AM2" s="133"/>
      <c r="AN2" s="127" t="s">
        <v>136</v>
      </c>
      <c r="AO2" s="127" t="s">
        <v>137</v>
      </c>
      <c r="AP2" s="127" t="s">
        <v>192</v>
      </c>
      <c r="AQ2" s="127"/>
      <c r="AR2" s="127" t="s">
        <v>201</v>
      </c>
      <c r="AS2" s="127" t="s">
        <v>138</v>
      </c>
      <c r="AT2" s="127" t="s">
        <v>139</v>
      </c>
      <c r="AU2" s="56"/>
      <c r="AV2" s="133"/>
      <c r="AW2" s="127" t="s">
        <v>136</v>
      </c>
      <c r="AX2" s="127" t="s">
        <v>137</v>
      </c>
      <c r="AY2" s="127" t="s">
        <v>192</v>
      </c>
      <c r="AZ2" s="127"/>
      <c r="BA2" s="127" t="s">
        <v>201</v>
      </c>
      <c r="BB2" s="127" t="s">
        <v>138</v>
      </c>
      <c r="BC2" s="127" t="s">
        <v>139</v>
      </c>
      <c r="BD2" s="56"/>
    </row>
    <row r="3" spans="1:56" x14ac:dyDescent="0.25">
      <c r="A3" s="56"/>
      <c r="B3" s="31"/>
      <c r="C3" s="56"/>
      <c r="D3" s="31"/>
      <c r="E3" s="31"/>
      <c r="F3" s="31"/>
      <c r="G3" s="56"/>
      <c r="H3" s="36"/>
      <c r="I3" s="36"/>
      <c r="J3" s="36"/>
      <c r="K3" s="56"/>
      <c r="L3" s="153"/>
      <c r="M3" s="127"/>
      <c r="N3" s="127"/>
      <c r="O3" s="64" t="s">
        <v>203</v>
      </c>
      <c r="P3" s="62" t="s">
        <v>202</v>
      </c>
      <c r="Q3" s="127"/>
      <c r="R3" s="134"/>
      <c r="S3" s="127"/>
      <c r="T3" s="38"/>
      <c r="U3" s="133"/>
      <c r="V3" s="127"/>
      <c r="W3" s="127"/>
      <c r="X3" s="64" t="s">
        <v>203</v>
      </c>
      <c r="Y3" s="62" t="s">
        <v>202</v>
      </c>
      <c r="Z3" s="127"/>
      <c r="AA3" s="127"/>
      <c r="AB3" s="127"/>
      <c r="AC3" s="38"/>
      <c r="AD3" s="133"/>
      <c r="AE3" s="127"/>
      <c r="AF3" s="127"/>
      <c r="AG3" s="64" t="s">
        <v>203</v>
      </c>
      <c r="AH3" s="62" t="s">
        <v>202</v>
      </c>
      <c r="AI3" s="127"/>
      <c r="AJ3" s="127"/>
      <c r="AK3" s="127"/>
      <c r="AL3" s="38"/>
      <c r="AM3" s="133"/>
      <c r="AN3" s="127"/>
      <c r="AO3" s="127"/>
      <c r="AP3" s="64" t="s">
        <v>203</v>
      </c>
      <c r="AQ3" s="62" t="s">
        <v>202</v>
      </c>
      <c r="AR3" s="127"/>
      <c r="AS3" s="127"/>
      <c r="AT3" s="127"/>
      <c r="AU3" s="38"/>
      <c r="AV3" s="133"/>
      <c r="AW3" s="127"/>
      <c r="AX3" s="127"/>
      <c r="AY3" s="64" t="s">
        <v>203</v>
      </c>
      <c r="AZ3" s="62" t="s">
        <v>202</v>
      </c>
      <c r="BA3" s="127"/>
      <c r="BB3" s="127"/>
      <c r="BC3" s="127"/>
      <c r="BD3" s="56"/>
    </row>
    <row r="4" spans="1:56" ht="19.5" thickBot="1" x14ac:dyDescent="0.3">
      <c r="A4" s="56"/>
      <c r="B4" s="31"/>
      <c r="C4" s="56"/>
      <c r="D4" s="31"/>
      <c r="E4" s="31"/>
      <c r="F4" s="31"/>
      <c r="G4" s="56"/>
      <c r="H4" s="36"/>
      <c r="I4" s="36"/>
      <c r="J4" s="36"/>
      <c r="K4" s="56"/>
      <c r="L4" s="69"/>
      <c r="M4" s="56"/>
      <c r="N4" s="56"/>
      <c r="O4" s="56"/>
      <c r="P4" s="31"/>
      <c r="Q4" s="56"/>
      <c r="R4" s="73"/>
      <c r="S4" s="56"/>
      <c r="T4" s="56"/>
      <c r="U4" s="63"/>
      <c r="V4" s="56"/>
      <c r="W4" s="56"/>
      <c r="X4" s="56"/>
      <c r="Y4" s="56"/>
      <c r="Z4" s="56"/>
      <c r="AA4" s="56"/>
      <c r="AB4" s="56"/>
      <c r="AC4" s="56"/>
      <c r="AD4" s="63"/>
      <c r="AE4" s="56"/>
      <c r="AF4" s="56"/>
      <c r="AG4" s="56"/>
      <c r="AH4" s="56"/>
      <c r="AI4" s="56"/>
      <c r="AJ4" s="56"/>
      <c r="AK4" s="56"/>
      <c r="AL4" s="56"/>
      <c r="AM4" s="63"/>
      <c r="AN4" s="56"/>
      <c r="AO4" s="56"/>
      <c r="AP4" s="56"/>
      <c r="AQ4" s="56"/>
      <c r="AR4" s="56"/>
      <c r="AS4" s="56"/>
      <c r="AT4" s="56"/>
      <c r="AU4" s="56"/>
      <c r="AV4" s="63"/>
      <c r="AW4" s="56"/>
      <c r="AX4" s="56"/>
      <c r="AY4" s="56"/>
      <c r="AZ4" s="56"/>
      <c r="BA4" s="56"/>
      <c r="BB4" s="56"/>
      <c r="BC4" s="56"/>
      <c r="BD4" s="56"/>
    </row>
    <row r="5" spans="1:56" ht="19.5" thickBot="1" x14ac:dyDescent="0.3">
      <c r="A5" s="38"/>
      <c r="B5" s="138" t="s">
        <v>190</v>
      </c>
      <c r="C5" s="38"/>
      <c r="D5" s="141" t="s">
        <v>147</v>
      </c>
      <c r="E5" s="142"/>
      <c r="F5" s="142"/>
      <c r="G5" s="142"/>
      <c r="H5" s="142"/>
      <c r="I5" s="142"/>
      <c r="J5" s="143"/>
      <c r="K5" s="38"/>
      <c r="L5" s="150" t="s">
        <v>215</v>
      </c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1"/>
      <c r="AN5" s="151"/>
      <c r="AO5" s="151"/>
      <c r="AP5" s="151"/>
      <c r="AQ5" s="151"/>
      <c r="AR5" s="151"/>
      <c r="AS5" s="151"/>
      <c r="AT5" s="151"/>
      <c r="AU5" s="151"/>
      <c r="AV5" s="151"/>
      <c r="AW5" s="151"/>
      <c r="AX5" s="151"/>
      <c r="AY5" s="151"/>
      <c r="AZ5" s="151"/>
      <c r="BA5" s="151"/>
      <c r="BB5" s="151"/>
      <c r="BC5" s="152"/>
      <c r="BD5" s="38"/>
    </row>
    <row r="6" spans="1:56" ht="19.5" thickBot="1" x14ac:dyDescent="0.3">
      <c r="A6" s="56"/>
      <c r="B6" s="139"/>
      <c r="C6" s="31"/>
      <c r="D6" s="144"/>
      <c r="E6" s="145"/>
      <c r="F6" s="145"/>
      <c r="G6" s="145"/>
      <c r="H6" s="145"/>
      <c r="I6" s="145"/>
      <c r="J6" s="146"/>
      <c r="K6" s="56"/>
      <c r="L6" s="69"/>
      <c r="M6" s="56"/>
      <c r="N6" s="56"/>
      <c r="O6" s="56"/>
      <c r="P6" s="31"/>
      <c r="Q6" s="56"/>
      <c r="R6" s="73"/>
      <c r="S6" s="56"/>
      <c r="T6" s="56"/>
      <c r="U6" s="63"/>
      <c r="V6" s="56"/>
      <c r="W6" s="56"/>
      <c r="X6" s="56"/>
      <c r="Y6" s="56"/>
      <c r="Z6" s="56"/>
      <c r="AA6" s="56"/>
      <c r="AB6" s="56"/>
      <c r="AC6" s="56"/>
      <c r="AD6" s="63"/>
      <c r="AE6" s="56"/>
      <c r="AF6" s="56"/>
      <c r="AG6" s="56"/>
      <c r="AH6" s="56"/>
      <c r="AI6" s="56"/>
      <c r="AJ6" s="56"/>
      <c r="AK6" s="56"/>
      <c r="AL6" s="56"/>
      <c r="AM6" s="63"/>
      <c r="AN6" s="56"/>
      <c r="AO6" s="56"/>
      <c r="AP6" s="56"/>
      <c r="AQ6" s="56"/>
      <c r="AR6" s="56"/>
      <c r="AS6" s="56"/>
      <c r="AT6" s="56"/>
      <c r="AU6" s="56"/>
      <c r="AV6" s="63"/>
      <c r="AW6" s="56"/>
      <c r="AX6" s="56"/>
      <c r="AY6" s="56"/>
      <c r="AZ6" s="56"/>
      <c r="BA6" s="56"/>
      <c r="BB6" s="56"/>
      <c r="BC6" s="56"/>
      <c r="BD6" s="56"/>
    </row>
    <row r="7" spans="1:56" ht="19.5" thickBot="1" x14ac:dyDescent="0.3">
      <c r="A7" s="56"/>
      <c r="B7" s="140"/>
      <c r="C7" s="31"/>
      <c r="D7" s="147"/>
      <c r="E7" s="148"/>
      <c r="F7" s="148"/>
      <c r="G7" s="148"/>
      <c r="H7" s="148"/>
      <c r="I7" s="148"/>
      <c r="J7" s="149"/>
      <c r="K7" s="56"/>
      <c r="L7" s="113" t="s">
        <v>2</v>
      </c>
      <c r="M7" s="114"/>
      <c r="N7" s="114"/>
      <c r="O7" s="114"/>
      <c r="P7" s="114"/>
      <c r="Q7" s="114"/>
      <c r="R7" s="114"/>
      <c r="S7" s="115"/>
      <c r="T7" s="32"/>
      <c r="U7" s="113" t="s">
        <v>3</v>
      </c>
      <c r="V7" s="114"/>
      <c r="W7" s="114"/>
      <c r="X7" s="114"/>
      <c r="Y7" s="114"/>
      <c r="Z7" s="114"/>
      <c r="AA7" s="114"/>
      <c r="AB7" s="115"/>
      <c r="AC7" s="32"/>
      <c r="AD7" s="113" t="s">
        <v>4</v>
      </c>
      <c r="AE7" s="114"/>
      <c r="AF7" s="114"/>
      <c r="AG7" s="114"/>
      <c r="AH7" s="114"/>
      <c r="AI7" s="114"/>
      <c r="AJ7" s="114"/>
      <c r="AK7" s="115"/>
      <c r="AL7" s="32"/>
      <c r="AM7" s="113" t="s">
        <v>5</v>
      </c>
      <c r="AN7" s="114"/>
      <c r="AO7" s="114"/>
      <c r="AP7" s="114"/>
      <c r="AQ7" s="114"/>
      <c r="AR7" s="114"/>
      <c r="AS7" s="114"/>
      <c r="AT7" s="115"/>
      <c r="AU7" s="32"/>
      <c r="AV7" s="113" t="s">
        <v>6</v>
      </c>
      <c r="AW7" s="114"/>
      <c r="AX7" s="114"/>
      <c r="AY7" s="114"/>
      <c r="AZ7" s="114"/>
      <c r="BA7" s="114"/>
      <c r="BB7" s="114"/>
      <c r="BC7" s="115"/>
      <c r="BD7" s="56"/>
    </row>
    <row r="8" spans="1:56" ht="19.5" thickBot="1" x14ac:dyDescent="0.3">
      <c r="A8" s="56"/>
      <c r="B8" s="31"/>
      <c r="C8" s="31"/>
      <c r="D8" s="31"/>
      <c r="E8" s="31"/>
      <c r="F8" s="31"/>
      <c r="G8" s="31"/>
      <c r="H8" s="36"/>
      <c r="I8" s="36"/>
      <c r="J8" s="36"/>
      <c r="K8" s="56"/>
      <c r="L8" s="48"/>
      <c r="M8" s="37"/>
      <c r="N8" s="37"/>
      <c r="O8" s="37"/>
      <c r="P8" s="37"/>
      <c r="Q8" s="37"/>
      <c r="R8" s="74"/>
      <c r="S8" s="37"/>
      <c r="T8" s="32"/>
      <c r="U8" s="49"/>
      <c r="V8" s="37"/>
      <c r="W8" s="37"/>
      <c r="X8" s="37"/>
      <c r="Y8" s="37"/>
      <c r="Z8" s="37"/>
      <c r="AA8" s="37"/>
      <c r="AB8" s="37"/>
      <c r="AC8" s="32"/>
      <c r="AD8" s="49"/>
      <c r="AE8" s="37"/>
      <c r="AF8" s="37"/>
      <c r="AG8" s="37"/>
      <c r="AH8" s="37"/>
      <c r="AI8" s="37"/>
      <c r="AJ8" s="37"/>
      <c r="AK8" s="37"/>
      <c r="AL8" s="32"/>
      <c r="AM8" s="49"/>
      <c r="AN8" s="37"/>
      <c r="AO8" s="37"/>
      <c r="AP8" s="37"/>
      <c r="AQ8" s="37"/>
      <c r="AR8" s="37"/>
      <c r="AS8" s="37"/>
      <c r="AT8" s="37"/>
      <c r="AU8" s="32"/>
      <c r="AV8" s="49"/>
      <c r="AW8" s="37"/>
      <c r="AX8" s="37"/>
      <c r="AY8" s="37"/>
      <c r="AZ8" s="37"/>
      <c r="BA8" s="37"/>
      <c r="BB8" s="37"/>
      <c r="BC8" s="37"/>
      <c r="BD8" s="56"/>
    </row>
    <row r="9" spans="1:56" ht="19.5" thickBot="1" x14ac:dyDescent="0.3">
      <c r="A9" s="56"/>
      <c r="B9" s="113" t="s">
        <v>199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  <c r="AX9" s="114"/>
      <c r="AY9" s="114"/>
      <c r="AZ9" s="114"/>
      <c r="BA9" s="114"/>
      <c r="BB9" s="114"/>
      <c r="BC9" s="115"/>
      <c r="BD9" s="56"/>
    </row>
    <row r="10" spans="1:56" ht="19.5" thickBot="1" x14ac:dyDescent="0.3">
      <c r="A10" s="56"/>
      <c r="B10" s="61"/>
      <c r="C10" s="37"/>
      <c r="D10" s="37"/>
      <c r="E10" s="37"/>
      <c r="F10" s="37"/>
      <c r="G10" s="37"/>
      <c r="H10" s="37"/>
      <c r="I10" s="37"/>
      <c r="J10" s="37"/>
      <c r="K10" s="37"/>
      <c r="L10" s="48"/>
      <c r="M10" s="37"/>
      <c r="N10" s="37"/>
      <c r="O10" s="37"/>
      <c r="P10" s="37"/>
      <c r="Q10" s="37"/>
      <c r="R10" s="74"/>
      <c r="S10" s="37"/>
      <c r="T10" s="37"/>
      <c r="U10" s="49"/>
      <c r="V10" s="37"/>
      <c r="W10" s="37"/>
      <c r="X10" s="37"/>
      <c r="Y10" s="37"/>
      <c r="Z10" s="37"/>
      <c r="AA10" s="37"/>
      <c r="AB10" s="37"/>
      <c r="AC10" s="37"/>
      <c r="AD10" s="49"/>
      <c r="AE10" s="37"/>
      <c r="AF10" s="37"/>
      <c r="AG10" s="37"/>
      <c r="AH10" s="37"/>
      <c r="AI10" s="37"/>
      <c r="AJ10" s="37"/>
      <c r="AK10" s="37"/>
      <c r="AL10" s="37"/>
      <c r="AM10" s="49"/>
      <c r="AN10" s="37"/>
      <c r="AO10" s="37"/>
      <c r="AP10" s="37"/>
      <c r="AQ10" s="37"/>
      <c r="AR10" s="37"/>
      <c r="AS10" s="37"/>
      <c r="AT10" s="37"/>
      <c r="AU10" s="37"/>
      <c r="AV10" s="49"/>
      <c r="AW10" s="37"/>
      <c r="AX10" s="37"/>
      <c r="AY10" s="37"/>
      <c r="AZ10" s="37"/>
      <c r="BA10" s="37"/>
      <c r="BB10" s="37"/>
      <c r="BC10" s="37"/>
      <c r="BD10" s="56"/>
    </row>
    <row r="11" spans="1:56" ht="19.5" thickBot="1" x14ac:dyDescent="0.3">
      <c r="B11" s="72">
        <v>1</v>
      </c>
      <c r="D11" s="135" t="s">
        <v>193</v>
      </c>
      <c r="E11" s="136"/>
      <c r="F11" s="136"/>
      <c r="G11" s="136"/>
      <c r="H11" s="136"/>
      <c r="I11" s="136"/>
      <c r="J11" s="137"/>
      <c r="L11" s="71">
        <f>MROUND(N11+O11+Q11+S11,500)</f>
        <v>5500</v>
      </c>
      <c r="M11" s="64">
        <f>N11*100/L11</f>
        <v>21.818181818181817</v>
      </c>
      <c r="N11" s="64">
        <f>2*$F$65</f>
        <v>1200</v>
      </c>
      <c r="O11" s="64">
        <f>P11*$F$57</f>
        <v>2000</v>
      </c>
      <c r="P11" s="62">
        <v>1.5</v>
      </c>
      <c r="R11" s="75">
        <v>40</v>
      </c>
      <c r="S11" s="64">
        <f>MROUND((N11+O11)*R11/(100-R11),100)</f>
        <v>2100</v>
      </c>
      <c r="U11" s="71">
        <f>MROUND(W11+X11+Z11+AB11,500)</f>
        <v>5500</v>
      </c>
      <c r="V11" s="64">
        <f>W11*100/U11</f>
        <v>21.818181818181817</v>
      </c>
      <c r="W11" s="64">
        <f>2*$F$65</f>
        <v>1200</v>
      </c>
      <c r="X11" s="64">
        <f>Y11*$F$57</f>
        <v>2133.3333333333335</v>
      </c>
      <c r="Y11" s="65">
        <v>1.6</v>
      </c>
      <c r="AA11" s="65">
        <v>40</v>
      </c>
      <c r="AB11" s="64">
        <f>MROUND((W11+X11)*AA11/(100-AA11),100)</f>
        <v>2200</v>
      </c>
      <c r="AD11" s="71">
        <f>MROUND(AF11+AG11+AI11+AK11,500)</f>
        <v>6000</v>
      </c>
      <c r="AE11" s="64">
        <f>AF11*100/AD11</f>
        <v>20</v>
      </c>
      <c r="AF11" s="64">
        <f>2*$F$65</f>
        <v>1200</v>
      </c>
      <c r="AG11" s="64">
        <f>AH11*$F$57</f>
        <v>2266.6666666666665</v>
      </c>
      <c r="AH11" s="65">
        <v>1.7</v>
      </c>
      <c r="AJ11" s="65">
        <v>40</v>
      </c>
      <c r="AK11" s="64">
        <f>MROUND((AF11+AG11)*AJ11/(100-AJ11),100)</f>
        <v>2300</v>
      </c>
      <c r="AM11" s="71">
        <f>MROUND(AO11+AP11+AR11+AT11,500)</f>
        <v>6000</v>
      </c>
      <c r="AN11" s="64">
        <f>AO11*100/AM11</f>
        <v>20</v>
      </c>
      <c r="AO11" s="64">
        <f>2*$F$65</f>
        <v>1200</v>
      </c>
      <c r="AP11" s="64">
        <f>AQ11*$F$57</f>
        <v>2400</v>
      </c>
      <c r="AQ11" s="65">
        <v>1.8</v>
      </c>
      <c r="AS11" s="65">
        <v>40</v>
      </c>
      <c r="AT11" s="64">
        <f>MROUND((AO11+AP11)*AS11/(100-AS11),100)</f>
        <v>2400</v>
      </c>
      <c r="AV11" s="71">
        <f>MROUND(AX11+AY11+BA11+BC11,500)</f>
        <v>6500</v>
      </c>
      <c r="AW11" s="64">
        <f>AX11*100/AV11</f>
        <v>18.46153846153846</v>
      </c>
      <c r="AX11" s="64">
        <f>2*$F$65</f>
        <v>1200</v>
      </c>
      <c r="AY11" s="64">
        <f>AZ11*$F$57</f>
        <v>2666.6666666666665</v>
      </c>
      <c r="AZ11" s="65">
        <v>2</v>
      </c>
      <c r="BB11" s="65">
        <v>40</v>
      </c>
      <c r="BC11" s="64">
        <f>MROUND((AX11+AY11)*BB11/(100-BB11),100)</f>
        <v>2600</v>
      </c>
    </row>
    <row r="12" spans="1:56" ht="19.5" thickBot="1" x14ac:dyDescent="0.3">
      <c r="U12" s="70"/>
      <c r="Y12" s="65"/>
      <c r="AA12" s="65"/>
      <c r="AD12" s="70"/>
      <c r="AH12" s="65"/>
      <c r="AJ12" s="65"/>
      <c r="AM12" s="70"/>
      <c r="AQ12" s="65"/>
      <c r="AS12" s="65"/>
      <c r="AV12" s="70"/>
      <c r="AZ12" s="65"/>
      <c r="BB12" s="65"/>
    </row>
    <row r="13" spans="1:56" ht="19.5" thickBot="1" x14ac:dyDescent="0.3">
      <c r="B13" s="72">
        <v>2</v>
      </c>
      <c r="D13" s="135" t="s">
        <v>194</v>
      </c>
      <c r="E13" s="136"/>
      <c r="F13" s="136"/>
      <c r="G13" s="136"/>
      <c r="H13" s="136"/>
      <c r="I13" s="136"/>
      <c r="J13" s="137"/>
      <c r="L13" s="71">
        <f>MROUND(N13+O13+Q13+S13,500)</f>
        <v>6000</v>
      </c>
      <c r="M13" s="64">
        <f t="shared" ref="M13:M21" si="0">N13*100/L13</f>
        <v>10</v>
      </c>
      <c r="N13" s="64">
        <f>1*$F$65</f>
        <v>600</v>
      </c>
      <c r="O13" s="64">
        <f>P13*$F$57</f>
        <v>1333.3333333333333</v>
      </c>
      <c r="P13" s="62">
        <v>1</v>
      </c>
      <c r="Q13" s="64">
        <f>('АРМАТУРНЫЕ РАБОТЫ'!$L$23+'АРМАТУРНЫЕ РАБОТЫ'!$L$24+'АРМАТУРНЫЕ РАБОТЫ'!$L$115+'АРМАТУРНЫЕ РАБОТЫ'!$L$116)*2</f>
        <v>3000</v>
      </c>
      <c r="R13" s="75">
        <v>40</v>
      </c>
      <c r="S13" s="64">
        <f t="shared" ref="S13:S21" si="1">MROUND((N13+O13)*R13/(100-R13),100)</f>
        <v>1300</v>
      </c>
      <c r="U13" s="71">
        <f>MROUND(W13+X13+Z13+AB13,500)</f>
        <v>7000</v>
      </c>
      <c r="V13" s="64">
        <f t="shared" ref="V13" si="2">W13*100/U13</f>
        <v>8.5714285714285712</v>
      </c>
      <c r="W13" s="64">
        <f>1*$F$65</f>
        <v>600</v>
      </c>
      <c r="X13" s="64">
        <f>Y13*$F$57</f>
        <v>1733.3333333333333</v>
      </c>
      <c r="Y13" s="65">
        <v>1.3</v>
      </c>
      <c r="Z13" s="64">
        <f>('АРМАТУРНЫЕ РАБОТЫ'!$R$23+'АРМАТУРНЫЕ РАБОТЫ'!$R$24+'АРМАТУРНЫЕ РАБОТЫ'!$R$115+'АРМАТУРНЫЕ РАБОТЫ'!$R$116)*2</f>
        <v>3000</v>
      </c>
      <c r="AA13" s="65">
        <v>40</v>
      </c>
      <c r="AB13" s="64">
        <f t="shared" ref="AB13" si="3">MROUND((W13+X13)*AA13/(100-AA13),100)</f>
        <v>1600</v>
      </c>
      <c r="AD13" s="71">
        <f>MROUND(AF13+AG13+AI13+AK13,500)</f>
        <v>8000</v>
      </c>
      <c r="AE13" s="64">
        <f t="shared" ref="AE13" si="4">AF13*100/AD13</f>
        <v>7.5</v>
      </c>
      <c r="AF13" s="64">
        <f>1*$F$65</f>
        <v>600</v>
      </c>
      <c r="AG13" s="64">
        <f>AH13*$F$57</f>
        <v>1866.6666666666665</v>
      </c>
      <c r="AH13" s="65">
        <v>1.4</v>
      </c>
      <c r="AI13" s="64">
        <f>2*('АРМАТУРНЫЕ РАБОТЫ'!$X$23+'АРМАТУРНЫЕ РАБОТЫ'!$X$24+'АРМАТУРНЫЕ РАБОТЫ'!$X$115+'АРМАТУРНЫЕ РАБОТЫ'!$X$116)</f>
        <v>3800</v>
      </c>
      <c r="AJ13" s="65">
        <v>40</v>
      </c>
      <c r="AK13" s="64">
        <f t="shared" ref="AK13" si="5">MROUND((AF13+AG13)*AJ13/(100-AJ13),100)</f>
        <v>1600</v>
      </c>
      <c r="AM13" s="71">
        <f>MROUND(AO13+AP13+AR13+AT13,500)</f>
        <v>10500</v>
      </c>
      <c r="AN13" s="64">
        <f t="shared" ref="AN13" si="6">AO13*100/AM13</f>
        <v>5.7142857142857144</v>
      </c>
      <c r="AO13" s="64">
        <f>1*$F$65</f>
        <v>600</v>
      </c>
      <c r="AP13" s="64">
        <f>AQ13*$F$57</f>
        <v>2000</v>
      </c>
      <c r="AQ13" s="65">
        <v>1.5</v>
      </c>
      <c r="AR13" s="64">
        <f>2*('АРМАТУРНЫЕ РАБОТЫ'!$AD$23+'АРМАТУРНЫЕ РАБОТЫ'!$AD$24+'АРМАТУРНЫЕ РАБОТЫ'!$AD$115+'АРМАТУРНЫЕ РАБОТЫ'!$AD$116)</f>
        <v>6000</v>
      </c>
      <c r="AS13" s="65">
        <v>40</v>
      </c>
      <c r="AT13" s="64">
        <f t="shared" ref="AT13" si="7">MROUND((AO13+AP13)*AS13/(100-AS13),100)</f>
        <v>1700</v>
      </c>
      <c r="AV13" s="71">
        <f>MROUND(AX13+AY13+BA13+BC13,500)</f>
        <v>11500</v>
      </c>
      <c r="AW13" s="64">
        <f t="shared" ref="AW13" si="8">AX13*100/AV13</f>
        <v>5.2173913043478262</v>
      </c>
      <c r="AX13" s="64">
        <f>1*$F$65</f>
        <v>600</v>
      </c>
      <c r="AY13" s="64">
        <f>AZ13*$F$57</f>
        <v>2000</v>
      </c>
      <c r="AZ13" s="65">
        <v>1.5</v>
      </c>
      <c r="BA13" s="64">
        <f>2*('АРМАТУРНЫЕ РАБОТЫ'!$AJ$23+'АРМАТУРНЫЕ РАБОТЫ'!$AJ$24+'АРМАТУРНЫЕ РАБОТЫ'!$AJ$115+'АРМАТУРНЫЕ РАБОТЫ'!$AJ$116)</f>
        <v>7000</v>
      </c>
      <c r="BB13" s="65">
        <v>40</v>
      </c>
      <c r="BC13" s="64">
        <f t="shared" ref="BC13" si="9">MROUND((AX13+AY13)*BB13/(100-BB13),100)</f>
        <v>1700</v>
      </c>
    </row>
    <row r="14" spans="1:56" ht="19.5" thickBot="1" x14ac:dyDescent="0.3">
      <c r="U14" s="70"/>
      <c r="Y14" s="65"/>
      <c r="AA14" s="65"/>
      <c r="AD14" s="70"/>
      <c r="AH14" s="65"/>
      <c r="AJ14" s="65"/>
      <c r="AM14" s="70"/>
      <c r="AQ14" s="65"/>
      <c r="AS14" s="65"/>
      <c r="AV14" s="70"/>
      <c r="AZ14" s="65"/>
      <c r="BB14" s="65"/>
    </row>
    <row r="15" spans="1:56" ht="19.5" thickBot="1" x14ac:dyDescent="0.3">
      <c r="B15" s="72">
        <v>3</v>
      </c>
      <c r="D15" s="135" t="s">
        <v>195</v>
      </c>
      <c r="E15" s="136"/>
      <c r="F15" s="136"/>
      <c r="G15" s="136"/>
      <c r="H15" s="136"/>
      <c r="I15" s="136"/>
      <c r="J15" s="137"/>
      <c r="L15" s="71">
        <f>MROUND(N15+O15+Q15+S15,500)</f>
        <v>10500</v>
      </c>
      <c r="M15" s="64">
        <f t="shared" si="0"/>
        <v>17.142857142857142</v>
      </c>
      <c r="N15" s="64">
        <f>3*$F$65</f>
        <v>1800</v>
      </c>
      <c r="O15" s="64">
        <f>P15*$F$57</f>
        <v>2666.6666666666665</v>
      </c>
      <c r="P15" s="62">
        <v>2</v>
      </c>
      <c r="Q15" s="64">
        <f>('АРМАТУРНЫЕ РАБОТЫ'!$L$23+'АРМАТУРНЫЕ РАБОТЫ'!$L$24+'АРМАТУРНЫЕ РАБОТЫ'!$L$115+'АРМАТУРНЫЕ РАБОТЫ'!$L$116)*2</f>
        <v>3000</v>
      </c>
      <c r="R15" s="75">
        <v>40</v>
      </c>
      <c r="S15" s="64">
        <f>MROUND((N15+O15)*R15/(100-R15),100)</f>
        <v>3000</v>
      </c>
      <c r="U15" s="71">
        <f>MROUND(W15+X15+Z15+AB15,500)</f>
        <v>10500</v>
      </c>
      <c r="V15" s="64">
        <f t="shared" ref="V15" si="10">W15*100/U15</f>
        <v>17.142857142857142</v>
      </c>
      <c r="W15" s="64">
        <f>3*$F$65</f>
        <v>1800</v>
      </c>
      <c r="X15" s="64">
        <f>Y15*$F$57</f>
        <v>2800</v>
      </c>
      <c r="Y15" s="65">
        <v>2.1</v>
      </c>
      <c r="Z15" s="64">
        <f>('АРМАТУРНЫЕ РАБОТЫ'!$R$23+'АРМАТУРНЫЕ РАБОТЫ'!$R$24+'АРМАТУРНЫЕ РАБОТЫ'!$R$115+'АРМАТУРНЫЕ РАБОТЫ'!$R$116)*2</f>
        <v>3000</v>
      </c>
      <c r="AA15" s="65">
        <v>40</v>
      </c>
      <c r="AB15" s="64">
        <f>MROUND((W15+X15)*AA15/(100-AA15),100)</f>
        <v>3100</v>
      </c>
      <c r="AD15" s="71">
        <f>MROUND(AF15+AG15+AI15+AK15,500)</f>
        <v>11500</v>
      </c>
      <c r="AE15" s="64">
        <f t="shared" ref="AE15" si="11">AF15*100/AD15</f>
        <v>15.652173913043478</v>
      </c>
      <c r="AF15" s="64">
        <f>3*$F$65</f>
        <v>1800</v>
      </c>
      <c r="AG15" s="64">
        <f>AH15*$F$57</f>
        <v>2933.3333333333335</v>
      </c>
      <c r="AH15" s="65">
        <v>2.2000000000000002</v>
      </c>
      <c r="AI15" s="64">
        <f>2*('АРМАТУРНЫЕ РАБОТЫ'!$X$23+'АРМАТУРНЫЕ РАБОТЫ'!$X$24+'АРМАТУРНЫЕ РАБОТЫ'!$X$115+'АРМАТУРНЫЕ РАБОТЫ'!$X$116)</f>
        <v>3800</v>
      </c>
      <c r="AJ15" s="65">
        <v>40</v>
      </c>
      <c r="AK15" s="64">
        <f>MROUND((AF15+AG15)*AJ15/(100-AJ15),100)</f>
        <v>3200</v>
      </c>
      <c r="AM15" s="71">
        <f>MROUND(AO15+AP15+AR15+AT15,500)</f>
        <v>14000</v>
      </c>
      <c r="AN15" s="64">
        <f t="shared" ref="AN15" si="12">AO15*100/AM15</f>
        <v>12.857142857142858</v>
      </c>
      <c r="AO15" s="64">
        <f>3*$F$65</f>
        <v>1800</v>
      </c>
      <c r="AP15" s="64">
        <f>AQ15*$F$57</f>
        <v>3066.6666666666661</v>
      </c>
      <c r="AQ15" s="65">
        <v>2.2999999999999998</v>
      </c>
      <c r="AR15" s="64">
        <f>2*('АРМАТУРНЫЕ РАБОТЫ'!$AD$23+'АРМАТУРНЫЕ РАБОТЫ'!$AD$24+'АРМАТУРНЫЕ РАБОТЫ'!$AD$115+'АРМАТУРНЫЕ РАБОТЫ'!$AD$116)</f>
        <v>6000</v>
      </c>
      <c r="AS15" s="65">
        <v>40</v>
      </c>
      <c r="AT15" s="64">
        <f>MROUND((AO15+AP15)*AS15/(100-AS15),100)</f>
        <v>3200</v>
      </c>
      <c r="AV15" s="71">
        <f>MROUND(AX15+AY15+BA15+BC15,500)</f>
        <v>15500</v>
      </c>
      <c r="AW15" s="64">
        <f t="shared" ref="AW15" si="13">AX15*100/AV15</f>
        <v>11.612903225806452</v>
      </c>
      <c r="AX15" s="64">
        <f>3*$F$65</f>
        <v>1800</v>
      </c>
      <c r="AY15" s="64">
        <f>AZ15*$F$57</f>
        <v>3333.333333333333</v>
      </c>
      <c r="AZ15" s="65">
        <v>2.5</v>
      </c>
      <c r="BA15" s="64">
        <f>2*('АРМАТУРНЫЕ РАБОТЫ'!$AJ$23+'АРМАТУРНЫЕ РАБОТЫ'!$AJ$24+'АРМАТУРНЫЕ РАБОТЫ'!$AJ$115+'АРМАТУРНЫЕ РАБОТЫ'!$AJ$116)</f>
        <v>7000</v>
      </c>
      <c r="BB15" s="65">
        <v>40</v>
      </c>
      <c r="BC15" s="64">
        <f>MROUND((AX15+AY15)*BB15/(100-BB15),100)</f>
        <v>3400</v>
      </c>
    </row>
    <row r="16" spans="1:56" ht="19.5" thickBot="1" x14ac:dyDescent="0.3">
      <c r="U16" s="70"/>
      <c r="Y16" s="65"/>
      <c r="AA16" s="65"/>
      <c r="AD16" s="70"/>
      <c r="AH16" s="65"/>
      <c r="AJ16" s="65"/>
      <c r="AM16" s="70"/>
      <c r="AQ16" s="65"/>
      <c r="AS16" s="65"/>
      <c r="AV16" s="70"/>
      <c r="AZ16" s="65"/>
      <c r="BB16" s="65"/>
    </row>
    <row r="17" spans="2:55" ht="19.5" thickBot="1" x14ac:dyDescent="0.3">
      <c r="B17" s="72">
        <v>4</v>
      </c>
      <c r="D17" s="135" t="s">
        <v>196</v>
      </c>
      <c r="E17" s="136"/>
      <c r="F17" s="136"/>
      <c r="G17" s="136"/>
      <c r="H17" s="136"/>
      <c r="I17" s="136"/>
      <c r="J17" s="137"/>
      <c r="L17" s="71">
        <f>MROUND(N17+O17+Q17+S17,500)</f>
        <v>11500</v>
      </c>
      <c r="M17" s="64">
        <f t="shared" si="0"/>
        <v>20.869565217391305</v>
      </c>
      <c r="N17" s="64">
        <f>4*$F$65</f>
        <v>2400</v>
      </c>
      <c r="O17" s="64">
        <f>P17*$F$57</f>
        <v>2666.6666666666665</v>
      </c>
      <c r="P17" s="62">
        <v>2</v>
      </c>
      <c r="Q17" s="64">
        <f>('АРМАТУРНЫЕ РАБОТЫ'!$L$23+'АРМАТУРНЫЕ РАБОТЫ'!$L$24+'АРМАТУРНЫЕ РАБОТЫ'!$L$115+'АРМАТУРНЫЕ РАБОТЫ'!$L$116)*2</f>
        <v>3000</v>
      </c>
      <c r="R17" s="75">
        <v>40</v>
      </c>
      <c r="S17" s="64">
        <f t="shared" si="1"/>
        <v>3400</v>
      </c>
      <c r="U17" s="71">
        <f>MROUND(W17+X17+Z17+AB17,500)</f>
        <v>11500</v>
      </c>
      <c r="V17" s="64">
        <f t="shared" ref="V17" si="14">W17*100/U17</f>
        <v>20.869565217391305</v>
      </c>
      <c r="W17" s="64">
        <f>4*$F$65</f>
        <v>2400</v>
      </c>
      <c r="X17" s="64">
        <f>Y17*$F$57</f>
        <v>2800</v>
      </c>
      <c r="Y17" s="65">
        <v>2.1</v>
      </c>
      <c r="Z17" s="64">
        <f>('АРМАТУРНЫЕ РАБОТЫ'!$R$23+'АРМАТУРНЫЕ РАБОТЫ'!$R$24+'АРМАТУРНЫЕ РАБОТЫ'!$R$115+'АРМАТУРНЫЕ РАБОТЫ'!$R$116)*2</f>
        <v>3000</v>
      </c>
      <c r="AA17" s="65">
        <v>40</v>
      </c>
      <c r="AB17" s="64">
        <f t="shared" ref="AB17" si="15">MROUND((W17+X17)*AA17/(100-AA17),100)</f>
        <v>3500</v>
      </c>
      <c r="AD17" s="71">
        <f>MROUND(AF17+AG17+AI17+AK17,500)</f>
        <v>12500</v>
      </c>
      <c r="AE17" s="64">
        <f t="shared" ref="AE17" si="16">AF17*100/AD17</f>
        <v>19.2</v>
      </c>
      <c r="AF17" s="64">
        <f>4*$F$65</f>
        <v>2400</v>
      </c>
      <c r="AG17" s="64">
        <f>AH17*$F$57</f>
        <v>2933.3333333333335</v>
      </c>
      <c r="AH17" s="65">
        <v>2.2000000000000002</v>
      </c>
      <c r="AI17" s="64">
        <f>2*('АРМАТУРНЫЕ РАБОТЫ'!$X$23+'АРМАТУРНЫЕ РАБОТЫ'!$X$24+'АРМАТУРНЫЕ РАБОТЫ'!$X$115+'АРМАТУРНЫЕ РАБОТЫ'!$X$116)</f>
        <v>3800</v>
      </c>
      <c r="AJ17" s="65">
        <v>40</v>
      </c>
      <c r="AK17" s="64">
        <f t="shared" ref="AK17" si="17">MROUND((AF17+AG17)*AJ17/(100-AJ17),100)</f>
        <v>3600</v>
      </c>
      <c r="AM17" s="71">
        <f>MROUND(AO17+AP17+AR17+AT17,500)</f>
        <v>15000</v>
      </c>
      <c r="AN17" s="64">
        <f t="shared" ref="AN17" si="18">AO17*100/AM17</f>
        <v>16</v>
      </c>
      <c r="AO17" s="64">
        <f>4*$F$65</f>
        <v>2400</v>
      </c>
      <c r="AP17" s="64">
        <f>AQ17*$F$57</f>
        <v>3066.6666666666661</v>
      </c>
      <c r="AQ17" s="65">
        <v>2.2999999999999998</v>
      </c>
      <c r="AR17" s="64">
        <f>2*('АРМАТУРНЫЕ РАБОТЫ'!$AD$23+'АРМАТУРНЫЕ РАБОТЫ'!$AD$24+'АРМАТУРНЫЕ РАБОТЫ'!$AD$115+'АРМАТУРНЫЕ РАБОТЫ'!$AD$116)</f>
        <v>6000</v>
      </c>
      <c r="AS17" s="65">
        <v>40</v>
      </c>
      <c r="AT17" s="64">
        <f t="shared" ref="AT17" si="19">MROUND((AO17+AP17)*AS17/(100-AS17),100)</f>
        <v>3600</v>
      </c>
      <c r="AV17" s="71">
        <f>MROUND(AX17+AY17+BA17+BC17,500)</f>
        <v>16500</v>
      </c>
      <c r="AW17" s="64">
        <f t="shared" ref="AW17" si="20">AX17*100/AV17</f>
        <v>14.545454545454545</v>
      </c>
      <c r="AX17" s="64">
        <f>4*$F$65</f>
        <v>2400</v>
      </c>
      <c r="AY17" s="64">
        <f>AZ17*$F$57</f>
        <v>3333.333333333333</v>
      </c>
      <c r="AZ17" s="65">
        <v>2.5</v>
      </c>
      <c r="BA17" s="64">
        <f>2*('АРМАТУРНЫЕ РАБОТЫ'!$AJ$23+'АРМАТУРНЫЕ РАБОТЫ'!$AJ$24+'АРМАТУРНЫЕ РАБОТЫ'!$AJ$115+'АРМАТУРНЫЕ РАБОТЫ'!$AJ$116)</f>
        <v>7000</v>
      </c>
      <c r="BB17" s="65">
        <v>40</v>
      </c>
      <c r="BC17" s="64">
        <f t="shared" ref="BC17" si="21">MROUND((AX17+AY17)*BB17/(100-BB17),100)</f>
        <v>3800</v>
      </c>
    </row>
    <row r="18" spans="2:55" ht="19.5" thickBot="1" x14ac:dyDescent="0.3">
      <c r="U18" s="70"/>
      <c r="Y18" s="65"/>
      <c r="AA18" s="65"/>
      <c r="AD18" s="70"/>
      <c r="AH18" s="65"/>
      <c r="AJ18" s="65"/>
      <c r="AM18" s="70"/>
      <c r="AQ18" s="65"/>
      <c r="AS18" s="65"/>
      <c r="AV18" s="70"/>
      <c r="AZ18" s="65"/>
      <c r="BB18" s="65"/>
    </row>
    <row r="19" spans="2:55" ht="19.5" thickBot="1" x14ac:dyDescent="0.3">
      <c r="B19" s="72">
        <v>5</v>
      </c>
      <c r="D19" s="135" t="s">
        <v>197</v>
      </c>
      <c r="E19" s="136"/>
      <c r="F19" s="136"/>
      <c r="G19" s="136"/>
      <c r="H19" s="136"/>
      <c r="I19" s="136"/>
      <c r="J19" s="137"/>
      <c r="L19" s="71">
        <f>MROUND(N19+O19+Q19+S19,500)</f>
        <v>3000</v>
      </c>
      <c r="M19" s="64">
        <f t="shared" si="0"/>
        <v>40</v>
      </c>
      <c r="N19" s="64">
        <f>2*$F$65</f>
        <v>1200</v>
      </c>
      <c r="O19" s="64">
        <f>P19*$F$57</f>
        <v>666.66666666666663</v>
      </c>
      <c r="P19" s="62">
        <v>0.5</v>
      </c>
      <c r="R19" s="75">
        <v>40</v>
      </c>
      <c r="S19" s="64">
        <f t="shared" si="1"/>
        <v>1200</v>
      </c>
      <c r="U19" s="71">
        <f>MROUND(W19+X19+Z19+AB19,500)</f>
        <v>3500</v>
      </c>
      <c r="V19" s="64">
        <f t="shared" ref="V19" si="22">W19*100/U19</f>
        <v>34.285714285714285</v>
      </c>
      <c r="W19" s="64">
        <f>2*$F$65</f>
        <v>1200</v>
      </c>
      <c r="X19" s="64">
        <f>Y19*$F$57</f>
        <v>799.99999999999989</v>
      </c>
      <c r="Y19" s="65">
        <v>0.6</v>
      </c>
      <c r="AA19" s="65">
        <v>40</v>
      </c>
      <c r="AB19" s="64">
        <f t="shared" ref="AB19" si="23">MROUND((W19+X19)*AA19/(100-AA19),100)</f>
        <v>1300</v>
      </c>
      <c r="AD19" s="71">
        <f>MROUND(AF19+AG19+AI19+AK19,500)</f>
        <v>3500</v>
      </c>
      <c r="AE19" s="64">
        <f t="shared" ref="AE19" si="24">AF19*100/AD19</f>
        <v>34.285714285714285</v>
      </c>
      <c r="AF19" s="64">
        <f>2*$F$65</f>
        <v>1200</v>
      </c>
      <c r="AG19" s="64">
        <f>AH19*$F$57</f>
        <v>933.33333333333326</v>
      </c>
      <c r="AH19" s="65">
        <v>0.7</v>
      </c>
      <c r="AJ19" s="65">
        <v>40</v>
      </c>
      <c r="AK19" s="64">
        <f t="shared" ref="AK19" si="25">MROUND((AF19+AG19)*AJ19/(100-AJ19),100)</f>
        <v>1400</v>
      </c>
      <c r="AM19" s="71">
        <f>MROUND(AO19+AP19+AR19+AT19,500)</f>
        <v>3500</v>
      </c>
      <c r="AN19" s="64">
        <f t="shared" ref="AN19" si="26">AO19*100/AM19</f>
        <v>34.285714285714285</v>
      </c>
      <c r="AO19" s="64">
        <f>2*$F$65</f>
        <v>1200</v>
      </c>
      <c r="AP19" s="64">
        <f>AQ19*$F$57</f>
        <v>933.33333333333326</v>
      </c>
      <c r="AQ19" s="65">
        <v>0.7</v>
      </c>
      <c r="AS19" s="65">
        <v>40</v>
      </c>
      <c r="AT19" s="64">
        <f t="shared" ref="AT19" si="27">MROUND((AO19+AP19)*AS19/(100-AS19),100)</f>
        <v>1400</v>
      </c>
      <c r="AV19" s="71">
        <f>MROUND(AX19+AY19+BA19+BC19,500)</f>
        <v>4000</v>
      </c>
      <c r="AW19" s="64">
        <f t="shared" ref="AW19" si="28">AX19*100/AV19</f>
        <v>30</v>
      </c>
      <c r="AX19" s="64">
        <f>2*$F$65</f>
        <v>1200</v>
      </c>
      <c r="AY19" s="64">
        <f>AZ19*$F$57</f>
        <v>1066.6666666666667</v>
      </c>
      <c r="AZ19" s="65">
        <v>0.8</v>
      </c>
      <c r="BB19" s="65">
        <v>40</v>
      </c>
      <c r="BC19" s="64">
        <f t="shared" ref="BC19" si="29">MROUND((AX19+AY19)*BB19/(100-BB19),100)</f>
        <v>1500</v>
      </c>
    </row>
    <row r="20" spans="2:55" ht="19.5" thickBot="1" x14ac:dyDescent="0.3">
      <c r="U20" s="70"/>
      <c r="Y20" s="65"/>
      <c r="AA20" s="65"/>
      <c r="AD20" s="70"/>
      <c r="AH20" s="65"/>
      <c r="AJ20" s="65"/>
      <c r="AM20" s="70"/>
      <c r="AQ20" s="65"/>
      <c r="AS20" s="65"/>
      <c r="AV20" s="70"/>
      <c r="AZ20" s="65"/>
      <c r="BB20" s="65"/>
    </row>
    <row r="21" spans="2:55" ht="19.5" thickBot="1" x14ac:dyDescent="0.3">
      <c r="B21" s="72">
        <v>6</v>
      </c>
      <c r="D21" s="135" t="s">
        <v>198</v>
      </c>
      <c r="E21" s="136"/>
      <c r="F21" s="136"/>
      <c r="G21" s="136"/>
      <c r="H21" s="136"/>
      <c r="I21" s="136"/>
      <c r="J21" s="137"/>
      <c r="L21" s="71">
        <f>MROUND(N21+O21+Q21+S21,500)</f>
        <v>8500</v>
      </c>
      <c r="M21" s="64">
        <f t="shared" si="0"/>
        <v>28.235294117647058</v>
      </c>
      <c r="N21" s="64">
        <f>4*$F$65</f>
        <v>2400</v>
      </c>
      <c r="O21" s="64">
        <f>P21*$F$57</f>
        <v>2666.6666666666665</v>
      </c>
      <c r="P21" s="62">
        <v>2</v>
      </c>
      <c r="R21" s="75">
        <v>40</v>
      </c>
      <c r="S21" s="64">
        <f t="shared" si="1"/>
        <v>3400</v>
      </c>
      <c r="U21" s="71">
        <f>MROUND(W21+X21+Z21+AB21,500)</f>
        <v>9500</v>
      </c>
      <c r="V21" s="64">
        <f t="shared" ref="V21" si="30">W21*100/U21</f>
        <v>25.263157894736842</v>
      </c>
      <c r="W21" s="64">
        <f>4*$F$65</f>
        <v>2400</v>
      </c>
      <c r="X21" s="64">
        <f>Y21*$F$57</f>
        <v>2800</v>
      </c>
      <c r="Y21" s="65">
        <v>2.1</v>
      </c>
      <c r="AA21" s="65">
        <v>45</v>
      </c>
      <c r="AB21" s="64">
        <f t="shared" ref="AB21" si="31">MROUND((W21+X21)*AA21/(100-AA21),100)</f>
        <v>4300</v>
      </c>
      <c r="AD21" s="71">
        <f>MROUND(AF21+AG21+AI21+AK21,500)</f>
        <v>10500</v>
      </c>
      <c r="AE21" s="64">
        <f t="shared" ref="AE21" si="32">AF21*100/AD21</f>
        <v>22.857142857142858</v>
      </c>
      <c r="AF21" s="64">
        <f>4*$F$65</f>
        <v>2400</v>
      </c>
      <c r="AG21" s="64">
        <f>AH21*$F$57</f>
        <v>2933.3333333333335</v>
      </c>
      <c r="AH21" s="65">
        <v>2.2000000000000002</v>
      </c>
      <c r="AJ21" s="65">
        <v>50</v>
      </c>
      <c r="AK21" s="64">
        <f t="shared" ref="AK21" si="33">MROUND((AF21+AG21)*AJ21/(100-AJ21),100)</f>
        <v>5300</v>
      </c>
      <c r="AM21" s="71">
        <f>MROUND(AO21+AP21+AR21+AT21,500)</f>
        <v>11000</v>
      </c>
      <c r="AN21" s="64">
        <f t="shared" ref="AN21" si="34">AO21*100/AM21</f>
        <v>21.818181818181817</v>
      </c>
      <c r="AO21" s="64">
        <f>4*$F$65</f>
        <v>2400</v>
      </c>
      <c r="AP21" s="64">
        <f>AQ21*$F$57</f>
        <v>3066.6666666666661</v>
      </c>
      <c r="AQ21" s="65">
        <v>2.2999999999999998</v>
      </c>
      <c r="AS21" s="65">
        <v>50</v>
      </c>
      <c r="AT21" s="64">
        <f t="shared" ref="AT21" si="35">MROUND((AO21+AP21)*AS21/(100-AS21),100)</f>
        <v>5500</v>
      </c>
      <c r="AV21" s="71">
        <f>MROUND(AX21+AY21+BA21+BC21,500)</f>
        <v>11500</v>
      </c>
      <c r="AW21" s="64">
        <f t="shared" ref="AW21" si="36">AX21*100/AV21</f>
        <v>20.869565217391305</v>
      </c>
      <c r="AX21" s="64">
        <f>4*$F$65</f>
        <v>2400</v>
      </c>
      <c r="AY21" s="64">
        <f>AZ21*$F$57</f>
        <v>3333.333333333333</v>
      </c>
      <c r="AZ21" s="65">
        <v>2.5</v>
      </c>
      <c r="BB21" s="65">
        <v>50</v>
      </c>
      <c r="BC21" s="64">
        <f t="shared" ref="BC21" si="37">MROUND((AX21+AY21)*BB21/(100-BB21),100)</f>
        <v>5700</v>
      </c>
    </row>
    <row r="22" spans="2:55" ht="19.5" thickBot="1" x14ac:dyDescent="0.3"/>
    <row r="23" spans="2:55" ht="19.5" thickBot="1" x14ac:dyDescent="0.3">
      <c r="B23" s="113" t="s">
        <v>200</v>
      </c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  <c r="AT23" s="114"/>
      <c r="AU23" s="114"/>
      <c r="AV23" s="114"/>
      <c r="AW23" s="114"/>
      <c r="AX23" s="114"/>
      <c r="AY23" s="114"/>
      <c r="AZ23" s="114"/>
      <c r="BA23" s="114"/>
      <c r="BB23" s="114"/>
      <c r="BC23" s="115"/>
    </row>
    <row r="24" spans="2:55" ht="19.5" thickBot="1" x14ac:dyDescent="0.3"/>
    <row r="25" spans="2:55" ht="19.5" thickBot="1" x14ac:dyDescent="0.3">
      <c r="B25" s="72">
        <v>7</v>
      </c>
      <c r="D25" s="135" t="s">
        <v>193</v>
      </c>
      <c r="E25" s="136"/>
      <c r="F25" s="136"/>
      <c r="G25" s="136"/>
      <c r="H25" s="136"/>
      <c r="I25" s="136"/>
      <c r="J25" s="137"/>
      <c r="L25" s="71">
        <f>MROUND(N25+O25+Q25+S25,500)</f>
        <v>7500</v>
      </c>
      <c r="M25" s="64">
        <f>N25*100/L25</f>
        <v>16</v>
      </c>
      <c r="N25" s="64">
        <f>2*$F$65</f>
        <v>1200</v>
      </c>
      <c r="O25" s="64">
        <f>P25*$F$59</f>
        <v>1850</v>
      </c>
      <c r="P25" s="62">
        <v>1.5</v>
      </c>
      <c r="R25" s="75">
        <v>60</v>
      </c>
      <c r="S25" s="64">
        <f>MROUND((N25+O25)*R25/(100-R25),100)</f>
        <v>4600</v>
      </c>
      <c r="U25" s="71">
        <f>MROUND(W25+X25+Z25+AB25,500)</f>
        <v>8000</v>
      </c>
      <c r="V25" s="64">
        <f>W25*100/U25</f>
        <v>15</v>
      </c>
      <c r="W25" s="64">
        <f>2*$F$65</f>
        <v>1200</v>
      </c>
      <c r="X25" s="64">
        <f>Y25*$F$59</f>
        <v>1973.3333333333333</v>
      </c>
      <c r="Y25" s="65">
        <v>1.6</v>
      </c>
      <c r="AA25" s="65">
        <v>60</v>
      </c>
      <c r="AB25" s="64">
        <f>MROUND((W25+X25)*AA25/(100-AA25),100)</f>
        <v>4800</v>
      </c>
      <c r="AD25" s="71">
        <f>MROUND(AF25+AG25+AI25+AK25,500)</f>
        <v>8000</v>
      </c>
      <c r="AE25" s="64">
        <f>AF25*100/AD25</f>
        <v>15</v>
      </c>
      <c r="AF25" s="64">
        <f>2*$F$65</f>
        <v>1200</v>
      </c>
      <c r="AG25" s="64">
        <f>AH25*$F$59</f>
        <v>2096.6666666666665</v>
      </c>
      <c r="AH25" s="65">
        <v>1.7</v>
      </c>
      <c r="AJ25" s="65">
        <v>60</v>
      </c>
      <c r="AK25" s="64">
        <f>MROUND((AF25+AG25)*AJ25/(100-AJ25),100)</f>
        <v>4900</v>
      </c>
      <c r="AM25" s="71">
        <f>MROUND(AO25+AP25+AR25+AT25,500)</f>
        <v>8500</v>
      </c>
      <c r="AN25" s="64">
        <f>AO25*100/AM25</f>
        <v>14.117647058823529</v>
      </c>
      <c r="AO25" s="64">
        <f>2*$F$65</f>
        <v>1200</v>
      </c>
      <c r="AP25" s="64">
        <f>AQ25*$F$59</f>
        <v>2220</v>
      </c>
      <c r="AQ25" s="65">
        <v>1.8</v>
      </c>
      <c r="AS25" s="65">
        <v>60</v>
      </c>
      <c r="AT25" s="64">
        <f>MROUND((AO25+AP25)*AS25/(100-AS25),100)</f>
        <v>5100</v>
      </c>
      <c r="AV25" s="71">
        <f>MROUND(AX25+AY25+BA25+BC25,500)</f>
        <v>9000</v>
      </c>
      <c r="AW25" s="64">
        <f>AX25*100/AV25</f>
        <v>13.333333333333334</v>
      </c>
      <c r="AX25" s="64">
        <f>2*$F$65</f>
        <v>1200</v>
      </c>
      <c r="AY25" s="64">
        <f>AZ25*$F$59</f>
        <v>2466.6666666666665</v>
      </c>
      <c r="AZ25" s="65">
        <v>2</v>
      </c>
      <c r="BB25" s="65">
        <v>60</v>
      </c>
      <c r="BC25" s="64">
        <f>MROUND((AX25+AY25)*BB25/(100-BB25),100)</f>
        <v>5500</v>
      </c>
    </row>
    <row r="26" spans="2:55" ht="19.5" thickBot="1" x14ac:dyDescent="0.3">
      <c r="U26" s="70"/>
      <c r="Y26" s="65"/>
      <c r="AA26" s="65"/>
      <c r="AD26" s="70"/>
      <c r="AH26" s="65"/>
      <c r="AJ26" s="65"/>
      <c r="AM26" s="70"/>
      <c r="AQ26" s="65"/>
      <c r="AS26" s="65"/>
      <c r="AV26" s="70"/>
      <c r="AZ26" s="65"/>
      <c r="BB26" s="65"/>
    </row>
    <row r="27" spans="2:55" ht="19.5" thickBot="1" x14ac:dyDescent="0.3">
      <c r="B27" s="72">
        <v>8</v>
      </c>
      <c r="D27" s="135" t="s">
        <v>194</v>
      </c>
      <c r="E27" s="136"/>
      <c r="F27" s="136"/>
      <c r="G27" s="136"/>
      <c r="H27" s="136"/>
      <c r="I27" s="136"/>
      <c r="J27" s="137"/>
      <c r="L27" s="71">
        <f>MROUND(N27+O27+Q27+S27,500)</f>
        <v>7500</v>
      </c>
      <c r="M27" s="64">
        <f t="shared" ref="M27:M35" si="38">N27*100/L27</f>
        <v>8</v>
      </c>
      <c r="N27" s="64">
        <f>1*$F$65</f>
        <v>600</v>
      </c>
      <c r="O27" s="64">
        <f>P27*$F$59</f>
        <v>1233.3333333333333</v>
      </c>
      <c r="P27" s="62">
        <v>1</v>
      </c>
      <c r="Q27" s="64">
        <f>('АРМАТУРНЫЕ РАБОТЫ'!$L$23+'АРМАТУРНЫЕ РАБОТЫ'!$L$24+'АРМАТУРНЫЕ РАБОТЫ'!$L$115+'АРМАТУРНЫЕ РАБОТЫ'!$L$116)*2</f>
        <v>3000</v>
      </c>
      <c r="R27" s="75">
        <v>60</v>
      </c>
      <c r="S27" s="64">
        <f t="shared" ref="S27:S35" si="39">MROUND((N27+O27)*R27/(100-R27),100)</f>
        <v>2800</v>
      </c>
      <c r="U27" s="71">
        <f>MROUND(W27+X27+Z27+AB27,500)</f>
        <v>8500</v>
      </c>
      <c r="V27" s="64">
        <f t="shared" ref="V27" si="40">W27*100/U27</f>
        <v>7.0588235294117645</v>
      </c>
      <c r="W27" s="64">
        <f>1*$F$65</f>
        <v>600</v>
      </c>
      <c r="X27" s="64">
        <f>Y27*$F$59</f>
        <v>1603.3333333333333</v>
      </c>
      <c r="Y27" s="65">
        <v>1.3</v>
      </c>
      <c r="Z27" s="64">
        <f>('АРМАТУРНЫЕ РАБОТЫ'!$R$23+'АРМАТУРНЫЕ РАБОТЫ'!$R$24+'АРМАТУРНЫЕ РАБОТЫ'!$R$115+'АРМАТУРНЫЕ РАБОТЫ'!$R$116)*2</f>
        <v>3000</v>
      </c>
      <c r="AA27" s="65">
        <v>60</v>
      </c>
      <c r="AB27" s="64">
        <f t="shared" ref="AB27" si="41">MROUND((W27+X27)*AA27/(100-AA27),100)</f>
        <v>3300</v>
      </c>
      <c r="AD27" s="71">
        <f>MROUND(AF27+AG27+AI27+AK27,500)</f>
        <v>9500</v>
      </c>
      <c r="AE27" s="64">
        <f t="shared" ref="AE27" si="42">AF27*100/AD27</f>
        <v>6.3157894736842106</v>
      </c>
      <c r="AF27" s="64">
        <f>1*$F$65</f>
        <v>600</v>
      </c>
      <c r="AG27" s="64">
        <f>AH27*$F$59</f>
        <v>1726.6666666666665</v>
      </c>
      <c r="AH27" s="65">
        <v>1.4</v>
      </c>
      <c r="AI27" s="64">
        <f>2*('АРМАТУРНЫЕ РАБОТЫ'!$X$23+'АРМАТУРНЫЕ РАБОТЫ'!$X$24+'АРМАТУРНЫЕ РАБОТЫ'!$X$115+'АРМАТУРНЫЕ РАБОТЫ'!$X$116)</f>
        <v>3800</v>
      </c>
      <c r="AJ27" s="65">
        <v>60</v>
      </c>
      <c r="AK27" s="64">
        <f t="shared" ref="AK27" si="43">MROUND((AF27+AG27)*AJ27/(100-AJ27),100)</f>
        <v>3500</v>
      </c>
      <c r="AM27" s="71">
        <f>MROUND(AO27+AP27+AR27+AT27,500)</f>
        <v>12000</v>
      </c>
      <c r="AN27" s="64">
        <f t="shared" ref="AN27" si="44">AO27*100/AM27</f>
        <v>5</v>
      </c>
      <c r="AO27" s="64">
        <f>1*$F$65</f>
        <v>600</v>
      </c>
      <c r="AP27" s="64">
        <f>AQ27*$F$59</f>
        <v>1850</v>
      </c>
      <c r="AQ27" s="65">
        <v>1.5</v>
      </c>
      <c r="AR27" s="64">
        <f>2*('АРМАТУРНЫЕ РАБОТЫ'!$AD$23+'АРМАТУРНЫЕ РАБОТЫ'!$AD$24+'АРМАТУРНЫЕ РАБОТЫ'!$AD$115+'АРМАТУРНЫЕ РАБОТЫ'!$AD$116)</f>
        <v>6000</v>
      </c>
      <c r="AS27" s="65">
        <v>60</v>
      </c>
      <c r="AT27" s="64">
        <f t="shared" ref="AT27" si="45">MROUND((AO27+AP27)*AS27/(100-AS27),100)</f>
        <v>3700</v>
      </c>
      <c r="AV27" s="71">
        <f>MROUND(AX27+AY27+BA27+BC27,500)</f>
        <v>13000</v>
      </c>
      <c r="AW27" s="64">
        <f t="shared" ref="AW27" si="46">AX27*100/AV27</f>
        <v>4.615384615384615</v>
      </c>
      <c r="AX27" s="64">
        <f>1*$F$65</f>
        <v>600</v>
      </c>
      <c r="AY27" s="64">
        <f>AZ27*$F$59</f>
        <v>1850</v>
      </c>
      <c r="AZ27" s="65">
        <v>1.5</v>
      </c>
      <c r="BA27" s="64">
        <f>2*('АРМАТУРНЫЕ РАБОТЫ'!$AJ$23+'АРМАТУРНЫЕ РАБОТЫ'!$AJ$24+'АРМАТУРНЫЕ РАБОТЫ'!$AJ$115+'АРМАТУРНЫЕ РАБОТЫ'!$AJ$116)</f>
        <v>7000</v>
      </c>
      <c r="BB27" s="65">
        <v>60</v>
      </c>
      <c r="BC27" s="64">
        <f t="shared" ref="BC27" si="47">MROUND((AX27+AY27)*BB27/(100-BB27),100)</f>
        <v>3700</v>
      </c>
    </row>
    <row r="28" spans="2:55" ht="19.5" thickBot="1" x14ac:dyDescent="0.3">
      <c r="U28" s="70"/>
      <c r="Y28" s="65"/>
      <c r="AA28" s="65"/>
      <c r="AD28" s="70"/>
      <c r="AH28" s="65"/>
      <c r="AJ28" s="65"/>
      <c r="AM28" s="70"/>
      <c r="AQ28" s="65"/>
      <c r="AS28" s="65"/>
      <c r="AV28" s="70"/>
      <c r="AZ28" s="65"/>
      <c r="BB28" s="65"/>
    </row>
    <row r="29" spans="2:55" ht="19.5" thickBot="1" x14ac:dyDescent="0.3">
      <c r="B29" s="72">
        <v>9</v>
      </c>
      <c r="D29" s="135" t="s">
        <v>195</v>
      </c>
      <c r="E29" s="136"/>
      <c r="F29" s="136"/>
      <c r="G29" s="136"/>
      <c r="H29" s="136"/>
      <c r="I29" s="136"/>
      <c r="J29" s="137"/>
      <c r="L29" s="71">
        <f>MROUND(N29+O29+Q29+S29,500)</f>
        <v>13500</v>
      </c>
      <c r="M29" s="64">
        <f t="shared" si="38"/>
        <v>13.333333333333334</v>
      </c>
      <c r="N29" s="64">
        <f>3*$F$65</f>
        <v>1800</v>
      </c>
      <c r="O29" s="64">
        <f>P29*$F$59</f>
        <v>2466.6666666666665</v>
      </c>
      <c r="P29" s="62">
        <v>2</v>
      </c>
      <c r="Q29" s="64">
        <f>('АРМАТУРНЫЕ РАБОТЫ'!$L$23+'АРМАТУРНЫЕ РАБОТЫ'!$L$24+'АРМАТУРНЫЕ РАБОТЫ'!$L$115+'АРМАТУРНЫЕ РАБОТЫ'!$L$116)*2</f>
        <v>3000</v>
      </c>
      <c r="R29" s="75">
        <v>60</v>
      </c>
      <c r="S29" s="64">
        <f>MROUND((N29+O29)*R29/(100-R29),100)</f>
        <v>6400</v>
      </c>
      <c r="U29" s="71">
        <f>MROUND(W29+X29+Z29+AB29,500)</f>
        <v>14000</v>
      </c>
      <c r="V29" s="64">
        <f t="shared" ref="V29" si="48">W29*100/U29</f>
        <v>12.857142857142858</v>
      </c>
      <c r="W29" s="64">
        <f>3*$F$65</f>
        <v>1800</v>
      </c>
      <c r="X29" s="64">
        <f>Y29*$F$59</f>
        <v>2590</v>
      </c>
      <c r="Y29" s="65">
        <v>2.1</v>
      </c>
      <c r="Z29" s="64">
        <f>('АРМАТУРНЫЕ РАБОТЫ'!$R$23+'АРМАТУРНЫЕ РАБОТЫ'!$R$24+'АРМАТУРНЫЕ РАБОТЫ'!$R$115+'АРМАТУРНЫЕ РАБОТЫ'!$R$116)*2</f>
        <v>3000</v>
      </c>
      <c r="AA29" s="65">
        <v>60</v>
      </c>
      <c r="AB29" s="64">
        <f>MROUND((W29+X29)*AA29/(100-AA29),100)</f>
        <v>6600</v>
      </c>
      <c r="AD29" s="71">
        <f>MROUND(AF29+AG29+AI29+AK29,500)</f>
        <v>15000</v>
      </c>
      <c r="AE29" s="64">
        <f t="shared" ref="AE29" si="49">AF29*100/AD29</f>
        <v>12</v>
      </c>
      <c r="AF29" s="64">
        <f>3*$F$65</f>
        <v>1800</v>
      </c>
      <c r="AG29" s="64">
        <f>AH29*$F$59</f>
        <v>2713.3333333333335</v>
      </c>
      <c r="AH29" s="65">
        <v>2.2000000000000002</v>
      </c>
      <c r="AI29" s="64">
        <f>2*('АРМАТУРНЫЕ РАБОТЫ'!$X$23+'АРМАТУРНЫЕ РАБОТЫ'!$X$24+'АРМАТУРНЫЕ РАБОТЫ'!$X$115+'АРМАТУРНЫЕ РАБОТЫ'!$X$116)</f>
        <v>3800</v>
      </c>
      <c r="AJ29" s="65">
        <v>60</v>
      </c>
      <c r="AK29" s="64">
        <f>MROUND((AF29+AG29)*AJ29/(100-AJ29),100)</f>
        <v>6800</v>
      </c>
      <c r="AM29" s="71">
        <f>MROUND(AO29+AP29+AR29+AT29,500)</f>
        <v>17500</v>
      </c>
      <c r="AN29" s="64">
        <f t="shared" ref="AN29" si="50">AO29*100/AM29</f>
        <v>10.285714285714286</v>
      </c>
      <c r="AO29" s="64">
        <f>3*$F$65</f>
        <v>1800</v>
      </c>
      <c r="AP29" s="64">
        <f>AQ29*$F$59</f>
        <v>2836.6666666666661</v>
      </c>
      <c r="AQ29" s="65">
        <v>2.2999999999999998</v>
      </c>
      <c r="AR29" s="64">
        <f>2*('АРМАТУРНЫЕ РАБОТЫ'!$AD$23+'АРМАТУРНЫЕ РАБОТЫ'!$AD$24+'АРМАТУРНЫЕ РАБОТЫ'!$AD$115+'АРМАТУРНЫЕ РАБОТЫ'!$AD$116)</f>
        <v>6000</v>
      </c>
      <c r="AS29" s="65">
        <v>60</v>
      </c>
      <c r="AT29" s="64">
        <f>MROUND((AO29+AP29)*AS29/(100-AS29),100)</f>
        <v>7000</v>
      </c>
      <c r="AV29" s="71">
        <f>MROUND(AX29+AY29+BA29+BC29,500)</f>
        <v>19000</v>
      </c>
      <c r="AW29" s="64">
        <f t="shared" ref="AW29" si="51">AX29*100/AV29</f>
        <v>9.473684210526315</v>
      </c>
      <c r="AX29" s="64">
        <f>3*$F$65</f>
        <v>1800</v>
      </c>
      <c r="AY29" s="64">
        <f>AZ29*$F$59</f>
        <v>3083.333333333333</v>
      </c>
      <c r="AZ29" s="65">
        <v>2.5</v>
      </c>
      <c r="BA29" s="64">
        <f>2*('АРМАТУРНЫЕ РАБОТЫ'!$AJ$23+'АРМАТУРНЫЕ РАБОТЫ'!$AJ$24+'АРМАТУРНЫЕ РАБОТЫ'!$AJ$115+'АРМАТУРНЫЕ РАБОТЫ'!$AJ$116)</f>
        <v>7000</v>
      </c>
      <c r="BB29" s="65">
        <v>60</v>
      </c>
      <c r="BC29" s="64">
        <f>MROUND((AX29+AY29)*BB29/(100-BB29),100)</f>
        <v>7300</v>
      </c>
    </row>
    <row r="30" spans="2:55" ht="19.5" thickBot="1" x14ac:dyDescent="0.3">
      <c r="U30" s="70"/>
      <c r="Y30" s="65"/>
      <c r="AA30" s="65"/>
      <c r="AD30" s="70"/>
      <c r="AH30" s="65"/>
      <c r="AJ30" s="65"/>
      <c r="AM30" s="70"/>
      <c r="AQ30" s="65"/>
      <c r="AS30" s="65"/>
      <c r="AV30" s="70"/>
      <c r="AZ30" s="65"/>
      <c r="BB30" s="65"/>
    </row>
    <row r="31" spans="2:55" ht="19.5" thickBot="1" x14ac:dyDescent="0.3">
      <c r="B31" s="72">
        <v>10</v>
      </c>
      <c r="D31" s="135" t="s">
        <v>196</v>
      </c>
      <c r="E31" s="136"/>
      <c r="F31" s="136"/>
      <c r="G31" s="136"/>
      <c r="H31" s="136"/>
      <c r="I31" s="136"/>
      <c r="J31" s="137"/>
      <c r="L31" s="71">
        <f>MROUND(N31+O31+Q31+S31,500)</f>
        <v>15000</v>
      </c>
      <c r="M31" s="64">
        <f t="shared" si="38"/>
        <v>16</v>
      </c>
      <c r="N31" s="64">
        <f>4*$F$65</f>
        <v>2400</v>
      </c>
      <c r="O31" s="64">
        <f>P31*$F$59</f>
        <v>2466.6666666666665</v>
      </c>
      <c r="P31" s="62">
        <v>2</v>
      </c>
      <c r="Q31" s="64">
        <f>('АРМАТУРНЫЕ РАБОТЫ'!$L$23+'АРМАТУРНЫЕ РАБОТЫ'!$L$24+'АРМАТУРНЫЕ РАБОТЫ'!$L$115+'АРМАТУРНЫЕ РАБОТЫ'!$L$116)*2</f>
        <v>3000</v>
      </c>
      <c r="R31" s="75">
        <v>60</v>
      </c>
      <c r="S31" s="64">
        <f t="shared" si="39"/>
        <v>7300</v>
      </c>
      <c r="U31" s="71">
        <f>MROUND(W31+X31+Z31+AB31,500)</f>
        <v>15500</v>
      </c>
      <c r="V31" s="64">
        <f t="shared" ref="V31" si="52">W31*100/U31</f>
        <v>15.483870967741936</v>
      </c>
      <c r="W31" s="64">
        <f>4*$F$65</f>
        <v>2400</v>
      </c>
      <c r="X31" s="64">
        <f>Y31*$F$59</f>
        <v>2590</v>
      </c>
      <c r="Y31" s="65">
        <v>2.1</v>
      </c>
      <c r="Z31" s="64">
        <f>('АРМАТУРНЫЕ РАБОТЫ'!$R$23+'АРМАТУРНЫЕ РАБОТЫ'!$R$24+'АРМАТУРНЫЕ РАБОТЫ'!$R$115+'АРМАТУРНЫЕ РАБОТЫ'!$R$116)*2</f>
        <v>3000</v>
      </c>
      <c r="AA31" s="65">
        <v>60</v>
      </c>
      <c r="AB31" s="64">
        <f t="shared" ref="AB31" si="53">MROUND((W31+X31)*AA31/(100-AA31),100)</f>
        <v>7500</v>
      </c>
      <c r="AD31" s="71">
        <f>MROUND(AF31+AG31+AI31+AK31,500)</f>
        <v>16500</v>
      </c>
      <c r="AE31" s="64">
        <f t="shared" ref="AE31" si="54">AF31*100/AD31</f>
        <v>14.545454545454545</v>
      </c>
      <c r="AF31" s="64">
        <f>4*$F$65</f>
        <v>2400</v>
      </c>
      <c r="AG31" s="64">
        <f>AH31*$F$59</f>
        <v>2713.3333333333335</v>
      </c>
      <c r="AH31" s="65">
        <v>2.2000000000000002</v>
      </c>
      <c r="AI31" s="64">
        <f>2*('АРМАТУРНЫЕ РАБОТЫ'!$X$23+'АРМАТУРНЫЕ РАБОТЫ'!$X$24+'АРМАТУРНЫЕ РАБОТЫ'!$X$115+'АРМАТУРНЫЕ РАБОТЫ'!$X$116)</f>
        <v>3800</v>
      </c>
      <c r="AJ31" s="65">
        <v>60</v>
      </c>
      <c r="AK31" s="64">
        <f t="shared" ref="AK31" si="55">MROUND((AF31+AG31)*AJ31/(100-AJ31),100)</f>
        <v>7700</v>
      </c>
      <c r="AM31" s="71">
        <f>MROUND(AO31+AP31+AR31+AT31,500)</f>
        <v>19000</v>
      </c>
      <c r="AN31" s="64">
        <f t="shared" ref="AN31" si="56">AO31*100/AM31</f>
        <v>12.631578947368421</v>
      </c>
      <c r="AO31" s="64">
        <f>4*$F$65</f>
        <v>2400</v>
      </c>
      <c r="AP31" s="64">
        <f>AQ31*$F$59</f>
        <v>2836.6666666666661</v>
      </c>
      <c r="AQ31" s="65">
        <v>2.2999999999999998</v>
      </c>
      <c r="AR31" s="64">
        <f>2*('АРМАТУРНЫЕ РАБОТЫ'!$AD$23+'АРМАТУРНЫЕ РАБОТЫ'!$AD$24+'АРМАТУРНЫЕ РАБОТЫ'!$AD$115+'АРМАТУРНЫЕ РАБОТЫ'!$AD$116)</f>
        <v>6000</v>
      </c>
      <c r="AS31" s="65">
        <v>60</v>
      </c>
      <c r="AT31" s="64">
        <f t="shared" ref="AT31" si="57">MROUND((AO31+AP31)*AS31/(100-AS31),100)</f>
        <v>7900</v>
      </c>
      <c r="AV31" s="71">
        <f>MROUND(AX31+AY31+BA31+BC31,500)</f>
        <v>20500</v>
      </c>
      <c r="AW31" s="64">
        <f t="shared" ref="AW31" si="58">AX31*100/AV31</f>
        <v>11.707317073170731</v>
      </c>
      <c r="AX31" s="64">
        <f>4*$F$65</f>
        <v>2400</v>
      </c>
      <c r="AY31" s="64">
        <f>AZ31*$F$59</f>
        <v>3083.333333333333</v>
      </c>
      <c r="AZ31" s="65">
        <v>2.5</v>
      </c>
      <c r="BA31" s="64">
        <f>2*('АРМАТУРНЫЕ РАБОТЫ'!$AJ$23+'АРМАТУРНЫЕ РАБОТЫ'!$AJ$24+'АРМАТУРНЫЕ РАБОТЫ'!$AJ$115+'АРМАТУРНЫЕ РАБОТЫ'!$AJ$116)</f>
        <v>7000</v>
      </c>
      <c r="BB31" s="65">
        <v>60</v>
      </c>
      <c r="BC31" s="64">
        <f t="shared" ref="BC31" si="59">MROUND((AX31+AY31)*BB31/(100-BB31),100)</f>
        <v>8200</v>
      </c>
    </row>
    <row r="32" spans="2:55" ht="19.5" thickBot="1" x14ac:dyDescent="0.3">
      <c r="U32" s="70"/>
      <c r="Y32" s="65"/>
      <c r="AA32" s="65"/>
      <c r="AD32" s="70"/>
      <c r="AH32" s="65"/>
      <c r="AJ32" s="65"/>
      <c r="AM32" s="70"/>
      <c r="AQ32" s="65"/>
      <c r="AS32" s="65"/>
      <c r="AV32" s="70"/>
      <c r="AZ32" s="65"/>
      <c r="BB32" s="65"/>
    </row>
    <row r="33" spans="2:55" ht="19.5" thickBot="1" x14ac:dyDescent="0.3">
      <c r="B33" s="72">
        <v>11</v>
      </c>
      <c r="D33" s="135" t="s">
        <v>197</v>
      </c>
      <c r="E33" s="136"/>
      <c r="F33" s="136"/>
      <c r="G33" s="136"/>
      <c r="H33" s="136"/>
      <c r="I33" s="136"/>
      <c r="J33" s="137"/>
      <c r="L33" s="71">
        <f>MROUND(N33+O33+Q33+S33,500)</f>
        <v>4500</v>
      </c>
      <c r="M33" s="64">
        <f t="shared" si="38"/>
        <v>26.666666666666668</v>
      </c>
      <c r="N33" s="64">
        <f>2*$F$65</f>
        <v>1200</v>
      </c>
      <c r="O33" s="64">
        <f>P33*$F$59</f>
        <v>616.66666666666663</v>
      </c>
      <c r="P33" s="62">
        <v>0.5</v>
      </c>
      <c r="R33" s="75">
        <v>60</v>
      </c>
      <c r="S33" s="64">
        <f t="shared" si="39"/>
        <v>2700</v>
      </c>
      <c r="U33" s="71">
        <f>MROUND(W33+X33+Z33+AB33,500)</f>
        <v>5000</v>
      </c>
      <c r="V33" s="64">
        <f t="shared" ref="V33" si="60">W33*100/U33</f>
        <v>24</v>
      </c>
      <c r="W33" s="64">
        <f>2*$F$65</f>
        <v>1200</v>
      </c>
      <c r="X33" s="64">
        <f>Y33*$F$59</f>
        <v>739.99999999999989</v>
      </c>
      <c r="Y33" s="65">
        <v>0.6</v>
      </c>
      <c r="AA33" s="65">
        <v>60</v>
      </c>
      <c r="AB33" s="64">
        <f t="shared" ref="AB33" si="61">MROUND((W33+X33)*AA33/(100-AA33),100)</f>
        <v>2900</v>
      </c>
      <c r="AD33" s="71">
        <f>MROUND(AF33+AG33+AI33+AK33,500)</f>
        <v>5000</v>
      </c>
      <c r="AE33" s="64">
        <f t="shared" ref="AE33" si="62">AF33*100/AD33</f>
        <v>24</v>
      </c>
      <c r="AF33" s="64">
        <f>2*$F$65</f>
        <v>1200</v>
      </c>
      <c r="AG33" s="64">
        <f>AH33*$F$59</f>
        <v>863.33333333333326</v>
      </c>
      <c r="AH33" s="65">
        <v>0.7</v>
      </c>
      <c r="AJ33" s="65">
        <v>60</v>
      </c>
      <c r="AK33" s="64">
        <f t="shared" ref="AK33" si="63">MROUND((AF33+AG33)*AJ33/(100-AJ33),100)</f>
        <v>3100</v>
      </c>
      <c r="AM33" s="71">
        <f>MROUND(AO33+AP33+AR33+AT33,500)</f>
        <v>5000</v>
      </c>
      <c r="AN33" s="64">
        <f t="shared" ref="AN33" si="64">AO33*100/AM33</f>
        <v>24</v>
      </c>
      <c r="AO33" s="64">
        <f>2*$F$65</f>
        <v>1200</v>
      </c>
      <c r="AP33" s="64">
        <f>AQ33*$F$59</f>
        <v>863.33333333333326</v>
      </c>
      <c r="AQ33" s="65">
        <v>0.7</v>
      </c>
      <c r="AS33" s="65">
        <v>60</v>
      </c>
      <c r="AT33" s="64">
        <f t="shared" ref="AT33" si="65">MROUND((AO33+AP33)*AS33/(100-AS33),100)</f>
        <v>3100</v>
      </c>
      <c r="AV33" s="71">
        <f>MROUND(AX33+AY33+BA33+BC33,500)</f>
        <v>5500</v>
      </c>
      <c r="AW33" s="64">
        <f t="shared" ref="AW33" si="66">AX33*100/AV33</f>
        <v>21.818181818181817</v>
      </c>
      <c r="AX33" s="64">
        <f>2*$F$65</f>
        <v>1200</v>
      </c>
      <c r="AY33" s="64">
        <f>AZ33*$F$59</f>
        <v>986.66666666666663</v>
      </c>
      <c r="AZ33" s="65">
        <v>0.8</v>
      </c>
      <c r="BB33" s="65">
        <v>60</v>
      </c>
      <c r="BC33" s="64">
        <f t="shared" ref="BC33" si="67">MROUND((AX33+AY33)*BB33/(100-BB33),100)</f>
        <v>3300</v>
      </c>
    </row>
    <row r="34" spans="2:55" ht="19.5" thickBot="1" x14ac:dyDescent="0.3">
      <c r="U34" s="70"/>
      <c r="Y34" s="65"/>
      <c r="AA34" s="65"/>
      <c r="AD34" s="70"/>
      <c r="AH34" s="65"/>
      <c r="AJ34" s="65"/>
      <c r="AM34" s="70"/>
      <c r="AQ34" s="65"/>
      <c r="AS34" s="65"/>
      <c r="AV34" s="70"/>
      <c r="AZ34" s="65"/>
      <c r="BB34" s="65"/>
    </row>
    <row r="35" spans="2:55" ht="19.5" thickBot="1" x14ac:dyDescent="0.3">
      <c r="B35" s="72">
        <v>12</v>
      </c>
      <c r="D35" s="135" t="s">
        <v>198</v>
      </c>
      <c r="E35" s="136"/>
      <c r="F35" s="136"/>
      <c r="G35" s="136"/>
      <c r="H35" s="136"/>
      <c r="I35" s="136"/>
      <c r="J35" s="137"/>
      <c r="L35" s="71">
        <f>MROUND(N35+O35+Q35+S35,500)</f>
        <v>12000</v>
      </c>
      <c r="M35" s="64">
        <f t="shared" si="38"/>
        <v>20</v>
      </c>
      <c r="N35" s="64">
        <f>4*$F$65</f>
        <v>2400</v>
      </c>
      <c r="O35" s="64">
        <f>P35*$F$59</f>
        <v>2466.6666666666665</v>
      </c>
      <c r="P35" s="62">
        <v>2</v>
      </c>
      <c r="R35" s="75">
        <v>60</v>
      </c>
      <c r="S35" s="64">
        <f t="shared" si="39"/>
        <v>7300</v>
      </c>
      <c r="U35" s="71">
        <f>MROUND(W35+X35+Z35+AB35,500)</f>
        <v>12500</v>
      </c>
      <c r="V35" s="64">
        <f t="shared" ref="V35" si="68">W35*100/U35</f>
        <v>19.2</v>
      </c>
      <c r="W35" s="64">
        <f>4*$F$65</f>
        <v>2400</v>
      </c>
      <c r="X35" s="64">
        <f>Y35*$F$59</f>
        <v>2590</v>
      </c>
      <c r="Y35" s="65">
        <v>2.1</v>
      </c>
      <c r="AA35" s="65">
        <v>60</v>
      </c>
      <c r="AB35" s="64">
        <f t="shared" ref="AB35" si="69">MROUND((W35+X35)*AA35/(100-AA35),100)</f>
        <v>7500</v>
      </c>
      <c r="AD35" s="71">
        <f>MROUND(AF35+AG35+AI35+AK35,500)</f>
        <v>13000</v>
      </c>
      <c r="AE35" s="64">
        <f t="shared" ref="AE35" si="70">AF35*100/AD35</f>
        <v>18.46153846153846</v>
      </c>
      <c r="AF35" s="64">
        <f>4*$F$65</f>
        <v>2400</v>
      </c>
      <c r="AG35" s="64">
        <f>AH35*$F$59</f>
        <v>2713.3333333333335</v>
      </c>
      <c r="AH35" s="65">
        <v>2.2000000000000002</v>
      </c>
      <c r="AJ35" s="65">
        <v>60</v>
      </c>
      <c r="AK35" s="64">
        <f t="shared" ref="AK35" si="71">MROUND((AF35+AG35)*AJ35/(100-AJ35),100)</f>
        <v>7700</v>
      </c>
      <c r="AM35" s="71">
        <f>MROUND(AO35+AP35+AR35+AT35,500)</f>
        <v>13000</v>
      </c>
      <c r="AN35" s="64">
        <f t="shared" ref="AN35" si="72">AO35*100/AM35</f>
        <v>18.46153846153846</v>
      </c>
      <c r="AO35" s="64">
        <f>4*$F$65</f>
        <v>2400</v>
      </c>
      <c r="AP35" s="64">
        <f>AQ35*$F$59</f>
        <v>2836.6666666666661</v>
      </c>
      <c r="AQ35" s="65">
        <v>2.2999999999999998</v>
      </c>
      <c r="AS35" s="65">
        <v>60</v>
      </c>
      <c r="AT35" s="64">
        <f t="shared" ref="AT35" si="73">MROUND((AO35+AP35)*AS35/(100-AS35),100)</f>
        <v>7900</v>
      </c>
      <c r="AV35" s="71">
        <f>MROUND(AX35+AY35+BA35+BC35,500)</f>
        <v>13500</v>
      </c>
      <c r="AW35" s="64">
        <f t="shared" ref="AW35" si="74">AX35*100/AV35</f>
        <v>17.777777777777779</v>
      </c>
      <c r="AX35" s="64">
        <f>4*$F$65</f>
        <v>2400</v>
      </c>
      <c r="AY35" s="64">
        <f>AZ35*$F$59</f>
        <v>3083.333333333333</v>
      </c>
      <c r="AZ35" s="65">
        <v>2.5</v>
      </c>
      <c r="BB35" s="65">
        <v>60</v>
      </c>
      <c r="BC35" s="64">
        <f t="shared" ref="BC35" si="75">MROUND((AX35+AY35)*BB35/(100-BB35),100)</f>
        <v>8200</v>
      </c>
    </row>
    <row r="36" spans="2:55" ht="19.5" thickBot="1" x14ac:dyDescent="0.3"/>
    <row r="37" spans="2:55" ht="19.5" thickBot="1" x14ac:dyDescent="0.3">
      <c r="B37" s="113" t="s">
        <v>204</v>
      </c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  <c r="AJ37" s="114"/>
      <c r="AK37" s="114"/>
      <c r="AL37" s="114"/>
      <c r="AM37" s="114"/>
      <c r="AN37" s="114"/>
      <c r="AO37" s="114"/>
      <c r="AP37" s="114"/>
      <c r="AQ37" s="114"/>
      <c r="AR37" s="114"/>
      <c r="AS37" s="114"/>
      <c r="AT37" s="114"/>
      <c r="AU37" s="114"/>
      <c r="AV37" s="114"/>
      <c r="AW37" s="114"/>
      <c r="AX37" s="114"/>
      <c r="AY37" s="114"/>
      <c r="AZ37" s="114"/>
      <c r="BA37" s="114"/>
      <c r="BB37" s="114"/>
      <c r="BC37" s="115"/>
    </row>
    <row r="38" spans="2:55" ht="19.5" thickBot="1" x14ac:dyDescent="0.3"/>
    <row r="39" spans="2:55" ht="19.5" thickBot="1" x14ac:dyDescent="0.3">
      <c r="B39" s="72">
        <v>13</v>
      </c>
      <c r="D39" s="135" t="s">
        <v>193</v>
      </c>
      <c r="E39" s="136"/>
      <c r="F39" s="136"/>
      <c r="G39" s="136"/>
      <c r="H39" s="136"/>
      <c r="I39" s="136"/>
      <c r="J39" s="137"/>
      <c r="L39" s="71">
        <f>MROUND(O39*100/45,500)+Q39</f>
        <v>29000</v>
      </c>
      <c r="M39" s="64">
        <v>40</v>
      </c>
      <c r="N39" s="68">
        <f>(L39-Q39-O39)/100*M39</f>
        <v>6160</v>
      </c>
      <c r="O39" s="64">
        <f>P39*$F$61</f>
        <v>12600</v>
      </c>
      <c r="P39" s="62">
        <v>1.5</v>
      </c>
      <c r="Q39" s="64">
        <f>('АРМАТУРНЫЕ РАБОТЫ'!L90+'АРМАТУРНЫЕ РАБОТЫ'!L91)*2</f>
        <v>1000</v>
      </c>
      <c r="R39" s="75">
        <f>(L39-(N39+O39))/L39*100</f>
        <v>35.310344827586206</v>
      </c>
      <c r="S39" s="68">
        <f>L39-Q39-N39-O39</f>
        <v>9240</v>
      </c>
      <c r="U39" s="71">
        <f>MROUND(X39*100/45,500)+Z39</f>
        <v>31000</v>
      </c>
      <c r="V39" s="64">
        <v>40</v>
      </c>
      <c r="W39" s="68">
        <f>(U39-Z39-X39)/100*V39</f>
        <v>6624</v>
      </c>
      <c r="X39" s="64">
        <f>Y39*$F$61</f>
        <v>13440</v>
      </c>
      <c r="Y39" s="65">
        <v>1.6</v>
      </c>
      <c r="Z39" s="64">
        <f>('АРМАТУРНЫЕ РАБОТЫ'!$R$90+'АРМАТУРНЫЕ РАБОТЫ'!$R$91)*2</f>
        <v>1000</v>
      </c>
      <c r="AA39" s="75">
        <f>(U39-(W39+X39))/U39*100</f>
        <v>35.277419354838706</v>
      </c>
      <c r="AB39" s="68">
        <f>U39-Z39-W39-X39</f>
        <v>9936</v>
      </c>
      <c r="AD39" s="71">
        <f>MROUND(AG39*100/45,500)+AI39</f>
        <v>32500</v>
      </c>
      <c r="AE39" s="64">
        <v>40</v>
      </c>
      <c r="AF39" s="68">
        <f>(AD39-AI39-AG39)/100*AE39</f>
        <v>6888</v>
      </c>
      <c r="AG39" s="64">
        <f>AH39*$F$61</f>
        <v>14280</v>
      </c>
      <c r="AH39" s="65">
        <v>1.7</v>
      </c>
      <c r="AI39" s="64">
        <f>2*('АРМАТУРНЫЕ РАБОТЫ'!$X$90+'АРМАТУРНЫЕ РАБОТЫ'!$X$91)</f>
        <v>1000</v>
      </c>
      <c r="AJ39" s="75">
        <f>(AD39-(AF39+AG39))/AD39*100</f>
        <v>34.867692307692302</v>
      </c>
      <c r="AK39" s="68">
        <f>AD39-AI39-AF39-AG39</f>
        <v>10332</v>
      </c>
      <c r="AM39" s="71">
        <f>MROUND(AP39*100/45,500)+AR39</f>
        <v>35500</v>
      </c>
      <c r="AN39" s="64">
        <v>40</v>
      </c>
      <c r="AO39" s="68">
        <f>(AM39-AR39-AP39)/100*AN39</f>
        <v>7352</v>
      </c>
      <c r="AP39" s="64">
        <f>AQ39*$F$61</f>
        <v>15120</v>
      </c>
      <c r="AQ39" s="65">
        <v>1.8</v>
      </c>
      <c r="AR39" s="64">
        <f>2*('АРМАТУРНЫЕ РАБОТЫ'!$AD$90+'АРМАТУРНЫЕ РАБОТЫ'!$AD$91)</f>
        <v>2000</v>
      </c>
      <c r="AS39" s="75">
        <f>(AM39-(AO39+AP39))/AM39*100</f>
        <v>36.69859154929577</v>
      </c>
      <c r="AT39" s="68">
        <f>AM39-AR39-AO39-AP39</f>
        <v>11028</v>
      </c>
      <c r="AV39" s="71">
        <f>MROUND(AY39*100/45,500)+BA39</f>
        <v>36500</v>
      </c>
      <c r="AW39" s="64">
        <v>40</v>
      </c>
      <c r="AX39" s="68">
        <f>(AV39-BA39-AY39)/100*AW39</f>
        <v>7352</v>
      </c>
      <c r="AY39" s="64">
        <f>AZ39*$F$61</f>
        <v>15120</v>
      </c>
      <c r="AZ39" s="65">
        <v>1.8</v>
      </c>
      <c r="BA39" s="64">
        <f>2*('АРМАТУРНЫЕ РАБОТЫ'!$AJ$90+'АРМАТУРНЫЕ РАБОТЫ'!$AJ$91)</f>
        <v>3000</v>
      </c>
      <c r="BB39" s="75">
        <f>(AV39-(AX39+AY39))/AV39*100</f>
        <v>38.43287671232877</v>
      </c>
      <c r="BC39" s="68">
        <f>AV39-BA39-AX39-AY39</f>
        <v>11028</v>
      </c>
    </row>
    <row r="40" spans="2:55" ht="19.5" thickBot="1" x14ac:dyDescent="0.3"/>
    <row r="41" spans="2:55" ht="19.5" thickBot="1" x14ac:dyDescent="0.3">
      <c r="B41" s="113" t="s">
        <v>205</v>
      </c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  <c r="AX41" s="114"/>
      <c r="AY41" s="114"/>
      <c r="AZ41" s="114"/>
      <c r="BA41" s="114"/>
      <c r="BB41" s="114"/>
      <c r="BC41" s="115"/>
    </row>
    <row r="42" spans="2:55" ht="19.5" thickBot="1" x14ac:dyDescent="0.3"/>
    <row r="43" spans="2:55" ht="19.5" thickBot="1" x14ac:dyDescent="0.3">
      <c r="B43" s="72">
        <v>14</v>
      </c>
      <c r="D43" s="135" t="s">
        <v>197</v>
      </c>
      <c r="E43" s="136"/>
      <c r="F43" s="136"/>
      <c r="G43" s="136"/>
      <c r="H43" s="136"/>
      <c r="I43" s="136"/>
      <c r="J43" s="137"/>
      <c r="L43" s="71">
        <f>MROUND(N43+O43+Q43+S43,500)</f>
        <v>8000</v>
      </c>
      <c r="M43" s="64">
        <f t="shared" ref="M43" si="76">N43*100/L43</f>
        <v>15</v>
      </c>
      <c r="N43" s="64">
        <f>2*$F$65</f>
        <v>1200</v>
      </c>
      <c r="O43" s="64">
        <f>P43*$F$63</f>
        <v>2800</v>
      </c>
      <c r="P43" s="62">
        <v>0.5</v>
      </c>
      <c r="R43" s="75">
        <v>50</v>
      </c>
      <c r="S43" s="64">
        <f t="shared" ref="S43" si="77">MROUND((N43+O43)*R43/(100-R43),100)</f>
        <v>4000</v>
      </c>
      <c r="U43" s="71">
        <f>MROUND(W43+X43+Z43+AB43,500)</f>
        <v>9000</v>
      </c>
      <c r="V43" s="64">
        <v>35</v>
      </c>
      <c r="W43" s="64">
        <f>2*$F$65</f>
        <v>1200</v>
      </c>
      <c r="X43" s="64">
        <f>Y43*$F$63</f>
        <v>3360</v>
      </c>
      <c r="Y43" s="65">
        <v>0.6</v>
      </c>
      <c r="AA43" s="65">
        <v>50</v>
      </c>
      <c r="AB43" s="64">
        <f t="shared" ref="AB43" si="78">MROUND((W43+X43)*AA43/(100-AA43),100)</f>
        <v>4600</v>
      </c>
    </row>
    <row r="44" spans="2:55" ht="19.5" thickBot="1" x14ac:dyDescent="0.3">
      <c r="U44" s="70"/>
      <c r="Y44" s="65"/>
      <c r="AA44" s="65"/>
    </row>
    <row r="45" spans="2:55" ht="19.5" thickBot="1" x14ac:dyDescent="0.3">
      <c r="B45" s="72">
        <v>15</v>
      </c>
      <c r="D45" s="135" t="s">
        <v>198</v>
      </c>
      <c r="E45" s="136"/>
      <c r="F45" s="136"/>
      <c r="G45" s="136"/>
      <c r="H45" s="136"/>
      <c r="I45" s="136"/>
      <c r="J45" s="137"/>
      <c r="L45" s="71">
        <f>MROUND(N45+O45+Q45+S45,500)</f>
        <v>27000</v>
      </c>
      <c r="M45" s="64">
        <f t="shared" ref="M45" si="79">N45*100/L45</f>
        <v>8.8888888888888893</v>
      </c>
      <c r="N45" s="64">
        <f>4*$F$65</f>
        <v>2400</v>
      </c>
      <c r="O45" s="64">
        <f>P45*$F$63</f>
        <v>11200</v>
      </c>
      <c r="P45" s="62">
        <v>2</v>
      </c>
      <c r="R45" s="75">
        <v>50</v>
      </c>
      <c r="S45" s="64">
        <f t="shared" ref="S45" si="80">MROUND((N45+O45)*R45/(100-R45),100)</f>
        <v>13600</v>
      </c>
      <c r="U45" s="71">
        <f>MROUND(W45+X45+Z45+AB45,500)</f>
        <v>28500</v>
      </c>
      <c r="V45" s="64">
        <v>35</v>
      </c>
      <c r="W45" s="64">
        <f>4*$F$65</f>
        <v>2400</v>
      </c>
      <c r="X45" s="64">
        <f>Y45*$F$63</f>
        <v>11760</v>
      </c>
      <c r="Y45" s="65">
        <v>2.1</v>
      </c>
      <c r="AA45" s="65">
        <v>50</v>
      </c>
      <c r="AB45" s="64">
        <f t="shared" ref="AB45" si="81">MROUND((W45+X45)*AA45/(100-AA45),100)</f>
        <v>14200</v>
      </c>
    </row>
    <row r="52" spans="1:7" x14ac:dyDescent="0.25">
      <c r="A52" s="132" t="s">
        <v>214</v>
      </c>
      <c r="B52" s="132"/>
      <c r="C52" s="132"/>
      <c r="D52" s="132"/>
      <c r="E52" s="132"/>
      <c r="F52" s="132"/>
    </row>
    <row r="53" spans="1:7" x14ac:dyDescent="0.25">
      <c r="A53" s="66"/>
      <c r="B53" s="67"/>
      <c r="C53" s="66"/>
      <c r="D53" s="66"/>
      <c r="E53" s="66"/>
      <c r="F53" s="66"/>
      <c r="G53" s="66"/>
    </row>
    <row r="54" spans="1:7" x14ac:dyDescent="0.25">
      <c r="A54" s="66"/>
      <c r="B54" s="67"/>
      <c r="C54" s="66"/>
      <c r="D54" s="131" t="s">
        <v>212</v>
      </c>
      <c r="E54" s="131"/>
      <c r="F54" s="131"/>
      <c r="G54" s="66"/>
    </row>
    <row r="55" spans="1:7" x14ac:dyDescent="0.25">
      <c r="A55" s="66"/>
      <c r="B55" s="67"/>
      <c r="C55" s="66"/>
      <c r="D55" s="66" t="s">
        <v>210</v>
      </c>
      <c r="E55" s="66"/>
      <c r="F55" s="66" t="s">
        <v>211</v>
      </c>
      <c r="G55" s="66"/>
    </row>
    <row r="56" spans="1:7" x14ac:dyDescent="0.25">
      <c r="A56" s="66"/>
      <c r="B56" s="67"/>
      <c r="C56" s="66"/>
      <c r="D56" s="66"/>
      <c r="E56" s="66"/>
      <c r="F56" s="66"/>
      <c r="G56" s="66"/>
    </row>
    <row r="57" spans="1:7" x14ac:dyDescent="0.25">
      <c r="A57" s="131" t="s">
        <v>206</v>
      </c>
      <c r="B57" s="131"/>
      <c r="C57" s="66"/>
      <c r="D57" s="66">
        <v>40000</v>
      </c>
      <c r="E57" s="66"/>
      <c r="F57" s="66">
        <f>D57/30</f>
        <v>1333.3333333333333</v>
      </c>
      <c r="G57" s="66"/>
    </row>
    <row r="58" spans="1:7" x14ac:dyDescent="0.25">
      <c r="A58" s="66"/>
      <c r="B58" s="67"/>
      <c r="C58" s="66"/>
      <c r="D58" s="66"/>
      <c r="E58" s="66"/>
      <c r="F58" s="66"/>
      <c r="G58" s="66"/>
    </row>
    <row r="59" spans="1:7" x14ac:dyDescent="0.25">
      <c r="A59" s="131" t="s">
        <v>207</v>
      </c>
      <c r="B59" s="131"/>
      <c r="C59" s="66"/>
      <c r="D59" s="66">
        <v>37000</v>
      </c>
      <c r="E59" s="66"/>
      <c r="F59" s="66">
        <f>D59/30</f>
        <v>1233.3333333333333</v>
      </c>
      <c r="G59" s="66"/>
    </row>
    <row r="60" spans="1:7" x14ac:dyDescent="0.25">
      <c r="A60" s="66"/>
      <c r="B60" s="67"/>
      <c r="C60" s="66"/>
      <c r="D60" s="66"/>
      <c r="E60" s="66"/>
      <c r="F60" s="66"/>
      <c r="G60" s="66"/>
    </row>
    <row r="61" spans="1:7" x14ac:dyDescent="0.25">
      <c r="A61" s="131" t="s">
        <v>208</v>
      </c>
      <c r="B61" s="131"/>
      <c r="C61" s="66"/>
      <c r="D61" s="66">
        <v>126000</v>
      </c>
      <c r="E61" s="66"/>
      <c r="F61" s="66">
        <f>D61/15</f>
        <v>8400</v>
      </c>
      <c r="G61" s="66"/>
    </row>
    <row r="62" spans="1:7" x14ac:dyDescent="0.25">
      <c r="A62" s="66"/>
      <c r="B62" s="67"/>
      <c r="C62" s="66"/>
      <c r="D62" s="66"/>
      <c r="E62" s="66"/>
      <c r="F62" s="66"/>
      <c r="G62" s="66"/>
    </row>
    <row r="63" spans="1:7" x14ac:dyDescent="0.25">
      <c r="A63" s="131" t="s">
        <v>209</v>
      </c>
      <c r="B63" s="131"/>
      <c r="C63" s="66"/>
      <c r="D63" s="66">
        <v>84000</v>
      </c>
      <c r="E63" s="66"/>
      <c r="F63" s="66">
        <f>D63/15</f>
        <v>5600</v>
      </c>
      <c r="G63" s="66"/>
    </row>
    <row r="64" spans="1:7" x14ac:dyDescent="0.25">
      <c r="A64" s="66"/>
      <c r="B64" s="67"/>
      <c r="C64" s="66"/>
      <c r="D64" s="66"/>
      <c r="E64" s="66"/>
      <c r="F64" s="66"/>
      <c r="G64" s="66"/>
    </row>
    <row r="65" spans="1:6" x14ac:dyDescent="0.25">
      <c r="A65" s="132" t="s">
        <v>213</v>
      </c>
      <c r="B65" s="132"/>
      <c r="C65" s="132"/>
      <c r="D65" s="132"/>
      <c r="F65" s="64">
        <v>600</v>
      </c>
    </row>
  </sheetData>
  <mergeCells count="69">
    <mergeCell ref="D45:J45"/>
    <mergeCell ref="X2:Y2"/>
    <mergeCell ref="L2:L3"/>
    <mergeCell ref="M2:M3"/>
    <mergeCell ref="N2:N3"/>
    <mergeCell ref="Q2:Q3"/>
    <mergeCell ref="D29:J29"/>
    <mergeCell ref="D31:J31"/>
    <mergeCell ref="D33:J33"/>
    <mergeCell ref="D35:J35"/>
    <mergeCell ref="O2:P2"/>
    <mergeCell ref="D21:J21"/>
    <mergeCell ref="B23:BC23"/>
    <mergeCell ref="D25:J25"/>
    <mergeCell ref="V2:V3"/>
    <mergeCell ref="W2:W3"/>
    <mergeCell ref="B41:BC41"/>
    <mergeCell ref="D43:J43"/>
    <mergeCell ref="D11:J11"/>
    <mergeCell ref="D13:J13"/>
    <mergeCell ref="D15:J15"/>
    <mergeCell ref="D17:J17"/>
    <mergeCell ref="D19:J19"/>
    <mergeCell ref="D27:J27"/>
    <mergeCell ref="B9:BC9"/>
    <mergeCell ref="Z2:Z3"/>
    <mergeCell ref="B37:BC37"/>
    <mergeCell ref="D39:J39"/>
    <mergeCell ref="B5:B7"/>
    <mergeCell ref="D5:J7"/>
    <mergeCell ref="D54:F54"/>
    <mergeCell ref="A52:F52"/>
    <mergeCell ref="R2:R3"/>
    <mergeCell ref="S2:S3"/>
    <mergeCell ref="U2:U3"/>
    <mergeCell ref="L5:BC5"/>
    <mergeCell ref="L7:S7"/>
    <mergeCell ref="U7:AB7"/>
    <mergeCell ref="AD7:AK7"/>
    <mergeCell ref="AT2:AT3"/>
    <mergeCell ref="AV2:AV3"/>
    <mergeCell ref="AW2:AW3"/>
    <mergeCell ref="AI2:AI3"/>
    <mergeCell ref="AJ2:AJ3"/>
    <mergeCell ref="AM7:AT7"/>
    <mergeCell ref="AV7:BC7"/>
    <mergeCell ref="AP2:AQ2"/>
    <mergeCell ref="AR2:AR3"/>
    <mergeCell ref="AS2:AS3"/>
    <mergeCell ref="AA2:AA3"/>
    <mergeCell ref="AB2:AB3"/>
    <mergeCell ref="AD2:AD3"/>
    <mergeCell ref="AE2:AE3"/>
    <mergeCell ref="AF2:AF3"/>
    <mergeCell ref="AG2:AH2"/>
    <mergeCell ref="AK2:AK3"/>
    <mergeCell ref="AM2:AM3"/>
    <mergeCell ref="AN2:AN3"/>
    <mergeCell ref="AO2:AO3"/>
    <mergeCell ref="AX2:AX3"/>
    <mergeCell ref="AY2:AZ2"/>
    <mergeCell ref="BA2:BA3"/>
    <mergeCell ref="BB2:BB3"/>
    <mergeCell ref="BC2:BC3"/>
    <mergeCell ref="A57:B57"/>
    <mergeCell ref="A59:B59"/>
    <mergeCell ref="A61:B61"/>
    <mergeCell ref="A63:B63"/>
    <mergeCell ref="A65:D65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АРМАТУРНЫЕ РАБОТЫ</vt:lpstr>
      <vt:lpstr>ТОНИРОВКА СТЕКОЛ</vt:lpstr>
      <vt:lpstr>'АРМАТУРНЫЕ РАБОТЫ'!Область_печати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2026-01-13T06:07:04Z</dcterms:modified>
</cp:coreProperties>
</file>