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andexDisk\HyperCRM\outputs\019f7e7b-2bab-7511-be28-8c8fd48bdb83\pdr\"/>
    </mc:Choice>
  </mc:AlternateContent>
  <xr:revisionPtr revIDLastSave="0" documentId="13_ncr:1_{4593EFC2-0646-4116-973D-A4BA3FB9B4E6}" xr6:coauthVersionLast="40" xr6:coauthVersionMax="40" xr10:uidLastSave="{00000000-0000-0000-0000-000000000000}"/>
  <bookViews>
    <workbookView xWindow="0" yWindow="0" windowWidth="20055" windowHeight="12990" xr2:uid="{05D16A53-C499-44C8-A619-F4A90EA609C3}"/>
  </bookViews>
  <sheets>
    <sheet name="Динамика" sheetId="5" r:id="rId1"/>
    <sheet name="Дашборд" sheetId="4" r:id="rId2"/>
    <sheet name="Недельная сводка" sheetId="3" r:id="rId3"/>
    <sheet name="Исходник — лиды" sheetId="2" r:id="rId4"/>
    <sheet name="Исходник — Wordstat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G10" i="3"/>
  <c r="G11" i="3"/>
  <c r="G22" i="3"/>
  <c r="G23" i="3"/>
  <c r="G34" i="3"/>
  <c r="G35" i="3"/>
  <c r="G46" i="3"/>
  <c r="G47" i="3"/>
  <c r="G58" i="3"/>
  <c r="G59" i="3"/>
  <c r="G70" i="3"/>
  <c r="G71" i="3"/>
  <c r="G82" i="3"/>
  <c r="G83" i="3"/>
  <c r="G94" i="3"/>
  <c r="G95" i="3"/>
  <c r="G106" i="3"/>
  <c r="G107" i="3"/>
  <c r="G118" i="3"/>
  <c r="G119" i="3"/>
  <c r="G130" i="3"/>
  <c r="G131" i="3"/>
  <c r="G142" i="3"/>
  <c r="G143" i="3"/>
  <c r="G154" i="3"/>
  <c r="G155" i="3"/>
  <c r="G166" i="3"/>
  <c r="G167" i="3"/>
  <c r="G178" i="3"/>
  <c r="G179" i="3"/>
  <c r="G190" i="3"/>
  <c r="G191" i="3"/>
  <c r="G203" i="3"/>
  <c r="G215" i="3"/>
  <c r="G227" i="3"/>
  <c r="G239" i="3"/>
  <c r="E5" i="3"/>
  <c r="B11" i="4" s="1"/>
  <c r="E6" i="3"/>
  <c r="G6" i="3" s="1"/>
  <c r="E7" i="3"/>
  <c r="G7" i="3" s="1"/>
  <c r="E8" i="3"/>
  <c r="G8" i="3" s="1"/>
  <c r="E9" i="3"/>
  <c r="G9" i="3" s="1"/>
  <c r="E10" i="3"/>
  <c r="E11" i="3"/>
  <c r="E12" i="3"/>
  <c r="G12" i="3" s="1"/>
  <c r="E13" i="3"/>
  <c r="G13" i="3" s="1"/>
  <c r="E14" i="3"/>
  <c r="G14" i="3" s="1"/>
  <c r="E15" i="3"/>
  <c r="G15" i="3" s="1"/>
  <c r="E16" i="3"/>
  <c r="G16" i="3" s="1"/>
  <c r="E17" i="3"/>
  <c r="G17" i="3" s="1"/>
  <c r="E18" i="3"/>
  <c r="G18" i="3" s="1"/>
  <c r="E19" i="3"/>
  <c r="G19" i="3" s="1"/>
  <c r="E20" i="3"/>
  <c r="G20" i="3" s="1"/>
  <c r="E21" i="3"/>
  <c r="G21" i="3" s="1"/>
  <c r="E22" i="3"/>
  <c r="E23" i="3"/>
  <c r="E24" i="3"/>
  <c r="G24" i="3" s="1"/>
  <c r="E25" i="3"/>
  <c r="G25" i="3" s="1"/>
  <c r="E26" i="3"/>
  <c r="G26" i="3" s="1"/>
  <c r="E27" i="3"/>
  <c r="G27" i="3" s="1"/>
  <c r="E28" i="3"/>
  <c r="G28" i="3" s="1"/>
  <c r="E29" i="3"/>
  <c r="G29" i="3" s="1"/>
  <c r="E30" i="3"/>
  <c r="G30" i="3" s="1"/>
  <c r="E31" i="3"/>
  <c r="G31" i="3" s="1"/>
  <c r="E32" i="3"/>
  <c r="G32" i="3" s="1"/>
  <c r="E33" i="3"/>
  <c r="G33" i="3" s="1"/>
  <c r="E34" i="3"/>
  <c r="E35" i="3"/>
  <c r="E36" i="3"/>
  <c r="G36" i="3" s="1"/>
  <c r="E37" i="3"/>
  <c r="G37" i="3" s="1"/>
  <c r="E38" i="3"/>
  <c r="G38" i="3" s="1"/>
  <c r="E39" i="3"/>
  <c r="G39" i="3" s="1"/>
  <c r="E40" i="3"/>
  <c r="G40" i="3" s="1"/>
  <c r="E41" i="3"/>
  <c r="G41" i="3" s="1"/>
  <c r="E42" i="3"/>
  <c r="G42" i="3" s="1"/>
  <c r="E43" i="3"/>
  <c r="G43" i="3" s="1"/>
  <c r="E44" i="3"/>
  <c r="G44" i="3" s="1"/>
  <c r="E45" i="3"/>
  <c r="G45" i="3" s="1"/>
  <c r="E46" i="3"/>
  <c r="E47" i="3"/>
  <c r="E48" i="3"/>
  <c r="G48" i="3" s="1"/>
  <c r="E49" i="3"/>
  <c r="G49" i="3" s="1"/>
  <c r="E50" i="3"/>
  <c r="G50" i="3" s="1"/>
  <c r="E51" i="3"/>
  <c r="G51" i="3" s="1"/>
  <c r="E52" i="3"/>
  <c r="G52" i="3" s="1"/>
  <c r="E53" i="3"/>
  <c r="G53" i="3" s="1"/>
  <c r="E54" i="3"/>
  <c r="G54" i="3" s="1"/>
  <c r="E55" i="3"/>
  <c r="G55" i="3" s="1"/>
  <c r="E56" i="3"/>
  <c r="G56" i="3" s="1"/>
  <c r="E57" i="3"/>
  <c r="G57" i="3" s="1"/>
  <c r="E58" i="3"/>
  <c r="E59" i="3"/>
  <c r="E60" i="3"/>
  <c r="G60" i="3" s="1"/>
  <c r="E61" i="3"/>
  <c r="G61" i="3" s="1"/>
  <c r="E62" i="3"/>
  <c r="G62" i="3" s="1"/>
  <c r="E63" i="3"/>
  <c r="G63" i="3" s="1"/>
  <c r="E64" i="3"/>
  <c r="G64" i="3" s="1"/>
  <c r="E65" i="3"/>
  <c r="G65" i="3" s="1"/>
  <c r="E66" i="3"/>
  <c r="G66" i="3" s="1"/>
  <c r="E67" i="3"/>
  <c r="G67" i="3" s="1"/>
  <c r="E68" i="3"/>
  <c r="G68" i="3" s="1"/>
  <c r="E69" i="3"/>
  <c r="G69" i="3" s="1"/>
  <c r="E70" i="3"/>
  <c r="E71" i="3"/>
  <c r="E72" i="3"/>
  <c r="G72" i="3" s="1"/>
  <c r="E73" i="3"/>
  <c r="G73" i="3" s="1"/>
  <c r="E74" i="3"/>
  <c r="G74" i="3" s="1"/>
  <c r="E75" i="3"/>
  <c r="G75" i="3" s="1"/>
  <c r="E76" i="3"/>
  <c r="G76" i="3" s="1"/>
  <c r="E77" i="3"/>
  <c r="G77" i="3" s="1"/>
  <c r="E78" i="3"/>
  <c r="G78" i="3" s="1"/>
  <c r="E79" i="3"/>
  <c r="G79" i="3" s="1"/>
  <c r="E80" i="3"/>
  <c r="G80" i="3" s="1"/>
  <c r="E81" i="3"/>
  <c r="G81" i="3" s="1"/>
  <c r="E82" i="3"/>
  <c r="E83" i="3"/>
  <c r="E84" i="3"/>
  <c r="G84" i="3" s="1"/>
  <c r="E85" i="3"/>
  <c r="G85" i="3" s="1"/>
  <c r="E86" i="3"/>
  <c r="G86" i="3" s="1"/>
  <c r="E87" i="3"/>
  <c r="G87" i="3" s="1"/>
  <c r="E88" i="3"/>
  <c r="G88" i="3" s="1"/>
  <c r="E89" i="3"/>
  <c r="G89" i="3" s="1"/>
  <c r="E90" i="3"/>
  <c r="G90" i="3" s="1"/>
  <c r="E91" i="3"/>
  <c r="G91" i="3" s="1"/>
  <c r="E92" i="3"/>
  <c r="G92" i="3" s="1"/>
  <c r="E93" i="3"/>
  <c r="G93" i="3" s="1"/>
  <c r="E94" i="3"/>
  <c r="E95" i="3"/>
  <c r="E96" i="3"/>
  <c r="G96" i="3" s="1"/>
  <c r="E97" i="3"/>
  <c r="G97" i="3" s="1"/>
  <c r="E98" i="3"/>
  <c r="G98" i="3" s="1"/>
  <c r="E99" i="3"/>
  <c r="G99" i="3" s="1"/>
  <c r="E100" i="3"/>
  <c r="G100" i="3" s="1"/>
  <c r="E101" i="3"/>
  <c r="G101" i="3" s="1"/>
  <c r="E102" i="3"/>
  <c r="G102" i="3" s="1"/>
  <c r="E103" i="3"/>
  <c r="G103" i="3" s="1"/>
  <c r="E104" i="3"/>
  <c r="G104" i="3" s="1"/>
  <c r="E105" i="3"/>
  <c r="G105" i="3" s="1"/>
  <c r="E106" i="3"/>
  <c r="E107" i="3"/>
  <c r="E108" i="3"/>
  <c r="G108" i="3" s="1"/>
  <c r="E109" i="3"/>
  <c r="G109" i="3" s="1"/>
  <c r="E110" i="3"/>
  <c r="G110" i="3" s="1"/>
  <c r="E111" i="3"/>
  <c r="G111" i="3" s="1"/>
  <c r="E112" i="3"/>
  <c r="G112" i="3" s="1"/>
  <c r="E113" i="3"/>
  <c r="G113" i="3" s="1"/>
  <c r="E114" i="3"/>
  <c r="G114" i="3" s="1"/>
  <c r="E115" i="3"/>
  <c r="G115" i="3" s="1"/>
  <c r="E116" i="3"/>
  <c r="G116" i="3" s="1"/>
  <c r="E117" i="3"/>
  <c r="G117" i="3" s="1"/>
  <c r="E118" i="3"/>
  <c r="E119" i="3"/>
  <c r="E120" i="3"/>
  <c r="G120" i="3" s="1"/>
  <c r="E121" i="3"/>
  <c r="G121" i="3" s="1"/>
  <c r="E122" i="3"/>
  <c r="G122" i="3" s="1"/>
  <c r="E123" i="3"/>
  <c r="G123" i="3" s="1"/>
  <c r="E124" i="3"/>
  <c r="G124" i="3" s="1"/>
  <c r="E125" i="3"/>
  <c r="G125" i="3" s="1"/>
  <c r="E126" i="3"/>
  <c r="G126" i="3" s="1"/>
  <c r="E127" i="3"/>
  <c r="G127" i="3" s="1"/>
  <c r="E128" i="3"/>
  <c r="G128" i="3" s="1"/>
  <c r="E129" i="3"/>
  <c r="G129" i="3" s="1"/>
  <c r="E130" i="3"/>
  <c r="E131" i="3"/>
  <c r="E132" i="3"/>
  <c r="G132" i="3" s="1"/>
  <c r="E133" i="3"/>
  <c r="G133" i="3" s="1"/>
  <c r="E134" i="3"/>
  <c r="G134" i="3" s="1"/>
  <c r="E135" i="3"/>
  <c r="G135" i="3" s="1"/>
  <c r="E136" i="3"/>
  <c r="G136" i="3" s="1"/>
  <c r="E137" i="3"/>
  <c r="G137" i="3" s="1"/>
  <c r="E138" i="3"/>
  <c r="G138" i="3" s="1"/>
  <c r="E139" i="3"/>
  <c r="G139" i="3" s="1"/>
  <c r="E140" i="3"/>
  <c r="G140" i="3" s="1"/>
  <c r="E141" i="3"/>
  <c r="G141" i="3" s="1"/>
  <c r="E142" i="3"/>
  <c r="E143" i="3"/>
  <c r="E144" i="3"/>
  <c r="G144" i="3" s="1"/>
  <c r="E145" i="3"/>
  <c r="G145" i="3" s="1"/>
  <c r="E146" i="3"/>
  <c r="G146" i="3" s="1"/>
  <c r="E147" i="3"/>
  <c r="G147" i="3" s="1"/>
  <c r="E148" i="3"/>
  <c r="G148" i="3" s="1"/>
  <c r="E149" i="3"/>
  <c r="G149" i="3" s="1"/>
  <c r="E150" i="3"/>
  <c r="G150" i="3" s="1"/>
  <c r="E151" i="3"/>
  <c r="G151" i="3" s="1"/>
  <c r="E152" i="3"/>
  <c r="G152" i="3" s="1"/>
  <c r="E153" i="3"/>
  <c r="G153" i="3" s="1"/>
  <c r="E154" i="3"/>
  <c r="E155" i="3"/>
  <c r="E156" i="3"/>
  <c r="G156" i="3" s="1"/>
  <c r="E157" i="3"/>
  <c r="G157" i="3" s="1"/>
  <c r="E158" i="3"/>
  <c r="G158" i="3" s="1"/>
  <c r="E159" i="3"/>
  <c r="G159" i="3" s="1"/>
  <c r="E160" i="3"/>
  <c r="G160" i="3" s="1"/>
  <c r="E161" i="3"/>
  <c r="G161" i="3" s="1"/>
  <c r="E162" i="3"/>
  <c r="G162" i="3" s="1"/>
  <c r="E163" i="3"/>
  <c r="G163" i="3" s="1"/>
  <c r="E164" i="3"/>
  <c r="G164" i="3" s="1"/>
  <c r="E165" i="3"/>
  <c r="G165" i="3" s="1"/>
  <c r="E166" i="3"/>
  <c r="E167" i="3"/>
  <c r="E168" i="3"/>
  <c r="G168" i="3" s="1"/>
  <c r="E169" i="3"/>
  <c r="G169" i="3" s="1"/>
  <c r="E170" i="3"/>
  <c r="G170" i="3" s="1"/>
  <c r="E171" i="3"/>
  <c r="G171" i="3" s="1"/>
  <c r="E172" i="3"/>
  <c r="G172" i="3" s="1"/>
  <c r="E173" i="3"/>
  <c r="G173" i="3" s="1"/>
  <c r="E174" i="3"/>
  <c r="G174" i="3" s="1"/>
  <c r="E175" i="3"/>
  <c r="G175" i="3" s="1"/>
  <c r="E176" i="3"/>
  <c r="G176" i="3" s="1"/>
  <c r="E177" i="3"/>
  <c r="G177" i="3" s="1"/>
  <c r="E178" i="3"/>
  <c r="E179" i="3"/>
  <c r="E180" i="3"/>
  <c r="G180" i="3" s="1"/>
  <c r="E181" i="3"/>
  <c r="G181" i="3" s="1"/>
  <c r="E182" i="3"/>
  <c r="G182" i="3" s="1"/>
  <c r="E183" i="3"/>
  <c r="G183" i="3" s="1"/>
  <c r="E184" i="3"/>
  <c r="G184" i="3" s="1"/>
  <c r="E185" i="3"/>
  <c r="G185" i="3" s="1"/>
  <c r="E186" i="3"/>
  <c r="G186" i="3" s="1"/>
  <c r="E187" i="3"/>
  <c r="G187" i="3" s="1"/>
  <c r="E188" i="3"/>
  <c r="G188" i="3" s="1"/>
  <c r="E189" i="3"/>
  <c r="G189" i="3" s="1"/>
  <c r="E190" i="3"/>
  <c r="E191" i="3"/>
  <c r="E192" i="3"/>
  <c r="G192" i="3" s="1"/>
  <c r="E193" i="3"/>
  <c r="G193" i="3" s="1"/>
  <c r="E194" i="3"/>
  <c r="G194" i="3" s="1"/>
  <c r="E195" i="3"/>
  <c r="G195" i="3" s="1"/>
  <c r="E196" i="3"/>
  <c r="G196" i="3" s="1"/>
  <c r="E197" i="3"/>
  <c r="G197" i="3" s="1"/>
  <c r="E198" i="3"/>
  <c r="G198" i="3" s="1"/>
  <c r="E199" i="3"/>
  <c r="G199" i="3" s="1"/>
  <c r="E200" i="3"/>
  <c r="G200" i="3" s="1"/>
  <c r="E201" i="3"/>
  <c r="G201" i="3" s="1"/>
  <c r="E202" i="3"/>
  <c r="E203" i="3"/>
  <c r="E204" i="3"/>
  <c r="G204" i="3" s="1"/>
  <c r="E205" i="3"/>
  <c r="G205" i="3" s="1"/>
  <c r="E206" i="3"/>
  <c r="G206" i="3" s="1"/>
  <c r="E207" i="3"/>
  <c r="G207" i="3" s="1"/>
  <c r="E208" i="3"/>
  <c r="G208" i="3" s="1"/>
  <c r="E209" i="3"/>
  <c r="G209" i="3" s="1"/>
  <c r="E210" i="3"/>
  <c r="G210" i="3" s="1"/>
  <c r="E211" i="3"/>
  <c r="G211" i="3" s="1"/>
  <c r="E212" i="3"/>
  <c r="G212" i="3" s="1"/>
  <c r="E213" i="3"/>
  <c r="G213" i="3" s="1"/>
  <c r="E214" i="3"/>
  <c r="E215" i="3"/>
  <c r="E216" i="3"/>
  <c r="G216" i="3" s="1"/>
  <c r="E217" i="3"/>
  <c r="G217" i="3" s="1"/>
  <c r="E218" i="3"/>
  <c r="G218" i="3" s="1"/>
  <c r="E219" i="3"/>
  <c r="G219" i="3" s="1"/>
  <c r="E220" i="3"/>
  <c r="G220" i="3" s="1"/>
  <c r="E221" i="3"/>
  <c r="G221" i="3" s="1"/>
  <c r="E222" i="3"/>
  <c r="G222" i="3" s="1"/>
  <c r="E223" i="3"/>
  <c r="G223" i="3" s="1"/>
  <c r="E224" i="3"/>
  <c r="G224" i="3" s="1"/>
  <c r="E225" i="3"/>
  <c r="G225" i="3" s="1"/>
  <c r="E226" i="3"/>
  <c r="E227" i="3"/>
  <c r="E228" i="3"/>
  <c r="G228" i="3" s="1"/>
  <c r="E229" i="3"/>
  <c r="G229" i="3" s="1"/>
  <c r="E230" i="3"/>
  <c r="G230" i="3" s="1"/>
  <c r="E231" i="3"/>
  <c r="G231" i="3" s="1"/>
  <c r="E232" i="3"/>
  <c r="G232" i="3" s="1"/>
  <c r="E233" i="3"/>
  <c r="G233" i="3" s="1"/>
  <c r="E234" i="3"/>
  <c r="G234" i="3" s="1"/>
  <c r="E235" i="3"/>
  <c r="G235" i="3" s="1"/>
  <c r="E236" i="3"/>
  <c r="G236" i="3" s="1"/>
  <c r="E237" i="3"/>
  <c r="G237" i="3" s="1"/>
  <c r="E238" i="3"/>
  <c r="E239" i="3"/>
  <c r="E240" i="3"/>
  <c r="G240" i="3" s="1"/>
  <c r="E241" i="3"/>
  <c r="G241" i="3" s="1"/>
  <c r="D5" i="3"/>
  <c r="B10" i="4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G202" i="3" s="1"/>
  <c r="D203" i="3"/>
  <c r="D204" i="3"/>
  <c r="D205" i="3"/>
  <c r="D206" i="3"/>
  <c r="D207" i="3"/>
  <c r="D208" i="3"/>
  <c r="D209" i="3"/>
  <c r="D210" i="3"/>
  <c r="D211" i="3"/>
  <c r="D212" i="3"/>
  <c r="D213" i="3"/>
  <c r="D214" i="3"/>
  <c r="G214" i="3" s="1"/>
  <c r="D215" i="3"/>
  <c r="D216" i="3"/>
  <c r="D217" i="3"/>
  <c r="D218" i="3"/>
  <c r="D219" i="3"/>
  <c r="D220" i="3"/>
  <c r="D221" i="3"/>
  <c r="D222" i="3"/>
  <c r="D223" i="3"/>
  <c r="D224" i="3"/>
  <c r="D225" i="3"/>
  <c r="D226" i="3"/>
  <c r="G226" i="3" s="1"/>
  <c r="D227" i="3"/>
  <c r="D228" i="3"/>
  <c r="D229" i="3"/>
  <c r="D230" i="3"/>
  <c r="D231" i="3"/>
  <c r="D232" i="3"/>
  <c r="D233" i="3"/>
  <c r="D234" i="3"/>
  <c r="D235" i="3"/>
  <c r="D236" i="3"/>
  <c r="D237" i="3"/>
  <c r="D238" i="3"/>
  <c r="G238" i="3" s="1"/>
  <c r="D239" i="3"/>
  <c r="D240" i="3"/>
  <c r="D241" i="3"/>
  <c r="G5" i="3" l="1"/>
  <c r="A5" i="4"/>
  <c r="D5" i="4"/>
  <c r="C11" i="4"/>
  <c r="C10" i="4"/>
</calcChain>
</file>

<file path=xl/sharedStrings.xml><?xml version="1.0" encoding="utf-8"?>
<sst xmlns="http://schemas.openxmlformats.org/spreadsheetml/2006/main" count="19483" uniqueCount="4558">
  <si>
    <t>Название лида</t>
  </si>
  <si>
    <t>Источник</t>
  </si>
  <si>
    <t>Стадия</t>
  </si>
  <si>
    <t>Обращение</t>
  </si>
  <si>
    <t>Имя</t>
  </si>
  <si>
    <t>Отчество</t>
  </si>
  <si>
    <t>Фамилия</t>
  </si>
  <si>
    <t>Дата создания</t>
  </si>
  <si>
    <t>Ответственный</t>
  </si>
  <si>
    <t>Путь клиента</t>
  </si>
  <si>
    <t>UTM Source</t>
  </si>
  <si>
    <t>UTM Medium</t>
  </si>
  <si>
    <t>UTM Campaign</t>
  </si>
  <si>
    <t>UTM Content</t>
  </si>
  <si>
    <t>UTM Term</t>
  </si>
  <si>
    <t>ДКТ: client_id</t>
  </si>
  <si>
    <t>ДКТ: client_cid</t>
  </si>
  <si>
    <t>ДКТ: ya_client_id</t>
  </si>
  <si>
    <t>ДКТ: Город</t>
  </si>
  <si>
    <t>ДКТ: Источник</t>
  </si>
  <si>
    <t>ДКТ: Канал</t>
  </si>
  <si>
    <t>ДКТ: Кампания</t>
  </si>
  <si>
    <t>ДКТ: Содержимое</t>
  </si>
  <si>
    <t>ДКТ: Что искал</t>
  </si>
  <si>
    <t>ДКТ: Время на сайте</t>
  </si>
  <si>
    <t>ID</t>
  </si>
  <si>
    <t>Звонок</t>
  </si>
  <si>
    <t>Качественный лид</t>
  </si>
  <si>
    <t>Богдан Клименко</t>
  </si>
  <si>
    <t>Александр Шушкин</t>
  </si>
  <si>
    <t>yandex</t>
  </si>
  <si>
    <t>cpc</t>
  </si>
  <si>
    <t>Самара</t>
  </si>
  <si>
    <t>google</t>
  </si>
  <si>
    <t>organic</t>
  </si>
  <si>
    <t>(none)</t>
  </si>
  <si>
    <t>Веб-сайт</t>
  </si>
  <si>
    <t>levsha-group.ru</t>
  </si>
  <si>
    <t>/</t>
  </si>
  <si>
    <t>В работе</t>
  </si>
  <si>
    <t>Алексей Торгашëв</t>
  </si>
  <si>
    <t>Виктор Худяков</t>
  </si>
  <si>
    <t>Avito - Левша-Сервис открытая линия</t>
  </si>
  <si>
    <t>Игорь</t>
  </si>
  <si>
    <t>Сергей</t>
  </si>
  <si>
    <t>Александр</t>
  </si>
  <si>
    <t>ВКонтакте - Открытая линия Левша</t>
  </si>
  <si>
    <t>Клиенту ответили на вопрос</t>
  </si>
  <si>
    <t>Яна</t>
  </si>
  <si>
    <t>Баринова</t>
  </si>
  <si>
    <t>Лида Левша</t>
  </si>
  <si>
    <t>Москва</t>
  </si>
  <si>
    <t>Face-трекер</t>
  </si>
  <si>
    <t>Дмитрий</t>
  </si>
  <si>
    <t>Валентин</t>
  </si>
  <si>
    <t>Мария</t>
  </si>
  <si>
    <t>Пользователь</t>
  </si>
  <si>
    <t>Кирилл</t>
  </si>
  <si>
    <t>Владимир</t>
  </si>
  <si>
    <t>Клиент не выходит на связь</t>
  </si>
  <si>
    <t>Иван</t>
  </si>
  <si>
    <t>Краснодар</t>
  </si>
  <si>
    <t>ya_maps</t>
  </si>
  <si>
    <t>Константин</t>
  </si>
  <si>
    <t>Дубликат</t>
  </si>
  <si>
    <t>Юрий</t>
  </si>
  <si>
    <t>Андрей</t>
  </si>
  <si>
    <t>Антон</t>
  </si>
  <si>
    <t>Владислав</t>
  </si>
  <si>
    <t>Павел</t>
  </si>
  <si>
    <t>Максим</t>
  </si>
  <si>
    <t>Геннадий</t>
  </si>
  <si>
    <t>Артём</t>
  </si>
  <si>
    <t>Валерий</t>
  </si>
  <si>
    <t>Артем</t>
  </si>
  <si>
    <t>Электронная почта</t>
  </si>
  <si>
    <t>Михаил</t>
  </si>
  <si>
    <t>CRM-форма</t>
  </si>
  <si>
    <t>noreply@tilda.ws'</t>
  </si>
  <si>
    <t xml:space="preserve">Юрий </t>
  </si>
  <si>
    <t>Николай</t>
  </si>
  <si>
    <t>Заявка отправлена с [promo.levsha-group.ru]</t>
  </si>
  <si>
    <t>Некачественный лид</t>
  </si>
  <si>
    <t>Борис</t>
  </si>
  <si>
    <t>Алексей</t>
  </si>
  <si>
    <t>Данил</t>
  </si>
  <si>
    <t>Ivan</t>
  </si>
  <si>
    <t>Никита</t>
  </si>
  <si>
    <t>Денис</t>
  </si>
  <si>
    <t>Лидия</t>
  </si>
  <si>
    <t>Евгений</t>
  </si>
  <si>
    <t>poisk_shumka</t>
  </si>
  <si>
    <t xml:space="preserve">PDR </t>
  </si>
  <si>
    <t xml:space="preserve">Дарья </t>
  </si>
  <si>
    <t xml:space="preserve">Михаил </t>
  </si>
  <si>
    <t>Александр Севостьянов</t>
  </si>
  <si>
    <t>Ян</t>
  </si>
  <si>
    <t>Заявка с сайта ЛЕВША - форма Заказать звонок</t>
  </si>
  <si>
    <t>Светлана</t>
  </si>
  <si>
    <t>Матвей</t>
  </si>
  <si>
    <t>Заполнение CRM-формы "Контактные данные с кнопки Б24 на сайте"</t>
  </si>
  <si>
    <t>Илья</t>
  </si>
  <si>
    <t>Заполнение CRM-формы "Обратный звонок с номера "Приложение: MANGO OFFICE""</t>
  </si>
  <si>
    <t>Олег</t>
  </si>
  <si>
    <t xml:space="preserve">Алексей </t>
  </si>
  <si>
    <t>Егор</t>
  </si>
  <si>
    <t>Вадим</t>
  </si>
  <si>
    <t xml:space="preserve">Дмитрий </t>
  </si>
  <si>
    <t xml:space="preserve">Иван </t>
  </si>
  <si>
    <t>Заявка с сайта ЛЕВША - форма Online-запись</t>
  </si>
  <si>
    <t>Вячеслав</t>
  </si>
  <si>
    <t>Рамиль</t>
  </si>
  <si>
    <t>Роман</t>
  </si>
  <si>
    <t>Анна</t>
  </si>
  <si>
    <t>К</t>
  </si>
  <si>
    <t>2gis</t>
  </si>
  <si>
    <t xml:space="preserve">Сергей </t>
  </si>
  <si>
    <t>Анастасия</t>
  </si>
  <si>
    <t>Васильев</t>
  </si>
  <si>
    <t>Шполяренко</t>
  </si>
  <si>
    <t>Татьяна</t>
  </si>
  <si>
    <t>brend</t>
  </si>
  <si>
    <t>детейлинг центр левша самара</t>
  </si>
  <si>
    <t>Рябцев</t>
  </si>
  <si>
    <t>Александр Салынский</t>
  </si>
  <si>
    <t>Степан</t>
  </si>
  <si>
    <t>ya</t>
  </si>
  <si>
    <t>Михаил - Авито - Левша-Сервис открытая линия</t>
  </si>
  <si>
    <t xml:space="preserve">Александр </t>
  </si>
  <si>
    <t>Равиль</t>
  </si>
  <si>
    <t>rsya_okleyka</t>
  </si>
  <si>
    <t>Димарик</t>
  </si>
  <si>
    <t>Иванов</t>
  </si>
  <si>
    <t>Марина</t>
  </si>
  <si>
    <t>Александра</t>
  </si>
  <si>
    <t>Юлия</t>
  </si>
  <si>
    <t>Эдуард</t>
  </si>
  <si>
    <t xml:space="preserve">Андрей </t>
  </si>
  <si>
    <t>Виктор</t>
  </si>
  <si>
    <t>Влад</t>
  </si>
  <si>
    <t>Георгий</t>
  </si>
  <si>
    <t>Виталий</t>
  </si>
  <si>
    <t>7 927 772-05-05 - Входящий звонок</t>
  </si>
  <si>
    <t>Макс</t>
  </si>
  <si>
    <t xml:space="preserve">Владимир </t>
  </si>
  <si>
    <t>Глеб</t>
  </si>
  <si>
    <t>Полина</t>
  </si>
  <si>
    <t>Шаповалов</t>
  </si>
  <si>
    <t>Оксана</t>
  </si>
  <si>
    <t>7 917 942-40-07 - Входящий звонок</t>
  </si>
  <si>
    <t>Telegram - Открытая линия Левша</t>
  </si>
  <si>
    <t>Pavel</t>
  </si>
  <si>
    <t>7 917 104-10-59 - Входящий звонок</t>
  </si>
  <si>
    <t>Артем Котельников</t>
  </si>
  <si>
    <t>Максим - Открытая линия Левша</t>
  </si>
  <si>
    <t>Владимирович</t>
  </si>
  <si>
    <t>Alex</t>
  </si>
  <si>
    <t>Арина</t>
  </si>
  <si>
    <t>Maksim</t>
  </si>
  <si>
    <t>Mikhail</t>
  </si>
  <si>
    <t>Alexander</t>
  </si>
  <si>
    <t>Aleksey</t>
  </si>
  <si>
    <t>Ольга</t>
  </si>
  <si>
    <t>Даниил</t>
  </si>
  <si>
    <t>WAZZUP: WhatsApp - Открытая линия Левша</t>
  </si>
  <si>
    <t>Andrey</t>
  </si>
  <si>
    <t>Dmitriy</t>
  </si>
  <si>
    <t>Рустам - Открытая линия Левша</t>
  </si>
  <si>
    <t>Рустам</t>
  </si>
  <si>
    <t>Ринат</t>
  </si>
  <si>
    <t>Вениамин</t>
  </si>
  <si>
    <t>Кузнецов</t>
  </si>
  <si>
    <t>Дарья</t>
  </si>
  <si>
    <t>Ирина</t>
  </si>
  <si>
    <t>Aleksandr</t>
  </si>
  <si>
    <t>Ящук</t>
  </si>
  <si>
    <t>Vladimir</t>
  </si>
  <si>
    <t>Oleg</t>
  </si>
  <si>
    <t>Константин - Открытая линия Левша</t>
  </si>
  <si>
    <t>.</t>
  </si>
  <si>
    <t>Denis</t>
  </si>
  <si>
    <t>Костя</t>
  </si>
  <si>
    <t>Deonysius</t>
  </si>
  <si>
    <t>Magnus</t>
  </si>
  <si>
    <t>Алексей - Открытая линия Левша</t>
  </si>
  <si>
    <t>Avito - Открытая линия Левша</t>
  </si>
  <si>
    <t>Сергей Антонов</t>
  </si>
  <si>
    <t>Гость - Открытая линия Левша</t>
  </si>
  <si>
    <t>Гость</t>
  </si>
  <si>
    <t>Арсен</t>
  </si>
  <si>
    <t>Гражданин</t>
  </si>
  <si>
    <t>Nikita</t>
  </si>
  <si>
    <t>Спам</t>
  </si>
  <si>
    <t>Станислав</t>
  </si>
  <si>
    <t>Александр Максимов</t>
  </si>
  <si>
    <t>Елена</t>
  </si>
  <si>
    <t xml:space="preserve">Артем </t>
  </si>
  <si>
    <t>Максим Каранов</t>
  </si>
  <si>
    <t>Viber - Открытая линия Левша</t>
  </si>
  <si>
    <t>Буренин</t>
  </si>
  <si>
    <t>Ярослав</t>
  </si>
  <si>
    <t>Артур</t>
  </si>
  <si>
    <t>Денис - Открытая линия Левша</t>
  </si>
  <si>
    <t>Екатерина</t>
  </si>
  <si>
    <t>Дмитрий - Открытая линия Левша</t>
  </si>
  <si>
    <t>Олег - Открытая линия Левша</t>
  </si>
  <si>
    <t>Нецелевое обращение</t>
  </si>
  <si>
    <t>Родион</t>
  </si>
  <si>
    <t>R</t>
  </si>
  <si>
    <t>Руслан</t>
  </si>
  <si>
    <t>Sergey</t>
  </si>
  <si>
    <t>установка видеорегистратора /н делаем</t>
  </si>
  <si>
    <t>7 927 260-70-05 - Входящий звонок</t>
  </si>
  <si>
    <t>левша</t>
  </si>
  <si>
    <t>Анатолий</t>
  </si>
  <si>
    <t>Голубев</t>
  </si>
  <si>
    <t>7 917 953-54-23 - Входящий звонок</t>
  </si>
  <si>
    <t>вопрос по готовности</t>
  </si>
  <si>
    <t xml:space="preserve">Денис </t>
  </si>
  <si>
    <t>Козлов</t>
  </si>
  <si>
    <t>Миша</t>
  </si>
  <si>
    <t>В.</t>
  </si>
  <si>
    <t>Дима</t>
  </si>
  <si>
    <t>Max</t>
  </si>
  <si>
    <t>дубликат</t>
  </si>
  <si>
    <t>7 937 185-83-31 - Входящий звонок</t>
  </si>
  <si>
    <t>Дмитрий Калашников</t>
  </si>
  <si>
    <t>Дмитрий Лантратов</t>
  </si>
  <si>
    <t xml:space="preserve">Анастасия </t>
  </si>
  <si>
    <t>N</t>
  </si>
  <si>
    <t>Кирилл Лапшин</t>
  </si>
  <si>
    <t>Алина</t>
  </si>
  <si>
    <t>7 986 952-53-44 - Входящий звонок</t>
  </si>
  <si>
    <t>Kirill</t>
  </si>
  <si>
    <t>Александр - Открытая линия Левша</t>
  </si>
  <si>
    <t>Станислав Ван-Гуй</t>
  </si>
  <si>
    <t>Евгений Репин</t>
  </si>
  <si>
    <t xml:space="preserve">Игорь </t>
  </si>
  <si>
    <t>Василий</t>
  </si>
  <si>
    <t>Таня</t>
  </si>
  <si>
    <t>Armen</t>
  </si>
  <si>
    <t>Кристина</t>
  </si>
  <si>
    <t>Маслеев</t>
  </si>
  <si>
    <t>7 927 753-10-83 - Входящий звонок</t>
  </si>
  <si>
    <t>Anton</t>
  </si>
  <si>
    <t>7 937 177-01-88 - Входящий звонок</t>
  </si>
  <si>
    <t xml:space="preserve">Василий </t>
  </si>
  <si>
    <t>Alexey</t>
  </si>
  <si>
    <t>Юлия Ефимова</t>
  </si>
  <si>
    <t>Волков</t>
  </si>
  <si>
    <t>Евгения</t>
  </si>
  <si>
    <t>Тимофеев</t>
  </si>
  <si>
    <t>Иван Красников</t>
  </si>
  <si>
    <t>7 927 013-60-00 - Входящий звонок</t>
  </si>
  <si>
    <t>Валера</t>
  </si>
  <si>
    <t>Алексей Крайнов - Открытая линия Левша</t>
  </si>
  <si>
    <t>Крайнов</t>
  </si>
  <si>
    <t>Ekaterina</t>
  </si>
  <si>
    <t>Ошиблись номером</t>
  </si>
  <si>
    <t>Не</t>
  </si>
  <si>
    <t xml:space="preserve">Станислав </t>
  </si>
  <si>
    <t>шумоизоляция</t>
  </si>
  <si>
    <t>Иван - Открытая линия Левша</t>
  </si>
  <si>
    <t>Владимир - Открытая линия Левша</t>
  </si>
  <si>
    <t>Филиппов</t>
  </si>
  <si>
    <t>обтянуть машину пленкой</t>
  </si>
  <si>
    <t>Григорий</t>
  </si>
  <si>
    <t>Vitaliy</t>
  </si>
  <si>
    <t>Bogdanov</t>
  </si>
  <si>
    <t>79063446464 - Входящий звонок</t>
  </si>
  <si>
    <t>Роман - Открытая линия Левша</t>
  </si>
  <si>
    <t>Илья - Открытая линия Левша</t>
  </si>
  <si>
    <t>Виталий - Открытая линия Левша</t>
  </si>
  <si>
    <t>Отмена записи</t>
  </si>
  <si>
    <t>79276050065 - Входящий звонок</t>
  </si>
  <si>
    <t>Екатерина - Открытая линия Левша</t>
  </si>
  <si>
    <t>79272066187 - Входящий звонок</t>
  </si>
  <si>
    <t>Subscriber</t>
  </si>
  <si>
    <t>по готовности</t>
  </si>
  <si>
    <t>Rail</t>
  </si>
  <si>
    <t>Сулейманов</t>
  </si>
  <si>
    <t>Рома - Открытая линия Левша</t>
  </si>
  <si>
    <t>Рома</t>
  </si>
  <si>
    <t>бронировка авто пленкой</t>
  </si>
  <si>
    <t>Серж</t>
  </si>
  <si>
    <t>. - Открытая линия Левша</t>
  </si>
  <si>
    <t>Крюков</t>
  </si>
  <si>
    <t>Шабаев</t>
  </si>
  <si>
    <t>александр</t>
  </si>
  <si>
    <t>Леонид</t>
  </si>
  <si>
    <t>79276530006 - Входящий звонок</t>
  </si>
  <si>
    <t>Николай - Открытая линия Левша</t>
  </si>
  <si>
    <t>Artem</t>
  </si>
  <si>
    <t>Евген</t>
  </si>
  <si>
    <t>Павел Ларин</t>
  </si>
  <si>
    <t>…</t>
  </si>
  <si>
    <t>Людмила</t>
  </si>
  <si>
    <t>Рафаэль</t>
  </si>
  <si>
    <t>Данила</t>
  </si>
  <si>
    <t>79276570431 - Входящий звонок</t>
  </si>
  <si>
    <t xml:space="preserve">Евгений </t>
  </si>
  <si>
    <t>Alex - Открытая линия Левша</t>
  </si>
  <si>
    <t>детейлинг сервис</t>
  </si>
  <si>
    <t>Роман Городков</t>
  </si>
  <si>
    <t>Сергей - Открытая линия Левша</t>
  </si>
  <si>
    <t>Плохо обработан менеджером</t>
  </si>
  <si>
    <t>Дмитрий Ерофеев</t>
  </si>
  <si>
    <t>Алекс</t>
  </si>
  <si>
    <t>79297158407 - Входящий звонок</t>
  </si>
  <si>
    <t>полировка авто</t>
  </si>
  <si>
    <t>Мария Шеина</t>
  </si>
  <si>
    <t>Вова</t>
  </si>
  <si>
    <t>Тагир</t>
  </si>
  <si>
    <t>microkomment</t>
  </si>
  <si>
    <t>vmyatin</t>
  </si>
  <si>
    <t>Александр Марцев</t>
  </si>
  <si>
    <t>79371701831 - Входящий звонок</t>
  </si>
  <si>
    <t>Павел - Открытая линия Левша</t>
  </si>
  <si>
    <t>Никита - Открытая линия Левша</t>
  </si>
  <si>
    <t>Паша</t>
  </si>
  <si>
    <t>Андрей - Открытая линия Левша</t>
  </si>
  <si>
    <t>Лилия</t>
  </si>
  <si>
    <t>79272055040 - Входящий звонок</t>
  </si>
  <si>
    <t>Сергеев</t>
  </si>
  <si>
    <t xml:space="preserve">Николай </t>
  </si>
  <si>
    <t>79276890805 - Входящий звонок</t>
  </si>
  <si>
    <t xml:space="preserve">Вячеслав </t>
  </si>
  <si>
    <t>Станислав Исаков</t>
  </si>
  <si>
    <t>79203666605 - Входящий звонок</t>
  </si>
  <si>
    <t>Вера</t>
  </si>
  <si>
    <t>Юнес Ильясов</t>
  </si>
  <si>
    <t>Семенов</t>
  </si>
  <si>
    <t>Эльнур</t>
  </si>
  <si>
    <t>Vyacheslav</t>
  </si>
  <si>
    <t>Обратный звонок</t>
  </si>
  <si>
    <t>Марат</t>
  </si>
  <si>
    <t>Доценко</t>
  </si>
  <si>
    <t>Петр</t>
  </si>
  <si>
    <t>79270295888 - Входящий звонок</t>
  </si>
  <si>
    <t>79198002197 - Входящий звонок</t>
  </si>
  <si>
    <t>Юлия - Открытая линия Левша</t>
  </si>
  <si>
    <t>Иванова</t>
  </si>
  <si>
    <t>Заявка с сайта ЛЕВША - форма Оформление заказа</t>
  </si>
  <si>
    <t>79277404963 - Входящий звонок</t>
  </si>
  <si>
    <t>79170132121 - Входящий звонок</t>
  </si>
  <si>
    <t>Заявка с сайта ЛЕВША - форма Задать вопрос</t>
  </si>
  <si>
    <t>Виталий Синяев</t>
  </si>
  <si>
    <t>Ксения</t>
  </si>
  <si>
    <t>79276863615 - Входящий звонок</t>
  </si>
  <si>
    <t>Мария - Открытая линия Левша</t>
  </si>
  <si>
    <t>Ваня</t>
  </si>
  <si>
    <t>Матвеев</t>
  </si>
  <si>
    <t>Олег Коробкин</t>
  </si>
  <si>
    <t>автосервис</t>
  </si>
  <si>
    <t>Иван Солдаткин</t>
  </si>
  <si>
    <t>Виктория Коваленко</t>
  </si>
  <si>
    <t>Рамиль - Открытая линия Левша</t>
  </si>
  <si>
    <t>Михаил Осипов</t>
  </si>
  <si>
    <t>Лена</t>
  </si>
  <si>
    <t>Вадим - Открытая линия Левша</t>
  </si>
  <si>
    <t>79370775581 - Входящий звонок</t>
  </si>
  <si>
    <t>79276002856 - Входящий звонок</t>
  </si>
  <si>
    <t>79277003270 - Входящий звонок</t>
  </si>
  <si>
    <t>Михаил - Открытая линия Левша</t>
  </si>
  <si>
    <t>79371730005 - Входящий звонок</t>
  </si>
  <si>
    <t>79047100444 - Входящий звонок</t>
  </si>
  <si>
    <t>Заявка с сайта ЛЕВША</t>
  </si>
  <si>
    <t>79397546350 - Входящий звонок</t>
  </si>
  <si>
    <t>79163330999 - Входящий звонок</t>
  </si>
  <si>
    <t>A</t>
  </si>
  <si>
    <t xml:space="preserve">Стас </t>
  </si>
  <si>
    <t>Instagram Direct - Открытая линия Левша</t>
  </si>
  <si>
    <t>Елена - Открытая линия Левша</t>
  </si>
  <si>
    <t>Vitaly</t>
  </si>
  <si>
    <t>79879170576 - Входящий звонок</t>
  </si>
  <si>
    <t>9-ая Просека</t>
  </si>
  <si>
    <t>Артём - Открытая линия Левша</t>
  </si>
  <si>
    <t>Evgeny</t>
  </si>
  <si>
    <t>Анастасия - Открытая линия Левша</t>
  </si>
  <si>
    <t>Белов</t>
  </si>
  <si>
    <t>Александрович</t>
  </si>
  <si>
    <t>(direct)</t>
  </si>
  <si>
    <t>удаление вмятин без покраски</t>
  </si>
  <si>
    <t>Владислав - Открытая линия Левша</t>
  </si>
  <si>
    <t>Начало недели</t>
  </si>
  <si>
    <t>Конец недели</t>
  </si>
  <si>
    <t>Период Wordstat</t>
  </si>
  <si>
    <t>Число запросов</t>
  </si>
  <si>
    <t>Доля от всех запросов, %</t>
  </si>
  <si>
    <t>27 декабря 2021 – 2 января 2022</t>
  </si>
  <si>
    <t>3 января 2022 – 9 января 2022</t>
  </si>
  <si>
    <t>10 января 2022 – 16 января 2022</t>
  </si>
  <si>
    <t>17 января 2022 – 23 января 2022</t>
  </si>
  <si>
    <t>24 января 2022 – 30 января 2022</t>
  </si>
  <si>
    <t>31 января 2022 – 6 февраля 2022</t>
  </si>
  <si>
    <t>7 февраля 2022 – 13 февраля 2022</t>
  </si>
  <si>
    <t>14 февраля 2022 – 20 февраля 2022</t>
  </si>
  <si>
    <t>21 февраля 2022 – 27 февраля 2022</t>
  </si>
  <si>
    <t>28 февраля 2022 – 6 марта 2022</t>
  </si>
  <si>
    <t>7 марта 2022 – 13 марта 2022</t>
  </si>
  <si>
    <t>14 марта 2022 – 20 марта 2022</t>
  </si>
  <si>
    <t>21 марта 2022 – 27 марта 2022</t>
  </si>
  <si>
    <t>28 марта 2022 – 3 апреля 2022</t>
  </si>
  <si>
    <t>4 апреля 2022 – 10 апреля 2022</t>
  </si>
  <si>
    <t>11 апреля 2022 – 17 апреля 2022</t>
  </si>
  <si>
    <t>18 апреля 2022 – 24 апреля 2022</t>
  </si>
  <si>
    <t>25 апреля 2022 – 1 мая 2022</t>
  </si>
  <si>
    <t>2 мая 2022 – 8 мая 2022</t>
  </si>
  <si>
    <t>9 мая 2022 – 15 мая 2022</t>
  </si>
  <si>
    <t>16 мая 2022 – 22 мая 2022</t>
  </si>
  <si>
    <t>23 мая 2022 – 29 мая 2022</t>
  </si>
  <si>
    <t>30 мая 2022 – 5 июня 2022</t>
  </si>
  <si>
    <t>6 июня 2022 – 12 июня 2022</t>
  </si>
  <si>
    <t>13 июня 2022 – 19 июня 2022</t>
  </si>
  <si>
    <t>20 июня 2022 – 26 июня 2022</t>
  </si>
  <si>
    <t>27 июня 2022 – 3 июля 2022</t>
  </si>
  <si>
    <t>4 июля 2022 – 10 июля 2022</t>
  </si>
  <si>
    <t>11 июля 2022 – 17 июля 2022</t>
  </si>
  <si>
    <t>18 июля 2022 – 24 июля 2022</t>
  </si>
  <si>
    <t>25 июля 2022 – 31 июля 2022</t>
  </si>
  <si>
    <t>1 августа 2022 – 7 августа 2022</t>
  </si>
  <si>
    <t>8 августа 2022 – 14 августа 2022</t>
  </si>
  <si>
    <t>15 августа 2022 – 21 августа 2022</t>
  </si>
  <si>
    <t>22 августа 2022 – 28 августа 2022</t>
  </si>
  <si>
    <t>29 августа 2022 – 4 сентября 2022</t>
  </si>
  <si>
    <t>5 сентября 2022 – 11 сентября 2022</t>
  </si>
  <si>
    <t>12 сентября 2022 – 18 сентября 2022</t>
  </si>
  <si>
    <t>19 сентября 2022 – 25 сентября 2022</t>
  </si>
  <si>
    <t>26 сентября 2022 – 2 октября 2022</t>
  </si>
  <si>
    <t>3 октября 2022 – 9 октября 2022</t>
  </si>
  <si>
    <t>10 октября 2022 – 16 октября 2022</t>
  </si>
  <si>
    <t>17 октября 2022 – 23 октября 2022</t>
  </si>
  <si>
    <t>24 октября 2022 – 30 октября 2022</t>
  </si>
  <si>
    <t>31 октября 2022 – 6 ноября 2022</t>
  </si>
  <si>
    <t>7 ноября 2022 – 13 ноября 2022</t>
  </si>
  <si>
    <t>14 ноября 2022 – 20 ноября 2022</t>
  </si>
  <si>
    <t>21 ноября 2022 – 27 ноября 2022</t>
  </si>
  <si>
    <t>28 ноября 2022 – 4 декабря 2022</t>
  </si>
  <si>
    <t>5 декабря 2022 – 11 декабря 2022</t>
  </si>
  <si>
    <t>12 декабря 2022 – 18 декабря 2022</t>
  </si>
  <si>
    <t>19 декабря 2022 – 25 декабря 2022</t>
  </si>
  <si>
    <t>26 декабря 2022 – 1 января 2023</t>
  </si>
  <si>
    <t>2 января 2023 – 8 января 2023</t>
  </si>
  <si>
    <t>9 января 2023 – 15 января 2023</t>
  </si>
  <si>
    <t>16 января 2023 – 22 января 2023</t>
  </si>
  <si>
    <t>23 января 2023 – 29 января 2023</t>
  </si>
  <si>
    <t>30 января 2023 – 5 февраля 2023</t>
  </si>
  <si>
    <t>6 февраля 2023 – 12 февраля 2023</t>
  </si>
  <si>
    <t>13 февраля 2023 – 19 февраля 2023</t>
  </si>
  <si>
    <t>20 февраля 2023 – 26 февраля 2023</t>
  </si>
  <si>
    <t>27 февраля 2023 – 5 марта 2023</t>
  </si>
  <si>
    <t>6 марта 2023 – 12 марта 2023</t>
  </si>
  <si>
    <t>13 марта 2023 – 19 марта 2023</t>
  </si>
  <si>
    <t>20 марта 2023 – 26 марта 2023</t>
  </si>
  <si>
    <t>27 марта 2023 – 2 апреля 2023</t>
  </si>
  <si>
    <t>3 апреля 2023 – 9 апреля 2023</t>
  </si>
  <si>
    <t>10 апреля 2023 – 16 апреля 2023</t>
  </si>
  <si>
    <t>17 апреля 2023 – 23 апреля 2023</t>
  </si>
  <si>
    <t>24 апреля 2023 – 30 апреля 2023</t>
  </si>
  <si>
    <t>1 мая 2023 – 7 мая 2023</t>
  </si>
  <si>
    <t>8 мая 2023 – 14 мая 2023</t>
  </si>
  <si>
    <t>15 мая 2023 – 21 мая 2023</t>
  </si>
  <si>
    <t>22 мая 2023 – 28 мая 2023</t>
  </si>
  <si>
    <t>29 мая 2023 – 4 июня 2023</t>
  </si>
  <si>
    <t>5 июня 2023 – 11 июня 2023</t>
  </si>
  <si>
    <t>12 июня 2023 – 18 июня 2023</t>
  </si>
  <si>
    <t>19 июня 2023 – 25 июня 2023</t>
  </si>
  <si>
    <t>26 июня 2023 – 2 июля 2023</t>
  </si>
  <si>
    <t>3 июля 2023 – 9 июля 2023</t>
  </si>
  <si>
    <t>10 июля 2023 – 16 июля 2023</t>
  </si>
  <si>
    <t>17 июля 2023 – 23 июля 2023</t>
  </si>
  <si>
    <t>24 июля 2023 – 30 июля 2023</t>
  </si>
  <si>
    <t>31 июля 2023 – 6 августа 2023</t>
  </si>
  <si>
    <t>7 августа 2023 – 13 августа 2023</t>
  </si>
  <si>
    <t>14 августа 2023 – 20 августа 2023</t>
  </si>
  <si>
    <t>21 августа 2023 – 27 августа 2023</t>
  </si>
  <si>
    <t>28 августа 2023 – 3 сентября 2023</t>
  </si>
  <si>
    <t>4 сентября 2023 – 10 сентября 2023</t>
  </si>
  <si>
    <t>11 сентября 2023 – 17 сентября 2023</t>
  </si>
  <si>
    <t>18 сентября 2023 – 24 сентября 2023</t>
  </si>
  <si>
    <t>25 сентября 2023 – 1 октября 2023</t>
  </si>
  <si>
    <t>2 октября 2023 – 8 октября 2023</t>
  </si>
  <si>
    <t>9 октября 2023 – 15 октября 2023</t>
  </si>
  <si>
    <t>16 октября 2023 – 22 октября 2023</t>
  </si>
  <si>
    <t>23 октября 2023 – 29 октября 2023</t>
  </si>
  <si>
    <t>30 октября 2023 – 5 ноября 2023</t>
  </si>
  <si>
    <t>6 ноября 2023 – 12 ноября 2023</t>
  </si>
  <si>
    <t>13 ноября 2023 – 19 ноября 2023</t>
  </si>
  <si>
    <t>20 ноября 2023 – 26 ноября 2023</t>
  </si>
  <si>
    <t>27 ноября 2023 – 3 декабря 2023</t>
  </si>
  <si>
    <t>4 декабря 2023 – 10 декабря 2023</t>
  </si>
  <si>
    <t>11 декабря 2023 – 17 декабря 2023</t>
  </si>
  <si>
    <t>18 декабря 2023 – 24 декабря 2023</t>
  </si>
  <si>
    <t>25 декабря 2023 – 31 декабря 2023</t>
  </si>
  <si>
    <t>1 января 2024 – 7 января 2024</t>
  </si>
  <si>
    <t>8 января 2024 – 14 января 2024</t>
  </si>
  <si>
    <t>15 января 2024 – 21 января 2024</t>
  </si>
  <si>
    <t>22 января 2024 – 28 января 2024</t>
  </si>
  <si>
    <t>29 января 2024 – 4 февраля 2024</t>
  </si>
  <si>
    <t>5 февраля 2024 – 11 февраля 2024</t>
  </si>
  <si>
    <t>12 февраля 2024 – 18 февраля 2024</t>
  </si>
  <si>
    <t>19 февраля 2024 – 25 февраля 2024</t>
  </si>
  <si>
    <t>26 февраля 2024 – 3 марта 2024</t>
  </si>
  <si>
    <t>4 марта 2024 – 10 марта 2024</t>
  </si>
  <si>
    <t>11 марта 2024 – 17 марта 2024</t>
  </si>
  <si>
    <t>18 марта 2024 – 24 марта 2024</t>
  </si>
  <si>
    <t>25 марта 2024 – 31 марта 2024</t>
  </si>
  <si>
    <t>1 апреля 2024 – 7 апреля 2024</t>
  </si>
  <si>
    <t>8 апреля 2024 – 14 апреля 2024</t>
  </si>
  <si>
    <t>15 апреля 2024 – 21 апреля 2024</t>
  </si>
  <si>
    <t>22 апреля 2024 – 28 апреля 2024</t>
  </si>
  <si>
    <t>29 апреля 2024 – 5 мая 2024</t>
  </si>
  <si>
    <t>6 мая 2024 – 12 мая 2024</t>
  </si>
  <si>
    <t>13 мая 2024 – 19 мая 2024</t>
  </si>
  <si>
    <t>20 мая 2024 – 26 мая 2024</t>
  </si>
  <si>
    <t>27 мая 2024 – 2 июня 2024</t>
  </si>
  <si>
    <t>3 июня 2024 – 9 июня 2024</t>
  </si>
  <si>
    <t>10 июня 2024 – 16 июня 2024</t>
  </si>
  <si>
    <t>17 июня 2024 – 23 июня 2024</t>
  </si>
  <si>
    <t>24 июня 2024 – 30 июня 2024</t>
  </si>
  <si>
    <t>1 июля 2024 – 7 июля 2024</t>
  </si>
  <si>
    <t>8 июля 2024 – 14 июля 2024</t>
  </si>
  <si>
    <t>15 июля 2024 – 21 июля 2024</t>
  </si>
  <si>
    <t>22 июля 2024 – 28 июля 2024</t>
  </si>
  <si>
    <t>29 июля 2024 – 4 августа 2024</t>
  </si>
  <si>
    <t>5 августа 2024 – 11 августа 2024</t>
  </si>
  <si>
    <t>12 августа 2024 – 18 августа 2024</t>
  </si>
  <si>
    <t>19 августа 2024 – 25 августа 2024</t>
  </si>
  <si>
    <t>26 августа 2024 – 1 сентября 2024</t>
  </si>
  <si>
    <t>2 сентября 2024 – 8 сентября 2024</t>
  </si>
  <si>
    <t>9 сентября 2024 – 15 сентября 2024</t>
  </si>
  <si>
    <t>16 сентября 2024 – 22 сентября 2024</t>
  </si>
  <si>
    <t>23 сентября 2024 – 29 сентября 2024</t>
  </si>
  <si>
    <t>30 сентября 2024 – 6 октября 2024</t>
  </si>
  <si>
    <t>7 октября 2024 – 13 октября 2024</t>
  </si>
  <si>
    <t>14 октября 2024 – 20 октября 2024</t>
  </si>
  <si>
    <t>21 октября 2024 – 27 октября 2024</t>
  </si>
  <si>
    <t>28 октября 2024 – 3 ноября 2024</t>
  </si>
  <si>
    <t>4 ноября 2024 – 10 ноября 2024</t>
  </si>
  <si>
    <t>11 ноября 2024 – 17 ноября 2024</t>
  </si>
  <si>
    <t>18 ноября 2024 – 24 ноября 2024</t>
  </si>
  <si>
    <t>25 ноября 2024 – 1 декабря 2024</t>
  </si>
  <si>
    <t>2 декабря 2024 – 8 декабря 2024</t>
  </si>
  <si>
    <t>9 декабря 2024 – 15 декабря 2024</t>
  </si>
  <si>
    <t>16 декабря 2024 – 22 декабря 2024</t>
  </si>
  <si>
    <t>23 декабря 2024 – 29 декабря 2024</t>
  </si>
  <si>
    <t>30 декабря 2024 – 5 января 2025</t>
  </si>
  <si>
    <t>6 января 2025 – 12 января 2025</t>
  </si>
  <si>
    <t>13 января 2025 – 19 января 2025</t>
  </si>
  <si>
    <t>20 января 2025 – 26 января 2025</t>
  </si>
  <si>
    <t>27 января 2025 – 2 февраля 2025</t>
  </si>
  <si>
    <t>3 февраля 2025 – 9 февраля 2025</t>
  </si>
  <si>
    <t>10 февраля 2025 – 16 февраля 2025</t>
  </si>
  <si>
    <t>17 февраля 2025 – 23 февраля 2025</t>
  </si>
  <si>
    <t>24 февраля 2025 – 2 марта 2025</t>
  </si>
  <si>
    <t>3 марта 2025 – 9 марта 2025</t>
  </si>
  <si>
    <t>10 марта 2025 – 16 марта 2025</t>
  </si>
  <si>
    <t>17 марта 2025 – 23 марта 2025</t>
  </si>
  <si>
    <t>24 марта 2025 – 30 марта 2025</t>
  </si>
  <si>
    <t>31 марта 2025 – 6 апреля 2025</t>
  </si>
  <si>
    <t>7 апреля 2025 – 13 апреля 2025</t>
  </si>
  <si>
    <t>14 апреля 2025 – 20 апреля 2025</t>
  </si>
  <si>
    <t>21 апреля 2025 – 27 апреля 2025</t>
  </si>
  <si>
    <t>28 апреля 2025 – 4 мая 2025</t>
  </si>
  <si>
    <t>5 мая 2025 – 11 мая 2025</t>
  </si>
  <si>
    <t>12 мая 2025 – 18 мая 2025</t>
  </si>
  <si>
    <t>19 мая 2025 – 25 мая 2025</t>
  </si>
  <si>
    <t>26 мая 2025 – 1 июня 2025</t>
  </si>
  <si>
    <t>2 июня 2025 – 8 июня 2025</t>
  </si>
  <si>
    <t>9 июня 2025 – 15 июня 2025</t>
  </si>
  <si>
    <t>16 июня 2025 – 22 июня 2025</t>
  </si>
  <si>
    <t>23 июня 2025 – 29 июня 2025</t>
  </si>
  <si>
    <t>30 июня 2025 – 6 июля 2025</t>
  </si>
  <si>
    <t>7 июля 2025 – 13 июля 2025</t>
  </si>
  <si>
    <t>14 июля 2025 – 20 июля 2025</t>
  </si>
  <si>
    <t>21 июля 2025 – 27 июля 2025</t>
  </si>
  <si>
    <t>28 июля 2025 – 3 августа 2025</t>
  </si>
  <si>
    <t>4 августа 2025 – 10 августа 2025</t>
  </si>
  <si>
    <t>11 августа 2025 – 17 августа 2025</t>
  </si>
  <si>
    <t>18 августа 2025 – 24 августа 2025</t>
  </si>
  <si>
    <t>25 августа 2025 – 31 августа 2025</t>
  </si>
  <si>
    <t>1 сентября 2025 – 7 сентября 2025</t>
  </si>
  <si>
    <t>8 сентября 2025 – 14 сентября 2025</t>
  </si>
  <si>
    <t>15 сентября 2025 – 21 сентября 2025</t>
  </si>
  <si>
    <t>22 сентября 2025 – 28 сентября 2025</t>
  </si>
  <si>
    <t>29 сентября 2025 – 5 октября 2025</t>
  </si>
  <si>
    <t>6 октября 2025 – 12 октября 2025</t>
  </si>
  <si>
    <t>13 октября 2025 – 19 октября 2025</t>
  </si>
  <si>
    <t>20 октября 2025 – 26 октября 2025</t>
  </si>
  <si>
    <t>27 октября 2025 – 2 ноября 2025</t>
  </si>
  <si>
    <t>3 ноября 2025 – 9 ноября 2025</t>
  </si>
  <si>
    <t>10 ноября 2025 – 16 ноября 2025</t>
  </si>
  <si>
    <t>17 ноября 2025 – 23 ноября 2025</t>
  </si>
  <si>
    <t>24 ноября 2025 – 30 ноября 2025</t>
  </si>
  <si>
    <t>1 декабря 2025 – 7 декабря 2025</t>
  </si>
  <si>
    <t>8 декабря 2025 – 14 декабря 2025</t>
  </si>
  <si>
    <t>15 декабря 2025 – 21 декабря 2025</t>
  </si>
  <si>
    <t>22 декабря 2025 – 28 декабря 2025</t>
  </si>
  <si>
    <t>29 декабря 2025 – 4 января 2026</t>
  </si>
  <si>
    <t>5 января 2026 – 11 января 2026</t>
  </si>
  <si>
    <t>12 января 2026 – 18 января 2026</t>
  </si>
  <si>
    <t>19 января 2026 – 25 января 2026</t>
  </si>
  <si>
    <t>26 января 2026 – 1 февраля 2026</t>
  </si>
  <si>
    <t>2 февраля 2026 – 8 февраля 2026</t>
  </si>
  <si>
    <t>9 февраля 2026 – 15 февраля 2026</t>
  </si>
  <si>
    <t>16 февраля 2026 – 22 февраля 2026</t>
  </si>
  <si>
    <t>23 февраля 2026 – 1 марта 2026</t>
  </si>
  <si>
    <t>2 марта 2026 – 8 марта 2026</t>
  </si>
  <si>
    <t>9 марта 2026 – 15 марта 2026</t>
  </si>
  <si>
    <t>16 марта 2026 – 22 марта 2026</t>
  </si>
  <si>
    <t>23 марта 2026 – 29 марта 2026</t>
  </si>
  <si>
    <t>30 марта 2026 – 5 апреля 2026</t>
  </si>
  <si>
    <t>6 апреля 2026 – 12 апреля 2026</t>
  </si>
  <si>
    <t>13 апреля 2026 – 19 апреля 2026</t>
  </si>
  <si>
    <t>20 апреля 2026 – 26 апреля 2026</t>
  </si>
  <si>
    <t>27 апреля 2026 – 3 мая 2026</t>
  </si>
  <si>
    <t>4 мая 2026 – 10 мая 2026</t>
  </si>
  <si>
    <t>11 мая 2026 – 17 мая 2026</t>
  </si>
  <si>
    <t>18 мая 2026 – 24 мая 2026</t>
  </si>
  <si>
    <t>25 мая 2026 – 31 мая 2026</t>
  </si>
  <si>
    <t>1 июня 2026 – 7 июня 2026</t>
  </si>
  <si>
    <t>8 июня 2026 – 14 июня 2026</t>
  </si>
  <si>
    <t>15 июня 2026 – 21 июня 2026</t>
  </si>
  <si>
    <t>22 июня 2026 – 28 июня 2026</t>
  </si>
  <si>
    <t>29 июня 2026 – 5 июля 2026</t>
  </si>
  <si>
    <t>6 июля 2026 – 12 июля 2026</t>
  </si>
  <si>
    <t>Периоды заданы выгрузкой Wordstat. Успешный лид = стадия «Качественный лид».</t>
  </si>
  <si>
    <t>Все лиды</t>
  </si>
  <si>
    <t>Качественные лиды</t>
  </si>
  <si>
    <t>Запросы Wordstat</t>
  </si>
  <si>
    <t>Доля качественных</t>
  </si>
  <si>
    <t>Недельная аналитика: 27.12.2021–12.07.2026</t>
  </si>
  <si>
    <t>Всего лидов</t>
  </si>
  <si>
    <t>Качественных лидов</t>
  </si>
  <si>
    <t>Запросов Wordstat</t>
  </si>
  <si>
    <t>Недель в анализе</t>
  </si>
  <si>
    <t>Корреляция Пирсона</t>
  </si>
  <si>
    <t>Показатель</t>
  </si>
  <si>
    <t>Коэффициент r</t>
  </si>
  <si>
    <t>Интерпретация</t>
  </si>
  <si>
    <t>Запросы ↔ все лиды</t>
  </si>
  <si>
    <t>Запросы ↔ качественные лиды</t>
  </si>
  <si>
    <t>Лиды и качественные лиды — левая шкала; запросы Wordstat — правая шкала</t>
  </si>
  <si>
    <t>Шаг данных — 1 неделя. Подписи на оси показаны реже для читаемости; каждая точка линии соответствует отдельной неделе.</t>
  </si>
  <si>
    <t>Ян Попов - Авито - Левша-Сервис открытая линия</t>
  </si>
  <si>
    <t>Попов</t>
  </si>
  <si>
    <t xml:space="preserve">PDR Не рем </t>
  </si>
  <si>
    <t xml:space="preserve">ПДР не рем </t>
  </si>
  <si>
    <t>АвтоМастер</t>
  </si>
  <si>
    <t>АА</t>
  </si>
  <si>
    <t>ПДР не рем</t>
  </si>
  <si>
    <t>Rush</t>
  </si>
  <si>
    <t>ПДР</t>
  </si>
  <si>
    <t>Рустам - Авито - Левша-Сервис открытая линия</t>
  </si>
  <si>
    <t>Станислав - Авито - Левша-Сервис открытая линия</t>
  </si>
  <si>
    <t>АА - Авито - Левша-Сервис открытая линия</t>
  </si>
  <si>
    <t>PDR осмотр на 15,07</t>
  </si>
  <si>
    <t xml:space="preserve">по записи </t>
  </si>
  <si>
    <t xml:space="preserve">гранта PDR отмена записи- продал машину </t>
  </si>
  <si>
    <t>пдр жду фото</t>
  </si>
  <si>
    <t>Шангареев</t>
  </si>
  <si>
    <t xml:space="preserve">PDR малярные работы </t>
  </si>
  <si>
    <t>Абашин</t>
  </si>
  <si>
    <t>Максим - Авито - Левша-Сервис открытая линия</t>
  </si>
  <si>
    <t>PDR (сильно поломаны рёбра , деталь под замену )</t>
  </si>
  <si>
    <t xml:space="preserve">к5 пдр бампера </t>
  </si>
  <si>
    <t xml:space="preserve">пдр оценка в макс </t>
  </si>
  <si>
    <t>поздоровался</t>
  </si>
  <si>
    <t>Петровский</t>
  </si>
  <si>
    <t>Оценка ПДр по фото Иван</t>
  </si>
  <si>
    <t>J1zuZQgq3L1t1CRfwOG5</t>
  </si>
  <si>
    <t>Франкфурт</t>
  </si>
  <si>
    <t>Оценка ПДР в максе Валерий (фото кота)</t>
  </si>
  <si>
    <t>cZW9O4HCIEvk13bZlIb7</t>
  </si>
  <si>
    <t xml:space="preserve">Осмотр ПДР </t>
  </si>
  <si>
    <t xml:space="preserve">ПДР на осмотр </t>
  </si>
  <si>
    <t>уценка ущерба ДТП / не рем</t>
  </si>
  <si>
    <t xml:space="preserve">Оценка ПДР, стоят разбираются кому сколько денег отдать / оценка в ТГ / под покраску </t>
  </si>
  <si>
    <t>uXy61vuj769O7HOTySNU</t>
  </si>
  <si>
    <t xml:space="preserve">Оценка ПДР в максе, Зкрыло пригласил на осмотр </t>
  </si>
  <si>
    <t>ПДР хавал ф7х 15,07</t>
  </si>
  <si>
    <t>ПДР  не рем</t>
  </si>
  <si>
    <t>#ИМЯ?</t>
  </si>
  <si>
    <t>ПДР по фото, не ремонтируемо</t>
  </si>
  <si>
    <t>Ob8fL95Hslh81pNw44cc</t>
  </si>
  <si>
    <t>Иван Кардин - Открытая линия Левша</t>
  </si>
  <si>
    <t>Кардин</t>
  </si>
  <si>
    <t>Интеграл - Инерт - Авито - Левша-Сервис открытая линия</t>
  </si>
  <si>
    <t>Интеграл - Инерт</t>
  </si>
  <si>
    <t xml:space="preserve">на осмотр PDR </t>
  </si>
  <si>
    <t>PDR ларгус</t>
  </si>
  <si>
    <t>Петрович</t>
  </si>
  <si>
    <t xml:space="preserve">PDR пока нет понимания когда приедет </t>
  </si>
  <si>
    <t>awpWc5VaunheDcJq8Qm4</t>
  </si>
  <si>
    <t>Саратов</t>
  </si>
  <si>
    <t xml:space="preserve">PDR Х5 по чату </t>
  </si>
  <si>
    <t xml:space="preserve">10,07 PDR </t>
  </si>
  <si>
    <t xml:space="preserve">PDR по АВИТО </t>
  </si>
  <si>
    <t>крета осмотр крышки багажника 8,07</t>
  </si>
  <si>
    <t xml:space="preserve">Прозвон на актуальность ПДР </t>
  </si>
  <si>
    <t>Тякин</t>
  </si>
  <si>
    <t>ПДР дверь веста / фото</t>
  </si>
  <si>
    <t>Ильин</t>
  </si>
  <si>
    <t>Сергей - Авито - ПДР на пороге</t>
  </si>
  <si>
    <t>Оценка ПДР Х5 в тг две двери</t>
  </si>
  <si>
    <t>Артем Никольский - Открытая линия Левша</t>
  </si>
  <si>
    <t>Никольский</t>
  </si>
  <si>
    <t>Николай Ильин - Открытая линия Левша</t>
  </si>
  <si>
    <t>Артем - Авито - Левша-Сервис открытая линия</t>
  </si>
  <si>
    <t xml:space="preserve">Pdr позвонить как Дима на 15,07 </t>
  </si>
  <si>
    <t xml:space="preserve">PDR (малярные работы) </t>
  </si>
  <si>
    <t>jIWHDOvOP9IwZNFejuAi</t>
  </si>
  <si>
    <t>PDR</t>
  </si>
  <si>
    <t xml:space="preserve">пдр </t>
  </si>
  <si>
    <t>PDr</t>
  </si>
  <si>
    <t>Leonid</t>
  </si>
  <si>
    <t>7,07</t>
  </si>
  <si>
    <t>z5bi0HZmA0DHzhxNu4Lx</t>
  </si>
  <si>
    <t xml:space="preserve">PDR на осмотр </t>
  </si>
  <si>
    <t>ww40v4GJCZ0LVHUvZy7q</t>
  </si>
  <si>
    <t xml:space="preserve">PDR (не ремонтный ) </t>
  </si>
  <si>
    <t>Дворянский</t>
  </si>
  <si>
    <t xml:space="preserve">После града ПДР / машина в китае / нужна была оценка </t>
  </si>
  <si>
    <t>Вмятина на баке мотоцикла</t>
  </si>
  <si>
    <t>удаление вмятины без покраски самара</t>
  </si>
  <si>
    <t>cDJ1ofiOvUj1o7MIAhNA</t>
  </si>
  <si>
    <t>Оценка ПДР капот . замена капота</t>
  </si>
  <si>
    <t xml:space="preserve">звонок по готовности </t>
  </si>
  <si>
    <t>8Vlx39zPOsT9W1CVUhHN</t>
  </si>
  <si>
    <t>Оценка ПДР в максе</t>
  </si>
  <si>
    <t>JnDb2PQprELI298L8BtD</t>
  </si>
  <si>
    <t>пдр джтлт атлас</t>
  </si>
  <si>
    <t xml:space="preserve">ПДР туксон </t>
  </si>
  <si>
    <t>Chery Arrizo № м383рх763 ПДР</t>
  </si>
  <si>
    <t>звонок по готовности пдр</t>
  </si>
  <si>
    <t>Lada Vesta № к109хк124 ПДР 24,06</t>
  </si>
  <si>
    <t>Еремин</t>
  </si>
  <si>
    <t xml:space="preserve">Оценка ПДР вмятина вод дверь , калюжному отправил в максе </t>
  </si>
  <si>
    <t xml:space="preserve">pdr </t>
  </si>
  <si>
    <t xml:space="preserve">сколы на автомобиле на ЛКП </t>
  </si>
  <si>
    <t>KUBMXsHjLq3RPW6Ooy4l</t>
  </si>
  <si>
    <t>PDR (царапины ) не приехала и не отвечает</t>
  </si>
  <si>
    <t>fJrDWjpdyUtLMx7Y9iYz</t>
  </si>
  <si>
    <t>Варшава</t>
  </si>
  <si>
    <t>17,06 ПДР</t>
  </si>
  <si>
    <t>20,06 ПДР вмятина Михаил в 12:00</t>
  </si>
  <si>
    <t xml:space="preserve">16.06 ПДР </t>
  </si>
  <si>
    <t xml:space="preserve">Приезжал на оценку, оценили в 18.000, как ему страховка выплатит тогда будет обращаться </t>
  </si>
  <si>
    <t xml:space="preserve">пдр прадик </t>
  </si>
  <si>
    <t>Пасечников</t>
  </si>
  <si>
    <t xml:space="preserve">PDR Kia Sorenta </t>
  </si>
  <si>
    <t>Хендай солярис осмотр пдр после града 12,06</t>
  </si>
  <si>
    <t>Василий-И-Ольга</t>
  </si>
  <si>
    <t>Васины</t>
  </si>
  <si>
    <t>Киа сиид ПДР Чат</t>
  </si>
  <si>
    <t>Болотов</t>
  </si>
  <si>
    <t>вмятина на бампере</t>
  </si>
  <si>
    <t xml:space="preserve">Салават </t>
  </si>
  <si>
    <t>ПДР Оценка по фото, не сделаем</t>
  </si>
  <si>
    <t xml:space="preserve">12,06 на PRD </t>
  </si>
  <si>
    <t xml:space="preserve">Антон пдр фокус </t>
  </si>
  <si>
    <t>ПДР И ТОНЕР</t>
  </si>
  <si>
    <t>Бежецкий</t>
  </si>
  <si>
    <t>Оценка повреждения в максе</t>
  </si>
  <si>
    <t>Савватий Балабанов ПДР</t>
  </si>
  <si>
    <t>Савватий</t>
  </si>
  <si>
    <t>Балабанов</t>
  </si>
  <si>
    <t>Оценка поврежддения по фото, дорого</t>
  </si>
  <si>
    <t xml:space="preserve">ПДР хавал дарго / выбирает даты </t>
  </si>
  <si>
    <t>Оценка ПДР</t>
  </si>
  <si>
    <t>БМВ 5 осмотр ПДР 4.06</t>
  </si>
  <si>
    <t xml:space="preserve">pdr по фото </t>
  </si>
  <si>
    <t>Теркунова Виктория Александровна</t>
  </si>
  <si>
    <t xml:space="preserve">PDr порог переварить </t>
  </si>
  <si>
    <t xml:space="preserve">ПДР дорого </t>
  </si>
  <si>
    <t>Галкина</t>
  </si>
  <si>
    <t xml:space="preserve">Дубликат ответа в вк </t>
  </si>
  <si>
    <t>Чучко</t>
  </si>
  <si>
    <t>ПДР не  рем</t>
  </si>
  <si>
    <t>30,05 ПДР</t>
  </si>
  <si>
    <t>Юлия Галкина - Открытая линия Левша ПДР</t>
  </si>
  <si>
    <t>узнал стоиость пдр</t>
  </si>
  <si>
    <t>PDR на Haval Dargo на 29,05 к 10:00</t>
  </si>
  <si>
    <t>Пдр по фото, не ремонтируемое</t>
  </si>
  <si>
    <t>Дмитрий Хонякин - Оценка ПДР по фото</t>
  </si>
  <si>
    <t>Хонякин</t>
  </si>
  <si>
    <t>создана запись на PDR на 30,05</t>
  </si>
  <si>
    <t xml:space="preserve">PDR по чату </t>
  </si>
  <si>
    <t>Оценка ПДР чанган на раб тел 15 тыс с полир</t>
  </si>
  <si>
    <t xml:space="preserve">PDR на грузовом авто </t>
  </si>
  <si>
    <t>Оценка пдр , не ремонтируемо</t>
  </si>
  <si>
    <t>Оценка пдр дорого</t>
  </si>
  <si>
    <t xml:space="preserve">PDR c эл-ми малярных работ </t>
  </si>
  <si>
    <t>ПДР двери по фото в чате ВК</t>
  </si>
  <si>
    <t>ПДР осмотр ра4 21.05</t>
  </si>
  <si>
    <t xml:space="preserve">Оценка ПДР в чате вк </t>
  </si>
  <si>
    <t>Алексей Блинов - Открытая линия Левша</t>
  </si>
  <si>
    <t>Блинов</t>
  </si>
  <si>
    <t xml:space="preserve">хавал джулион осмотр пдр 19,05 </t>
  </si>
  <si>
    <t>София</t>
  </si>
  <si>
    <t>Старухина</t>
  </si>
  <si>
    <t>Оценка ПДР по фото в Макс ДОлжны скинуть вечером</t>
  </si>
  <si>
    <t>Оценка ПДР в чате</t>
  </si>
  <si>
    <t>Оценка ПДР крета 16,05</t>
  </si>
  <si>
    <t xml:space="preserve">Оценка ПДР в Максе / узнавал для шефа </t>
  </si>
  <si>
    <t xml:space="preserve">Дмитрий Булатов - Открытая линия Левша / ПДР оценка </t>
  </si>
  <si>
    <t>Булатов</t>
  </si>
  <si>
    <t>Оценка ПДР в ТГ , замят пластик а не метал, не сделаем</t>
  </si>
  <si>
    <t>7 927 205-95-33 - Входящий звонок</t>
  </si>
  <si>
    <t xml:space="preserve">Отмена записи PDr </t>
  </si>
  <si>
    <t>чанган пдр  9,05</t>
  </si>
  <si>
    <t xml:space="preserve">09,05 PDR </t>
  </si>
  <si>
    <t xml:space="preserve">Оценка ПДР </t>
  </si>
  <si>
    <t>Осмотр ПДР , не приехал</t>
  </si>
  <si>
    <t>ПДР 08,05 Каен</t>
  </si>
  <si>
    <t xml:space="preserve">Шкода октавия / предаврительно пдр по фото в макс </t>
  </si>
  <si>
    <t>09,05 Хавал Н7 ПДР</t>
  </si>
  <si>
    <t>05,05 Осмотр ПДР приедет в 16:00</t>
  </si>
  <si>
    <t>ПДР оценка телеграм</t>
  </si>
  <si>
    <t xml:space="preserve">ПДР / не уд дата / как поределиться со временем запишется </t>
  </si>
  <si>
    <t xml:space="preserve">Чат ПДР / не выходит на связь </t>
  </si>
  <si>
    <t>Армен</t>
  </si>
  <si>
    <t>Рафикович</t>
  </si>
  <si>
    <t>Клиент отправил фото на оценку в макс</t>
  </si>
  <si>
    <t>7 937 207-45-55 - Входящий звонок</t>
  </si>
  <si>
    <t>ПДР на 29,04 Gelly</t>
  </si>
  <si>
    <t>7 986 958-60-33 - Входящий звонок</t>
  </si>
  <si>
    <t>7 987 941-07-92 - Входящий звонок</t>
  </si>
  <si>
    <t>Марат Шабаев - Открытая линия Левша</t>
  </si>
  <si>
    <t>7 902 335-73-31 - Исходящий звонок</t>
  </si>
  <si>
    <t xml:space="preserve">PDR на капоте с покрасом </t>
  </si>
  <si>
    <t xml:space="preserve">вмятина осмотр </t>
  </si>
  <si>
    <t>Pdr на осмотр на 28,05</t>
  </si>
  <si>
    <t xml:space="preserve">02,04 Corolla </t>
  </si>
  <si>
    <t xml:space="preserve">мурано т439хт 6,05 полировка ПДР </t>
  </si>
  <si>
    <t>ПДР туксон 30,04</t>
  </si>
  <si>
    <t>Юрьевич</t>
  </si>
  <si>
    <t>неремонтируемое повредждение</t>
  </si>
  <si>
    <t xml:space="preserve">Паджеро спорт осмотр ПДР / приедет как будет время / нет точных дат визита </t>
  </si>
  <si>
    <t>7 927 703-24-55 - Входящий звонок</t>
  </si>
  <si>
    <t>7 917 116-37-68 - Входящий звонок</t>
  </si>
  <si>
    <t>7 929 704-77-11 - Входящий звонок</t>
  </si>
  <si>
    <t>Николай Кишов - Открытая линия Левша</t>
  </si>
  <si>
    <t>Кишов</t>
  </si>
  <si>
    <t>Денис Рябцев - Открытая линия Левша</t>
  </si>
  <si>
    <t>7 917 107-22-17 - Входящий звонок</t>
  </si>
  <si>
    <t>Евгений Шилов - Открытая линия Левша</t>
  </si>
  <si>
    <t>Шилов</t>
  </si>
  <si>
    <t xml:space="preserve">ПДР осмотр / как будет возможность заедет на осмотр </t>
  </si>
  <si>
    <t>х507кр163 Peugeot 4007 осмотр пдр 21,04</t>
  </si>
  <si>
    <t>23,04 ПДР и пленка Омода с5</t>
  </si>
  <si>
    <t xml:space="preserve">осмотр пдр киа рио 21,04 </t>
  </si>
  <si>
    <t>Оценка ПДР  на 26.04 хочет, надо бы на 27.04 пригласить</t>
  </si>
  <si>
    <t xml:space="preserve">Оценка ПДР по фото в ТГ/макс // ждемс </t>
  </si>
  <si>
    <t xml:space="preserve">ПДР, не рем </t>
  </si>
  <si>
    <t>Сыркин</t>
  </si>
  <si>
    <t xml:space="preserve">оценка пдр в макс </t>
  </si>
  <si>
    <t xml:space="preserve">ПДР и дефект / оценка ТГ </t>
  </si>
  <si>
    <t xml:space="preserve">22,04 PRD багажник и капот сразу в работу </t>
  </si>
  <si>
    <t>7 917 153-53-40 - Входящий звонок</t>
  </si>
  <si>
    <t>осмотр PDR 15.04</t>
  </si>
  <si>
    <t xml:space="preserve">Оценка ПДР по фото </t>
  </si>
  <si>
    <t xml:space="preserve">Оценка пдр по фото / не рем </t>
  </si>
  <si>
    <t>Осмотр ПДР ЛК 11,04</t>
  </si>
  <si>
    <t xml:space="preserve">Консультация по ценам полировка царапин и пдр </t>
  </si>
  <si>
    <t>Осмотр вмятины на крыше, 5000р , будет думать по времени</t>
  </si>
  <si>
    <t>Осомтр ПДР Мотоцикл, не приехал</t>
  </si>
  <si>
    <t>Оценка ПДР 11,04</t>
  </si>
  <si>
    <t xml:space="preserve">осмотр ПДР дубликат заявки </t>
  </si>
  <si>
    <t xml:space="preserve">PDr </t>
  </si>
  <si>
    <t>7 937 172-79-71 - Входящий звонок</t>
  </si>
  <si>
    <t>7 927 707-95-91 - Входящий звонок</t>
  </si>
  <si>
    <t>7 917 825-77-63 - Исходящий звонок</t>
  </si>
  <si>
    <t>7 927 710-52-01 - Входящий звонок</t>
  </si>
  <si>
    <t>PDR на 10,04</t>
  </si>
  <si>
    <t>7 902 427-90-11 - Входящий звонок</t>
  </si>
  <si>
    <t>9,04</t>
  </si>
  <si>
    <t>детейлинг центр левша самара.mobile.Нефтегорск</t>
  </si>
  <si>
    <t>осмотр ПДР 7,04</t>
  </si>
  <si>
    <t>ПДР киа сеед / осмотр 7,04</t>
  </si>
  <si>
    <t>11,04 ПДР Мерс С</t>
  </si>
  <si>
    <t>25,04 ПДР Рав4</t>
  </si>
  <si>
    <t>Evgeny Nikolaevich - Открытая линия Левша</t>
  </si>
  <si>
    <t>Nikolaevich</t>
  </si>
  <si>
    <t>Оценка повреждения по фото в тг , должен скинуть фото</t>
  </si>
  <si>
    <t xml:space="preserve">PRD </t>
  </si>
  <si>
    <t>Оценка повреждения по фото, сказала спасибо за оценку.</t>
  </si>
  <si>
    <t>дубликат ПДР</t>
  </si>
  <si>
    <t>джили атлас 382 пдр осмотр 31,04</t>
  </si>
  <si>
    <t xml:space="preserve">ПДР джулион не рем / фото в тг </t>
  </si>
  <si>
    <t>оценка царапины на телеграмм</t>
  </si>
  <si>
    <t>Pdr</t>
  </si>
  <si>
    <t>7 924 206-11-29 - Входящий звонок</t>
  </si>
  <si>
    <t xml:space="preserve">скол +PRD </t>
  </si>
  <si>
    <t xml:space="preserve">PDR молярка + антикор </t>
  </si>
  <si>
    <t>7 922 837-45-11 - Входящий звонок</t>
  </si>
  <si>
    <t xml:space="preserve">PDR для друга </t>
  </si>
  <si>
    <t>7 927 740-79-93 - Входящий звонок</t>
  </si>
  <si>
    <t xml:space="preserve">оценка пдр / ждем фото </t>
  </si>
  <si>
    <t xml:space="preserve">ПДР для товарища / товарищ перезвонит с другого номера </t>
  </si>
  <si>
    <t xml:space="preserve">Олеся </t>
  </si>
  <si>
    <t>7 937 648-77-70 - Входящий звонок</t>
  </si>
  <si>
    <t>24.03 Хавал Ф7 ПДР и полировка</t>
  </si>
  <si>
    <t>оценка вмятины тг</t>
  </si>
  <si>
    <t xml:space="preserve">24,03 Вольво ПДР </t>
  </si>
  <si>
    <t>ПДР лада гранта 26,03</t>
  </si>
  <si>
    <t xml:space="preserve">ПДР 18,03 осмотр </t>
  </si>
  <si>
    <t>Оценка ПДР в тг по фото</t>
  </si>
  <si>
    <t>7 927 720-96-69 - Входящий звонок</t>
  </si>
  <si>
    <t>ПДР скинули в ТГ</t>
  </si>
  <si>
    <t xml:space="preserve">PDR на раф </t>
  </si>
  <si>
    <t>Pdr на осмотр 17,03</t>
  </si>
  <si>
    <t xml:space="preserve">PDR осмотр на 17,03 </t>
  </si>
  <si>
    <t xml:space="preserve">Pdr к мастеру , но не хотят в Вт </t>
  </si>
  <si>
    <t xml:space="preserve">Пдр на капоте / дорого / оценка в ТГ </t>
  </si>
  <si>
    <t>ПДР веста 18 000р 17,03</t>
  </si>
  <si>
    <t xml:space="preserve">Ильяс </t>
  </si>
  <si>
    <t>12,03 ПДР Форд Куга</t>
  </si>
  <si>
    <t>11,03 НК + ПДР + пленка на стойках БМВ 5</t>
  </si>
  <si>
    <t xml:space="preserve">13,03 PDR на осомтр </t>
  </si>
  <si>
    <t>PDR осмотр на 11,03</t>
  </si>
  <si>
    <t xml:space="preserve">Pdr </t>
  </si>
  <si>
    <t xml:space="preserve">PDR c сильными царапинами </t>
  </si>
  <si>
    <t>Оценка ПДР / а там бампер вмялся</t>
  </si>
  <si>
    <t xml:space="preserve">Вытянуть стойку после ДТП </t>
  </si>
  <si>
    <t>Ждем фото повреждения в телеграмм</t>
  </si>
  <si>
    <t>Оценка ПДР кашкай пришлет 06,03 в ТГ</t>
  </si>
  <si>
    <t>7 937 170-36-27 - Входящий звонок</t>
  </si>
  <si>
    <t>Оценка ПДР по фото в телеграмм</t>
  </si>
  <si>
    <t xml:space="preserve">PDR на осмотр 03,03 </t>
  </si>
  <si>
    <t>7 927 601-27-24 - Входящий звонок</t>
  </si>
  <si>
    <t>Денис - Авито - Левша-Сервис открытая линия</t>
  </si>
  <si>
    <t>осмотр ПДР 3,03</t>
  </si>
  <si>
    <t>Оценка ПДР по фото в телеграмме</t>
  </si>
  <si>
    <t>оценка пдр мазда сх-5 / 7000р</t>
  </si>
  <si>
    <t>28.02 приедет на оценку вмятины на крышке багажника Веста</t>
  </si>
  <si>
    <t>Оценка ПДР фото в телеграмм</t>
  </si>
  <si>
    <t>Оценка пдр должен подъехать 27,02</t>
  </si>
  <si>
    <t xml:space="preserve">вмятина на пластике на фендере </t>
  </si>
  <si>
    <t>7 937 076-67-97 - Входящий звонок</t>
  </si>
  <si>
    <t xml:space="preserve">восстановление сколов на ЛКП </t>
  </si>
  <si>
    <t xml:space="preserve">PDr на 28,02 осмотр </t>
  </si>
  <si>
    <t xml:space="preserve">PDR по чат я скинул в Тг повреждения </t>
  </si>
  <si>
    <t xml:space="preserve">PDR на осомтр </t>
  </si>
  <si>
    <t>оценка пдр 24,02</t>
  </si>
  <si>
    <t>ПДР субару осмотр 24,02</t>
  </si>
  <si>
    <t>оценка пдр / ничего не прислал</t>
  </si>
  <si>
    <t>Спортаж осмотр пдр 28,02</t>
  </si>
  <si>
    <t>7 927 734-79-05 - Входящий звонок</t>
  </si>
  <si>
    <t>7 917 102-02-61 - Входящий звонок</t>
  </si>
  <si>
    <t>7 999 171-85-85 - Входящий звонок</t>
  </si>
  <si>
    <t>осмотр ПДР связь 17,02</t>
  </si>
  <si>
    <t xml:space="preserve">ПДР осмотр / отложили </t>
  </si>
  <si>
    <t>Оценка повреждений на телеграмм</t>
  </si>
  <si>
    <t>PDR на 14,02</t>
  </si>
  <si>
    <t xml:space="preserve">мазда сх5 17,02 ПДР осмотр </t>
  </si>
  <si>
    <t xml:space="preserve">осмотр PDR </t>
  </si>
  <si>
    <t>Осмотр ПДР Ауди А6 11,02</t>
  </si>
  <si>
    <t xml:space="preserve">осмтр пдр / в малярку </t>
  </si>
  <si>
    <t xml:space="preserve">Пользователь - Авито - Оценка ПДР </t>
  </si>
  <si>
    <t>ПДР фото оценки в телеграмме</t>
  </si>
  <si>
    <t>7 927 738-58-40 - Исходящий звонок</t>
  </si>
  <si>
    <t>Bulanov</t>
  </si>
  <si>
    <t>Konstantin</t>
  </si>
  <si>
    <t>Анатолий - Оценка ПДР</t>
  </si>
  <si>
    <t xml:space="preserve">Пдр осмотр </t>
  </si>
  <si>
    <t xml:space="preserve">вставить бампер на место (упёрлась в сугроб ) </t>
  </si>
  <si>
    <t>7 963 910-74-11 - Входящий звонок</t>
  </si>
  <si>
    <t xml:space="preserve">ПДР приглашен на осмотр, не может назвать точную дату когда сможет </t>
  </si>
  <si>
    <t>Другое</t>
  </si>
  <si>
    <t xml:space="preserve">ПДР калина / под покраску / фото в ТГ </t>
  </si>
  <si>
    <t>7 927 720-65-96 - Исходящий звонок</t>
  </si>
  <si>
    <t>Оценка вмятин выездной мастер</t>
  </si>
  <si>
    <t xml:space="preserve">малярные работы по бамперу </t>
  </si>
  <si>
    <t>7 916 261-81-76 - Входящий звонок</t>
  </si>
  <si>
    <t xml:space="preserve">PDR (сказал похже свяжется) </t>
  </si>
  <si>
    <t>осмотр PDR по чату от Салынского на осмотр 27,01</t>
  </si>
  <si>
    <t xml:space="preserve">пдр не уд дата для осмотра </t>
  </si>
  <si>
    <t>Приглашен на осмотр ПДР 24,01</t>
  </si>
  <si>
    <t>7 919 801-37-27 - Входящий звонок</t>
  </si>
  <si>
    <t>Надир Рахмонкулов - Открытая линия Левша</t>
  </si>
  <si>
    <t>Надир</t>
  </si>
  <si>
    <t>Рахмонкулов</t>
  </si>
  <si>
    <t>7 927 260-97-29 - Исходящий звонок</t>
  </si>
  <si>
    <t>7 927 260-12-50 - Исходящий звонок</t>
  </si>
  <si>
    <t xml:space="preserve">PDr по чату </t>
  </si>
  <si>
    <t xml:space="preserve">PDR  Mazda 6 </t>
  </si>
  <si>
    <t xml:space="preserve">PDR от Артака </t>
  </si>
  <si>
    <t xml:space="preserve">PDR не рем / авито чат </t>
  </si>
  <si>
    <t>Wen</t>
  </si>
  <si>
    <t>ПДР осмотр 20,01</t>
  </si>
  <si>
    <t>ПДР Чат / не готов записаться</t>
  </si>
  <si>
    <t>Гричковский</t>
  </si>
  <si>
    <t>ПДР / ЧАТ не отвечает</t>
  </si>
  <si>
    <t>Столяров</t>
  </si>
  <si>
    <t>Виктор Водяшкин - Оценка ПДР</t>
  </si>
  <si>
    <t>Водяшкин</t>
  </si>
  <si>
    <t xml:space="preserve">Руслан Мубараков - Оценка ПДР </t>
  </si>
  <si>
    <t>Мубараков</t>
  </si>
  <si>
    <t xml:space="preserve">пдр оценка / не рем </t>
  </si>
  <si>
    <t>Оценка ПДР приедет 16-17,01</t>
  </si>
  <si>
    <t>затянуть машину</t>
  </si>
  <si>
    <t>7 917 033-81-88 - Входящий звонок</t>
  </si>
  <si>
    <t>Kia Sportage PDR 16.01</t>
  </si>
  <si>
    <t>Тёма Амиров - Открытая линия Левша</t>
  </si>
  <si>
    <t>Тёма</t>
  </si>
  <si>
    <t>Амиров</t>
  </si>
  <si>
    <t>7 922 442-88-94 - Входящий звонок</t>
  </si>
  <si>
    <t>7 991 795-93-05 - Входящий звонок</t>
  </si>
  <si>
    <t>Осмотр ПДР 11,01</t>
  </si>
  <si>
    <t>Николай Шполяренко - Вмятина</t>
  </si>
  <si>
    <t>Lada Xray № С129ХУ73 ПДР</t>
  </si>
  <si>
    <t>12,01 осмотр ПДР</t>
  </si>
  <si>
    <t>7 927 737-22-40 - Входящий звонок</t>
  </si>
  <si>
    <t>PDR осмотр</t>
  </si>
  <si>
    <t>ПДР киа спортаж 291 16,01</t>
  </si>
  <si>
    <t>ПДР после 13 подумает если что позвонит</t>
  </si>
  <si>
    <t>Оценка вмятины скинет на телеграмм</t>
  </si>
  <si>
    <t xml:space="preserve">Оценка ПДР / не ремонтируем </t>
  </si>
  <si>
    <t>30,12</t>
  </si>
  <si>
    <t>7 927 266-88-70 - Входящий звонок</t>
  </si>
  <si>
    <t xml:space="preserve">PDR скорее всего </t>
  </si>
  <si>
    <t>Калюжнов</t>
  </si>
  <si>
    <t>7 902 008-50-95 - Входящий звонок</t>
  </si>
  <si>
    <t xml:space="preserve">PDr покрас </t>
  </si>
  <si>
    <t xml:space="preserve">дубликат шуша уже общался </t>
  </si>
  <si>
    <t xml:space="preserve">Удалить вмятину на камазе </t>
  </si>
  <si>
    <t>Вмятина оценка по фото в телеграм</t>
  </si>
  <si>
    <t>konkurenty</t>
  </si>
  <si>
    <t xml:space="preserve">ПДР Чат </t>
  </si>
  <si>
    <t>Абдуллох</t>
  </si>
  <si>
    <t>Оценка вмятины Чери тиго 7 на телеграмм 10-15</t>
  </si>
  <si>
    <t>вмятин без покраски</t>
  </si>
  <si>
    <t>ПДР 26.12 Хавал Джулион</t>
  </si>
  <si>
    <t>Осмотр ПДР</t>
  </si>
  <si>
    <t>Сергей Буренин - Открытая линия Левша</t>
  </si>
  <si>
    <t>7 927 749-84-71 - Входящий звонок</t>
  </si>
  <si>
    <t>Анна Минебаева -Скинула в ТГ , не ремонтируемое</t>
  </si>
  <si>
    <t>Минебаева</t>
  </si>
  <si>
    <t>Заявка с сайта ЛЕВША - оценка ПДР</t>
  </si>
  <si>
    <t xml:space="preserve">Анна </t>
  </si>
  <si>
    <t>7 917 974-79-56 - Входящий звонок</t>
  </si>
  <si>
    <t xml:space="preserve">25,12 PDR Ford Focus </t>
  </si>
  <si>
    <t>PDR Тольятти</t>
  </si>
  <si>
    <t xml:space="preserve">PDR бампер спаять </t>
  </si>
  <si>
    <t>PDR на 23,12</t>
  </si>
  <si>
    <t>ПДР пежо по фото</t>
  </si>
  <si>
    <t>7 996 622-49-19 - Входящий звонок</t>
  </si>
  <si>
    <t>7 937 183-43-53 - Входящий звонок</t>
  </si>
  <si>
    <t xml:space="preserve">вмятина сильная на Mazda 6 ( уже поговорили ) </t>
  </si>
  <si>
    <t xml:space="preserve">18,12 PDR привезут в Ср 17,12 с далека </t>
  </si>
  <si>
    <t xml:space="preserve">По PRD </t>
  </si>
  <si>
    <t xml:space="preserve">17,12 MAZDA 6 PDR </t>
  </si>
  <si>
    <t xml:space="preserve">оценка пдр / приедет на осмотр в течении недели </t>
  </si>
  <si>
    <t>pdr</t>
  </si>
  <si>
    <t>Оценил ПДР с визита по мойки</t>
  </si>
  <si>
    <t>оценка стария пдр осмотр сделает на январских праздниках</t>
  </si>
  <si>
    <t>Оценка пдр</t>
  </si>
  <si>
    <t xml:space="preserve">гле м666мт 16,12 ПДР </t>
  </si>
  <si>
    <t>7 929 706-08-83 - Входящий звонок</t>
  </si>
  <si>
    <t xml:space="preserve">Артур Аркания - Оценка ПДР </t>
  </si>
  <si>
    <t>Аркания</t>
  </si>
  <si>
    <t>7 917 039-28-08 - Входящий звонок</t>
  </si>
  <si>
    <t>7 927 720-59-01 - Входящий звонок</t>
  </si>
  <si>
    <t xml:space="preserve">Вмятина без окраса </t>
  </si>
  <si>
    <t xml:space="preserve">Оценка ПДР Х1 после ДТП </t>
  </si>
  <si>
    <t xml:space="preserve">убрать вмятину на бампере </t>
  </si>
  <si>
    <t>Эльдар</t>
  </si>
  <si>
    <t>Вмятина большая на пабочий телефон</t>
  </si>
  <si>
    <t>7 917 112-53-95 - Входящий звонок</t>
  </si>
  <si>
    <t xml:space="preserve">ремонт нижний накладки губы </t>
  </si>
  <si>
    <t xml:space="preserve">малярные работы </t>
  </si>
  <si>
    <t>Еле заметная вмятина на правом крыле Аркана</t>
  </si>
  <si>
    <t>ПДР Хендай</t>
  </si>
  <si>
    <t>Хотела прислать фото но выяснимлось что она с ТЛТ</t>
  </si>
  <si>
    <t>Иван Голубев - Открытая линия Левша</t>
  </si>
  <si>
    <t xml:space="preserve">PDR осмотр </t>
  </si>
  <si>
    <t>7 927 263-64-54 - Входящий звонок</t>
  </si>
  <si>
    <t xml:space="preserve">29.11 PDR </t>
  </si>
  <si>
    <t xml:space="preserve">ПДР в вотсаппе / молчит не отвечает </t>
  </si>
  <si>
    <t xml:space="preserve">PDR после града </t>
  </si>
  <si>
    <t xml:space="preserve">PDR ЧАТ </t>
  </si>
  <si>
    <t>Бекшаев</t>
  </si>
  <si>
    <t>ПДР приора 26,11</t>
  </si>
  <si>
    <t>Шкода рапид пдр 28,11</t>
  </si>
  <si>
    <t>ПДР солярис 28,11</t>
  </si>
  <si>
    <t>ПДР не удоб дата</t>
  </si>
  <si>
    <t>7 927 724-15-12 - Входящий звонок</t>
  </si>
  <si>
    <t>Оценка пдр на раб телефон</t>
  </si>
  <si>
    <t xml:space="preserve">29,11 число записан на осмотр </t>
  </si>
  <si>
    <t xml:space="preserve">PDR в чате много много вмятин  от 1500 за шт от 20 </t>
  </si>
  <si>
    <t>Родин</t>
  </si>
  <si>
    <t>выправить вмятины и сделать полировку, Тойота Рав4.</t>
  </si>
  <si>
    <t>Вмятина на пороге</t>
  </si>
  <si>
    <t xml:space="preserve">Стапель </t>
  </si>
  <si>
    <t>Тугелла ПДР осмотр 19,11</t>
  </si>
  <si>
    <t>Царапина скинул в вацап</t>
  </si>
  <si>
    <t>7 927 298-29-65 - Входящий звонок</t>
  </si>
  <si>
    <t>7 937 177-45-85 - Входящий звонок</t>
  </si>
  <si>
    <t xml:space="preserve">PDR и малярные работы </t>
  </si>
  <si>
    <t xml:space="preserve">PDR Автобус более 2.4 м высотой </t>
  </si>
  <si>
    <t xml:space="preserve">Джили ЕХ-5 15,11 ПДР </t>
  </si>
  <si>
    <t>Пдр приехал на оценку и дорого</t>
  </si>
  <si>
    <t>Оценка ПДР попросил в написать в ТГ записан на осмотр 15,11</t>
  </si>
  <si>
    <t>Оценка ПДР Осмотр на 14,11</t>
  </si>
  <si>
    <t>Осмотр пдр по фото, не сделаем</t>
  </si>
  <si>
    <t>7 987 906-57-09 - Входящий звонок</t>
  </si>
  <si>
    <t>7 937 100-21-37 - Исходящий звонок</t>
  </si>
  <si>
    <t xml:space="preserve">Пдр Шкода 08,11 </t>
  </si>
  <si>
    <t>Антон Мельников - Открытая линия Левша</t>
  </si>
  <si>
    <t>Мельников</t>
  </si>
  <si>
    <t>7 927 002-66-88 - Входящий звонок</t>
  </si>
  <si>
    <t>7 927 758-97-12 - Входящий звонок</t>
  </si>
  <si>
    <t>PDR с маляром</t>
  </si>
  <si>
    <t>Zemlyakov</t>
  </si>
  <si>
    <t xml:space="preserve">Осмотр ПДР 4,11 черри тиго 7 осмтр </t>
  </si>
  <si>
    <t>Осмотр ПДР х431уа163 Volkswagen Polo 4,11</t>
  </si>
  <si>
    <t>ПДР  крышка багажника и капот приглашен на осмотр</t>
  </si>
  <si>
    <t>Olga Pugaffka - ПДР ФОТО скинула</t>
  </si>
  <si>
    <t>Olga</t>
  </si>
  <si>
    <t>Pugaffka</t>
  </si>
  <si>
    <t>7 960 808-42-15 - Входящий звонок</t>
  </si>
  <si>
    <t xml:space="preserve">ПДР очень сложное </t>
  </si>
  <si>
    <t>Нефёдов</t>
  </si>
  <si>
    <t xml:space="preserve">Осмотр ПДР 28,10 Gac </t>
  </si>
  <si>
    <t>Осмотр ПДР 28,10</t>
  </si>
  <si>
    <t>Осмотр ПДР Омода с5 28,10</t>
  </si>
  <si>
    <t xml:space="preserve">Выпрямление порогом </t>
  </si>
  <si>
    <t>Вивчур</t>
  </si>
  <si>
    <t xml:space="preserve">вмятина порог / не рем </t>
  </si>
  <si>
    <t>Осмотр ПДР 25,10</t>
  </si>
  <si>
    <t>BMW X6 № в008ае763</t>
  </si>
  <si>
    <t>7 927 716-86-14 - Входящий звонок</t>
  </si>
  <si>
    <t>PDR должен фото или видео направить</t>
  </si>
  <si>
    <t>PDR на 25. RAV 4</t>
  </si>
  <si>
    <t>Сергей Афонькин - Открытая линия Левша</t>
  </si>
  <si>
    <t>Афонькин</t>
  </si>
  <si>
    <t xml:space="preserve">PDR как то был оценивал, ни цену не помнит </t>
  </si>
  <si>
    <t>Осмотр ПДР Jaecoo j7 28,10</t>
  </si>
  <si>
    <t xml:space="preserve">Осмотр Пдр Jaecoo j7 28,10 </t>
  </si>
  <si>
    <t>Lixiang L9 № х240кх763 пдр переклейка двери 6,11</t>
  </si>
  <si>
    <t xml:space="preserve">Пдр оценка Рено / не ремонт </t>
  </si>
  <si>
    <t xml:space="preserve">пдр порог / не рем </t>
  </si>
  <si>
    <t>Оценка Рав4  вмятина</t>
  </si>
  <si>
    <t xml:space="preserve">PDR на 21,10 на осмотр </t>
  </si>
  <si>
    <t>7 919 806-56-01 - Входящий звонок</t>
  </si>
  <si>
    <t>Суходеева</t>
  </si>
  <si>
    <t xml:space="preserve">ПДР чат </t>
  </si>
  <si>
    <t>Нечибоев</t>
  </si>
  <si>
    <t>додж рам муравьев осмотр ПДР 16,10</t>
  </si>
  <si>
    <t>вмятина на оценку</t>
  </si>
  <si>
    <t>вставить бампер на место ему нужно. сказал что такое не делаем в чат присылал фото в Wa</t>
  </si>
  <si>
    <t>Солдатченков</t>
  </si>
  <si>
    <t>рено дастер  11.10 Осмотр ПДР</t>
  </si>
  <si>
    <t>Лёша</t>
  </si>
  <si>
    <t>Лютиков</t>
  </si>
  <si>
    <t xml:space="preserve">замена шильдиков + PDr </t>
  </si>
  <si>
    <t>Осмотр пдр 12.10 прадо</t>
  </si>
  <si>
    <t xml:space="preserve">Оценить ПДР по телефону / на осмотр не хочет / нужна оценка сразу после ДТП </t>
  </si>
  <si>
    <t>ПДР осмотр Рав4 8,10</t>
  </si>
  <si>
    <t xml:space="preserve">ремонт бампера (трещина) </t>
  </si>
  <si>
    <t>7 917 940-13-22 - Входящий звонок</t>
  </si>
  <si>
    <t>PRD осмотр</t>
  </si>
  <si>
    <t>Geely Monjaro ПДР оценка по фото на ватсапп</t>
  </si>
  <si>
    <t>7 927 751-74-44 - Входящий звонок</t>
  </si>
  <si>
    <t>7 927 746-82-64 - Входящий звонок</t>
  </si>
  <si>
    <t xml:space="preserve">покраска эл-та </t>
  </si>
  <si>
    <t xml:space="preserve">PDR на 29,09 Осмотр </t>
  </si>
  <si>
    <t xml:space="preserve">PDR по чат </t>
  </si>
  <si>
    <t>Тютерев</t>
  </si>
  <si>
    <t>Mazda CX-5 № е717от763 ПДР</t>
  </si>
  <si>
    <t>29,09</t>
  </si>
  <si>
    <t>7 917 372-26-73 - Входящий звонок</t>
  </si>
  <si>
    <t>Даниил Александров - Открытая линия Левша</t>
  </si>
  <si>
    <t>Александров</t>
  </si>
  <si>
    <t>Вероника Александрова - Открытая линия Левша</t>
  </si>
  <si>
    <t>Вероника</t>
  </si>
  <si>
    <t>Александрова</t>
  </si>
  <si>
    <t>7 929 715-25-25 - Входящий звонок</t>
  </si>
  <si>
    <t>Выгнуть вмятину обратно))</t>
  </si>
  <si>
    <t>Оценка ПДР по фото</t>
  </si>
  <si>
    <t>Рав 4 осмотр 19,09</t>
  </si>
  <si>
    <t xml:space="preserve">ПДР </t>
  </si>
  <si>
    <t xml:space="preserve">Осмотр на 17,09 </t>
  </si>
  <si>
    <t>7 967 727-09-08 - Входящий звонок</t>
  </si>
  <si>
    <t xml:space="preserve">PDR solaris </t>
  </si>
  <si>
    <t xml:space="preserve">18,09 осмотр PDR </t>
  </si>
  <si>
    <t>ПДР в выходной день</t>
  </si>
  <si>
    <t>Константин Козлов - Открытая линия Левша</t>
  </si>
  <si>
    <t>пдр осмотр</t>
  </si>
  <si>
    <t xml:space="preserve">ПДР срочно сегодня вечером </t>
  </si>
  <si>
    <t>Пдр осмотр 10.09</t>
  </si>
  <si>
    <t>ПДР чат авито</t>
  </si>
  <si>
    <t>7 987 430-06-85 - Входящий звонок</t>
  </si>
  <si>
    <t>7 903 300-66-81 - Входящий звонок</t>
  </si>
  <si>
    <t>Hyundai SantaFe № к885ау763</t>
  </si>
  <si>
    <t>Chery Tiggo 7 № н716ву763 ПДР</t>
  </si>
  <si>
    <t xml:space="preserve">ПДР не уд дата </t>
  </si>
  <si>
    <t>7 927 775-51-52 - Входящий звонок</t>
  </si>
  <si>
    <t>7 927 701-81-65 - Входящий звонок</t>
  </si>
  <si>
    <t>ПДР осмотр 08.09 15:00</t>
  </si>
  <si>
    <t>7 964 979-25-41 - Входящий звонок</t>
  </si>
  <si>
    <t>Скол и пдр на 08.09</t>
  </si>
  <si>
    <t>АЛЕКСАНДР</t>
  </si>
  <si>
    <t>7 937 212-12-66 - Входящий звонок</t>
  </si>
  <si>
    <t>Полина - Авито - Левша-Сервис открытая линия</t>
  </si>
  <si>
    <t xml:space="preserve">ПДР хотел сегодня, приедет после 12.09 </t>
  </si>
  <si>
    <t>7 937 644-89-96 - Входящий звонок</t>
  </si>
  <si>
    <t>ОЦенка ПДР после ДТП / приглашен на осмотр 9,09</t>
  </si>
  <si>
    <t>Opel Astra H Осмотр PDR</t>
  </si>
  <si>
    <t xml:space="preserve">pdr на 09,09 без осмотра </t>
  </si>
  <si>
    <t xml:space="preserve">порядок цен </t>
  </si>
  <si>
    <t xml:space="preserve">Pdr по фото присылал </t>
  </si>
  <si>
    <t>Vazgen</t>
  </si>
  <si>
    <t>Osepyan</t>
  </si>
  <si>
    <t>Осмотр пдр 09.09</t>
  </si>
  <si>
    <t>ПДР заявка, не взял трубку</t>
  </si>
  <si>
    <t>Порунов</t>
  </si>
  <si>
    <t xml:space="preserve">полировка дефекта+ PDR </t>
  </si>
  <si>
    <t>пдр оценка фото чат</t>
  </si>
  <si>
    <t>Ягудина</t>
  </si>
  <si>
    <t>пдр не рем</t>
  </si>
  <si>
    <t>7 917 106-44-84 - Входящий звонок</t>
  </si>
  <si>
    <t>7 951 094-07-78 - Входящий звонок</t>
  </si>
  <si>
    <t xml:space="preserve">PDR узнвал не для себя </t>
  </si>
  <si>
    <t>7 987 168-97-18 - Входящий звонок</t>
  </si>
  <si>
    <t>Романов</t>
  </si>
  <si>
    <t>7 917 019-06-14 - Входящий звонок</t>
  </si>
  <si>
    <t>ПДР Гранта</t>
  </si>
  <si>
    <t>7 917 147-65-48 - Входящий звонок</t>
  </si>
  <si>
    <t xml:space="preserve">ПДР / фото в чате / не рем </t>
  </si>
  <si>
    <t>7 927 008-80-63 - Входящий звонок</t>
  </si>
  <si>
    <t>Заявка с сайта ЛЕВША - форма Заказать продукт</t>
  </si>
  <si>
    <t xml:space="preserve">Pdr на 20,08 </t>
  </si>
  <si>
    <t>7 927 207-16-24 - Входящий звонок</t>
  </si>
  <si>
    <t>Пдр Веста 13,08</t>
  </si>
  <si>
    <t>Mitsubishi Outlander № а577ра763 осмотр пдр 11,08</t>
  </si>
  <si>
    <t xml:space="preserve">клиент случайно набрал </t>
  </si>
  <si>
    <t xml:space="preserve">ПДР / прислал фото / не рем </t>
  </si>
  <si>
    <t xml:space="preserve">Пдр не удбная дата </t>
  </si>
  <si>
    <t xml:space="preserve">ПДР приора / не рем </t>
  </si>
  <si>
    <t xml:space="preserve">ПДР приора не рем </t>
  </si>
  <si>
    <t xml:space="preserve">ремонт по фото ( в малярку , а лучше замена багажника ) </t>
  </si>
  <si>
    <t>Андрей Ратцев - Открытая линия Левша</t>
  </si>
  <si>
    <t>Ратцев</t>
  </si>
  <si>
    <t>Lixiang L7 № х588ра763 осмотр пдр 5,08</t>
  </si>
  <si>
    <t xml:space="preserve">Pdr на 06,08 записан в работу </t>
  </si>
  <si>
    <t xml:space="preserve">Sorento 495 пдр отмена записи </t>
  </si>
  <si>
    <t>Ринат Гарифуллин - Открытая линия Левша</t>
  </si>
  <si>
    <t>Гарифуллин</t>
  </si>
  <si>
    <t>Rinat Garifullin - Открытая линия Левша</t>
  </si>
  <si>
    <t>Rinat</t>
  </si>
  <si>
    <t>Garifullin</t>
  </si>
  <si>
    <t>7 927 685-11-11 - Входящий звонок</t>
  </si>
  <si>
    <t xml:space="preserve">кузовной ремонт бампера </t>
  </si>
  <si>
    <t xml:space="preserve">PDR по фото </t>
  </si>
  <si>
    <t>пдр</t>
  </si>
  <si>
    <t>ПДР Аркана / после осмотра / дорого</t>
  </si>
  <si>
    <t xml:space="preserve">скол на двери закрасить </t>
  </si>
  <si>
    <t xml:space="preserve">Оценка Пдр по чату / не рем </t>
  </si>
  <si>
    <t>Оценка ПДР Мазда СХ-5</t>
  </si>
  <si>
    <t>ПДР / не рем</t>
  </si>
  <si>
    <t xml:space="preserve">ПДР оценка / приглашен на осмотр </t>
  </si>
  <si>
    <t>7 901 802-10-73 - Входящий звонок</t>
  </si>
  <si>
    <t xml:space="preserve">ПДР порог на церато / не рем </t>
  </si>
  <si>
    <t>ШФИ Хавал Ф7 двери 2,08</t>
  </si>
  <si>
    <t>Dmitry</t>
  </si>
  <si>
    <t>шумоизоляция дверей</t>
  </si>
  <si>
    <t>7 917 030-00-21 - Входящий звонок</t>
  </si>
  <si>
    <t xml:space="preserve">пдр по фото / приедет позже </t>
  </si>
  <si>
    <t xml:space="preserve">PDR нижняя губа слетела </t>
  </si>
  <si>
    <t>Chevrolet Aveo № о073ух163 Осмотр ПДР</t>
  </si>
  <si>
    <t xml:space="preserve">BMW X6 № м030кх763 Оценка ПДР и переклейка пленки </t>
  </si>
  <si>
    <t xml:space="preserve">Pdr + Нк </t>
  </si>
  <si>
    <t xml:space="preserve">PDR пластик на бампере </t>
  </si>
  <si>
    <t xml:space="preserve">ремонт сколов на капоте </t>
  </si>
  <si>
    <t>Наталия</t>
  </si>
  <si>
    <t xml:space="preserve">21.07 PDR сразу приедет и сдеалть </t>
  </si>
  <si>
    <t xml:space="preserve">малярные работы мастера </t>
  </si>
  <si>
    <t xml:space="preserve">PDr на крышке багажника </t>
  </si>
  <si>
    <t xml:space="preserve">ремонт бамперов </t>
  </si>
  <si>
    <t>PDR на 28,07</t>
  </si>
  <si>
    <t xml:space="preserve">Хавал Дарго ПДР / осмотр </t>
  </si>
  <si>
    <t>7 937 206-77-11 - Входящий звонок</t>
  </si>
  <si>
    <t>ПДР дверь Эксид</t>
  </si>
  <si>
    <t>7 927 601-05-00 - Входящий звонок</t>
  </si>
  <si>
    <t>Гранта осмотр ПДР / дорого</t>
  </si>
  <si>
    <t xml:space="preserve">ПДР монжаро </t>
  </si>
  <si>
    <t xml:space="preserve">Оценка дефектовки </t>
  </si>
  <si>
    <t>Немец</t>
  </si>
  <si>
    <t xml:space="preserve">PDr по фото </t>
  </si>
  <si>
    <t>полировка деф.та</t>
  </si>
  <si>
    <t xml:space="preserve">PDR новая гранта крыло фара бампер (к малярам ) </t>
  </si>
  <si>
    <t>ПДР гранта / не рем</t>
  </si>
  <si>
    <t xml:space="preserve">PDR  порог замят. к малярам </t>
  </si>
  <si>
    <t>ПДР осмотр ЧАТ SUZUKI SX4</t>
  </si>
  <si>
    <t>ПДР оценка / дорого</t>
  </si>
  <si>
    <t>NiKiTa</t>
  </si>
  <si>
    <t>Киа мохав ПДР</t>
  </si>
  <si>
    <t>ПДР Хонда</t>
  </si>
  <si>
    <t>7 927 748-48-89 - Входящий звонок</t>
  </si>
  <si>
    <t>7 929 703-48-68 - Входящий звонок</t>
  </si>
  <si>
    <t>7 917 150-15-49 - Входящий звонок</t>
  </si>
  <si>
    <t xml:space="preserve">ПДР по чату </t>
  </si>
  <si>
    <t>BRAZERSSS</t>
  </si>
  <si>
    <t xml:space="preserve">PDR на двери тычек </t>
  </si>
  <si>
    <t xml:space="preserve">сколы на кузове. подкапать +заполировать </t>
  </si>
  <si>
    <t>Anthony Hap$kins - Открытая линия Левша</t>
  </si>
  <si>
    <t>Anthony</t>
  </si>
  <si>
    <t>Hap$kins</t>
  </si>
  <si>
    <t xml:space="preserve">ТОРГОВЫЙ ДОМ "ПОДШИПНИКМАШ" САМАРА ООО Мерседес ПДР </t>
  </si>
  <si>
    <t>Оценка ПДР чат</t>
  </si>
  <si>
    <t>Viktor</t>
  </si>
  <si>
    <t>Osaulenko</t>
  </si>
  <si>
    <t>7 984 888-87-37 - Входящий звонок</t>
  </si>
  <si>
    <t>Залалов</t>
  </si>
  <si>
    <t>7 992 121-90-61 - Входящий звонок</t>
  </si>
  <si>
    <t>7 927 016-37-05 - Входящий звонок</t>
  </si>
  <si>
    <t>7 927 709-10-22 - Входящий звонок</t>
  </si>
  <si>
    <t>7 917 111-81-60 - Исходящий звонок</t>
  </si>
  <si>
    <t>PDR по фото багажник</t>
  </si>
  <si>
    <t>7 982 404-26-72 - Входящий звонок</t>
  </si>
  <si>
    <t xml:space="preserve">PDR MOTO </t>
  </si>
  <si>
    <t>7 927 761-01-87 - Входящий звонок</t>
  </si>
  <si>
    <t>7 927 004-28-52 - Входящий звонок</t>
  </si>
  <si>
    <t xml:space="preserve">PDR на катере алюминий </t>
  </si>
  <si>
    <t xml:space="preserve">PDR на осмотр на 23,06 </t>
  </si>
  <si>
    <t>PDr  записан на 24,06</t>
  </si>
  <si>
    <t>7 927 733-86-68 - Входящий звонок</t>
  </si>
  <si>
    <t>7 927 687-80-14 - Входящий звонок</t>
  </si>
  <si>
    <t xml:space="preserve">PDR осмотр на 23 число </t>
  </si>
  <si>
    <t>7 902 374-93-80 - Входящий звонок</t>
  </si>
  <si>
    <t>7 902 181-18-26 - Входящий звонок</t>
  </si>
  <si>
    <t>Виталий Ивушкин - Открытая линия Левша</t>
  </si>
  <si>
    <t>Ивушкин</t>
  </si>
  <si>
    <t>PDR на 20,06 KUGA r 5-ти</t>
  </si>
  <si>
    <t>PDR + малярка</t>
  </si>
  <si>
    <t>7 927 650-33-40 - Входящий звонок</t>
  </si>
  <si>
    <t>Deonysius Magnus - Открытая линия Левша</t>
  </si>
  <si>
    <t xml:space="preserve">PDR на бампере краски нет, к малярам </t>
  </si>
  <si>
    <t>7 927 002-02-56 - Входящий звонок</t>
  </si>
  <si>
    <t>Samara</t>
  </si>
  <si>
    <t>7 846 312-55-23 - Входящий звонок</t>
  </si>
  <si>
    <t xml:space="preserve">Вспучилась панель </t>
  </si>
  <si>
    <t>PDR с автовоза помята крыша, поехал к малярам</t>
  </si>
  <si>
    <t xml:space="preserve">PDR Murano </t>
  </si>
  <si>
    <t>7 939 701-07-94 - Исходящий звонок</t>
  </si>
  <si>
    <t>7 927 016-55-45 - Входящий звонок</t>
  </si>
  <si>
    <t>7 987 153-88-30 - Входящий звонок</t>
  </si>
  <si>
    <t>7 995 832-68-01 - Входящий звонок</t>
  </si>
  <si>
    <t xml:space="preserve">PDR на 17,05 </t>
  </si>
  <si>
    <t>7 937 172-59-79 - Входящий звонок</t>
  </si>
  <si>
    <t xml:space="preserve">Jetour T2 м892рх763 приезжал на оценку </t>
  </si>
  <si>
    <t>7 987 945-23-71 - Входящий звонок</t>
  </si>
  <si>
    <t>Костя Старичков - Открытая линия Левша</t>
  </si>
  <si>
    <t>Старичков</t>
  </si>
  <si>
    <t>осмотр пдр</t>
  </si>
  <si>
    <t>Blinov</t>
  </si>
  <si>
    <t>Джили ПДР 6,06</t>
  </si>
  <si>
    <t>7 927 768-88-52 - Входящий звонок</t>
  </si>
  <si>
    <t>Илья Бешенов - Открытая линия Левша</t>
  </si>
  <si>
    <t>Бешенов</t>
  </si>
  <si>
    <t>TLC200 / в806мр 6,06 ПДР</t>
  </si>
  <si>
    <t>осмотр ПДР Ниссан Х-трейл 4,06</t>
  </si>
  <si>
    <t>Алёна Вавилова</t>
  </si>
  <si>
    <t>7 987 900-10-00 - Входящий звонок</t>
  </si>
  <si>
    <t>7 987 432-34-47 - Входящий звонок</t>
  </si>
  <si>
    <t>7 927 651-59-05 - Входящий звонок</t>
  </si>
  <si>
    <t>7 927 748-40-08 - Входящий звонок</t>
  </si>
  <si>
    <t>7 927 008-49-00 - Входящий звонок</t>
  </si>
  <si>
    <t>7 927 298-21-80 - Входящий звонок</t>
  </si>
  <si>
    <t>7 929 714-62-20 - Входящий звонок</t>
  </si>
  <si>
    <t>7 927 263-37-33 - Входящий звонок</t>
  </si>
  <si>
    <t xml:space="preserve">ПДР джулион </t>
  </si>
  <si>
    <t>дефект ПДР не</t>
  </si>
  <si>
    <t>7 917 166-27-02 - Входящий звонок</t>
  </si>
  <si>
    <t xml:space="preserve">Осмотр ПДР / не ремонтируемое </t>
  </si>
  <si>
    <t xml:space="preserve">выпрямить вмятину на бампере </t>
  </si>
  <si>
    <t>7 987 913-51-19 - Входящий звонок</t>
  </si>
  <si>
    <t>ПДР Jac JS6 5,06</t>
  </si>
  <si>
    <t>7 906 344-66-30 - Входящий звонок</t>
  </si>
  <si>
    <t xml:space="preserve">PRD малярка </t>
  </si>
  <si>
    <t>PDR на осмотр 27,05</t>
  </si>
  <si>
    <t>помял крыло ремнем безопасности ОСМОТР ПДР haval f7 26,05</t>
  </si>
  <si>
    <t xml:space="preserve">Дубликат отработал по заявке с сайта </t>
  </si>
  <si>
    <t xml:space="preserve">пдр осмотр не удобная дата </t>
  </si>
  <si>
    <t>7 912 420-69-99 - Входящий звонок</t>
  </si>
  <si>
    <t>7 927 695-79-83 - Входящий звонок</t>
  </si>
  <si>
    <t>7 915 529-55-73 - Входящий звонок</t>
  </si>
  <si>
    <t>7 908 345-70-07 - Входящий звонок</t>
  </si>
  <si>
    <t>7 927 201-33-25 - Входящий звонок</t>
  </si>
  <si>
    <t>7 927 775-09-77 - Входящий звонок</t>
  </si>
  <si>
    <t>Оценка на ПДР подъедет в будний показать мастеру</t>
  </si>
  <si>
    <t>7 927 605-27-37 - Входящий звонок</t>
  </si>
  <si>
    <t>7 927 204-24-25 - Входящий звонок</t>
  </si>
  <si>
    <t>7 987 980-62-60 - Входящий звонок</t>
  </si>
  <si>
    <t xml:space="preserve">PDR на 15,05 </t>
  </si>
  <si>
    <t xml:space="preserve">PDR окрас двери </t>
  </si>
  <si>
    <t xml:space="preserve">Pdr осмотр на 14,05 K5 </t>
  </si>
  <si>
    <t xml:space="preserve">лечение сколов по кузову </t>
  </si>
  <si>
    <t>Игорь Большаков - Открытая линия Левша</t>
  </si>
  <si>
    <t>Большаков</t>
  </si>
  <si>
    <t>7 927 205-91-94 - Входящий звонок</t>
  </si>
  <si>
    <t>7 927 726-61-56 - Входящий звонок</t>
  </si>
  <si>
    <t>Карягин</t>
  </si>
  <si>
    <t>7 927 008-96-96 - Входящий звонок</t>
  </si>
  <si>
    <t xml:space="preserve">PDR  по чату фото </t>
  </si>
  <si>
    <t>Andrey_9</t>
  </si>
  <si>
    <t>PDR по бамперугрубые деф. устр</t>
  </si>
  <si>
    <t>Померанцев</t>
  </si>
  <si>
    <t>пдр стойки</t>
  </si>
  <si>
    <t>Гранта дефект на двери</t>
  </si>
  <si>
    <t>7 901 803-60-23 - Входящий звонок</t>
  </si>
  <si>
    <t>7 927 704-13-81 - Входящий звонок</t>
  </si>
  <si>
    <t>Sergio</t>
  </si>
  <si>
    <t xml:space="preserve">PDR на 05,05 </t>
  </si>
  <si>
    <t xml:space="preserve">сказал перезвонит </t>
  </si>
  <si>
    <t>Алёна Жаркова - Открытая линия Левша</t>
  </si>
  <si>
    <t>7 909 362-45-15 - Входящий звонок</t>
  </si>
  <si>
    <t>приедут на осмотр 01,05</t>
  </si>
  <si>
    <t>Владимир Сараев</t>
  </si>
  <si>
    <t>7 963 116-06-00 - Входящий звонок</t>
  </si>
  <si>
    <t>7 995 966-77-74 - Входящий звонок</t>
  </si>
  <si>
    <t>7 909 344-54-34 - Входящий звонок</t>
  </si>
  <si>
    <t>Дом</t>
  </si>
  <si>
    <t>Ру</t>
  </si>
  <si>
    <t>ПДР Хендай солярис 30,04</t>
  </si>
  <si>
    <t xml:space="preserve">Kia Rio / ПДР осмотр </t>
  </si>
  <si>
    <t>7 927 689-54-00 - Входящий звонок</t>
  </si>
  <si>
    <t>7 961 383-86-26 - Входящий звонок</t>
  </si>
  <si>
    <t>Татаринцев</t>
  </si>
  <si>
    <t>7 927 688-84-85 - Входящий звонок</t>
  </si>
  <si>
    <t xml:space="preserve">PDR бампер </t>
  </si>
  <si>
    <t>7 927 008-05-59 - Исходящий звонок</t>
  </si>
  <si>
    <t>Оценка ПДР / чат</t>
  </si>
  <si>
    <t>Смолина</t>
  </si>
  <si>
    <t>PDR Jetour T2 осмотр 22,04</t>
  </si>
  <si>
    <t>7 927 009-00-50 - Входящий звонок</t>
  </si>
  <si>
    <t>Не ремонтируоемое повреждение / ПДР</t>
  </si>
  <si>
    <t>KateroN</t>
  </si>
  <si>
    <t>7 846 207-39-40 - Входящий звонок</t>
  </si>
  <si>
    <t>7 927 758-20-96 - Исходящий звонок</t>
  </si>
  <si>
    <t>7 937 175-51-31 - Входящий звонок</t>
  </si>
  <si>
    <t>7 927 010-07-78 - Входящий звонок</t>
  </si>
  <si>
    <t>7 917 941-05-60 - Входящий звонок</t>
  </si>
  <si>
    <t>PDR renault kaptur</t>
  </si>
  <si>
    <t>на осмотр по вмятине</t>
  </si>
  <si>
    <t xml:space="preserve">покраска кузова </t>
  </si>
  <si>
    <t xml:space="preserve">покраска машины потом пленку просил на ваз 2106 </t>
  </si>
  <si>
    <t>Volvo XC60 № С303ВВ797 осмотр пдр 14,04</t>
  </si>
  <si>
    <t xml:space="preserve">PDR сильно замят </t>
  </si>
  <si>
    <t>Андреев</t>
  </si>
  <si>
    <t>Эдуард Ильин - Открытая линия Левша</t>
  </si>
  <si>
    <t>7 937 071-13-00 - Входящий звонок</t>
  </si>
  <si>
    <t xml:space="preserve">ПДР под малярные работы Джили Эмгранд </t>
  </si>
  <si>
    <t>Кияев</t>
  </si>
  <si>
    <t>вытяжка вмятин</t>
  </si>
  <si>
    <t>Кулрей PDR двери</t>
  </si>
  <si>
    <t>Алия</t>
  </si>
  <si>
    <t xml:space="preserve">Лешин PDR я так понял </t>
  </si>
  <si>
    <t>PDR Осмотр</t>
  </si>
  <si>
    <t>7 927 261-23-17 - Входящий звонок</t>
  </si>
  <si>
    <t>7 906 346-03-47 - Входящий звонок</t>
  </si>
  <si>
    <t xml:space="preserve">удаление сколов с кузова </t>
  </si>
  <si>
    <t>Тулейкин</t>
  </si>
  <si>
    <t>Семён На трассе обрезок трубы попал в крышу Хендай, царапина до грунта</t>
  </si>
  <si>
    <t>Вмятина на алюминиевом капоте</t>
  </si>
  <si>
    <t>PDR На оценку</t>
  </si>
  <si>
    <t>7 927 217-49-72 - Входящий звонок</t>
  </si>
  <si>
    <t xml:space="preserve">ПДР пришлет фото на оценку </t>
  </si>
  <si>
    <t>7 846 250-03-76 - Входящий звонок</t>
  </si>
  <si>
    <t>МОТОРАЗБОРКА ИЖ - Открытая линия Левша</t>
  </si>
  <si>
    <t>МОТОРАЗБОРКА</t>
  </si>
  <si>
    <t>ИЖ</t>
  </si>
  <si>
    <t xml:space="preserve">PDR Сильный </t>
  </si>
  <si>
    <t>Осмотр ПДР / приглашен на 31,03</t>
  </si>
  <si>
    <t xml:space="preserve">ПДР / требуются малярные работы </t>
  </si>
  <si>
    <t xml:space="preserve">Мойка не удобная дата </t>
  </si>
  <si>
    <t>? - Открытая линия Левша</t>
  </si>
  <si>
    <t>?</t>
  </si>
  <si>
    <t>выправление вмятин на автомобиле</t>
  </si>
  <si>
    <t>7 902 371-47-47 - Входящий звонок</t>
  </si>
  <si>
    <t>7 917 019-82-17 - Входящий звонок</t>
  </si>
  <si>
    <t>STEEP</t>
  </si>
  <si>
    <t>Эльдар Глк Вмятина</t>
  </si>
  <si>
    <t>PDR на 28,08</t>
  </si>
  <si>
    <t>Гундаев</t>
  </si>
  <si>
    <t>Shef130 Shef130 - ПДР</t>
  </si>
  <si>
    <t>Shef130</t>
  </si>
  <si>
    <t xml:space="preserve">PDR осмотр PDR </t>
  </si>
  <si>
    <t xml:space="preserve">02,04 PDR Solaris по фото </t>
  </si>
  <si>
    <t>Никита Хромов - Открытая линия Левша</t>
  </si>
  <si>
    <t>Хромов</t>
  </si>
  <si>
    <t>Ааа</t>
  </si>
  <si>
    <t>lada granta PDR Осмотр 26,04</t>
  </si>
  <si>
    <t xml:space="preserve">PDR по чату веста </t>
  </si>
  <si>
    <t>Лада</t>
  </si>
  <si>
    <t>Веста</t>
  </si>
  <si>
    <t>Осмотр ПДР Chery Tigo 7</t>
  </si>
  <si>
    <t>ПДР GLC был на осмотре на 27,03</t>
  </si>
  <si>
    <t>7 927 207-48-89 - Входящий звонок</t>
  </si>
  <si>
    <t xml:space="preserve">Пдр фокус приезжал на осмотр </t>
  </si>
  <si>
    <t xml:space="preserve">ПДР форд фокус 3 </t>
  </si>
  <si>
    <t xml:space="preserve">PDR порог замят </t>
  </si>
  <si>
    <t xml:space="preserve">ремонт сколов по кузову </t>
  </si>
  <si>
    <t>Skobelev</t>
  </si>
  <si>
    <t>Айрат</t>
  </si>
  <si>
    <t>Гатин</t>
  </si>
  <si>
    <t>Никола - Открытая линия Левша</t>
  </si>
  <si>
    <t>Никола</t>
  </si>
  <si>
    <t>Шкода</t>
  </si>
  <si>
    <t>Рапид</t>
  </si>
  <si>
    <t>7 846 956-43-73 - Входящий звонок</t>
  </si>
  <si>
    <t>Татьяна Баринова - Открытая линия Левша</t>
  </si>
  <si>
    <t>7 927 739-90-18 - Исходящий звонок</t>
  </si>
  <si>
    <t xml:space="preserve">Рав 4 </t>
  </si>
  <si>
    <t>Валентин Шуба - Открытая линия Левша</t>
  </si>
  <si>
    <t>Шуба</t>
  </si>
  <si>
    <t>7 964 976-92-02 - Входящий звонок</t>
  </si>
  <si>
    <t>Константин Корнев - Открытая линия Левша</t>
  </si>
  <si>
    <t>Корнев</t>
  </si>
  <si>
    <t>7 999 172-49-49 - Входящий звонок</t>
  </si>
  <si>
    <t xml:space="preserve">PDR на 17,03 Осмотр </t>
  </si>
  <si>
    <t>7 987 950-33-33 - Входящий звонок</t>
  </si>
  <si>
    <t xml:space="preserve">Lada Granta № р357хн193 ПДР </t>
  </si>
  <si>
    <t>7 918 689-18-17 - Входящий звонок</t>
  </si>
  <si>
    <t xml:space="preserve">Осмотр Пдр / нет точного понимания когда сможет приехать </t>
  </si>
  <si>
    <t>ПДР дверь киа церато 14,03</t>
  </si>
  <si>
    <t>SVRGN</t>
  </si>
  <si>
    <t>вмятина автомобиль</t>
  </si>
  <si>
    <t>7 927 746-93-80 - Входящий звонок</t>
  </si>
  <si>
    <t>7 927 202-19-70 - Входящий звонок</t>
  </si>
  <si>
    <t xml:space="preserve">P_D_R капот на сквозь </t>
  </si>
  <si>
    <t>P_D_R</t>
  </si>
  <si>
    <t xml:space="preserve">PDR на 10,03 </t>
  </si>
  <si>
    <t>Алексей Вмятина - Открытая линия Левша</t>
  </si>
  <si>
    <t>Вмятина</t>
  </si>
  <si>
    <t xml:space="preserve">PDR по видео </t>
  </si>
  <si>
    <t xml:space="preserve">ПДР с малярными работами </t>
  </si>
  <si>
    <t>cars are not only love, but also the whole of life</t>
  </si>
  <si>
    <t>ПДР хавал</t>
  </si>
  <si>
    <t>Евгеньевич</t>
  </si>
  <si>
    <t>Eduard</t>
  </si>
  <si>
    <t>Ed</t>
  </si>
  <si>
    <t xml:space="preserve">PDr нужно вытянуть, Фото в телеге </t>
  </si>
  <si>
    <t>С_К_О_Л (на куз.)</t>
  </si>
  <si>
    <t xml:space="preserve">PDR НЕКСТ (скорее не заедет ) </t>
  </si>
  <si>
    <t>ПДР под покраску капот веста</t>
  </si>
  <si>
    <t>Бочаров</t>
  </si>
  <si>
    <t>выпрямление вмятин без покраски самара</t>
  </si>
  <si>
    <t xml:space="preserve">Лада веста дубликат звонок с пдр капота </t>
  </si>
  <si>
    <t xml:space="preserve">пдр крыша / для уточнения повторно связаться </t>
  </si>
  <si>
    <t>200 крузер крыло</t>
  </si>
  <si>
    <t>audi q5 pdr капот</t>
  </si>
  <si>
    <t>7 927 732-28-57 - Входящий звонок</t>
  </si>
  <si>
    <t>7 927 704-77-72 - Входящий звонок</t>
  </si>
  <si>
    <t>7 927 901-39-30 - Входящий звонок</t>
  </si>
  <si>
    <t xml:space="preserve">PDR VESTA сложный ремонт </t>
  </si>
  <si>
    <t>Вадим Веста Вмятина</t>
  </si>
  <si>
    <t>адреса удаления вмятин без покраски</t>
  </si>
  <si>
    <t>7 917 145-76-88 - Входящий звонок</t>
  </si>
  <si>
    <t xml:space="preserve">удаление вмятин </t>
  </si>
  <si>
    <t xml:space="preserve">PDR Джили Х70 </t>
  </si>
  <si>
    <t>7 937 020-33-04 - Входящий звонок</t>
  </si>
  <si>
    <t xml:space="preserve">PDR осмотр на 24 число </t>
  </si>
  <si>
    <t>Pozniakevich</t>
  </si>
  <si>
    <t>vk</t>
  </si>
  <si>
    <t xml:space="preserve">PDR арки поменять </t>
  </si>
  <si>
    <t>Небольшая вмятина на оценку</t>
  </si>
  <si>
    <t>7 924 104-66-09 - Входящий звонок</t>
  </si>
  <si>
    <t>Елена Валькова - Открытая линия Левша</t>
  </si>
  <si>
    <t>Валькова</t>
  </si>
  <si>
    <t xml:space="preserve">пустой чат </t>
  </si>
  <si>
    <t xml:space="preserve">по готовностит </t>
  </si>
  <si>
    <t>осмотр PDR на 19</t>
  </si>
  <si>
    <t>Мазда СХ-5 мойка в лист ожидания на 25.05 Сергей</t>
  </si>
  <si>
    <t>7 927 207-91-00 - Входящий звонок</t>
  </si>
  <si>
    <t xml:space="preserve">сколы по кузову </t>
  </si>
  <si>
    <t>7 929 703-08-81 - Входящий звонок</t>
  </si>
  <si>
    <t>Андрей - пдр порог Киа Церато</t>
  </si>
  <si>
    <t>пдр вмятина на крыше</t>
  </si>
  <si>
    <t>7 917 165-06-08 - Входящий звонок</t>
  </si>
  <si>
    <t>Соренто у106ан 12,02 ПДР</t>
  </si>
  <si>
    <t>7 987 505-12-89 - Входящий звонок</t>
  </si>
  <si>
    <t>Куракин</t>
  </si>
  <si>
    <t>7 937 070-60-10 - Входящий звонок</t>
  </si>
  <si>
    <t>Роман Рапид</t>
  </si>
  <si>
    <t>7 902 321-12-62 - Входящий звонок</t>
  </si>
  <si>
    <t xml:space="preserve">ПДР поло </t>
  </si>
  <si>
    <t xml:space="preserve">ПДРО капот калина / там только замена кеапота погнул усилитель </t>
  </si>
  <si>
    <t>Вмятина на капоте</t>
  </si>
  <si>
    <t>7 937 797-53-44 - Входящий звонок</t>
  </si>
  <si>
    <t>PDR Алмера крышка багажника</t>
  </si>
  <si>
    <t>Рено аркана крыша помята</t>
  </si>
  <si>
    <t>7 939 708-71-87 - Входящий звонок</t>
  </si>
  <si>
    <t xml:space="preserve">рыжики и пленка </t>
  </si>
  <si>
    <t>7 927 752-18-77 - Входящий звонок</t>
  </si>
  <si>
    <t>7 986 953-44-94 - Исходящий звонок</t>
  </si>
  <si>
    <t xml:space="preserve">Удалить вмятину сегодня / у нас уже в работе машина </t>
  </si>
  <si>
    <t>7 939 751-52-00 - Входящий звонок</t>
  </si>
  <si>
    <t xml:space="preserve">ПДР ГАК ДЖС8 </t>
  </si>
  <si>
    <t>VoronIn.</t>
  </si>
  <si>
    <t>дубликат пдр гак джс 8</t>
  </si>
  <si>
    <t xml:space="preserve">Кузовной ремонт </t>
  </si>
  <si>
    <t>ПДР Хромированного молдинга / не ремонтируется</t>
  </si>
  <si>
    <t>дефект</t>
  </si>
  <si>
    <t>7 846 372-70-00 - Входящий звонок</t>
  </si>
  <si>
    <t>7 927 606-56-46 - Входящий звонок</t>
  </si>
  <si>
    <t xml:space="preserve">PDR с окрасом </t>
  </si>
  <si>
    <t>Архипцев</t>
  </si>
  <si>
    <t xml:space="preserve">PDR c покраской </t>
  </si>
  <si>
    <t>PDR Tiguan осмотр на 20,01</t>
  </si>
  <si>
    <t>ремонт вмятины под покраску</t>
  </si>
  <si>
    <t>ПДР на осмотр Субару импреза</t>
  </si>
  <si>
    <t xml:space="preserve">ПДР дверь форд Куга 3 / нужна покраска </t>
  </si>
  <si>
    <t>Filippov</t>
  </si>
  <si>
    <t>ПДР порог погнул октавия</t>
  </si>
  <si>
    <t xml:space="preserve">дубликат по заявке с сайта </t>
  </si>
  <si>
    <t>пор по окраску / не красим</t>
  </si>
  <si>
    <t>Changan Uni-S маленькая вмятина со сколом</t>
  </si>
  <si>
    <t xml:space="preserve">ПДР не выходит на связь </t>
  </si>
  <si>
    <t>Артак</t>
  </si>
  <si>
    <t>Владимир Джейку ДЖей7 вмятину оценить</t>
  </si>
  <si>
    <t>7 927 025-99-55 - Входящий звонок</t>
  </si>
  <si>
    <t xml:space="preserve">PDR на 21 </t>
  </si>
  <si>
    <t xml:space="preserve">ремонт бампера </t>
  </si>
  <si>
    <t>Выпуклость на капоте</t>
  </si>
  <si>
    <t>7 846 203-84-17 - Входящий звонок</t>
  </si>
  <si>
    <t xml:space="preserve">ПДР осмотр Киа Рио </t>
  </si>
  <si>
    <t>ПДР на осмотр карок 13,01</t>
  </si>
  <si>
    <t>Вмятина на крыле</t>
  </si>
  <si>
    <t>7 918 009-26-11 - Входящий звонок</t>
  </si>
  <si>
    <t>Евгений Коротков - Открытая линия Левша</t>
  </si>
  <si>
    <t>Коротков</t>
  </si>
  <si>
    <t xml:space="preserve">PDR кашкай </t>
  </si>
  <si>
    <t xml:space="preserve">ПДР Ауди А4 крыло </t>
  </si>
  <si>
    <t xml:space="preserve">Ауди Q8 отмена записи ПДР </t>
  </si>
  <si>
    <t>Сергей Кормилицин - Открытая линия Левша</t>
  </si>
  <si>
    <t>Кормилицин</t>
  </si>
  <si>
    <t>ПДР киа рио 4</t>
  </si>
  <si>
    <t>7 927 695-72-03 - Входящий звонок</t>
  </si>
  <si>
    <t xml:space="preserve">ПДР крыша </t>
  </si>
  <si>
    <t>Subaru</t>
  </si>
  <si>
    <t>Forester</t>
  </si>
  <si>
    <t>7 919 801-24-91 - Входящий звонок</t>
  </si>
  <si>
    <t>7 922 403-69-80 - Входящий звонок</t>
  </si>
  <si>
    <t>7 917 167-14-75 - Входящий звонок</t>
  </si>
  <si>
    <t>7 927 908-18-59 - Входящий звонок</t>
  </si>
  <si>
    <t xml:space="preserve">ПДР осмотр </t>
  </si>
  <si>
    <t>StanleyKubrick001</t>
  </si>
  <si>
    <t xml:space="preserve">вмятина по страховой </t>
  </si>
  <si>
    <t xml:space="preserve">пдр не ремонтируемое </t>
  </si>
  <si>
    <t>ПДР КАДИЛАК осмотр 6,01</t>
  </si>
  <si>
    <t>Klimov</t>
  </si>
  <si>
    <t xml:space="preserve">дубликат, ведется диалог по ПДР кадилак в чате </t>
  </si>
  <si>
    <t xml:space="preserve">PDR предварительно 18-23 тысячи </t>
  </si>
  <si>
    <t xml:space="preserve">DPR </t>
  </si>
  <si>
    <t xml:space="preserve">Volkswagen Touareg № е848рт763 оклейка лобового + ПДР </t>
  </si>
  <si>
    <t>Владимир Кундо - Открытая линия Левша</t>
  </si>
  <si>
    <t>Кундо</t>
  </si>
  <si>
    <t xml:space="preserve">ПДР черри тиго приезжал на осмотр </t>
  </si>
  <si>
    <t xml:space="preserve">Ремонт капота ПДР / не ремонтируемый </t>
  </si>
  <si>
    <t xml:space="preserve">Danila </t>
  </si>
  <si>
    <t>Muhin</t>
  </si>
  <si>
    <t>7 917 149-31-43 - Входящий звонок</t>
  </si>
  <si>
    <t>Антон - Открытая линия Левша</t>
  </si>
  <si>
    <t>7 917 821-64-55 - Входящий звонок</t>
  </si>
  <si>
    <t>7 927 263-07-32 - Входящий звонок</t>
  </si>
  <si>
    <t>PDR оценивали на просеке 8-12000 вмятина на задней двери</t>
  </si>
  <si>
    <t>Солярис ПДР</t>
  </si>
  <si>
    <t>PDR по фото чат</t>
  </si>
  <si>
    <t>Потешкина</t>
  </si>
  <si>
    <t>ремонт вмятин без покраски</t>
  </si>
  <si>
    <t>Исаев</t>
  </si>
  <si>
    <t>ПДР крышка багажника БМВ</t>
  </si>
  <si>
    <t xml:space="preserve">Кузовные работы не наш формат </t>
  </si>
  <si>
    <t>7 927 745-58-86 - Входящий звонок</t>
  </si>
  <si>
    <t>Тарас - Открытая линия Левша</t>
  </si>
  <si>
    <t>Тарас</t>
  </si>
  <si>
    <t>7 987 966-58-34 - Входящий звонок</t>
  </si>
  <si>
    <t>PDR Vesta</t>
  </si>
  <si>
    <t>Данила - Открытая линия Левша</t>
  </si>
  <si>
    <t>вытяжка вмятин без покраски</t>
  </si>
  <si>
    <t xml:space="preserve">ПДР Сузуки / не ремонтируемое </t>
  </si>
  <si>
    <t>PDR по чату</t>
  </si>
  <si>
    <t xml:space="preserve">PDR  осмотр </t>
  </si>
  <si>
    <t>11,12 K5 / 174 ПДР</t>
  </si>
  <si>
    <t xml:space="preserve">Приедет 13,12 на осмотр ПДР </t>
  </si>
  <si>
    <t>ПДР двери ДАстер// ДОРОГО !!!</t>
  </si>
  <si>
    <t>7 995 343-56-78 - Входящий звонок</t>
  </si>
  <si>
    <t>7 927 650-51-77 - Входящий звонок</t>
  </si>
  <si>
    <t>Вмятина на пластике</t>
  </si>
  <si>
    <t>PRD</t>
  </si>
  <si>
    <t>6,12 Хавал джулион ПДР/АРМ</t>
  </si>
  <si>
    <t>гранта ПДР 2,12</t>
  </si>
  <si>
    <t xml:space="preserve">ПДР осмотр на понедельник </t>
  </si>
  <si>
    <t xml:space="preserve">Пдр тигуан </t>
  </si>
  <si>
    <t xml:space="preserve">Zeekr ПДР + переклейка пленки </t>
  </si>
  <si>
    <t xml:space="preserve">ПДР осмотр вмятины на капоте </t>
  </si>
  <si>
    <t xml:space="preserve">Пдр капот приедет неа осмотр </t>
  </si>
  <si>
    <t>пдр/ гак гс8/ ждем на осмотр</t>
  </si>
  <si>
    <t>ремонт бампера покрас</t>
  </si>
  <si>
    <t>7 927 266-78-74 - Входящий звонок</t>
  </si>
  <si>
    <t>гранта/пдр/ ждем на осмотр/ когда приедет не знает, в декабре позвонить уточнить</t>
  </si>
  <si>
    <t>7 902 236-06-01 - Входящий звонок</t>
  </si>
  <si>
    <t>LC200, неремонтируемое повреждение крышки багажника</t>
  </si>
  <si>
    <t>Наталья</t>
  </si>
  <si>
    <t>Исаева</t>
  </si>
  <si>
    <t>7 927 739-42-67 - Входящий звонок</t>
  </si>
  <si>
    <t>ПДР спортаж</t>
  </si>
  <si>
    <t>Ильмира/ 29.11 к 13:00/ пдр поло</t>
  </si>
  <si>
    <t>Ильмира</t>
  </si>
  <si>
    <t>Николай Должиков/ оцениваю пдр в чате</t>
  </si>
  <si>
    <t>Должиков</t>
  </si>
  <si>
    <t>Никита - Открытая линия Левша/ пдр / не ремонт</t>
  </si>
  <si>
    <t>Euegen</t>
  </si>
  <si>
    <t>сам не местный, сколько стоит вмятина? если что позвлню, вмятина с монету и т.д/ почему опять не качественный лид?</t>
  </si>
  <si>
    <t>пдр вмятина Спортаж 27,11</t>
  </si>
  <si>
    <t>мастер на час - Открытая линия Левша</t>
  </si>
  <si>
    <t>мастер на час</t>
  </si>
  <si>
    <t xml:space="preserve">ПДР MAzda CX-5 </t>
  </si>
  <si>
    <t>7 927 267-74-24 - Входящий звонок</t>
  </si>
  <si>
    <t xml:space="preserve">26,11 Kia Ceed PDR и переточка фар </t>
  </si>
  <si>
    <t>7 905 306-59-80 - Входящий звонок</t>
  </si>
  <si>
    <t>7 917 157-77-39 - Входящий звонок</t>
  </si>
  <si>
    <t>7 927 700-80-50 - Входящий звонок</t>
  </si>
  <si>
    <t>7 927 764-72-28 - Входящий звонок</t>
  </si>
  <si>
    <t>7 937 238-96-54 - Входящий звонок</t>
  </si>
  <si>
    <t xml:space="preserve">сколы на кузове </t>
  </si>
  <si>
    <t>PDR Mazda 6 на 25,11</t>
  </si>
  <si>
    <t xml:space="preserve">PDR MAZDA </t>
  </si>
  <si>
    <t>Фф</t>
  </si>
  <si>
    <t>ПДР дверь</t>
  </si>
  <si>
    <t>Tikhonov</t>
  </si>
  <si>
    <t xml:space="preserve">HAval F7 ПДР </t>
  </si>
  <si>
    <t>7 937 799-22-09 - Входящий звонок</t>
  </si>
  <si>
    <t>пдр пикап</t>
  </si>
  <si>
    <t>пдр/ требуется замена капота. габэла</t>
  </si>
  <si>
    <t>Савин</t>
  </si>
  <si>
    <t>дубль с городского</t>
  </si>
  <si>
    <t>7 927 709-44-27 - Входящий звонок</t>
  </si>
  <si>
    <t xml:space="preserve">Небольшая вмятина </t>
  </si>
  <si>
    <t xml:space="preserve">замял порог на прадо / не наш формат </t>
  </si>
  <si>
    <t xml:space="preserve">выпрямление вмятины с покраской </t>
  </si>
  <si>
    <t>Дмитрий Евгеньевич - Открытая линия Левша</t>
  </si>
  <si>
    <t>оценка пдр по фото/ общаемся</t>
  </si>
  <si>
    <t>Сверху на капот бросили бутылку сока (пленка отошла от поверхности)</t>
  </si>
  <si>
    <t>7 903 303-48-48 - Входящий звонок</t>
  </si>
  <si>
    <t>7 927 689-98-63 - Входящий звонок</t>
  </si>
  <si>
    <t>Максим Анатольевич Павлов</t>
  </si>
  <si>
    <t xml:space="preserve">Выпрямление порога / не делаем такие работы </t>
  </si>
  <si>
    <t>Удаление вмятины + полировка ПРОСЕКА</t>
  </si>
  <si>
    <t>7 922 539-51-75 - Входящий звонок</t>
  </si>
  <si>
    <t>ПДР по фото</t>
  </si>
  <si>
    <t>Курчаткин</t>
  </si>
  <si>
    <t xml:space="preserve">Дубликат в мессенджере ответили </t>
  </si>
  <si>
    <t>пдр/ впуклости не делаем</t>
  </si>
  <si>
    <t>ПДР П_Р_О_С_Е_К_А</t>
  </si>
  <si>
    <t>Рогачев</t>
  </si>
  <si>
    <t>Фарида Минаева - Открытая линия Левша</t>
  </si>
  <si>
    <t>Фарида</t>
  </si>
  <si>
    <t>Минаева</t>
  </si>
  <si>
    <t xml:space="preserve">Дверь багажника Джили МК  </t>
  </si>
  <si>
    <t xml:space="preserve">На осмотр Вмятина к ДИМЕ </t>
  </si>
  <si>
    <t xml:space="preserve">Ремонт кузова после ДТП / не делаем такого объма работы </t>
  </si>
  <si>
    <t>7 927 722-89-33 - Входящий звонок</t>
  </si>
  <si>
    <t xml:space="preserve">PDR Корозия </t>
  </si>
  <si>
    <t>Рустамович</t>
  </si>
  <si>
    <t>7 996 737-28-54 - Входящий звонок</t>
  </si>
  <si>
    <t>06,11 PDR Haval</t>
  </si>
  <si>
    <t>7 927 907-52-25 - Входящий звонок</t>
  </si>
  <si>
    <t>7 927 657-59-39 - Входящий звонок</t>
  </si>
  <si>
    <t>пдр/ приедет на осмотр/ человек с вайбером/ габэла</t>
  </si>
  <si>
    <t>х5/ пдр</t>
  </si>
  <si>
    <t>Чанган ЮниТ белый Вера</t>
  </si>
  <si>
    <t xml:space="preserve">ПДР ПРОСЕКА </t>
  </si>
  <si>
    <t xml:space="preserve">ПДР шкода фабия прислал фото в чат создан другой лид </t>
  </si>
  <si>
    <t>MB</t>
  </si>
  <si>
    <t>GLE</t>
  </si>
  <si>
    <t>кого то ударил, сколько стоит вмятина, на осмотр приедет не он, а его друг, а может и не приедет ит.д</t>
  </si>
  <si>
    <t>7 927 602-96-10 - Входящий звонок</t>
  </si>
  <si>
    <t>пдр/ ли6/ 30.10 к 10:00 задняя левая дверь</t>
  </si>
  <si>
    <t>пдр/х5/29.10</t>
  </si>
  <si>
    <t>7 927 686-43-54 - Входящий звонок</t>
  </si>
  <si>
    <t>финик/ пдр/ 29.10 к 9:00 / крыло 12000</t>
  </si>
  <si>
    <t>Гимадиев</t>
  </si>
  <si>
    <t>Табрис</t>
  </si>
  <si>
    <t>7 917 115-64-50 - Входящий звонок</t>
  </si>
  <si>
    <t>ПДР четверг / 31.10/ ягуар</t>
  </si>
  <si>
    <t xml:space="preserve">ПДР Вот написалв чат </t>
  </si>
  <si>
    <t>А</t>
  </si>
  <si>
    <t xml:space="preserve">ПДР пришлёт фотоки в соц сети </t>
  </si>
  <si>
    <t xml:space="preserve">PDR порог замял по фото </t>
  </si>
  <si>
    <t>7 927 777-63-84 - Входящий звонок</t>
  </si>
  <si>
    <t>отмена записи ПДР</t>
  </si>
  <si>
    <t>пдр / аккорд-старый/ ждем на оценку в Пн</t>
  </si>
  <si>
    <t>7 903 308-78-45 - Входящий звонок</t>
  </si>
  <si>
    <t>сумашедший дед. ждем решения по пдр</t>
  </si>
  <si>
    <t>PDR МАКСИМ / Бог простит/ рио после автобуса/ в кузовной</t>
  </si>
  <si>
    <t>21,1</t>
  </si>
  <si>
    <t>7 917 150-95-80 - Входящий звонок</t>
  </si>
  <si>
    <t>Убрать большую вмятину</t>
  </si>
  <si>
    <t>оценка пдр/ приедет 21.10 / 9:00 /крышка пдр</t>
  </si>
  <si>
    <t>ПДР НА ОСМОТР / не приедет</t>
  </si>
  <si>
    <t>17,10 PDR Fort Kuga</t>
  </si>
  <si>
    <t>Артем Пудовкин - Открытая линия Левша/ пдр / оценил в чате. жду ответа/ под замену</t>
  </si>
  <si>
    <t>Пудовкин</t>
  </si>
  <si>
    <t>Артём Пудовкин - Открытая линия Левша/ дубль</t>
  </si>
  <si>
    <t xml:space="preserve">кузовной ремонт не ПДР </t>
  </si>
  <si>
    <t>ПДР / не ремонт</t>
  </si>
  <si>
    <t>Оценка ПДР/ фото прислать не может, когда приедет не знает. и т.д</t>
  </si>
  <si>
    <t>кашкай/  пдр / 23.10 к 9:00/ пл дверь</t>
  </si>
  <si>
    <t>ПДР в Выходные, не удобная дата</t>
  </si>
  <si>
    <t>пдр просека</t>
  </si>
  <si>
    <t>7 927 717-63-07 - Входящий звонок</t>
  </si>
  <si>
    <t>Веста комплекс хим чистка 21,10</t>
  </si>
  <si>
    <t>v26237613</t>
  </si>
  <si>
    <t>оценка пдр по фото/ корола/ антон/ озвучили в другом сервисе 4500, поедет туда</t>
  </si>
  <si>
    <t>оценка пдр по фото/ корола/ антон</t>
  </si>
  <si>
    <t>ПДР ПРОСЕКА/ рио/ 15.10 к 9:00 /</t>
  </si>
  <si>
    <t>Кудасов</t>
  </si>
  <si>
    <t>7 927 703-63-64 - Входящий звонок</t>
  </si>
  <si>
    <t xml:space="preserve">ПДР Просека заберите Чарт </t>
  </si>
  <si>
    <t>рио / пдр / отмена записи</t>
  </si>
  <si>
    <t>пдр/ поло/ 15.10 к 9:00</t>
  </si>
  <si>
    <t>ПДР Крузер</t>
  </si>
  <si>
    <t xml:space="preserve">11,10 solaris скол и вмятина </t>
  </si>
  <si>
    <t>вмятина на крыше, там Кабарджоба как и сама машина</t>
  </si>
  <si>
    <t>оценка ПДР/ вмятина на крыле. приедет на осмотр 09.10 до 13:00/ отправили в кузовной! габэла</t>
  </si>
  <si>
    <t xml:space="preserve">ПДР на Газель с кузовом / не пройдет к нам </t>
  </si>
  <si>
    <t xml:space="preserve">Установить телевизор / козовная работа / не делаем </t>
  </si>
  <si>
    <t xml:space="preserve">Сергей PDR </t>
  </si>
  <si>
    <t>пдр/ 08.10 к 9:00</t>
  </si>
  <si>
    <t>Haval Joulion PDR</t>
  </si>
  <si>
    <t>пдр двери и крыла</t>
  </si>
  <si>
    <t>форд на оценку ПДР/ приедет 04.10</t>
  </si>
  <si>
    <t>пдр/ 7.10 к 17:00/ форд эко спорт</t>
  </si>
  <si>
    <t>Вмятина на оценку дб подъехать</t>
  </si>
  <si>
    <t>с4/ пдр/ отправили в кузовной</t>
  </si>
  <si>
    <t>пдр/ спортаж</t>
  </si>
  <si>
    <t>7 927 793-34-59 - Входящий звонок</t>
  </si>
  <si>
    <t>ПДР осмотр/ сделал в другом месте</t>
  </si>
  <si>
    <t>7 930 118-60-37 - Входящий звонок</t>
  </si>
  <si>
    <t>Непонятные идеи про мухобойку</t>
  </si>
  <si>
    <t>Осмотр ПДР / не сделаем. отправили в кузовной</t>
  </si>
  <si>
    <t>7 902 429-14-63 - Входящий звонок</t>
  </si>
  <si>
    <t>7 846 334-76-94 - Входящий звонок</t>
  </si>
  <si>
    <t xml:space="preserve">ПДР на оценку </t>
  </si>
  <si>
    <t>хавал н6/ дмитрий / фото не пришлет, работает до 19:00 в 5/2 / не приедет</t>
  </si>
  <si>
    <t>пдр/ оцениваю в чате</t>
  </si>
  <si>
    <t>Наталия Привалова</t>
  </si>
  <si>
    <t>Николай Хусаинов - Покраска</t>
  </si>
  <si>
    <t>Хусаинов</t>
  </si>
  <si>
    <t>Бачеров Евгений - ПДР</t>
  </si>
  <si>
    <t>Бачеров</t>
  </si>
  <si>
    <t>7 927 709-25-05 - Входящий звонок</t>
  </si>
  <si>
    <t xml:space="preserve">ПДР октавия не ремонтируемое </t>
  </si>
  <si>
    <t>Syanov</t>
  </si>
  <si>
    <t xml:space="preserve">Вытягивание порогов малярка не делаем </t>
  </si>
  <si>
    <t>мерс е класс/ пд / 26.09 к 9:00</t>
  </si>
  <si>
    <t>ПДР Оценка Киа рио гос номер В605ТЕ</t>
  </si>
  <si>
    <t>Заявка с сайта ЛЕВША/ пдр / оцениваю по фото</t>
  </si>
  <si>
    <t>пдр J7</t>
  </si>
  <si>
    <t xml:space="preserve">ПДР Киа Сорента </t>
  </si>
  <si>
    <t>79198044579 - Входящий звонок</t>
  </si>
  <si>
    <t>PDR X3 999</t>
  </si>
  <si>
    <t>пдр/ оценил крыло по фто 15000/ запишется после того, как вытресит деньги со страховой</t>
  </si>
  <si>
    <t>Дмитрий Маслеев - вмятина от самоката с повреждением лкп</t>
  </si>
  <si>
    <t>ПДР Datsun On-DO осмотр/ 30.09 к 9:00</t>
  </si>
  <si>
    <t>Пдр нужно в день обращения сделать работу / без записи</t>
  </si>
  <si>
    <t xml:space="preserve">пдр / джили атлас / оцениваю в чате </t>
  </si>
  <si>
    <t>ПДР   - - - - Заявка с сайта ЛЕВША - форма Online-запись</t>
  </si>
  <si>
    <t>Заявка с сайта ЛЕВША/ пдр / оцениваю в чате</t>
  </si>
  <si>
    <t>пдр/ Q7/ записан на 25.09 к 9:00/ 20000</t>
  </si>
  <si>
    <t xml:space="preserve">хендай солярис ПДР </t>
  </si>
  <si>
    <t>ПДР на осмотр</t>
  </si>
  <si>
    <t xml:space="preserve">ПДР приезжал неремонтируемое </t>
  </si>
  <si>
    <t>Ошибочно написал</t>
  </si>
  <si>
    <t>Азат</t>
  </si>
  <si>
    <t>Хисамов</t>
  </si>
  <si>
    <t>7 901 802-40-75 - Входящий звонок</t>
  </si>
  <si>
    <t>Дмитрий -  переднее крыло хавал джолион</t>
  </si>
  <si>
    <t>ПДР 18,09 уехал на осмотр на РЕН</t>
  </si>
  <si>
    <t>на осмотр</t>
  </si>
  <si>
    <t>Вмятина на ГАЗели Некст</t>
  </si>
  <si>
    <t xml:space="preserve">ПДР Аутлендер </t>
  </si>
  <si>
    <t xml:space="preserve">ПДР Киа церато </t>
  </si>
  <si>
    <t>7 987 922-76-16 - Входящий звонок</t>
  </si>
  <si>
    <t xml:space="preserve">PDR востановление </t>
  </si>
  <si>
    <t>7 960 828-92-54 - Входящий звонок</t>
  </si>
  <si>
    <t>16.09 ПДР 9-00 5 ПРО</t>
  </si>
  <si>
    <t>Сергей Гайдук PDR</t>
  </si>
  <si>
    <t>7 908 417-97-79 - Входящий звонок</t>
  </si>
  <si>
    <t>Вмятина 2-3мм Селтос новый замяли на автовозе (сделать сегодня 13.09)</t>
  </si>
  <si>
    <t>ПДР Аутлендер приглашен на осмотр</t>
  </si>
  <si>
    <t>PDR Karnival перенос записи</t>
  </si>
  <si>
    <t xml:space="preserve">PDR будет решать сможет привести или нет </t>
  </si>
  <si>
    <t xml:space="preserve">PDR капота </t>
  </si>
  <si>
    <t xml:space="preserve">ПДР Suzuki Grand Vitara только малярка </t>
  </si>
  <si>
    <t xml:space="preserve">по кузову поработать, сколы </t>
  </si>
  <si>
    <t>7 927 260-07-32 - Входящий звонок</t>
  </si>
  <si>
    <t>Рапид вмятина</t>
  </si>
  <si>
    <t>нива</t>
  </si>
  <si>
    <t>BMW X7 Капот ПДР осмотр</t>
  </si>
  <si>
    <t xml:space="preserve">ПДР Sportage </t>
  </si>
  <si>
    <t>7 917 109-39-98 - Входящий звонок</t>
  </si>
  <si>
    <t>7 987 437-22-63 - Входящий звонок</t>
  </si>
  <si>
    <t xml:space="preserve">25.09 ПДР перенос записи </t>
  </si>
  <si>
    <t xml:space="preserve">Вмятина на двери праворульной машины </t>
  </si>
  <si>
    <t>7 927 000-53-36 - Входящий звонок</t>
  </si>
  <si>
    <t xml:space="preserve">Субару ПДР </t>
  </si>
  <si>
    <t xml:space="preserve">ПДР Субару </t>
  </si>
  <si>
    <t xml:space="preserve">По фото PDR </t>
  </si>
  <si>
    <t xml:space="preserve">PDR Haval Dargo </t>
  </si>
  <si>
    <t>Лелюк</t>
  </si>
  <si>
    <t>ПДР  -= - Заявка с сайта ЛЕВША - форма Online-запись</t>
  </si>
  <si>
    <t>Вмятина на крышке багажника КИА м134оа</t>
  </si>
  <si>
    <t>7 937 655-84-81 - Входящий звонок</t>
  </si>
  <si>
    <t>Владимир вмятина на двери мазда сх-5</t>
  </si>
  <si>
    <t>владимир</t>
  </si>
  <si>
    <t>вмятина самара</t>
  </si>
  <si>
    <t>Осмотр ПДР 4,09</t>
  </si>
  <si>
    <t>7 996 743-46-39 - Входящий звонок</t>
  </si>
  <si>
    <t xml:space="preserve">ПДР митсубиши </t>
  </si>
  <si>
    <t>7 999 106-48-87 - Входящий звонок</t>
  </si>
  <si>
    <t>бампер покрасить</t>
  </si>
  <si>
    <t>7 927 608-16-10 - Входящий звонок</t>
  </si>
  <si>
    <t>7 903 309-79-69 - Входящий звонок</t>
  </si>
  <si>
    <t>09,09 Polo</t>
  </si>
  <si>
    <t>7 937 234-00-65 - Входящий звонок</t>
  </si>
  <si>
    <t>пдр оценка/ общаемся в чате</t>
  </si>
  <si>
    <t>оценка пдр/ крышка багажника. оценка в чате</t>
  </si>
  <si>
    <t xml:space="preserve">спасибо уже не надо </t>
  </si>
  <si>
    <t>Владислав Альфредович Бояров</t>
  </si>
  <si>
    <t xml:space="preserve">PDR Chery багажник </t>
  </si>
  <si>
    <t>Армен Артурович Даниелян</t>
  </si>
  <si>
    <t xml:space="preserve">карнивал / пдр / 16.09 к 9:00 / </t>
  </si>
  <si>
    <t>Авито ПДР Стария</t>
  </si>
  <si>
    <t>оценка пдр</t>
  </si>
  <si>
    <t>PDR ПДР по фото кабарджоба !!!</t>
  </si>
  <si>
    <t>Мартышкин</t>
  </si>
  <si>
    <t>ПДР / общаемся в чате/ приедет 28.08 на оценку/ крышка багажника под замену. отправили в кузовной</t>
  </si>
  <si>
    <t>Гущин</t>
  </si>
  <si>
    <t>CR-V/ пдр / ППдверь/ 11.08  к 9:00</t>
  </si>
  <si>
    <t>пдр срочно! калчий в отпуске</t>
  </si>
  <si>
    <t xml:space="preserve">я вот это.... по обьявлению это.... </t>
  </si>
  <si>
    <t xml:space="preserve">PDr по фото Octavia </t>
  </si>
  <si>
    <t>Куркин</t>
  </si>
  <si>
    <t>удаление вмятин без покраски самаре</t>
  </si>
  <si>
    <t>I I - Открытая линия Левша</t>
  </si>
  <si>
    <t>I</t>
  </si>
  <si>
    <t>хочет сделать пдр прямо сейчас. срочно! не сделаем калюжный в отпуске</t>
  </si>
  <si>
    <t xml:space="preserve">PDR порог </t>
  </si>
  <si>
    <t xml:space="preserve">скол на пороге </t>
  </si>
  <si>
    <t>PDR Марина, вмятина на двери</t>
  </si>
  <si>
    <t>Глущенкова</t>
  </si>
  <si>
    <t>оценка ПДР/ приедет сегодня в обед/ отпрапвили в кузовной</t>
  </si>
  <si>
    <t>Папа</t>
  </si>
  <si>
    <t>Макс PDR по фото Две маленькие вмятины Мазда 6gj</t>
  </si>
  <si>
    <t>лексус рх по возможности отполировать царапину/ отправил в кузовной/</t>
  </si>
  <si>
    <t>Ярослав - Открытая линия Левша/ ПДР/ оценил по фото/ отправил в кузовной (дед)</t>
  </si>
  <si>
    <t>оценка пдр/ оценил по фото. жду решения/ не готов записаться. сам иногородний. позвонит, как соберется в самару</t>
  </si>
  <si>
    <t>DLD</t>
  </si>
  <si>
    <t xml:space="preserve">Роман вмятина на оценку БМВ Х3 </t>
  </si>
  <si>
    <t>Katerina Mikhailovna - вмятина крыле, оценить/ оценили по фото. крыло под замену</t>
  </si>
  <si>
    <t>Katerina</t>
  </si>
  <si>
    <t>Mikhailovna</t>
  </si>
  <si>
    <t>Чикин Алексей - вмятина на двери</t>
  </si>
  <si>
    <t>Чикин</t>
  </si>
  <si>
    <t>ПДР!!!   / оцениваю по фото/</t>
  </si>
  <si>
    <t>PDR по фото АВито</t>
  </si>
  <si>
    <t>ПДР прямо сейчас</t>
  </si>
  <si>
    <t xml:space="preserve">PDR Honda </t>
  </si>
  <si>
    <t xml:space="preserve">Rav 4 PDR </t>
  </si>
  <si>
    <t>Лексус на ремонт вмятины/ отправили в кузовной</t>
  </si>
  <si>
    <t>7 960 820-05-20 - Входящий звонок</t>
  </si>
  <si>
    <t>ПДР - - - - - Даниил - Открытая линия Левша</t>
  </si>
  <si>
    <t>сколы по кузову</t>
  </si>
  <si>
    <t>Анна Hyundai Getz ремонт вмятины</t>
  </si>
  <si>
    <t>Roman -PDR без вариантов там</t>
  </si>
  <si>
    <t>Roman</t>
  </si>
  <si>
    <t>Shurik</t>
  </si>
  <si>
    <t>Popov</t>
  </si>
  <si>
    <t>Авито Сергей - выпрямить крышу/ габэла</t>
  </si>
  <si>
    <t>PDR  на омсмотр</t>
  </si>
  <si>
    <t>7 909 344-20-55 - Входящий звонок</t>
  </si>
  <si>
    <t>Авито глс/ оценка пдр в чате/ сергей</t>
  </si>
  <si>
    <t>ПДР и антидождь Тигуан</t>
  </si>
  <si>
    <t>Любовь пдр на осмотр/ мазда сх5/16.08</t>
  </si>
  <si>
    <t>Туарег вмятины на двери</t>
  </si>
  <si>
    <t>7 917 104-67-32 - Входящий звонок</t>
  </si>
  <si>
    <t>7 927 606-53-30 - Входящий звонок</t>
  </si>
  <si>
    <t>Волков Алексей - Открытая линия Левша</t>
  </si>
  <si>
    <t>7 927 607-77-63 - Входящий звонок</t>
  </si>
  <si>
    <t>Авито Виталий Мерседес м657ру вмятина на багажнике на оценку</t>
  </si>
  <si>
    <t>Авито ПДР  Багажник Лансер - Третьелицо - Открытая линия Левша</t>
  </si>
  <si>
    <t>Третьелицо</t>
  </si>
  <si>
    <t>7 937 661-17-77 - Входящий звонок</t>
  </si>
  <si>
    <t>Антон Хохлов - Открытая линия Левша</t>
  </si>
  <si>
    <t>Хохлов</t>
  </si>
  <si>
    <t>дарья/ пдр/ 15.08 к 9:00/ крышка багажника / джулион</t>
  </si>
  <si>
    <t>Игорь киа РИО</t>
  </si>
  <si>
    <t>Измайлов</t>
  </si>
  <si>
    <t xml:space="preserve">манжаро/ 09.08 к 17:00 / </t>
  </si>
  <si>
    <t>Заявка с сайта ЛЕВША - форма Online-запись/ сергей/ октавия а7 / полировка дефекта/ подьедет 09.08 на осмотр</t>
  </si>
  <si>
    <t>Вольдымар</t>
  </si>
  <si>
    <t>пустой чат, уже не пустой</t>
  </si>
  <si>
    <t>Мурад</t>
  </si>
  <si>
    <t>Норкузиев</t>
  </si>
  <si>
    <t>по готовности авто/ сделка уже закрыта</t>
  </si>
  <si>
    <t>ПДР - Заявка с сайта ЛЕВША - форма Online-запись</t>
  </si>
  <si>
    <t>PDR с фарами что то нужно посмотреть</t>
  </si>
  <si>
    <t>кашкай/ пдр+шви</t>
  </si>
  <si>
    <t>ПДР Авито</t>
  </si>
  <si>
    <t>Лев</t>
  </si>
  <si>
    <t>Алферов</t>
  </si>
  <si>
    <t>Авито ПДР )</t>
  </si>
  <si>
    <t>важно</t>
  </si>
  <si>
    <t>7 927 655-14-72 - Входящий звонок</t>
  </si>
  <si>
    <t>Хорева</t>
  </si>
  <si>
    <t>БМВ е90/ ПДР / хочет сделать срочно, быстро/ оценил в чате</t>
  </si>
  <si>
    <t>7 903 890-73-82 - Входящий звонок</t>
  </si>
  <si>
    <t>Станислав Эксид крышка багажника</t>
  </si>
  <si>
    <t>оценка пдр по фото</t>
  </si>
  <si>
    <t>pDR Mazda CX-5</t>
  </si>
  <si>
    <t xml:space="preserve">PDR Granta </t>
  </si>
  <si>
    <t>7 963 917-09-06 - Входящий звонок</t>
  </si>
  <si>
    <t>Заполнение CRM-формы "Обратный звонок с номера "Приложение: MANGO OFFICE""/ не берет/ не берет</t>
  </si>
  <si>
    <t>ПДР/ общаемся в чате/ оценил тычок на двери в 4000/ жду ответа/ ответил, что неготов записываться, просто пробивал цены</t>
  </si>
  <si>
    <t>Абакумов</t>
  </si>
  <si>
    <t>Эрик - ПДР</t>
  </si>
  <si>
    <t>Эрик</t>
  </si>
  <si>
    <t>Авито Влад - Открытая линия Левша</t>
  </si>
  <si>
    <t>Виталя - Открытая линия Левша</t>
  </si>
  <si>
    <t>Виталя</t>
  </si>
  <si>
    <t xml:space="preserve">ПДР Ford Eco Sport заедет на осмотр </t>
  </si>
  <si>
    <t>7 927 657-00-93 - Входящий звонок</t>
  </si>
  <si>
    <t>пдр/ оценка по фото/ мазда 6/ андрей</t>
  </si>
  <si>
    <t>Консультация по PDR звонок сорвался при переводе</t>
  </si>
  <si>
    <t>удаление вмятин без покраски в самаре</t>
  </si>
  <si>
    <t>7 929 703-33-37 - Входящий звонок</t>
  </si>
  <si>
    <t>Ильгачев</t>
  </si>
  <si>
    <t>RR/ пдр 2.08/ к 12:30/ без оценки</t>
  </si>
  <si>
    <t>PDR по фото</t>
  </si>
  <si>
    <t>ПДР на Просеку приедет на осмотр</t>
  </si>
  <si>
    <t>Синяя мазда ПДР, входит ли полировка в комплекс работ по пдр</t>
  </si>
  <si>
    <t>пдр крыши/ камри 111 / 31.08</t>
  </si>
  <si>
    <t xml:space="preserve">ПДР После града </t>
  </si>
  <si>
    <t>PDR Outlander на 01,08</t>
  </si>
  <si>
    <t xml:space="preserve">а вот и звонок по пдр который я прозванивал </t>
  </si>
  <si>
    <t>ПДР приедет на осмотр на просеку 31.07</t>
  </si>
  <si>
    <t>ПДР - Artem Gaidar - Открытая линия Левша</t>
  </si>
  <si>
    <t>Gaidar</t>
  </si>
  <si>
    <t>не можем определится со временем</t>
  </si>
  <si>
    <t>PDR под покрас на двери</t>
  </si>
  <si>
    <t>ОЦЕНКА пдр/ спектра/ 31.07 к 18:00</t>
  </si>
  <si>
    <t xml:space="preserve">по кузову </t>
  </si>
  <si>
    <t>Lexus</t>
  </si>
  <si>
    <t>NX</t>
  </si>
  <si>
    <t>Монжаро 020</t>
  </si>
  <si>
    <t>работаем ли мы с страховыми компаниями/ нет Авито, пдр вмятина на задней двери Монжаро</t>
  </si>
  <si>
    <t>7 927 746-73-28 - Входящий звонок</t>
  </si>
  <si>
    <t>полировка кузова + пдр</t>
  </si>
  <si>
    <t>туарег/пдр/ 26.07 к 9:00</t>
  </si>
  <si>
    <t xml:space="preserve">ПДР Нива </t>
  </si>
  <si>
    <t>максим/оптима/ 24.07 к 17:00 на осмотр</t>
  </si>
  <si>
    <t>PDR Q5 24.07 Audi Q5 № а091рн763</t>
  </si>
  <si>
    <t>PDr соболь</t>
  </si>
  <si>
    <t xml:space="preserve">ПДР по Фото просека </t>
  </si>
  <si>
    <t xml:space="preserve">PDr ну порсле цены думаю не приедет </t>
  </si>
  <si>
    <t>24.07 про</t>
  </si>
  <si>
    <t>ПДР Просека Приедет на недели на осмотр Мазда</t>
  </si>
  <si>
    <t>покраска элемента. не делаем</t>
  </si>
  <si>
    <t>Максим - PDR птица на капот</t>
  </si>
  <si>
    <t>ПДР / машина отца лексус 570/ оцениваем по фото/ запсан на 23.07 к 12:00 Данил Ляпин</t>
  </si>
  <si>
    <t>Ляпин</t>
  </si>
  <si>
    <t xml:space="preserve">ПДР Форд фокус </t>
  </si>
  <si>
    <t xml:space="preserve">Алиса - PDR </t>
  </si>
  <si>
    <t>Алиса</t>
  </si>
  <si>
    <t>PDR camry</t>
  </si>
  <si>
    <t>Александр Шпилов - Открытая линия Левша/</t>
  </si>
  <si>
    <t>Шпилов</t>
  </si>
  <si>
    <t>трещина стекло</t>
  </si>
  <si>
    <t>Dmitriy - Открытая линия Левша</t>
  </si>
  <si>
    <t>7 917 102-53-67 - Входящий звонок</t>
  </si>
  <si>
    <t>ПДР / 18.07 к 13:00 / соната</t>
  </si>
  <si>
    <t>ОЛЕГ, спортаж / 19.07 к 12:00</t>
  </si>
  <si>
    <t>EXEED RX E-mail: Интересующая услуга: Ремонт вмятин без покраски/ приедет на оценку 17.07</t>
  </si>
  <si>
    <t>Анар</t>
  </si>
  <si>
    <t xml:space="preserve">ПДР Просека </t>
  </si>
  <si>
    <t>Askhat Murzalinov - Открытая линия Левша</t>
  </si>
  <si>
    <t>Askhat</t>
  </si>
  <si>
    <t>Murzalinov</t>
  </si>
  <si>
    <t>ПДР Просека</t>
  </si>
  <si>
    <t>Оценить для страховой</t>
  </si>
  <si>
    <t>7 927 728-44-05 - Входящий звонок</t>
  </si>
  <si>
    <t>ира</t>
  </si>
  <si>
    <t>ПДР П_Р_О_С_Е_К_А/ неудобная дата</t>
  </si>
  <si>
    <t>PDR  L_A_D_A</t>
  </si>
  <si>
    <t>Batiaev</t>
  </si>
  <si>
    <t>киа соренто / пдр/ приедет на оценку 16.07 или 17.07</t>
  </si>
  <si>
    <t>PDR крыша L_O_G_A_N</t>
  </si>
  <si>
    <t>Решетников</t>
  </si>
  <si>
    <t>PDr паджеро</t>
  </si>
  <si>
    <t>7 927 741-89-98 - Входящий звонок</t>
  </si>
  <si>
    <t>Серега Ланцов - Открытая линия Левша</t>
  </si>
  <si>
    <t>Серега</t>
  </si>
  <si>
    <t>Ланцов</t>
  </si>
  <si>
    <t xml:space="preserve">Серега Ланцов - PDR </t>
  </si>
  <si>
    <t>пдр + выпрямление пластика бампера/ сам живет за 100 км от города. хочет совместить с бампером (не сделаем)</t>
  </si>
  <si>
    <t>ПДР/ не сделаем. отправили в малярку</t>
  </si>
  <si>
    <t>ПДР Тигуан</t>
  </si>
  <si>
    <t>Gleb</t>
  </si>
  <si>
    <t xml:space="preserve">Jumbo - PDR </t>
  </si>
  <si>
    <t xml:space="preserve">16/07 PDR Sonata </t>
  </si>
  <si>
    <t>пдр / рав4 / 10.07 / к 9:00</t>
  </si>
  <si>
    <t>пдр/ октавия / приедет на осмотр 10.07</t>
  </si>
  <si>
    <t>ПДР двери</t>
  </si>
  <si>
    <t>7 927 203-68-53 - Входящий звонок</t>
  </si>
  <si>
    <t>ПДР - Софочка - Открытая линия Левша</t>
  </si>
  <si>
    <t>Софочка</t>
  </si>
  <si>
    <t>PDR на капоте Skoda</t>
  </si>
  <si>
    <t>ПДР Rav 4 919</t>
  </si>
  <si>
    <t>Gleb - Открытая линия Левша</t>
  </si>
  <si>
    <t>7 987 915-81-03 - Входящий звонок</t>
  </si>
  <si>
    <t>KIA K5 Приедет на оцценку ПДР. Хочет на полривку и химчистку</t>
  </si>
  <si>
    <t>мазда 6/ пдр / на оценку приедет 09.07</t>
  </si>
  <si>
    <t>покраска эл-та</t>
  </si>
  <si>
    <t>Структурная</t>
  </si>
  <si>
    <t>Единица</t>
  </si>
  <si>
    <t>Паджеро 4 вмятина на заднем крыле и на двери</t>
  </si>
  <si>
    <t>Герасимов</t>
  </si>
  <si>
    <t>7 927 606-58-96 - Входящий звонок</t>
  </si>
  <si>
    <t>7 927 015-91-45 - Входящий звонок</t>
  </si>
  <si>
    <t>Оценка PDR на просеке</t>
  </si>
  <si>
    <t>ПДР ,приедет на просеку на оценку</t>
  </si>
  <si>
    <t>Оценка PDR Просека</t>
  </si>
  <si>
    <t>PDR оценка</t>
  </si>
  <si>
    <t>Екатерина - Открытая линия Левша/ ПДР просека</t>
  </si>
  <si>
    <t>RIO PDR</t>
  </si>
  <si>
    <t>Осмотр/ ПДР/ GLE 13:00 5.07</t>
  </si>
  <si>
    <t>Оценка PDR 05,07</t>
  </si>
  <si>
    <t>покраска элементов</t>
  </si>
  <si>
    <t>ПДР лада гранта, пригласил на осмотр не может назначить точную дату, связать с клиентом чуть позже для уточнения точной даты для осмотра вмятины</t>
  </si>
  <si>
    <t>ремонт вмятин без покраски в самаре</t>
  </si>
  <si>
    <t>Дверь на Гранте замята после аварии</t>
  </si>
  <si>
    <t>РАПИД PDR</t>
  </si>
  <si>
    <t>ПДР Polo</t>
  </si>
  <si>
    <t>ПДР Kia Rio 887 вмятина на задней двери от столба</t>
  </si>
  <si>
    <t>7 917 036-32-66 - Входящий звонок</t>
  </si>
  <si>
    <t>Строй-инжиниринг Х7 вмятина</t>
  </si>
  <si>
    <t>Пдр</t>
  </si>
  <si>
    <t>ПДР Vesta багажник</t>
  </si>
  <si>
    <t>Sudarikov</t>
  </si>
  <si>
    <t>7 927 000-15-57 - Входящий звонок</t>
  </si>
  <si>
    <t>PDR Chingan</t>
  </si>
  <si>
    <t>Приедет на осмотр 02.07. к 10:00 на просеку</t>
  </si>
  <si>
    <t>пдр шкода рапид</t>
  </si>
  <si>
    <t>ПДР Chingan клиент написал с другого номера в watsapp</t>
  </si>
  <si>
    <t>Chingan</t>
  </si>
  <si>
    <t>Пока не берет</t>
  </si>
  <si>
    <t>пдр  Фиат Дукато на задней двери есть маленькие вмятины (шишки)</t>
  </si>
  <si>
    <t>Горнушев</t>
  </si>
  <si>
    <t>Балакирев</t>
  </si>
  <si>
    <t>7 986 953-94-66 - Входящий звонок</t>
  </si>
  <si>
    <t>Оценка PDR</t>
  </si>
  <si>
    <t xml:space="preserve">Павел </t>
  </si>
  <si>
    <t xml:space="preserve">ПДР Рено Логан </t>
  </si>
  <si>
    <t>PDR .06.07</t>
  </si>
  <si>
    <t>Заявка с сайта ЛЕВША Форд Мондео вмятина на стойке</t>
  </si>
  <si>
    <t>Александр Мокшин - Открытая линия Левша</t>
  </si>
  <si>
    <t>Мокшин</t>
  </si>
  <si>
    <t>Тусан протаранил косулю - ПДР</t>
  </si>
  <si>
    <t>ПДР веста дорого</t>
  </si>
  <si>
    <t>Вмятина на багажнике Рио</t>
  </si>
  <si>
    <t>отмена записи ПДР спортаж</t>
  </si>
  <si>
    <t xml:space="preserve">ПДР уточнение записи </t>
  </si>
  <si>
    <t>CHERYFF - Открытая линия Левша</t>
  </si>
  <si>
    <t>CHERYFF</t>
  </si>
  <si>
    <t>ПДР просека, приедет на осмотр в субботу</t>
  </si>
  <si>
    <t>PDR Lancer/111</t>
  </si>
  <si>
    <t>7 846 212-38-83 - Входящий звонок</t>
  </si>
  <si>
    <t>ПДР, хавал джулион</t>
  </si>
  <si>
    <t>tsvetkovartem79</t>
  </si>
  <si>
    <t>Пдр. Позвонить как выйдет калюжный</t>
  </si>
  <si>
    <t>Максим Александрович - Открытая линия Левша</t>
  </si>
  <si>
    <t>Рено Логан тычок на двери</t>
  </si>
  <si>
    <t>осмотр PDR Optima/087 18.06</t>
  </si>
  <si>
    <t>7 987 458-33-33 - Входящий звонок</t>
  </si>
  <si>
    <t>Оценка На просеке Pdr</t>
  </si>
  <si>
    <t>Дамир</t>
  </si>
  <si>
    <t>SIT</t>
  </si>
  <si>
    <t>готовность Тигуан969</t>
  </si>
  <si>
    <t>PDR  маленькая вмятина</t>
  </si>
  <si>
    <t>PDR Kaprur/793 26.06</t>
  </si>
  <si>
    <t>7 927 260-19-38 - Входящий звонок</t>
  </si>
  <si>
    <t>Sergei - Открытая линия Левша</t>
  </si>
  <si>
    <t>Sergei</t>
  </si>
  <si>
    <t>Кузовной ремонт</t>
  </si>
  <si>
    <t>Киа Рио перенос записи PDR на 27.06</t>
  </si>
  <si>
    <t>Outlander pdr 13/06</t>
  </si>
  <si>
    <t>Удаление вмятин. Kia sportage 13.06 осмотр</t>
  </si>
  <si>
    <t>Эльтун Абушов - PDR Toyota LC</t>
  </si>
  <si>
    <t>Эльтун</t>
  </si>
  <si>
    <t>Абушов</t>
  </si>
  <si>
    <t>порг киа рио/ оценка</t>
  </si>
  <si>
    <t>VALERIAN</t>
  </si>
  <si>
    <t>7 999 172-89-96 - Входящий звонок</t>
  </si>
  <si>
    <t>Виктория CX 5 Мазда перезапись на ПДР</t>
  </si>
  <si>
    <t>Владимир приглашение на осмотр Джили Кулрей ПДР</t>
  </si>
  <si>
    <t>PDR капот Мазда CX 5</t>
  </si>
  <si>
    <t>PDR тигуан/606 15,06</t>
  </si>
  <si>
    <t>кузовной ремонт</t>
  </si>
  <si>
    <t>7 927 702-37-91 - Входящий звонок</t>
  </si>
  <si>
    <t>приглашена на осмотр Тигуан</t>
  </si>
  <si>
    <t>PDR LC/333 помяли головой</t>
  </si>
  <si>
    <t>7 900 313-77-24 - Входящий звонок</t>
  </si>
  <si>
    <t>PDR запишется позже на осмотр</t>
  </si>
  <si>
    <t>отмена записи PDR 13,06</t>
  </si>
  <si>
    <t>Тамара Папко - Открытая линия Левша</t>
  </si>
  <si>
    <t>Тамара</t>
  </si>
  <si>
    <t>Папко</t>
  </si>
  <si>
    <t>вытягивание вмятин без покраски</t>
  </si>
  <si>
    <t>Rail - Открытая линия Левша</t>
  </si>
  <si>
    <t>ПДР шкода красная 2,07</t>
  </si>
  <si>
    <t>пдр. шкода рапид крышка багажника 24.06</t>
  </si>
  <si>
    <t>PDR киа рио 25.06</t>
  </si>
  <si>
    <t>Сергей Калиновский - Открытая линия Левша</t>
  </si>
  <si>
    <t>Калиновский</t>
  </si>
  <si>
    <t>Географический кретинизм 5 просека</t>
  </si>
  <si>
    <t>ПДР---Yan - Открытая линия Левша</t>
  </si>
  <si>
    <t>Yan</t>
  </si>
  <si>
    <t>Алексей Мазанов ПДР Лада Гранта</t>
  </si>
  <si>
    <t>Мазанов</t>
  </si>
  <si>
    <t>Сергей Старченко Rs4 - Открытая линия Левша</t>
  </si>
  <si>
    <t>Сергей Старченко Rs4</t>
  </si>
  <si>
    <t>Светлана Лада Гранта замятие порога</t>
  </si>
  <si>
    <t>Вопрос по оценке ПДР (адрес куда подъехать)</t>
  </si>
  <si>
    <t>Два повреждения на машине ПДР</t>
  </si>
  <si>
    <t>7 937 796-34-81 - Входящий звонок</t>
  </si>
  <si>
    <t>Запись на оценку ПДР Мария Киа Спортаж</t>
  </si>
  <si>
    <t>осмотр санта фе пдр</t>
  </si>
  <si>
    <t>7 917 125-35-64 - Входящий звонок</t>
  </si>
  <si>
    <t>говорит, что уже пообщался</t>
  </si>
  <si>
    <t>Ирина/ тигуан / хочет почистить хром и устранить вмятину./ запсал на осмотр 6.06 на просеку.</t>
  </si>
  <si>
    <t>дублер номер телефона+79179441627</t>
  </si>
  <si>
    <t>Родин Пëтр Александрович</t>
  </si>
  <si>
    <t>пдр 13.06</t>
  </si>
  <si>
    <t>пдр оценить по фото</t>
  </si>
  <si>
    <t>пдр+ полировка</t>
  </si>
  <si>
    <t>7 987 166-67-07 - Входящий звонок</t>
  </si>
  <si>
    <t>ремонт бампера</t>
  </si>
  <si>
    <t xml:space="preserve">Вмятина размером с перепелиное яйцо </t>
  </si>
  <si>
    <t>7 987 980-40-97 - Входящий звонок</t>
  </si>
  <si>
    <t>пдр/ просека тигуан/ 29.05/ 14:00/ ЗП дверь</t>
  </si>
  <si>
    <t>ПДР - - - -- - - -- - - -- -- - - - -- Андрей Конарыгин - Открытая линия Левша</t>
  </si>
  <si>
    <t>Конарыгин</t>
  </si>
  <si>
    <t>7 917 165-86-45 - Входящий звонок</t>
  </si>
  <si>
    <t>Запись на ПДР/ онлайн заявка/ осмотр 29,05</t>
  </si>
  <si>
    <t>ПДР Сергей Фомин - Открытая линия Левша</t>
  </si>
  <si>
    <t>Фомин</t>
  </si>
  <si>
    <t>Звонок по ПДР Мазда CX-5</t>
  </si>
  <si>
    <t>Фото по ПДР Мазда CX-5</t>
  </si>
  <si>
    <t>ПДР мачты яхты. не сделаем</t>
  </si>
  <si>
    <t>Рублев</t>
  </si>
  <si>
    <t>ПДР-должен приехать во вторник  28 на оценку</t>
  </si>
  <si>
    <t>ПДР----Ilyas - Открытая линия Левша</t>
  </si>
  <si>
    <t>Ilyas</t>
  </si>
  <si>
    <t>ПДР оценка</t>
  </si>
  <si>
    <t>ПДР----Паша - Открытая линия Левша</t>
  </si>
  <si>
    <t>ПДР 25.05. осмотр</t>
  </si>
  <si>
    <t>7 927 011-11-29 - Входящий звонок</t>
  </si>
  <si>
    <t>Юсупов</t>
  </si>
  <si>
    <t>ПДР---Gas - Открытая линия Левша</t>
  </si>
  <si>
    <t>Gas</t>
  </si>
  <si>
    <t>PDR ruslan</t>
  </si>
  <si>
    <t>ПДР оценка Ильдар</t>
  </si>
  <si>
    <t>приехал / сказал, что долго ждать. работы на целый день</t>
  </si>
  <si>
    <t>ПДР Чанган Алина 24.05</t>
  </si>
  <si>
    <t>PDR порог замят</t>
  </si>
  <si>
    <t>исправление вмятин на автомобиле без покраски</t>
  </si>
  <si>
    <t>ПДР багажник вмятина под за</t>
  </si>
  <si>
    <t>7 917 152-74-35 - Входящий звонок</t>
  </si>
  <si>
    <t>7 960 827-99-76 - Входящий звонок</t>
  </si>
  <si>
    <t>7 902 740-15-45 - Входящий звонок</t>
  </si>
  <si>
    <t>7 927 771-70-87 - Входящий звонок</t>
  </si>
  <si>
    <t>Максим Мандрик, Хавал вмятина на крышке багажника</t>
  </si>
  <si>
    <t>Мандрик</t>
  </si>
  <si>
    <t>ПДР+полировка дефектов Татьяна</t>
  </si>
  <si>
    <t>Tatiana</t>
  </si>
  <si>
    <t>PDR осмотр лансер/196</t>
  </si>
  <si>
    <t>Димарик - Открытая линия Левша, Opel Astra GTS J правая арка</t>
  </si>
  <si>
    <t>Jac js6    Заявка с сайта ЛЕВША - форма Online-запись</t>
  </si>
  <si>
    <t xml:space="preserve">PDR Hawal m6 думает </t>
  </si>
  <si>
    <t>хавал на осмотр</t>
  </si>
  <si>
    <t>ПДР 21/05 кашкай</t>
  </si>
  <si>
    <t>RR Sport крыша оценка DPR</t>
  </si>
  <si>
    <t>PDR Кашкай  21,05</t>
  </si>
  <si>
    <t>pdr 25.05. duster</t>
  </si>
  <si>
    <t>пдр рав 4. 21.05</t>
  </si>
  <si>
    <t xml:space="preserve">Вмятина на оценку Альмера Классик </t>
  </si>
  <si>
    <t>X-Trail маленькая вмятина на двери</t>
  </si>
  <si>
    <t>пдр / 18.05/ 16:00 / церато</t>
  </si>
  <si>
    <t>Артём - Открытая линия Левша, вмятина на пороге</t>
  </si>
  <si>
    <t>выправление вмятин автомобиле</t>
  </si>
  <si>
    <t>пдр  4.06</t>
  </si>
  <si>
    <t xml:space="preserve">Pdr удаление корозии с метала </t>
  </si>
  <si>
    <t>PDR 1,06 Suzuki</t>
  </si>
  <si>
    <t>ПДР Станислав - Открытая линия Левша</t>
  </si>
  <si>
    <t>text_bs4</t>
  </si>
  <si>
    <t>вмятин без покраски самара</t>
  </si>
  <si>
    <t>удаление вмятины ни ответа ни привета, на почту отправлял фото</t>
  </si>
  <si>
    <t>ПДР киа соренто/193 в записи на сегодня</t>
  </si>
  <si>
    <t xml:space="preserve">Алексей Уколов - PDR </t>
  </si>
  <si>
    <t>Уколов</t>
  </si>
  <si>
    <t xml:space="preserve">Хюндай 278 </t>
  </si>
  <si>
    <t xml:space="preserve">оценка вмятины на 14.05 / </t>
  </si>
  <si>
    <t>ПДР-----Алексей Галкин - Открытая линия Левша</t>
  </si>
  <si>
    <t>Галкин</t>
  </si>
  <si>
    <t>Маленькая вмятинка на двери Тусан</t>
  </si>
  <si>
    <t>хочет оценить вмятину по телефону. ехать к нам не собирается/ приценивается</t>
  </si>
  <si>
    <t>ПДР / GEELY эмгранд / 29.05 к 10:00</t>
  </si>
  <si>
    <t>7 927 705-74-75 - Входящий звонок</t>
  </si>
  <si>
    <t>пдр сандеро 11,05</t>
  </si>
  <si>
    <t>пдр 22.05</t>
  </si>
  <si>
    <t>ПДР не берет трубку</t>
  </si>
  <si>
    <t>7 960 819-71-73 - Входящий звонок</t>
  </si>
  <si>
    <t>7 918 318-56-92 - Исходящий звонок</t>
  </si>
  <si>
    <t>ПДР Камри</t>
  </si>
  <si>
    <t>показать вмятину Мазда СХ5 черная</t>
  </si>
  <si>
    <t>Вмятина на капоте с 8.05 пригласили на осмотр</t>
  </si>
  <si>
    <t>PDR 9 мая осмотр</t>
  </si>
  <si>
    <t>пдр - Хавал Дарго задняя дверь</t>
  </si>
  <si>
    <t>пдр/ соренто 23.05</t>
  </si>
  <si>
    <t>Анатоль - Открытая линия Левша, удаление вмятины на крыле без покраски и выставить бампер</t>
  </si>
  <si>
    <t>Анатоль</t>
  </si>
  <si>
    <t>Заявка с сайта ЛЕВША/ солярис/ осмотр вмятины на 07.05</t>
  </si>
  <si>
    <t>Зейнал</t>
  </si>
  <si>
    <t>PDR приедет на осмотр 5,05</t>
  </si>
  <si>
    <t>тигуан PDR приезжал на осмотр требуется малярка</t>
  </si>
  <si>
    <t>7 937 077-82-99 - Входящий звонок</t>
  </si>
  <si>
    <t>PDR осмотр поло/118 7,05</t>
  </si>
  <si>
    <t>PDR приедет на осмотр</t>
  </si>
  <si>
    <t>PDR перезвонит записаться неа осмотр</t>
  </si>
  <si>
    <t>пдр позвонить после 12.05</t>
  </si>
  <si>
    <t>PDR 7.05 вечером осмотр</t>
  </si>
  <si>
    <t>PDR 22.05.</t>
  </si>
  <si>
    <t>7 922 530-24-04 - Входящий звонок</t>
  </si>
  <si>
    <t>ПДР / 18.05/ гранта</t>
  </si>
  <si>
    <t>Оценка PDR просека/ порог в кашу/ не сделаем</t>
  </si>
  <si>
    <t>pdr Haval f7</t>
  </si>
  <si>
    <t xml:space="preserve">Саша Кронов -PDR который не ремонтируется </t>
  </si>
  <si>
    <t>Саша</t>
  </si>
  <si>
    <t>Кронов</t>
  </si>
  <si>
    <t>ПДР - - - - - - - - Заявка с сайта ЛЕВША - форма Online-запись</t>
  </si>
  <si>
    <t>Оценка PDR крыша/ сандеро 16.05 / 30000</t>
  </si>
  <si>
    <t>ПДР / чери тиго 7 / 18.05 к 9:00</t>
  </si>
  <si>
    <t>PDR / оценка/ наберу сегодня. тчним дату осмотра/ 30.05 не ответил/ не ответил</t>
  </si>
  <si>
    <t>7 987 907-56-02 - Входящий звонок</t>
  </si>
  <si>
    <t>14,05 елантра/278 PDR и мойка</t>
  </si>
  <si>
    <t>записался на осмотр ПДР 7,05 веста/118</t>
  </si>
  <si>
    <t>мазда6/378 записан на осмотр 27,04</t>
  </si>
  <si>
    <t>камри омена записи на пдр</t>
  </si>
  <si>
    <t>PDR exeed</t>
  </si>
  <si>
    <t>пдр двери форд</t>
  </si>
  <si>
    <t>Гранта такси вмятина на пороге (сделать по безналичному расчету, надо с НДС)</t>
  </si>
  <si>
    <t>7 917 101-59-01 - Исходящий звонок</t>
  </si>
  <si>
    <t>Никита Писарев - Pdr</t>
  </si>
  <si>
    <t>Писарев</t>
  </si>
  <si>
    <t>позвать на осмотр</t>
  </si>
  <si>
    <t>Шиапов</t>
  </si>
  <si>
    <t>пдр 23.04</t>
  </si>
  <si>
    <t>7 963 116-55-85 - Входящий звонок</t>
  </si>
  <si>
    <t>Степан осмотр на пдр спортаж 13:00 23,04</t>
  </si>
  <si>
    <t>7 917 105-55-56 - Входящий звонок</t>
  </si>
  <si>
    <t>Тимофей Киреев - Открытая линия Левша</t>
  </si>
  <si>
    <t>Тимофей</t>
  </si>
  <si>
    <t>Киреев</t>
  </si>
  <si>
    <t>пдр мазда 3 приедет на осмотр 23,04</t>
  </si>
  <si>
    <t>пдр осмотр 23,04</t>
  </si>
  <si>
    <t xml:space="preserve">Хюндай на выпрямление двери и шумку </t>
  </si>
  <si>
    <t>Юрий -PDR удаление сколов с кузова</t>
  </si>
  <si>
    <t>исправление вмятин без покраски</t>
  </si>
  <si>
    <t>камри  / пдр / ПП дверь / приедет 20.04 на осмотр</t>
  </si>
  <si>
    <t>PDR ПРОСЕКА</t>
  </si>
  <si>
    <t xml:space="preserve">был записан на пдр, но не стал долго ждать. сделал терроториально ближе к новокуйбышевску </t>
  </si>
  <si>
    <t>ZAR - Открытая линия Левша,Опель астра h вмятина на крыше</t>
  </si>
  <si>
    <t>ZAR</t>
  </si>
  <si>
    <t>Сотников</t>
  </si>
  <si>
    <t xml:space="preserve">PDR под прибор покрасить машину </t>
  </si>
  <si>
    <t>ПДР - - - - - - - - - - - - - - - - - - - - - - - - - - - - - - - - - - - - Дмитрий - Открытая линия Левша</t>
  </si>
  <si>
    <t>Заполнение CRM-формы "Обратный звонок с номера "Приложение: MANGO OFFICE"", Мазда СХ5 мазда 12 года удалить вмятины и царапины на дверях  и пленку наклеить</t>
  </si>
  <si>
    <t>ПДР - - - - - - - - - - - - - - -  - - - - - - - - - - - - - - - - - - Андрей - Открытая линия Левша</t>
  </si>
  <si>
    <t>ремонт вмятин самара</t>
  </si>
  <si>
    <t>пдр -   - - - - - - - - - - - -- ----  Valery - Открытая линия Левша</t>
  </si>
  <si>
    <t>Valery</t>
  </si>
  <si>
    <t>PDR порог</t>
  </si>
  <si>
    <t>7 927 707-68-60 - Входящий звонок</t>
  </si>
  <si>
    <t>Туркин</t>
  </si>
  <si>
    <t>PDR/ оценили по фото. отправили в кузовной</t>
  </si>
  <si>
    <t>Pdr ремонт сколов по кузову</t>
  </si>
  <si>
    <t>ПДР / не ремонтируемое</t>
  </si>
  <si>
    <t>Rust С 9 До 11</t>
  </si>
  <si>
    <t>7 927 728-24-88 - Входящий звонок</t>
  </si>
  <si>
    <t>7 927 766-72-61 - Входящий звонок</t>
  </si>
  <si>
    <t>пдр раф4/214 12,04</t>
  </si>
  <si>
    <t>7 917 287-95-94 - Входящий звонок</t>
  </si>
  <si>
    <t>ПДР ПРОСЕКА</t>
  </si>
  <si>
    <t xml:space="preserve">PDR должен был отправить фото </t>
  </si>
  <si>
    <t>7 917 110-77-76 - Входящий звонок</t>
  </si>
  <si>
    <t>пдр октавия белая</t>
  </si>
  <si>
    <t>пдр / антихром</t>
  </si>
  <si>
    <t>Vlad</t>
  </si>
  <si>
    <t>7 927 714-48-48 - Входящий звонок</t>
  </si>
  <si>
    <t>Оценка пдр приедет 09.04 на просеку</t>
  </si>
  <si>
    <t>Удалить вмятину с мультивена прицеп сломал молдинг и оставил вмятину</t>
  </si>
  <si>
    <t>Анна Демина - Открытая линия Левша</t>
  </si>
  <si>
    <t>Демина</t>
  </si>
  <si>
    <t>Дмитрий Абаев - Открытая линия Левша - ПДР</t>
  </si>
  <si>
    <t>Абаев</t>
  </si>
  <si>
    <t>Вмятину выпрямить на двери и на капоте</t>
  </si>
  <si>
    <t>рамиль гусейнов - Открытая линия Левша</t>
  </si>
  <si>
    <t>рамиль</t>
  </si>
  <si>
    <t>гусейнов</t>
  </si>
  <si>
    <t>ремонт вмятин автомобиля без</t>
  </si>
  <si>
    <t>7 927 015-02-70 - Входящий звонок</t>
  </si>
  <si>
    <t>сегодня удалить вмятину (иногородний гражданин)</t>
  </si>
  <si>
    <t>оценка пдр по фото/ камри капот/ не сделаем. отправил в кузовной</t>
  </si>
  <si>
    <t>ПДР _______________ AV Solo - Открытая линия Левша</t>
  </si>
  <si>
    <t>AV</t>
  </si>
  <si>
    <t>Solo</t>
  </si>
  <si>
    <t>Ok ! - Открытая линия Левша</t>
  </si>
  <si>
    <t>Ok</t>
  </si>
  <si>
    <t>!</t>
  </si>
  <si>
    <t>Лексус двери и капот выправить</t>
  </si>
  <si>
    <t>Крыло Поло помяли</t>
  </si>
  <si>
    <t>Маленькая вмятинка на крышке багажника</t>
  </si>
  <si>
    <t>79379906988 - Входящий звонок</t>
  </si>
  <si>
    <t>Kyarimov</t>
  </si>
  <si>
    <t>-  ПДР  - - - Заполнение CRM-формы "Обратный звонок с номера "Приложение: MANGO OFFICE""</t>
  </si>
  <si>
    <t>вмятин без покраски цена</t>
  </si>
  <si>
    <t>7 927 260-70-60 - Входящий звонок</t>
  </si>
  <si>
    <t xml:space="preserve">PDR TAhoe </t>
  </si>
  <si>
    <t>7 927 207-67-66 - Входящий звонок</t>
  </si>
  <si>
    <t>Овсянников</t>
  </si>
  <si>
    <t>3 вмятины на задней двери и небольшая царапина</t>
  </si>
  <si>
    <t>Меган 2, задние арки погнули</t>
  </si>
  <si>
    <t>Вмятина на багажнике</t>
  </si>
  <si>
    <t>ПДР 05,04 Танк 300/626</t>
  </si>
  <si>
    <t>7 987 449-33-45 - Входящий звонок</t>
  </si>
  <si>
    <t xml:space="preserve">расчет по машинам </t>
  </si>
  <si>
    <t xml:space="preserve">перенос записи PDR </t>
  </si>
  <si>
    <t>7 927 263-48-86 - Входящий звонок</t>
  </si>
  <si>
    <t>ПДР Мещанинова - Открытая линия Левша</t>
  </si>
  <si>
    <t>Мещанинова</t>
  </si>
  <si>
    <t>устранение вмятин на автомобиле</t>
  </si>
  <si>
    <t>пдр не делаем такие работы</t>
  </si>
  <si>
    <t xml:space="preserve">окрас двери </t>
  </si>
  <si>
    <t xml:space="preserve">записан на осмотр PDR Logan yf 27.03 к 9 утра </t>
  </si>
  <si>
    <t>PDr Мазда СХ-5 27,03</t>
  </si>
  <si>
    <t>ПДР. Клиент из Бузулука. жду фото для оценки</t>
  </si>
  <si>
    <t xml:space="preserve">хим и PDr </t>
  </si>
  <si>
    <t>пдр / ждем на оценку. 23.03/ трубку не берет, так и не приехал</t>
  </si>
  <si>
    <t>7 922 621-31-69 - Входящий звонок</t>
  </si>
  <si>
    <t>7 905 302-95-99 - Входящий звонок</t>
  </si>
  <si>
    <t>7 987 157-68-28 - Входящий звонок</t>
  </si>
  <si>
    <t>7 996 722-36-24 - Входящий звонок</t>
  </si>
  <si>
    <t>пдр  порог 29,03 солярис</t>
  </si>
  <si>
    <t>Largus /473 PDR</t>
  </si>
  <si>
    <t>PDR  приедет на осмотр</t>
  </si>
  <si>
    <t>7 927 606-09-50 - Входящий звонок</t>
  </si>
  <si>
    <t>KIA 671 на осмотр по пдр 2ГИС</t>
  </si>
  <si>
    <t xml:space="preserve">Капот и крыло уголок замят 12ка </t>
  </si>
  <si>
    <t>Ирина/ приедет на осмотр пдр / 21.03 после 14:00</t>
  </si>
  <si>
    <t>Форик пдр просека</t>
  </si>
  <si>
    <t>осмотр пдр / не сделаем</t>
  </si>
  <si>
    <t xml:space="preserve">Елена -Pdr </t>
  </si>
  <si>
    <t>b18gu - PDR на осмотр</t>
  </si>
  <si>
    <t>Васичкин Илья Николаевич</t>
  </si>
  <si>
    <t>Таня - Открытая линия Левша</t>
  </si>
  <si>
    <t xml:space="preserve">23,03BMW3/500 мойка и вмятина </t>
  </si>
  <si>
    <t>тычки на крыши и капоте. оценил по фото. один тычок по 2000 рублей. сказал, что приедет на осмотр19.03. ждем/ не приехал</t>
  </si>
  <si>
    <t>оценивал пдр / жде на осмотр</t>
  </si>
  <si>
    <t>Ремонт вмятины приехать на оценку во вт к 12-00</t>
  </si>
  <si>
    <t>мойка и оценка пдр</t>
  </si>
  <si>
    <t>Заполнение CRM-формы "Обратный звонок с номера "Приложение: MANGO OFFICE"", приехать на осмотр вмятины</t>
  </si>
  <si>
    <t>веста св крос 12к</t>
  </si>
  <si>
    <t>форестер вмятина</t>
  </si>
  <si>
    <t>ПДР - Алексей Филипенков - Открытая линия Левша</t>
  </si>
  <si>
    <t>Филипенков</t>
  </si>
  <si>
    <t>ПДР - AV Solo - Открытая линия Левша</t>
  </si>
  <si>
    <t xml:space="preserve">по готовности </t>
  </si>
  <si>
    <t>осмотр пдр каен</t>
  </si>
  <si>
    <t>оклейка внутрених порогов</t>
  </si>
  <si>
    <t>PDR в покрас</t>
  </si>
  <si>
    <t>подтверждение визита</t>
  </si>
  <si>
    <t>PDR бампер поправить</t>
  </si>
  <si>
    <t>Pdr бампер слетел с креплений</t>
  </si>
  <si>
    <t xml:space="preserve">закрасить двери и пленку нанести </t>
  </si>
  <si>
    <t>пдр / гранта</t>
  </si>
  <si>
    <t xml:space="preserve">по фото не понятно ждем еще фото </t>
  </si>
  <si>
    <t>ПДР ауди/876 20,03 приедет на осмотр 12,03</t>
  </si>
  <si>
    <t>7 903 335-57-27 - Входящий звонок</t>
  </si>
  <si>
    <t>Кузовня, покраска</t>
  </si>
  <si>
    <t>7 927 766-41-55 - Входящий звонок</t>
  </si>
  <si>
    <t>vkalkunov</t>
  </si>
  <si>
    <t>7 927 265-15-58 - Входящий звонок</t>
  </si>
  <si>
    <t>7 937 179-55-58 - Входящий звонок</t>
  </si>
  <si>
    <t>ПДР гранта/532 осмотр просека 08.03/ не сделаем. отправили в малярку</t>
  </si>
  <si>
    <t>7 927 202-99-00 - Входящий звонок</t>
  </si>
  <si>
    <t>ППП датсун, жду на осмотр / не ремонтируемое</t>
  </si>
  <si>
    <t>подтверждение записи х4 / ПДР</t>
  </si>
  <si>
    <t xml:space="preserve">Вмятину выпрямить </t>
  </si>
  <si>
    <t>оценивал пдр/ будет судиться со страховой когда приедет и приедет ли вообще не известно</t>
  </si>
  <si>
    <t>Рашит</t>
  </si>
  <si>
    <t>7 927 693-64-31 - Входящий звонок</t>
  </si>
  <si>
    <t>был в другом месте на оценке. к нам не заезжал</t>
  </si>
  <si>
    <t>Константин Сыромятников - Открытая линия Левша</t>
  </si>
  <si>
    <t>Сыромятников</t>
  </si>
  <si>
    <t>PDR  RIO</t>
  </si>
  <si>
    <t>7 927 609-76-11 - Входящий звонок</t>
  </si>
  <si>
    <t>Gls/818 PDR</t>
  </si>
  <si>
    <t xml:space="preserve">ПДР ждем фото </t>
  </si>
  <si>
    <t>Удаление вмятин и полировка дефекта</t>
  </si>
  <si>
    <t>покраска бампера. не делаем</t>
  </si>
  <si>
    <t>i 40 / записан на 14.03 / пдр</t>
  </si>
  <si>
    <t>ПДР Александр - Открытая линия Левша ПДР/не приехал</t>
  </si>
  <si>
    <t>оценка PDR Octavia</t>
  </si>
  <si>
    <t>7 927 746-07-70 - Входящий звонок</t>
  </si>
  <si>
    <t>Заявка с сайта / веста ПДР / 09.08 / 6000</t>
  </si>
  <si>
    <t>Вмятины+мойка / 16.03 / к 9:00</t>
  </si>
  <si>
    <t>PDR ларгус / оценил дверь по фото 20000 / приедет 01.03 на детальный осмотр</t>
  </si>
  <si>
    <t>Растегаев</t>
  </si>
  <si>
    <t>PDR приедет в субботу 2,03</t>
  </si>
  <si>
    <t>PDR Haval</t>
  </si>
  <si>
    <t>Pdr мерседес снег упал на капот Экосистема (Эрик)</t>
  </si>
  <si>
    <t>ПДР РЕБЯТА - Заявка с сайта ЛЕВША - форма Online-запись</t>
  </si>
  <si>
    <t>денис</t>
  </si>
  <si>
    <t xml:space="preserve">Вмятину удалить </t>
  </si>
  <si>
    <t>ПДР приедет на осмотр 27,02</t>
  </si>
  <si>
    <t>покраска бампера</t>
  </si>
  <si>
    <t>Рафаэль  ПДР и птичий помет</t>
  </si>
  <si>
    <t>рав 4  / ПДР + мойка с полировкой и пирогом / 01.03 /</t>
  </si>
  <si>
    <t>PDR / веста-замят порог/ пригласил на осмотр 25.02. ждем/ записан на 08.03 к 10:00</t>
  </si>
  <si>
    <t>PDR Mazda CX5</t>
  </si>
  <si>
    <t>Белоусова</t>
  </si>
  <si>
    <t>поло на ПДР + мойка. 23.02</t>
  </si>
  <si>
    <t>пдр / приехал на оценку. не сделаем</t>
  </si>
  <si>
    <t>ПДР / пригласил на оценку вмятины на двери / ждем визита / приехал. не сделаем.</t>
  </si>
  <si>
    <t>Оценка ПДР вмятина на пороге, приедет во вторник</t>
  </si>
  <si>
    <t>должен подьехать на оценку ПДР пожилой мужчина. Нравили с Реника. звонок был 23.02 ждем.../ так и не приехал</t>
  </si>
  <si>
    <t>Гранта PDR оценил Чалюжный по фото 12000</t>
  </si>
  <si>
    <t>Поло дверь исправить переднюю водительскую пдр</t>
  </si>
  <si>
    <t>соната пдр</t>
  </si>
  <si>
    <t>PDR и мойка</t>
  </si>
  <si>
    <t>ПДР долго ждать</t>
  </si>
  <si>
    <t>ПДР не устоила дата</t>
  </si>
  <si>
    <t>перенос пдр камри 008 на 5,02</t>
  </si>
  <si>
    <t>PDR Sonata 22.02</t>
  </si>
  <si>
    <t>Илья - PDR РЕбята к вам на 5-я</t>
  </si>
  <si>
    <t>ПДР форд транзинт замят порог 80см приедет оценивать хз когда</t>
  </si>
  <si>
    <t>7 987 985-90-94 - Входящий звонок</t>
  </si>
  <si>
    <t>приехал, оценили. отправили в кузовной</t>
  </si>
  <si>
    <t>Тычки на капоте</t>
  </si>
  <si>
    <t>PDR царапина под окрас</t>
  </si>
  <si>
    <t>Хасанов</t>
  </si>
  <si>
    <t>пдр / сказал, что сможет приехать на осмотр 25.02</t>
  </si>
  <si>
    <t>позвонить и пригласить на осмотр вмятины. 18.02 вечером не взял/ приехал на осмотр 19.02. отравили в малярку</t>
  </si>
  <si>
    <t>PDR мультик</t>
  </si>
  <si>
    <t>PDR на капоте</t>
  </si>
  <si>
    <t>PDR Exeed TXL № е231ут763</t>
  </si>
  <si>
    <t>ПДР Заявка с сайта ЛЕВША - форма Online-запись</t>
  </si>
  <si>
    <t>Q6 возможно PDR</t>
  </si>
  <si>
    <t>PDR и хим сидений</t>
  </si>
  <si>
    <t>Вишняков</t>
  </si>
  <si>
    <t>бампер ремонт</t>
  </si>
  <si>
    <t>PDR Rio 401</t>
  </si>
  <si>
    <t>По поводу PDR китаец примерно +-10000</t>
  </si>
  <si>
    <t>паджеро 4 двери ПДР</t>
  </si>
  <si>
    <t>PDR оценка аутлендер</t>
  </si>
  <si>
    <t>ПДР - Сергей - Открытая линия Левша</t>
  </si>
  <si>
    <t>ПДР/ 15.02/ БЕЗ ОЦЕНКИ</t>
  </si>
  <si>
    <t>PDR 17.02</t>
  </si>
  <si>
    <t>приехжал на осмотр. неремонтируемое повреждение</t>
  </si>
  <si>
    <t>оценил по фото. ждем ответа вечером/ перезвонил на следующий день...неожидано отправили в командировку на месяц...да, да, да...</t>
  </si>
  <si>
    <t>7 927 601-83-71 - Входящий звонок</t>
  </si>
  <si>
    <t>ПДР Просека Егор Соснин - Открытая линия Левша</t>
  </si>
  <si>
    <t>Соснин</t>
  </si>
  <si>
    <t>ПДР / сид / 20.02 / 16:00</t>
  </si>
  <si>
    <t>пдр/ / кулрей красный / 6000 / 13.02</t>
  </si>
  <si>
    <t>ПДР /сид / 20.02</t>
  </si>
  <si>
    <t>79377931579 - Входящий звонок</t>
  </si>
  <si>
    <t>79171519915 - Входящий звонок</t>
  </si>
  <si>
    <t>79371884995 - Входящий звонок</t>
  </si>
  <si>
    <t>79277381927 - Исходящий звонок</t>
  </si>
  <si>
    <t>ПДР - Анастасия - Открытая линия Левша</t>
  </si>
  <si>
    <t>PDR на осмотр</t>
  </si>
  <si>
    <t>PDR 17.02 Exeed TXL</t>
  </si>
  <si>
    <t>ПДР - Мария</t>
  </si>
  <si>
    <t>выпрямление вмятин самара</t>
  </si>
  <si>
    <t>Логан PDR</t>
  </si>
  <si>
    <t>PDR сегодня уже в работе</t>
  </si>
  <si>
    <t>Танк 300 PDR</t>
  </si>
  <si>
    <t>A.A. - Открытая линия Левша</t>
  </si>
  <si>
    <t>Kia Sportage № в833вр156</t>
  </si>
  <si>
    <t>Оценка PDR Мазда СХ5 вмятина на капоте</t>
  </si>
  <si>
    <t>PDR должен скинуть фото</t>
  </si>
  <si>
    <t>Акцент на PDR</t>
  </si>
  <si>
    <t xml:space="preserve">вмятина </t>
  </si>
  <si>
    <t>PDR венза</t>
  </si>
  <si>
    <t>PDR Tugella задняя левая дверь</t>
  </si>
  <si>
    <t>Ангелина Сабирова PDR</t>
  </si>
  <si>
    <t>Ангелина</t>
  </si>
  <si>
    <t>Сабирова</t>
  </si>
  <si>
    <t>79372029124 - Входящий звонок</t>
  </si>
  <si>
    <t xml:space="preserve">рав 4 / пдр / 6.01 / </t>
  </si>
  <si>
    <t>пдр / а4 / 10.01</t>
  </si>
  <si>
    <t>ПДР  / заднее крыло. / оцениваем по фото</t>
  </si>
  <si>
    <t>79272097986 - Входящий звонок</t>
  </si>
  <si>
    <t>79323177772 - Входящий звонок</t>
  </si>
  <si>
    <t>79061274266 - Входящий звонок</t>
  </si>
  <si>
    <t>Льдина повредила капот CR-V</t>
  </si>
  <si>
    <t>PDR на реник должен подкатить сегодня</t>
  </si>
  <si>
    <t>79639166223 - Входящий звонок</t>
  </si>
  <si>
    <t xml:space="preserve">PDR rio </t>
  </si>
  <si>
    <t>79279082315 - Входящий звонок</t>
  </si>
  <si>
    <t>Игорёк Ефимов - Открытая линия Левша</t>
  </si>
  <si>
    <t>Игорёк</t>
  </si>
  <si>
    <t>Ефимов</t>
  </si>
  <si>
    <t xml:space="preserve">дверь под замену </t>
  </si>
  <si>
    <t>Услуга которую мы не оказываем, малярка</t>
  </si>
  <si>
    <t>PDR Suzuki Vitara</t>
  </si>
  <si>
    <t>Максим Попов - Открытая линия Левша</t>
  </si>
  <si>
    <t>79639114796 - Входящий звонок</t>
  </si>
  <si>
    <t>удаление вмятины на просек</t>
  </si>
  <si>
    <t>79171019099 - Входящий звонок</t>
  </si>
  <si>
    <t>PDR дастер приедет на оценку на реник 30,01 к 9:00</t>
  </si>
  <si>
    <t>79277170585 - Входящий звонок</t>
  </si>
  <si>
    <t>79370653229 - Входящий звонок</t>
  </si>
  <si>
    <t xml:space="preserve">PDR на двери </t>
  </si>
  <si>
    <t>PDR бампер запоять</t>
  </si>
  <si>
    <t>79277132473 - Входящий звонок</t>
  </si>
  <si>
    <t>79376410933 - Входящий звонок</t>
  </si>
  <si>
    <t>79379841053 - Входящий звонок</t>
  </si>
  <si>
    <t>PDR Москвич 25.01</t>
  </si>
  <si>
    <t>услуга которую мы не оказываем</t>
  </si>
  <si>
    <t>79270014912 - Входящий звонок</t>
  </si>
  <si>
    <t>rio pdr 25.01 замят порог, краска не треснула</t>
  </si>
  <si>
    <t>PDR приедет 23,01 до 17:00 LANOS</t>
  </si>
  <si>
    <t>79277019377 - Исходящий звонок</t>
  </si>
  <si>
    <t>pdr на осмотр к 17:00 Инфинити</t>
  </si>
  <si>
    <t>Lina</t>
  </si>
  <si>
    <t>Elnur - Открытая линия Левша</t>
  </si>
  <si>
    <t>Elnur</t>
  </si>
  <si>
    <t>вмятины на дверях должен фото прислать</t>
  </si>
  <si>
    <t>Александр Зубков - Открытая линия Левша</t>
  </si>
  <si>
    <t>Зубков</t>
  </si>
  <si>
    <t>Связь для вотсапа</t>
  </si>
  <si>
    <t>79370679111 - Входящий звонок</t>
  </si>
  <si>
    <t>осмотр пдр не рен 20.01</t>
  </si>
  <si>
    <t>PDR осмотр может сразу и делать надо будет</t>
  </si>
  <si>
    <t>79871199999 - Исходящий звонок</t>
  </si>
  <si>
    <t>PDR реник на 19.01</t>
  </si>
  <si>
    <t>Александр Корсаков - Открытая линия Левша</t>
  </si>
  <si>
    <t>Корсаков</t>
  </si>
  <si>
    <t>PDR Camry</t>
  </si>
  <si>
    <t xml:space="preserve">Вмятина на крыле </t>
  </si>
  <si>
    <t>вмятина.хотел чтобы оценили по видио. сказал что нет</t>
  </si>
  <si>
    <t>ПДР. приехал на осмотр, но там беда. отправил в малярку</t>
  </si>
  <si>
    <t>не ремонтируемое повреждение</t>
  </si>
  <si>
    <t>Вмятина на двери</t>
  </si>
  <si>
    <t>79276859666 - Входящий звонок</t>
  </si>
  <si>
    <t>GL / ПДР + химка локально</t>
  </si>
  <si>
    <t>PDR отмена записи</t>
  </si>
  <si>
    <t>PDR на RIO 12.01 реник 6к</t>
  </si>
  <si>
    <t>79991706969 - Входящий звонок</t>
  </si>
  <si>
    <t>79277250630 - Входящий звонок</t>
  </si>
  <si>
    <t>79171044164 - Входящий звонок</t>
  </si>
  <si>
    <t>Эдвард Карапетян - Открытая линия Левша</t>
  </si>
  <si>
    <t>Эдвард</t>
  </si>
  <si>
    <t>Карапетян</t>
  </si>
  <si>
    <t>79376682984 - Входящий звонок</t>
  </si>
  <si>
    <t>79372041540 - Входящий звонок</t>
  </si>
  <si>
    <t>PDR ягуар /206</t>
  </si>
  <si>
    <t xml:space="preserve">PDr на тиггуане </t>
  </si>
  <si>
    <t>79371810034 - Входящий звонок</t>
  </si>
  <si>
    <t xml:space="preserve">замена бампера </t>
  </si>
  <si>
    <t>окрас бамперов</t>
  </si>
  <si>
    <t>79879493869 - Входящий звонок</t>
  </si>
  <si>
    <t>ремонт сколов</t>
  </si>
  <si>
    <t xml:space="preserve">заказ бампера </t>
  </si>
  <si>
    <t>PDR джулион</t>
  </si>
  <si>
    <t>79266301110 - Входящий звонок</t>
  </si>
  <si>
    <t>Заявка с сайта ЛЕВША - форма Online-запись Ремонт вмятин без покраски</t>
  </si>
  <si>
    <t>PDR просека</t>
  </si>
  <si>
    <t>PDR осмотр возможно ремонт</t>
  </si>
  <si>
    <t>пдр с подЪемником</t>
  </si>
  <si>
    <t>Николай Епишкин - Открытая линия Левша</t>
  </si>
  <si>
    <t>Епишкин</t>
  </si>
  <si>
    <t>PDR 27,12 джолиан/282</t>
  </si>
  <si>
    <t>порог на солярисе. сильное замятие-не сделаем. оценивал Колюжный</t>
  </si>
  <si>
    <t>79270062611 - Входящий звонок</t>
  </si>
  <si>
    <t>79649843553 - Входящий звонок</t>
  </si>
  <si>
    <t>79171502817 - Входящий звонок</t>
  </si>
  <si>
    <t>PDR пороги мрак что там</t>
  </si>
  <si>
    <t>PDR приедет оценить и записаться</t>
  </si>
  <si>
    <t>Ремон. вмятин уточнение номера</t>
  </si>
  <si>
    <t>79639161963 - Входящий звонок</t>
  </si>
  <si>
    <t>79376537095 - Входящий звонок</t>
  </si>
  <si>
    <t>Просека PDR осмотр 12.12 Веста/536</t>
  </si>
  <si>
    <t>ПДР 12.12 осмотр просека Haval Dargo</t>
  </si>
  <si>
    <t>PDR 10,02,24</t>
  </si>
  <si>
    <t>Артур - Открытая линия Левша</t>
  </si>
  <si>
    <t>ПДР / камри на 14.12</t>
  </si>
  <si>
    <t>ремонт бампера: ремонт, покраска-не делаем</t>
  </si>
  <si>
    <t>Заявка с сайта ЛЕВША - форма Online-запись Рем вм без покр</t>
  </si>
  <si>
    <t>вмятина на багажнике в районе ребра жесткости примерно 3 см от удара швелера, лопнула краска.</t>
  </si>
  <si>
    <t>PDR просека 8.12</t>
  </si>
  <si>
    <t>PDR просека 12.12</t>
  </si>
  <si>
    <t>Заявка с сайта ЛЕВША - форма Online-запись Рем вм бе покр</t>
  </si>
  <si>
    <t xml:space="preserve">Оксана </t>
  </si>
  <si>
    <t>Граната порог 4-6 PDR</t>
  </si>
  <si>
    <t>79377911280 - Исходящий звонок</t>
  </si>
  <si>
    <t>Денис - Открытая линия Левша PDR с AVito</t>
  </si>
  <si>
    <t>PDR рио порог позвонит через неделю как выздоровит калюжный</t>
  </si>
  <si>
    <t>кузовной ремонт. не делаем</t>
  </si>
  <si>
    <t>PDR сильно замят порог переварка</t>
  </si>
  <si>
    <t>Эдуард - Открытая линия Левша</t>
  </si>
  <si>
    <t>кузовные работы</t>
  </si>
  <si>
    <t>ПДР / 8.12 / CX-9</t>
  </si>
  <si>
    <t>ПДР китаец на 9.12</t>
  </si>
  <si>
    <t>PDR оценка на 5 просеку</t>
  </si>
  <si>
    <t>79879870049 - Входящий звонок</t>
  </si>
  <si>
    <t>79171137084 - Входящий звонок</t>
  </si>
  <si>
    <t>79064057168 - Исходящий звонок</t>
  </si>
  <si>
    <t>А6 удалениее вмятин перенос на декабрь</t>
  </si>
  <si>
    <t>осмотр вмятины. не приехал</t>
  </si>
  <si>
    <t>79160935034 - Входящий звонок</t>
  </si>
  <si>
    <t>PDR тоета аква</t>
  </si>
  <si>
    <t>Мерседес ГЛБ</t>
  </si>
  <si>
    <t>вмятина приедет на осмотр</t>
  </si>
  <si>
    <t>Запись на PDR 5.12 Реник</t>
  </si>
  <si>
    <t>Владислав Лыгин - PDR крышка соляриса</t>
  </si>
  <si>
    <t>Лыгин</t>
  </si>
  <si>
    <t>79608313915 - Входящий звонок</t>
  </si>
  <si>
    <t>PDR Elantra пороги замяты</t>
  </si>
  <si>
    <t>веста перенос записи на 5,12</t>
  </si>
  <si>
    <t>79879522031 - Входящий звонок</t>
  </si>
  <si>
    <t>Pavel Sergeevich KIA RIO  PDR (но это не точно)</t>
  </si>
  <si>
    <t>Sergeevich</t>
  </si>
  <si>
    <t>Егор Филиппов PDR  очень хочет</t>
  </si>
  <si>
    <t>не устроила дата записи. очень долго</t>
  </si>
  <si>
    <t>79272012560 - Исходящий звонок</t>
  </si>
  <si>
    <t>PDR просека 22.11</t>
  </si>
  <si>
    <t>Камри оценка PDR и полировка двух элементов (ударили дверью на парковке)</t>
  </si>
  <si>
    <t>PDR NIVA 4x4</t>
  </si>
  <si>
    <t xml:space="preserve">PDr октавия не сделаем </t>
  </si>
  <si>
    <t xml:space="preserve">02,12  Кашкай на PDR без осмотра </t>
  </si>
  <si>
    <t>79127263711 - Входящий звонок</t>
  </si>
  <si>
    <t>pdr вмятина VW Caddy / записан на 29.11 к 9:00</t>
  </si>
  <si>
    <t>79272009977 - Входящий звонок</t>
  </si>
  <si>
    <t>Александр Никитченко - Открытая линия Левша</t>
  </si>
  <si>
    <t>Никитченко</t>
  </si>
  <si>
    <t>79965113204 - Входящий звонок</t>
  </si>
  <si>
    <t>приедет на осмотр PDR</t>
  </si>
  <si>
    <t>запись на PDR 14.11</t>
  </si>
  <si>
    <t>79379900455 - Входящий звонок</t>
  </si>
  <si>
    <t xml:space="preserve">Оценка ПДР подъедет на просеку 11.10 </t>
  </si>
  <si>
    <t>Оценка</t>
  </si>
  <si>
    <t>Кодиак PDR</t>
  </si>
  <si>
    <t>79198067019 - Входящий звонок</t>
  </si>
  <si>
    <t>кадиак пдр 11,11</t>
  </si>
  <si>
    <t>79874352318 - Входящий звонок</t>
  </si>
  <si>
    <t>79879290657 - Входящий звонок</t>
  </si>
  <si>
    <t>Оценка вмятины PDR соната на 11.11</t>
  </si>
  <si>
    <t>PDR поло оценили работу</t>
  </si>
  <si>
    <t>PDR на 13,11 DUSTER</t>
  </si>
  <si>
    <t>79171020209 - Входящий звонок</t>
  </si>
  <si>
    <t>PDR на стойке</t>
  </si>
  <si>
    <t>79153501552 - Исходящий звонок</t>
  </si>
  <si>
    <t>PDR заднее крыло запись 13,11 нива</t>
  </si>
  <si>
    <t>обзвон по пропущенному звонку 2 дневной давности. уже все сделали</t>
  </si>
  <si>
    <t>79179413525 - Входящий звонок</t>
  </si>
  <si>
    <t>pdr привезет 7,11 вечером</t>
  </si>
  <si>
    <t>PDR  не может приехать раньше</t>
  </si>
  <si>
    <t>79277467890 - Входящий звонок</t>
  </si>
  <si>
    <t>PDR оценка 7.11 на реник оценка</t>
  </si>
  <si>
    <t>PDR на оценку</t>
  </si>
  <si>
    <t>79171597509 - Входящий звонок</t>
  </si>
  <si>
    <t>Диман Калюжный по уточнению записи</t>
  </si>
  <si>
    <t>PDR отменился</t>
  </si>
  <si>
    <t xml:space="preserve">PDR поло </t>
  </si>
  <si>
    <t>PDR поло 14,11</t>
  </si>
  <si>
    <t>вмятина на бампере с рублевую монету подЪедет 4,11</t>
  </si>
  <si>
    <t>ремонт сколов по кузову</t>
  </si>
  <si>
    <t>PDR приедет на осмотр на реник 14,11 вмятина на зад.крыле от писталета  октавия</t>
  </si>
  <si>
    <t>отмена записи по PDR 14.11</t>
  </si>
  <si>
    <t xml:space="preserve">PDR по фото под окрас </t>
  </si>
  <si>
    <t>PDR приедет на осмотр 4,11</t>
  </si>
  <si>
    <t>PDR приедет на осмотр 3,11 до 13:00</t>
  </si>
  <si>
    <t xml:space="preserve">Запись на PDR </t>
  </si>
  <si>
    <t>79276584169 - Входящий звонок</t>
  </si>
  <si>
    <t>79879451019 - Входящий звонок</t>
  </si>
  <si>
    <t>ремонт вмятин без покраски адреса</t>
  </si>
  <si>
    <t>вмятина</t>
  </si>
  <si>
    <t>прд приедет  4,11 на осмотр</t>
  </si>
  <si>
    <t>ПДР с АВИТО</t>
  </si>
  <si>
    <t>пдр+тонировка</t>
  </si>
  <si>
    <t>Рапид PDR</t>
  </si>
  <si>
    <t>CX 5 от Кабанова А.В. PDR</t>
  </si>
  <si>
    <t>Ремонт порога</t>
  </si>
  <si>
    <t>79179497367 - Исходящий звонок</t>
  </si>
  <si>
    <t>PDr X6</t>
  </si>
  <si>
    <t>79277690873 - Входящий звонок</t>
  </si>
  <si>
    <t>79022913734 - Входящий звонок</t>
  </si>
  <si>
    <t>Сулейманов Талгат - Открытая линия Левша</t>
  </si>
  <si>
    <t>Талгат</t>
  </si>
  <si>
    <t>79033348860 - Входящий звонок</t>
  </si>
  <si>
    <t>выпрямить дверь на холодильнике</t>
  </si>
  <si>
    <t>79171032040 - Входящий звонок</t>
  </si>
  <si>
    <t>вмятина на заднем крыле, где ребро / не приехал по записи, а потом вообще загасился. Трубку не берет</t>
  </si>
  <si>
    <t>ремонт вмятины</t>
  </si>
  <si>
    <t>Ремонт крышки багажника Гранта</t>
  </si>
  <si>
    <t>Василий - Открытая линия Левша</t>
  </si>
  <si>
    <t>79277116980 - Открытая линия Левша</t>
  </si>
  <si>
    <t>79277249090 - Открытая линия Левша</t>
  </si>
  <si>
    <t>79272082575 - Входящий звонок</t>
  </si>
  <si>
    <t>79170349564 - Входящий звонок</t>
  </si>
  <si>
    <t>79272052475 - Входящий звонок</t>
  </si>
  <si>
    <t>что то там у него случилоось с дверью</t>
  </si>
  <si>
    <t>Ремонт вмятин</t>
  </si>
  <si>
    <t>Краснянский</t>
  </si>
  <si>
    <t>79379920843 - Входящий звонок</t>
  </si>
  <si>
    <t>PDR оценка на реник 25.10</t>
  </si>
  <si>
    <t>PDR 27.10 приедет на осмотр</t>
  </si>
  <si>
    <t>Анна - Открытая линия Левша</t>
  </si>
  <si>
    <t>куховня с зазорами</t>
  </si>
  <si>
    <t>79279008088 - Входящий звонок</t>
  </si>
  <si>
    <t>78462010194 - Входящий звонок</t>
  </si>
  <si>
    <t>79053023433 - Исходящий звонок</t>
  </si>
  <si>
    <t>PDR мазда 6 8,11</t>
  </si>
  <si>
    <t>Бондарев</t>
  </si>
  <si>
    <t>79025183546 - Входящий звонок</t>
  </si>
  <si>
    <t>79277031307 - Входящий звонок</t>
  </si>
  <si>
    <t>Саня - Открытая линия Левша</t>
  </si>
  <si>
    <t>Саня</t>
  </si>
  <si>
    <t>ПДР на оценку на просеку подъедет 18.10 / ждать очень долго</t>
  </si>
  <si>
    <t>79276861329 - Исходящий звонок</t>
  </si>
  <si>
    <t>79371884174 - Входящий звонок</t>
  </si>
  <si>
    <t>Aleksey I. - Открытая линия Левша</t>
  </si>
  <si>
    <t>I.</t>
  </si>
  <si>
    <t>Рем. вмятин</t>
  </si>
  <si>
    <t>Евгений Блинов - Открытая линия Левша</t>
  </si>
  <si>
    <t>Денис Егоров - Открытая линия Левша</t>
  </si>
  <si>
    <t>Егоров</t>
  </si>
  <si>
    <t>79879253544 - Входящий звонок</t>
  </si>
  <si>
    <t>Мелкие вмятины убрать и сделать полировку</t>
  </si>
  <si>
    <t>пдр PRADO 18.10</t>
  </si>
  <si>
    <t>79879288913 - Входящий звонок</t>
  </si>
  <si>
    <t>PDR на 11,11 Туарег</t>
  </si>
  <si>
    <t>PDr на двери</t>
  </si>
  <si>
    <t>Рав4 / ПДР, мойка</t>
  </si>
  <si>
    <t>+7 927 781-58-56 - Открытая линия Левша</t>
  </si>
  <si>
    <t>прд авито</t>
  </si>
  <si>
    <t>79032825800 - Входящий звонок</t>
  </si>
  <si>
    <t>ПДР на крышке багажника</t>
  </si>
  <si>
    <t>выпримление вмятины Джули Колрей</t>
  </si>
  <si>
    <t>пдр приедет на осмор 14,10 авито</t>
  </si>
  <si>
    <t>подтверждение записи по ПДР</t>
  </si>
  <si>
    <t>Лебедев Василий</t>
  </si>
  <si>
    <t>PDR оценка на реник</t>
  </si>
  <si>
    <t>79171692942 - Входящий звонок</t>
  </si>
  <si>
    <t>PDR примерная цена от 2000</t>
  </si>
  <si>
    <t>PDR на реник оценка</t>
  </si>
  <si>
    <t>оценить вмятину</t>
  </si>
  <si>
    <t>PDR посудомоющная посуда</t>
  </si>
  <si>
    <t>Выстрелили в крышу из пневматики (выпрямить вмятину)</t>
  </si>
  <si>
    <t>посмотреть вмятину и помыть</t>
  </si>
  <si>
    <t>Иван Буераков - Открытая линия Левша</t>
  </si>
  <si>
    <t>Буераков</t>
  </si>
  <si>
    <t>79270068592 - Входящий звонок</t>
  </si>
  <si>
    <t xml:space="preserve">вопрос по записи </t>
  </si>
  <si>
    <t>ремонт вмятин / хочет в ближйшее время / запись только на ноябрь</t>
  </si>
  <si>
    <t>79179454049 - Входящий звонок</t>
  </si>
  <si>
    <t>Илья Илларионов - Открытая линия Левша</t>
  </si>
  <si>
    <t>Илларионов</t>
  </si>
  <si>
    <t>опель мокко / ПДР / 19500 / 31.10</t>
  </si>
  <si>
    <t>оценка вмятины на 18,10</t>
  </si>
  <si>
    <t>Александр Шамин - Открытая линия Левша</t>
  </si>
  <si>
    <t>Шамин</t>
  </si>
  <si>
    <t>79277559084 - Входящий звонок</t>
  </si>
  <si>
    <t>Генка . - Открытая линия Левша</t>
  </si>
  <si>
    <t>Генка</t>
  </si>
  <si>
    <t>сколько стоит выпрямить вмятину без покраски</t>
  </si>
  <si>
    <t>PDR 2вмятин Jarvis Stein - Открытая линия Левша</t>
  </si>
  <si>
    <t>Jarvis</t>
  </si>
  <si>
    <t>Stein</t>
  </si>
  <si>
    <t>правка вмятин без покраски</t>
  </si>
  <si>
    <t>пдр - Открытая линия Левша</t>
  </si>
  <si>
    <t>79272009488 - Входящий звонок</t>
  </si>
  <si>
    <t>Руслан - Открытая линия Левша</t>
  </si>
  <si>
    <t>Mikael</t>
  </si>
  <si>
    <t>Adamyan</t>
  </si>
  <si>
    <t>Иван Иванов - Открытая линия Левша</t>
  </si>
  <si>
    <t>79276564246 - Входящий звонок</t>
  </si>
  <si>
    <t>PDR 2114</t>
  </si>
  <si>
    <t>79376435345 - Входящий звонок</t>
  </si>
  <si>
    <t>79328629080 - Входящий звонок</t>
  </si>
  <si>
    <t>удаление вмятин</t>
  </si>
  <si>
    <t>ПДР / хочет удалить вмятину прям завтра...ближайшая дата на 31.10</t>
  </si>
  <si>
    <t>79270076388 - Исходящий звонок</t>
  </si>
  <si>
    <t>79879160908 - Входящий звонок</t>
  </si>
  <si>
    <t>79277422853 - Входящий звонок</t>
  </si>
  <si>
    <t>79171517734 - Входящий звонок</t>
  </si>
  <si>
    <t>79171157776 - Входящий звонок</t>
  </si>
  <si>
    <t>79379844462 - Входящий звонок</t>
  </si>
  <si>
    <t>ПДР веста 02.10 пригласил на осмотр, сказал, что приедет с 13:00 до 15:00</t>
  </si>
  <si>
    <t>оценка вмятины без покраски. хотел сегодня</t>
  </si>
  <si>
    <t>79372167290 - Входящий звонок</t>
  </si>
  <si>
    <t>Валерий - Открытая линия Левша</t>
  </si>
  <si>
    <t>PDR Karok/500 на 18,10</t>
  </si>
  <si>
    <t>79608115858 - Входящий звонок</t>
  </si>
  <si>
    <t>Митин</t>
  </si>
  <si>
    <t>Шумка</t>
  </si>
  <si>
    <t>79871683124 - Входящий звонок</t>
  </si>
  <si>
    <t>Митин PDR</t>
  </si>
  <si>
    <t>79171590812 - Входящий звонок</t>
  </si>
  <si>
    <t>79372068109 - Входящий звонок</t>
  </si>
  <si>
    <t>Ремонт вмятины и содрано покрытие до металла 14.10 на 12-00</t>
  </si>
  <si>
    <t>79874394554 - Входящий звонок</t>
  </si>
  <si>
    <t>удаление вмятины скорее</t>
  </si>
  <si>
    <t xml:space="preserve">Вмятина на крыле и полировка дефекта </t>
  </si>
  <si>
    <t>повреждение пластикового бампера и фар</t>
  </si>
  <si>
    <t>Илья Mercedes GL</t>
  </si>
  <si>
    <t>Dmitry A - Открытая линия Левша</t>
  </si>
  <si>
    <t>Лансер отремонтировать повреждения, в том числе лкп</t>
  </si>
  <si>
    <t>по записи уточнение</t>
  </si>
  <si>
    <t>Ремонт вмятины на двери и пороге Королла 2008 года</t>
  </si>
  <si>
    <t>Сергей Сергеев - Открытая линия Левша</t>
  </si>
  <si>
    <t>79879077823 - Входящий звонок</t>
  </si>
  <si>
    <t>Пользователь - Открытая линия Левша</t>
  </si>
  <si>
    <t>79277041989 - Входящий звонок</t>
  </si>
  <si>
    <t>79879884002 - Входящий звонок</t>
  </si>
  <si>
    <t>Сергей Атякшев - Открытая линия Левша</t>
  </si>
  <si>
    <t>Атякшев</t>
  </si>
  <si>
    <t>79033009006 - Входящий звонок</t>
  </si>
  <si>
    <t>звонил по подтверждению, но гасится...сам перезвонит. БЫл записан на /ПДР</t>
  </si>
  <si>
    <t>78462415056 - Входящий звонок</t>
  </si>
  <si>
    <t>Булычёв Андрей Сергеевич</t>
  </si>
  <si>
    <t xml:space="preserve">Ford Kuga по PDR </t>
  </si>
  <si>
    <t>79377933303 - Входящий звонок</t>
  </si>
  <si>
    <t>Фото повреждения пдр</t>
  </si>
  <si>
    <t>мастер по баку</t>
  </si>
  <si>
    <t>AM - Открытая линия Левша</t>
  </si>
  <si>
    <t>AM</t>
  </si>
  <si>
    <t>Лидия - Открытая линия Левша</t>
  </si>
  <si>
    <t>Юдина-Лагунова</t>
  </si>
  <si>
    <t>79608116680 - Входящий звонок</t>
  </si>
  <si>
    <t>79270155444 - Входящий звонок</t>
  </si>
  <si>
    <t>79276083098 - Входящий звонок</t>
  </si>
  <si>
    <t>ПДР / хочет приехать на оценку повреждения 22.09</t>
  </si>
  <si>
    <t>cx-9 - пдр</t>
  </si>
  <si>
    <t>79023385367 - Исходящий звонок</t>
  </si>
  <si>
    <t>79277636862 - Исходящий звонок</t>
  </si>
  <si>
    <t>79508253884 - Исходящий звонок</t>
  </si>
  <si>
    <t>79033358295 - Входящий звонок</t>
  </si>
  <si>
    <t>ПДР приедет оценить стоимость</t>
  </si>
  <si>
    <t>Gubka-Bob Spongebob - Открытая линия Левша</t>
  </si>
  <si>
    <t>Gubka-Bob</t>
  </si>
  <si>
    <t>Spongebob</t>
  </si>
  <si>
    <t>Оценка ПДР Forester 5 просека 20.09</t>
  </si>
  <si>
    <t>79871504448 - Входящий звонок</t>
  </si>
  <si>
    <t>PDR на 07,09 Haval</t>
  </si>
  <si>
    <t>tupovaleksandr016 - Открытая линия Левша</t>
  </si>
  <si>
    <t>tupovaleksandr016</t>
  </si>
  <si>
    <t>79371740195 - Входящий звонок</t>
  </si>
  <si>
    <t>79276012724 - Входящий звонок</t>
  </si>
  <si>
    <t>79178180305 - Входящий звонок</t>
  </si>
  <si>
    <t>79277378110 - Входящий звонок</t>
  </si>
  <si>
    <t>на сегодня PDR</t>
  </si>
  <si>
    <t>79613856650 - Входящий звонок</t>
  </si>
  <si>
    <t>79376405663 - Входящий звонок</t>
  </si>
  <si>
    <t>79370733299 - Входящий звонок</t>
  </si>
  <si>
    <t>79991580078 - Входящий звонок</t>
  </si>
  <si>
    <t>79277587509 - Входящий звонок</t>
  </si>
  <si>
    <t>подтвердила запись на PDR / мерс 202</t>
  </si>
  <si>
    <t>79377919651 - Входящий звонок</t>
  </si>
  <si>
    <t>79277433541 - Входящий звонок</t>
  </si>
  <si>
    <t>Оценка PDR запись на 26,09 просека к 12:00</t>
  </si>
  <si>
    <t>79874422046 - Входящий звонок</t>
  </si>
  <si>
    <t>79276004200 - Входящий звонок</t>
  </si>
  <si>
    <t>PDR Chevrolet Niva</t>
  </si>
  <si>
    <t>Твольчук</t>
  </si>
  <si>
    <t>Осмотр PDR на реник 12.09</t>
  </si>
  <si>
    <t>dasun - пдр/дефект</t>
  </si>
  <si>
    <t>Сазонов</t>
  </si>
  <si>
    <t>N - Открытая линия Левша</t>
  </si>
  <si>
    <t>79276060099 - Входящий звонок</t>
  </si>
  <si>
    <t>Заявка с сайта ЛЕВША -Удаление вмятин без покраски!</t>
  </si>
  <si>
    <t>79277373228 - Входящий звонок</t>
  </si>
  <si>
    <t>Irina - Открытая линия Левша</t>
  </si>
  <si>
    <t>Irina</t>
  </si>
  <si>
    <t>Dmitriy Tesakov - Открытая линия Левша</t>
  </si>
  <si>
    <t>Tesakov</t>
  </si>
  <si>
    <t>79677687692 - Входящий звонок</t>
  </si>
  <si>
    <t>79178191296 - Входящий звонок</t>
  </si>
  <si>
    <t>79270124383 - Исходящий звонок</t>
  </si>
  <si>
    <t>осмотр</t>
  </si>
  <si>
    <t>79270001263 - Входящий звонок</t>
  </si>
  <si>
    <t>Черных</t>
  </si>
  <si>
    <t>лопнул бампер</t>
  </si>
  <si>
    <t>David Kasparyan - Открытая линия Левша</t>
  </si>
  <si>
    <t>David</t>
  </si>
  <si>
    <t>Kasparyan</t>
  </si>
  <si>
    <t>PDR пороог</t>
  </si>
  <si>
    <t>Валентина - Открытая линия Левша</t>
  </si>
  <si>
    <t>Валентина</t>
  </si>
  <si>
    <t>79880719238 - Входящий звонок</t>
  </si>
  <si>
    <t>ремонт пластика</t>
  </si>
  <si>
    <t>арматурные работы</t>
  </si>
  <si>
    <t>Алексей Волков - Открытая линия Левша</t>
  </si>
  <si>
    <t>Арматурные работы Сергей</t>
  </si>
  <si>
    <t xml:space="preserve">solaris091 - просека мойка </t>
  </si>
  <si>
    <t>79608178664 - Входящий звонок</t>
  </si>
  <si>
    <t>Заявка с сайта ЛЕВША - форма Написать сотруднику</t>
  </si>
  <si>
    <t>79377999735 - Входящий звонок</t>
  </si>
  <si>
    <t>пдр приедет к вам на осмотр 02,09</t>
  </si>
  <si>
    <t>79272978863 - Входящий звонок</t>
  </si>
  <si>
    <t>79962000128 - Входящий звонок</t>
  </si>
  <si>
    <t>вмятина с покрасом</t>
  </si>
  <si>
    <t>79277251636 - Входящий звонок</t>
  </si>
  <si>
    <t>79272601431 - Входящий звонок</t>
  </si>
  <si>
    <t>79966202749 - Входящий звонок</t>
  </si>
  <si>
    <t>79171512706 - Входящий звонок</t>
  </si>
  <si>
    <t>Aleksei</t>
  </si>
  <si>
    <t>79277649225 - Входящий звонок</t>
  </si>
  <si>
    <t>79871523014 - Входящий звонок</t>
  </si>
  <si>
    <t>78463326265 - Входящий звонок</t>
  </si>
  <si>
    <t>79171623258 - Входящий звонок</t>
  </si>
  <si>
    <t>Yuriy</t>
  </si>
  <si>
    <t>79272608357 - Входящий звонок</t>
  </si>
  <si>
    <t>79141759848 - Входящий звонок</t>
  </si>
  <si>
    <t>79277073870 - Входящий звонок</t>
  </si>
  <si>
    <t>79171577974 - Входящий звонок</t>
  </si>
  <si>
    <t>79297049123 - Входящий звонок</t>
  </si>
  <si>
    <t>Захар Дементьев - Открытая линия Левша</t>
  </si>
  <si>
    <t>Захар</t>
  </si>
  <si>
    <t>Дементьев</t>
  </si>
  <si>
    <t xml:space="preserve">точечные сколы на автомобиле </t>
  </si>
  <si>
    <t xml:space="preserve">PDr Duster на осмотр </t>
  </si>
  <si>
    <t>79370643931 - Входящий звонок</t>
  </si>
  <si>
    <t>79990713618 - Входящий звонок</t>
  </si>
  <si>
    <t>Натали - Авитолог</t>
  </si>
  <si>
    <t>79129305738 - Входящий звонок</t>
  </si>
  <si>
    <t>Виктор Есипов - Открытая линия Левша</t>
  </si>
  <si>
    <t>Есипов</t>
  </si>
  <si>
    <t>Павел В. - Открытая линия Левша</t>
  </si>
  <si>
    <t>Юрий PDR казах</t>
  </si>
  <si>
    <t>оценка вмятигны ё</t>
  </si>
  <si>
    <t>Пввел</t>
  </si>
  <si>
    <t>79608150087 - Входящий звонок</t>
  </si>
  <si>
    <t>79370613111 - Входящий звонок</t>
  </si>
  <si>
    <t>79376500685 - Входящий звонок</t>
  </si>
  <si>
    <t>79270078093 - Входящий звонок</t>
  </si>
  <si>
    <t>79270133903 - Входящий звонок</t>
  </si>
  <si>
    <t>79276968354 - Входящий звонок</t>
  </si>
  <si>
    <t>79272994618 - Исходящий звонок</t>
  </si>
  <si>
    <t xml:space="preserve">вмятина на бумере. там пизда просто , бумер умер , а я бы его любил </t>
  </si>
  <si>
    <t>79053011461 - Входящий звонок</t>
  </si>
  <si>
    <t>79155218452 - Входящий звонок</t>
  </si>
  <si>
    <t>79171549914 - Входящий звонок</t>
  </si>
  <si>
    <t>79179650100 - Входящий звонок</t>
  </si>
  <si>
    <t>удаление ржавчины</t>
  </si>
  <si>
    <t>79379849797 - Входящий звонок</t>
  </si>
  <si>
    <t xml:space="preserve">PDR Vesta рыжая </t>
  </si>
  <si>
    <t>79649809699 - Входящий звонок</t>
  </si>
  <si>
    <t>Кирилл - Открытая линия Левша</t>
  </si>
  <si>
    <t>79268603406 - Входящий звонок</t>
  </si>
  <si>
    <t>79376512111 - Входящий звонок</t>
  </si>
  <si>
    <t>79272018752 - Входящий звонок</t>
  </si>
  <si>
    <t>Гранта ремонт вмятин, перзвонить</t>
  </si>
  <si>
    <t>Радик Зарипов</t>
  </si>
  <si>
    <t>Александр Баранов - Открытая линия Левша</t>
  </si>
  <si>
    <t>Баранов</t>
  </si>
  <si>
    <t xml:space="preserve">пдр осмотр ренессанс </t>
  </si>
  <si>
    <t>79374134804 - Входящий звонок</t>
  </si>
  <si>
    <t>79276546978 - Входящий звонок</t>
  </si>
  <si>
    <t>Хохлова</t>
  </si>
  <si>
    <t>79277206601 - Входящий звонок</t>
  </si>
  <si>
    <t>79272012552 - Входящий звонок</t>
  </si>
  <si>
    <t>79033011410 - Исходящий звонок</t>
  </si>
  <si>
    <t>79020085095 - Входящий звонок</t>
  </si>
  <si>
    <t>79879240592 - Входящий звонок</t>
  </si>
  <si>
    <t>79123107003 - Входящий звонок</t>
  </si>
  <si>
    <t>79270118711 - Входящий звонок</t>
  </si>
  <si>
    <t xml:space="preserve">PDR на осмотр c 12 до 13 </t>
  </si>
  <si>
    <t>79376526270 - Входящий звонок</t>
  </si>
  <si>
    <t>79879293760 - Входящий звонок</t>
  </si>
  <si>
    <t>79608300183 - Входящий звонок</t>
  </si>
  <si>
    <t>Установить плавник на крышу и вмятину устранить</t>
  </si>
  <si>
    <t>79277520858 - Входящий звонок</t>
  </si>
  <si>
    <t>Lelik - Открытая линия Левша</t>
  </si>
  <si>
    <t>Lelik</t>
  </si>
  <si>
    <t>79376476470 - Исходящий звонок</t>
  </si>
  <si>
    <t>79871502371 - Входящий звонок</t>
  </si>
  <si>
    <t>79879245187 - Входящий звонок</t>
  </si>
  <si>
    <t>79879270320 - Входящий звонок</t>
  </si>
  <si>
    <t>Мария Сунцова - Открытая линия Левша</t>
  </si>
  <si>
    <t>Сунцова</t>
  </si>
  <si>
    <t>79198022434 - Входящий звонок</t>
  </si>
  <si>
    <t>79261022108 - Входящий звонок</t>
  </si>
  <si>
    <t>79277095754 - Входящий звонок</t>
  </si>
  <si>
    <t>79270168296 - Входящий звонок</t>
  </si>
  <si>
    <t>79277095754 - Исходящий звонок</t>
  </si>
  <si>
    <t xml:space="preserve">Константин </t>
  </si>
  <si>
    <t>79379982201 - Входящий звонок</t>
  </si>
  <si>
    <t>79536214235 - Входящий звонок</t>
  </si>
  <si>
    <t>79297011490 - Исходящий звонок</t>
  </si>
  <si>
    <t xml:space="preserve">Вмятина на капоте и крыльях </t>
  </si>
  <si>
    <t>Danya</t>
  </si>
  <si>
    <t>79822021555 - Входящий звонок</t>
  </si>
  <si>
    <t>79277178823 - Входящий звонок</t>
  </si>
  <si>
    <t>79825564555 - Входящий звонок</t>
  </si>
  <si>
    <t>79270133194 - Входящий звонок</t>
  </si>
  <si>
    <t>79277881024 - Входящий звонок</t>
  </si>
  <si>
    <t>79179530017 - Входящий звонок</t>
  </si>
  <si>
    <t>79270146503 - Входящий звонок</t>
  </si>
  <si>
    <t>Рыкота Светлана Дмитриевна - Открытая линия Левша</t>
  </si>
  <si>
    <t>Рыкота Светлана Дмитриевна</t>
  </si>
  <si>
    <t>выпрямление вмятин без покраски</t>
  </si>
  <si>
    <t>79277823999 - Входящий звонок</t>
  </si>
  <si>
    <t>79370630436 - Входящий звонок</t>
  </si>
  <si>
    <t>79879182868 - Входящий звонок</t>
  </si>
  <si>
    <t xml:space="preserve">малярка </t>
  </si>
  <si>
    <t xml:space="preserve">Вмятина </t>
  </si>
  <si>
    <t>Анютка - Открытая линия Левша</t>
  </si>
  <si>
    <t>Анютка</t>
  </si>
  <si>
    <t>ремонт вмятин без покраски самаре</t>
  </si>
  <si>
    <t>79272072585 - Входящий звонок</t>
  </si>
  <si>
    <t>Ю.Н.</t>
  </si>
  <si>
    <t xml:space="preserve">приехать на прем </t>
  </si>
  <si>
    <t>Артур Мифтахов - Открытая линия Левша</t>
  </si>
  <si>
    <t>Мифтахов</t>
  </si>
  <si>
    <t>79879219847 - Входящий звонок</t>
  </si>
  <si>
    <t xml:space="preserve">PDR VOLKSWAGEN по телеге на 25 число </t>
  </si>
  <si>
    <t>экспертиза</t>
  </si>
  <si>
    <t>79272974244 - Входящий звонок</t>
  </si>
  <si>
    <t>79198081000 - Входящий звонок</t>
  </si>
  <si>
    <t>79276565242 - Входящий звонок</t>
  </si>
  <si>
    <t>79372074027 - Входящий звонок</t>
  </si>
  <si>
    <t>79272658708 - Входящий звонок</t>
  </si>
  <si>
    <t xml:space="preserve">ремонт в сервис ТО </t>
  </si>
  <si>
    <t>79279049394 - Входящий звонок</t>
  </si>
  <si>
    <t>79272041724 - Входящий звонок</t>
  </si>
  <si>
    <t>granta125 - рен пдр</t>
  </si>
  <si>
    <t>79377947738 - Исходящий звонок</t>
  </si>
  <si>
    <t>дерево помяло бампер</t>
  </si>
  <si>
    <t>79272660630 - Входящий звонок</t>
  </si>
  <si>
    <t>Drew Potter - Открытая линия Левша</t>
  </si>
  <si>
    <t>Drew</t>
  </si>
  <si>
    <t>Potter</t>
  </si>
  <si>
    <t>79371801615 - Входящий звонок</t>
  </si>
  <si>
    <t>79171435888 - Входящий звонок</t>
  </si>
  <si>
    <t>79898836840 - Входящий звонок</t>
  </si>
  <si>
    <t>Татьяна Земскова - Открытая линия Левша</t>
  </si>
  <si>
    <t>Земскова</t>
  </si>
  <si>
    <t>79654803705 - Входящий звонок</t>
  </si>
  <si>
    <t>оценка PDR</t>
  </si>
  <si>
    <t>PDR еа стойке</t>
  </si>
  <si>
    <t>Sokolov</t>
  </si>
  <si>
    <t>PDR Mazda CX-5 на 08.07</t>
  </si>
  <si>
    <t>79277533377 - Входящий звонок</t>
  </si>
  <si>
    <t>79376629902 - Входящий звонок</t>
  </si>
  <si>
    <t>79170158530 - Входящий звонок</t>
  </si>
  <si>
    <t>79325525755 - Входящий звонок</t>
  </si>
  <si>
    <t>79966226356 - Входящий звонок</t>
  </si>
  <si>
    <t xml:space="preserve">пдр мото </t>
  </si>
  <si>
    <t>79991714245 - Входящий звонок</t>
  </si>
  <si>
    <t>пдр крыла</t>
  </si>
  <si>
    <t>79171089462 - Входящий звонок</t>
  </si>
  <si>
    <t>79277574340 - Входящий звонок</t>
  </si>
  <si>
    <t>79397551206 - Входящий звонок</t>
  </si>
  <si>
    <t>79171233345 - Входящий звонок</t>
  </si>
  <si>
    <t>79277364252 - Входящий звонок</t>
  </si>
  <si>
    <t>PDR шкода</t>
  </si>
  <si>
    <t>79277176507 - Входящий звонок</t>
  </si>
  <si>
    <t>79179500059 - Входящий звонок</t>
  </si>
  <si>
    <t>вопрос про уточнение времини на PDR</t>
  </si>
  <si>
    <t>покраска элемента</t>
  </si>
  <si>
    <t>79276076037 - Входящий звонок</t>
  </si>
  <si>
    <t>79608281125 - Входящий звонок</t>
  </si>
  <si>
    <t>Дарья Владимировна - Открытая линия Левша</t>
  </si>
  <si>
    <t>Владимировна</t>
  </si>
  <si>
    <t>79024279011 - Входящий звонок</t>
  </si>
  <si>
    <t>camry668 - пдр</t>
  </si>
  <si>
    <t>79270075796 - Входящий звонок</t>
  </si>
  <si>
    <t>79871519102 - Входящий звонок</t>
  </si>
  <si>
    <t>79171052770 - Входящий звонок</t>
  </si>
  <si>
    <t>Иван Терехов - Открытая линия Левша</t>
  </si>
  <si>
    <t>79123212288 - Входящий звонок</t>
  </si>
  <si>
    <t>pupkin12378 - Открытая линия Левша</t>
  </si>
  <si>
    <t>pupkin12378</t>
  </si>
  <si>
    <t>GG</t>
  </si>
  <si>
    <t>79198658876 - Входящий звонок</t>
  </si>
  <si>
    <t>79379975226 - Входящий звонок</t>
  </si>
  <si>
    <t>79272026659 - Входящий звонок</t>
  </si>
  <si>
    <t>79505133624 - Входящий звонок</t>
  </si>
  <si>
    <t>Boxer499 - рен пдр</t>
  </si>
  <si>
    <t>79879586341 - Входящий звонок</t>
  </si>
  <si>
    <t>mL750 - пдр</t>
  </si>
  <si>
    <t>вмятина на холодильнике</t>
  </si>
  <si>
    <t>79277244973 - Входящий звонок</t>
  </si>
  <si>
    <t>79276066257 - Исходящий звонок</t>
  </si>
  <si>
    <t>79279033979 - Входящий звонок</t>
  </si>
  <si>
    <t>Дмитрий Орлов - Открытая линия Левша</t>
  </si>
  <si>
    <t>Орлов</t>
  </si>
  <si>
    <t>пдр оценка</t>
  </si>
  <si>
    <t>79272072547 - Входящий звонок</t>
  </si>
  <si>
    <t>79879197772 - Входящий звонок</t>
  </si>
  <si>
    <t>Лев - Открытая линия Левша</t>
  </si>
  <si>
    <t>79272098348 - Входящий звонок</t>
  </si>
  <si>
    <t>79372164825 - Входящий звонок</t>
  </si>
  <si>
    <t>79276017111 - Входящий звонок</t>
  </si>
  <si>
    <t>Vladimir - Открытая линия Левша</t>
  </si>
  <si>
    <t>79277468264 - Входящий звонок</t>
  </si>
  <si>
    <t>79276066316 - Входящий звонок</t>
  </si>
  <si>
    <t>79879207204 - Входящий звонок</t>
  </si>
  <si>
    <t>Эмиль Мамедов - Открытая линия Левша</t>
  </si>
  <si>
    <t>Эмиль</t>
  </si>
  <si>
    <t>Мамедов</t>
  </si>
  <si>
    <t>Artem Grigoriev - Открытая линия Левша</t>
  </si>
  <si>
    <t>Grigoriev</t>
  </si>
  <si>
    <t>79063408989 - Входящий звонок</t>
  </si>
  <si>
    <t>Дмитрий Мартынов - Открытая линия Левша</t>
  </si>
  <si>
    <t>Мартынов</t>
  </si>
  <si>
    <t>79171024951 - Исходящий звонок</t>
  </si>
  <si>
    <t>79376496533 - Входящий звонок</t>
  </si>
  <si>
    <t>79171543269 - Входящий звонок</t>
  </si>
  <si>
    <t>Сергей Механиков - Открытая линия Левша</t>
  </si>
  <si>
    <t>Механиков</t>
  </si>
  <si>
    <t>выпрямление кузова</t>
  </si>
  <si>
    <t>RAZMIK u ANNA KAZARYAN - Открытая линия Левша</t>
  </si>
  <si>
    <t>RAZMIK u ANNA KAZARYAN</t>
  </si>
  <si>
    <t>PDR звонок с Авито</t>
  </si>
  <si>
    <t>79272660058 - Входящий звонок</t>
  </si>
  <si>
    <t>79370748920 - Исходящий звонок</t>
  </si>
  <si>
    <t>79276087504 - Входящий звонок</t>
  </si>
  <si>
    <t>78462603997 - Входящий звонок</t>
  </si>
  <si>
    <t>79179419447 - Входящий звонок</t>
  </si>
  <si>
    <t>79608262988 - Входящий звонок</t>
  </si>
  <si>
    <t xml:space="preserve">PDR на вайбере </t>
  </si>
  <si>
    <t>PDR Duster</t>
  </si>
  <si>
    <t>Анатолий Никоноров - Открытая линия Левша</t>
  </si>
  <si>
    <t>Никоноров</t>
  </si>
  <si>
    <t>granta048 - рен пдр</t>
  </si>
  <si>
    <t xml:space="preserve">Alexander  чат телега </t>
  </si>
  <si>
    <t>79171019332 - Исходящий звонок</t>
  </si>
  <si>
    <t>79875438979 - Входящий звонок</t>
  </si>
  <si>
    <t>79608250071 - Входящий звонок</t>
  </si>
  <si>
    <t>gafurov_rustam85 - Открытая линия Левша</t>
  </si>
  <si>
    <t>gafurov_rustam85</t>
  </si>
  <si>
    <t>79613829213 - Входящий звонок</t>
  </si>
  <si>
    <t>79270202022 - Входящий звонок</t>
  </si>
  <si>
    <t>79879038182 - Входящий звонок</t>
  </si>
  <si>
    <t>Леша</t>
  </si>
  <si>
    <t>79277874831 - Входящий звонок</t>
  </si>
  <si>
    <t>EVG - Открытая линия Левша</t>
  </si>
  <si>
    <t>EVG</t>
  </si>
  <si>
    <t>79297066440 - Входящий звонок</t>
  </si>
  <si>
    <t>sergeyp12k9</t>
  </si>
  <si>
    <t>79370617052 - Входящий звонок</t>
  </si>
  <si>
    <t>Валерий Владимирович - Открытая линия Левша</t>
  </si>
  <si>
    <t xml:space="preserve">Марина </t>
  </si>
  <si>
    <t>79277111654 - Входящий звонок</t>
  </si>
  <si>
    <t>OleG - Открытая линия Левша</t>
  </si>
  <si>
    <t>OleG</t>
  </si>
  <si>
    <t>79270016234 - Входящий звонок</t>
  </si>
  <si>
    <t>monjaro921 - рен пдр</t>
  </si>
  <si>
    <t>79276006330 - Входящий звонок</t>
  </si>
  <si>
    <t>79270030028 - Входящий звонок</t>
  </si>
  <si>
    <t>79277253585 - Входящий звонок</t>
  </si>
  <si>
    <t>79879465803 - Входящий звонок</t>
  </si>
  <si>
    <t>вмятина на пороге, малярные работы</t>
  </si>
  <si>
    <t>Россия</t>
  </si>
  <si>
    <t>Вмятина на пороге от наезда на пенек</t>
  </si>
  <si>
    <t>79171535946 - Входящий звонок</t>
  </si>
  <si>
    <t>79024253532 - Входящий звонок</t>
  </si>
  <si>
    <t>79272047568 - Входящий звонок</t>
  </si>
  <si>
    <t>79376520022 - Входящий звонок</t>
  </si>
  <si>
    <t>+7 937 652-00-22</t>
  </si>
  <si>
    <t>79179590456 - Входящий звонок</t>
  </si>
  <si>
    <t>79174130280 - Входящий звонок</t>
  </si>
  <si>
    <t>Khe</t>
  </si>
  <si>
    <t>+7 960 827-40-34 - Открытая линия Левша</t>
  </si>
  <si>
    <t>+7 960 827-40-34</t>
  </si>
  <si>
    <t>шумоизоляция двигателя автомобиля</t>
  </si>
  <si>
    <t>79963417184 - Входящий звонок</t>
  </si>
  <si>
    <t>79093230303 - Входящий звонок</t>
  </si>
  <si>
    <t>79179652189 - Исходящий звонок</t>
  </si>
  <si>
    <t>79608633311 - Входящий звонок</t>
  </si>
  <si>
    <t>79270007050 - Входящий звонок</t>
  </si>
  <si>
    <t>79276888801 - Входящий звонок</t>
  </si>
  <si>
    <t>79270077004 - Входящий звонок</t>
  </si>
  <si>
    <t>79608161110 - Входящий звонок</t>
  </si>
  <si>
    <t>79170347585 - Входящий звонок</t>
  </si>
  <si>
    <t>79276999830 - Входящий звонок</t>
  </si>
  <si>
    <t>пдр в телеге</t>
  </si>
  <si>
    <t>выписался из записи PDR</t>
  </si>
  <si>
    <t>79277038787 - Входящий звонок</t>
  </si>
  <si>
    <t>79171405789 - Входящий звонок</t>
  </si>
  <si>
    <t>79376553440 - Входящий звонок</t>
  </si>
  <si>
    <t>+7 927 700-32-70</t>
  </si>
  <si>
    <t>79061266767 - Входящий звонок</t>
  </si>
  <si>
    <t>79277465777 - Входящий звонок</t>
  </si>
  <si>
    <t>TRD</t>
  </si>
  <si>
    <t>79276568582 - Исходящий звонок</t>
  </si>
  <si>
    <t>79649792142 - Входящий звонок</t>
  </si>
  <si>
    <t>79277424044 - Входящий звонок</t>
  </si>
  <si>
    <t>Глеб Синяков - Открытая линия Левша</t>
  </si>
  <si>
    <t>Синяков</t>
  </si>
  <si>
    <t>Глеб - Открытая линия Левша</t>
  </si>
  <si>
    <t>Аветик Бадирян - Открытая линия Левша</t>
  </si>
  <si>
    <t>Аветик</t>
  </si>
  <si>
    <t>Бадирян</t>
  </si>
  <si>
    <t>полировка фар</t>
  </si>
  <si>
    <t>79171117974 - Входящий звонок</t>
  </si>
  <si>
    <t>Михаил Борисович - Открытая линия Левша</t>
  </si>
  <si>
    <t>Борисович</t>
  </si>
  <si>
    <t>79277068222 - Входящий звонок</t>
  </si>
  <si>
    <t>79276861606 - Входящий звонок</t>
  </si>
  <si>
    <t>79879105234 - Входящий звонок</t>
  </si>
  <si>
    <t>DPR</t>
  </si>
  <si>
    <t>Daniil</t>
  </si>
  <si>
    <t>пдр на ренек приедет на оценку</t>
  </si>
  <si>
    <t xml:space="preserve">покраска </t>
  </si>
  <si>
    <t>Гришков</t>
  </si>
  <si>
    <t>не ремонтируемое</t>
  </si>
  <si>
    <t>Родионов</t>
  </si>
  <si>
    <t>79277126791 - Входящий звонок</t>
  </si>
  <si>
    <t>79962682938 - Исходящий звонок</t>
  </si>
  <si>
    <t>79370759299 - Входящий звонок</t>
  </si>
  <si>
    <t>Артур Смакотин - Открытая линия Левша</t>
  </si>
  <si>
    <t>Смакотин</t>
  </si>
  <si>
    <t>79372307677 - Входящий звонок</t>
  </si>
  <si>
    <t>79198091516 - Входящий звонок</t>
  </si>
  <si>
    <t>S_Borodoi</t>
  </si>
  <si>
    <t>79107373929 - Входящий звонок</t>
  </si>
  <si>
    <t>79879439596 - Входящий звонок</t>
  </si>
  <si>
    <t>79649849648 - Входящий звонок</t>
  </si>
  <si>
    <t>79277036364 - Входящий звонок</t>
  </si>
  <si>
    <t>79639141300 - Входящий звонок</t>
  </si>
  <si>
    <t>PDR на баке мотоцикла</t>
  </si>
  <si>
    <t>Чернов</t>
  </si>
  <si>
    <t xml:space="preserve">покраска бака от мотоикла </t>
  </si>
  <si>
    <t>79649912545 - Входящий звонок</t>
  </si>
  <si>
    <t>покраска двери</t>
  </si>
  <si>
    <t>79171027531 - Входящий звонок</t>
  </si>
  <si>
    <t>79272605125 - Исходящий звонок</t>
  </si>
  <si>
    <t>79277398166 - Входящий звонок</t>
  </si>
  <si>
    <t>79171117965 - Входящий звонок</t>
  </si>
  <si>
    <t>79277353456 - Входящий звонок</t>
  </si>
  <si>
    <t>79376551950 - Входящий звонок</t>
  </si>
  <si>
    <t>Тимур Арестанов - Открытая линия Левша</t>
  </si>
  <si>
    <t>Тимур</t>
  </si>
  <si>
    <t>Арестанов</t>
  </si>
  <si>
    <t>79021835007 - Входящий звонок</t>
  </si>
  <si>
    <t>79179507212 - Входящий звонок</t>
  </si>
  <si>
    <t xml:space="preserve">Валерий </t>
  </si>
  <si>
    <t>удалить вмятину без покраски</t>
  </si>
  <si>
    <t>stepway800 - просека пдр</t>
  </si>
  <si>
    <t>перенос записи PDR</t>
  </si>
  <si>
    <t>Aidar</t>
  </si>
  <si>
    <t>78462286281 - Входящий звонок</t>
  </si>
  <si>
    <t>пдр 5 просека 13,05 к 11 утра Х1</t>
  </si>
  <si>
    <t>79276945563 - Входящий звонок</t>
  </si>
  <si>
    <t>пдр приедет в ренек 02.05 на оценку</t>
  </si>
  <si>
    <t>Passat735 - рен пдр</t>
  </si>
  <si>
    <t>ремонт скола на кузове</t>
  </si>
  <si>
    <t>79276880864 - Входящий звонок</t>
  </si>
  <si>
    <t>79626137803 - Входящий звонок</t>
  </si>
  <si>
    <t>79370726972 - Входящий звонок</t>
  </si>
  <si>
    <t>79198172225 - Входящий звонок</t>
  </si>
  <si>
    <t>79023716428 - Входящий звонок</t>
  </si>
  <si>
    <t>по PDR и демонтажу потолка</t>
  </si>
  <si>
    <t xml:space="preserve">Виталий </t>
  </si>
  <si>
    <t>PDR На мазда сх5</t>
  </si>
  <si>
    <t>Михаил Рыжов - Открытая линия Левша</t>
  </si>
  <si>
    <t>Рыжов</t>
  </si>
  <si>
    <t>79270093400 - Входящий звонок</t>
  </si>
  <si>
    <t>79277345739 - Входящий звонок</t>
  </si>
  <si>
    <t>79171100555 - Исходящий звонок</t>
  </si>
  <si>
    <t>79279067775 - Исходящий звонок</t>
  </si>
  <si>
    <t xml:space="preserve">PDR вроде как </t>
  </si>
  <si>
    <t>PDR на ручке</t>
  </si>
  <si>
    <t>PFR</t>
  </si>
  <si>
    <t>Shadow</t>
  </si>
  <si>
    <t>Raze</t>
  </si>
  <si>
    <t>79277255043 - Входящий звонок</t>
  </si>
  <si>
    <t>Катыхина</t>
  </si>
  <si>
    <t>79879064562 - Входящий звонок</t>
  </si>
  <si>
    <t>79179493401 - Входящий звонок</t>
  </si>
  <si>
    <t>79276923909 - Входящий звонок</t>
  </si>
  <si>
    <t>79228775757 - Входящий звонок</t>
  </si>
  <si>
    <t>Kishov Nick - Открытая линия Левша</t>
  </si>
  <si>
    <t>Kishov</t>
  </si>
  <si>
    <t>Nick</t>
  </si>
  <si>
    <t>79277015081 - Входящий звонок</t>
  </si>
  <si>
    <t>79063477713 - Входящий звонок</t>
  </si>
  <si>
    <t xml:space="preserve">говорит заезжал к вам </t>
  </si>
  <si>
    <t xml:space="preserve">демонтаж бампера </t>
  </si>
  <si>
    <t>79179450800 - Входящий звонок</t>
  </si>
  <si>
    <t>PDR крыши</t>
  </si>
  <si>
    <t>79879402713 - Входящий звонок</t>
  </si>
  <si>
    <t>PDR Datsun на 28.04</t>
  </si>
  <si>
    <t>PDR на капоте нива на 24</t>
  </si>
  <si>
    <t>PDR на 27.04</t>
  </si>
  <si>
    <t>Веста, замена стекла и выправить крыло</t>
  </si>
  <si>
    <t>Руся - Открытая линия Левша</t>
  </si>
  <si>
    <t>Руся</t>
  </si>
  <si>
    <t>79967302602 - Входящий звонок</t>
  </si>
  <si>
    <t>79370735123 - Входящий звонок</t>
  </si>
  <si>
    <t>соната вмятина на двери</t>
  </si>
  <si>
    <t>79967399240 - Входящий звонок</t>
  </si>
  <si>
    <t>Камри</t>
  </si>
  <si>
    <t>Геннадий Батищев - Открытая линия Левша</t>
  </si>
  <si>
    <t>Батищев</t>
  </si>
  <si>
    <t>79171663505 - Входящий звонок</t>
  </si>
  <si>
    <t>79272618420 - Входящий звонок</t>
  </si>
  <si>
    <t>Subscriber - Открытая линия Левша</t>
  </si>
  <si>
    <t>вытянуть вмятину на машине без покраски цена</t>
  </si>
  <si>
    <t>Лада Гранта Янки пдр и скол на стекле</t>
  </si>
  <si>
    <t xml:space="preserve">PDR вмятина </t>
  </si>
  <si>
    <t>Trifonov</t>
  </si>
  <si>
    <t>PDR TERANO</t>
  </si>
  <si>
    <t>PDR и пленка</t>
  </si>
  <si>
    <t>Сережка</t>
  </si>
  <si>
    <t>PDR демонтаж потолка на BMW3</t>
  </si>
  <si>
    <t>79272669464 - Входящий звонок</t>
  </si>
  <si>
    <t>79873747919 - Исходящий звонок</t>
  </si>
  <si>
    <t>79179437170 - Входящий звонок</t>
  </si>
  <si>
    <t>Ант - Открытая линия Левша</t>
  </si>
  <si>
    <t>Ант</t>
  </si>
  <si>
    <t>79376518141 - Входящий звонок</t>
  </si>
  <si>
    <t>полировка на пластике</t>
  </si>
  <si>
    <t>79224806208 - Входящий звонок</t>
  </si>
  <si>
    <t>79093423388 - Входящий звонок</t>
  </si>
  <si>
    <t>Дим Жу - Открытая линия Левша</t>
  </si>
  <si>
    <t>Дим</t>
  </si>
  <si>
    <t>Жу</t>
  </si>
  <si>
    <t>obshaya</t>
  </si>
  <si>
    <t>PDR в меседжер</t>
  </si>
  <si>
    <t>Гайк</t>
  </si>
  <si>
    <t>79370638060 - Исходящий звонок</t>
  </si>
  <si>
    <t>Рапид 126 на пдр</t>
  </si>
  <si>
    <t>78463780392 - Входящий звонок</t>
  </si>
  <si>
    <t>79171111410 - Входящий звонок</t>
  </si>
  <si>
    <t>79613872911 - Входящий звонок</t>
  </si>
  <si>
    <t>79874319434 - Входящий звонок</t>
  </si>
  <si>
    <t>Aleksandr Anisimov - Открытая линия Левша</t>
  </si>
  <si>
    <t>Anisimov</t>
  </si>
  <si>
    <t>PDR на 11/04</t>
  </si>
  <si>
    <t>PDR на 22.04 RR</t>
  </si>
  <si>
    <t>79871628868 - Входящий звонок</t>
  </si>
  <si>
    <t>Марочкин</t>
  </si>
  <si>
    <t>79991705614 - Входящий звонок</t>
  </si>
  <si>
    <t>79879885899 - Входящий звонок</t>
  </si>
  <si>
    <t>79272678598 - Входящий звонок</t>
  </si>
  <si>
    <t>79874448621 - Входящий звонок</t>
  </si>
  <si>
    <t>Роман Маряшин - Открытая линия Левша</t>
  </si>
  <si>
    <t>Маряшин</t>
  </si>
  <si>
    <t>Анастасия Королева - Открытая линия Левша</t>
  </si>
  <si>
    <t>Королева</t>
  </si>
  <si>
    <t>79171448086 - Входящий звонок</t>
  </si>
  <si>
    <t>пдр дед калина</t>
  </si>
  <si>
    <t>P.</t>
  </si>
  <si>
    <t>Гранта PDR</t>
  </si>
  <si>
    <t>79879429675 - Входящий звонок</t>
  </si>
  <si>
    <t>79093438464 - Входящий звонок</t>
  </si>
  <si>
    <t xml:space="preserve">скол на кузове </t>
  </si>
  <si>
    <t>удаление сколов</t>
  </si>
  <si>
    <t xml:space="preserve">Руслан </t>
  </si>
  <si>
    <t>сколы ремонт на кузове</t>
  </si>
  <si>
    <t xml:space="preserve">покраска бампера </t>
  </si>
  <si>
    <t>79277244945 - Исходящий звонок</t>
  </si>
  <si>
    <t>79273887157 - Исходящий звонок</t>
  </si>
  <si>
    <t>79376461493 - Входящий звонок</t>
  </si>
  <si>
    <t>79170369977 - Входящий звонок</t>
  </si>
  <si>
    <t>Александр Безбородов - Открытая линия Левша</t>
  </si>
  <si>
    <t>Безбородов</t>
  </si>
  <si>
    <t>79277449563 - Исходящий звонок</t>
  </si>
  <si>
    <t>79053026512 - Входящий звонок</t>
  </si>
  <si>
    <t>78462761232 - Входящий звонок</t>
  </si>
  <si>
    <t>79277500252 - Входящий звонок</t>
  </si>
  <si>
    <t>79033086055 - Входящий звонок</t>
  </si>
  <si>
    <t>79272032229 - Входящий звонок</t>
  </si>
  <si>
    <t>Борис - Открытая линия Левша</t>
  </si>
  <si>
    <t>починить вмятину</t>
  </si>
  <si>
    <t>79279012566 - Входящий звонок</t>
  </si>
  <si>
    <t>79376445733 - Входящий звонок</t>
  </si>
  <si>
    <t>79022363346 - Входящий звонок</t>
  </si>
  <si>
    <t>детейлинг центр самара</t>
  </si>
  <si>
    <t>79586713549 - Входящий звонок</t>
  </si>
  <si>
    <t>устранение коррозии</t>
  </si>
  <si>
    <t>79277377407 - Входящий звонок</t>
  </si>
  <si>
    <t>79276012444 - Входящий звонок</t>
  </si>
  <si>
    <t>79649770077 - Входящий звонок</t>
  </si>
  <si>
    <t>79277478499 - Исходящий звонок</t>
  </si>
  <si>
    <t>79675467843 - Входящий звонок</t>
  </si>
  <si>
    <t>79379942290 - Входящий звонок</t>
  </si>
  <si>
    <t>79397539213 - Входящий звонок</t>
  </si>
  <si>
    <t>79279004054 - Исходящий звонок</t>
  </si>
  <si>
    <t>79272481060 - Исходящий звонок</t>
  </si>
  <si>
    <t>79272057866 - Исходящий звонок</t>
  </si>
  <si>
    <t>PDR на 21 X3</t>
  </si>
  <si>
    <t>+7 927 652-64-82</t>
  </si>
  <si>
    <t>79874446111 - Входящий звонок</t>
  </si>
  <si>
    <t>79171068012 - Входящий звонок</t>
  </si>
  <si>
    <t>79277119969 - Входящий звонок</t>
  </si>
  <si>
    <t>79276065896 - Входящий звонок</t>
  </si>
  <si>
    <t>79376468287 - Исходящий звонок</t>
  </si>
  <si>
    <t>Ᏸคሉεթนษ - Открытая линия Левша</t>
  </si>
  <si>
    <t>Ᏸคሉεթนษ</t>
  </si>
  <si>
    <t>79277147927 - Входящий звонок</t>
  </si>
  <si>
    <t>79179490948 - Входящий звонок</t>
  </si>
  <si>
    <t>79277468074 - Входящий звонок</t>
  </si>
  <si>
    <t>79053025415 - Входящий звонок</t>
  </si>
  <si>
    <t>79272036566 - Входящий звонок</t>
  </si>
  <si>
    <t>79083828555 - Входящий звонок</t>
  </si>
  <si>
    <t>PDR на 16 чмсло Rav4</t>
  </si>
  <si>
    <t>Виктор Чубов - Открытая линия Левша</t>
  </si>
  <si>
    <t>Чубов</t>
  </si>
  <si>
    <t>79270046909 - Входящий звонок</t>
  </si>
  <si>
    <t>79277333345 - Входящий звонок</t>
  </si>
  <si>
    <t>посмотрим вашу беду:-)</t>
  </si>
  <si>
    <t>79608148888 - Входящий звонок</t>
  </si>
  <si>
    <t>79272096760 - Исходящий звонок</t>
  </si>
  <si>
    <t>79874395260 - Входящий звонок</t>
  </si>
  <si>
    <t>79033003311 - Входящий звонок</t>
  </si>
  <si>
    <t>79869544874 - Входящий звонок</t>
  </si>
  <si>
    <t>79171652668 - Входящий звонок</t>
  </si>
  <si>
    <t>79270075522 - Входящий звонок</t>
  </si>
  <si>
    <t>79277369366 - Входящий звонок</t>
  </si>
  <si>
    <t>79397560063 - Входящий звонок</t>
  </si>
  <si>
    <t>79270013711 - Входящий звонок</t>
  </si>
  <si>
    <t>+7 927 734-03-42 - Открытая линия Левша</t>
  </si>
  <si>
    <t>+7 927 734-03-42</t>
  </si>
  <si>
    <t>79991061001 - Входящий звонок</t>
  </si>
  <si>
    <t>79270012733 - Входящий звонок</t>
  </si>
  <si>
    <t>Sergey - Открытая линия Левша</t>
  </si>
  <si>
    <t>79819949335 - Входящий звонок</t>
  </si>
  <si>
    <t>Олег Денисов - Открытая линия Левша</t>
  </si>
  <si>
    <t>Денисов</t>
  </si>
  <si>
    <t>PDR порог на тачке мусоров</t>
  </si>
  <si>
    <t>79277504845 - Входящий звонок</t>
  </si>
  <si>
    <t>79818905009 - Входящий звонок</t>
  </si>
  <si>
    <t>79297195701 - Входящий звонок</t>
  </si>
  <si>
    <t>79277445797 - Входящий звонок</t>
  </si>
  <si>
    <t>+7 917 949-09-48</t>
  </si>
  <si>
    <t>79178184071 - Входящий звонок</t>
  </si>
  <si>
    <t>79178132639 - Входящий звонок</t>
  </si>
  <si>
    <t>79270036970 - Входящий звонок</t>
  </si>
  <si>
    <t>Виктор - Открытая линия Левша</t>
  </si>
  <si>
    <t>79371770333 - Входящий звонок</t>
  </si>
  <si>
    <t>туарег / 696 с камнем</t>
  </si>
  <si>
    <t>79270010763 - Входящий звонок</t>
  </si>
  <si>
    <t>79171415604 - Входящий звонок</t>
  </si>
  <si>
    <t>пдр 4.03 ренек</t>
  </si>
  <si>
    <t>79372575000 - Входящий звонок</t>
  </si>
  <si>
    <t>79021813031 - Входящий звонок</t>
  </si>
  <si>
    <t>79608087312 - Входящий звонок</t>
  </si>
  <si>
    <t>79967359551 - Входящий звонок</t>
  </si>
  <si>
    <t>79171457200 - Входящий звонок</t>
  </si>
  <si>
    <t>пдр ренек 28.02</t>
  </si>
  <si>
    <t>79371878000 - Входящий звонок</t>
  </si>
  <si>
    <t>79276579743 - Входящий звонок</t>
  </si>
  <si>
    <t>+7 927 657-97-43</t>
  </si>
  <si>
    <t>79277153338 - Входящий звонок</t>
  </si>
  <si>
    <t>79372014007 - Входящий звонок</t>
  </si>
  <si>
    <t>79272026026 - Входящий звонок</t>
  </si>
  <si>
    <t>79272602886 - Входящий звонок</t>
  </si>
  <si>
    <t>79967376500 - Входящий звонок</t>
  </si>
  <si>
    <t>79276544871 - Входящий звонок</t>
  </si>
  <si>
    <t>После града</t>
  </si>
  <si>
    <t>79277304222 - Входящий звонок</t>
  </si>
  <si>
    <t>Лера - Открытая линия Левша</t>
  </si>
  <si>
    <t>Лера</t>
  </si>
  <si>
    <t>79276003590 - Входящий звонок</t>
  </si>
  <si>
    <t>79276184240 - Входящий звонок</t>
  </si>
  <si>
    <t>79272095992 - Входящий звонок</t>
  </si>
  <si>
    <t>Никита Куличков - Открытая линия Левша</t>
  </si>
  <si>
    <t>Куличков</t>
  </si>
  <si>
    <t>79276018070 - Входящий звонок</t>
  </si>
  <si>
    <t>Тойота Виста</t>
  </si>
  <si>
    <t>79277493161 - Входящий звонок</t>
  </si>
  <si>
    <t>Андреев Дмитрий - Открытая линия Левша</t>
  </si>
  <si>
    <t xml:space="preserve">PDR РИО Х по переписке </t>
  </si>
  <si>
    <t>79879627942 - Входящий звонок</t>
  </si>
  <si>
    <t>79277296473 - Входящий звонок</t>
  </si>
  <si>
    <t>79277107142 - Исходящий звонок</t>
  </si>
  <si>
    <t>79277433128 - Входящий звонок</t>
  </si>
  <si>
    <t>Выпрямление вмятяны  Рено Клио</t>
  </si>
  <si>
    <t>79276026303 - Входящий звонок</t>
  </si>
  <si>
    <t>PDR CAMRY БЕЛЫЙ</t>
  </si>
  <si>
    <t>79198005375 - Входящий звонок</t>
  </si>
  <si>
    <t>Захаров</t>
  </si>
  <si>
    <t>79171497047 - Входящий звонок</t>
  </si>
  <si>
    <t>79277008880 - Входящий звонок</t>
  </si>
  <si>
    <t>PDR бампера (фото в вайбере )</t>
  </si>
  <si>
    <t>Евгений Баландин</t>
  </si>
  <si>
    <t>79170112011 - Входящий звонок</t>
  </si>
  <si>
    <t>вмятины на пластике</t>
  </si>
  <si>
    <t>79033030387 - Входящий звонок</t>
  </si>
  <si>
    <t>Андрюха</t>
  </si>
  <si>
    <t>Кириллов</t>
  </si>
  <si>
    <t>79379867549 - Входящий звонок</t>
  </si>
  <si>
    <t>79170149101 - Входящий звонок</t>
  </si>
  <si>
    <t>79277459161 - Входящий звонок</t>
  </si>
  <si>
    <t>79277313738 - Входящий звонок</t>
  </si>
  <si>
    <t>79279027797 - Исходящий звонок</t>
  </si>
  <si>
    <t>79277303417 - Входящий звонок</t>
  </si>
  <si>
    <t>79277336901 - Входящий звонок</t>
  </si>
  <si>
    <t>Valera</t>
  </si>
  <si>
    <t>79376610334 - Входящий звонок</t>
  </si>
  <si>
    <t>+7 927 756-19-10</t>
  </si>
  <si>
    <t>79277867087 - Входящий звонок</t>
  </si>
  <si>
    <t>79277166016 - Входящий звонок</t>
  </si>
  <si>
    <t>79276568824 - Исходящий звонок</t>
  </si>
  <si>
    <t>Ауди А6</t>
  </si>
  <si>
    <t>79370766090 - Входящий звонок</t>
  </si>
  <si>
    <t>79608186858 - Входящий звонок</t>
  </si>
  <si>
    <t>Терихов</t>
  </si>
  <si>
    <t>79272171343 - Входящий звонок</t>
  </si>
  <si>
    <t>пдр укусила собака</t>
  </si>
  <si>
    <t>79272020141 - Входящий звонок</t>
  </si>
  <si>
    <t>79277224488 - Входящий звонок</t>
  </si>
  <si>
    <t>79171551131 - Входящий звонок</t>
  </si>
  <si>
    <t>Наиль</t>
  </si>
  <si>
    <t>Шигин</t>
  </si>
  <si>
    <t>Тузов</t>
  </si>
  <si>
    <t>вытягивание вмятин</t>
  </si>
  <si>
    <t>Sergey Demshov - Открытая линия Левша</t>
  </si>
  <si>
    <t>Demshov</t>
  </si>
  <si>
    <t>79879435583 - Входящий звонок</t>
  </si>
  <si>
    <t>Damir</t>
  </si>
  <si>
    <t>Ismagilov</t>
  </si>
  <si>
    <t>79170129929 - Входящий звонок</t>
  </si>
  <si>
    <t>79276866255 - Исходящий звонок</t>
  </si>
  <si>
    <t>79277684677 - Входящий звонок</t>
  </si>
  <si>
    <t>АЛЕКСЕЙ HOFER GRUPP - Открытая линия Левша</t>
  </si>
  <si>
    <t>АЛЕКСЕЙ HOFER GRUPP</t>
  </si>
  <si>
    <t>78469938938 - Входящий звонок</t>
  </si>
  <si>
    <t>78462017690 - Входящий звонок</t>
  </si>
  <si>
    <t>ДМИТРИЙ</t>
  </si>
  <si>
    <t>79198054943 - Исходящий звонок</t>
  </si>
  <si>
    <t>79171139453 - Входящий звонок</t>
  </si>
  <si>
    <t>Аветик - Открытая линия Левша</t>
  </si>
  <si>
    <t>79869545668 - Входящий звонок</t>
  </si>
  <si>
    <t>79800000141 - Входящий звонок</t>
  </si>
  <si>
    <t xml:space="preserve">Ольга </t>
  </si>
  <si>
    <t>78462057389 - Входящий звонок</t>
  </si>
  <si>
    <t>79277844869 - Входящий звонок</t>
  </si>
  <si>
    <t>79377924404 - Входящий звонок</t>
  </si>
  <si>
    <t>79276924360 - Входящий звонок</t>
  </si>
  <si>
    <t>Inishev</t>
  </si>
  <si>
    <t>79170302020 - Входящий звонок</t>
  </si>
  <si>
    <t>79276000085 - Входящий звонок</t>
  </si>
  <si>
    <t>79276517247 - Входящий звонок</t>
  </si>
  <si>
    <t>79198020624 - Входящий звонок</t>
  </si>
  <si>
    <t>ремонт крыла</t>
  </si>
  <si>
    <t>79649877722 - Входящий звонок</t>
  </si>
  <si>
    <t>evgen_osipov - Открытая линия Левша</t>
  </si>
  <si>
    <t>79880107031 - Входящий звонок</t>
  </si>
  <si>
    <t>pdr и мойка</t>
  </si>
  <si>
    <t>79171144840 - Входящий звонок</t>
  </si>
  <si>
    <t>79822624485 - Входящий звонок</t>
  </si>
  <si>
    <t>Настя</t>
  </si>
  <si>
    <t>Рубейкина</t>
  </si>
  <si>
    <t>79266015428 - Входящий звонок</t>
  </si>
  <si>
    <t>+7 927 746-94-39 - Открытая линия Левша</t>
  </si>
  <si>
    <t>+7 927 746-94-39</t>
  </si>
  <si>
    <t>79171172600 - Входящий звонок</t>
  </si>
  <si>
    <t>ПДР Мерседес</t>
  </si>
  <si>
    <t>79023723649 - Входящий звонок</t>
  </si>
  <si>
    <t xml:space="preserve">PDR MAZDA 3 </t>
  </si>
  <si>
    <t>Антоха</t>
  </si>
  <si>
    <t>79171563195 - Входящий звонок</t>
  </si>
  <si>
    <t>79376554131 - Входящий звонок</t>
  </si>
  <si>
    <t>+7 929 705-33-13</t>
  </si>
  <si>
    <t>79276854514 - Входящий звонок</t>
  </si>
  <si>
    <t>79276871119 - Исходящий звонок</t>
  </si>
  <si>
    <t>79874473326 - Входящий звонок</t>
  </si>
  <si>
    <t>79270086555 - Входящий звонок</t>
  </si>
  <si>
    <t>79272043301 - Входящий звонок</t>
  </si>
  <si>
    <t>79608224192 - Входящий звонок</t>
  </si>
  <si>
    <t>79278982220 - Входящий звонок</t>
  </si>
  <si>
    <t xml:space="preserve">полировка дефекта </t>
  </si>
  <si>
    <t>Тимур - Открытая линия Левша</t>
  </si>
  <si>
    <t>79276177649 - Входящий звонок</t>
  </si>
  <si>
    <t>Олег Кобальт - Открытая линия Левша</t>
  </si>
  <si>
    <t>Кобальт</t>
  </si>
  <si>
    <t>79278944000 - Входящий звонок</t>
  </si>
  <si>
    <t>79276005696 - Входящий звонок</t>
  </si>
  <si>
    <t>79171138826 - Входящий звонок</t>
  </si>
  <si>
    <t>79991589158 - Входящий звонок</t>
  </si>
  <si>
    <t>79269211427 - Входящий звонок</t>
  </si>
  <si>
    <t>79991589089 - Входящий звонок</t>
  </si>
  <si>
    <t>79276555366 - Входящий звонок</t>
  </si>
  <si>
    <t>78469533118 - Входящий звонок</t>
  </si>
  <si>
    <t>79370711300 - Входящий звонок</t>
  </si>
  <si>
    <t>79061268643 - Входящий звонок</t>
  </si>
  <si>
    <t>79879276797 - Входящий звонок</t>
  </si>
  <si>
    <t>Tim</t>
  </si>
  <si>
    <t>ПДР, виниловая пленка</t>
  </si>
  <si>
    <t>79372004312 - Входящий звонок</t>
  </si>
  <si>
    <t>Дмитрий г.Самара - Открытая линия Левша</t>
  </si>
  <si>
    <t>79177592683 - Входящий звонок</t>
  </si>
  <si>
    <t>79277036851 - Входящий звонок</t>
  </si>
  <si>
    <t>79276044974 - Входящий звонок</t>
  </si>
  <si>
    <t>Румиль Еркалиев - Открытая линия Левша</t>
  </si>
  <si>
    <t>Румиль</t>
  </si>
  <si>
    <t>Еркалиев</t>
  </si>
  <si>
    <t>79270076669 - Входящий звонок</t>
  </si>
  <si>
    <t>79277682901 - Входящий звонок</t>
  </si>
  <si>
    <t>79276884399 - Входящий звонок</t>
  </si>
  <si>
    <t>79053030277 - Исходящий звонок</t>
  </si>
  <si>
    <t>79270217035 - Входящий звонок</t>
  </si>
  <si>
    <t>79967378758 - Исходящий звонок</t>
  </si>
  <si>
    <t>Павел Балышев - Открытая линия Левша</t>
  </si>
  <si>
    <t>Балышев</t>
  </si>
  <si>
    <t>выпрямление вмятин без</t>
  </si>
  <si>
    <t>79879228099 - Входящий звонок</t>
  </si>
  <si>
    <t>79967378758 - Входящий звонок</t>
  </si>
  <si>
    <t>79879090063 - Входящий звонок</t>
  </si>
  <si>
    <t>79270037200 - Входящий звонок</t>
  </si>
  <si>
    <t>РД - Открытая линия Левша</t>
  </si>
  <si>
    <t>РД</t>
  </si>
  <si>
    <t>79871514383 - Исходящий звонок</t>
  </si>
  <si>
    <t>79061266823 - Входящий звонок</t>
  </si>
  <si>
    <t xml:space="preserve">Данила </t>
  </si>
  <si>
    <t>79874326277 - Входящий звонок</t>
  </si>
  <si>
    <t>79270011316 - Входящий звонок</t>
  </si>
  <si>
    <t>79276957986 - Входящий звонок</t>
  </si>
  <si>
    <t>79371780039 - Входящий звонок</t>
  </si>
  <si>
    <t>78462071573 - Входящий звонок</t>
  </si>
  <si>
    <t>79277486608 - Входящий звонок</t>
  </si>
  <si>
    <t>79061257397 - Входящий звонок</t>
  </si>
  <si>
    <t>79613805105 - Входящий звонок</t>
  </si>
  <si>
    <t>79276148713 - Входящий звонок</t>
  </si>
  <si>
    <t>79135578007 - Входящий звонок</t>
  </si>
  <si>
    <t>79276924282 - Входящий звонок</t>
  </si>
  <si>
    <t>Серега Ахвердян - Открытая линия Левша</t>
  </si>
  <si>
    <t>Ахвердян</t>
  </si>
  <si>
    <t xml:space="preserve">Камила </t>
  </si>
  <si>
    <t>79371797877 - Исходящий звонок</t>
  </si>
  <si>
    <t>79179538837 - Исходящий звонок</t>
  </si>
  <si>
    <t>79871615741 - Исходящий звонок</t>
  </si>
  <si>
    <t>79198005421 - Входящий звонок</t>
  </si>
  <si>
    <t>79376594969 - Входящий звонок</t>
  </si>
  <si>
    <t>79874301415 - Входящий звонок</t>
  </si>
  <si>
    <t>79276081906 - Входящий звонок</t>
  </si>
  <si>
    <t>79277175446 - Входящий звонок</t>
  </si>
  <si>
    <t>79270098822 - Входящий звонок</t>
  </si>
  <si>
    <t>79379888308 - Входящий звонок</t>
  </si>
  <si>
    <t>79171026822 - Входящий звонок</t>
  </si>
  <si>
    <t>79277734634 - Входящий звонок</t>
  </si>
  <si>
    <t>79277066733 - Входящий звонок</t>
  </si>
  <si>
    <t>79277584843 - Входящий звонок</t>
  </si>
  <si>
    <t>79297166242 - Входящий звонок</t>
  </si>
  <si>
    <t>79171095117 - Входящий звонок</t>
  </si>
  <si>
    <t>79879806260 - Входящий звонок</t>
  </si>
  <si>
    <t>79370632992 - Входящий звонок</t>
  </si>
  <si>
    <t>79371746877 - Исходящий звонок</t>
  </si>
  <si>
    <t>79277393480 - Входящий звонок</t>
  </si>
  <si>
    <t>Дмитрий Ермолаев - Открытая линия Левша</t>
  </si>
  <si>
    <t>Ермолаев</t>
  </si>
  <si>
    <t>79272968543 - Входящий звонок</t>
  </si>
  <si>
    <t>79871512136 - Входящий звонок</t>
  </si>
  <si>
    <t>Светлана Шишова - Открытая линия Левша</t>
  </si>
  <si>
    <t>Шишова</t>
  </si>
  <si>
    <t>79277583009 - Входящий звонок</t>
  </si>
  <si>
    <t>78463368625 - Входящий звонок</t>
  </si>
  <si>
    <t>79063433310 - Входящий звонок</t>
  </si>
  <si>
    <t>79377962555 - Входящий звонок</t>
  </si>
  <si>
    <t>+7 919 807-81-31 - Открытая линия Левша</t>
  </si>
  <si>
    <t>+7 919 807-81-31</t>
  </si>
  <si>
    <t>79639110022 - Входящий звонок</t>
  </si>
  <si>
    <t>79379813955 - Входящий звонок</t>
  </si>
  <si>
    <t>79379880949 - Входящий звонок</t>
  </si>
  <si>
    <t>79277893111 - Входящий звонок</t>
  </si>
  <si>
    <t>79879155524 - Входящий звонок</t>
  </si>
  <si>
    <t>79279008888 - Входящий звонок</t>
  </si>
  <si>
    <t>79033031246 - Входящий звонок</t>
  </si>
  <si>
    <t>79297075153 - Входящий звонок</t>
  </si>
  <si>
    <t>79171483881 - Входящий звонок</t>
  </si>
  <si>
    <t>химчистка, покраска бамперов</t>
  </si>
  <si>
    <t>79376531220 - Входящий звонок</t>
  </si>
  <si>
    <t>79276922838 - Входящий звонок</t>
  </si>
  <si>
    <t>79379944833 - Входящий звонок</t>
  </si>
  <si>
    <t>79024963000 - Входящий звонок</t>
  </si>
  <si>
    <t>Макс Покровский - Открытая линия Левша</t>
  </si>
  <si>
    <t>Покровский</t>
  </si>
  <si>
    <t>79866660163 - Входящий звонок</t>
  </si>
  <si>
    <t>79171654113 - Входящий звонок</t>
  </si>
  <si>
    <t>79379950597 - Входящий звонок</t>
  </si>
  <si>
    <t>Maksim - Открытая линия Левша</t>
  </si>
  <si>
    <t>aleksandrgajnutdinov663 - Открытая линия Левша</t>
  </si>
  <si>
    <t>aleksandrgajnutdinov663</t>
  </si>
  <si>
    <t>мойка, химчистка, пдр, дефекты</t>
  </si>
  <si>
    <t>Alexander - Открытая линия Левша</t>
  </si>
  <si>
    <t>79276570033 - Входящий звонок</t>
  </si>
  <si>
    <t>79171442229 - Входящий звонок</t>
  </si>
  <si>
    <t>79277353097 - Входящий звонок</t>
  </si>
  <si>
    <t>79171011828 - Входящий звонок</t>
  </si>
  <si>
    <t>79277152866 - Входящий звонок</t>
  </si>
  <si>
    <t>79270111135 - Входящий звонок</t>
  </si>
  <si>
    <t>79272639481 - Входящий звонок</t>
  </si>
  <si>
    <t>79272626305 - Входящий звонок</t>
  </si>
  <si>
    <t>79170327416 - Входящий звонок</t>
  </si>
  <si>
    <t>Мария Субботина - Открытая линия Левша</t>
  </si>
  <si>
    <t>Субботина</t>
  </si>
  <si>
    <t>text_bs1</t>
  </si>
  <si>
    <t>вмятина порог</t>
  </si>
  <si>
    <t>Алексей Святов - Открытая линия Левша</t>
  </si>
  <si>
    <t>Святов</t>
  </si>
  <si>
    <t>78462797915 - Входящий звонок</t>
  </si>
  <si>
    <t>79879467955 - Входящий звонок</t>
  </si>
  <si>
    <t>79277040897 - Входящий звонок</t>
  </si>
  <si>
    <t>79272984800 - Входящий звонок</t>
  </si>
  <si>
    <t>Самарсикй</t>
  </si>
  <si>
    <t>79270266285 - Входящий звонок</t>
  </si>
  <si>
    <t>Виталий Семенов - Открытая линия Левша</t>
  </si>
  <si>
    <t>79277180760 - Входящий звонок</t>
  </si>
  <si>
    <t>устранение вмятин на автомобиле без покраски цена</t>
  </si>
  <si>
    <t>Алексей Редкокашин - Открытая линия Левша</t>
  </si>
  <si>
    <t>Редкокашин</t>
  </si>
  <si>
    <t>Дмтриц</t>
  </si>
  <si>
    <t>Дима - Открытая линия Левша</t>
  </si>
  <si>
    <t>выпрямление вмятины крыла</t>
  </si>
  <si>
    <t>Скол</t>
  </si>
  <si>
    <t>79047319276 - Входящий звонок</t>
  </si>
  <si>
    <t>79277412850 - Входящий звонок</t>
  </si>
  <si>
    <t>PDR, полировка деффекта</t>
  </si>
  <si>
    <t>Баранкин</t>
  </si>
  <si>
    <t>79170144407 - Входящий звонок</t>
  </si>
  <si>
    <t>79279007374 - Входящий звонок</t>
  </si>
  <si>
    <t>Анлрей</t>
  </si>
  <si>
    <t>79276893065 - Входящий звонок</t>
  </si>
  <si>
    <t>79874491467 - Входящий звонок</t>
  </si>
  <si>
    <t>79277340885 - Входящий звонок</t>
  </si>
  <si>
    <t>PDR (Оценка)</t>
  </si>
  <si>
    <t>Sofia</t>
  </si>
  <si>
    <t>M.</t>
  </si>
  <si>
    <t>79371754106 - Входящий звонок</t>
  </si>
  <si>
    <t>PDR (Чат)</t>
  </si>
  <si>
    <t>Андрей Грачёв - Открытая линия Левша</t>
  </si>
  <si>
    <t>Грачёв</t>
  </si>
  <si>
    <t>79171654907 - Входящий звонок</t>
  </si>
  <si>
    <t>79371742425 - Входящий звонок</t>
  </si>
  <si>
    <t>79171626177 - Входящий звонок</t>
  </si>
  <si>
    <t>79277374317 - Входящий звонок</t>
  </si>
  <si>
    <t>79379903002 - Входящий звонок</t>
  </si>
  <si>
    <t>79879810006 - Входящий звонок</t>
  </si>
  <si>
    <t>79272083158 - Входящий звонок</t>
  </si>
  <si>
    <t>79171404186 - Входящий звонок</t>
  </si>
  <si>
    <t>79871583005 - Входящий звонок</t>
  </si>
  <si>
    <t>79879805470 - Входящий звонок</t>
  </si>
  <si>
    <t>79372090979 - Входящий звонок</t>
  </si>
  <si>
    <t>+7 937 209-09-79</t>
  </si>
  <si>
    <t>79277436278 - Входящий звонок</t>
  </si>
  <si>
    <t>79372070040 - Входящий звонок</t>
  </si>
  <si>
    <t>PDR 30.09.2022</t>
  </si>
  <si>
    <t>79277226012 - Входящий звонок</t>
  </si>
  <si>
    <t>ПДР 15.09.22</t>
  </si>
  <si>
    <t>79063472828 - Входящий звонок</t>
  </si>
  <si>
    <t>79276089509 - Входящий звонок</t>
  </si>
  <si>
    <t>79377974577 - Входящий звонок</t>
  </si>
  <si>
    <t>79608312233 - Входящий звонок</t>
  </si>
  <si>
    <t>79871657862 - Входящий звонок</t>
  </si>
  <si>
    <t>79270194895 - Входящий звонок</t>
  </si>
  <si>
    <t>79871689553 - Входящий звонок</t>
  </si>
  <si>
    <t>79272044827 - Входящий звонок</t>
  </si>
  <si>
    <t>78463132052 - Входящий звонок</t>
  </si>
  <si>
    <t>79879260001 - Входящий звонок</t>
  </si>
  <si>
    <t>79608286540 - Входящий звонок</t>
  </si>
  <si>
    <t>79376405638 - Входящий звонок</t>
  </si>
  <si>
    <t>79377932111 - Входящий звонок</t>
  </si>
  <si>
    <t>+7 927 619-92-22 - Открытая линия Левша</t>
  </si>
  <si>
    <t>+7 927 619-92-22</t>
  </si>
  <si>
    <t>СЕРГЕЙ</t>
  </si>
  <si>
    <t>79276199222 - Входящий звонок</t>
  </si>
  <si>
    <t>79033045443 - Входящий звонок</t>
  </si>
  <si>
    <t>79276917033 - Входящий звонок</t>
  </si>
  <si>
    <t>79276067201 - Входящий звонок</t>
  </si>
  <si>
    <t>79023207779 - Входящий звонок</t>
  </si>
  <si>
    <t>79297067707 - Входящий звонок</t>
  </si>
  <si>
    <t>79608337388 - Входящий звонок</t>
  </si>
  <si>
    <t>79277819191 - Входящий звонок</t>
  </si>
  <si>
    <t>Dmitry Mityaev - Открытая линия Левша</t>
  </si>
  <si>
    <t>Митяев Дмитрий Сергеевич</t>
  </si>
  <si>
    <t>79270175095 - Входящий звонок</t>
  </si>
  <si>
    <t>79023750032 - Входящий звонок</t>
  </si>
  <si>
    <t>79279069006 - Входящий звонок</t>
  </si>
  <si>
    <t>79272003424 - Входящий звонок</t>
  </si>
  <si>
    <t>PDR на 30.08.2022</t>
  </si>
  <si>
    <t>79093422511 - Входящий звонок</t>
  </si>
  <si>
    <t>79371817282 - Входящий звонок</t>
  </si>
  <si>
    <t>79991711776 - Входящий звонок</t>
  </si>
  <si>
    <t>79270119840 - Входящий звонок</t>
  </si>
  <si>
    <t>99 - Открытая линия Левша</t>
  </si>
  <si>
    <t>79276922228 - Входящий звонок</t>
  </si>
  <si>
    <t>79649871148 - Входящий звонок</t>
  </si>
  <si>
    <t>Константин Ильенко - Открытая линия Левша</t>
  </si>
  <si>
    <t>Nissan</t>
  </si>
  <si>
    <t>X-trail</t>
  </si>
  <si>
    <t>79377975816 - Входящий звонок</t>
  </si>
  <si>
    <t>Серега - Открытая линия Левша</t>
  </si>
  <si>
    <t>+7 927 604-24-45 - Открытая линия Левша</t>
  </si>
  <si>
    <t>+7 927 604-24-45</t>
  </si>
  <si>
    <t>79023681638 - Входящий звонок</t>
  </si>
  <si>
    <t>79879775882 - Входящий звонок</t>
  </si>
  <si>
    <t>79171630737 - Входящий звонок</t>
  </si>
  <si>
    <t>79198080845 - Входящий звонок</t>
  </si>
  <si>
    <t>Анатолий Анисимов - Открытая линия Левша</t>
  </si>
  <si>
    <t>Анисимов</t>
  </si>
  <si>
    <t>78463033836 - Входящий звонок</t>
  </si>
  <si>
    <t>79277010913 - Входящий звонок</t>
  </si>
  <si>
    <t>79372037789 - Входящий звонок</t>
  </si>
  <si>
    <t>79033045832 - Входящий звонок</t>
  </si>
  <si>
    <t>79279083572 - Входящий звонок</t>
  </si>
  <si>
    <t>79967266220 - Входящий звонок</t>
  </si>
  <si>
    <t>79124323689 - Входящий звонок</t>
  </si>
  <si>
    <t>79277772774 - Входящий звонок</t>
  </si>
  <si>
    <t>Червоня</t>
  </si>
  <si>
    <t>79371785406 - Входящий звонок</t>
  </si>
  <si>
    <t>79608113754 - Входящий звонок</t>
  </si>
  <si>
    <t>Галина - Открытая линия Левша</t>
  </si>
  <si>
    <t>Галина</t>
  </si>
  <si>
    <t>79967200560 - Входящий звонок</t>
  </si>
  <si>
    <t>79991709994 - Входящий звонок</t>
  </si>
  <si>
    <t>79276583043 - Входящий звонок</t>
  </si>
  <si>
    <t>79608264020 - Входящий звонок</t>
  </si>
  <si>
    <t>79023753159 - Входящий звонок</t>
  </si>
  <si>
    <t>79171036004 - Входящий звонок</t>
  </si>
  <si>
    <t>78463324663 - Входящий звонок</t>
  </si>
  <si>
    <t>78462767642 - Входящий звонок</t>
  </si>
  <si>
    <t>79817622013 - Входящий звонок</t>
  </si>
  <si>
    <t>79170309797 - Входящий звонок</t>
  </si>
  <si>
    <t>79277055555 - Входящий звонок</t>
  </si>
  <si>
    <t>79276032584 - Входящий звонок</t>
  </si>
  <si>
    <t>79171155001 - Входящий звонок</t>
  </si>
  <si>
    <t>79272031820 - Входящий звонок</t>
  </si>
  <si>
    <t>79677645059 - Входящий звонок</t>
  </si>
  <si>
    <t>79171051189 - Входящий звонок</t>
  </si>
  <si>
    <t>Федор Юрьевич - Открытая линия Левша</t>
  </si>
  <si>
    <t>Федор</t>
  </si>
  <si>
    <t>79276880881 - Входящий звонок</t>
  </si>
  <si>
    <t>79171173940 - Входящий звонок</t>
  </si>
  <si>
    <t>79178127776 - Входящий звонок</t>
  </si>
  <si>
    <t>79272034269 - Входящий звонок</t>
  </si>
  <si>
    <t>Korshunov</t>
  </si>
  <si>
    <t>79276880752 - Входящий звонок</t>
  </si>
  <si>
    <t>79198468888 - Входящий звонок</t>
  </si>
  <si>
    <t>79277375444 - Входящий звонок</t>
  </si>
  <si>
    <t>79608177117 - Входящий звонок</t>
  </si>
  <si>
    <t>79379920909 - Входящий звонок</t>
  </si>
  <si>
    <t>79023728085 - Входящий звонок</t>
  </si>
  <si>
    <t>Удаление вмятины</t>
  </si>
  <si>
    <t>79276009155 - Входящий звонок</t>
  </si>
  <si>
    <t xml:space="preserve">Удаление вмятины </t>
  </si>
  <si>
    <t>Makarskiy</t>
  </si>
  <si>
    <t>79879050912 - Входящий звонок</t>
  </si>
  <si>
    <t>79873457987 - Входящий звонок</t>
  </si>
  <si>
    <t>79061251818 - Входящий звонок</t>
  </si>
  <si>
    <t>+7 927 007-08-01 - Открытая линия Левша</t>
  </si>
  <si>
    <t>+7 927 007-08-01</t>
  </si>
  <si>
    <t>Настёна Аскерова - Открытая линия Левша</t>
  </si>
  <si>
    <t>Настёна</t>
  </si>
  <si>
    <t>Аскерова</t>
  </si>
  <si>
    <t>78463720069 - Входящий звонок</t>
  </si>
  <si>
    <t>79370710868 - Входящий звонок</t>
  </si>
  <si>
    <t>79371751601 - Входящий звонок</t>
  </si>
  <si>
    <t>+7 927 686-47-67 - Открытая линия Левша</t>
  </si>
  <si>
    <t>+7 927 686-47-67</t>
  </si>
  <si>
    <t>выпрямление вмятин</t>
  </si>
  <si>
    <t>79053001333 - Входящий звонок</t>
  </si>
  <si>
    <t>79277452325 - Входящий звонок</t>
  </si>
  <si>
    <t>79608259695 - Входящий звонок</t>
  </si>
  <si>
    <t>79371765560 - Входящий звонок</t>
  </si>
  <si>
    <t>79225394718 - Входящий звонок</t>
  </si>
  <si>
    <t>79277037804 - Входящий звонок</t>
  </si>
  <si>
    <t>79063411317 - Входящий звонок</t>
  </si>
  <si>
    <t>79608081859 - Входящий звонок</t>
  </si>
  <si>
    <t>79023223010 - Входящий звонок</t>
  </si>
  <si>
    <t>Dmitry - Открытая линия Левша</t>
  </si>
  <si>
    <t>79063441492 - Входящий звонок</t>
  </si>
  <si>
    <t>79171600194 - Входящий звонок</t>
  </si>
  <si>
    <t>Ремонт вмятины</t>
  </si>
  <si>
    <t>79277725433 - Входящий звонок</t>
  </si>
  <si>
    <t>+7 927 772-54-33</t>
  </si>
  <si>
    <t>Агент ноль ноль семь - Открытая линия Левша</t>
  </si>
  <si>
    <t>Агент ноль ноль семь</t>
  </si>
  <si>
    <t>79277460393 - Входящий звонок</t>
  </si>
  <si>
    <t>79277100235 - Входящий звонок</t>
  </si>
  <si>
    <t>олег</t>
  </si>
  <si>
    <t>79370780221 - Входящий звонок</t>
  </si>
  <si>
    <t>79276146114 - Входящий звонок</t>
  </si>
  <si>
    <t>79397599439 - Входящий звонок</t>
  </si>
  <si>
    <t>79372099507 - Входящий звонок</t>
  </si>
  <si>
    <t>Yulia - Открытая линия Левша</t>
  </si>
  <si>
    <t>Yulia</t>
  </si>
  <si>
    <t>79270176820 - Входящий звонок</t>
  </si>
  <si>
    <t>+7 987 152-90-95 - Открытая линия Левша</t>
  </si>
  <si>
    <t>+7 987 152-90-95</t>
  </si>
  <si>
    <t>Виталий Аутлендер - Открытая линия Левша</t>
  </si>
  <si>
    <t>виталий</t>
  </si>
  <si>
    <t>Аутлендер</t>
  </si>
  <si>
    <t>79178166322 - Входящий звонок</t>
  </si>
  <si>
    <t>79639149351 - Входящий звонок</t>
  </si>
  <si>
    <t>79178145104 - Входящий звонок</t>
  </si>
  <si>
    <t>79306933570 - Входящий звонок</t>
  </si>
  <si>
    <t>79270004477 - Входящий звонок</t>
  </si>
  <si>
    <t>79376502588 - Входящий звонок</t>
  </si>
  <si>
    <t>79270070801 - Входящий звонок</t>
  </si>
  <si>
    <t>79372322293 - Входящий звонок</t>
  </si>
  <si>
    <t>79992858989 - Входящий звонок</t>
  </si>
  <si>
    <t>79023716719 - Входящий звонок</t>
  </si>
  <si>
    <t>79277004704 - Входящий звонок</t>
  </si>
  <si>
    <t>79372060353 - Входящий звонок</t>
  </si>
  <si>
    <t>79272960215 - Входящий звонок</t>
  </si>
  <si>
    <t>78462782124 - Входящий звонок</t>
  </si>
  <si>
    <t>79170170101 - Входящий звонок</t>
  </si>
  <si>
    <t>79173465214 - Входящий звонок</t>
  </si>
  <si>
    <t>79608084909 - Входящий звонок</t>
  </si>
  <si>
    <t>79277018165 - Входящий звонок</t>
  </si>
  <si>
    <t>79270133432 - Входящий звонок</t>
  </si>
  <si>
    <t>Вячеслав Головачев - Открытая линия Левша</t>
  </si>
  <si>
    <t>Головачев</t>
  </si>
  <si>
    <t>79379993289 - Входящий звонок</t>
  </si>
  <si>
    <t>Ч</t>
  </si>
  <si>
    <t>PDR не оценку 6.07</t>
  </si>
  <si>
    <t>79276163331 - Входящий звонок</t>
  </si>
  <si>
    <t>79376440440 - Входящий звонок</t>
  </si>
  <si>
    <t>79639114244 - Входящий звонок</t>
  </si>
  <si>
    <t>Денис Краймов - Открытая линия Левша</t>
  </si>
  <si>
    <t>Краймов</t>
  </si>
  <si>
    <t>Оценка PDR суббота 9.07</t>
  </si>
  <si>
    <t>+7 937 994-19-80</t>
  </si>
  <si>
    <t>78464626400 - Входящий звонок</t>
  </si>
  <si>
    <t>79371777996 - Входящий звонок</t>
  </si>
  <si>
    <t>химчистка</t>
  </si>
  <si>
    <t xml:space="preserve">Мансур </t>
  </si>
  <si>
    <t>79276072845 - Входящий звонок</t>
  </si>
  <si>
    <t>Жданов</t>
  </si>
  <si>
    <t>79371813590 - Входящий звонок</t>
  </si>
  <si>
    <t>79171122110 - Входящий звонок</t>
  </si>
  <si>
    <t>Кристина - Открытая линия Левша</t>
  </si>
  <si>
    <t>29.06.2022</t>
  </si>
  <si>
    <t>79277379920 - Входящий звонок</t>
  </si>
  <si>
    <t>79277453062 - Входящий звонок</t>
  </si>
  <si>
    <t>79276000324 - Входящий звонок</t>
  </si>
  <si>
    <t>25.06.2022</t>
  </si>
  <si>
    <t>79272134533 - Входящий звонок</t>
  </si>
  <si>
    <t>79270014876 - Входящий звонок</t>
  </si>
  <si>
    <t>79279019915 - Входящий звонок</t>
  </si>
  <si>
    <t>79171504043 - Входящий звонок</t>
  </si>
  <si>
    <t>79270001202 - Входящий звонок</t>
  </si>
  <si>
    <t>79198054624 - Входящий звонок</t>
  </si>
  <si>
    <t>79170190136 - Входящий звонок</t>
  </si>
  <si>
    <t>79179467225 - Входящий звонок</t>
  </si>
  <si>
    <t>79063407797 - Входящий звонок</t>
  </si>
  <si>
    <t>22.06.2022</t>
  </si>
  <si>
    <t>79276020458 - Входящий звонок</t>
  </si>
  <si>
    <t>Антон Громов - Открытая линия Левша</t>
  </si>
  <si>
    <t>Громов</t>
  </si>
  <si>
    <t>ремонт вмятин без покраски цена</t>
  </si>
  <si>
    <t>79370787370 - Входящий звонок</t>
  </si>
  <si>
    <t>slava402 - Открытая линия Левша</t>
  </si>
  <si>
    <t>slava402</t>
  </si>
  <si>
    <t>74952213652 - Входящий звонок</t>
  </si>
  <si>
    <t>Михаил Башкиров - Открытая линия Левша</t>
  </si>
  <si>
    <t>Башкиров</t>
  </si>
  <si>
    <t>19.06.2022</t>
  </si>
  <si>
    <t>18.06.2022</t>
  </si>
  <si>
    <t>79297000570 - Исходящий звонок</t>
  </si>
  <si>
    <t>79322484573 - Входящий звонок</t>
  </si>
  <si>
    <t>79270195353 - Входящий звонок</t>
  </si>
  <si>
    <t>Поло PDR на 16.06</t>
  </si>
  <si>
    <t>79178155527 - Входящий звонок</t>
  </si>
  <si>
    <t>+7 917 951-79-24 - Открытая линия Левша</t>
  </si>
  <si>
    <t>+7 917 951-79-24</t>
  </si>
  <si>
    <t>79371864488 - Входящий звонок</t>
  </si>
  <si>
    <t>14.06.2022</t>
  </si>
  <si>
    <t>79277512248 - Входящий звонок</t>
  </si>
  <si>
    <t>79276560606 - Входящий звонок</t>
  </si>
  <si>
    <t>79376515509 - Исходящий звонок</t>
  </si>
  <si>
    <t>Ремонт вмятин без покраски</t>
  </si>
  <si>
    <t>79994460886 - Входящий звонок</t>
  </si>
  <si>
    <t>Brown</t>
  </si>
  <si>
    <t>78462673779 - Входящий звонок</t>
  </si>
  <si>
    <t>79093707447 - Входящий звонок</t>
  </si>
  <si>
    <t>Татьяна - Открытая линия Левша</t>
  </si>
  <si>
    <t>78462673776 - Входящий звонок</t>
  </si>
  <si>
    <t>+7 919 812-38-86 - Открытая линия Левша</t>
  </si>
  <si>
    <t>+7 919 812-38-86</t>
  </si>
  <si>
    <t>79376554323 - Входящий звонок</t>
  </si>
  <si>
    <t>Вадим Рябов - Открытая линия Левша</t>
  </si>
  <si>
    <t>Рябов</t>
  </si>
  <si>
    <t>79171588391 - Входящий звонок</t>
  </si>
  <si>
    <t>МНЕ КАК ЭТО ОБРАБАТЫВАТЬ???</t>
  </si>
  <si>
    <t>79370611959 - Исходящий звонок</t>
  </si>
  <si>
    <t>79991599800 - Входящий звонок</t>
  </si>
  <si>
    <t>79171623447 - Входящий звонок</t>
  </si>
  <si>
    <t>79370686365 - Исходящий звонок</t>
  </si>
  <si>
    <t>79170110101 - Входящий звонок</t>
  </si>
  <si>
    <t>79379990684 - Входящий звонок</t>
  </si>
  <si>
    <t>79276005077 - Входящий звонок</t>
  </si>
  <si>
    <t>С</t>
  </si>
  <si>
    <t>79918358330 - Входящий звонок</t>
  </si>
  <si>
    <t>79272054230 - Входящий звонок</t>
  </si>
  <si>
    <t>Марк - Открытая линия Левша</t>
  </si>
  <si>
    <t>Марк</t>
  </si>
  <si>
    <t>79058444228 - Входящий звонок</t>
  </si>
  <si>
    <t>На связи 228</t>
  </si>
  <si>
    <t>79372091204 - Входящий звонок</t>
  </si>
  <si>
    <t>79021270500 - Исходящий звонок</t>
  </si>
  <si>
    <t>79376527771 - Входящий звонок</t>
  </si>
  <si>
    <t>Валерий Калинкин - Открытая линия Левша</t>
  </si>
  <si>
    <t>Калинкин</t>
  </si>
  <si>
    <t>79677628961 - Входящий звонок</t>
  </si>
  <si>
    <t>79272060810 - Входящий звонок</t>
  </si>
  <si>
    <t>Serg - Открытая линия Левша</t>
  </si>
  <si>
    <t>Serg</t>
  </si>
  <si>
    <t>79297052152 - Входящий звонок</t>
  </si>
  <si>
    <t>79277538670 - Входящий звонок</t>
  </si>
  <si>
    <t>79023712774 - Входящий звонок</t>
  </si>
  <si>
    <t>79297069173 - Входящий звонок</t>
  </si>
  <si>
    <t>Лид #33953</t>
  </si>
  <si>
    <t>79272069797 - Входящий звонок</t>
  </si>
  <si>
    <t>79297047514 - Входящий звонок</t>
  </si>
  <si>
    <t>79879582295 - Входящий звонок</t>
  </si>
  <si>
    <t>79370707443 - Входящий звонок</t>
  </si>
  <si>
    <t>79276162501 - Входящий звонок</t>
  </si>
  <si>
    <t>78469942383 - Входящий звонок</t>
  </si>
  <si>
    <t>79272627800 - Входящий звонок</t>
  </si>
  <si>
    <t>79376618459 - Входящий звонок</t>
  </si>
  <si>
    <t>79370634027 - Входящий звонок</t>
  </si>
  <si>
    <t>79874384465 - Входящий звонок</t>
  </si>
  <si>
    <t>79272099348 - Входящий звонок</t>
  </si>
  <si>
    <t>79047462122 - Входящий звонок</t>
  </si>
  <si>
    <t>79376529336 - Входящий звонок</t>
  </si>
  <si>
    <t>79038391625 - Входящий звонок</t>
  </si>
  <si>
    <t xml:space="preserve">Татьяна </t>
  </si>
  <si>
    <t>79677223272 - Входящий звонок</t>
  </si>
  <si>
    <t>79879180509 - Входящий звонок</t>
  </si>
  <si>
    <t>78469737003 - Входящий звонок</t>
  </si>
  <si>
    <t>79276905333 - Входящий звонок</t>
  </si>
  <si>
    <t>79874426167 - Входящий звонок</t>
  </si>
  <si>
    <t>Данил - Открытая линия Левша</t>
  </si>
  <si>
    <t>ВМятина</t>
  </si>
  <si>
    <t>79277636509 - Входящий звонок</t>
  </si>
  <si>
    <t>79272076490 - Входящий звонок</t>
  </si>
  <si>
    <t>Alexander Schultz - Открытая линия Левша</t>
  </si>
  <si>
    <t>Schultz</t>
  </si>
  <si>
    <t>79276506418 - Исходящий звонок</t>
  </si>
  <si>
    <t>79608112906 - Исходящий звонок</t>
  </si>
  <si>
    <t>79170111103 - Входящий звонок</t>
  </si>
  <si>
    <t>79033005452 - Входящий звонок</t>
  </si>
  <si>
    <t>Вмятина 11,05,22</t>
  </si>
  <si>
    <t>79277600396 - Входящий звонок</t>
  </si>
  <si>
    <t>Far - Открытая линия Левша</t>
  </si>
  <si>
    <t>Far</t>
  </si>
  <si>
    <t>79874449986 - Входящий звонок</t>
  </si>
  <si>
    <t>79272012200 - Входящий звонок</t>
  </si>
  <si>
    <t>ремонт вмятин</t>
  </si>
  <si>
    <t>———-/ - Открытая линия Левша</t>
  </si>
  <si>
    <t>солярис</t>
  </si>
  <si>
    <t>79608080844 - Входящий звонок</t>
  </si>
  <si>
    <t>79277502188 - Входящий звонок</t>
  </si>
  <si>
    <t>деффект ренек</t>
  </si>
  <si>
    <t>Stul-atlant Коленные Стулья - Открытая линия Левша</t>
  </si>
  <si>
    <t>Stul-atlant</t>
  </si>
  <si>
    <t>Коленные Стулья</t>
  </si>
  <si>
    <t>79179487456 - Входящий звонок</t>
  </si>
  <si>
    <t>79277439121 - Входящий звонок</t>
  </si>
  <si>
    <t>79277606566 - Входящий звонок</t>
  </si>
  <si>
    <t>Наталья Рузанова - Открытая линия Левша</t>
  </si>
  <si>
    <t>Рузанова</t>
  </si>
  <si>
    <t>79277346677 - Входящий звонок</t>
  </si>
  <si>
    <t>79649886052 - Входящий звонок</t>
  </si>
  <si>
    <t>АвтоC - Открытая линия Левша</t>
  </si>
  <si>
    <t>АвтоC</t>
  </si>
  <si>
    <t>79170389060 - Входящий звонок</t>
  </si>
  <si>
    <t>79277175207 - Входящий звонок</t>
  </si>
  <si>
    <t>79272037196 - Входящий звонок</t>
  </si>
  <si>
    <t>79272632584 - Входящий звонок</t>
  </si>
  <si>
    <t>79023749040 - Входящий звонок</t>
  </si>
  <si>
    <t>79179535423 - Входящий звонок</t>
  </si>
  <si>
    <t>79228300003 - Входящий звонок</t>
  </si>
  <si>
    <t>Максим Логвинов - Открытая линия Левша</t>
  </si>
  <si>
    <t>Логвинов</t>
  </si>
  <si>
    <t>79270063166 - Входящий звонок</t>
  </si>
  <si>
    <t>79179648601 - Входящий звонок</t>
  </si>
  <si>
    <t>79279070502 - Исходящий звонок</t>
  </si>
  <si>
    <t>+7 927 907-05-02 - Открытая линия Левша</t>
  </si>
  <si>
    <t>+7 927 907-05-02</t>
  </si>
  <si>
    <t>79277253559 - Входящий звонок</t>
  </si>
  <si>
    <t>79377910550 - Входящий звонок</t>
  </si>
  <si>
    <t>79879555171 - Входящий звонок</t>
  </si>
  <si>
    <t>✌️</t>
  </si>
  <si>
    <t>79279075587 - Входящий звонок</t>
  </si>
  <si>
    <t>79277387320 - Входящий звонок</t>
  </si>
  <si>
    <t>Максим Лукашкин - Открытая линия Левша</t>
  </si>
  <si>
    <t>Лукашкин</t>
  </si>
  <si>
    <t>79879838168 - Входящий звонок</t>
  </si>
  <si>
    <t>79093439246 - Входящий звонок</t>
  </si>
  <si>
    <t>79276340087 - Входящий звонок</t>
  </si>
  <si>
    <t>79171149880 - Входящий звонок</t>
  </si>
  <si>
    <t>79276920715 - Входящий звонок</t>
  </si>
  <si>
    <t>79023743881 - Входящий звонок</t>
  </si>
  <si>
    <t>79272181218 - Входящий звонок</t>
  </si>
  <si>
    <t>79272042726 - Входящий звонок</t>
  </si>
  <si>
    <t>Татьяна Иванова - Открытая линия Левша</t>
  </si>
  <si>
    <t>+7 927 207-65-91 - Открытая линия Левша</t>
  </si>
  <si>
    <t>+7 927 207-65-91</t>
  </si>
  <si>
    <t>79613865646 - Входящий звонок</t>
  </si>
  <si>
    <t>79277016946 - Входящий звонок</t>
  </si>
  <si>
    <t>79277633636 - Входящий звонок</t>
  </si>
  <si>
    <t>79198103842 - Входящий звонок</t>
  </si>
  <si>
    <t>79063467929 - Входящий звонок</t>
  </si>
  <si>
    <t>79276997729 - Входящий звонок</t>
  </si>
  <si>
    <t>Garry</t>
  </si>
  <si>
    <t>rio / 414</t>
  </si>
  <si>
    <t>79277815856 - Входящий звонок</t>
  </si>
  <si>
    <t>+7 927 781-58-56</t>
  </si>
  <si>
    <t>79272631600 - Входящий звонок</t>
  </si>
  <si>
    <t>79270090783 - Входящий звонок</t>
  </si>
  <si>
    <t>79649780530 - Входящий звонок</t>
  </si>
  <si>
    <t>+7 917 017-30-96 - Открытая линия Левша</t>
  </si>
  <si>
    <t>+7 917 017-30-96</t>
  </si>
  <si>
    <t>+7 937 071-49-17 - Открытая линия Левша</t>
  </si>
  <si>
    <t>+7 937 071-49-17</t>
  </si>
  <si>
    <t>+7 937 071-47-15 - Открытая линия Левша</t>
  </si>
  <si>
    <t>+7 937 071-47-15</t>
  </si>
  <si>
    <t>+7 927 719-87-84 - Открытая линия Левша</t>
  </si>
  <si>
    <t>+7 927 719-87-84</t>
  </si>
  <si>
    <t>79371001002 - Входящий звонок</t>
  </si>
  <si>
    <t>Игорь Низовой - Открытая линия Левша</t>
  </si>
  <si>
    <t>Низовой</t>
  </si>
  <si>
    <t>79376508524 - Входящий звонок</t>
  </si>
  <si>
    <t>79277474512 - Входящий звонок</t>
  </si>
  <si>
    <t>poisk_vmytina</t>
  </si>
  <si>
    <t>text_a</t>
  </si>
  <si>
    <t>вытянуть вмятину на машине без покраски</t>
  </si>
  <si>
    <t>79171588988 - Входящий звонок</t>
  </si>
  <si>
    <t>Денис Mazda cx-5</t>
  </si>
  <si>
    <t>Михаил KIA Cerato 4 BD</t>
  </si>
  <si>
    <t>Михаил  2106</t>
  </si>
  <si>
    <t>79279090910 - Входящий звонок</t>
  </si>
  <si>
    <t>79272010248 - Входящий звонок</t>
  </si>
  <si>
    <t>79679200059 - Входящий звонок</t>
  </si>
  <si>
    <t>79277974786 - Входящий звонок</t>
  </si>
  <si>
    <t>79277198784 - Входящий звонок</t>
  </si>
  <si>
    <t>79370714715 - Входящий звонок</t>
  </si>
  <si>
    <t>+7 939 754-40-74</t>
  </si>
  <si>
    <t>79879116834 - Входящий звонок</t>
  </si>
  <si>
    <t>Сергей Олегович - Открытая линия Левша</t>
  </si>
  <si>
    <t>Олегович</t>
  </si>
  <si>
    <t>79967480598 - Входящий звонок</t>
  </si>
  <si>
    <t xml:space="preserve">Игорь Лексус </t>
  </si>
  <si>
    <t>79170173096 - Входящий звонок</t>
  </si>
  <si>
    <t>79170135960 - Входящий звонок</t>
  </si>
  <si>
    <t>79276930009 - Входящий звонок</t>
  </si>
  <si>
    <t>79279037432 - Входящий звонок</t>
  </si>
  <si>
    <t>79277345109 - Входящий звонок</t>
  </si>
  <si>
    <t>79879543393 - Входящий звонок</t>
  </si>
  <si>
    <t>79276858869 - Входящий звонок</t>
  </si>
  <si>
    <t>79871693610 - Исходящий звонок</t>
  </si>
  <si>
    <t>79276862948 - Входящий звонок</t>
  </si>
  <si>
    <t>Ира</t>
  </si>
  <si>
    <t>79270128976 - Входящий звонок</t>
  </si>
  <si>
    <t>Эльвир</t>
  </si>
  <si>
    <t>приедет на оценку пдр</t>
  </si>
  <si>
    <t>79021547247 - Входящий звонок</t>
  </si>
  <si>
    <t>79277600118 - Входящий звонок</t>
  </si>
  <si>
    <t>79178199046 - Входящий звонок</t>
  </si>
  <si>
    <t>79376644777 - Входящий звонок</t>
  </si>
  <si>
    <t>79277129369 - Входящий звонок</t>
  </si>
  <si>
    <t>79272945299 - Входящий звонок</t>
  </si>
  <si>
    <t>79370693334 - Входящий звонок</t>
  </si>
  <si>
    <t>79276957222 - Входящий звонок</t>
  </si>
  <si>
    <t>АНДРЕЙ</t>
  </si>
  <si>
    <t>79608249940 - Входящий звонок</t>
  </si>
  <si>
    <t>Павел Васильевич Плотников Renaut Logan</t>
  </si>
  <si>
    <t>79608150402 - Входящий звонок</t>
  </si>
  <si>
    <t>79271199293 - Входящий звонок</t>
  </si>
  <si>
    <t xml:space="preserve">Евгений Каргин </t>
  </si>
  <si>
    <t>Алексей Ноздрачев - Открытая линия Левша</t>
  </si>
  <si>
    <t>Ноздрачев</t>
  </si>
  <si>
    <t>79272064335 - Входящий звонок</t>
  </si>
  <si>
    <t>79171029656 - Входящий звонок</t>
  </si>
  <si>
    <t>Starkov</t>
  </si>
  <si>
    <t>79272681758 - Исходящий звонок</t>
  </si>
  <si>
    <t>79277147572 - Входящий звонок</t>
  </si>
  <si>
    <t>79270154585 - Входящий звонок</t>
  </si>
  <si>
    <t>79885059579 - Входящий звонок</t>
  </si>
  <si>
    <t>79874410541 - Входящий звонок</t>
  </si>
  <si>
    <t>79171019770 - Входящий звонок</t>
  </si>
  <si>
    <t>79171475527 - Входящий звонок</t>
  </si>
  <si>
    <t>79277136130 - Входящий звонок</t>
  </si>
  <si>
    <t>79649919730 - Входящий звонок</t>
  </si>
  <si>
    <t>79276512790 - Входящий звонок</t>
  </si>
  <si>
    <t>79277557855 - Входящий звонок</t>
  </si>
  <si>
    <t>Armen - Открытая линия Левша</t>
  </si>
  <si>
    <t>Армен Nisan juke</t>
  </si>
  <si>
    <t>79173289232 - Входящий звонок</t>
  </si>
  <si>
    <t>79277412000 - Входящий звонок</t>
  </si>
  <si>
    <t>79277460610 - Входящий звонок</t>
  </si>
  <si>
    <t>Алексей GLS т555ар</t>
  </si>
  <si>
    <t>78462797716 - Входящий звонок</t>
  </si>
  <si>
    <t>79276099785 - Входящий звонок</t>
  </si>
  <si>
    <t>Наталья Горюхина - Открытая линия Левша</t>
  </si>
  <si>
    <t>Горюхина</t>
  </si>
  <si>
    <t>Евгений Nissan Note</t>
  </si>
  <si>
    <t>Землянкин Сергей - Открытая линия Левша</t>
  </si>
  <si>
    <t>Землянкин</t>
  </si>
  <si>
    <t>79224617102 - Входящий звонок</t>
  </si>
  <si>
    <t>79277104094 - Входящий звонок</t>
  </si>
  <si>
    <t>Сергей рено Логан</t>
  </si>
  <si>
    <t>79270188058 - Входящий звонок</t>
  </si>
  <si>
    <t>79277346458 - Входящий звонок</t>
  </si>
  <si>
    <t>79871611315 - Входящий звонок</t>
  </si>
  <si>
    <t>79279067417 - Входящий звонок</t>
  </si>
  <si>
    <t>79376567708 - Входящий звонок</t>
  </si>
  <si>
    <t>79053039025 - Входящий звонок</t>
  </si>
  <si>
    <t>79171088501 - Входящий звонок</t>
  </si>
  <si>
    <t>79652876619 - Входящий звонок</t>
  </si>
  <si>
    <t xml:space="preserve">Игорь Валентинович </t>
  </si>
  <si>
    <t>rsy_vmytina</t>
  </si>
  <si>
    <t>Алексей Куляшов - Открытая линия Левша</t>
  </si>
  <si>
    <t>Куляшов</t>
  </si>
  <si>
    <t>79277820439 - Входящий звонок</t>
  </si>
  <si>
    <t>79171469743 - Входящий звонок</t>
  </si>
  <si>
    <t>79276581678 - Входящий звонок</t>
  </si>
  <si>
    <t>79179630177 - Входящий звонок</t>
  </si>
  <si>
    <t>79272043521 - Входящий звонок</t>
  </si>
  <si>
    <t>78463358520 - Входящий звонок</t>
  </si>
  <si>
    <t>79277236723 - Входящий звонок</t>
  </si>
  <si>
    <t>79277382354 - Входящий звонок</t>
  </si>
  <si>
    <t>79272011122 - Входящий звонок</t>
  </si>
  <si>
    <t xml:space="preserve">Максим </t>
  </si>
  <si>
    <t>79277907027 - Входящий звонок</t>
  </si>
  <si>
    <t>79608128086 - Входящий звонок</t>
  </si>
  <si>
    <t>79879336439 - Входящий звонок</t>
  </si>
  <si>
    <t>glc / 778</t>
  </si>
  <si>
    <t xml:space="preserve">Андрей Жаворонкин </t>
  </si>
  <si>
    <t>79270026688 - Входящий звонок</t>
  </si>
  <si>
    <t>79371854656 - Входящий звонок</t>
  </si>
  <si>
    <t>78463751444 - Входящий звонок</t>
  </si>
  <si>
    <t>79198058768 - Входящий звонок</t>
  </si>
  <si>
    <t>Cer</t>
  </si>
  <si>
    <t>Андрей VOLKSWAGEN POLO</t>
  </si>
  <si>
    <t xml:space="preserve">Александр  Тайота прадо </t>
  </si>
  <si>
    <t>Zelgob - Открытая линия Левша</t>
  </si>
  <si>
    <t>Zelgob</t>
  </si>
  <si>
    <t>79371781479 - Входящий звонок</t>
  </si>
  <si>
    <t>79270127373 - Входящий звонок</t>
  </si>
  <si>
    <t>79018027747 - Входящий звонок</t>
  </si>
  <si>
    <t>79379991442 - Входящий звонок</t>
  </si>
  <si>
    <t>79272653166 - Входящий звонок</t>
  </si>
  <si>
    <t>79991726992 - Входящий звонок</t>
  </si>
  <si>
    <t>79874440465 - Исходящий звонок</t>
  </si>
  <si>
    <t>Максим Рябов LADA X-RAY</t>
  </si>
  <si>
    <t>Горшков Данила  Skoda Octavia A7</t>
  </si>
  <si>
    <t>79270168516 - Входящий звонок</t>
  </si>
  <si>
    <t>Нырков</t>
  </si>
  <si>
    <t>Сергей Николаевич Жуков Hendai getc</t>
  </si>
  <si>
    <t>79277077571 - Входящий звонок</t>
  </si>
  <si>
    <t>79270040422 - Входящий звонок</t>
  </si>
  <si>
    <t>Горшков Игорь Владимирови - Открытая линия Левша</t>
  </si>
  <si>
    <t>Горшков Игорь Владимирови</t>
  </si>
  <si>
    <t>79144294517 - Входящий звонок</t>
  </si>
  <si>
    <t>Светлана Toyota Raw 4</t>
  </si>
  <si>
    <t>79277070176 - Входящий звонок</t>
  </si>
  <si>
    <t>79270199957 - Входящий звонок</t>
  </si>
  <si>
    <t>79277477790 - Входящий звонок</t>
  </si>
  <si>
    <t>79272603790 - Входящий звонок</t>
  </si>
  <si>
    <t>Владимир  KIA RIO</t>
  </si>
  <si>
    <t>Андрей Рухман - Открытая линия Левша</t>
  </si>
  <si>
    <t>Рухман</t>
  </si>
  <si>
    <t>79608186609 - Входящий звонок</t>
  </si>
  <si>
    <t>79272603398 - Входящий звонок</t>
  </si>
  <si>
    <t>79136511051 - Входящий звонок</t>
  </si>
  <si>
    <t>Самара - Открытая линия Левша</t>
  </si>
  <si>
    <t>тесла</t>
  </si>
  <si>
    <t>Андрей Рыжов - Открытая линия Левша</t>
  </si>
  <si>
    <t>79272054701 - Входящий звонок</t>
  </si>
  <si>
    <t>79677270928 - Входящий звонок</t>
  </si>
  <si>
    <t>79022937457 - Входящий звонок</t>
  </si>
  <si>
    <t>79297070063 - Входящий звонок</t>
  </si>
  <si>
    <t>79376488567 - Входящий звонок</t>
  </si>
  <si>
    <t>Алекспндр Ниссан сеньра</t>
  </si>
  <si>
    <t>79279090062 - Входящий звонок</t>
  </si>
  <si>
    <t>text_b</t>
  </si>
  <si>
    <t>ремонт вмятин без</t>
  </si>
  <si>
    <t>79033001223 - Входящий звонок</t>
  </si>
  <si>
    <t>Олег Черт тигго4</t>
  </si>
  <si>
    <t>79967429291 - Входящий звонок</t>
  </si>
  <si>
    <t>79171122066 - Входящий звонок</t>
  </si>
  <si>
    <t>Рустем Сайфуллин - Открытая линия Левша</t>
  </si>
  <si>
    <t>Рустем</t>
  </si>
  <si>
    <t>Сайфуллин</t>
  </si>
  <si>
    <t>{campaign_id}</t>
  </si>
  <si>
    <t>{ad_id}</t>
  </si>
  <si>
    <t>Kirill - Открытая линия Левша</t>
  </si>
  <si>
    <t>Eugine Bogdanov - Открытая линия Левша</t>
  </si>
  <si>
    <t>Eugine</t>
  </si>
  <si>
    <t>Дмитрий KIA SPORTAGE</t>
  </si>
  <si>
    <t>Дмитрий Приора</t>
  </si>
  <si>
    <t xml:space="preserve">Денис Фольксваген поло 2020 </t>
  </si>
  <si>
    <t>79277334660 - Входящий звонок</t>
  </si>
  <si>
    <t>Андрей Kia Optima</t>
  </si>
  <si>
    <t>79879201792 - Входящий звонок</t>
  </si>
  <si>
    <t>Анастасия  Хендай</t>
  </si>
  <si>
    <t>79277318481 - Входящий звонок</t>
  </si>
  <si>
    <t>Фарид Шкода Рапид</t>
  </si>
  <si>
    <t>79272158809 - Входящий звонок</t>
  </si>
  <si>
    <t>ЮГ</t>
  </si>
  <si>
    <t>79277208834 - Входящий звонок</t>
  </si>
  <si>
    <t>79270128867 - Входящий звонок</t>
  </si>
  <si>
    <t>79397176375 - Входящий звонок</t>
  </si>
  <si>
    <t>Konstantin Traxel - Открытая линия Левша</t>
  </si>
  <si>
    <t>Traxel</t>
  </si>
  <si>
    <t>79374526657 - Входящий звонок</t>
  </si>
  <si>
    <t>79198052512 - Входящий звонок</t>
  </si>
  <si>
    <t>79278188989 - Входящий звонок</t>
  </si>
  <si>
    <t>79277274002 - Входящий звонок</t>
  </si>
  <si>
    <t>Павел Mitsubishi</t>
  </si>
  <si>
    <t>79033001069 - Входящий звонок</t>
  </si>
  <si>
    <t>Марина Фольксваген джетта</t>
  </si>
  <si>
    <t>79879874959 - Входящий звонок</t>
  </si>
  <si>
    <t>79276912069 - Входящий звонок</t>
  </si>
  <si>
    <t>79270150296 - Входящий звонок</t>
  </si>
  <si>
    <t xml:space="preserve">Павел Мочалов </t>
  </si>
  <si>
    <t>Nel - Открытая линия Левша</t>
  </si>
  <si>
    <t>Nel</t>
  </si>
  <si>
    <t xml:space="preserve">Леонид Лада ларгус </t>
  </si>
  <si>
    <t xml:space="preserve">Ринат Ваз </t>
  </si>
  <si>
    <t>79649796699 - Входящий звонок</t>
  </si>
  <si>
    <t>78462059865 - Входящий звонок</t>
  </si>
  <si>
    <t>79874474302 - Входящий звонок</t>
  </si>
  <si>
    <t>79371883036 - Входящий звонок</t>
  </si>
  <si>
    <t>79171014998 - Входящий звонок</t>
  </si>
  <si>
    <t>79372096424 - Входящий звонок</t>
  </si>
  <si>
    <t>79279076553 - Входящий звонок</t>
  </si>
  <si>
    <t>Татьяна Вячеславовна Приятелева Reno</t>
  </si>
  <si>
    <t>79276972299 - Входящий звонок</t>
  </si>
  <si>
    <t>Akimov Denis</t>
  </si>
  <si>
    <t>79277018791 - Исходящий звонок</t>
  </si>
  <si>
    <t>Danila Gorbushin - Открытая линия Левша</t>
  </si>
  <si>
    <t>Danila</t>
  </si>
  <si>
    <t>Gorbushin</t>
  </si>
  <si>
    <t>79228584999 - Входящий звонок</t>
  </si>
  <si>
    <t>Владимир Адонин - Открытая линия Левша</t>
  </si>
  <si>
    <t>Адонин</t>
  </si>
  <si>
    <t>Михаил Иванович Атюшов SKODA KAROQ</t>
  </si>
  <si>
    <t>79277709977 - Входящий звонок</t>
  </si>
  <si>
    <t>Андрей Volkswagen Passat cc</t>
  </si>
  <si>
    <t>79376590724 - Входящий звонок</t>
  </si>
  <si>
    <t>79171622412 - Входящий звонок</t>
  </si>
  <si>
    <t>Владимир Лада Веста</t>
  </si>
  <si>
    <t>79372100199 - Входящий звонок</t>
  </si>
  <si>
    <t xml:space="preserve">Артём Макаров </t>
  </si>
  <si>
    <t>79371852882 - Входящий звонок</t>
  </si>
  <si>
    <t>79370785715 - Входящий звонок</t>
  </si>
  <si>
    <t>Павел  Фольксваген поло</t>
  </si>
  <si>
    <t>79179555600 - Входящий звонок</t>
  </si>
  <si>
    <t>79270048178 - Входящий звонок</t>
  </si>
  <si>
    <t>Юрий Бракин - Открытая линия Левша</t>
  </si>
  <si>
    <t>Алексеев</t>
  </si>
  <si>
    <t>79053044849 - Входящий звонок</t>
  </si>
  <si>
    <t>79397002179 - Входящий звонок</t>
  </si>
  <si>
    <t>79276700037 - Входящий звонок</t>
  </si>
  <si>
    <t>79991107042 - Входящий звонок</t>
  </si>
  <si>
    <t>79171475676 - Входящий звонок</t>
  </si>
  <si>
    <t>79171102583 - Входящий звонок</t>
  </si>
  <si>
    <t>79608168682 - Входящий звонок</t>
  </si>
  <si>
    <t>79379994433 - Входящий звонок</t>
  </si>
  <si>
    <t>Сузуки</t>
  </si>
  <si>
    <t>79270188885 - Исходящий звонок</t>
  </si>
  <si>
    <t>79370663803 - Исходящий звонок</t>
  </si>
  <si>
    <t>Evgeni Ivanov - Открытая линия Левша</t>
  </si>
  <si>
    <t>Evgeni</t>
  </si>
  <si>
    <t>Ivanov</t>
  </si>
  <si>
    <t>79371778747 - Входящий звонок</t>
  </si>
  <si>
    <t>Романэ - Открытая линия Левша</t>
  </si>
  <si>
    <t>Романэ</t>
  </si>
  <si>
    <t>poisk_antigrav</t>
  </si>
  <si>
    <t>z</t>
  </si>
  <si>
    <t>покрытие пленкой автомобиля цена</t>
  </si>
  <si>
    <t>Сухроб Алиев Тойота Камри 55</t>
  </si>
  <si>
    <t>79608196401 - Входящий звонок</t>
  </si>
  <si>
    <t>Эльмир - Открытая линия Левша</t>
  </si>
  <si>
    <t>Эльмир</t>
  </si>
  <si>
    <t>79171636946 - Исходящий звонок</t>
  </si>
  <si>
    <t>79967229851 - Входящий звонок</t>
  </si>
  <si>
    <t>79277223211 - Входящий звонок</t>
  </si>
  <si>
    <t>79371768719 - Входящий звонок</t>
  </si>
  <si>
    <t>79276017789 - Исходящий звонок</t>
  </si>
  <si>
    <t>79277774977 - Входящий звонок</t>
  </si>
  <si>
    <t>79279057640 - Исходящий звонок</t>
  </si>
  <si>
    <t>79171636946 - Входящий звонок</t>
  </si>
  <si>
    <t>Асель</t>
  </si>
  <si>
    <t>79874355812 - Входящий звонок</t>
  </si>
  <si>
    <t>79376539939 - Входящий звонок</t>
  </si>
  <si>
    <t>Айрат Хусаинов - Открытая линия Левша</t>
  </si>
  <si>
    <t>Миша Дьяков - Открытая линия Левша</t>
  </si>
  <si>
    <t>Дьяков</t>
  </si>
  <si>
    <t>Николай Нестеров - Открытая линия Левша</t>
  </si>
  <si>
    <t>Нестеров</t>
  </si>
  <si>
    <t>Глеб Харьков - Открытая линия Левша</t>
  </si>
  <si>
    <t>Харьков</t>
  </si>
  <si>
    <t xml:space="preserve">Глеб Харьков Лада Веста </t>
  </si>
  <si>
    <t xml:space="preserve">Глеб  Лада Веста </t>
  </si>
  <si>
    <t>79297175062 - Входящий звонок</t>
  </si>
  <si>
    <t>79023749617 - Входящий звонок</t>
  </si>
  <si>
    <t>Игорь Volkswagen polo</t>
  </si>
  <si>
    <t>79093445434 - Входящий звонок</t>
  </si>
  <si>
    <t>79272963271 - Входящий звонок</t>
  </si>
  <si>
    <t>79874410696 - Входящий звонок</t>
  </si>
  <si>
    <t>79376490776 - Входящий звонок</t>
  </si>
  <si>
    <t>79879060556 - Входящий звонок</t>
  </si>
  <si>
    <t>79379998156 - Входящий звонок</t>
  </si>
  <si>
    <t>Ярослав Камри Пдр</t>
  </si>
  <si>
    <t>Владимир Субару Форестер</t>
  </si>
  <si>
    <t>Антон BMW 3</t>
  </si>
  <si>
    <t>79379876858 - Входящий звонок</t>
  </si>
  <si>
    <t>79277316111 - Входящий звонок</t>
  </si>
  <si>
    <t>79277444378 - Входящий звонок</t>
  </si>
  <si>
    <t>79297051173 - Входящий звонок</t>
  </si>
  <si>
    <t>79674970551 - Входящий звонок</t>
  </si>
  <si>
    <t>79033022870 - Входящий звонок</t>
  </si>
  <si>
    <t>79198021883 - Входящий звонок</t>
  </si>
  <si>
    <t>Антон Кузнецов - Открытая линия Левша</t>
  </si>
  <si>
    <t>Ярослав Медведев - Открытая линия Левша</t>
  </si>
  <si>
    <t>Медведев</t>
  </si>
  <si>
    <t>79179591650 - Входящий звонок</t>
  </si>
  <si>
    <t>79171092553 - Входящий звонок</t>
  </si>
  <si>
    <t>79276975854 - Входящий звонок</t>
  </si>
  <si>
    <t>79276524780 - Входящий звонок</t>
  </si>
  <si>
    <t>Сергей Бестужев - Открытая линия Левша</t>
  </si>
  <si>
    <t>Бестужев</t>
  </si>
  <si>
    <t>Александр  Skoda octavia</t>
  </si>
  <si>
    <t>79277165981 - Входящий звонок</t>
  </si>
  <si>
    <t>Анатолий - Открытая линия Левша</t>
  </si>
  <si>
    <t>Левша — PDR: лиды и спрос Wordstat по неделям</t>
  </si>
  <si>
    <t>Левша — PDR: спрос и лиды</t>
  </si>
  <si>
    <t>Примечание: лиды после 12.07.2026 исключены, так как соответствующего периода нет в выгрузке Wordstat.</t>
  </si>
  <si>
    <t>PDR — недельная динамика спроса и лидов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</si>
</sst>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"/>
    <numFmt numFmtId="165" formatCode="0.0%"/>
    <numFmt numFmtId="166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6"/>
      <color rgb="FFFFFFFF"/>
      <name val="Calibri"/>
      <family val="2"/>
      <charset val="204"/>
      <scheme val="minor"/>
    </font>
    <font>
      <sz val="11"/>
      <color rgb="FF535353"/>
      <name val="Calibri"/>
      <family val="2"/>
      <charset val="204"/>
      <scheme val="minor"/>
    </font>
    <font>
      <b/>
      <sz val="18"/>
      <color rgb="FFFFFFFF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329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0FF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1" fillId="3" borderId="1" xfId="0" applyFont="1" applyFill="1" applyBorder="1"/>
    <xf numFmtId="11" fontId="0" fillId="0" borderId="0" xfId="0" applyNumberFormat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wrapText="1"/>
    </xf>
    <xf numFmtId="0" fontId="5" fillId="2" borderId="0" xfId="0" applyFont="1" applyFill="1"/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</cellXfs>
  <cellStyles count="1">
    <cellStyle name="Обычный" xfId="0" builtinId="0"/>
  </cellStyles>
  <dxfs count="6">
    <dxf>
      <numFmt numFmtId="19" formatCode="dd/mm/yyyy"/>
    </dxf>
    <dxf>
      <numFmt numFmtId="19" formatCode="dd/mm/yyyy"/>
    </dxf>
    <dxf>
      <numFmt numFmtId="164" formatCode="dd/mm/yyyy\ hh:mm"/>
    </dxf>
    <dxf>
      <numFmt numFmtId="165" formatCode="0.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PDR: </a:t>
            </a:r>
            <a:r>
              <a:rPr lang="ru-RU"/>
              <a:t>лиды, качественные лиды и запросы </a:t>
            </a:r>
            <a:r>
              <a:rPr lang="en-US"/>
              <a:t>Wordstat </a:t>
            </a:r>
            <a:r>
              <a:rPr lang="ru-RU"/>
              <a:t>по неделям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Лиды</c:v>
          </c:tx>
          <c:spPr>
            <a:ln w="22225">
              <a:solidFill>
                <a:srgbClr val="CC3299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7</c:v>
                </c:pt>
                <c:pt idx="2">
                  <c:v>19</c:v>
                </c:pt>
                <c:pt idx="3">
                  <c:v>28</c:v>
                </c:pt>
                <c:pt idx="4">
                  <c:v>18</c:v>
                </c:pt>
                <c:pt idx="5">
                  <c:v>25</c:v>
                </c:pt>
                <c:pt idx="6">
                  <c:v>31</c:v>
                </c:pt>
                <c:pt idx="7">
                  <c:v>30</c:v>
                </c:pt>
                <c:pt idx="8">
                  <c:v>27</c:v>
                </c:pt>
                <c:pt idx="9">
                  <c:v>18</c:v>
                </c:pt>
                <c:pt idx="10">
                  <c:v>31</c:v>
                </c:pt>
                <c:pt idx="11">
                  <c:v>19</c:v>
                </c:pt>
                <c:pt idx="12">
                  <c:v>29</c:v>
                </c:pt>
                <c:pt idx="13">
                  <c:v>21</c:v>
                </c:pt>
                <c:pt idx="14">
                  <c:v>18</c:v>
                </c:pt>
                <c:pt idx="15">
                  <c:v>17</c:v>
                </c:pt>
                <c:pt idx="16">
                  <c:v>16</c:v>
                </c:pt>
                <c:pt idx="17">
                  <c:v>30</c:v>
                </c:pt>
                <c:pt idx="18">
                  <c:v>22</c:v>
                </c:pt>
                <c:pt idx="19">
                  <c:v>20</c:v>
                </c:pt>
                <c:pt idx="20">
                  <c:v>15</c:v>
                </c:pt>
                <c:pt idx="21">
                  <c:v>15</c:v>
                </c:pt>
                <c:pt idx="22">
                  <c:v>14</c:v>
                </c:pt>
                <c:pt idx="23">
                  <c:v>14</c:v>
                </c:pt>
                <c:pt idx="24">
                  <c:v>17</c:v>
                </c:pt>
                <c:pt idx="25">
                  <c:v>18</c:v>
                </c:pt>
                <c:pt idx="26">
                  <c:v>16</c:v>
                </c:pt>
                <c:pt idx="27">
                  <c:v>15</c:v>
                </c:pt>
                <c:pt idx="28">
                  <c:v>25</c:v>
                </c:pt>
                <c:pt idx="29">
                  <c:v>19</c:v>
                </c:pt>
                <c:pt idx="30">
                  <c:v>21</c:v>
                </c:pt>
                <c:pt idx="31">
                  <c:v>19</c:v>
                </c:pt>
                <c:pt idx="32">
                  <c:v>24</c:v>
                </c:pt>
                <c:pt idx="33">
                  <c:v>23</c:v>
                </c:pt>
                <c:pt idx="34">
                  <c:v>29</c:v>
                </c:pt>
                <c:pt idx="35">
                  <c:v>20</c:v>
                </c:pt>
                <c:pt idx="36">
                  <c:v>25</c:v>
                </c:pt>
                <c:pt idx="37">
                  <c:v>25</c:v>
                </c:pt>
                <c:pt idx="38">
                  <c:v>14</c:v>
                </c:pt>
                <c:pt idx="39">
                  <c:v>13</c:v>
                </c:pt>
                <c:pt idx="40">
                  <c:v>22</c:v>
                </c:pt>
                <c:pt idx="41">
                  <c:v>20</c:v>
                </c:pt>
                <c:pt idx="42">
                  <c:v>17</c:v>
                </c:pt>
                <c:pt idx="43">
                  <c:v>16</c:v>
                </c:pt>
                <c:pt idx="44">
                  <c:v>14</c:v>
                </c:pt>
                <c:pt idx="45">
                  <c:v>17</c:v>
                </c:pt>
                <c:pt idx="46">
                  <c:v>13</c:v>
                </c:pt>
                <c:pt idx="47">
                  <c:v>21</c:v>
                </c:pt>
                <c:pt idx="48">
                  <c:v>18</c:v>
                </c:pt>
                <c:pt idx="49">
                  <c:v>12</c:v>
                </c:pt>
                <c:pt idx="50">
                  <c:v>19</c:v>
                </c:pt>
                <c:pt idx="51">
                  <c:v>18</c:v>
                </c:pt>
                <c:pt idx="52">
                  <c:v>7</c:v>
                </c:pt>
                <c:pt idx="53">
                  <c:v>7</c:v>
                </c:pt>
                <c:pt idx="54">
                  <c:v>9</c:v>
                </c:pt>
                <c:pt idx="55">
                  <c:v>9</c:v>
                </c:pt>
                <c:pt idx="56">
                  <c:v>16</c:v>
                </c:pt>
                <c:pt idx="57">
                  <c:v>6</c:v>
                </c:pt>
                <c:pt idx="58">
                  <c:v>16</c:v>
                </c:pt>
                <c:pt idx="59">
                  <c:v>12</c:v>
                </c:pt>
                <c:pt idx="60">
                  <c:v>16</c:v>
                </c:pt>
                <c:pt idx="61">
                  <c:v>26</c:v>
                </c:pt>
                <c:pt idx="62">
                  <c:v>29</c:v>
                </c:pt>
                <c:pt idx="63">
                  <c:v>18</c:v>
                </c:pt>
                <c:pt idx="64">
                  <c:v>28</c:v>
                </c:pt>
                <c:pt idx="65">
                  <c:v>14</c:v>
                </c:pt>
                <c:pt idx="66">
                  <c:v>19</c:v>
                </c:pt>
                <c:pt idx="67">
                  <c:v>30</c:v>
                </c:pt>
                <c:pt idx="68">
                  <c:v>26</c:v>
                </c:pt>
                <c:pt idx="69">
                  <c:v>23</c:v>
                </c:pt>
                <c:pt idx="70">
                  <c:v>33</c:v>
                </c:pt>
                <c:pt idx="71">
                  <c:v>23</c:v>
                </c:pt>
                <c:pt idx="72">
                  <c:v>27</c:v>
                </c:pt>
                <c:pt idx="73">
                  <c:v>14</c:v>
                </c:pt>
                <c:pt idx="74">
                  <c:v>29</c:v>
                </c:pt>
                <c:pt idx="75">
                  <c:v>22</c:v>
                </c:pt>
                <c:pt idx="76">
                  <c:v>30</c:v>
                </c:pt>
                <c:pt idx="77">
                  <c:v>23</c:v>
                </c:pt>
                <c:pt idx="78">
                  <c:v>26</c:v>
                </c:pt>
                <c:pt idx="79">
                  <c:v>24</c:v>
                </c:pt>
                <c:pt idx="80">
                  <c:v>21</c:v>
                </c:pt>
                <c:pt idx="81">
                  <c:v>30</c:v>
                </c:pt>
                <c:pt idx="82">
                  <c:v>31</c:v>
                </c:pt>
                <c:pt idx="83">
                  <c:v>24</c:v>
                </c:pt>
                <c:pt idx="84">
                  <c:v>31</c:v>
                </c:pt>
                <c:pt idx="85">
                  <c:v>14</c:v>
                </c:pt>
                <c:pt idx="86">
                  <c:v>20</c:v>
                </c:pt>
                <c:pt idx="87">
                  <c:v>17</c:v>
                </c:pt>
                <c:pt idx="88">
                  <c:v>25</c:v>
                </c:pt>
                <c:pt idx="89">
                  <c:v>31</c:v>
                </c:pt>
                <c:pt idx="90">
                  <c:v>28</c:v>
                </c:pt>
                <c:pt idx="91">
                  <c:v>41</c:v>
                </c:pt>
                <c:pt idx="92">
                  <c:v>26</c:v>
                </c:pt>
                <c:pt idx="93">
                  <c:v>31</c:v>
                </c:pt>
                <c:pt idx="94">
                  <c:v>34</c:v>
                </c:pt>
                <c:pt idx="95">
                  <c:v>23</c:v>
                </c:pt>
                <c:pt idx="96">
                  <c:v>27</c:v>
                </c:pt>
                <c:pt idx="97">
                  <c:v>23</c:v>
                </c:pt>
                <c:pt idx="98">
                  <c:v>19</c:v>
                </c:pt>
                <c:pt idx="99">
                  <c:v>12</c:v>
                </c:pt>
                <c:pt idx="100">
                  <c:v>14</c:v>
                </c:pt>
                <c:pt idx="101">
                  <c:v>14</c:v>
                </c:pt>
                <c:pt idx="102">
                  <c:v>10</c:v>
                </c:pt>
                <c:pt idx="103">
                  <c:v>10</c:v>
                </c:pt>
                <c:pt idx="104">
                  <c:v>11</c:v>
                </c:pt>
                <c:pt idx="105">
                  <c:v>14</c:v>
                </c:pt>
                <c:pt idx="106">
                  <c:v>13</c:v>
                </c:pt>
                <c:pt idx="107">
                  <c:v>17</c:v>
                </c:pt>
                <c:pt idx="108">
                  <c:v>21</c:v>
                </c:pt>
                <c:pt idx="109">
                  <c:v>17</c:v>
                </c:pt>
                <c:pt idx="110">
                  <c:v>29</c:v>
                </c:pt>
                <c:pt idx="111">
                  <c:v>21</c:v>
                </c:pt>
                <c:pt idx="112">
                  <c:v>22</c:v>
                </c:pt>
                <c:pt idx="113">
                  <c:v>20</c:v>
                </c:pt>
                <c:pt idx="114">
                  <c:v>18</c:v>
                </c:pt>
                <c:pt idx="115">
                  <c:v>20</c:v>
                </c:pt>
                <c:pt idx="116">
                  <c:v>24</c:v>
                </c:pt>
                <c:pt idx="117">
                  <c:v>12</c:v>
                </c:pt>
                <c:pt idx="118">
                  <c:v>25</c:v>
                </c:pt>
                <c:pt idx="119">
                  <c:v>25</c:v>
                </c:pt>
                <c:pt idx="120">
                  <c:v>23</c:v>
                </c:pt>
                <c:pt idx="121">
                  <c:v>16</c:v>
                </c:pt>
                <c:pt idx="122">
                  <c:v>21</c:v>
                </c:pt>
                <c:pt idx="123">
                  <c:v>22</c:v>
                </c:pt>
                <c:pt idx="124">
                  <c:v>22</c:v>
                </c:pt>
                <c:pt idx="125">
                  <c:v>33</c:v>
                </c:pt>
                <c:pt idx="126">
                  <c:v>19</c:v>
                </c:pt>
                <c:pt idx="127">
                  <c:v>25</c:v>
                </c:pt>
                <c:pt idx="128">
                  <c:v>27</c:v>
                </c:pt>
                <c:pt idx="129">
                  <c:v>10</c:v>
                </c:pt>
                <c:pt idx="130">
                  <c:v>23</c:v>
                </c:pt>
                <c:pt idx="131">
                  <c:v>27</c:v>
                </c:pt>
                <c:pt idx="132">
                  <c:v>28</c:v>
                </c:pt>
                <c:pt idx="133">
                  <c:v>21</c:v>
                </c:pt>
                <c:pt idx="134">
                  <c:v>18</c:v>
                </c:pt>
                <c:pt idx="135">
                  <c:v>29</c:v>
                </c:pt>
                <c:pt idx="136">
                  <c:v>22</c:v>
                </c:pt>
                <c:pt idx="137">
                  <c:v>19</c:v>
                </c:pt>
                <c:pt idx="138">
                  <c:v>22</c:v>
                </c:pt>
                <c:pt idx="139">
                  <c:v>20</c:v>
                </c:pt>
                <c:pt idx="140">
                  <c:v>24</c:v>
                </c:pt>
                <c:pt idx="141">
                  <c:v>17</c:v>
                </c:pt>
                <c:pt idx="142">
                  <c:v>19</c:v>
                </c:pt>
                <c:pt idx="143">
                  <c:v>17</c:v>
                </c:pt>
                <c:pt idx="144">
                  <c:v>19</c:v>
                </c:pt>
                <c:pt idx="145">
                  <c:v>17</c:v>
                </c:pt>
                <c:pt idx="146">
                  <c:v>22</c:v>
                </c:pt>
                <c:pt idx="147">
                  <c:v>17</c:v>
                </c:pt>
                <c:pt idx="148">
                  <c:v>16</c:v>
                </c:pt>
                <c:pt idx="149">
                  <c:v>17</c:v>
                </c:pt>
                <c:pt idx="150">
                  <c:v>16</c:v>
                </c:pt>
                <c:pt idx="151">
                  <c:v>6</c:v>
                </c:pt>
                <c:pt idx="152">
                  <c:v>18</c:v>
                </c:pt>
                <c:pt idx="153">
                  <c:v>12</c:v>
                </c:pt>
                <c:pt idx="154">
                  <c:v>14</c:v>
                </c:pt>
                <c:pt idx="155">
                  <c:v>12</c:v>
                </c:pt>
                <c:pt idx="156">
                  <c:v>15</c:v>
                </c:pt>
                <c:pt idx="157">
                  <c:v>10</c:v>
                </c:pt>
                <c:pt idx="158">
                  <c:v>8</c:v>
                </c:pt>
                <c:pt idx="159">
                  <c:v>18</c:v>
                </c:pt>
                <c:pt idx="160">
                  <c:v>13</c:v>
                </c:pt>
                <c:pt idx="161">
                  <c:v>8</c:v>
                </c:pt>
                <c:pt idx="162">
                  <c:v>11</c:v>
                </c:pt>
                <c:pt idx="163">
                  <c:v>18</c:v>
                </c:pt>
                <c:pt idx="164">
                  <c:v>8</c:v>
                </c:pt>
                <c:pt idx="165">
                  <c:v>17</c:v>
                </c:pt>
                <c:pt idx="166">
                  <c:v>9</c:v>
                </c:pt>
                <c:pt idx="167">
                  <c:v>14</c:v>
                </c:pt>
                <c:pt idx="168">
                  <c:v>18</c:v>
                </c:pt>
                <c:pt idx="169">
                  <c:v>23</c:v>
                </c:pt>
                <c:pt idx="170">
                  <c:v>15</c:v>
                </c:pt>
                <c:pt idx="171">
                  <c:v>15</c:v>
                </c:pt>
                <c:pt idx="172">
                  <c:v>11</c:v>
                </c:pt>
                <c:pt idx="173">
                  <c:v>7</c:v>
                </c:pt>
                <c:pt idx="174">
                  <c:v>13</c:v>
                </c:pt>
                <c:pt idx="175">
                  <c:v>10</c:v>
                </c:pt>
                <c:pt idx="176">
                  <c:v>10</c:v>
                </c:pt>
                <c:pt idx="177">
                  <c:v>9</c:v>
                </c:pt>
                <c:pt idx="178">
                  <c:v>14</c:v>
                </c:pt>
                <c:pt idx="179">
                  <c:v>15</c:v>
                </c:pt>
                <c:pt idx="180">
                  <c:v>6</c:v>
                </c:pt>
                <c:pt idx="181">
                  <c:v>19</c:v>
                </c:pt>
                <c:pt idx="182">
                  <c:v>20</c:v>
                </c:pt>
                <c:pt idx="183">
                  <c:v>9</c:v>
                </c:pt>
                <c:pt idx="184">
                  <c:v>8</c:v>
                </c:pt>
                <c:pt idx="185">
                  <c:v>27</c:v>
                </c:pt>
                <c:pt idx="186">
                  <c:v>14</c:v>
                </c:pt>
                <c:pt idx="187">
                  <c:v>16</c:v>
                </c:pt>
                <c:pt idx="188">
                  <c:v>10</c:v>
                </c:pt>
                <c:pt idx="189">
                  <c:v>13</c:v>
                </c:pt>
                <c:pt idx="190">
                  <c:v>12</c:v>
                </c:pt>
                <c:pt idx="191">
                  <c:v>12</c:v>
                </c:pt>
                <c:pt idx="192">
                  <c:v>13</c:v>
                </c:pt>
                <c:pt idx="193">
                  <c:v>8</c:v>
                </c:pt>
                <c:pt idx="194">
                  <c:v>12</c:v>
                </c:pt>
                <c:pt idx="195">
                  <c:v>10</c:v>
                </c:pt>
                <c:pt idx="196">
                  <c:v>8</c:v>
                </c:pt>
                <c:pt idx="197">
                  <c:v>13</c:v>
                </c:pt>
                <c:pt idx="198">
                  <c:v>6</c:v>
                </c:pt>
                <c:pt idx="199">
                  <c:v>20</c:v>
                </c:pt>
                <c:pt idx="200">
                  <c:v>10</c:v>
                </c:pt>
                <c:pt idx="201">
                  <c:v>9</c:v>
                </c:pt>
                <c:pt idx="202">
                  <c:v>9</c:v>
                </c:pt>
                <c:pt idx="203">
                  <c:v>13</c:v>
                </c:pt>
                <c:pt idx="204">
                  <c:v>12</c:v>
                </c:pt>
                <c:pt idx="205">
                  <c:v>9</c:v>
                </c:pt>
                <c:pt idx="206">
                  <c:v>15</c:v>
                </c:pt>
                <c:pt idx="207">
                  <c:v>10</c:v>
                </c:pt>
                <c:pt idx="208">
                  <c:v>16</c:v>
                </c:pt>
                <c:pt idx="209">
                  <c:v>3</c:v>
                </c:pt>
                <c:pt idx="210">
                  <c:v>11</c:v>
                </c:pt>
                <c:pt idx="211">
                  <c:v>16</c:v>
                </c:pt>
                <c:pt idx="212">
                  <c:v>15</c:v>
                </c:pt>
                <c:pt idx="213">
                  <c:v>8</c:v>
                </c:pt>
                <c:pt idx="214">
                  <c:v>4</c:v>
                </c:pt>
                <c:pt idx="215">
                  <c:v>12</c:v>
                </c:pt>
                <c:pt idx="216">
                  <c:v>7</c:v>
                </c:pt>
                <c:pt idx="217">
                  <c:v>15</c:v>
                </c:pt>
                <c:pt idx="218">
                  <c:v>14</c:v>
                </c:pt>
                <c:pt idx="219">
                  <c:v>13</c:v>
                </c:pt>
                <c:pt idx="220">
                  <c:v>12</c:v>
                </c:pt>
                <c:pt idx="221">
                  <c:v>18</c:v>
                </c:pt>
                <c:pt idx="222">
                  <c:v>9</c:v>
                </c:pt>
                <c:pt idx="223">
                  <c:v>24</c:v>
                </c:pt>
                <c:pt idx="224">
                  <c:v>14</c:v>
                </c:pt>
                <c:pt idx="225">
                  <c:v>14</c:v>
                </c:pt>
                <c:pt idx="226">
                  <c:v>12</c:v>
                </c:pt>
                <c:pt idx="227">
                  <c:v>10</c:v>
                </c:pt>
                <c:pt idx="228">
                  <c:v>11</c:v>
                </c:pt>
                <c:pt idx="229">
                  <c:v>9</c:v>
                </c:pt>
                <c:pt idx="230">
                  <c:v>14</c:v>
                </c:pt>
                <c:pt idx="231">
                  <c:v>9</c:v>
                </c:pt>
                <c:pt idx="232">
                  <c:v>11</c:v>
                </c:pt>
                <c:pt idx="233">
                  <c:v>13</c:v>
                </c:pt>
                <c:pt idx="234">
                  <c:v>12</c:v>
                </c:pt>
                <c:pt idx="235">
                  <c:v>22</c:v>
                </c:pt>
                <c:pt idx="23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5-4F61-B4DB-9E482D1F9DE4}"/>
            </c:ext>
          </c:extLst>
        </c:ser>
        <c:ser>
          <c:idx val="1"/>
          <c:order val="1"/>
          <c:tx>
            <c:v>Качественные лиды</c:v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7</c:v>
                </c:pt>
                <c:pt idx="2">
                  <c:v>18</c:v>
                </c:pt>
                <c:pt idx="3">
                  <c:v>24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  <c:pt idx="7">
                  <c:v>29</c:v>
                </c:pt>
                <c:pt idx="8">
                  <c:v>27</c:v>
                </c:pt>
                <c:pt idx="9">
                  <c:v>18</c:v>
                </c:pt>
                <c:pt idx="10">
                  <c:v>28</c:v>
                </c:pt>
                <c:pt idx="11">
                  <c:v>19</c:v>
                </c:pt>
                <c:pt idx="12">
                  <c:v>28</c:v>
                </c:pt>
                <c:pt idx="13">
                  <c:v>19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30</c:v>
                </c:pt>
                <c:pt idx="18">
                  <c:v>21</c:v>
                </c:pt>
                <c:pt idx="19">
                  <c:v>19</c:v>
                </c:pt>
                <c:pt idx="20">
                  <c:v>15</c:v>
                </c:pt>
                <c:pt idx="21">
                  <c:v>15</c:v>
                </c:pt>
                <c:pt idx="22">
                  <c:v>14</c:v>
                </c:pt>
                <c:pt idx="23">
                  <c:v>14</c:v>
                </c:pt>
                <c:pt idx="24">
                  <c:v>17</c:v>
                </c:pt>
                <c:pt idx="25">
                  <c:v>18</c:v>
                </c:pt>
                <c:pt idx="26">
                  <c:v>16</c:v>
                </c:pt>
                <c:pt idx="27">
                  <c:v>15</c:v>
                </c:pt>
                <c:pt idx="28">
                  <c:v>25</c:v>
                </c:pt>
                <c:pt idx="29">
                  <c:v>19</c:v>
                </c:pt>
                <c:pt idx="30">
                  <c:v>21</c:v>
                </c:pt>
                <c:pt idx="31">
                  <c:v>15</c:v>
                </c:pt>
                <c:pt idx="32">
                  <c:v>22</c:v>
                </c:pt>
                <c:pt idx="33">
                  <c:v>23</c:v>
                </c:pt>
                <c:pt idx="34">
                  <c:v>29</c:v>
                </c:pt>
                <c:pt idx="35">
                  <c:v>20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13</c:v>
                </c:pt>
                <c:pt idx="40">
                  <c:v>22</c:v>
                </c:pt>
                <c:pt idx="41">
                  <c:v>19</c:v>
                </c:pt>
                <c:pt idx="42">
                  <c:v>17</c:v>
                </c:pt>
                <c:pt idx="43">
                  <c:v>16</c:v>
                </c:pt>
                <c:pt idx="44">
                  <c:v>14</c:v>
                </c:pt>
                <c:pt idx="45">
                  <c:v>16</c:v>
                </c:pt>
                <c:pt idx="46">
                  <c:v>13</c:v>
                </c:pt>
                <c:pt idx="47">
                  <c:v>19</c:v>
                </c:pt>
                <c:pt idx="48">
                  <c:v>18</c:v>
                </c:pt>
                <c:pt idx="49">
                  <c:v>12</c:v>
                </c:pt>
                <c:pt idx="50">
                  <c:v>19</c:v>
                </c:pt>
                <c:pt idx="51">
                  <c:v>18</c:v>
                </c:pt>
                <c:pt idx="52">
                  <c:v>7</c:v>
                </c:pt>
                <c:pt idx="53">
                  <c:v>7</c:v>
                </c:pt>
                <c:pt idx="54">
                  <c:v>9</c:v>
                </c:pt>
                <c:pt idx="55">
                  <c:v>9</c:v>
                </c:pt>
                <c:pt idx="56">
                  <c:v>16</c:v>
                </c:pt>
                <c:pt idx="57">
                  <c:v>6</c:v>
                </c:pt>
                <c:pt idx="58">
                  <c:v>16</c:v>
                </c:pt>
                <c:pt idx="59">
                  <c:v>11</c:v>
                </c:pt>
                <c:pt idx="60">
                  <c:v>16</c:v>
                </c:pt>
                <c:pt idx="61">
                  <c:v>26</c:v>
                </c:pt>
                <c:pt idx="62">
                  <c:v>29</c:v>
                </c:pt>
                <c:pt idx="63">
                  <c:v>16</c:v>
                </c:pt>
                <c:pt idx="64">
                  <c:v>28</c:v>
                </c:pt>
                <c:pt idx="65">
                  <c:v>14</c:v>
                </c:pt>
                <c:pt idx="66">
                  <c:v>19</c:v>
                </c:pt>
                <c:pt idx="67">
                  <c:v>29</c:v>
                </c:pt>
                <c:pt idx="68">
                  <c:v>26</c:v>
                </c:pt>
                <c:pt idx="69">
                  <c:v>23</c:v>
                </c:pt>
                <c:pt idx="70">
                  <c:v>33</c:v>
                </c:pt>
                <c:pt idx="71">
                  <c:v>23</c:v>
                </c:pt>
                <c:pt idx="72">
                  <c:v>27</c:v>
                </c:pt>
                <c:pt idx="73">
                  <c:v>14</c:v>
                </c:pt>
                <c:pt idx="74">
                  <c:v>26</c:v>
                </c:pt>
                <c:pt idx="75">
                  <c:v>21</c:v>
                </c:pt>
                <c:pt idx="76">
                  <c:v>28</c:v>
                </c:pt>
                <c:pt idx="77">
                  <c:v>23</c:v>
                </c:pt>
                <c:pt idx="78">
                  <c:v>26</c:v>
                </c:pt>
                <c:pt idx="79">
                  <c:v>24</c:v>
                </c:pt>
                <c:pt idx="80">
                  <c:v>21</c:v>
                </c:pt>
                <c:pt idx="81">
                  <c:v>30</c:v>
                </c:pt>
                <c:pt idx="82">
                  <c:v>31</c:v>
                </c:pt>
                <c:pt idx="83">
                  <c:v>24</c:v>
                </c:pt>
                <c:pt idx="84">
                  <c:v>28</c:v>
                </c:pt>
                <c:pt idx="85">
                  <c:v>13</c:v>
                </c:pt>
                <c:pt idx="86">
                  <c:v>19</c:v>
                </c:pt>
                <c:pt idx="87">
                  <c:v>17</c:v>
                </c:pt>
                <c:pt idx="88">
                  <c:v>25</c:v>
                </c:pt>
                <c:pt idx="89">
                  <c:v>30</c:v>
                </c:pt>
                <c:pt idx="90">
                  <c:v>27</c:v>
                </c:pt>
                <c:pt idx="91">
                  <c:v>37</c:v>
                </c:pt>
                <c:pt idx="92">
                  <c:v>26</c:v>
                </c:pt>
                <c:pt idx="93">
                  <c:v>30</c:v>
                </c:pt>
                <c:pt idx="94">
                  <c:v>32</c:v>
                </c:pt>
                <c:pt idx="95">
                  <c:v>22</c:v>
                </c:pt>
                <c:pt idx="96">
                  <c:v>27</c:v>
                </c:pt>
                <c:pt idx="97">
                  <c:v>22</c:v>
                </c:pt>
                <c:pt idx="98">
                  <c:v>19</c:v>
                </c:pt>
                <c:pt idx="99">
                  <c:v>12</c:v>
                </c:pt>
                <c:pt idx="100">
                  <c:v>13</c:v>
                </c:pt>
                <c:pt idx="101">
                  <c:v>13</c:v>
                </c:pt>
                <c:pt idx="102">
                  <c:v>9</c:v>
                </c:pt>
                <c:pt idx="103">
                  <c:v>10</c:v>
                </c:pt>
                <c:pt idx="104">
                  <c:v>11</c:v>
                </c:pt>
                <c:pt idx="105">
                  <c:v>13</c:v>
                </c:pt>
                <c:pt idx="106">
                  <c:v>13</c:v>
                </c:pt>
                <c:pt idx="107">
                  <c:v>16</c:v>
                </c:pt>
                <c:pt idx="108">
                  <c:v>21</c:v>
                </c:pt>
                <c:pt idx="109">
                  <c:v>17</c:v>
                </c:pt>
                <c:pt idx="110">
                  <c:v>28</c:v>
                </c:pt>
                <c:pt idx="111">
                  <c:v>21</c:v>
                </c:pt>
                <c:pt idx="112">
                  <c:v>22</c:v>
                </c:pt>
                <c:pt idx="113">
                  <c:v>19</c:v>
                </c:pt>
                <c:pt idx="114">
                  <c:v>17</c:v>
                </c:pt>
                <c:pt idx="115">
                  <c:v>19</c:v>
                </c:pt>
                <c:pt idx="116">
                  <c:v>24</c:v>
                </c:pt>
                <c:pt idx="117">
                  <c:v>12</c:v>
                </c:pt>
                <c:pt idx="118">
                  <c:v>23</c:v>
                </c:pt>
                <c:pt idx="119">
                  <c:v>23</c:v>
                </c:pt>
                <c:pt idx="120">
                  <c:v>21</c:v>
                </c:pt>
                <c:pt idx="121">
                  <c:v>15</c:v>
                </c:pt>
                <c:pt idx="122">
                  <c:v>21</c:v>
                </c:pt>
                <c:pt idx="123">
                  <c:v>22</c:v>
                </c:pt>
                <c:pt idx="124">
                  <c:v>21</c:v>
                </c:pt>
                <c:pt idx="125">
                  <c:v>32</c:v>
                </c:pt>
                <c:pt idx="126">
                  <c:v>17</c:v>
                </c:pt>
                <c:pt idx="127">
                  <c:v>22</c:v>
                </c:pt>
                <c:pt idx="128">
                  <c:v>24</c:v>
                </c:pt>
                <c:pt idx="129">
                  <c:v>10</c:v>
                </c:pt>
                <c:pt idx="130">
                  <c:v>21</c:v>
                </c:pt>
                <c:pt idx="131">
                  <c:v>26</c:v>
                </c:pt>
                <c:pt idx="132">
                  <c:v>27</c:v>
                </c:pt>
                <c:pt idx="133">
                  <c:v>18</c:v>
                </c:pt>
                <c:pt idx="134">
                  <c:v>18</c:v>
                </c:pt>
                <c:pt idx="135">
                  <c:v>26</c:v>
                </c:pt>
                <c:pt idx="136">
                  <c:v>21</c:v>
                </c:pt>
                <c:pt idx="137">
                  <c:v>19</c:v>
                </c:pt>
                <c:pt idx="138">
                  <c:v>20</c:v>
                </c:pt>
                <c:pt idx="139">
                  <c:v>17</c:v>
                </c:pt>
                <c:pt idx="140">
                  <c:v>23</c:v>
                </c:pt>
                <c:pt idx="141">
                  <c:v>17</c:v>
                </c:pt>
                <c:pt idx="142">
                  <c:v>18</c:v>
                </c:pt>
                <c:pt idx="143">
                  <c:v>15</c:v>
                </c:pt>
                <c:pt idx="144">
                  <c:v>16</c:v>
                </c:pt>
                <c:pt idx="145">
                  <c:v>17</c:v>
                </c:pt>
                <c:pt idx="146">
                  <c:v>20</c:v>
                </c:pt>
                <c:pt idx="147">
                  <c:v>16</c:v>
                </c:pt>
                <c:pt idx="148">
                  <c:v>16</c:v>
                </c:pt>
                <c:pt idx="149">
                  <c:v>15</c:v>
                </c:pt>
                <c:pt idx="150">
                  <c:v>15</c:v>
                </c:pt>
                <c:pt idx="151">
                  <c:v>6</c:v>
                </c:pt>
                <c:pt idx="152">
                  <c:v>17</c:v>
                </c:pt>
                <c:pt idx="153">
                  <c:v>12</c:v>
                </c:pt>
                <c:pt idx="154">
                  <c:v>14</c:v>
                </c:pt>
                <c:pt idx="155">
                  <c:v>11</c:v>
                </c:pt>
                <c:pt idx="156">
                  <c:v>14</c:v>
                </c:pt>
                <c:pt idx="157">
                  <c:v>10</c:v>
                </c:pt>
                <c:pt idx="158">
                  <c:v>8</c:v>
                </c:pt>
                <c:pt idx="159">
                  <c:v>17</c:v>
                </c:pt>
                <c:pt idx="160">
                  <c:v>13</c:v>
                </c:pt>
                <c:pt idx="161">
                  <c:v>8</c:v>
                </c:pt>
                <c:pt idx="162">
                  <c:v>11</c:v>
                </c:pt>
                <c:pt idx="163">
                  <c:v>18</c:v>
                </c:pt>
                <c:pt idx="164">
                  <c:v>8</c:v>
                </c:pt>
                <c:pt idx="165">
                  <c:v>16</c:v>
                </c:pt>
                <c:pt idx="166">
                  <c:v>9</c:v>
                </c:pt>
                <c:pt idx="167">
                  <c:v>14</c:v>
                </c:pt>
                <c:pt idx="168">
                  <c:v>17</c:v>
                </c:pt>
                <c:pt idx="169">
                  <c:v>23</c:v>
                </c:pt>
                <c:pt idx="170">
                  <c:v>15</c:v>
                </c:pt>
                <c:pt idx="171">
                  <c:v>15</c:v>
                </c:pt>
                <c:pt idx="172">
                  <c:v>11</c:v>
                </c:pt>
                <c:pt idx="173">
                  <c:v>7</c:v>
                </c:pt>
                <c:pt idx="174">
                  <c:v>13</c:v>
                </c:pt>
                <c:pt idx="175">
                  <c:v>10</c:v>
                </c:pt>
                <c:pt idx="176">
                  <c:v>10</c:v>
                </c:pt>
                <c:pt idx="177">
                  <c:v>8</c:v>
                </c:pt>
                <c:pt idx="178">
                  <c:v>14</c:v>
                </c:pt>
                <c:pt idx="179">
                  <c:v>15</c:v>
                </c:pt>
                <c:pt idx="180">
                  <c:v>6</c:v>
                </c:pt>
                <c:pt idx="181">
                  <c:v>19</c:v>
                </c:pt>
                <c:pt idx="182">
                  <c:v>20</c:v>
                </c:pt>
                <c:pt idx="183">
                  <c:v>9</c:v>
                </c:pt>
                <c:pt idx="184">
                  <c:v>8</c:v>
                </c:pt>
                <c:pt idx="185">
                  <c:v>27</c:v>
                </c:pt>
                <c:pt idx="186">
                  <c:v>14</c:v>
                </c:pt>
                <c:pt idx="187">
                  <c:v>16</c:v>
                </c:pt>
                <c:pt idx="188">
                  <c:v>10</c:v>
                </c:pt>
                <c:pt idx="189">
                  <c:v>12</c:v>
                </c:pt>
                <c:pt idx="190">
                  <c:v>11</c:v>
                </c:pt>
                <c:pt idx="191">
                  <c:v>12</c:v>
                </c:pt>
                <c:pt idx="192">
                  <c:v>13</c:v>
                </c:pt>
                <c:pt idx="193">
                  <c:v>8</c:v>
                </c:pt>
                <c:pt idx="194">
                  <c:v>12</c:v>
                </c:pt>
                <c:pt idx="195">
                  <c:v>10</c:v>
                </c:pt>
                <c:pt idx="196">
                  <c:v>8</c:v>
                </c:pt>
                <c:pt idx="197">
                  <c:v>13</c:v>
                </c:pt>
                <c:pt idx="198">
                  <c:v>6</c:v>
                </c:pt>
                <c:pt idx="199">
                  <c:v>18</c:v>
                </c:pt>
                <c:pt idx="200">
                  <c:v>10</c:v>
                </c:pt>
                <c:pt idx="201">
                  <c:v>9</c:v>
                </c:pt>
                <c:pt idx="202">
                  <c:v>9</c:v>
                </c:pt>
                <c:pt idx="203">
                  <c:v>13</c:v>
                </c:pt>
                <c:pt idx="204">
                  <c:v>11</c:v>
                </c:pt>
                <c:pt idx="205">
                  <c:v>9</c:v>
                </c:pt>
                <c:pt idx="206">
                  <c:v>15</c:v>
                </c:pt>
                <c:pt idx="207">
                  <c:v>10</c:v>
                </c:pt>
                <c:pt idx="208">
                  <c:v>14</c:v>
                </c:pt>
                <c:pt idx="209">
                  <c:v>3</c:v>
                </c:pt>
                <c:pt idx="210">
                  <c:v>11</c:v>
                </c:pt>
                <c:pt idx="211">
                  <c:v>16</c:v>
                </c:pt>
                <c:pt idx="212">
                  <c:v>15</c:v>
                </c:pt>
                <c:pt idx="213">
                  <c:v>8</c:v>
                </c:pt>
                <c:pt idx="214">
                  <c:v>4</c:v>
                </c:pt>
                <c:pt idx="215">
                  <c:v>12</c:v>
                </c:pt>
                <c:pt idx="216">
                  <c:v>7</c:v>
                </c:pt>
                <c:pt idx="217">
                  <c:v>15</c:v>
                </c:pt>
                <c:pt idx="218">
                  <c:v>14</c:v>
                </c:pt>
                <c:pt idx="219">
                  <c:v>12</c:v>
                </c:pt>
                <c:pt idx="220">
                  <c:v>12</c:v>
                </c:pt>
                <c:pt idx="221">
                  <c:v>18</c:v>
                </c:pt>
                <c:pt idx="222">
                  <c:v>9</c:v>
                </c:pt>
                <c:pt idx="223">
                  <c:v>24</c:v>
                </c:pt>
                <c:pt idx="224">
                  <c:v>14</c:v>
                </c:pt>
                <c:pt idx="225">
                  <c:v>13</c:v>
                </c:pt>
                <c:pt idx="226">
                  <c:v>12</c:v>
                </c:pt>
                <c:pt idx="227">
                  <c:v>10</c:v>
                </c:pt>
                <c:pt idx="228">
                  <c:v>11</c:v>
                </c:pt>
                <c:pt idx="229">
                  <c:v>9</c:v>
                </c:pt>
                <c:pt idx="230">
                  <c:v>12</c:v>
                </c:pt>
                <c:pt idx="231">
                  <c:v>9</c:v>
                </c:pt>
                <c:pt idx="232">
                  <c:v>11</c:v>
                </c:pt>
                <c:pt idx="233">
                  <c:v>12</c:v>
                </c:pt>
                <c:pt idx="234">
                  <c:v>12</c:v>
                </c:pt>
                <c:pt idx="235">
                  <c:v>20</c:v>
                </c:pt>
                <c:pt idx="23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193136"/>
        <c:axId val="673314048"/>
      </c:lineChart>
      <c:lineChart>
        <c:grouping val="standard"/>
        <c:varyColors val="0"/>
        <c:ser>
          <c:idx val="2"/>
          <c:order val="2"/>
          <c:tx>
            <c:v>Запросы Wordstat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'Недельная сводка'!$A$5:$A$241</c:f>
              <c:numCache>
                <c:formatCode>m/d/yyyy</c:formatCode>
                <c:ptCount val="237"/>
                <c:pt idx="0">
                  <c:v>44557</c:v>
                </c:pt>
                <c:pt idx="1">
                  <c:v>44564</c:v>
                </c:pt>
                <c:pt idx="2">
                  <c:v>44571</c:v>
                </c:pt>
                <c:pt idx="3">
                  <c:v>44578</c:v>
                </c:pt>
                <c:pt idx="4">
                  <c:v>44585</c:v>
                </c:pt>
                <c:pt idx="5">
                  <c:v>44592</c:v>
                </c:pt>
                <c:pt idx="6">
                  <c:v>44599</c:v>
                </c:pt>
                <c:pt idx="7">
                  <c:v>44606</c:v>
                </c:pt>
                <c:pt idx="8">
                  <c:v>44613</c:v>
                </c:pt>
                <c:pt idx="9">
                  <c:v>44620</c:v>
                </c:pt>
                <c:pt idx="10">
                  <c:v>44627</c:v>
                </c:pt>
                <c:pt idx="11">
                  <c:v>44634</c:v>
                </c:pt>
                <c:pt idx="12">
                  <c:v>44641</c:v>
                </c:pt>
                <c:pt idx="13">
                  <c:v>44648</c:v>
                </c:pt>
                <c:pt idx="14">
                  <c:v>44655</c:v>
                </c:pt>
                <c:pt idx="15">
                  <c:v>44662</c:v>
                </c:pt>
                <c:pt idx="16">
                  <c:v>44669</c:v>
                </c:pt>
                <c:pt idx="17">
                  <c:v>44676</c:v>
                </c:pt>
                <c:pt idx="18">
                  <c:v>44683</c:v>
                </c:pt>
                <c:pt idx="19">
                  <c:v>44690</c:v>
                </c:pt>
                <c:pt idx="20">
                  <c:v>44697</c:v>
                </c:pt>
                <c:pt idx="21">
                  <c:v>44704</c:v>
                </c:pt>
                <c:pt idx="22">
                  <c:v>44711</c:v>
                </c:pt>
                <c:pt idx="23">
                  <c:v>44718</c:v>
                </c:pt>
                <c:pt idx="24">
                  <c:v>44725</c:v>
                </c:pt>
                <c:pt idx="25">
                  <c:v>44732</c:v>
                </c:pt>
                <c:pt idx="26">
                  <c:v>44739</c:v>
                </c:pt>
                <c:pt idx="27">
                  <c:v>44746</c:v>
                </c:pt>
                <c:pt idx="28">
                  <c:v>44753</c:v>
                </c:pt>
                <c:pt idx="29">
                  <c:v>44760</c:v>
                </c:pt>
                <c:pt idx="30">
                  <c:v>44767</c:v>
                </c:pt>
                <c:pt idx="31">
                  <c:v>44774</c:v>
                </c:pt>
                <c:pt idx="32">
                  <c:v>44781</c:v>
                </c:pt>
                <c:pt idx="33">
                  <c:v>44788</c:v>
                </c:pt>
                <c:pt idx="34">
                  <c:v>44795</c:v>
                </c:pt>
                <c:pt idx="35">
                  <c:v>44802</c:v>
                </c:pt>
                <c:pt idx="36">
                  <c:v>44809</c:v>
                </c:pt>
                <c:pt idx="37">
                  <c:v>44816</c:v>
                </c:pt>
                <c:pt idx="38">
                  <c:v>44823</c:v>
                </c:pt>
                <c:pt idx="39">
                  <c:v>44830</c:v>
                </c:pt>
                <c:pt idx="40">
                  <c:v>44837</c:v>
                </c:pt>
                <c:pt idx="41">
                  <c:v>44844</c:v>
                </c:pt>
                <c:pt idx="42">
                  <c:v>44851</c:v>
                </c:pt>
                <c:pt idx="43">
                  <c:v>44858</c:v>
                </c:pt>
                <c:pt idx="44">
                  <c:v>44865</c:v>
                </c:pt>
                <c:pt idx="45">
                  <c:v>44872</c:v>
                </c:pt>
                <c:pt idx="46">
                  <c:v>44879</c:v>
                </c:pt>
                <c:pt idx="47">
                  <c:v>44886</c:v>
                </c:pt>
                <c:pt idx="48">
                  <c:v>44893</c:v>
                </c:pt>
                <c:pt idx="49">
                  <c:v>44900</c:v>
                </c:pt>
                <c:pt idx="50">
                  <c:v>44907</c:v>
                </c:pt>
                <c:pt idx="51">
                  <c:v>44914</c:v>
                </c:pt>
                <c:pt idx="52">
                  <c:v>44921</c:v>
                </c:pt>
                <c:pt idx="53">
                  <c:v>44928</c:v>
                </c:pt>
                <c:pt idx="54">
                  <c:v>44935</c:v>
                </c:pt>
                <c:pt idx="55">
                  <c:v>44942</c:v>
                </c:pt>
                <c:pt idx="56">
                  <c:v>44949</c:v>
                </c:pt>
                <c:pt idx="57">
                  <c:v>44956</c:v>
                </c:pt>
                <c:pt idx="58">
                  <c:v>44963</c:v>
                </c:pt>
                <c:pt idx="59">
                  <c:v>44970</c:v>
                </c:pt>
                <c:pt idx="60">
                  <c:v>44977</c:v>
                </c:pt>
                <c:pt idx="61">
                  <c:v>44984</c:v>
                </c:pt>
                <c:pt idx="62">
                  <c:v>44991</c:v>
                </c:pt>
                <c:pt idx="63">
                  <c:v>44998</c:v>
                </c:pt>
                <c:pt idx="64">
                  <c:v>45005</c:v>
                </c:pt>
                <c:pt idx="65">
                  <c:v>45012</c:v>
                </c:pt>
                <c:pt idx="66">
                  <c:v>45019</c:v>
                </c:pt>
                <c:pt idx="67">
                  <c:v>45026</c:v>
                </c:pt>
                <c:pt idx="68">
                  <c:v>45033</c:v>
                </c:pt>
                <c:pt idx="69">
                  <c:v>45040</c:v>
                </c:pt>
                <c:pt idx="70">
                  <c:v>45047</c:v>
                </c:pt>
                <c:pt idx="71">
                  <c:v>45054</c:v>
                </c:pt>
                <c:pt idx="72">
                  <c:v>45061</c:v>
                </c:pt>
                <c:pt idx="73">
                  <c:v>45068</c:v>
                </c:pt>
                <c:pt idx="74">
                  <c:v>45075</c:v>
                </c:pt>
                <c:pt idx="75">
                  <c:v>45082</c:v>
                </c:pt>
                <c:pt idx="76">
                  <c:v>45089</c:v>
                </c:pt>
                <c:pt idx="77">
                  <c:v>45096</c:v>
                </c:pt>
                <c:pt idx="78">
                  <c:v>45103</c:v>
                </c:pt>
                <c:pt idx="79">
                  <c:v>45110</c:v>
                </c:pt>
                <c:pt idx="80">
                  <c:v>45117</c:v>
                </c:pt>
                <c:pt idx="81">
                  <c:v>45124</c:v>
                </c:pt>
                <c:pt idx="82">
                  <c:v>45131</c:v>
                </c:pt>
                <c:pt idx="83">
                  <c:v>45138</c:v>
                </c:pt>
                <c:pt idx="84">
                  <c:v>45145</c:v>
                </c:pt>
                <c:pt idx="85">
                  <c:v>45152</c:v>
                </c:pt>
                <c:pt idx="86">
                  <c:v>45159</c:v>
                </c:pt>
                <c:pt idx="87">
                  <c:v>45166</c:v>
                </c:pt>
                <c:pt idx="88">
                  <c:v>45173</c:v>
                </c:pt>
                <c:pt idx="89">
                  <c:v>45180</c:v>
                </c:pt>
                <c:pt idx="90">
                  <c:v>45187</c:v>
                </c:pt>
                <c:pt idx="91">
                  <c:v>45194</c:v>
                </c:pt>
                <c:pt idx="92">
                  <c:v>45201</c:v>
                </c:pt>
                <c:pt idx="93">
                  <c:v>45208</c:v>
                </c:pt>
                <c:pt idx="94">
                  <c:v>45215</c:v>
                </c:pt>
                <c:pt idx="95">
                  <c:v>45222</c:v>
                </c:pt>
                <c:pt idx="96">
                  <c:v>45229</c:v>
                </c:pt>
                <c:pt idx="97">
                  <c:v>45236</c:v>
                </c:pt>
                <c:pt idx="98">
                  <c:v>45243</c:v>
                </c:pt>
                <c:pt idx="99">
                  <c:v>45250</c:v>
                </c:pt>
                <c:pt idx="100">
                  <c:v>45257</c:v>
                </c:pt>
                <c:pt idx="101">
                  <c:v>45264</c:v>
                </c:pt>
                <c:pt idx="102">
                  <c:v>45271</c:v>
                </c:pt>
                <c:pt idx="103">
                  <c:v>45278</c:v>
                </c:pt>
                <c:pt idx="104">
                  <c:v>45285</c:v>
                </c:pt>
                <c:pt idx="105">
                  <c:v>45292</c:v>
                </c:pt>
                <c:pt idx="106">
                  <c:v>45299</c:v>
                </c:pt>
                <c:pt idx="107">
                  <c:v>45306</c:v>
                </c:pt>
                <c:pt idx="108">
                  <c:v>45313</c:v>
                </c:pt>
                <c:pt idx="109">
                  <c:v>45320</c:v>
                </c:pt>
                <c:pt idx="110">
                  <c:v>45327</c:v>
                </c:pt>
                <c:pt idx="111">
                  <c:v>45334</c:v>
                </c:pt>
                <c:pt idx="112">
                  <c:v>45341</c:v>
                </c:pt>
                <c:pt idx="113">
                  <c:v>45348</c:v>
                </c:pt>
                <c:pt idx="114">
                  <c:v>45355</c:v>
                </c:pt>
                <c:pt idx="115">
                  <c:v>45362</c:v>
                </c:pt>
                <c:pt idx="116">
                  <c:v>45369</c:v>
                </c:pt>
                <c:pt idx="117">
                  <c:v>45376</c:v>
                </c:pt>
                <c:pt idx="118">
                  <c:v>45383</c:v>
                </c:pt>
                <c:pt idx="119">
                  <c:v>45390</c:v>
                </c:pt>
                <c:pt idx="120">
                  <c:v>45397</c:v>
                </c:pt>
                <c:pt idx="121">
                  <c:v>45404</c:v>
                </c:pt>
                <c:pt idx="122">
                  <c:v>45411</c:v>
                </c:pt>
                <c:pt idx="123">
                  <c:v>45418</c:v>
                </c:pt>
                <c:pt idx="124">
                  <c:v>45425</c:v>
                </c:pt>
                <c:pt idx="125">
                  <c:v>45432</c:v>
                </c:pt>
                <c:pt idx="126">
                  <c:v>45439</c:v>
                </c:pt>
                <c:pt idx="127">
                  <c:v>45446</c:v>
                </c:pt>
                <c:pt idx="128">
                  <c:v>45453</c:v>
                </c:pt>
                <c:pt idx="129">
                  <c:v>45460</c:v>
                </c:pt>
                <c:pt idx="130">
                  <c:v>45467</c:v>
                </c:pt>
                <c:pt idx="131">
                  <c:v>45474</c:v>
                </c:pt>
                <c:pt idx="132">
                  <c:v>45481</c:v>
                </c:pt>
                <c:pt idx="133">
                  <c:v>45488</c:v>
                </c:pt>
                <c:pt idx="134">
                  <c:v>45495</c:v>
                </c:pt>
                <c:pt idx="135">
                  <c:v>45502</c:v>
                </c:pt>
                <c:pt idx="136">
                  <c:v>45509</c:v>
                </c:pt>
                <c:pt idx="137">
                  <c:v>45516</c:v>
                </c:pt>
                <c:pt idx="138">
                  <c:v>45523</c:v>
                </c:pt>
                <c:pt idx="139">
                  <c:v>45530</c:v>
                </c:pt>
                <c:pt idx="140">
                  <c:v>45537</c:v>
                </c:pt>
                <c:pt idx="141">
                  <c:v>45544</c:v>
                </c:pt>
                <c:pt idx="142">
                  <c:v>45551</c:v>
                </c:pt>
                <c:pt idx="143">
                  <c:v>45558</c:v>
                </c:pt>
                <c:pt idx="144">
                  <c:v>45565</c:v>
                </c:pt>
                <c:pt idx="145">
                  <c:v>45572</c:v>
                </c:pt>
                <c:pt idx="146">
                  <c:v>45579</c:v>
                </c:pt>
                <c:pt idx="147">
                  <c:v>45586</c:v>
                </c:pt>
                <c:pt idx="148">
                  <c:v>45593</c:v>
                </c:pt>
                <c:pt idx="149">
                  <c:v>45600</c:v>
                </c:pt>
                <c:pt idx="150">
                  <c:v>45607</c:v>
                </c:pt>
                <c:pt idx="151">
                  <c:v>45614</c:v>
                </c:pt>
                <c:pt idx="152">
                  <c:v>45621</c:v>
                </c:pt>
                <c:pt idx="153">
                  <c:v>45628</c:v>
                </c:pt>
                <c:pt idx="154">
                  <c:v>45635</c:v>
                </c:pt>
                <c:pt idx="155">
                  <c:v>45642</c:v>
                </c:pt>
                <c:pt idx="156">
                  <c:v>45649</c:v>
                </c:pt>
                <c:pt idx="157">
                  <c:v>45656</c:v>
                </c:pt>
                <c:pt idx="158">
                  <c:v>45663</c:v>
                </c:pt>
                <c:pt idx="159">
                  <c:v>45670</c:v>
                </c:pt>
                <c:pt idx="160">
                  <c:v>45677</c:v>
                </c:pt>
                <c:pt idx="161">
                  <c:v>45684</c:v>
                </c:pt>
                <c:pt idx="162">
                  <c:v>45691</c:v>
                </c:pt>
                <c:pt idx="163">
                  <c:v>45698</c:v>
                </c:pt>
                <c:pt idx="164">
                  <c:v>45705</c:v>
                </c:pt>
                <c:pt idx="165">
                  <c:v>45712</c:v>
                </c:pt>
                <c:pt idx="166">
                  <c:v>45719</c:v>
                </c:pt>
                <c:pt idx="167">
                  <c:v>45726</c:v>
                </c:pt>
                <c:pt idx="168">
                  <c:v>45733</c:v>
                </c:pt>
                <c:pt idx="169">
                  <c:v>45740</c:v>
                </c:pt>
                <c:pt idx="170">
                  <c:v>45747</c:v>
                </c:pt>
                <c:pt idx="171">
                  <c:v>45754</c:v>
                </c:pt>
                <c:pt idx="172">
                  <c:v>45761</c:v>
                </c:pt>
                <c:pt idx="173">
                  <c:v>45768</c:v>
                </c:pt>
                <c:pt idx="174">
                  <c:v>45775</c:v>
                </c:pt>
                <c:pt idx="175">
                  <c:v>45782</c:v>
                </c:pt>
                <c:pt idx="176">
                  <c:v>45789</c:v>
                </c:pt>
                <c:pt idx="177">
                  <c:v>45796</c:v>
                </c:pt>
                <c:pt idx="178">
                  <c:v>45803</c:v>
                </c:pt>
                <c:pt idx="179">
                  <c:v>45810</c:v>
                </c:pt>
                <c:pt idx="180">
                  <c:v>45817</c:v>
                </c:pt>
                <c:pt idx="181">
                  <c:v>45824</c:v>
                </c:pt>
                <c:pt idx="182">
                  <c:v>45831</c:v>
                </c:pt>
                <c:pt idx="183">
                  <c:v>45838</c:v>
                </c:pt>
                <c:pt idx="184">
                  <c:v>45845</c:v>
                </c:pt>
                <c:pt idx="185">
                  <c:v>45852</c:v>
                </c:pt>
                <c:pt idx="186">
                  <c:v>45859</c:v>
                </c:pt>
                <c:pt idx="187">
                  <c:v>45866</c:v>
                </c:pt>
                <c:pt idx="188">
                  <c:v>45873</c:v>
                </c:pt>
                <c:pt idx="189">
                  <c:v>45880</c:v>
                </c:pt>
                <c:pt idx="190">
                  <c:v>45887</c:v>
                </c:pt>
                <c:pt idx="191">
                  <c:v>45894</c:v>
                </c:pt>
                <c:pt idx="192">
                  <c:v>45901</c:v>
                </c:pt>
                <c:pt idx="193">
                  <c:v>45908</c:v>
                </c:pt>
                <c:pt idx="194">
                  <c:v>45915</c:v>
                </c:pt>
                <c:pt idx="195">
                  <c:v>45922</c:v>
                </c:pt>
                <c:pt idx="196">
                  <c:v>45929</c:v>
                </c:pt>
                <c:pt idx="197">
                  <c:v>45936</c:v>
                </c:pt>
                <c:pt idx="198">
                  <c:v>45943</c:v>
                </c:pt>
                <c:pt idx="199">
                  <c:v>45950</c:v>
                </c:pt>
                <c:pt idx="200">
                  <c:v>45957</c:v>
                </c:pt>
                <c:pt idx="201">
                  <c:v>45964</c:v>
                </c:pt>
                <c:pt idx="202">
                  <c:v>45971</c:v>
                </c:pt>
                <c:pt idx="203">
                  <c:v>45978</c:v>
                </c:pt>
                <c:pt idx="204">
                  <c:v>45985</c:v>
                </c:pt>
                <c:pt idx="205">
                  <c:v>45992</c:v>
                </c:pt>
                <c:pt idx="206">
                  <c:v>45999</c:v>
                </c:pt>
                <c:pt idx="207">
                  <c:v>46006</c:v>
                </c:pt>
                <c:pt idx="208">
                  <c:v>46013</c:v>
                </c:pt>
                <c:pt idx="209">
                  <c:v>46020</c:v>
                </c:pt>
                <c:pt idx="210">
                  <c:v>46027</c:v>
                </c:pt>
                <c:pt idx="211">
                  <c:v>46034</c:v>
                </c:pt>
                <c:pt idx="212">
                  <c:v>46041</c:v>
                </c:pt>
                <c:pt idx="213">
                  <c:v>46048</c:v>
                </c:pt>
                <c:pt idx="214">
                  <c:v>46055</c:v>
                </c:pt>
                <c:pt idx="215">
                  <c:v>46062</c:v>
                </c:pt>
                <c:pt idx="216">
                  <c:v>46069</c:v>
                </c:pt>
                <c:pt idx="217">
                  <c:v>46076</c:v>
                </c:pt>
                <c:pt idx="218">
                  <c:v>46083</c:v>
                </c:pt>
                <c:pt idx="219">
                  <c:v>46090</c:v>
                </c:pt>
                <c:pt idx="220">
                  <c:v>46097</c:v>
                </c:pt>
                <c:pt idx="221">
                  <c:v>46104</c:v>
                </c:pt>
                <c:pt idx="222">
                  <c:v>46111</c:v>
                </c:pt>
                <c:pt idx="223">
                  <c:v>46118</c:v>
                </c:pt>
                <c:pt idx="224">
                  <c:v>46125</c:v>
                </c:pt>
                <c:pt idx="225">
                  <c:v>46132</c:v>
                </c:pt>
                <c:pt idx="226">
                  <c:v>46139</c:v>
                </c:pt>
                <c:pt idx="227">
                  <c:v>46146</c:v>
                </c:pt>
                <c:pt idx="228">
                  <c:v>46153</c:v>
                </c:pt>
                <c:pt idx="229">
                  <c:v>46160</c:v>
                </c:pt>
                <c:pt idx="230">
                  <c:v>46167</c:v>
                </c:pt>
                <c:pt idx="231">
                  <c:v>46174</c:v>
                </c:pt>
                <c:pt idx="232">
                  <c:v>46181</c:v>
                </c:pt>
                <c:pt idx="233">
                  <c:v>46188</c:v>
                </c:pt>
                <c:pt idx="234">
                  <c:v>46195</c:v>
                </c:pt>
                <c:pt idx="235">
                  <c:v>46202</c:v>
                </c:pt>
                <c:pt idx="236">
                  <c:v>46209</c:v>
                </c:pt>
              </c:numCache>
            </c:numRef>
          </c:cat>
          <c:val>
            <c:numRef>
              <c:f>'Недельная сводка'!$F$5:$F$241</c:f>
              <c:numCache>
                <c:formatCode>General</c:formatCode>
                <c:ptCount val="237"/>
                <c:pt idx="0">
                  <c:v>61</c:v>
                </c:pt>
                <c:pt idx="1">
                  <c:v>77</c:v>
                </c:pt>
                <c:pt idx="2">
                  <c:v>122</c:v>
                </c:pt>
                <c:pt idx="3">
                  <c:v>169</c:v>
                </c:pt>
                <c:pt idx="4">
                  <c:v>88</c:v>
                </c:pt>
                <c:pt idx="5">
                  <c:v>129</c:v>
                </c:pt>
                <c:pt idx="6">
                  <c:v>144</c:v>
                </c:pt>
                <c:pt idx="7">
                  <c:v>112</c:v>
                </c:pt>
                <c:pt idx="8">
                  <c:v>108</c:v>
                </c:pt>
                <c:pt idx="9">
                  <c:v>97</c:v>
                </c:pt>
                <c:pt idx="10">
                  <c:v>104</c:v>
                </c:pt>
                <c:pt idx="11">
                  <c:v>122</c:v>
                </c:pt>
                <c:pt idx="12">
                  <c:v>190</c:v>
                </c:pt>
                <c:pt idx="13">
                  <c:v>147</c:v>
                </c:pt>
                <c:pt idx="14">
                  <c:v>156</c:v>
                </c:pt>
                <c:pt idx="15">
                  <c:v>154</c:v>
                </c:pt>
                <c:pt idx="16">
                  <c:v>112</c:v>
                </c:pt>
                <c:pt idx="17">
                  <c:v>139</c:v>
                </c:pt>
                <c:pt idx="18">
                  <c:v>133</c:v>
                </c:pt>
                <c:pt idx="19">
                  <c:v>140</c:v>
                </c:pt>
                <c:pt idx="20">
                  <c:v>134</c:v>
                </c:pt>
                <c:pt idx="21">
                  <c:v>86</c:v>
                </c:pt>
                <c:pt idx="22">
                  <c:v>113</c:v>
                </c:pt>
                <c:pt idx="23">
                  <c:v>130</c:v>
                </c:pt>
                <c:pt idx="24">
                  <c:v>121</c:v>
                </c:pt>
                <c:pt idx="25">
                  <c:v>122</c:v>
                </c:pt>
                <c:pt idx="26">
                  <c:v>130</c:v>
                </c:pt>
                <c:pt idx="27">
                  <c:v>138</c:v>
                </c:pt>
                <c:pt idx="28">
                  <c:v>107</c:v>
                </c:pt>
                <c:pt idx="29">
                  <c:v>183</c:v>
                </c:pt>
                <c:pt idx="30">
                  <c:v>248</c:v>
                </c:pt>
                <c:pt idx="31">
                  <c:v>151</c:v>
                </c:pt>
                <c:pt idx="32">
                  <c:v>150</c:v>
                </c:pt>
                <c:pt idx="33">
                  <c:v>201</c:v>
                </c:pt>
                <c:pt idx="34">
                  <c:v>145</c:v>
                </c:pt>
                <c:pt idx="35">
                  <c:v>117</c:v>
                </c:pt>
                <c:pt idx="36">
                  <c:v>123</c:v>
                </c:pt>
                <c:pt idx="37">
                  <c:v>89</c:v>
                </c:pt>
                <c:pt idx="38">
                  <c:v>88</c:v>
                </c:pt>
                <c:pt idx="39">
                  <c:v>101</c:v>
                </c:pt>
                <c:pt idx="40">
                  <c:v>130</c:v>
                </c:pt>
                <c:pt idx="41">
                  <c:v>108</c:v>
                </c:pt>
                <c:pt idx="42">
                  <c:v>131</c:v>
                </c:pt>
                <c:pt idx="43">
                  <c:v>133</c:v>
                </c:pt>
                <c:pt idx="44">
                  <c:v>112</c:v>
                </c:pt>
                <c:pt idx="45">
                  <c:v>127</c:v>
                </c:pt>
                <c:pt idx="46">
                  <c:v>111</c:v>
                </c:pt>
                <c:pt idx="47">
                  <c:v>107</c:v>
                </c:pt>
                <c:pt idx="48">
                  <c:v>102</c:v>
                </c:pt>
                <c:pt idx="49">
                  <c:v>120</c:v>
                </c:pt>
                <c:pt idx="50">
                  <c:v>114</c:v>
                </c:pt>
                <c:pt idx="51">
                  <c:v>111</c:v>
                </c:pt>
                <c:pt idx="52">
                  <c:v>76</c:v>
                </c:pt>
                <c:pt idx="53">
                  <c:v>76</c:v>
                </c:pt>
                <c:pt idx="54">
                  <c:v>94</c:v>
                </c:pt>
                <c:pt idx="55">
                  <c:v>101</c:v>
                </c:pt>
                <c:pt idx="56">
                  <c:v>79</c:v>
                </c:pt>
                <c:pt idx="57">
                  <c:v>117</c:v>
                </c:pt>
                <c:pt idx="58">
                  <c:v>123</c:v>
                </c:pt>
                <c:pt idx="59">
                  <c:v>55</c:v>
                </c:pt>
                <c:pt idx="60">
                  <c:v>80</c:v>
                </c:pt>
                <c:pt idx="61">
                  <c:v>148</c:v>
                </c:pt>
                <c:pt idx="62">
                  <c:v>94</c:v>
                </c:pt>
                <c:pt idx="63">
                  <c:v>115</c:v>
                </c:pt>
                <c:pt idx="64">
                  <c:v>123</c:v>
                </c:pt>
                <c:pt idx="65">
                  <c:v>126</c:v>
                </c:pt>
                <c:pt idx="66">
                  <c:v>144</c:v>
                </c:pt>
                <c:pt idx="67">
                  <c:v>135</c:v>
                </c:pt>
                <c:pt idx="68">
                  <c:v>144</c:v>
                </c:pt>
                <c:pt idx="69">
                  <c:v>135</c:v>
                </c:pt>
                <c:pt idx="70">
                  <c:v>109</c:v>
                </c:pt>
                <c:pt idx="71">
                  <c:v>107</c:v>
                </c:pt>
                <c:pt idx="72">
                  <c:v>138</c:v>
                </c:pt>
                <c:pt idx="73">
                  <c:v>133</c:v>
                </c:pt>
                <c:pt idx="74">
                  <c:v>147</c:v>
                </c:pt>
                <c:pt idx="75">
                  <c:v>105</c:v>
                </c:pt>
                <c:pt idx="76">
                  <c:v>139</c:v>
                </c:pt>
                <c:pt idx="77">
                  <c:v>117</c:v>
                </c:pt>
                <c:pt idx="78">
                  <c:v>112</c:v>
                </c:pt>
                <c:pt idx="79">
                  <c:v>100</c:v>
                </c:pt>
                <c:pt idx="80">
                  <c:v>124</c:v>
                </c:pt>
                <c:pt idx="81">
                  <c:v>148</c:v>
                </c:pt>
                <c:pt idx="82">
                  <c:v>126</c:v>
                </c:pt>
                <c:pt idx="83">
                  <c:v>105</c:v>
                </c:pt>
                <c:pt idx="84">
                  <c:v>106</c:v>
                </c:pt>
                <c:pt idx="85">
                  <c:v>108</c:v>
                </c:pt>
                <c:pt idx="86">
                  <c:v>95</c:v>
                </c:pt>
                <c:pt idx="87">
                  <c:v>126</c:v>
                </c:pt>
                <c:pt idx="88">
                  <c:v>118</c:v>
                </c:pt>
                <c:pt idx="89">
                  <c:v>84</c:v>
                </c:pt>
                <c:pt idx="90">
                  <c:v>153</c:v>
                </c:pt>
                <c:pt idx="91">
                  <c:v>161</c:v>
                </c:pt>
                <c:pt idx="92">
                  <c:v>136</c:v>
                </c:pt>
                <c:pt idx="93">
                  <c:v>131</c:v>
                </c:pt>
                <c:pt idx="94">
                  <c:v>131</c:v>
                </c:pt>
                <c:pt idx="95">
                  <c:v>87</c:v>
                </c:pt>
                <c:pt idx="96">
                  <c:v>124</c:v>
                </c:pt>
                <c:pt idx="97">
                  <c:v>119</c:v>
                </c:pt>
                <c:pt idx="98">
                  <c:v>183</c:v>
                </c:pt>
                <c:pt idx="99">
                  <c:v>120</c:v>
                </c:pt>
                <c:pt idx="100">
                  <c:v>105</c:v>
                </c:pt>
                <c:pt idx="101">
                  <c:v>128</c:v>
                </c:pt>
                <c:pt idx="102">
                  <c:v>84</c:v>
                </c:pt>
                <c:pt idx="103">
                  <c:v>97</c:v>
                </c:pt>
                <c:pt idx="104">
                  <c:v>81</c:v>
                </c:pt>
                <c:pt idx="105">
                  <c:v>69</c:v>
                </c:pt>
                <c:pt idx="106">
                  <c:v>92</c:v>
                </c:pt>
                <c:pt idx="107">
                  <c:v>118</c:v>
                </c:pt>
                <c:pt idx="108">
                  <c:v>165</c:v>
                </c:pt>
                <c:pt idx="109">
                  <c:v>111</c:v>
                </c:pt>
                <c:pt idx="110">
                  <c:v>127</c:v>
                </c:pt>
                <c:pt idx="111">
                  <c:v>142</c:v>
                </c:pt>
                <c:pt idx="112">
                  <c:v>107</c:v>
                </c:pt>
                <c:pt idx="113">
                  <c:v>171</c:v>
                </c:pt>
                <c:pt idx="114">
                  <c:v>133</c:v>
                </c:pt>
                <c:pt idx="115">
                  <c:v>97</c:v>
                </c:pt>
                <c:pt idx="116">
                  <c:v>91</c:v>
                </c:pt>
                <c:pt idx="117">
                  <c:v>90</c:v>
                </c:pt>
                <c:pt idx="118">
                  <c:v>151</c:v>
                </c:pt>
                <c:pt idx="119">
                  <c:v>120</c:v>
                </c:pt>
                <c:pt idx="120">
                  <c:v>152</c:v>
                </c:pt>
                <c:pt idx="121">
                  <c:v>134</c:v>
                </c:pt>
                <c:pt idx="122">
                  <c:v>119</c:v>
                </c:pt>
                <c:pt idx="123">
                  <c:v>101</c:v>
                </c:pt>
                <c:pt idx="124">
                  <c:v>110</c:v>
                </c:pt>
                <c:pt idx="125">
                  <c:v>177</c:v>
                </c:pt>
                <c:pt idx="126">
                  <c:v>124</c:v>
                </c:pt>
                <c:pt idx="127">
                  <c:v>104</c:v>
                </c:pt>
                <c:pt idx="128">
                  <c:v>145</c:v>
                </c:pt>
                <c:pt idx="129">
                  <c:v>122</c:v>
                </c:pt>
                <c:pt idx="130">
                  <c:v>97</c:v>
                </c:pt>
                <c:pt idx="131">
                  <c:v>112</c:v>
                </c:pt>
                <c:pt idx="132">
                  <c:v>137</c:v>
                </c:pt>
                <c:pt idx="133">
                  <c:v>147</c:v>
                </c:pt>
                <c:pt idx="134">
                  <c:v>121</c:v>
                </c:pt>
                <c:pt idx="135">
                  <c:v>161</c:v>
                </c:pt>
                <c:pt idx="136">
                  <c:v>113</c:v>
                </c:pt>
                <c:pt idx="137">
                  <c:v>127</c:v>
                </c:pt>
                <c:pt idx="138">
                  <c:v>109</c:v>
                </c:pt>
                <c:pt idx="139">
                  <c:v>142</c:v>
                </c:pt>
                <c:pt idx="140">
                  <c:v>77</c:v>
                </c:pt>
                <c:pt idx="141">
                  <c:v>103</c:v>
                </c:pt>
                <c:pt idx="142">
                  <c:v>153</c:v>
                </c:pt>
                <c:pt idx="143">
                  <c:v>122</c:v>
                </c:pt>
                <c:pt idx="144">
                  <c:v>140</c:v>
                </c:pt>
                <c:pt idx="145">
                  <c:v>158</c:v>
                </c:pt>
                <c:pt idx="146">
                  <c:v>104</c:v>
                </c:pt>
                <c:pt idx="147">
                  <c:v>112</c:v>
                </c:pt>
                <c:pt idx="148">
                  <c:v>124</c:v>
                </c:pt>
                <c:pt idx="149">
                  <c:v>91</c:v>
                </c:pt>
                <c:pt idx="150">
                  <c:v>67</c:v>
                </c:pt>
                <c:pt idx="151">
                  <c:v>74</c:v>
                </c:pt>
                <c:pt idx="152">
                  <c:v>93</c:v>
                </c:pt>
                <c:pt idx="153">
                  <c:v>111</c:v>
                </c:pt>
                <c:pt idx="154">
                  <c:v>76</c:v>
                </c:pt>
                <c:pt idx="155">
                  <c:v>122</c:v>
                </c:pt>
                <c:pt idx="156">
                  <c:v>58</c:v>
                </c:pt>
                <c:pt idx="157">
                  <c:v>45</c:v>
                </c:pt>
                <c:pt idx="158">
                  <c:v>123</c:v>
                </c:pt>
                <c:pt idx="159">
                  <c:v>73</c:v>
                </c:pt>
                <c:pt idx="160">
                  <c:v>103</c:v>
                </c:pt>
                <c:pt idx="161">
                  <c:v>109</c:v>
                </c:pt>
                <c:pt idx="162">
                  <c:v>117</c:v>
                </c:pt>
                <c:pt idx="163">
                  <c:v>159</c:v>
                </c:pt>
                <c:pt idx="164">
                  <c:v>70</c:v>
                </c:pt>
                <c:pt idx="165">
                  <c:v>109</c:v>
                </c:pt>
                <c:pt idx="166">
                  <c:v>70</c:v>
                </c:pt>
                <c:pt idx="167">
                  <c:v>76</c:v>
                </c:pt>
                <c:pt idx="168">
                  <c:v>152</c:v>
                </c:pt>
                <c:pt idx="169">
                  <c:v>191</c:v>
                </c:pt>
                <c:pt idx="170">
                  <c:v>188</c:v>
                </c:pt>
                <c:pt idx="171">
                  <c:v>151</c:v>
                </c:pt>
                <c:pt idx="172">
                  <c:v>114</c:v>
                </c:pt>
                <c:pt idx="173">
                  <c:v>110</c:v>
                </c:pt>
                <c:pt idx="174">
                  <c:v>61</c:v>
                </c:pt>
                <c:pt idx="175">
                  <c:v>66</c:v>
                </c:pt>
                <c:pt idx="176">
                  <c:v>75</c:v>
                </c:pt>
                <c:pt idx="177">
                  <c:v>127</c:v>
                </c:pt>
                <c:pt idx="178">
                  <c:v>104</c:v>
                </c:pt>
                <c:pt idx="179">
                  <c:v>129</c:v>
                </c:pt>
                <c:pt idx="180">
                  <c:v>75</c:v>
                </c:pt>
                <c:pt idx="181">
                  <c:v>127</c:v>
                </c:pt>
                <c:pt idx="182">
                  <c:v>132</c:v>
                </c:pt>
                <c:pt idx="183">
                  <c:v>134</c:v>
                </c:pt>
                <c:pt idx="184">
                  <c:v>134</c:v>
                </c:pt>
                <c:pt idx="185">
                  <c:v>137</c:v>
                </c:pt>
                <c:pt idx="186">
                  <c:v>85</c:v>
                </c:pt>
                <c:pt idx="187">
                  <c:v>87</c:v>
                </c:pt>
                <c:pt idx="188">
                  <c:v>59</c:v>
                </c:pt>
                <c:pt idx="189">
                  <c:v>83</c:v>
                </c:pt>
                <c:pt idx="190">
                  <c:v>81</c:v>
                </c:pt>
                <c:pt idx="191">
                  <c:v>83</c:v>
                </c:pt>
                <c:pt idx="192">
                  <c:v>108</c:v>
                </c:pt>
                <c:pt idx="193">
                  <c:v>107</c:v>
                </c:pt>
                <c:pt idx="194">
                  <c:v>59</c:v>
                </c:pt>
                <c:pt idx="195">
                  <c:v>90</c:v>
                </c:pt>
                <c:pt idx="196">
                  <c:v>84</c:v>
                </c:pt>
                <c:pt idx="197">
                  <c:v>125</c:v>
                </c:pt>
                <c:pt idx="198">
                  <c:v>114</c:v>
                </c:pt>
                <c:pt idx="199">
                  <c:v>124</c:v>
                </c:pt>
                <c:pt idx="200">
                  <c:v>107</c:v>
                </c:pt>
                <c:pt idx="201">
                  <c:v>90</c:v>
                </c:pt>
                <c:pt idx="202">
                  <c:v>95</c:v>
                </c:pt>
                <c:pt idx="203">
                  <c:v>108</c:v>
                </c:pt>
                <c:pt idx="204">
                  <c:v>129</c:v>
                </c:pt>
                <c:pt idx="205">
                  <c:v>85</c:v>
                </c:pt>
                <c:pt idx="206">
                  <c:v>52</c:v>
                </c:pt>
                <c:pt idx="207">
                  <c:v>66</c:v>
                </c:pt>
                <c:pt idx="208">
                  <c:v>60</c:v>
                </c:pt>
                <c:pt idx="209">
                  <c:v>41</c:v>
                </c:pt>
                <c:pt idx="210">
                  <c:v>70</c:v>
                </c:pt>
                <c:pt idx="211">
                  <c:v>118</c:v>
                </c:pt>
                <c:pt idx="212">
                  <c:v>91</c:v>
                </c:pt>
                <c:pt idx="213">
                  <c:v>60</c:v>
                </c:pt>
                <c:pt idx="214">
                  <c:v>48</c:v>
                </c:pt>
                <c:pt idx="215">
                  <c:v>98</c:v>
                </c:pt>
                <c:pt idx="216">
                  <c:v>108</c:v>
                </c:pt>
                <c:pt idx="217">
                  <c:v>80</c:v>
                </c:pt>
                <c:pt idx="218">
                  <c:v>74</c:v>
                </c:pt>
                <c:pt idx="219">
                  <c:v>78</c:v>
                </c:pt>
                <c:pt idx="220">
                  <c:v>141</c:v>
                </c:pt>
                <c:pt idx="221">
                  <c:v>91</c:v>
                </c:pt>
                <c:pt idx="222">
                  <c:v>110</c:v>
                </c:pt>
                <c:pt idx="223">
                  <c:v>103</c:v>
                </c:pt>
                <c:pt idx="224">
                  <c:v>80</c:v>
                </c:pt>
                <c:pt idx="225">
                  <c:v>71</c:v>
                </c:pt>
                <c:pt idx="226">
                  <c:v>119</c:v>
                </c:pt>
                <c:pt idx="227">
                  <c:v>97</c:v>
                </c:pt>
                <c:pt idx="228">
                  <c:v>110</c:v>
                </c:pt>
                <c:pt idx="229">
                  <c:v>102</c:v>
                </c:pt>
                <c:pt idx="230">
                  <c:v>126</c:v>
                </c:pt>
                <c:pt idx="231">
                  <c:v>158</c:v>
                </c:pt>
                <c:pt idx="232">
                  <c:v>158</c:v>
                </c:pt>
                <c:pt idx="233">
                  <c:v>151</c:v>
                </c:pt>
                <c:pt idx="234">
                  <c:v>95</c:v>
                </c:pt>
                <c:pt idx="235">
                  <c:v>138</c:v>
                </c:pt>
                <c:pt idx="236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25-4F61-B4DB-9E482D1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203536"/>
        <c:axId val="673314880"/>
      </c:lineChart>
      <c:dateAx>
        <c:axId val="57219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Неделя</a:t>
                </a:r>
              </a:p>
            </c:rich>
          </c:tx>
          <c:overlay val="0"/>
        </c:title>
        <c:numFmt formatCode="mmm\ yy" sourceLinked="0"/>
        <c:majorTickMark val="out"/>
        <c:minorTickMark val="none"/>
        <c:tickLblPos val="nextTo"/>
        <c:crossAx val="673314048"/>
        <c:crosses val="autoZero"/>
        <c:auto val="1"/>
        <c:lblOffset val="100"/>
        <c:baseTimeUnit val="days"/>
      </c:dateAx>
      <c:valAx>
        <c:axId val="67331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193136"/>
        <c:crosses val="autoZero"/>
        <c:crossBetween val="between"/>
      </c:valAx>
      <c:valAx>
        <c:axId val="673314880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2203536"/>
        <c:crosses val="max"/>
        <c:crossBetween val="between"/>
      </c:valAx>
      <c:dateAx>
        <c:axId val="5722035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73314880"/>
        <c:crosses val="autoZero"/>
        <c:auto val="1"/>
        <c:lblOffset val="100"/>
        <c:baseTimeUnit val="days"/>
      </c:date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Корреляция недельного спроса </a:t>
            </a:r>
            <a:r>
              <a:rPr lang="en-US"/>
              <a:t>PDR </a:t>
            </a:r>
            <a:r>
              <a:rPr lang="ru-RU"/>
              <a:t>и лидов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Все лиды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CC3299"/>
              </a:solidFill>
              <a:ln>
                <a:solidFill>
                  <a:srgbClr val="CC3299"/>
                </a:solidFill>
                <a:prstDash val="solid"/>
              </a:ln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61</c:v>
                </c:pt>
                <c:pt idx="1">
                  <c:v>77</c:v>
                </c:pt>
                <c:pt idx="2">
                  <c:v>122</c:v>
                </c:pt>
                <c:pt idx="3">
                  <c:v>169</c:v>
                </c:pt>
                <c:pt idx="4">
                  <c:v>88</c:v>
                </c:pt>
                <c:pt idx="5">
                  <c:v>129</c:v>
                </c:pt>
                <c:pt idx="6">
                  <c:v>144</c:v>
                </c:pt>
                <c:pt idx="7">
                  <c:v>112</c:v>
                </c:pt>
                <c:pt idx="8">
                  <c:v>108</c:v>
                </c:pt>
                <c:pt idx="9">
                  <c:v>97</c:v>
                </c:pt>
                <c:pt idx="10">
                  <c:v>104</c:v>
                </c:pt>
                <c:pt idx="11">
                  <c:v>122</c:v>
                </c:pt>
                <c:pt idx="12">
                  <c:v>190</c:v>
                </c:pt>
                <c:pt idx="13">
                  <c:v>147</c:v>
                </c:pt>
                <c:pt idx="14">
                  <c:v>156</c:v>
                </c:pt>
                <c:pt idx="15">
                  <c:v>154</c:v>
                </c:pt>
                <c:pt idx="16">
                  <c:v>112</c:v>
                </c:pt>
                <c:pt idx="17">
                  <c:v>139</c:v>
                </c:pt>
                <c:pt idx="18">
                  <c:v>133</c:v>
                </c:pt>
                <c:pt idx="19">
                  <c:v>140</c:v>
                </c:pt>
                <c:pt idx="20">
                  <c:v>134</c:v>
                </c:pt>
                <c:pt idx="21">
                  <c:v>86</c:v>
                </c:pt>
                <c:pt idx="22">
                  <c:v>113</c:v>
                </c:pt>
                <c:pt idx="23">
                  <c:v>130</c:v>
                </c:pt>
                <c:pt idx="24">
                  <c:v>121</c:v>
                </c:pt>
                <c:pt idx="25">
                  <c:v>122</c:v>
                </c:pt>
                <c:pt idx="26">
                  <c:v>130</c:v>
                </c:pt>
                <c:pt idx="27">
                  <c:v>138</c:v>
                </c:pt>
                <c:pt idx="28">
                  <c:v>107</c:v>
                </c:pt>
                <c:pt idx="29">
                  <c:v>183</c:v>
                </c:pt>
                <c:pt idx="30">
                  <c:v>248</c:v>
                </c:pt>
                <c:pt idx="31">
                  <c:v>151</c:v>
                </c:pt>
                <c:pt idx="32">
                  <c:v>150</c:v>
                </c:pt>
                <c:pt idx="33">
                  <c:v>201</c:v>
                </c:pt>
                <c:pt idx="34">
                  <c:v>145</c:v>
                </c:pt>
                <c:pt idx="35">
                  <c:v>117</c:v>
                </c:pt>
                <c:pt idx="36">
                  <c:v>123</c:v>
                </c:pt>
                <c:pt idx="37">
                  <c:v>89</c:v>
                </c:pt>
                <c:pt idx="38">
                  <c:v>88</c:v>
                </c:pt>
                <c:pt idx="39">
                  <c:v>101</c:v>
                </c:pt>
                <c:pt idx="40">
                  <c:v>130</c:v>
                </c:pt>
                <c:pt idx="41">
                  <c:v>108</c:v>
                </c:pt>
                <c:pt idx="42">
                  <c:v>131</c:v>
                </c:pt>
                <c:pt idx="43">
                  <c:v>133</c:v>
                </c:pt>
                <c:pt idx="44">
                  <c:v>112</c:v>
                </c:pt>
                <c:pt idx="45">
                  <c:v>127</c:v>
                </c:pt>
                <c:pt idx="46">
                  <c:v>111</c:v>
                </c:pt>
                <c:pt idx="47">
                  <c:v>107</c:v>
                </c:pt>
                <c:pt idx="48">
                  <c:v>102</c:v>
                </c:pt>
                <c:pt idx="49">
                  <c:v>120</c:v>
                </c:pt>
                <c:pt idx="50">
                  <c:v>114</c:v>
                </c:pt>
                <c:pt idx="51">
                  <c:v>111</c:v>
                </c:pt>
                <c:pt idx="52">
                  <c:v>76</c:v>
                </c:pt>
                <c:pt idx="53">
                  <c:v>76</c:v>
                </c:pt>
                <c:pt idx="54">
                  <c:v>94</c:v>
                </c:pt>
                <c:pt idx="55">
                  <c:v>101</c:v>
                </c:pt>
                <c:pt idx="56">
                  <c:v>79</c:v>
                </c:pt>
                <c:pt idx="57">
                  <c:v>117</c:v>
                </c:pt>
                <c:pt idx="58">
                  <c:v>123</c:v>
                </c:pt>
                <c:pt idx="59">
                  <c:v>55</c:v>
                </c:pt>
                <c:pt idx="60">
                  <c:v>80</c:v>
                </c:pt>
                <c:pt idx="61">
                  <c:v>148</c:v>
                </c:pt>
                <c:pt idx="62">
                  <c:v>94</c:v>
                </c:pt>
                <c:pt idx="63">
                  <c:v>115</c:v>
                </c:pt>
                <c:pt idx="64">
                  <c:v>123</c:v>
                </c:pt>
                <c:pt idx="65">
                  <c:v>126</c:v>
                </c:pt>
                <c:pt idx="66">
                  <c:v>144</c:v>
                </c:pt>
                <c:pt idx="67">
                  <c:v>135</c:v>
                </c:pt>
                <c:pt idx="68">
                  <c:v>144</c:v>
                </c:pt>
                <c:pt idx="69">
                  <c:v>135</c:v>
                </c:pt>
                <c:pt idx="70">
                  <c:v>109</c:v>
                </c:pt>
                <c:pt idx="71">
                  <c:v>107</c:v>
                </c:pt>
                <c:pt idx="72">
                  <c:v>138</c:v>
                </c:pt>
                <c:pt idx="73">
                  <c:v>133</c:v>
                </c:pt>
                <c:pt idx="74">
                  <c:v>147</c:v>
                </c:pt>
                <c:pt idx="75">
                  <c:v>105</c:v>
                </c:pt>
                <c:pt idx="76">
                  <c:v>139</c:v>
                </c:pt>
                <c:pt idx="77">
                  <c:v>117</c:v>
                </c:pt>
                <c:pt idx="78">
                  <c:v>112</c:v>
                </c:pt>
                <c:pt idx="79">
                  <c:v>100</c:v>
                </c:pt>
                <c:pt idx="80">
                  <c:v>124</c:v>
                </c:pt>
                <c:pt idx="81">
                  <c:v>148</c:v>
                </c:pt>
                <c:pt idx="82">
                  <c:v>126</c:v>
                </c:pt>
                <c:pt idx="83">
                  <c:v>105</c:v>
                </c:pt>
                <c:pt idx="84">
                  <c:v>106</c:v>
                </c:pt>
                <c:pt idx="85">
                  <c:v>108</c:v>
                </c:pt>
                <c:pt idx="86">
                  <c:v>95</c:v>
                </c:pt>
                <c:pt idx="87">
                  <c:v>126</c:v>
                </c:pt>
                <c:pt idx="88">
                  <c:v>118</c:v>
                </c:pt>
                <c:pt idx="89">
                  <c:v>84</c:v>
                </c:pt>
                <c:pt idx="90">
                  <c:v>153</c:v>
                </c:pt>
                <c:pt idx="91">
                  <c:v>161</c:v>
                </c:pt>
                <c:pt idx="92">
                  <c:v>136</c:v>
                </c:pt>
                <c:pt idx="93">
                  <c:v>131</c:v>
                </c:pt>
                <c:pt idx="94">
                  <c:v>131</c:v>
                </c:pt>
                <c:pt idx="95">
                  <c:v>87</c:v>
                </c:pt>
                <c:pt idx="96">
                  <c:v>124</c:v>
                </c:pt>
                <c:pt idx="97">
                  <c:v>119</c:v>
                </c:pt>
                <c:pt idx="98">
                  <c:v>183</c:v>
                </c:pt>
                <c:pt idx="99">
                  <c:v>120</c:v>
                </c:pt>
                <c:pt idx="100">
                  <c:v>105</c:v>
                </c:pt>
                <c:pt idx="101">
                  <c:v>128</c:v>
                </c:pt>
                <c:pt idx="102">
                  <c:v>84</c:v>
                </c:pt>
                <c:pt idx="103">
                  <c:v>97</c:v>
                </c:pt>
                <c:pt idx="104">
                  <c:v>81</c:v>
                </c:pt>
                <c:pt idx="105">
                  <c:v>69</c:v>
                </c:pt>
                <c:pt idx="106">
                  <c:v>92</c:v>
                </c:pt>
                <c:pt idx="107">
                  <c:v>118</c:v>
                </c:pt>
                <c:pt idx="108">
                  <c:v>165</c:v>
                </c:pt>
                <c:pt idx="109">
                  <c:v>111</c:v>
                </c:pt>
                <c:pt idx="110">
                  <c:v>127</c:v>
                </c:pt>
                <c:pt idx="111">
                  <c:v>142</c:v>
                </c:pt>
                <c:pt idx="112">
                  <c:v>107</c:v>
                </c:pt>
                <c:pt idx="113">
                  <c:v>171</c:v>
                </c:pt>
                <c:pt idx="114">
                  <c:v>133</c:v>
                </c:pt>
                <c:pt idx="115">
                  <c:v>97</c:v>
                </c:pt>
                <c:pt idx="116">
                  <c:v>91</c:v>
                </c:pt>
                <c:pt idx="117">
                  <c:v>90</c:v>
                </c:pt>
                <c:pt idx="118">
                  <c:v>151</c:v>
                </c:pt>
                <c:pt idx="119">
                  <c:v>120</c:v>
                </c:pt>
                <c:pt idx="120">
                  <c:v>152</c:v>
                </c:pt>
                <c:pt idx="121">
                  <c:v>134</c:v>
                </c:pt>
                <c:pt idx="122">
                  <c:v>119</c:v>
                </c:pt>
                <c:pt idx="123">
                  <c:v>101</c:v>
                </c:pt>
                <c:pt idx="124">
                  <c:v>110</c:v>
                </c:pt>
                <c:pt idx="125">
                  <c:v>177</c:v>
                </c:pt>
                <c:pt idx="126">
                  <c:v>124</c:v>
                </c:pt>
                <c:pt idx="127">
                  <c:v>104</c:v>
                </c:pt>
                <c:pt idx="128">
                  <c:v>145</c:v>
                </c:pt>
                <c:pt idx="129">
                  <c:v>122</c:v>
                </c:pt>
                <c:pt idx="130">
                  <c:v>97</c:v>
                </c:pt>
                <c:pt idx="131">
                  <c:v>112</c:v>
                </c:pt>
                <c:pt idx="132">
                  <c:v>137</c:v>
                </c:pt>
                <c:pt idx="133">
                  <c:v>147</c:v>
                </c:pt>
                <c:pt idx="134">
                  <c:v>121</c:v>
                </c:pt>
                <c:pt idx="135">
                  <c:v>161</c:v>
                </c:pt>
                <c:pt idx="136">
                  <c:v>113</c:v>
                </c:pt>
                <c:pt idx="137">
                  <c:v>127</c:v>
                </c:pt>
                <c:pt idx="138">
                  <c:v>109</c:v>
                </c:pt>
                <c:pt idx="139">
                  <c:v>142</c:v>
                </c:pt>
                <c:pt idx="140">
                  <c:v>77</c:v>
                </c:pt>
                <c:pt idx="141">
                  <c:v>103</c:v>
                </c:pt>
                <c:pt idx="142">
                  <c:v>153</c:v>
                </c:pt>
                <c:pt idx="143">
                  <c:v>122</c:v>
                </c:pt>
                <c:pt idx="144">
                  <c:v>140</c:v>
                </c:pt>
                <c:pt idx="145">
                  <c:v>158</c:v>
                </c:pt>
                <c:pt idx="146">
                  <c:v>104</c:v>
                </c:pt>
                <c:pt idx="147">
                  <c:v>112</c:v>
                </c:pt>
                <c:pt idx="148">
                  <c:v>124</c:v>
                </c:pt>
                <c:pt idx="149">
                  <c:v>91</c:v>
                </c:pt>
                <c:pt idx="150">
                  <c:v>67</c:v>
                </c:pt>
                <c:pt idx="151">
                  <c:v>74</c:v>
                </c:pt>
                <c:pt idx="152">
                  <c:v>93</c:v>
                </c:pt>
                <c:pt idx="153">
                  <c:v>111</c:v>
                </c:pt>
                <c:pt idx="154">
                  <c:v>76</c:v>
                </c:pt>
                <c:pt idx="155">
                  <c:v>122</c:v>
                </c:pt>
                <c:pt idx="156">
                  <c:v>58</c:v>
                </c:pt>
                <c:pt idx="157">
                  <c:v>45</c:v>
                </c:pt>
                <c:pt idx="158">
                  <c:v>123</c:v>
                </c:pt>
                <c:pt idx="159">
                  <c:v>73</c:v>
                </c:pt>
                <c:pt idx="160">
                  <c:v>103</c:v>
                </c:pt>
                <c:pt idx="161">
                  <c:v>109</c:v>
                </c:pt>
                <c:pt idx="162">
                  <c:v>117</c:v>
                </c:pt>
                <c:pt idx="163">
                  <c:v>159</c:v>
                </c:pt>
                <c:pt idx="164">
                  <c:v>70</c:v>
                </c:pt>
                <c:pt idx="165">
                  <c:v>109</c:v>
                </c:pt>
                <c:pt idx="166">
                  <c:v>70</c:v>
                </c:pt>
                <c:pt idx="167">
                  <c:v>76</c:v>
                </c:pt>
                <c:pt idx="168">
                  <c:v>152</c:v>
                </c:pt>
                <c:pt idx="169">
                  <c:v>191</c:v>
                </c:pt>
                <c:pt idx="170">
                  <c:v>188</c:v>
                </c:pt>
                <c:pt idx="171">
                  <c:v>151</c:v>
                </c:pt>
                <c:pt idx="172">
                  <c:v>114</c:v>
                </c:pt>
                <c:pt idx="173">
                  <c:v>110</c:v>
                </c:pt>
                <c:pt idx="174">
                  <c:v>61</c:v>
                </c:pt>
                <c:pt idx="175">
                  <c:v>66</c:v>
                </c:pt>
                <c:pt idx="176">
                  <c:v>75</c:v>
                </c:pt>
                <c:pt idx="177">
                  <c:v>127</c:v>
                </c:pt>
                <c:pt idx="178">
                  <c:v>104</c:v>
                </c:pt>
                <c:pt idx="179">
                  <c:v>129</c:v>
                </c:pt>
                <c:pt idx="180">
                  <c:v>75</c:v>
                </c:pt>
                <c:pt idx="181">
                  <c:v>127</c:v>
                </c:pt>
                <c:pt idx="182">
                  <c:v>132</c:v>
                </c:pt>
                <c:pt idx="183">
                  <c:v>134</c:v>
                </c:pt>
                <c:pt idx="184">
                  <c:v>134</c:v>
                </c:pt>
                <c:pt idx="185">
                  <c:v>137</c:v>
                </c:pt>
                <c:pt idx="186">
                  <c:v>85</c:v>
                </c:pt>
                <c:pt idx="187">
                  <c:v>87</c:v>
                </c:pt>
                <c:pt idx="188">
                  <c:v>59</c:v>
                </c:pt>
                <c:pt idx="189">
                  <c:v>83</c:v>
                </c:pt>
                <c:pt idx="190">
                  <c:v>81</c:v>
                </c:pt>
                <c:pt idx="191">
                  <c:v>83</c:v>
                </c:pt>
                <c:pt idx="192">
                  <c:v>108</c:v>
                </c:pt>
                <c:pt idx="193">
                  <c:v>107</c:v>
                </c:pt>
                <c:pt idx="194">
                  <c:v>59</c:v>
                </c:pt>
                <c:pt idx="195">
                  <c:v>90</c:v>
                </c:pt>
                <c:pt idx="196">
                  <c:v>84</c:v>
                </c:pt>
                <c:pt idx="197">
                  <c:v>125</c:v>
                </c:pt>
                <c:pt idx="198">
                  <c:v>114</c:v>
                </c:pt>
                <c:pt idx="199">
                  <c:v>124</c:v>
                </c:pt>
                <c:pt idx="200">
                  <c:v>107</c:v>
                </c:pt>
                <c:pt idx="201">
                  <c:v>90</c:v>
                </c:pt>
                <c:pt idx="202">
                  <c:v>95</c:v>
                </c:pt>
                <c:pt idx="203">
                  <c:v>108</c:v>
                </c:pt>
                <c:pt idx="204">
                  <c:v>129</c:v>
                </c:pt>
                <c:pt idx="205">
                  <c:v>85</c:v>
                </c:pt>
                <c:pt idx="206">
                  <c:v>52</c:v>
                </c:pt>
                <c:pt idx="207">
                  <c:v>66</c:v>
                </c:pt>
                <c:pt idx="208">
                  <c:v>60</c:v>
                </c:pt>
                <c:pt idx="209">
                  <c:v>41</c:v>
                </c:pt>
                <c:pt idx="210">
                  <c:v>70</c:v>
                </c:pt>
                <c:pt idx="211">
                  <c:v>118</c:v>
                </c:pt>
                <c:pt idx="212">
                  <c:v>91</c:v>
                </c:pt>
                <c:pt idx="213">
                  <c:v>60</c:v>
                </c:pt>
                <c:pt idx="214">
                  <c:v>48</c:v>
                </c:pt>
                <c:pt idx="215">
                  <c:v>98</c:v>
                </c:pt>
                <c:pt idx="216">
                  <c:v>108</c:v>
                </c:pt>
                <c:pt idx="217">
                  <c:v>80</c:v>
                </c:pt>
                <c:pt idx="218">
                  <c:v>74</c:v>
                </c:pt>
                <c:pt idx="219">
                  <c:v>78</c:v>
                </c:pt>
                <c:pt idx="220">
                  <c:v>141</c:v>
                </c:pt>
                <c:pt idx="221">
                  <c:v>91</c:v>
                </c:pt>
                <c:pt idx="222">
                  <c:v>110</c:v>
                </c:pt>
                <c:pt idx="223">
                  <c:v>103</c:v>
                </c:pt>
                <c:pt idx="224">
                  <c:v>80</c:v>
                </c:pt>
                <c:pt idx="225">
                  <c:v>71</c:v>
                </c:pt>
                <c:pt idx="226">
                  <c:v>119</c:v>
                </c:pt>
                <c:pt idx="227">
                  <c:v>97</c:v>
                </c:pt>
                <c:pt idx="228">
                  <c:v>110</c:v>
                </c:pt>
                <c:pt idx="229">
                  <c:v>102</c:v>
                </c:pt>
                <c:pt idx="230">
                  <c:v>126</c:v>
                </c:pt>
                <c:pt idx="231">
                  <c:v>158</c:v>
                </c:pt>
                <c:pt idx="232">
                  <c:v>158</c:v>
                </c:pt>
                <c:pt idx="233">
                  <c:v>151</c:v>
                </c:pt>
                <c:pt idx="234">
                  <c:v>95</c:v>
                </c:pt>
                <c:pt idx="235">
                  <c:v>138</c:v>
                </c:pt>
                <c:pt idx="236">
                  <c:v>124</c:v>
                </c:pt>
              </c:numCache>
            </c:numRef>
          </c:xVal>
          <c:yVal>
            <c:numRef>
              <c:f>'Недельная сводка'!$D$5:$D$241</c:f>
              <c:numCache>
                <c:formatCode>General</c:formatCode>
                <c:ptCount val="237"/>
                <c:pt idx="0">
                  <c:v>0</c:v>
                </c:pt>
                <c:pt idx="1">
                  <c:v>7</c:v>
                </c:pt>
                <c:pt idx="2">
                  <c:v>19</c:v>
                </c:pt>
                <c:pt idx="3">
                  <c:v>28</c:v>
                </c:pt>
                <c:pt idx="4">
                  <c:v>18</c:v>
                </c:pt>
                <c:pt idx="5">
                  <c:v>25</c:v>
                </c:pt>
                <c:pt idx="6">
                  <c:v>31</c:v>
                </c:pt>
                <c:pt idx="7">
                  <c:v>30</c:v>
                </c:pt>
                <c:pt idx="8">
                  <c:v>27</c:v>
                </c:pt>
                <c:pt idx="9">
                  <c:v>18</c:v>
                </c:pt>
                <c:pt idx="10">
                  <c:v>31</c:v>
                </c:pt>
                <c:pt idx="11">
                  <c:v>19</c:v>
                </c:pt>
                <c:pt idx="12">
                  <c:v>29</c:v>
                </c:pt>
                <c:pt idx="13">
                  <c:v>21</c:v>
                </c:pt>
                <c:pt idx="14">
                  <c:v>18</c:v>
                </c:pt>
                <c:pt idx="15">
                  <c:v>17</c:v>
                </c:pt>
                <c:pt idx="16">
                  <c:v>16</c:v>
                </c:pt>
                <c:pt idx="17">
                  <c:v>30</c:v>
                </c:pt>
                <c:pt idx="18">
                  <c:v>22</c:v>
                </c:pt>
                <c:pt idx="19">
                  <c:v>20</c:v>
                </c:pt>
                <c:pt idx="20">
                  <c:v>15</c:v>
                </c:pt>
                <c:pt idx="21">
                  <c:v>15</c:v>
                </c:pt>
                <c:pt idx="22">
                  <c:v>14</c:v>
                </c:pt>
                <c:pt idx="23">
                  <c:v>14</c:v>
                </c:pt>
                <c:pt idx="24">
                  <c:v>17</c:v>
                </c:pt>
                <c:pt idx="25">
                  <c:v>18</c:v>
                </c:pt>
                <c:pt idx="26">
                  <c:v>16</c:v>
                </c:pt>
                <c:pt idx="27">
                  <c:v>15</c:v>
                </c:pt>
                <c:pt idx="28">
                  <c:v>25</c:v>
                </c:pt>
                <c:pt idx="29">
                  <c:v>19</c:v>
                </c:pt>
                <c:pt idx="30">
                  <c:v>21</c:v>
                </c:pt>
                <c:pt idx="31">
                  <c:v>19</c:v>
                </c:pt>
                <c:pt idx="32">
                  <c:v>24</c:v>
                </c:pt>
                <c:pt idx="33">
                  <c:v>23</c:v>
                </c:pt>
                <c:pt idx="34">
                  <c:v>29</c:v>
                </c:pt>
                <c:pt idx="35">
                  <c:v>20</c:v>
                </c:pt>
                <c:pt idx="36">
                  <c:v>25</c:v>
                </c:pt>
                <c:pt idx="37">
                  <c:v>25</c:v>
                </c:pt>
                <c:pt idx="38">
                  <c:v>14</c:v>
                </c:pt>
                <c:pt idx="39">
                  <c:v>13</c:v>
                </c:pt>
                <c:pt idx="40">
                  <c:v>22</c:v>
                </c:pt>
                <c:pt idx="41">
                  <c:v>20</c:v>
                </c:pt>
                <c:pt idx="42">
                  <c:v>17</c:v>
                </c:pt>
                <c:pt idx="43">
                  <c:v>16</c:v>
                </c:pt>
                <c:pt idx="44">
                  <c:v>14</c:v>
                </c:pt>
                <c:pt idx="45">
                  <c:v>17</c:v>
                </c:pt>
                <c:pt idx="46">
                  <c:v>13</c:v>
                </c:pt>
                <c:pt idx="47">
                  <c:v>21</c:v>
                </c:pt>
                <c:pt idx="48">
                  <c:v>18</c:v>
                </c:pt>
                <c:pt idx="49">
                  <c:v>12</c:v>
                </c:pt>
                <c:pt idx="50">
                  <c:v>19</c:v>
                </c:pt>
                <c:pt idx="51">
                  <c:v>18</c:v>
                </c:pt>
                <c:pt idx="52">
                  <c:v>7</c:v>
                </c:pt>
                <c:pt idx="53">
                  <c:v>7</c:v>
                </c:pt>
                <c:pt idx="54">
                  <c:v>9</c:v>
                </c:pt>
                <c:pt idx="55">
                  <c:v>9</c:v>
                </c:pt>
                <c:pt idx="56">
                  <c:v>16</c:v>
                </c:pt>
                <c:pt idx="57">
                  <c:v>6</c:v>
                </c:pt>
                <c:pt idx="58">
                  <c:v>16</c:v>
                </c:pt>
                <c:pt idx="59">
                  <c:v>12</c:v>
                </c:pt>
                <c:pt idx="60">
                  <c:v>16</c:v>
                </c:pt>
                <c:pt idx="61">
                  <c:v>26</c:v>
                </c:pt>
                <c:pt idx="62">
                  <c:v>29</c:v>
                </c:pt>
                <c:pt idx="63">
                  <c:v>18</c:v>
                </c:pt>
                <c:pt idx="64">
                  <c:v>28</c:v>
                </c:pt>
                <c:pt idx="65">
                  <c:v>14</c:v>
                </c:pt>
                <c:pt idx="66">
                  <c:v>19</c:v>
                </c:pt>
                <c:pt idx="67">
                  <c:v>30</c:v>
                </c:pt>
                <c:pt idx="68">
                  <c:v>26</c:v>
                </c:pt>
                <c:pt idx="69">
                  <c:v>23</c:v>
                </c:pt>
                <c:pt idx="70">
                  <c:v>33</c:v>
                </c:pt>
                <c:pt idx="71">
                  <c:v>23</c:v>
                </c:pt>
                <c:pt idx="72">
                  <c:v>27</c:v>
                </c:pt>
                <c:pt idx="73">
                  <c:v>14</c:v>
                </c:pt>
                <c:pt idx="74">
                  <c:v>29</c:v>
                </c:pt>
                <c:pt idx="75">
                  <c:v>22</c:v>
                </c:pt>
                <c:pt idx="76">
                  <c:v>30</c:v>
                </c:pt>
                <c:pt idx="77">
                  <c:v>23</c:v>
                </c:pt>
                <c:pt idx="78">
                  <c:v>26</c:v>
                </c:pt>
                <c:pt idx="79">
                  <c:v>24</c:v>
                </c:pt>
                <c:pt idx="80">
                  <c:v>21</c:v>
                </c:pt>
                <c:pt idx="81">
                  <c:v>30</c:v>
                </c:pt>
                <c:pt idx="82">
                  <c:v>31</c:v>
                </c:pt>
                <c:pt idx="83">
                  <c:v>24</c:v>
                </c:pt>
                <c:pt idx="84">
                  <c:v>31</c:v>
                </c:pt>
                <c:pt idx="85">
                  <c:v>14</c:v>
                </c:pt>
                <c:pt idx="86">
                  <c:v>20</c:v>
                </c:pt>
                <c:pt idx="87">
                  <c:v>17</c:v>
                </c:pt>
                <c:pt idx="88">
                  <c:v>25</c:v>
                </c:pt>
                <c:pt idx="89">
                  <c:v>31</c:v>
                </c:pt>
                <c:pt idx="90">
                  <c:v>28</c:v>
                </c:pt>
                <c:pt idx="91">
                  <c:v>41</c:v>
                </c:pt>
                <c:pt idx="92">
                  <c:v>26</c:v>
                </c:pt>
                <c:pt idx="93">
                  <c:v>31</c:v>
                </c:pt>
                <c:pt idx="94">
                  <c:v>34</c:v>
                </c:pt>
                <c:pt idx="95">
                  <c:v>23</c:v>
                </c:pt>
                <c:pt idx="96">
                  <c:v>27</c:v>
                </c:pt>
                <c:pt idx="97">
                  <c:v>23</c:v>
                </c:pt>
                <c:pt idx="98">
                  <c:v>19</c:v>
                </c:pt>
                <c:pt idx="99">
                  <c:v>12</c:v>
                </c:pt>
                <c:pt idx="100">
                  <c:v>14</c:v>
                </c:pt>
                <c:pt idx="101">
                  <c:v>14</c:v>
                </c:pt>
                <c:pt idx="102">
                  <c:v>10</c:v>
                </c:pt>
                <c:pt idx="103">
                  <c:v>10</c:v>
                </c:pt>
                <c:pt idx="104">
                  <c:v>11</c:v>
                </c:pt>
                <c:pt idx="105">
                  <c:v>14</c:v>
                </c:pt>
                <c:pt idx="106">
                  <c:v>13</c:v>
                </c:pt>
                <c:pt idx="107">
                  <c:v>17</c:v>
                </c:pt>
                <c:pt idx="108">
                  <c:v>21</c:v>
                </c:pt>
                <c:pt idx="109">
                  <c:v>17</c:v>
                </c:pt>
                <c:pt idx="110">
                  <c:v>29</c:v>
                </c:pt>
                <c:pt idx="111">
                  <c:v>21</c:v>
                </c:pt>
                <c:pt idx="112">
                  <c:v>22</c:v>
                </c:pt>
                <c:pt idx="113">
                  <c:v>20</c:v>
                </c:pt>
                <c:pt idx="114">
                  <c:v>18</c:v>
                </c:pt>
                <c:pt idx="115">
                  <c:v>20</c:v>
                </c:pt>
                <c:pt idx="116">
                  <c:v>24</c:v>
                </c:pt>
                <c:pt idx="117">
                  <c:v>12</c:v>
                </c:pt>
                <c:pt idx="118">
                  <c:v>25</c:v>
                </c:pt>
                <c:pt idx="119">
                  <c:v>25</c:v>
                </c:pt>
                <c:pt idx="120">
                  <c:v>23</c:v>
                </c:pt>
                <c:pt idx="121">
                  <c:v>16</c:v>
                </c:pt>
                <c:pt idx="122">
                  <c:v>21</c:v>
                </c:pt>
                <c:pt idx="123">
                  <c:v>22</c:v>
                </c:pt>
                <c:pt idx="124">
                  <c:v>22</c:v>
                </c:pt>
                <c:pt idx="125">
                  <c:v>33</c:v>
                </c:pt>
                <c:pt idx="126">
                  <c:v>19</c:v>
                </c:pt>
                <c:pt idx="127">
                  <c:v>25</c:v>
                </c:pt>
                <c:pt idx="128">
                  <c:v>27</c:v>
                </c:pt>
                <c:pt idx="129">
                  <c:v>10</c:v>
                </c:pt>
                <c:pt idx="130">
                  <c:v>23</c:v>
                </c:pt>
                <c:pt idx="131">
                  <c:v>27</c:v>
                </c:pt>
                <c:pt idx="132">
                  <c:v>28</c:v>
                </c:pt>
                <c:pt idx="133">
                  <c:v>21</c:v>
                </c:pt>
                <c:pt idx="134">
                  <c:v>18</c:v>
                </c:pt>
                <c:pt idx="135">
                  <c:v>29</c:v>
                </c:pt>
                <c:pt idx="136">
                  <c:v>22</c:v>
                </c:pt>
                <c:pt idx="137">
                  <c:v>19</c:v>
                </c:pt>
                <c:pt idx="138">
                  <c:v>22</c:v>
                </c:pt>
                <c:pt idx="139">
                  <c:v>20</c:v>
                </c:pt>
                <c:pt idx="140">
                  <c:v>24</c:v>
                </c:pt>
                <c:pt idx="141">
                  <c:v>17</c:v>
                </c:pt>
                <c:pt idx="142">
                  <c:v>19</c:v>
                </c:pt>
                <c:pt idx="143">
                  <c:v>17</c:v>
                </c:pt>
                <c:pt idx="144">
                  <c:v>19</c:v>
                </c:pt>
                <c:pt idx="145">
                  <c:v>17</c:v>
                </c:pt>
                <c:pt idx="146">
                  <c:v>22</c:v>
                </c:pt>
                <c:pt idx="147">
                  <c:v>17</c:v>
                </c:pt>
                <c:pt idx="148">
                  <c:v>16</c:v>
                </c:pt>
                <c:pt idx="149">
                  <c:v>17</c:v>
                </c:pt>
                <c:pt idx="150">
                  <c:v>16</c:v>
                </c:pt>
                <c:pt idx="151">
                  <c:v>6</c:v>
                </c:pt>
                <c:pt idx="152">
                  <c:v>18</c:v>
                </c:pt>
                <c:pt idx="153">
                  <c:v>12</c:v>
                </c:pt>
                <c:pt idx="154">
                  <c:v>14</c:v>
                </c:pt>
                <c:pt idx="155">
                  <c:v>12</c:v>
                </c:pt>
                <c:pt idx="156">
                  <c:v>15</c:v>
                </c:pt>
                <c:pt idx="157">
                  <c:v>10</c:v>
                </c:pt>
                <c:pt idx="158">
                  <c:v>8</c:v>
                </c:pt>
                <c:pt idx="159">
                  <c:v>18</c:v>
                </c:pt>
                <c:pt idx="160">
                  <c:v>13</c:v>
                </c:pt>
                <c:pt idx="161">
                  <c:v>8</c:v>
                </c:pt>
                <c:pt idx="162">
                  <c:v>11</c:v>
                </c:pt>
                <c:pt idx="163">
                  <c:v>18</c:v>
                </c:pt>
                <c:pt idx="164">
                  <c:v>8</c:v>
                </c:pt>
                <c:pt idx="165">
                  <c:v>17</c:v>
                </c:pt>
                <c:pt idx="166">
                  <c:v>9</c:v>
                </c:pt>
                <c:pt idx="167">
                  <c:v>14</c:v>
                </c:pt>
                <c:pt idx="168">
                  <c:v>18</c:v>
                </c:pt>
                <c:pt idx="169">
                  <c:v>23</c:v>
                </c:pt>
                <c:pt idx="170">
                  <c:v>15</c:v>
                </c:pt>
                <c:pt idx="171">
                  <c:v>15</c:v>
                </c:pt>
                <c:pt idx="172">
                  <c:v>11</c:v>
                </c:pt>
                <c:pt idx="173">
                  <c:v>7</c:v>
                </c:pt>
                <c:pt idx="174">
                  <c:v>13</c:v>
                </c:pt>
                <c:pt idx="175">
                  <c:v>10</c:v>
                </c:pt>
                <c:pt idx="176">
                  <c:v>10</c:v>
                </c:pt>
                <c:pt idx="177">
                  <c:v>9</c:v>
                </c:pt>
                <c:pt idx="178">
                  <c:v>14</c:v>
                </c:pt>
                <c:pt idx="179">
                  <c:v>15</c:v>
                </c:pt>
                <c:pt idx="180">
                  <c:v>6</c:v>
                </c:pt>
                <c:pt idx="181">
                  <c:v>19</c:v>
                </c:pt>
                <c:pt idx="182">
                  <c:v>20</c:v>
                </c:pt>
                <c:pt idx="183">
                  <c:v>9</c:v>
                </c:pt>
                <c:pt idx="184">
                  <c:v>8</c:v>
                </c:pt>
                <c:pt idx="185">
                  <c:v>27</c:v>
                </c:pt>
                <c:pt idx="186">
                  <c:v>14</c:v>
                </c:pt>
                <c:pt idx="187">
                  <c:v>16</c:v>
                </c:pt>
                <c:pt idx="188">
                  <c:v>10</c:v>
                </c:pt>
                <c:pt idx="189">
                  <c:v>13</c:v>
                </c:pt>
                <c:pt idx="190">
                  <c:v>12</c:v>
                </c:pt>
                <c:pt idx="191">
                  <c:v>12</c:v>
                </c:pt>
                <c:pt idx="192">
                  <c:v>13</c:v>
                </c:pt>
                <c:pt idx="193">
                  <c:v>8</c:v>
                </c:pt>
                <c:pt idx="194">
                  <c:v>12</c:v>
                </c:pt>
                <c:pt idx="195">
                  <c:v>10</c:v>
                </c:pt>
                <c:pt idx="196">
                  <c:v>8</c:v>
                </c:pt>
                <c:pt idx="197">
                  <c:v>13</c:v>
                </c:pt>
                <c:pt idx="198">
                  <c:v>6</c:v>
                </c:pt>
                <c:pt idx="199">
                  <c:v>20</c:v>
                </c:pt>
                <c:pt idx="200">
                  <c:v>10</c:v>
                </c:pt>
                <c:pt idx="201">
                  <c:v>9</c:v>
                </c:pt>
                <c:pt idx="202">
                  <c:v>9</c:v>
                </c:pt>
                <c:pt idx="203">
                  <c:v>13</c:v>
                </c:pt>
                <c:pt idx="204">
                  <c:v>12</c:v>
                </c:pt>
                <c:pt idx="205">
                  <c:v>9</c:v>
                </c:pt>
                <c:pt idx="206">
                  <c:v>15</c:v>
                </c:pt>
                <c:pt idx="207">
                  <c:v>10</c:v>
                </c:pt>
                <c:pt idx="208">
                  <c:v>16</c:v>
                </c:pt>
                <c:pt idx="209">
                  <c:v>3</c:v>
                </c:pt>
                <c:pt idx="210">
                  <c:v>11</c:v>
                </c:pt>
                <c:pt idx="211">
                  <c:v>16</c:v>
                </c:pt>
                <c:pt idx="212">
                  <c:v>15</c:v>
                </c:pt>
                <c:pt idx="213">
                  <c:v>8</c:v>
                </c:pt>
                <c:pt idx="214">
                  <c:v>4</c:v>
                </c:pt>
                <c:pt idx="215">
                  <c:v>12</c:v>
                </c:pt>
                <c:pt idx="216">
                  <c:v>7</c:v>
                </c:pt>
                <c:pt idx="217">
                  <c:v>15</c:v>
                </c:pt>
                <c:pt idx="218">
                  <c:v>14</c:v>
                </c:pt>
                <c:pt idx="219">
                  <c:v>13</c:v>
                </c:pt>
                <c:pt idx="220">
                  <c:v>12</c:v>
                </c:pt>
                <c:pt idx="221">
                  <c:v>18</c:v>
                </c:pt>
                <c:pt idx="222">
                  <c:v>9</c:v>
                </c:pt>
                <c:pt idx="223">
                  <c:v>24</c:v>
                </c:pt>
                <c:pt idx="224">
                  <c:v>14</c:v>
                </c:pt>
                <c:pt idx="225">
                  <c:v>14</c:v>
                </c:pt>
                <c:pt idx="226">
                  <c:v>12</c:v>
                </c:pt>
                <c:pt idx="227">
                  <c:v>10</c:v>
                </c:pt>
                <c:pt idx="228">
                  <c:v>11</c:v>
                </c:pt>
                <c:pt idx="229">
                  <c:v>9</c:v>
                </c:pt>
                <c:pt idx="230">
                  <c:v>14</c:v>
                </c:pt>
                <c:pt idx="231">
                  <c:v>9</c:v>
                </c:pt>
                <c:pt idx="232">
                  <c:v>11</c:v>
                </c:pt>
                <c:pt idx="233">
                  <c:v>13</c:v>
                </c:pt>
                <c:pt idx="234">
                  <c:v>12</c:v>
                </c:pt>
                <c:pt idx="235">
                  <c:v>22</c:v>
                </c:pt>
                <c:pt idx="23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1D-431E-8427-D41EAEF88840}"/>
            </c:ext>
          </c:extLst>
        </c:ser>
        <c:ser>
          <c:idx val="1"/>
          <c:order val="1"/>
          <c:tx>
            <c:v>Качественные лиды</c:v>
          </c:tx>
          <c:spPr>
            <a:ln w="19050">
              <a:noFill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xVal>
            <c:numRef>
              <c:f>'Недельная сводка'!$F$5:$F$241</c:f>
              <c:numCache>
                <c:formatCode>General</c:formatCode>
                <c:ptCount val="237"/>
                <c:pt idx="0">
                  <c:v>61</c:v>
                </c:pt>
                <c:pt idx="1">
                  <c:v>77</c:v>
                </c:pt>
                <c:pt idx="2">
                  <c:v>122</c:v>
                </c:pt>
                <c:pt idx="3">
                  <c:v>169</c:v>
                </c:pt>
                <c:pt idx="4">
                  <c:v>88</c:v>
                </c:pt>
                <c:pt idx="5">
                  <c:v>129</c:v>
                </c:pt>
                <c:pt idx="6">
                  <c:v>144</c:v>
                </c:pt>
                <c:pt idx="7">
                  <c:v>112</c:v>
                </c:pt>
                <c:pt idx="8">
                  <c:v>108</c:v>
                </c:pt>
                <c:pt idx="9">
                  <c:v>97</c:v>
                </c:pt>
                <c:pt idx="10">
                  <c:v>104</c:v>
                </c:pt>
                <c:pt idx="11">
                  <c:v>122</c:v>
                </c:pt>
                <c:pt idx="12">
                  <c:v>190</c:v>
                </c:pt>
                <c:pt idx="13">
                  <c:v>147</c:v>
                </c:pt>
                <c:pt idx="14">
                  <c:v>156</c:v>
                </c:pt>
                <c:pt idx="15">
                  <c:v>154</c:v>
                </c:pt>
                <c:pt idx="16">
                  <c:v>112</c:v>
                </c:pt>
                <c:pt idx="17">
                  <c:v>139</c:v>
                </c:pt>
                <c:pt idx="18">
                  <c:v>133</c:v>
                </c:pt>
                <c:pt idx="19">
                  <c:v>140</c:v>
                </c:pt>
                <c:pt idx="20">
                  <c:v>134</c:v>
                </c:pt>
                <c:pt idx="21">
                  <c:v>86</c:v>
                </c:pt>
                <c:pt idx="22">
                  <c:v>113</c:v>
                </c:pt>
                <c:pt idx="23">
                  <c:v>130</c:v>
                </c:pt>
                <c:pt idx="24">
                  <c:v>121</c:v>
                </c:pt>
                <c:pt idx="25">
                  <c:v>122</c:v>
                </c:pt>
                <c:pt idx="26">
                  <c:v>130</c:v>
                </c:pt>
                <c:pt idx="27">
                  <c:v>138</c:v>
                </c:pt>
                <c:pt idx="28">
                  <c:v>107</c:v>
                </c:pt>
                <c:pt idx="29">
                  <c:v>183</c:v>
                </c:pt>
                <c:pt idx="30">
                  <c:v>248</c:v>
                </c:pt>
                <c:pt idx="31">
                  <c:v>151</c:v>
                </c:pt>
                <c:pt idx="32">
                  <c:v>150</c:v>
                </c:pt>
                <c:pt idx="33">
                  <c:v>201</c:v>
                </c:pt>
                <c:pt idx="34">
                  <c:v>145</c:v>
                </c:pt>
                <c:pt idx="35">
                  <c:v>117</c:v>
                </c:pt>
                <c:pt idx="36">
                  <c:v>123</c:v>
                </c:pt>
                <c:pt idx="37">
                  <c:v>89</c:v>
                </c:pt>
                <c:pt idx="38">
                  <c:v>88</c:v>
                </c:pt>
                <c:pt idx="39">
                  <c:v>101</c:v>
                </c:pt>
                <c:pt idx="40">
                  <c:v>130</c:v>
                </c:pt>
                <c:pt idx="41">
                  <c:v>108</c:v>
                </c:pt>
                <c:pt idx="42">
                  <c:v>131</c:v>
                </c:pt>
                <c:pt idx="43">
                  <c:v>133</c:v>
                </c:pt>
                <c:pt idx="44">
                  <c:v>112</c:v>
                </c:pt>
                <c:pt idx="45">
                  <c:v>127</c:v>
                </c:pt>
                <c:pt idx="46">
                  <c:v>111</c:v>
                </c:pt>
                <c:pt idx="47">
                  <c:v>107</c:v>
                </c:pt>
                <c:pt idx="48">
                  <c:v>102</c:v>
                </c:pt>
                <c:pt idx="49">
                  <c:v>120</c:v>
                </c:pt>
                <c:pt idx="50">
                  <c:v>114</c:v>
                </c:pt>
                <c:pt idx="51">
                  <c:v>111</c:v>
                </c:pt>
                <c:pt idx="52">
                  <c:v>76</c:v>
                </c:pt>
                <c:pt idx="53">
                  <c:v>76</c:v>
                </c:pt>
                <c:pt idx="54">
                  <c:v>94</c:v>
                </c:pt>
                <c:pt idx="55">
                  <c:v>101</c:v>
                </c:pt>
                <c:pt idx="56">
                  <c:v>79</c:v>
                </c:pt>
                <c:pt idx="57">
                  <c:v>117</c:v>
                </c:pt>
                <c:pt idx="58">
                  <c:v>123</c:v>
                </c:pt>
                <c:pt idx="59">
                  <c:v>55</c:v>
                </c:pt>
                <c:pt idx="60">
                  <c:v>80</c:v>
                </c:pt>
                <c:pt idx="61">
                  <c:v>148</c:v>
                </c:pt>
                <c:pt idx="62">
                  <c:v>94</c:v>
                </c:pt>
                <c:pt idx="63">
                  <c:v>115</c:v>
                </c:pt>
                <c:pt idx="64">
                  <c:v>123</c:v>
                </c:pt>
                <c:pt idx="65">
                  <c:v>126</c:v>
                </c:pt>
                <c:pt idx="66">
                  <c:v>144</c:v>
                </c:pt>
                <c:pt idx="67">
                  <c:v>135</c:v>
                </c:pt>
                <c:pt idx="68">
                  <c:v>144</c:v>
                </c:pt>
                <c:pt idx="69">
                  <c:v>135</c:v>
                </c:pt>
                <c:pt idx="70">
                  <c:v>109</c:v>
                </c:pt>
                <c:pt idx="71">
                  <c:v>107</c:v>
                </c:pt>
                <c:pt idx="72">
                  <c:v>138</c:v>
                </c:pt>
                <c:pt idx="73">
                  <c:v>133</c:v>
                </c:pt>
                <c:pt idx="74">
                  <c:v>147</c:v>
                </c:pt>
                <c:pt idx="75">
                  <c:v>105</c:v>
                </c:pt>
                <c:pt idx="76">
                  <c:v>139</c:v>
                </c:pt>
                <c:pt idx="77">
                  <c:v>117</c:v>
                </c:pt>
                <c:pt idx="78">
                  <c:v>112</c:v>
                </c:pt>
                <c:pt idx="79">
                  <c:v>100</c:v>
                </c:pt>
                <c:pt idx="80">
                  <c:v>124</c:v>
                </c:pt>
                <c:pt idx="81">
                  <c:v>148</c:v>
                </c:pt>
                <c:pt idx="82">
                  <c:v>126</c:v>
                </c:pt>
                <c:pt idx="83">
                  <c:v>105</c:v>
                </c:pt>
                <c:pt idx="84">
                  <c:v>106</c:v>
                </c:pt>
                <c:pt idx="85">
                  <c:v>108</c:v>
                </c:pt>
                <c:pt idx="86">
                  <c:v>95</c:v>
                </c:pt>
                <c:pt idx="87">
                  <c:v>126</c:v>
                </c:pt>
                <c:pt idx="88">
                  <c:v>118</c:v>
                </c:pt>
                <c:pt idx="89">
                  <c:v>84</c:v>
                </c:pt>
                <c:pt idx="90">
                  <c:v>153</c:v>
                </c:pt>
                <c:pt idx="91">
                  <c:v>161</c:v>
                </c:pt>
                <c:pt idx="92">
                  <c:v>136</c:v>
                </c:pt>
                <c:pt idx="93">
                  <c:v>131</c:v>
                </c:pt>
                <c:pt idx="94">
                  <c:v>131</c:v>
                </c:pt>
                <c:pt idx="95">
                  <c:v>87</c:v>
                </c:pt>
                <c:pt idx="96">
                  <c:v>124</c:v>
                </c:pt>
                <c:pt idx="97">
                  <c:v>119</c:v>
                </c:pt>
                <c:pt idx="98">
                  <c:v>183</c:v>
                </c:pt>
                <c:pt idx="99">
                  <c:v>120</c:v>
                </c:pt>
                <c:pt idx="100">
                  <c:v>105</c:v>
                </c:pt>
                <c:pt idx="101">
                  <c:v>128</c:v>
                </c:pt>
                <c:pt idx="102">
                  <c:v>84</c:v>
                </c:pt>
                <c:pt idx="103">
                  <c:v>97</c:v>
                </c:pt>
                <c:pt idx="104">
                  <c:v>81</c:v>
                </c:pt>
                <c:pt idx="105">
                  <c:v>69</c:v>
                </c:pt>
                <c:pt idx="106">
                  <c:v>92</c:v>
                </c:pt>
                <c:pt idx="107">
                  <c:v>118</c:v>
                </c:pt>
                <c:pt idx="108">
                  <c:v>165</c:v>
                </c:pt>
                <c:pt idx="109">
                  <c:v>111</c:v>
                </c:pt>
                <c:pt idx="110">
                  <c:v>127</c:v>
                </c:pt>
                <c:pt idx="111">
                  <c:v>142</c:v>
                </c:pt>
                <c:pt idx="112">
                  <c:v>107</c:v>
                </c:pt>
                <c:pt idx="113">
                  <c:v>171</c:v>
                </c:pt>
                <c:pt idx="114">
                  <c:v>133</c:v>
                </c:pt>
                <c:pt idx="115">
                  <c:v>97</c:v>
                </c:pt>
                <c:pt idx="116">
                  <c:v>91</c:v>
                </c:pt>
                <c:pt idx="117">
                  <c:v>90</c:v>
                </c:pt>
                <c:pt idx="118">
                  <c:v>151</c:v>
                </c:pt>
                <c:pt idx="119">
                  <c:v>120</c:v>
                </c:pt>
                <c:pt idx="120">
                  <c:v>152</c:v>
                </c:pt>
                <c:pt idx="121">
                  <c:v>134</c:v>
                </c:pt>
                <c:pt idx="122">
                  <c:v>119</c:v>
                </c:pt>
                <c:pt idx="123">
                  <c:v>101</c:v>
                </c:pt>
                <c:pt idx="124">
                  <c:v>110</c:v>
                </c:pt>
                <c:pt idx="125">
                  <c:v>177</c:v>
                </c:pt>
                <c:pt idx="126">
                  <c:v>124</c:v>
                </c:pt>
                <c:pt idx="127">
                  <c:v>104</c:v>
                </c:pt>
                <c:pt idx="128">
                  <c:v>145</c:v>
                </c:pt>
                <c:pt idx="129">
                  <c:v>122</c:v>
                </c:pt>
                <c:pt idx="130">
                  <c:v>97</c:v>
                </c:pt>
                <c:pt idx="131">
                  <c:v>112</c:v>
                </c:pt>
                <c:pt idx="132">
                  <c:v>137</c:v>
                </c:pt>
                <c:pt idx="133">
                  <c:v>147</c:v>
                </c:pt>
                <c:pt idx="134">
                  <c:v>121</c:v>
                </c:pt>
                <c:pt idx="135">
                  <c:v>161</c:v>
                </c:pt>
                <c:pt idx="136">
                  <c:v>113</c:v>
                </c:pt>
                <c:pt idx="137">
                  <c:v>127</c:v>
                </c:pt>
                <c:pt idx="138">
                  <c:v>109</c:v>
                </c:pt>
                <c:pt idx="139">
                  <c:v>142</c:v>
                </c:pt>
                <c:pt idx="140">
                  <c:v>77</c:v>
                </c:pt>
                <c:pt idx="141">
                  <c:v>103</c:v>
                </c:pt>
                <c:pt idx="142">
                  <c:v>153</c:v>
                </c:pt>
                <c:pt idx="143">
                  <c:v>122</c:v>
                </c:pt>
                <c:pt idx="144">
                  <c:v>140</c:v>
                </c:pt>
                <c:pt idx="145">
                  <c:v>158</c:v>
                </c:pt>
                <c:pt idx="146">
                  <c:v>104</c:v>
                </c:pt>
                <c:pt idx="147">
                  <c:v>112</c:v>
                </c:pt>
                <c:pt idx="148">
                  <c:v>124</c:v>
                </c:pt>
                <c:pt idx="149">
                  <c:v>91</c:v>
                </c:pt>
                <c:pt idx="150">
                  <c:v>67</c:v>
                </c:pt>
                <c:pt idx="151">
                  <c:v>74</c:v>
                </c:pt>
                <c:pt idx="152">
                  <c:v>93</c:v>
                </c:pt>
                <c:pt idx="153">
                  <c:v>111</c:v>
                </c:pt>
                <c:pt idx="154">
                  <c:v>76</c:v>
                </c:pt>
                <c:pt idx="155">
                  <c:v>122</c:v>
                </c:pt>
                <c:pt idx="156">
                  <c:v>58</c:v>
                </c:pt>
                <c:pt idx="157">
                  <c:v>45</c:v>
                </c:pt>
                <c:pt idx="158">
                  <c:v>123</c:v>
                </c:pt>
                <c:pt idx="159">
                  <c:v>73</c:v>
                </c:pt>
                <c:pt idx="160">
                  <c:v>103</c:v>
                </c:pt>
                <c:pt idx="161">
                  <c:v>109</c:v>
                </c:pt>
                <c:pt idx="162">
                  <c:v>117</c:v>
                </c:pt>
                <c:pt idx="163">
                  <c:v>159</c:v>
                </c:pt>
                <c:pt idx="164">
                  <c:v>70</c:v>
                </c:pt>
                <c:pt idx="165">
                  <c:v>109</c:v>
                </c:pt>
                <c:pt idx="166">
                  <c:v>70</c:v>
                </c:pt>
                <c:pt idx="167">
                  <c:v>76</c:v>
                </c:pt>
                <c:pt idx="168">
                  <c:v>152</c:v>
                </c:pt>
                <c:pt idx="169">
                  <c:v>191</c:v>
                </c:pt>
                <c:pt idx="170">
                  <c:v>188</c:v>
                </c:pt>
                <c:pt idx="171">
                  <c:v>151</c:v>
                </c:pt>
                <c:pt idx="172">
                  <c:v>114</c:v>
                </c:pt>
                <c:pt idx="173">
                  <c:v>110</c:v>
                </c:pt>
                <c:pt idx="174">
                  <c:v>61</c:v>
                </c:pt>
                <c:pt idx="175">
                  <c:v>66</c:v>
                </c:pt>
                <c:pt idx="176">
                  <c:v>75</c:v>
                </c:pt>
                <c:pt idx="177">
                  <c:v>127</c:v>
                </c:pt>
                <c:pt idx="178">
                  <c:v>104</c:v>
                </c:pt>
                <c:pt idx="179">
                  <c:v>129</c:v>
                </c:pt>
                <c:pt idx="180">
                  <c:v>75</c:v>
                </c:pt>
                <c:pt idx="181">
                  <c:v>127</c:v>
                </c:pt>
                <c:pt idx="182">
                  <c:v>132</c:v>
                </c:pt>
                <c:pt idx="183">
                  <c:v>134</c:v>
                </c:pt>
                <c:pt idx="184">
                  <c:v>134</c:v>
                </c:pt>
                <c:pt idx="185">
                  <c:v>137</c:v>
                </c:pt>
                <c:pt idx="186">
                  <c:v>85</c:v>
                </c:pt>
                <c:pt idx="187">
                  <c:v>87</c:v>
                </c:pt>
                <c:pt idx="188">
                  <c:v>59</c:v>
                </c:pt>
                <c:pt idx="189">
                  <c:v>83</c:v>
                </c:pt>
                <c:pt idx="190">
                  <c:v>81</c:v>
                </c:pt>
                <c:pt idx="191">
                  <c:v>83</c:v>
                </c:pt>
                <c:pt idx="192">
                  <c:v>108</c:v>
                </c:pt>
                <c:pt idx="193">
                  <c:v>107</c:v>
                </c:pt>
                <c:pt idx="194">
                  <c:v>59</c:v>
                </c:pt>
                <c:pt idx="195">
                  <c:v>90</c:v>
                </c:pt>
                <c:pt idx="196">
                  <c:v>84</c:v>
                </c:pt>
                <c:pt idx="197">
                  <c:v>125</c:v>
                </c:pt>
                <c:pt idx="198">
                  <c:v>114</c:v>
                </c:pt>
                <c:pt idx="199">
                  <c:v>124</c:v>
                </c:pt>
                <c:pt idx="200">
                  <c:v>107</c:v>
                </c:pt>
                <c:pt idx="201">
                  <c:v>90</c:v>
                </c:pt>
                <c:pt idx="202">
                  <c:v>95</c:v>
                </c:pt>
                <c:pt idx="203">
                  <c:v>108</c:v>
                </c:pt>
                <c:pt idx="204">
                  <c:v>129</c:v>
                </c:pt>
                <c:pt idx="205">
                  <c:v>85</c:v>
                </c:pt>
                <c:pt idx="206">
                  <c:v>52</c:v>
                </c:pt>
                <c:pt idx="207">
                  <c:v>66</c:v>
                </c:pt>
                <c:pt idx="208">
                  <c:v>60</c:v>
                </c:pt>
                <c:pt idx="209">
                  <c:v>41</c:v>
                </c:pt>
                <c:pt idx="210">
                  <c:v>70</c:v>
                </c:pt>
                <c:pt idx="211">
                  <c:v>118</c:v>
                </c:pt>
                <c:pt idx="212">
                  <c:v>91</c:v>
                </c:pt>
                <c:pt idx="213">
                  <c:v>60</c:v>
                </c:pt>
                <c:pt idx="214">
                  <c:v>48</c:v>
                </c:pt>
                <c:pt idx="215">
                  <c:v>98</c:v>
                </c:pt>
                <c:pt idx="216">
                  <c:v>108</c:v>
                </c:pt>
                <c:pt idx="217">
                  <c:v>80</c:v>
                </c:pt>
                <c:pt idx="218">
                  <c:v>74</c:v>
                </c:pt>
                <c:pt idx="219">
                  <c:v>78</c:v>
                </c:pt>
                <c:pt idx="220">
                  <c:v>141</c:v>
                </c:pt>
                <c:pt idx="221">
                  <c:v>91</c:v>
                </c:pt>
                <c:pt idx="222">
                  <c:v>110</c:v>
                </c:pt>
                <c:pt idx="223">
                  <c:v>103</c:v>
                </c:pt>
                <c:pt idx="224">
                  <c:v>80</c:v>
                </c:pt>
                <c:pt idx="225">
                  <c:v>71</c:v>
                </c:pt>
                <c:pt idx="226">
                  <c:v>119</c:v>
                </c:pt>
                <c:pt idx="227">
                  <c:v>97</c:v>
                </c:pt>
                <c:pt idx="228">
                  <c:v>110</c:v>
                </c:pt>
                <c:pt idx="229">
                  <c:v>102</c:v>
                </c:pt>
                <c:pt idx="230">
                  <c:v>126</c:v>
                </c:pt>
                <c:pt idx="231">
                  <c:v>158</c:v>
                </c:pt>
                <c:pt idx="232">
                  <c:v>158</c:v>
                </c:pt>
                <c:pt idx="233">
                  <c:v>151</c:v>
                </c:pt>
                <c:pt idx="234">
                  <c:v>95</c:v>
                </c:pt>
                <c:pt idx="235">
                  <c:v>138</c:v>
                </c:pt>
                <c:pt idx="236">
                  <c:v>124</c:v>
                </c:pt>
              </c:numCache>
            </c:numRef>
          </c:xVal>
          <c:yVal>
            <c:numRef>
              <c:f>'Недельная сводка'!$E$5:$E$241</c:f>
              <c:numCache>
                <c:formatCode>General</c:formatCode>
                <c:ptCount val="237"/>
                <c:pt idx="0">
                  <c:v>0</c:v>
                </c:pt>
                <c:pt idx="1">
                  <c:v>7</c:v>
                </c:pt>
                <c:pt idx="2">
                  <c:v>18</c:v>
                </c:pt>
                <c:pt idx="3">
                  <c:v>24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  <c:pt idx="7">
                  <c:v>29</c:v>
                </c:pt>
                <c:pt idx="8">
                  <c:v>27</c:v>
                </c:pt>
                <c:pt idx="9">
                  <c:v>18</c:v>
                </c:pt>
                <c:pt idx="10">
                  <c:v>28</c:v>
                </c:pt>
                <c:pt idx="11">
                  <c:v>19</c:v>
                </c:pt>
                <c:pt idx="12">
                  <c:v>28</c:v>
                </c:pt>
                <c:pt idx="13">
                  <c:v>19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30</c:v>
                </c:pt>
                <c:pt idx="18">
                  <c:v>21</c:v>
                </c:pt>
                <c:pt idx="19">
                  <c:v>19</c:v>
                </c:pt>
                <c:pt idx="20">
                  <c:v>15</c:v>
                </c:pt>
                <c:pt idx="21">
                  <c:v>15</c:v>
                </c:pt>
                <c:pt idx="22">
                  <c:v>14</c:v>
                </c:pt>
                <c:pt idx="23">
                  <c:v>14</c:v>
                </c:pt>
                <c:pt idx="24">
                  <c:v>17</c:v>
                </c:pt>
                <c:pt idx="25">
                  <c:v>18</c:v>
                </c:pt>
                <c:pt idx="26">
                  <c:v>16</c:v>
                </c:pt>
                <c:pt idx="27">
                  <c:v>15</c:v>
                </c:pt>
                <c:pt idx="28">
                  <c:v>25</c:v>
                </c:pt>
                <c:pt idx="29">
                  <c:v>19</c:v>
                </c:pt>
                <c:pt idx="30">
                  <c:v>21</c:v>
                </c:pt>
                <c:pt idx="31">
                  <c:v>15</c:v>
                </c:pt>
                <c:pt idx="32">
                  <c:v>22</c:v>
                </c:pt>
                <c:pt idx="33">
                  <c:v>23</c:v>
                </c:pt>
                <c:pt idx="34">
                  <c:v>29</c:v>
                </c:pt>
                <c:pt idx="35">
                  <c:v>20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13</c:v>
                </c:pt>
                <c:pt idx="40">
                  <c:v>22</c:v>
                </c:pt>
                <c:pt idx="41">
                  <c:v>19</c:v>
                </c:pt>
                <c:pt idx="42">
                  <c:v>17</c:v>
                </c:pt>
                <c:pt idx="43">
                  <c:v>16</c:v>
                </c:pt>
                <c:pt idx="44">
                  <c:v>14</c:v>
                </c:pt>
                <c:pt idx="45">
                  <c:v>16</c:v>
                </c:pt>
                <c:pt idx="46">
                  <c:v>13</c:v>
                </c:pt>
                <c:pt idx="47">
                  <c:v>19</c:v>
                </c:pt>
                <c:pt idx="48">
                  <c:v>18</c:v>
                </c:pt>
                <c:pt idx="49">
                  <c:v>12</c:v>
                </c:pt>
                <c:pt idx="50">
                  <c:v>19</c:v>
                </c:pt>
                <c:pt idx="51">
                  <c:v>18</c:v>
                </c:pt>
                <c:pt idx="52">
                  <c:v>7</c:v>
                </c:pt>
                <c:pt idx="53">
                  <c:v>7</c:v>
                </c:pt>
                <c:pt idx="54">
                  <c:v>9</c:v>
                </c:pt>
                <c:pt idx="55">
                  <c:v>9</c:v>
                </c:pt>
                <c:pt idx="56">
                  <c:v>16</c:v>
                </c:pt>
                <c:pt idx="57">
                  <c:v>6</c:v>
                </c:pt>
                <c:pt idx="58">
                  <c:v>16</c:v>
                </c:pt>
                <c:pt idx="59">
                  <c:v>11</c:v>
                </c:pt>
                <c:pt idx="60">
                  <c:v>16</c:v>
                </c:pt>
                <c:pt idx="61">
                  <c:v>26</c:v>
                </c:pt>
                <c:pt idx="62">
                  <c:v>29</c:v>
                </c:pt>
                <c:pt idx="63">
                  <c:v>16</c:v>
                </c:pt>
                <c:pt idx="64">
                  <c:v>28</c:v>
                </c:pt>
                <c:pt idx="65">
                  <c:v>14</c:v>
                </c:pt>
                <c:pt idx="66">
                  <c:v>19</c:v>
                </c:pt>
                <c:pt idx="67">
                  <c:v>29</c:v>
                </c:pt>
                <c:pt idx="68">
                  <c:v>26</c:v>
                </c:pt>
                <c:pt idx="69">
                  <c:v>23</c:v>
                </c:pt>
                <c:pt idx="70">
                  <c:v>33</c:v>
                </c:pt>
                <c:pt idx="71">
                  <c:v>23</c:v>
                </c:pt>
                <c:pt idx="72">
                  <c:v>27</c:v>
                </c:pt>
                <c:pt idx="73">
                  <c:v>14</c:v>
                </c:pt>
                <c:pt idx="74">
                  <c:v>26</c:v>
                </c:pt>
                <c:pt idx="75">
                  <c:v>21</c:v>
                </c:pt>
                <c:pt idx="76">
                  <c:v>28</c:v>
                </c:pt>
                <c:pt idx="77">
                  <c:v>23</c:v>
                </c:pt>
                <c:pt idx="78">
                  <c:v>26</c:v>
                </c:pt>
                <c:pt idx="79">
                  <c:v>24</c:v>
                </c:pt>
                <c:pt idx="80">
                  <c:v>21</c:v>
                </c:pt>
                <c:pt idx="81">
                  <c:v>30</c:v>
                </c:pt>
                <c:pt idx="82">
                  <c:v>31</c:v>
                </c:pt>
                <c:pt idx="83">
                  <c:v>24</c:v>
                </c:pt>
                <c:pt idx="84">
                  <c:v>28</c:v>
                </c:pt>
                <c:pt idx="85">
                  <c:v>13</c:v>
                </c:pt>
                <c:pt idx="86">
                  <c:v>19</c:v>
                </c:pt>
                <c:pt idx="87">
                  <c:v>17</c:v>
                </c:pt>
                <c:pt idx="88">
                  <c:v>25</c:v>
                </c:pt>
                <c:pt idx="89">
                  <c:v>30</c:v>
                </c:pt>
                <c:pt idx="90">
                  <c:v>27</c:v>
                </c:pt>
                <c:pt idx="91">
                  <c:v>37</c:v>
                </c:pt>
                <c:pt idx="92">
                  <c:v>26</c:v>
                </c:pt>
                <c:pt idx="93">
                  <c:v>30</c:v>
                </c:pt>
                <c:pt idx="94">
                  <c:v>32</c:v>
                </c:pt>
                <c:pt idx="95">
                  <c:v>22</c:v>
                </c:pt>
                <c:pt idx="96">
                  <c:v>27</c:v>
                </c:pt>
                <c:pt idx="97">
                  <c:v>22</c:v>
                </c:pt>
                <c:pt idx="98">
                  <c:v>19</c:v>
                </c:pt>
                <c:pt idx="99">
                  <c:v>12</c:v>
                </c:pt>
                <c:pt idx="100">
                  <c:v>13</c:v>
                </c:pt>
                <c:pt idx="101">
                  <c:v>13</c:v>
                </c:pt>
                <c:pt idx="102">
                  <c:v>9</c:v>
                </c:pt>
                <c:pt idx="103">
                  <c:v>10</c:v>
                </c:pt>
                <c:pt idx="104">
                  <c:v>11</c:v>
                </c:pt>
                <c:pt idx="105">
                  <c:v>13</c:v>
                </c:pt>
                <c:pt idx="106">
                  <c:v>13</c:v>
                </c:pt>
                <c:pt idx="107">
                  <c:v>16</c:v>
                </c:pt>
                <c:pt idx="108">
                  <c:v>21</c:v>
                </c:pt>
                <c:pt idx="109">
                  <c:v>17</c:v>
                </c:pt>
                <c:pt idx="110">
                  <c:v>28</c:v>
                </c:pt>
                <c:pt idx="111">
                  <c:v>21</c:v>
                </c:pt>
                <c:pt idx="112">
                  <c:v>22</c:v>
                </c:pt>
                <c:pt idx="113">
                  <c:v>19</c:v>
                </c:pt>
                <c:pt idx="114">
                  <c:v>17</c:v>
                </c:pt>
                <c:pt idx="115">
                  <c:v>19</c:v>
                </c:pt>
                <c:pt idx="116">
                  <c:v>24</c:v>
                </c:pt>
                <c:pt idx="117">
                  <c:v>12</c:v>
                </c:pt>
                <c:pt idx="118">
                  <c:v>23</c:v>
                </c:pt>
                <c:pt idx="119">
                  <c:v>23</c:v>
                </c:pt>
                <c:pt idx="120">
                  <c:v>21</c:v>
                </c:pt>
                <c:pt idx="121">
                  <c:v>15</c:v>
                </c:pt>
                <c:pt idx="122">
                  <c:v>21</c:v>
                </c:pt>
                <c:pt idx="123">
                  <c:v>22</c:v>
                </c:pt>
                <c:pt idx="124">
                  <c:v>21</c:v>
                </c:pt>
                <c:pt idx="125">
                  <c:v>32</c:v>
                </c:pt>
                <c:pt idx="126">
                  <c:v>17</c:v>
                </c:pt>
                <c:pt idx="127">
                  <c:v>22</c:v>
                </c:pt>
                <c:pt idx="128">
                  <c:v>24</c:v>
                </c:pt>
                <c:pt idx="129">
                  <c:v>10</c:v>
                </c:pt>
                <c:pt idx="130">
                  <c:v>21</c:v>
                </c:pt>
                <c:pt idx="131">
                  <c:v>26</c:v>
                </c:pt>
                <c:pt idx="132">
                  <c:v>27</c:v>
                </c:pt>
                <c:pt idx="133">
                  <c:v>18</c:v>
                </c:pt>
                <c:pt idx="134">
                  <c:v>18</c:v>
                </c:pt>
                <c:pt idx="135">
                  <c:v>26</c:v>
                </c:pt>
                <c:pt idx="136">
                  <c:v>21</c:v>
                </c:pt>
                <c:pt idx="137">
                  <c:v>19</c:v>
                </c:pt>
                <c:pt idx="138">
                  <c:v>20</c:v>
                </c:pt>
                <c:pt idx="139">
                  <c:v>17</c:v>
                </c:pt>
                <c:pt idx="140">
                  <c:v>23</c:v>
                </c:pt>
                <c:pt idx="141">
                  <c:v>17</c:v>
                </c:pt>
                <c:pt idx="142">
                  <c:v>18</c:v>
                </c:pt>
                <c:pt idx="143">
                  <c:v>15</c:v>
                </c:pt>
                <c:pt idx="144">
                  <c:v>16</c:v>
                </c:pt>
                <c:pt idx="145">
                  <c:v>17</c:v>
                </c:pt>
                <c:pt idx="146">
                  <c:v>20</c:v>
                </c:pt>
                <c:pt idx="147">
                  <c:v>16</c:v>
                </c:pt>
                <c:pt idx="148">
                  <c:v>16</c:v>
                </c:pt>
                <c:pt idx="149">
                  <c:v>15</c:v>
                </c:pt>
                <c:pt idx="150">
                  <c:v>15</c:v>
                </c:pt>
                <c:pt idx="151">
                  <c:v>6</c:v>
                </c:pt>
                <c:pt idx="152">
                  <c:v>17</c:v>
                </c:pt>
                <c:pt idx="153">
                  <c:v>12</c:v>
                </c:pt>
                <c:pt idx="154">
                  <c:v>14</c:v>
                </c:pt>
                <c:pt idx="155">
                  <c:v>11</c:v>
                </c:pt>
                <c:pt idx="156">
                  <c:v>14</c:v>
                </c:pt>
                <c:pt idx="157">
                  <c:v>10</c:v>
                </c:pt>
                <c:pt idx="158">
                  <c:v>8</c:v>
                </c:pt>
                <c:pt idx="159">
                  <c:v>17</c:v>
                </c:pt>
                <c:pt idx="160">
                  <c:v>13</c:v>
                </c:pt>
                <c:pt idx="161">
                  <c:v>8</c:v>
                </c:pt>
                <c:pt idx="162">
                  <c:v>11</c:v>
                </c:pt>
                <c:pt idx="163">
                  <c:v>18</c:v>
                </c:pt>
                <c:pt idx="164">
                  <c:v>8</c:v>
                </c:pt>
                <c:pt idx="165">
                  <c:v>16</c:v>
                </c:pt>
                <c:pt idx="166">
                  <c:v>9</c:v>
                </c:pt>
                <c:pt idx="167">
                  <c:v>14</c:v>
                </c:pt>
                <c:pt idx="168">
                  <c:v>17</c:v>
                </c:pt>
                <c:pt idx="169">
                  <c:v>23</c:v>
                </c:pt>
                <c:pt idx="170">
                  <c:v>15</c:v>
                </c:pt>
                <c:pt idx="171">
                  <c:v>15</c:v>
                </c:pt>
                <c:pt idx="172">
                  <c:v>11</c:v>
                </c:pt>
                <c:pt idx="173">
                  <c:v>7</c:v>
                </c:pt>
                <c:pt idx="174">
                  <c:v>13</c:v>
                </c:pt>
                <c:pt idx="175">
                  <c:v>10</c:v>
                </c:pt>
                <c:pt idx="176">
                  <c:v>10</c:v>
                </c:pt>
                <c:pt idx="177">
                  <c:v>8</c:v>
                </c:pt>
                <c:pt idx="178">
                  <c:v>14</c:v>
                </c:pt>
                <c:pt idx="179">
                  <c:v>15</c:v>
                </c:pt>
                <c:pt idx="180">
                  <c:v>6</c:v>
                </c:pt>
                <c:pt idx="181">
                  <c:v>19</c:v>
                </c:pt>
                <c:pt idx="182">
                  <c:v>20</c:v>
                </c:pt>
                <c:pt idx="183">
                  <c:v>9</c:v>
                </c:pt>
                <c:pt idx="184">
                  <c:v>8</c:v>
                </c:pt>
                <c:pt idx="185">
                  <c:v>27</c:v>
                </c:pt>
                <c:pt idx="186">
                  <c:v>14</c:v>
                </c:pt>
                <c:pt idx="187">
                  <c:v>16</c:v>
                </c:pt>
                <c:pt idx="188">
                  <c:v>10</c:v>
                </c:pt>
                <c:pt idx="189">
                  <c:v>12</c:v>
                </c:pt>
                <c:pt idx="190">
                  <c:v>11</c:v>
                </c:pt>
                <c:pt idx="191">
                  <c:v>12</c:v>
                </c:pt>
                <c:pt idx="192">
                  <c:v>13</c:v>
                </c:pt>
                <c:pt idx="193">
                  <c:v>8</c:v>
                </c:pt>
                <c:pt idx="194">
                  <c:v>12</c:v>
                </c:pt>
                <c:pt idx="195">
                  <c:v>10</c:v>
                </c:pt>
                <c:pt idx="196">
                  <c:v>8</c:v>
                </c:pt>
                <c:pt idx="197">
                  <c:v>13</c:v>
                </c:pt>
                <c:pt idx="198">
                  <c:v>6</c:v>
                </c:pt>
                <c:pt idx="199">
                  <c:v>18</c:v>
                </c:pt>
                <c:pt idx="200">
                  <c:v>10</c:v>
                </c:pt>
                <c:pt idx="201">
                  <c:v>9</c:v>
                </c:pt>
                <c:pt idx="202">
                  <c:v>9</c:v>
                </c:pt>
                <c:pt idx="203">
                  <c:v>13</c:v>
                </c:pt>
                <c:pt idx="204">
                  <c:v>11</c:v>
                </c:pt>
                <c:pt idx="205">
                  <c:v>9</c:v>
                </c:pt>
                <c:pt idx="206">
                  <c:v>15</c:v>
                </c:pt>
                <c:pt idx="207">
                  <c:v>10</c:v>
                </c:pt>
                <c:pt idx="208">
                  <c:v>14</c:v>
                </c:pt>
                <c:pt idx="209">
                  <c:v>3</c:v>
                </c:pt>
                <c:pt idx="210">
                  <c:v>11</c:v>
                </c:pt>
                <c:pt idx="211">
                  <c:v>16</c:v>
                </c:pt>
                <c:pt idx="212">
                  <c:v>15</c:v>
                </c:pt>
                <c:pt idx="213">
                  <c:v>8</c:v>
                </c:pt>
                <c:pt idx="214">
                  <c:v>4</c:v>
                </c:pt>
                <c:pt idx="215">
                  <c:v>12</c:v>
                </c:pt>
                <c:pt idx="216">
                  <c:v>7</c:v>
                </c:pt>
                <c:pt idx="217">
                  <c:v>15</c:v>
                </c:pt>
                <c:pt idx="218">
                  <c:v>14</c:v>
                </c:pt>
                <c:pt idx="219">
                  <c:v>12</c:v>
                </c:pt>
                <c:pt idx="220">
                  <c:v>12</c:v>
                </c:pt>
                <c:pt idx="221">
                  <c:v>18</c:v>
                </c:pt>
                <c:pt idx="222">
                  <c:v>9</c:v>
                </c:pt>
                <c:pt idx="223">
                  <c:v>24</c:v>
                </c:pt>
                <c:pt idx="224">
                  <c:v>14</c:v>
                </c:pt>
                <c:pt idx="225">
                  <c:v>13</c:v>
                </c:pt>
                <c:pt idx="226">
                  <c:v>12</c:v>
                </c:pt>
                <c:pt idx="227">
                  <c:v>10</c:v>
                </c:pt>
                <c:pt idx="228">
                  <c:v>11</c:v>
                </c:pt>
                <c:pt idx="229">
                  <c:v>9</c:v>
                </c:pt>
                <c:pt idx="230">
                  <c:v>12</c:v>
                </c:pt>
                <c:pt idx="231">
                  <c:v>9</c:v>
                </c:pt>
                <c:pt idx="232">
                  <c:v>11</c:v>
                </c:pt>
                <c:pt idx="233">
                  <c:v>12</c:v>
                </c:pt>
                <c:pt idx="234">
                  <c:v>12</c:v>
                </c:pt>
                <c:pt idx="235">
                  <c:v>20</c:v>
                </c:pt>
                <c:pt idx="236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1D-431E-8427-D41EAEF8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900304"/>
        <c:axId val="1344439376"/>
      </c:scatterChart>
      <c:valAx>
        <c:axId val="134590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Запросы </a:t>
                </a:r>
                <a:r>
                  <a:rPr lang="en-US"/>
                  <a:t>Wordstat </a:t>
                </a:r>
                <a:r>
                  <a:rPr lang="ru-RU"/>
                  <a:t>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4439376"/>
        <c:crosses val="autoZero"/>
        <c:crossBetween val="midCat"/>
      </c:valAx>
      <c:valAx>
        <c:axId val="1344439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лидов за неделю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5900304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3</xdr:row>
      <xdr:rowOff>139700</xdr:rowOff>
    </xdr:from>
    <xdr:to>
      <xdr:col>19</xdr:col>
      <xdr:colOff>495300</xdr:colOff>
      <xdr:row>41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33276D-90C1-4B22-8037-D29EAACA2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149225</xdr:rowOff>
    </xdr:from>
    <xdr:to>
      <xdr:col>18</xdr:col>
      <xdr:colOff>76200</xdr:colOff>
      <xdr:row>44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F0D1A80-650C-4718-8605-C174E78E3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9301FA-927F-47D6-8DEA-5EB4DE28CE0F}" name="tblPdrWeekly" displayName="tblPdrWeekly" ref="A4:G241" totalsRowShown="0">
  <autoFilter ref="A4:G241" xr:uid="{6F87CE8C-FC2A-441E-8B72-41C57BA41678}"/>
  <tableColumns count="7">
    <tableColumn id="1" xr3:uid="{EF070647-6625-41C1-84C7-33627DA64A20}" name="Начало недели" dataDxfId="5"/>
    <tableColumn id="2" xr3:uid="{99F0BE8A-78AE-429D-922A-7EF2100E4333}" name="Конец недели" dataDxfId="4"/>
    <tableColumn id="3" xr3:uid="{C0AB04A5-92EA-46C7-A3A7-9AF5CD7366AC}" name="Период Wordstat"/>
    <tableColumn id="4" xr3:uid="{28F72A52-4BDD-4851-BC3D-71974ED9C7DB}" name="Все лиды">
      <calculatedColumnFormula>COUNTIFS('Исходник — лиды'!$H$2:$H$4191,"&gt;="&amp;A5,'Исходник — лиды'!$H$2:$H$4191,"&lt;"&amp;B5+1)</calculatedColumnFormula>
    </tableColumn>
    <tableColumn id="5" xr3:uid="{EDEF1F38-5819-4193-B217-FAD475D92506}" name="Качественные лиды">
      <calculatedColumnFormula>COUNTIFS('Исходник — лиды'!$H$2:$H$4191,"&gt;="&amp;A5,'Исходник — лиды'!$H$2:$H$4191,"&lt;"&amp;B5+1,'Исходник — лиды'!$C$2:$C$4191,"Качественный лид")</calculatedColumnFormula>
    </tableColumn>
    <tableColumn id="6" xr3:uid="{FD308BCF-41F1-48F1-8D3A-66040B05F339}" name="Запросы Wordstat"/>
    <tableColumn id="7" xr3:uid="{951C47A2-20C1-4665-AD41-79E36492D26B}" name="Доля качественных" dataDxfId="3">
      <calculatedColumnFormula>IFERROR(E5/D5,0)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1BCBE-B0F2-4461-ADF7-98BCC7BC35D8}" name="tblPdrLeads" displayName="tblPdrLeads" ref="A1:Z4191" totalsRowShown="0">
  <autoFilter ref="A1:Z4191" xr:uid="{0F2B8E0F-1CB3-48A0-8A45-2193E8131720}"/>
  <tableColumns count="26">
    <tableColumn id="1" xr3:uid="{EDF9F232-D6A5-46C8-8C1C-3E1CAB0E3496}" name="Название лида"/>
    <tableColumn id="2" xr3:uid="{ECD4D11F-CEDD-418C-967C-9C3776D77BB0}" name="Источник"/>
    <tableColumn id="3" xr3:uid="{6E3C97C9-8A15-4671-8059-C890F2C7ADDC}" name="Стадия"/>
    <tableColumn id="4" xr3:uid="{64BAC497-3FBE-4C7B-9BC7-8BB65D2BF607}" name="Обращение"/>
    <tableColumn id="5" xr3:uid="{6622EEE2-70AD-4F0A-8FAC-62647DAF0FC2}" name="Имя"/>
    <tableColumn id="6" xr3:uid="{52AE68B3-9E8E-46BA-9792-503D0D8C037A}" name="Отчество"/>
    <tableColumn id="7" xr3:uid="{9A852031-F8B9-4C84-A98D-89C87B4BBEB4}" name="Фамилия"/>
    <tableColumn id="8" xr3:uid="{2F9D4460-AF97-470A-9811-7B061618F0EA}" name="Дата создания" dataDxfId="2"/>
    <tableColumn id="9" xr3:uid="{02845C1B-F096-493B-9718-7B0464039B59}" name="Ответственный"/>
    <tableColumn id="10" xr3:uid="{2FDFAE01-EE7A-4D33-84DF-E74E326504C8}" name="Путь клиента"/>
    <tableColumn id="11" xr3:uid="{511FB8C2-C0B1-4769-8BD4-B645DBF2FAD0}" name="UTM Source"/>
    <tableColumn id="12" xr3:uid="{F1760530-B2C5-4BDF-9E95-7272901896E0}" name="UTM Medium"/>
    <tableColumn id="13" xr3:uid="{20888319-9CE0-4DD0-B6CC-64E71D306B5F}" name="UTM Campaign"/>
    <tableColumn id="14" xr3:uid="{C1F8974E-E902-4054-BC31-C4DAB15BF36E}" name="UTM Content"/>
    <tableColumn id="15" xr3:uid="{48C35B29-7E13-43FB-B0D6-0F1D1C8775C3}" name="UTM Term"/>
    <tableColumn id="16" xr3:uid="{48D5DEF6-E8E8-4099-8148-E0F37EB12A95}" name="ДКТ: client_id"/>
    <tableColumn id="17" xr3:uid="{B508D7D7-D5C0-4153-9DC0-63BC102C6422}" name="ДКТ: client_cid"/>
    <tableColumn id="18" xr3:uid="{D99BCAF4-AA10-461F-8AF6-59915FA9194A}" name="ДКТ: ya_client_id"/>
    <tableColumn id="19" xr3:uid="{3670DF33-7F38-4222-A449-1973186F51F5}" name="ДКТ: Город"/>
    <tableColumn id="20" xr3:uid="{8029C6EA-C6A2-49B8-8AFA-90F42A66EB0E}" name="ДКТ: Источник"/>
    <tableColumn id="21" xr3:uid="{525CDD8D-5535-430B-AEE3-855116029C00}" name="ДКТ: Канал"/>
    <tableColumn id="22" xr3:uid="{06EB3A27-A489-4A24-B0BE-91EEB8628D96}" name="ДКТ: Кампания"/>
    <tableColumn id="23" xr3:uid="{2ED5AAF6-3548-4A77-9E0E-99AF74F55375}" name="ДКТ: Содержимое"/>
    <tableColumn id="24" xr3:uid="{0783D211-3970-4F27-9643-13A2CB51B515}" name="ДКТ: Что искал"/>
    <tableColumn id="25" xr3:uid="{7289D0E0-A4CB-43F9-9288-E133F16AD91F}" name="ДКТ: Время на сайте"/>
    <tableColumn id="26" xr3:uid="{C38EC7BC-AB10-4EB5-92E7-362BBB76DF7C}" name="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1F2D36-EBAA-47D8-87D4-D394FBC90EFE}" name="tblPdrWordstat" displayName="tblPdrWordstat" ref="A1:E238" totalsRowShown="0">
  <autoFilter ref="A1:E238" xr:uid="{6885EDE4-BC36-40BD-90C5-CA3E0D5B4412}"/>
  <tableColumns count="5">
    <tableColumn id="1" xr3:uid="{BF33CB51-1FC9-4559-A6D9-ADEA33DC359F}" name="Начало недели" dataDxfId="1"/>
    <tableColumn id="2" xr3:uid="{77B8B678-A74B-42F5-BA9E-658F7D0D525C}" name="Конец недели" dataDxfId="0"/>
    <tableColumn id="3" xr3:uid="{6156ABB8-F250-4DDF-A0B7-CD4272358BB0}" name="Период Wordstat"/>
    <tableColumn id="4" xr3:uid="{EF4B07E6-77CF-4DE9-9AFE-360B691BDB9C}" name="Число запросов"/>
    <tableColumn id="5" xr3:uid="{1BC63D78-D675-4EEE-8B38-7F7B2939C0AF}" name="Доля от всех запросов, %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2505-2519-4A15-A770-00C4DFC3903B}">
  <dimension ref="A1:N36"/>
  <sheetViews>
    <sheetView showGridLines="0" tabSelected="1" zoomScale="85" zoomScaleNormal="85" workbookViewId="0">
      <selection sqref="A1:N1"/>
    </sheetView>
  </sheetViews>
  <sheetFormatPr defaultRowHeight="15" x14ac:dyDescent="0.25"/>
  <cols>
    <col min="1" max="14" width="11.7109375" customWidth="1"/>
  </cols>
  <sheetData>
    <row r="1" spans="1:14" ht="30" customHeight="1" x14ac:dyDescent="0.35">
      <c r="A1" s="9" t="s">
        <v>4557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4" customHeight="1" x14ac:dyDescent="0.25">
      <c r="A2" s="10" t="s">
        <v>642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5" spans="1:14" x14ac:dyDescent="0.25">
      <c r="A35" s="11" t="s">
        <v>643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</sheetData>
  <mergeCells count="3">
    <mergeCell ref="A1:N1"/>
    <mergeCell ref="A2:N2"/>
    <mergeCell ref="A35:N3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7F3F-3B9F-42B5-B1BA-00418A71F897}">
  <dimension ref="A1:L14"/>
  <sheetViews>
    <sheetView showGridLines="0" zoomScale="90" zoomScaleNormal="90" workbookViewId="0">
      <pane ySplit="1" topLeftCell="A5" activePane="bottomLeft" state="frozenSplit"/>
      <selection pane="bottomLeft" sqref="A1:L1"/>
    </sheetView>
  </sheetViews>
  <sheetFormatPr defaultRowHeight="15" x14ac:dyDescent="0.25"/>
  <cols>
    <col min="1" max="1" width="25.7109375" customWidth="1"/>
    <col min="2" max="2" width="13.7109375" customWidth="1"/>
    <col min="3" max="3" width="18.7109375" customWidth="1"/>
    <col min="4" max="12" width="13.7109375" customWidth="1"/>
  </cols>
  <sheetData>
    <row r="1" spans="1:12" ht="27" customHeight="1" x14ac:dyDescent="0.35">
      <c r="A1" s="12" t="s">
        <v>4555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7" customHeight="1" x14ac:dyDescent="0.25">
      <c r="A2" s="13" t="s">
        <v>631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x14ac:dyDescent="0.25">
      <c r="A4" s="14" t="s">
        <v>632</v>
      </c>
      <c r="B4" s="14"/>
      <c r="D4" s="14" t="s">
        <v>633</v>
      </c>
      <c r="E4" s="14"/>
      <c r="G4" s="14" t="s">
        <v>634</v>
      </c>
      <c r="H4" s="14"/>
      <c r="J4" s="14" t="s">
        <v>635</v>
      </c>
      <c r="K4" s="14"/>
    </row>
    <row r="5" spans="1:12" x14ac:dyDescent="0.25">
      <c r="A5" s="15">
        <f>SUM('Недельная сводка'!D5:D241)</f>
        <v>4171</v>
      </c>
      <c r="B5" s="15"/>
      <c r="D5" s="15">
        <f>SUM('Недельная сводка'!E5:E241)</f>
        <v>4033</v>
      </c>
      <c r="E5" s="15"/>
      <c r="G5" s="15">
        <f>SUM('Недельная сводка'!F5:F241)</f>
        <v>27044</v>
      </c>
      <c r="H5" s="15"/>
      <c r="J5" s="15">
        <v>237</v>
      </c>
      <c r="K5" s="15"/>
    </row>
    <row r="6" spans="1:12" x14ac:dyDescent="0.25">
      <c r="A6" s="15"/>
      <c r="B6" s="15"/>
      <c r="D6" s="15"/>
      <c r="E6" s="15"/>
      <c r="G6" s="15"/>
      <c r="H6" s="15"/>
      <c r="J6" s="15"/>
      <c r="K6" s="15"/>
    </row>
    <row r="8" spans="1:12" x14ac:dyDescent="0.25">
      <c r="A8" s="16" t="s">
        <v>636</v>
      </c>
      <c r="B8" s="16"/>
      <c r="C8" s="16"/>
      <c r="D8" s="16"/>
    </row>
    <row r="9" spans="1:12" x14ac:dyDescent="0.25">
      <c r="A9" s="7" t="s">
        <v>637</v>
      </c>
      <c r="B9" s="7" t="s">
        <v>638</v>
      </c>
      <c r="C9" s="7" t="s">
        <v>639</v>
      </c>
    </row>
    <row r="10" spans="1:12" x14ac:dyDescent="0.25">
      <c r="A10" s="5" t="s">
        <v>640</v>
      </c>
      <c r="B10" s="6">
        <f>CORREL('Недельная сводка'!F5:F241,'Недельная сводка'!D5:D241)</f>
        <v>0.45754072308554516</v>
      </c>
      <c r="C10" s="5" t="str">
        <f>IF(ABS(B10)&lt;0.3,"Слабая",IF(ABS(B10)&lt;0.7,"Умеренная","Сильная"))</f>
        <v>Умеренная</v>
      </c>
    </row>
    <row r="11" spans="1:12" x14ac:dyDescent="0.25">
      <c r="A11" s="5" t="s">
        <v>641</v>
      </c>
      <c r="B11" s="6">
        <f>CORREL('Недельная сводка'!F5:F241,'Недельная сводка'!E5:E241)</f>
        <v>0.45139666863048511</v>
      </c>
      <c r="C11" s="5" t="str">
        <f>IF(ABS(B11)&lt;0.3,"Слабая",IF(ABS(B11)&lt;0.7,"Умеренная","Сильная"))</f>
        <v>Умеренная</v>
      </c>
    </row>
    <row r="13" spans="1:12" x14ac:dyDescent="0.25">
      <c r="A13" s="11" t="s">
        <v>4556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</sheetData>
  <mergeCells count="12">
    <mergeCell ref="A13:L14"/>
    <mergeCell ref="A1:L1"/>
    <mergeCell ref="A2:L2"/>
    <mergeCell ref="A4:B4"/>
    <mergeCell ref="D4:E4"/>
    <mergeCell ref="G4:H4"/>
    <mergeCell ref="J4:K4"/>
    <mergeCell ref="A5:B6"/>
    <mergeCell ref="D5:E6"/>
    <mergeCell ref="G5:H6"/>
    <mergeCell ref="J5:K6"/>
    <mergeCell ref="A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7AEC-34BC-4177-B9AF-D89F213D38A6}">
  <dimension ref="A1:G241"/>
  <sheetViews>
    <sheetView zoomScale="85" zoomScaleNormal="85" workbookViewId="0">
      <pane ySplit="4" topLeftCell="A185" activePane="bottomLeft" state="frozenSplit"/>
      <selection pane="bottomLeft" sqref="A1:G1"/>
    </sheetView>
  </sheetViews>
  <sheetFormatPr defaultRowHeight="15" x14ac:dyDescent="0.25"/>
  <cols>
    <col min="1" max="1" width="16.5703125" customWidth="1"/>
    <col min="2" max="2" width="15.85546875" customWidth="1"/>
    <col min="3" max="3" width="36.7109375" customWidth="1"/>
    <col min="4" max="4" width="18.7109375" customWidth="1"/>
    <col min="5" max="5" width="21.28515625" customWidth="1"/>
    <col min="6" max="6" width="18.85546875" customWidth="1"/>
    <col min="7" max="7" width="20.7109375" customWidth="1"/>
  </cols>
  <sheetData>
    <row r="1" spans="1:7" ht="27.95" customHeight="1" x14ac:dyDescent="0.35">
      <c r="A1" s="17" t="s">
        <v>4554</v>
      </c>
      <c r="B1" s="17"/>
      <c r="C1" s="17"/>
      <c r="D1" s="17"/>
      <c r="E1" s="17"/>
      <c r="F1" s="17"/>
      <c r="G1" s="17"/>
    </row>
    <row r="2" spans="1:7" ht="24" customHeight="1" x14ac:dyDescent="0.25">
      <c r="A2" s="13" t="s">
        <v>626</v>
      </c>
      <c r="B2" s="13"/>
      <c r="C2" s="13"/>
      <c r="D2" s="13"/>
      <c r="E2" s="13"/>
      <c r="F2" s="13"/>
      <c r="G2" s="13"/>
    </row>
    <row r="4" spans="1:7" x14ac:dyDescent="0.25">
      <c r="A4" t="s">
        <v>384</v>
      </c>
      <c r="B4" t="s">
        <v>385</v>
      </c>
      <c r="C4" t="s">
        <v>386</v>
      </c>
      <c r="D4" t="s">
        <v>627</v>
      </c>
      <c r="E4" t="s">
        <v>628</v>
      </c>
      <c r="F4" t="s">
        <v>629</v>
      </c>
      <c r="G4" t="s">
        <v>630</v>
      </c>
    </row>
    <row r="5" spans="1:7" x14ac:dyDescent="0.25">
      <c r="A5" s="3">
        <v>44557</v>
      </c>
      <c r="B5" s="3">
        <v>44563</v>
      </c>
      <c r="C5" t="s">
        <v>389</v>
      </c>
      <c r="D5">
        <f>COUNTIFS('Исходник — лиды'!$H$2:$H$4191,"&gt;="&amp;A5,'Исходник — лиды'!$H$2:$H$4191,"&lt;"&amp;B5+1)</f>
        <v>0</v>
      </c>
      <c r="E5">
        <f>COUNTIFS('Исходник — лиды'!$H$2:$H$4191,"&gt;="&amp;A5,'Исходник — лиды'!$H$2:$H$4191,"&lt;"&amp;B5+1,'Исходник — лиды'!$C$2:$C$4191,"Качественный лид")</f>
        <v>0</v>
      </c>
      <c r="F5">
        <v>61</v>
      </c>
      <c r="G5" s="4">
        <f t="shared" ref="G5:G68" si="0">IFERROR(E5/D5,0)</f>
        <v>0</v>
      </c>
    </row>
    <row r="6" spans="1:7" x14ac:dyDescent="0.25">
      <c r="A6" s="3">
        <v>44564</v>
      </c>
      <c r="B6" s="3">
        <v>44570</v>
      </c>
      <c r="C6" t="s">
        <v>390</v>
      </c>
      <c r="D6">
        <f>COUNTIFS('Исходник — лиды'!$H$2:$H$4191,"&gt;="&amp;A6,'Исходник — лиды'!$H$2:$H$4191,"&lt;"&amp;B6+1)</f>
        <v>7</v>
      </c>
      <c r="E6">
        <f>COUNTIFS('Исходник — лиды'!$H$2:$H$4191,"&gt;="&amp;A6,'Исходник — лиды'!$H$2:$H$4191,"&lt;"&amp;B6+1,'Исходник — лиды'!$C$2:$C$4191,"Качественный лид")</f>
        <v>7</v>
      </c>
      <c r="F6">
        <v>77</v>
      </c>
      <c r="G6" s="4">
        <f t="shared" si="0"/>
        <v>1</v>
      </c>
    </row>
    <row r="7" spans="1:7" x14ac:dyDescent="0.25">
      <c r="A7" s="3">
        <v>44571</v>
      </c>
      <c r="B7" s="3">
        <v>44577</v>
      </c>
      <c r="C7" t="s">
        <v>391</v>
      </c>
      <c r="D7">
        <f>COUNTIFS('Исходник — лиды'!$H$2:$H$4191,"&gt;="&amp;A7,'Исходник — лиды'!$H$2:$H$4191,"&lt;"&amp;B7+1)</f>
        <v>19</v>
      </c>
      <c r="E7">
        <f>COUNTIFS('Исходник — лиды'!$H$2:$H$4191,"&gt;="&amp;A7,'Исходник — лиды'!$H$2:$H$4191,"&lt;"&amp;B7+1,'Исходник — лиды'!$C$2:$C$4191,"Качественный лид")</f>
        <v>18</v>
      </c>
      <c r="F7">
        <v>122</v>
      </c>
      <c r="G7" s="4">
        <f t="shared" si="0"/>
        <v>0.94736842105263153</v>
      </c>
    </row>
    <row r="8" spans="1:7" x14ac:dyDescent="0.25">
      <c r="A8" s="3">
        <v>44578</v>
      </c>
      <c r="B8" s="3">
        <v>44584</v>
      </c>
      <c r="C8" t="s">
        <v>392</v>
      </c>
      <c r="D8">
        <f>COUNTIFS('Исходник — лиды'!$H$2:$H$4191,"&gt;="&amp;A8,'Исходник — лиды'!$H$2:$H$4191,"&lt;"&amp;B8+1)</f>
        <v>28</v>
      </c>
      <c r="E8">
        <f>COUNTIFS('Исходник — лиды'!$H$2:$H$4191,"&gt;="&amp;A8,'Исходник — лиды'!$H$2:$H$4191,"&lt;"&amp;B8+1,'Исходник — лиды'!$C$2:$C$4191,"Качественный лид")</f>
        <v>24</v>
      </c>
      <c r="F8">
        <v>169</v>
      </c>
      <c r="G8" s="4">
        <f t="shared" si="0"/>
        <v>0.8571428571428571</v>
      </c>
    </row>
    <row r="9" spans="1:7" x14ac:dyDescent="0.25">
      <c r="A9" s="3">
        <v>44585</v>
      </c>
      <c r="B9" s="3">
        <v>44591</v>
      </c>
      <c r="C9" t="s">
        <v>393</v>
      </c>
      <c r="D9">
        <f>COUNTIFS('Исходник — лиды'!$H$2:$H$4191,"&gt;="&amp;A9,'Исходник — лиды'!$H$2:$H$4191,"&lt;"&amp;B9+1)</f>
        <v>18</v>
      </c>
      <c r="E9">
        <f>COUNTIFS('Исходник — лиды'!$H$2:$H$4191,"&gt;="&amp;A9,'Исходник — лиды'!$H$2:$H$4191,"&lt;"&amp;B9+1,'Исходник — лиды'!$C$2:$C$4191,"Качественный лид")</f>
        <v>16</v>
      </c>
      <c r="F9">
        <v>88</v>
      </c>
      <c r="G9" s="4">
        <f t="shared" si="0"/>
        <v>0.88888888888888884</v>
      </c>
    </row>
    <row r="10" spans="1:7" x14ac:dyDescent="0.25">
      <c r="A10" s="3">
        <v>44592</v>
      </c>
      <c r="B10" s="3">
        <v>44598</v>
      </c>
      <c r="C10" t="s">
        <v>394</v>
      </c>
      <c r="D10">
        <f>COUNTIFS('Исходник — лиды'!$H$2:$H$4191,"&gt;="&amp;A10,'Исходник — лиды'!$H$2:$H$4191,"&lt;"&amp;B10+1)</f>
        <v>25</v>
      </c>
      <c r="E10">
        <f>COUNTIFS('Исходник — лиды'!$H$2:$H$4191,"&gt;="&amp;A10,'Исходник — лиды'!$H$2:$H$4191,"&lt;"&amp;B10+1,'Исходник — лиды'!$C$2:$C$4191,"Качественный лид")</f>
        <v>22</v>
      </c>
      <c r="F10">
        <v>129</v>
      </c>
      <c r="G10" s="4">
        <f t="shared" si="0"/>
        <v>0.88</v>
      </c>
    </row>
    <row r="11" spans="1:7" x14ac:dyDescent="0.25">
      <c r="A11" s="3">
        <v>44599</v>
      </c>
      <c r="B11" s="3">
        <v>44605</v>
      </c>
      <c r="C11" t="s">
        <v>395</v>
      </c>
      <c r="D11">
        <f>COUNTIFS('Исходник — лиды'!$H$2:$H$4191,"&gt;="&amp;A11,'Исходник — лиды'!$H$2:$H$4191,"&lt;"&amp;B11+1)</f>
        <v>31</v>
      </c>
      <c r="E11">
        <f>COUNTIFS('Исходник — лиды'!$H$2:$H$4191,"&gt;="&amp;A11,'Исходник — лиды'!$H$2:$H$4191,"&lt;"&amp;B11+1,'Исходник — лиды'!$C$2:$C$4191,"Качественный лид")</f>
        <v>29</v>
      </c>
      <c r="F11">
        <v>144</v>
      </c>
      <c r="G11" s="4">
        <f t="shared" si="0"/>
        <v>0.93548387096774188</v>
      </c>
    </row>
    <row r="12" spans="1:7" x14ac:dyDescent="0.25">
      <c r="A12" s="3">
        <v>44606</v>
      </c>
      <c r="B12" s="3">
        <v>44612</v>
      </c>
      <c r="C12" t="s">
        <v>396</v>
      </c>
      <c r="D12">
        <f>COUNTIFS('Исходник — лиды'!$H$2:$H$4191,"&gt;="&amp;A12,'Исходник — лиды'!$H$2:$H$4191,"&lt;"&amp;B12+1)</f>
        <v>30</v>
      </c>
      <c r="E12">
        <f>COUNTIFS('Исходник — лиды'!$H$2:$H$4191,"&gt;="&amp;A12,'Исходник — лиды'!$H$2:$H$4191,"&lt;"&amp;B12+1,'Исходник — лиды'!$C$2:$C$4191,"Качественный лид")</f>
        <v>29</v>
      </c>
      <c r="F12">
        <v>112</v>
      </c>
      <c r="G12" s="4">
        <f t="shared" si="0"/>
        <v>0.96666666666666667</v>
      </c>
    </row>
    <row r="13" spans="1:7" x14ac:dyDescent="0.25">
      <c r="A13" s="3">
        <v>44613</v>
      </c>
      <c r="B13" s="3">
        <v>44619</v>
      </c>
      <c r="C13" t="s">
        <v>397</v>
      </c>
      <c r="D13">
        <f>COUNTIFS('Исходник — лиды'!$H$2:$H$4191,"&gt;="&amp;A13,'Исходник — лиды'!$H$2:$H$4191,"&lt;"&amp;B13+1)</f>
        <v>27</v>
      </c>
      <c r="E13">
        <f>COUNTIFS('Исходник — лиды'!$H$2:$H$4191,"&gt;="&amp;A13,'Исходник — лиды'!$H$2:$H$4191,"&lt;"&amp;B13+1,'Исходник — лиды'!$C$2:$C$4191,"Качественный лид")</f>
        <v>27</v>
      </c>
      <c r="F13">
        <v>108</v>
      </c>
      <c r="G13" s="4">
        <f t="shared" si="0"/>
        <v>1</v>
      </c>
    </row>
    <row r="14" spans="1:7" x14ac:dyDescent="0.25">
      <c r="A14" s="3">
        <v>44620</v>
      </c>
      <c r="B14" s="3">
        <v>44626</v>
      </c>
      <c r="C14" t="s">
        <v>398</v>
      </c>
      <c r="D14">
        <f>COUNTIFS('Исходник — лиды'!$H$2:$H$4191,"&gt;="&amp;A14,'Исходник — лиды'!$H$2:$H$4191,"&lt;"&amp;B14+1)</f>
        <v>18</v>
      </c>
      <c r="E14">
        <f>COUNTIFS('Исходник — лиды'!$H$2:$H$4191,"&gt;="&amp;A14,'Исходник — лиды'!$H$2:$H$4191,"&lt;"&amp;B14+1,'Исходник — лиды'!$C$2:$C$4191,"Качественный лид")</f>
        <v>18</v>
      </c>
      <c r="F14">
        <v>97</v>
      </c>
      <c r="G14" s="4">
        <f t="shared" si="0"/>
        <v>1</v>
      </c>
    </row>
    <row r="15" spans="1:7" x14ac:dyDescent="0.25">
      <c r="A15" s="3">
        <v>44627</v>
      </c>
      <c r="B15" s="3">
        <v>44633</v>
      </c>
      <c r="C15" t="s">
        <v>399</v>
      </c>
      <c r="D15">
        <f>COUNTIFS('Исходник — лиды'!$H$2:$H$4191,"&gt;="&amp;A15,'Исходник — лиды'!$H$2:$H$4191,"&lt;"&amp;B15+1)</f>
        <v>31</v>
      </c>
      <c r="E15">
        <f>COUNTIFS('Исходник — лиды'!$H$2:$H$4191,"&gt;="&amp;A15,'Исходник — лиды'!$H$2:$H$4191,"&lt;"&amp;B15+1,'Исходник — лиды'!$C$2:$C$4191,"Качественный лид")</f>
        <v>28</v>
      </c>
      <c r="F15">
        <v>104</v>
      </c>
      <c r="G15" s="4">
        <f t="shared" si="0"/>
        <v>0.90322580645161288</v>
      </c>
    </row>
    <row r="16" spans="1:7" x14ac:dyDescent="0.25">
      <c r="A16" s="3">
        <v>44634</v>
      </c>
      <c r="B16" s="3">
        <v>44640</v>
      </c>
      <c r="C16" t="s">
        <v>400</v>
      </c>
      <c r="D16">
        <f>COUNTIFS('Исходник — лиды'!$H$2:$H$4191,"&gt;="&amp;A16,'Исходник — лиды'!$H$2:$H$4191,"&lt;"&amp;B16+1)</f>
        <v>19</v>
      </c>
      <c r="E16">
        <f>COUNTIFS('Исходник — лиды'!$H$2:$H$4191,"&gt;="&amp;A16,'Исходник — лиды'!$H$2:$H$4191,"&lt;"&amp;B16+1,'Исходник — лиды'!$C$2:$C$4191,"Качественный лид")</f>
        <v>19</v>
      </c>
      <c r="F16">
        <v>122</v>
      </c>
      <c r="G16" s="4">
        <f t="shared" si="0"/>
        <v>1</v>
      </c>
    </row>
    <row r="17" spans="1:7" x14ac:dyDescent="0.25">
      <c r="A17" s="3">
        <v>44641</v>
      </c>
      <c r="B17" s="3">
        <v>44647</v>
      </c>
      <c r="C17" t="s">
        <v>401</v>
      </c>
      <c r="D17">
        <f>COUNTIFS('Исходник — лиды'!$H$2:$H$4191,"&gt;="&amp;A17,'Исходник — лиды'!$H$2:$H$4191,"&lt;"&amp;B17+1)</f>
        <v>29</v>
      </c>
      <c r="E17">
        <f>COUNTIFS('Исходник — лиды'!$H$2:$H$4191,"&gt;="&amp;A17,'Исходник — лиды'!$H$2:$H$4191,"&lt;"&amp;B17+1,'Исходник — лиды'!$C$2:$C$4191,"Качественный лид")</f>
        <v>28</v>
      </c>
      <c r="F17">
        <v>190</v>
      </c>
      <c r="G17" s="4">
        <f t="shared" si="0"/>
        <v>0.96551724137931039</v>
      </c>
    </row>
    <row r="18" spans="1:7" x14ac:dyDescent="0.25">
      <c r="A18" s="3">
        <v>44648</v>
      </c>
      <c r="B18" s="3">
        <v>44654</v>
      </c>
      <c r="C18" t="s">
        <v>402</v>
      </c>
      <c r="D18">
        <f>COUNTIFS('Исходник — лиды'!$H$2:$H$4191,"&gt;="&amp;A18,'Исходник — лиды'!$H$2:$H$4191,"&lt;"&amp;B18+1)</f>
        <v>21</v>
      </c>
      <c r="E18">
        <f>COUNTIFS('Исходник — лиды'!$H$2:$H$4191,"&gt;="&amp;A18,'Исходник — лиды'!$H$2:$H$4191,"&lt;"&amp;B18+1,'Исходник — лиды'!$C$2:$C$4191,"Качественный лид")</f>
        <v>19</v>
      </c>
      <c r="F18">
        <v>147</v>
      </c>
      <c r="G18" s="4">
        <f t="shared" si="0"/>
        <v>0.90476190476190477</v>
      </c>
    </row>
    <row r="19" spans="1:7" x14ac:dyDescent="0.25">
      <c r="A19" s="3">
        <v>44655</v>
      </c>
      <c r="B19" s="3">
        <v>44661</v>
      </c>
      <c r="C19" t="s">
        <v>403</v>
      </c>
      <c r="D19">
        <f>COUNTIFS('Исходник — лиды'!$H$2:$H$4191,"&gt;="&amp;A19,'Исходник — лиды'!$H$2:$H$4191,"&lt;"&amp;B19+1)</f>
        <v>18</v>
      </c>
      <c r="E19">
        <f>COUNTIFS('Исходник — лиды'!$H$2:$H$4191,"&gt;="&amp;A19,'Исходник — лиды'!$H$2:$H$4191,"&lt;"&amp;B19+1,'Исходник — лиды'!$C$2:$C$4191,"Качественный лид")</f>
        <v>16</v>
      </c>
      <c r="F19">
        <v>156</v>
      </c>
      <c r="G19" s="4">
        <f t="shared" si="0"/>
        <v>0.88888888888888884</v>
      </c>
    </row>
    <row r="20" spans="1:7" x14ac:dyDescent="0.25">
      <c r="A20" s="3">
        <v>44662</v>
      </c>
      <c r="B20" s="3">
        <v>44668</v>
      </c>
      <c r="C20" t="s">
        <v>404</v>
      </c>
      <c r="D20">
        <f>COUNTIFS('Исходник — лиды'!$H$2:$H$4191,"&gt;="&amp;A20,'Исходник — лиды'!$H$2:$H$4191,"&lt;"&amp;B20+1)</f>
        <v>17</v>
      </c>
      <c r="E20">
        <f>COUNTIFS('Исходник — лиды'!$H$2:$H$4191,"&gt;="&amp;A20,'Исходник — лиды'!$H$2:$H$4191,"&lt;"&amp;B20+1,'Исходник — лиды'!$C$2:$C$4191,"Качественный лид")</f>
        <v>16</v>
      </c>
      <c r="F20">
        <v>154</v>
      </c>
      <c r="G20" s="4">
        <f t="shared" si="0"/>
        <v>0.94117647058823528</v>
      </c>
    </row>
    <row r="21" spans="1:7" x14ac:dyDescent="0.25">
      <c r="A21" s="3">
        <v>44669</v>
      </c>
      <c r="B21" s="3">
        <v>44675</v>
      </c>
      <c r="C21" t="s">
        <v>405</v>
      </c>
      <c r="D21">
        <f>COUNTIFS('Исходник — лиды'!$H$2:$H$4191,"&gt;="&amp;A21,'Исходник — лиды'!$H$2:$H$4191,"&lt;"&amp;B21+1)</f>
        <v>16</v>
      </c>
      <c r="E21">
        <f>COUNTIFS('Исходник — лиды'!$H$2:$H$4191,"&gt;="&amp;A21,'Исходник — лиды'!$H$2:$H$4191,"&lt;"&amp;B21+1,'Исходник — лиды'!$C$2:$C$4191,"Качественный лид")</f>
        <v>16</v>
      </c>
      <c r="F21">
        <v>112</v>
      </c>
      <c r="G21" s="4">
        <f t="shared" si="0"/>
        <v>1</v>
      </c>
    </row>
    <row r="22" spans="1:7" x14ac:dyDescent="0.25">
      <c r="A22" s="3">
        <v>44676</v>
      </c>
      <c r="B22" s="3">
        <v>44682</v>
      </c>
      <c r="C22" t="s">
        <v>406</v>
      </c>
      <c r="D22">
        <f>COUNTIFS('Исходник — лиды'!$H$2:$H$4191,"&gt;="&amp;A22,'Исходник — лиды'!$H$2:$H$4191,"&lt;"&amp;B22+1)</f>
        <v>30</v>
      </c>
      <c r="E22">
        <f>COUNTIFS('Исходник — лиды'!$H$2:$H$4191,"&gt;="&amp;A22,'Исходник — лиды'!$H$2:$H$4191,"&lt;"&amp;B22+1,'Исходник — лиды'!$C$2:$C$4191,"Качественный лид")</f>
        <v>30</v>
      </c>
      <c r="F22">
        <v>139</v>
      </c>
      <c r="G22" s="4">
        <f t="shared" si="0"/>
        <v>1</v>
      </c>
    </row>
    <row r="23" spans="1:7" x14ac:dyDescent="0.25">
      <c r="A23" s="3">
        <v>44683</v>
      </c>
      <c r="B23" s="3">
        <v>44689</v>
      </c>
      <c r="C23" t="s">
        <v>407</v>
      </c>
      <c r="D23">
        <f>COUNTIFS('Исходник — лиды'!$H$2:$H$4191,"&gt;="&amp;A23,'Исходник — лиды'!$H$2:$H$4191,"&lt;"&amp;B23+1)</f>
        <v>22</v>
      </c>
      <c r="E23">
        <f>COUNTIFS('Исходник — лиды'!$H$2:$H$4191,"&gt;="&amp;A23,'Исходник — лиды'!$H$2:$H$4191,"&lt;"&amp;B23+1,'Исходник — лиды'!$C$2:$C$4191,"Качественный лид")</f>
        <v>21</v>
      </c>
      <c r="F23">
        <v>133</v>
      </c>
      <c r="G23" s="4">
        <f t="shared" si="0"/>
        <v>0.95454545454545459</v>
      </c>
    </row>
    <row r="24" spans="1:7" x14ac:dyDescent="0.25">
      <c r="A24" s="3">
        <v>44690</v>
      </c>
      <c r="B24" s="3">
        <v>44696</v>
      </c>
      <c r="C24" t="s">
        <v>408</v>
      </c>
      <c r="D24">
        <f>COUNTIFS('Исходник — лиды'!$H$2:$H$4191,"&gt;="&amp;A24,'Исходник — лиды'!$H$2:$H$4191,"&lt;"&amp;B24+1)</f>
        <v>20</v>
      </c>
      <c r="E24">
        <f>COUNTIFS('Исходник — лиды'!$H$2:$H$4191,"&gt;="&amp;A24,'Исходник — лиды'!$H$2:$H$4191,"&lt;"&amp;B24+1,'Исходник — лиды'!$C$2:$C$4191,"Качественный лид")</f>
        <v>19</v>
      </c>
      <c r="F24">
        <v>140</v>
      </c>
      <c r="G24" s="4">
        <f t="shared" si="0"/>
        <v>0.95</v>
      </c>
    </row>
    <row r="25" spans="1:7" x14ac:dyDescent="0.25">
      <c r="A25" s="3">
        <v>44697</v>
      </c>
      <c r="B25" s="3">
        <v>44703</v>
      </c>
      <c r="C25" t="s">
        <v>409</v>
      </c>
      <c r="D25">
        <f>COUNTIFS('Исходник — лиды'!$H$2:$H$4191,"&gt;="&amp;A25,'Исходник — лиды'!$H$2:$H$4191,"&lt;"&amp;B25+1)</f>
        <v>15</v>
      </c>
      <c r="E25">
        <f>COUNTIFS('Исходник — лиды'!$H$2:$H$4191,"&gt;="&amp;A25,'Исходник — лиды'!$H$2:$H$4191,"&lt;"&amp;B25+1,'Исходник — лиды'!$C$2:$C$4191,"Качественный лид")</f>
        <v>15</v>
      </c>
      <c r="F25">
        <v>134</v>
      </c>
      <c r="G25" s="4">
        <f t="shared" si="0"/>
        <v>1</v>
      </c>
    </row>
    <row r="26" spans="1:7" x14ac:dyDescent="0.25">
      <c r="A26" s="3">
        <v>44704</v>
      </c>
      <c r="B26" s="3">
        <v>44710</v>
      </c>
      <c r="C26" t="s">
        <v>410</v>
      </c>
      <c r="D26">
        <f>COUNTIFS('Исходник — лиды'!$H$2:$H$4191,"&gt;="&amp;A26,'Исходник — лиды'!$H$2:$H$4191,"&lt;"&amp;B26+1)</f>
        <v>15</v>
      </c>
      <c r="E26">
        <f>COUNTIFS('Исходник — лиды'!$H$2:$H$4191,"&gt;="&amp;A26,'Исходник — лиды'!$H$2:$H$4191,"&lt;"&amp;B26+1,'Исходник — лиды'!$C$2:$C$4191,"Качественный лид")</f>
        <v>15</v>
      </c>
      <c r="F26">
        <v>86</v>
      </c>
      <c r="G26" s="4">
        <f t="shared" si="0"/>
        <v>1</v>
      </c>
    </row>
    <row r="27" spans="1:7" x14ac:dyDescent="0.25">
      <c r="A27" s="3">
        <v>44711</v>
      </c>
      <c r="B27" s="3">
        <v>44717</v>
      </c>
      <c r="C27" t="s">
        <v>411</v>
      </c>
      <c r="D27">
        <f>COUNTIFS('Исходник — лиды'!$H$2:$H$4191,"&gt;="&amp;A27,'Исходник — лиды'!$H$2:$H$4191,"&lt;"&amp;B27+1)</f>
        <v>14</v>
      </c>
      <c r="E27">
        <f>COUNTIFS('Исходник — лиды'!$H$2:$H$4191,"&gt;="&amp;A27,'Исходник — лиды'!$H$2:$H$4191,"&lt;"&amp;B27+1,'Исходник — лиды'!$C$2:$C$4191,"Качественный лид")</f>
        <v>14</v>
      </c>
      <c r="F27">
        <v>113</v>
      </c>
      <c r="G27" s="4">
        <f t="shared" si="0"/>
        <v>1</v>
      </c>
    </row>
    <row r="28" spans="1:7" x14ac:dyDescent="0.25">
      <c r="A28" s="3">
        <v>44718</v>
      </c>
      <c r="B28" s="3">
        <v>44724</v>
      </c>
      <c r="C28" t="s">
        <v>412</v>
      </c>
      <c r="D28">
        <f>COUNTIFS('Исходник — лиды'!$H$2:$H$4191,"&gt;="&amp;A28,'Исходник — лиды'!$H$2:$H$4191,"&lt;"&amp;B28+1)</f>
        <v>14</v>
      </c>
      <c r="E28">
        <f>COUNTIFS('Исходник — лиды'!$H$2:$H$4191,"&gt;="&amp;A28,'Исходник — лиды'!$H$2:$H$4191,"&lt;"&amp;B28+1,'Исходник — лиды'!$C$2:$C$4191,"Качественный лид")</f>
        <v>14</v>
      </c>
      <c r="F28">
        <v>130</v>
      </c>
      <c r="G28" s="4">
        <f t="shared" si="0"/>
        <v>1</v>
      </c>
    </row>
    <row r="29" spans="1:7" x14ac:dyDescent="0.25">
      <c r="A29" s="3">
        <v>44725</v>
      </c>
      <c r="B29" s="3">
        <v>44731</v>
      </c>
      <c r="C29" t="s">
        <v>413</v>
      </c>
      <c r="D29">
        <f>COUNTIFS('Исходник — лиды'!$H$2:$H$4191,"&gt;="&amp;A29,'Исходник — лиды'!$H$2:$H$4191,"&lt;"&amp;B29+1)</f>
        <v>17</v>
      </c>
      <c r="E29">
        <f>COUNTIFS('Исходник — лиды'!$H$2:$H$4191,"&gt;="&amp;A29,'Исходник — лиды'!$H$2:$H$4191,"&lt;"&amp;B29+1,'Исходник — лиды'!$C$2:$C$4191,"Качественный лид")</f>
        <v>17</v>
      </c>
      <c r="F29">
        <v>121</v>
      </c>
      <c r="G29" s="4">
        <f t="shared" si="0"/>
        <v>1</v>
      </c>
    </row>
    <row r="30" spans="1:7" x14ac:dyDescent="0.25">
      <c r="A30" s="3">
        <v>44732</v>
      </c>
      <c r="B30" s="3">
        <v>44738</v>
      </c>
      <c r="C30" t="s">
        <v>414</v>
      </c>
      <c r="D30">
        <f>COUNTIFS('Исходник — лиды'!$H$2:$H$4191,"&gt;="&amp;A30,'Исходник — лиды'!$H$2:$H$4191,"&lt;"&amp;B30+1)</f>
        <v>18</v>
      </c>
      <c r="E30">
        <f>COUNTIFS('Исходник — лиды'!$H$2:$H$4191,"&gt;="&amp;A30,'Исходник — лиды'!$H$2:$H$4191,"&lt;"&amp;B30+1,'Исходник — лиды'!$C$2:$C$4191,"Качественный лид")</f>
        <v>18</v>
      </c>
      <c r="F30">
        <v>122</v>
      </c>
      <c r="G30" s="4">
        <f t="shared" si="0"/>
        <v>1</v>
      </c>
    </row>
    <row r="31" spans="1:7" x14ac:dyDescent="0.25">
      <c r="A31" s="3">
        <v>44739</v>
      </c>
      <c r="B31" s="3">
        <v>44745</v>
      </c>
      <c r="C31" t="s">
        <v>415</v>
      </c>
      <c r="D31">
        <f>COUNTIFS('Исходник — лиды'!$H$2:$H$4191,"&gt;="&amp;A31,'Исходник — лиды'!$H$2:$H$4191,"&lt;"&amp;B31+1)</f>
        <v>16</v>
      </c>
      <c r="E31">
        <f>COUNTIFS('Исходник — лиды'!$H$2:$H$4191,"&gt;="&amp;A31,'Исходник — лиды'!$H$2:$H$4191,"&lt;"&amp;B31+1,'Исходник — лиды'!$C$2:$C$4191,"Качественный лид")</f>
        <v>16</v>
      </c>
      <c r="F31">
        <v>130</v>
      </c>
      <c r="G31" s="4">
        <f t="shared" si="0"/>
        <v>1</v>
      </c>
    </row>
    <row r="32" spans="1:7" x14ac:dyDescent="0.25">
      <c r="A32" s="3">
        <v>44746</v>
      </c>
      <c r="B32" s="3">
        <v>44752</v>
      </c>
      <c r="C32" t="s">
        <v>416</v>
      </c>
      <c r="D32">
        <f>COUNTIFS('Исходник — лиды'!$H$2:$H$4191,"&gt;="&amp;A32,'Исходник — лиды'!$H$2:$H$4191,"&lt;"&amp;B32+1)</f>
        <v>15</v>
      </c>
      <c r="E32">
        <f>COUNTIFS('Исходник — лиды'!$H$2:$H$4191,"&gt;="&amp;A32,'Исходник — лиды'!$H$2:$H$4191,"&lt;"&amp;B32+1,'Исходник — лиды'!$C$2:$C$4191,"Качественный лид")</f>
        <v>15</v>
      </c>
      <c r="F32">
        <v>138</v>
      </c>
      <c r="G32" s="4">
        <f t="shared" si="0"/>
        <v>1</v>
      </c>
    </row>
    <row r="33" spans="1:7" x14ac:dyDescent="0.25">
      <c r="A33" s="3">
        <v>44753</v>
      </c>
      <c r="B33" s="3">
        <v>44759</v>
      </c>
      <c r="C33" t="s">
        <v>417</v>
      </c>
      <c r="D33">
        <f>COUNTIFS('Исходник — лиды'!$H$2:$H$4191,"&gt;="&amp;A33,'Исходник — лиды'!$H$2:$H$4191,"&lt;"&amp;B33+1)</f>
        <v>25</v>
      </c>
      <c r="E33">
        <f>COUNTIFS('Исходник — лиды'!$H$2:$H$4191,"&gt;="&amp;A33,'Исходник — лиды'!$H$2:$H$4191,"&lt;"&amp;B33+1,'Исходник — лиды'!$C$2:$C$4191,"Качественный лид")</f>
        <v>25</v>
      </c>
      <c r="F33">
        <v>107</v>
      </c>
      <c r="G33" s="4">
        <f t="shared" si="0"/>
        <v>1</v>
      </c>
    </row>
    <row r="34" spans="1:7" x14ac:dyDescent="0.25">
      <c r="A34" s="3">
        <v>44760</v>
      </c>
      <c r="B34" s="3">
        <v>44766</v>
      </c>
      <c r="C34" t="s">
        <v>418</v>
      </c>
      <c r="D34">
        <f>COUNTIFS('Исходник — лиды'!$H$2:$H$4191,"&gt;="&amp;A34,'Исходник — лиды'!$H$2:$H$4191,"&lt;"&amp;B34+1)</f>
        <v>19</v>
      </c>
      <c r="E34">
        <f>COUNTIFS('Исходник — лиды'!$H$2:$H$4191,"&gt;="&amp;A34,'Исходник — лиды'!$H$2:$H$4191,"&lt;"&amp;B34+1,'Исходник — лиды'!$C$2:$C$4191,"Качественный лид")</f>
        <v>19</v>
      </c>
      <c r="F34">
        <v>183</v>
      </c>
      <c r="G34" s="4">
        <f t="shared" si="0"/>
        <v>1</v>
      </c>
    </row>
    <row r="35" spans="1:7" x14ac:dyDescent="0.25">
      <c r="A35" s="3">
        <v>44767</v>
      </c>
      <c r="B35" s="3">
        <v>44773</v>
      </c>
      <c r="C35" t="s">
        <v>419</v>
      </c>
      <c r="D35">
        <f>COUNTIFS('Исходник — лиды'!$H$2:$H$4191,"&gt;="&amp;A35,'Исходник — лиды'!$H$2:$H$4191,"&lt;"&amp;B35+1)</f>
        <v>21</v>
      </c>
      <c r="E35">
        <f>COUNTIFS('Исходник — лиды'!$H$2:$H$4191,"&gt;="&amp;A35,'Исходник — лиды'!$H$2:$H$4191,"&lt;"&amp;B35+1,'Исходник — лиды'!$C$2:$C$4191,"Качественный лид")</f>
        <v>21</v>
      </c>
      <c r="F35">
        <v>248</v>
      </c>
      <c r="G35" s="4">
        <f t="shared" si="0"/>
        <v>1</v>
      </c>
    </row>
    <row r="36" spans="1:7" x14ac:dyDescent="0.25">
      <c r="A36" s="3">
        <v>44774</v>
      </c>
      <c r="B36" s="3">
        <v>44780</v>
      </c>
      <c r="C36" t="s">
        <v>420</v>
      </c>
      <c r="D36">
        <f>COUNTIFS('Исходник — лиды'!$H$2:$H$4191,"&gt;="&amp;A36,'Исходник — лиды'!$H$2:$H$4191,"&lt;"&amp;B36+1)</f>
        <v>19</v>
      </c>
      <c r="E36">
        <f>COUNTIFS('Исходник — лиды'!$H$2:$H$4191,"&gt;="&amp;A36,'Исходник — лиды'!$H$2:$H$4191,"&lt;"&amp;B36+1,'Исходник — лиды'!$C$2:$C$4191,"Качественный лид")</f>
        <v>15</v>
      </c>
      <c r="F36">
        <v>151</v>
      </c>
      <c r="G36" s="4">
        <f t="shared" si="0"/>
        <v>0.78947368421052633</v>
      </c>
    </row>
    <row r="37" spans="1:7" x14ac:dyDescent="0.25">
      <c r="A37" s="3">
        <v>44781</v>
      </c>
      <c r="B37" s="3">
        <v>44787</v>
      </c>
      <c r="C37" t="s">
        <v>421</v>
      </c>
      <c r="D37">
        <f>COUNTIFS('Исходник — лиды'!$H$2:$H$4191,"&gt;="&amp;A37,'Исходник — лиды'!$H$2:$H$4191,"&lt;"&amp;B37+1)</f>
        <v>24</v>
      </c>
      <c r="E37">
        <f>COUNTIFS('Исходник — лиды'!$H$2:$H$4191,"&gt;="&amp;A37,'Исходник — лиды'!$H$2:$H$4191,"&lt;"&amp;B37+1,'Исходник — лиды'!$C$2:$C$4191,"Качественный лид")</f>
        <v>22</v>
      </c>
      <c r="F37">
        <v>150</v>
      </c>
      <c r="G37" s="4">
        <f t="shared" si="0"/>
        <v>0.91666666666666663</v>
      </c>
    </row>
    <row r="38" spans="1:7" x14ac:dyDescent="0.25">
      <c r="A38" s="3">
        <v>44788</v>
      </c>
      <c r="B38" s="3">
        <v>44794</v>
      </c>
      <c r="C38" t="s">
        <v>422</v>
      </c>
      <c r="D38">
        <f>COUNTIFS('Исходник — лиды'!$H$2:$H$4191,"&gt;="&amp;A38,'Исходник — лиды'!$H$2:$H$4191,"&lt;"&amp;B38+1)</f>
        <v>23</v>
      </c>
      <c r="E38">
        <f>COUNTIFS('Исходник — лиды'!$H$2:$H$4191,"&gt;="&amp;A38,'Исходник — лиды'!$H$2:$H$4191,"&lt;"&amp;B38+1,'Исходник — лиды'!$C$2:$C$4191,"Качественный лид")</f>
        <v>23</v>
      </c>
      <c r="F38">
        <v>201</v>
      </c>
      <c r="G38" s="4">
        <f t="shared" si="0"/>
        <v>1</v>
      </c>
    </row>
    <row r="39" spans="1:7" x14ac:dyDescent="0.25">
      <c r="A39" s="3">
        <v>44795</v>
      </c>
      <c r="B39" s="3">
        <v>44801</v>
      </c>
      <c r="C39" t="s">
        <v>423</v>
      </c>
      <c r="D39">
        <f>COUNTIFS('Исходник — лиды'!$H$2:$H$4191,"&gt;="&amp;A39,'Исходник — лиды'!$H$2:$H$4191,"&lt;"&amp;B39+1)</f>
        <v>29</v>
      </c>
      <c r="E39">
        <f>COUNTIFS('Исходник — лиды'!$H$2:$H$4191,"&gt;="&amp;A39,'Исходник — лиды'!$H$2:$H$4191,"&lt;"&amp;B39+1,'Исходник — лиды'!$C$2:$C$4191,"Качественный лид")</f>
        <v>29</v>
      </c>
      <c r="F39">
        <v>145</v>
      </c>
      <c r="G39" s="4">
        <f t="shared" si="0"/>
        <v>1</v>
      </c>
    </row>
    <row r="40" spans="1:7" x14ac:dyDescent="0.25">
      <c r="A40" s="3">
        <v>44802</v>
      </c>
      <c r="B40" s="3">
        <v>44808</v>
      </c>
      <c r="C40" t="s">
        <v>424</v>
      </c>
      <c r="D40">
        <f>COUNTIFS('Исходник — лиды'!$H$2:$H$4191,"&gt;="&amp;A40,'Исходник — лиды'!$H$2:$H$4191,"&lt;"&amp;B40+1)</f>
        <v>20</v>
      </c>
      <c r="E40">
        <f>COUNTIFS('Исходник — лиды'!$H$2:$H$4191,"&gt;="&amp;A40,'Исходник — лиды'!$H$2:$H$4191,"&lt;"&amp;B40+1,'Исходник — лиды'!$C$2:$C$4191,"Качественный лид")</f>
        <v>20</v>
      </c>
      <c r="F40">
        <v>117</v>
      </c>
      <c r="G40" s="4">
        <f t="shared" si="0"/>
        <v>1</v>
      </c>
    </row>
    <row r="41" spans="1:7" x14ac:dyDescent="0.25">
      <c r="A41" s="3">
        <v>44809</v>
      </c>
      <c r="B41" s="3">
        <v>44815</v>
      </c>
      <c r="C41" t="s">
        <v>425</v>
      </c>
      <c r="D41">
        <f>COUNTIFS('Исходник — лиды'!$H$2:$H$4191,"&gt;="&amp;A41,'Исходник — лиды'!$H$2:$H$4191,"&lt;"&amp;B41+1)</f>
        <v>25</v>
      </c>
      <c r="E41">
        <f>COUNTIFS('Исходник — лиды'!$H$2:$H$4191,"&gt;="&amp;A41,'Исходник — лиды'!$H$2:$H$4191,"&lt;"&amp;B41+1,'Исходник — лиды'!$C$2:$C$4191,"Качественный лид")</f>
        <v>25</v>
      </c>
      <c r="F41">
        <v>123</v>
      </c>
      <c r="G41" s="4">
        <f t="shared" si="0"/>
        <v>1</v>
      </c>
    </row>
    <row r="42" spans="1:7" x14ac:dyDescent="0.25">
      <c r="A42" s="3">
        <v>44816</v>
      </c>
      <c r="B42" s="3">
        <v>44822</v>
      </c>
      <c r="C42" t="s">
        <v>426</v>
      </c>
      <c r="D42">
        <f>COUNTIFS('Исходник — лиды'!$H$2:$H$4191,"&gt;="&amp;A42,'Исходник — лиды'!$H$2:$H$4191,"&lt;"&amp;B42+1)</f>
        <v>25</v>
      </c>
      <c r="E42">
        <f>COUNTIFS('Исходник — лиды'!$H$2:$H$4191,"&gt;="&amp;A42,'Исходник — лиды'!$H$2:$H$4191,"&lt;"&amp;B42+1,'Исходник — лиды'!$C$2:$C$4191,"Качественный лид")</f>
        <v>25</v>
      </c>
      <c r="F42">
        <v>89</v>
      </c>
      <c r="G42" s="4">
        <f t="shared" si="0"/>
        <v>1</v>
      </c>
    </row>
    <row r="43" spans="1:7" x14ac:dyDescent="0.25">
      <c r="A43" s="3">
        <v>44823</v>
      </c>
      <c r="B43" s="3">
        <v>44829</v>
      </c>
      <c r="C43" t="s">
        <v>427</v>
      </c>
      <c r="D43">
        <f>COUNTIFS('Исходник — лиды'!$H$2:$H$4191,"&gt;="&amp;A43,'Исходник — лиды'!$H$2:$H$4191,"&lt;"&amp;B43+1)</f>
        <v>14</v>
      </c>
      <c r="E43">
        <f>COUNTIFS('Исходник — лиды'!$H$2:$H$4191,"&gt;="&amp;A43,'Исходник — лиды'!$H$2:$H$4191,"&lt;"&amp;B43+1,'Исходник — лиды'!$C$2:$C$4191,"Качественный лид")</f>
        <v>13</v>
      </c>
      <c r="F43">
        <v>88</v>
      </c>
      <c r="G43" s="4">
        <f t="shared" si="0"/>
        <v>0.9285714285714286</v>
      </c>
    </row>
    <row r="44" spans="1:7" x14ac:dyDescent="0.25">
      <c r="A44" s="3">
        <v>44830</v>
      </c>
      <c r="B44" s="3">
        <v>44836</v>
      </c>
      <c r="C44" t="s">
        <v>428</v>
      </c>
      <c r="D44">
        <f>COUNTIFS('Исходник — лиды'!$H$2:$H$4191,"&gt;="&amp;A44,'Исходник — лиды'!$H$2:$H$4191,"&lt;"&amp;B44+1)</f>
        <v>13</v>
      </c>
      <c r="E44">
        <f>COUNTIFS('Исходник — лиды'!$H$2:$H$4191,"&gt;="&amp;A44,'Исходник — лиды'!$H$2:$H$4191,"&lt;"&amp;B44+1,'Исходник — лиды'!$C$2:$C$4191,"Качественный лид")</f>
        <v>13</v>
      </c>
      <c r="F44">
        <v>101</v>
      </c>
      <c r="G44" s="4">
        <f t="shared" si="0"/>
        <v>1</v>
      </c>
    </row>
    <row r="45" spans="1:7" x14ac:dyDescent="0.25">
      <c r="A45" s="3">
        <v>44837</v>
      </c>
      <c r="B45" s="3">
        <v>44843</v>
      </c>
      <c r="C45" t="s">
        <v>429</v>
      </c>
      <c r="D45">
        <f>COUNTIFS('Исходник — лиды'!$H$2:$H$4191,"&gt;="&amp;A45,'Исходник — лиды'!$H$2:$H$4191,"&lt;"&amp;B45+1)</f>
        <v>22</v>
      </c>
      <c r="E45">
        <f>COUNTIFS('Исходник — лиды'!$H$2:$H$4191,"&gt;="&amp;A45,'Исходник — лиды'!$H$2:$H$4191,"&lt;"&amp;B45+1,'Исходник — лиды'!$C$2:$C$4191,"Качественный лид")</f>
        <v>22</v>
      </c>
      <c r="F45">
        <v>130</v>
      </c>
      <c r="G45" s="4">
        <f t="shared" si="0"/>
        <v>1</v>
      </c>
    </row>
    <row r="46" spans="1:7" x14ac:dyDescent="0.25">
      <c r="A46" s="3">
        <v>44844</v>
      </c>
      <c r="B46" s="3">
        <v>44850</v>
      </c>
      <c r="C46" t="s">
        <v>430</v>
      </c>
      <c r="D46">
        <f>COUNTIFS('Исходник — лиды'!$H$2:$H$4191,"&gt;="&amp;A46,'Исходник — лиды'!$H$2:$H$4191,"&lt;"&amp;B46+1)</f>
        <v>20</v>
      </c>
      <c r="E46">
        <f>COUNTIFS('Исходник — лиды'!$H$2:$H$4191,"&gt;="&amp;A46,'Исходник — лиды'!$H$2:$H$4191,"&lt;"&amp;B46+1,'Исходник — лиды'!$C$2:$C$4191,"Качественный лид")</f>
        <v>19</v>
      </c>
      <c r="F46">
        <v>108</v>
      </c>
      <c r="G46" s="4">
        <f t="shared" si="0"/>
        <v>0.95</v>
      </c>
    </row>
    <row r="47" spans="1:7" x14ac:dyDescent="0.25">
      <c r="A47" s="3">
        <v>44851</v>
      </c>
      <c r="B47" s="3">
        <v>44857</v>
      </c>
      <c r="C47" t="s">
        <v>431</v>
      </c>
      <c r="D47">
        <f>COUNTIFS('Исходник — лиды'!$H$2:$H$4191,"&gt;="&amp;A47,'Исходник — лиды'!$H$2:$H$4191,"&lt;"&amp;B47+1)</f>
        <v>17</v>
      </c>
      <c r="E47">
        <f>COUNTIFS('Исходник — лиды'!$H$2:$H$4191,"&gt;="&amp;A47,'Исходник — лиды'!$H$2:$H$4191,"&lt;"&amp;B47+1,'Исходник — лиды'!$C$2:$C$4191,"Качественный лид")</f>
        <v>17</v>
      </c>
      <c r="F47">
        <v>131</v>
      </c>
      <c r="G47" s="4">
        <f t="shared" si="0"/>
        <v>1</v>
      </c>
    </row>
    <row r="48" spans="1:7" x14ac:dyDescent="0.25">
      <c r="A48" s="3">
        <v>44858</v>
      </c>
      <c r="B48" s="3">
        <v>44864</v>
      </c>
      <c r="C48" t="s">
        <v>432</v>
      </c>
      <c r="D48">
        <f>COUNTIFS('Исходник — лиды'!$H$2:$H$4191,"&gt;="&amp;A48,'Исходник — лиды'!$H$2:$H$4191,"&lt;"&amp;B48+1)</f>
        <v>16</v>
      </c>
      <c r="E48">
        <f>COUNTIFS('Исходник — лиды'!$H$2:$H$4191,"&gt;="&amp;A48,'Исходник — лиды'!$H$2:$H$4191,"&lt;"&amp;B48+1,'Исходник — лиды'!$C$2:$C$4191,"Качественный лид")</f>
        <v>16</v>
      </c>
      <c r="F48">
        <v>133</v>
      </c>
      <c r="G48" s="4">
        <f t="shared" si="0"/>
        <v>1</v>
      </c>
    </row>
    <row r="49" spans="1:7" x14ac:dyDescent="0.25">
      <c r="A49" s="3">
        <v>44865</v>
      </c>
      <c r="B49" s="3">
        <v>44871</v>
      </c>
      <c r="C49" t="s">
        <v>433</v>
      </c>
      <c r="D49">
        <f>COUNTIFS('Исходник — лиды'!$H$2:$H$4191,"&gt;="&amp;A49,'Исходник — лиды'!$H$2:$H$4191,"&lt;"&amp;B49+1)</f>
        <v>14</v>
      </c>
      <c r="E49">
        <f>COUNTIFS('Исходник — лиды'!$H$2:$H$4191,"&gt;="&amp;A49,'Исходник — лиды'!$H$2:$H$4191,"&lt;"&amp;B49+1,'Исходник — лиды'!$C$2:$C$4191,"Качественный лид")</f>
        <v>14</v>
      </c>
      <c r="F49">
        <v>112</v>
      </c>
      <c r="G49" s="4">
        <f t="shared" si="0"/>
        <v>1</v>
      </c>
    </row>
    <row r="50" spans="1:7" x14ac:dyDescent="0.25">
      <c r="A50" s="3">
        <v>44872</v>
      </c>
      <c r="B50" s="3">
        <v>44878</v>
      </c>
      <c r="C50" t="s">
        <v>434</v>
      </c>
      <c r="D50">
        <f>COUNTIFS('Исходник — лиды'!$H$2:$H$4191,"&gt;="&amp;A50,'Исходник — лиды'!$H$2:$H$4191,"&lt;"&amp;B50+1)</f>
        <v>17</v>
      </c>
      <c r="E50">
        <f>COUNTIFS('Исходник — лиды'!$H$2:$H$4191,"&gt;="&amp;A50,'Исходник — лиды'!$H$2:$H$4191,"&lt;"&amp;B50+1,'Исходник — лиды'!$C$2:$C$4191,"Качественный лид")</f>
        <v>16</v>
      </c>
      <c r="F50">
        <v>127</v>
      </c>
      <c r="G50" s="4">
        <f t="shared" si="0"/>
        <v>0.94117647058823528</v>
      </c>
    </row>
    <row r="51" spans="1:7" x14ac:dyDescent="0.25">
      <c r="A51" s="3">
        <v>44879</v>
      </c>
      <c r="B51" s="3">
        <v>44885</v>
      </c>
      <c r="C51" t="s">
        <v>435</v>
      </c>
      <c r="D51">
        <f>COUNTIFS('Исходник — лиды'!$H$2:$H$4191,"&gt;="&amp;A51,'Исходник — лиды'!$H$2:$H$4191,"&lt;"&amp;B51+1)</f>
        <v>13</v>
      </c>
      <c r="E51">
        <f>COUNTIFS('Исходник — лиды'!$H$2:$H$4191,"&gt;="&amp;A51,'Исходник — лиды'!$H$2:$H$4191,"&lt;"&amp;B51+1,'Исходник — лиды'!$C$2:$C$4191,"Качественный лид")</f>
        <v>13</v>
      </c>
      <c r="F51">
        <v>111</v>
      </c>
      <c r="G51" s="4">
        <f t="shared" si="0"/>
        <v>1</v>
      </c>
    </row>
    <row r="52" spans="1:7" x14ac:dyDescent="0.25">
      <c r="A52" s="3">
        <v>44886</v>
      </c>
      <c r="B52" s="3">
        <v>44892</v>
      </c>
      <c r="C52" t="s">
        <v>436</v>
      </c>
      <c r="D52">
        <f>COUNTIFS('Исходник — лиды'!$H$2:$H$4191,"&gt;="&amp;A52,'Исходник — лиды'!$H$2:$H$4191,"&lt;"&amp;B52+1)</f>
        <v>21</v>
      </c>
      <c r="E52">
        <f>COUNTIFS('Исходник — лиды'!$H$2:$H$4191,"&gt;="&amp;A52,'Исходник — лиды'!$H$2:$H$4191,"&lt;"&amp;B52+1,'Исходник — лиды'!$C$2:$C$4191,"Качественный лид")</f>
        <v>19</v>
      </c>
      <c r="F52">
        <v>107</v>
      </c>
      <c r="G52" s="4">
        <f t="shared" si="0"/>
        <v>0.90476190476190477</v>
      </c>
    </row>
    <row r="53" spans="1:7" x14ac:dyDescent="0.25">
      <c r="A53" s="3">
        <v>44893</v>
      </c>
      <c r="B53" s="3">
        <v>44899</v>
      </c>
      <c r="C53" t="s">
        <v>437</v>
      </c>
      <c r="D53">
        <f>COUNTIFS('Исходник — лиды'!$H$2:$H$4191,"&gt;="&amp;A53,'Исходник — лиды'!$H$2:$H$4191,"&lt;"&amp;B53+1)</f>
        <v>18</v>
      </c>
      <c r="E53">
        <f>COUNTIFS('Исходник — лиды'!$H$2:$H$4191,"&gt;="&amp;A53,'Исходник — лиды'!$H$2:$H$4191,"&lt;"&amp;B53+1,'Исходник — лиды'!$C$2:$C$4191,"Качественный лид")</f>
        <v>18</v>
      </c>
      <c r="F53">
        <v>102</v>
      </c>
      <c r="G53" s="4">
        <f t="shared" si="0"/>
        <v>1</v>
      </c>
    </row>
    <row r="54" spans="1:7" x14ac:dyDescent="0.25">
      <c r="A54" s="3">
        <v>44900</v>
      </c>
      <c r="B54" s="3">
        <v>44906</v>
      </c>
      <c r="C54" t="s">
        <v>438</v>
      </c>
      <c r="D54">
        <f>COUNTIFS('Исходник — лиды'!$H$2:$H$4191,"&gt;="&amp;A54,'Исходник — лиды'!$H$2:$H$4191,"&lt;"&amp;B54+1)</f>
        <v>12</v>
      </c>
      <c r="E54">
        <f>COUNTIFS('Исходник — лиды'!$H$2:$H$4191,"&gt;="&amp;A54,'Исходник — лиды'!$H$2:$H$4191,"&lt;"&amp;B54+1,'Исходник — лиды'!$C$2:$C$4191,"Качественный лид")</f>
        <v>12</v>
      </c>
      <c r="F54">
        <v>120</v>
      </c>
      <c r="G54" s="4">
        <f t="shared" si="0"/>
        <v>1</v>
      </c>
    </row>
    <row r="55" spans="1:7" x14ac:dyDescent="0.25">
      <c r="A55" s="3">
        <v>44907</v>
      </c>
      <c r="B55" s="3">
        <v>44913</v>
      </c>
      <c r="C55" t="s">
        <v>439</v>
      </c>
      <c r="D55">
        <f>COUNTIFS('Исходник — лиды'!$H$2:$H$4191,"&gt;="&amp;A55,'Исходник — лиды'!$H$2:$H$4191,"&lt;"&amp;B55+1)</f>
        <v>19</v>
      </c>
      <c r="E55">
        <f>COUNTIFS('Исходник — лиды'!$H$2:$H$4191,"&gt;="&amp;A55,'Исходник — лиды'!$H$2:$H$4191,"&lt;"&amp;B55+1,'Исходник — лиды'!$C$2:$C$4191,"Качественный лид")</f>
        <v>19</v>
      </c>
      <c r="F55">
        <v>114</v>
      </c>
      <c r="G55" s="4">
        <f t="shared" si="0"/>
        <v>1</v>
      </c>
    </row>
    <row r="56" spans="1:7" x14ac:dyDescent="0.25">
      <c r="A56" s="3">
        <v>44914</v>
      </c>
      <c r="B56" s="3">
        <v>44920</v>
      </c>
      <c r="C56" t="s">
        <v>440</v>
      </c>
      <c r="D56">
        <f>COUNTIFS('Исходник — лиды'!$H$2:$H$4191,"&gt;="&amp;A56,'Исходник — лиды'!$H$2:$H$4191,"&lt;"&amp;B56+1)</f>
        <v>18</v>
      </c>
      <c r="E56">
        <f>COUNTIFS('Исходник — лиды'!$H$2:$H$4191,"&gt;="&amp;A56,'Исходник — лиды'!$H$2:$H$4191,"&lt;"&amp;B56+1,'Исходник — лиды'!$C$2:$C$4191,"Качественный лид")</f>
        <v>18</v>
      </c>
      <c r="F56">
        <v>111</v>
      </c>
      <c r="G56" s="4">
        <f t="shared" si="0"/>
        <v>1</v>
      </c>
    </row>
    <row r="57" spans="1:7" x14ac:dyDescent="0.25">
      <c r="A57" s="3">
        <v>44921</v>
      </c>
      <c r="B57" s="3">
        <v>44927</v>
      </c>
      <c r="C57" t="s">
        <v>441</v>
      </c>
      <c r="D57">
        <f>COUNTIFS('Исходник — лиды'!$H$2:$H$4191,"&gt;="&amp;A57,'Исходник — лиды'!$H$2:$H$4191,"&lt;"&amp;B57+1)</f>
        <v>7</v>
      </c>
      <c r="E57">
        <f>COUNTIFS('Исходник — лиды'!$H$2:$H$4191,"&gt;="&amp;A57,'Исходник — лиды'!$H$2:$H$4191,"&lt;"&amp;B57+1,'Исходник — лиды'!$C$2:$C$4191,"Качественный лид")</f>
        <v>7</v>
      </c>
      <c r="F57">
        <v>76</v>
      </c>
      <c r="G57" s="4">
        <f t="shared" si="0"/>
        <v>1</v>
      </c>
    </row>
    <row r="58" spans="1:7" x14ac:dyDescent="0.25">
      <c r="A58" s="3">
        <v>44928</v>
      </c>
      <c r="B58" s="3">
        <v>44934</v>
      </c>
      <c r="C58" t="s">
        <v>442</v>
      </c>
      <c r="D58">
        <f>COUNTIFS('Исходник — лиды'!$H$2:$H$4191,"&gt;="&amp;A58,'Исходник — лиды'!$H$2:$H$4191,"&lt;"&amp;B58+1)</f>
        <v>7</v>
      </c>
      <c r="E58">
        <f>COUNTIFS('Исходник — лиды'!$H$2:$H$4191,"&gt;="&amp;A58,'Исходник — лиды'!$H$2:$H$4191,"&lt;"&amp;B58+1,'Исходник — лиды'!$C$2:$C$4191,"Качественный лид")</f>
        <v>7</v>
      </c>
      <c r="F58">
        <v>76</v>
      </c>
      <c r="G58" s="4">
        <f t="shared" si="0"/>
        <v>1</v>
      </c>
    </row>
    <row r="59" spans="1:7" x14ac:dyDescent="0.25">
      <c r="A59" s="3">
        <v>44935</v>
      </c>
      <c r="B59" s="3">
        <v>44941</v>
      </c>
      <c r="C59" t="s">
        <v>443</v>
      </c>
      <c r="D59">
        <f>COUNTIFS('Исходник — лиды'!$H$2:$H$4191,"&gt;="&amp;A59,'Исходник — лиды'!$H$2:$H$4191,"&lt;"&amp;B59+1)</f>
        <v>9</v>
      </c>
      <c r="E59">
        <f>COUNTIFS('Исходник — лиды'!$H$2:$H$4191,"&gt;="&amp;A59,'Исходник — лиды'!$H$2:$H$4191,"&lt;"&amp;B59+1,'Исходник — лиды'!$C$2:$C$4191,"Качественный лид")</f>
        <v>9</v>
      </c>
      <c r="F59">
        <v>94</v>
      </c>
      <c r="G59" s="4">
        <f t="shared" si="0"/>
        <v>1</v>
      </c>
    </row>
    <row r="60" spans="1:7" x14ac:dyDescent="0.25">
      <c r="A60" s="3">
        <v>44942</v>
      </c>
      <c r="B60" s="3">
        <v>44948</v>
      </c>
      <c r="C60" t="s">
        <v>444</v>
      </c>
      <c r="D60">
        <f>COUNTIFS('Исходник — лиды'!$H$2:$H$4191,"&gt;="&amp;A60,'Исходник — лиды'!$H$2:$H$4191,"&lt;"&amp;B60+1)</f>
        <v>9</v>
      </c>
      <c r="E60">
        <f>COUNTIFS('Исходник — лиды'!$H$2:$H$4191,"&gt;="&amp;A60,'Исходник — лиды'!$H$2:$H$4191,"&lt;"&amp;B60+1,'Исходник — лиды'!$C$2:$C$4191,"Качественный лид")</f>
        <v>9</v>
      </c>
      <c r="F60">
        <v>101</v>
      </c>
      <c r="G60" s="4">
        <f t="shared" si="0"/>
        <v>1</v>
      </c>
    </row>
    <row r="61" spans="1:7" x14ac:dyDescent="0.25">
      <c r="A61" s="3">
        <v>44949</v>
      </c>
      <c r="B61" s="3">
        <v>44955</v>
      </c>
      <c r="C61" t="s">
        <v>445</v>
      </c>
      <c r="D61">
        <f>COUNTIFS('Исходник — лиды'!$H$2:$H$4191,"&gt;="&amp;A61,'Исходник — лиды'!$H$2:$H$4191,"&lt;"&amp;B61+1)</f>
        <v>16</v>
      </c>
      <c r="E61">
        <f>COUNTIFS('Исходник — лиды'!$H$2:$H$4191,"&gt;="&amp;A61,'Исходник — лиды'!$H$2:$H$4191,"&lt;"&amp;B61+1,'Исходник — лиды'!$C$2:$C$4191,"Качественный лид")</f>
        <v>16</v>
      </c>
      <c r="F61">
        <v>79</v>
      </c>
      <c r="G61" s="4">
        <f t="shared" si="0"/>
        <v>1</v>
      </c>
    </row>
    <row r="62" spans="1:7" x14ac:dyDescent="0.25">
      <c r="A62" s="3">
        <v>44956</v>
      </c>
      <c r="B62" s="3">
        <v>44962</v>
      </c>
      <c r="C62" t="s">
        <v>446</v>
      </c>
      <c r="D62">
        <f>COUNTIFS('Исходник — лиды'!$H$2:$H$4191,"&gt;="&amp;A62,'Исходник — лиды'!$H$2:$H$4191,"&lt;"&amp;B62+1)</f>
        <v>6</v>
      </c>
      <c r="E62">
        <f>COUNTIFS('Исходник — лиды'!$H$2:$H$4191,"&gt;="&amp;A62,'Исходник — лиды'!$H$2:$H$4191,"&lt;"&amp;B62+1,'Исходник — лиды'!$C$2:$C$4191,"Качественный лид")</f>
        <v>6</v>
      </c>
      <c r="F62">
        <v>117</v>
      </c>
      <c r="G62" s="4">
        <f t="shared" si="0"/>
        <v>1</v>
      </c>
    </row>
    <row r="63" spans="1:7" x14ac:dyDescent="0.25">
      <c r="A63" s="3">
        <v>44963</v>
      </c>
      <c r="B63" s="3">
        <v>44969</v>
      </c>
      <c r="C63" t="s">
        <v>447</v>
      </c>
      <c r="D63">
        <f>COUNTIFS('Исходник — лиды'!$H$2:$H$4191,"&gt;="&amp;A63,'Исходник — лиды'!$H$2:$H$4191,"&lt;"&amp;B63+1)</f>
        <v>16</v>
      </c>
      <c r="E63">
        <f>COUNTIFS('Исходник — лиды'!$H$2:$H$4191,"&gt;="&amp;A63,'Исходник — лиды'!$H$2:$H$4191,"&lt;"&amp;B63+1,'Исходник — лиды'!$C$2:$C$4191,"Качественный лид")</f>
        <v>16</v>
      </c>
      <c r="F63">
        <v>123</v>
      </c>
      <c r="G63" s="4">
        <f t="shared" si="0"/>
        <v>1</v>
      </c>
    </row>
    <row r="64" spans="1:7" x14ac:dyDescent="0.25">
      <c r="A64" s="3">
        <v>44970</v>
      </c>
      <c r="B64" s="3">
        <v>44976</v>
      </c>
      <c r="C64" t="s">
        <v>448</v>
      </c>
      <c r="D64">
        <f>COUNTIFS('Исходник — лиды'!$H$2:$H$4191,"&gt;="&amp;A64,'Исходник — лиды'!$H$2:$H$4191,"&lt;"&amp;B64+1)</f>
        <v>12</v>
      </c>
      <c r="E64">
        <f>COUNTIFS('Исходник — лиды'!$H$2:$H$4191,"&gt;="&amp;A64,'Исходник — лиды'!$H$2:$H$4191,"&lt;"&amp;B64+1,'Исходник — лиды'!$C$2:$C$4191,"Качественный лид")</f>
        <v>11</v>
      </c>
      <c r="F64">
        <v>55</v>
      </c>
      <c r="G64" s="4">
        <f t="shared" si="0"/>
        <v>0.91666666666666663</v>
      </c>
    </row>
    <row r="65" spans="1:7" x14ac:dyDescent="0.25">
      <c r="A65" s="3">
        <v>44977</v>
      </c>
      <c r="B65" s="3">
        <v>44983</v>
      </c>
      <c r="C65" t="s">
        <v>449</v>
      </c>
      <c r="D65">
        <f>COUNTIFS('Исходник — лиды'!$H$2:$H$4191,"&gt;="&amp;A65,'Исходник — лиды'!$H$2:$H$4191,"&lt;"&amp;B65+1)</f>
        <v>16</v>
      </c>
      <c r="E65">
        <f>COUNTIFS('Исходник — лиды'!$H$2:$H$4191,"&gt;="&amp;A65,'Исходник — лиды'!$H$2:$H$4191,"&lt;"&amp;B65+1,'Исходник — лиды'!$C$2:$C$4191,"Качественный лид")</f>
        <v>16</v>
      </c>
      <c r="F65">
        <v>80</v>
      </c>
      <c r="G65" s="4">
        <f t="shared" si="0"/>
        <v>1</v>
      </c>
    </row>
    <row r="66" spans="1:7" x14ac:dyDescent="0.25">
      <c r="A66" s="3">
        <v>44984</v>
      </c>
      <c r="B66" s="3">
        <v>44990</v>
      </c>
      <c r="C66" t="s">
        <v>450</v>
      </c>
      <c r="D66">
        <f>COUNTIFS('Исходник — лиды'!$H$2:$H$4191,"&gt;="&amp;A66,'Исходник — лиды'!$H$2:$H$4191,"&lt;"&amp;B66+1)</f>
        <v>26</v>
      </c>
      <c r="E66">
        <f>COUNTIFS('Исходник — лиды'!$H$2:$H$4191,"&gt;="&amp;A66,'Исходник — лиды'!$H$2:$H$4191,"&lt;"&amp;B66+1,'Исходник — лиды'!$C$2:$C$4191,"Качественный лид")</f>
        <v>26</v>
      </c>
      <c r="F66">
        <v>148</v>
      </c>
      <c r="G66" s="4">
        <f t="shared" si="0"/>
        <v>1</v>
      </c>
    </row>
    <row r="67" spans="1:7" x14ac:dyDescent="0.25">
      <c r="A67" s="3">
        <v>44991</v>
      </c>
      <c r="B67" s="3">
        <v>44997</v>
      </c>
      <c r="C67" t="s">
        <v>451</v>
      </c>
      <c r="D67">
        <f>COUNTIFS('Исходник — лиды'!$H$2:$H$4191,"&gt;="&amp;A67,'Исходник — лиды'!$H$2:$H$4191,"&lt;"&amp;B67+1)</f>
        <v>29</v>
      </c>
      <c r="E67">
        <f>COUNTIFS('Исходник — лиды'!$H$2:$H$4191,"&gt;="&amp;A67,'Исходник — лиды'!$H$2:$H$4191,"&lt;"&amp;B67+1,'Исходник — лиды'!$C$2:$C$4191,"Качественный лид")</f>
        <v>29</v>
      </c>
      <c r="F67">
        <v>94</v>
      </c>
      <c r="G67" s="4">
        <f t="shared" si="0"/>
        <v>1</v>
      </c>
    </row>
    <row r="68" spans="1:7" x14ac:dyDescent="0.25">
      <c r="A68" s="3">
        <v>44998</v>
      </c>
      <c r="B68" s="3">
        <v>45004</v>
      </c>
      <c r="C68" t="s">
        <v>452</v>
      </c>
      <c r="D68">
        <f>COUNTIFS('Исходник — лиды'!$H$2:$H$4191,"&gt;="&amp;A68,'Исходник — лиды'!$H$2:$H$4191,"&lt;"&amp;B68+1)</f>
        <v>18</v>
      </c>
      <c r="E68">
        <f>COUNTIFS('Исходник — лиды'!$H$2:$H$4191,"&gt;="&amp;A68,'Исходник — лиды'!$H$2:$H$4191,"&lt;"&amp;B68+1,'Исходник — лиды'!$C$2:$C$4191,"Качественный лид")</f>
        <v>16</v>
      </c>
      <c r="F68">
        <v>115</v>
      </c>
      <c r="G68" s="4">
        <f t="shared" si="0"/>
        <v>0.88888888888888884</v>
      </c>
    </row>
    <row r="69" spans="1:7" x14ac:dyDescent="0.25">
      <c r="A69" s="3">
        <v>45005</v>
      </c>
      <c r="B69" s="3">
        <v>45011</v>
      </c>
      <c r="C69" t="s">
        <v>453</v>
      </c>
      <c r="D69">
        <f>COUNTIFS('Исходник — лиды'!$H$2:$H$4191,"&gt;="&amp;A69,'Исходник — лиды'!$H$2:$H$4191,"&lt;"&amp;B69+1)</f>
        <v>28</v>
      </c>
      <c r="E69">
        <f>COUNTIFS('Исходник — лиды'!$H$2:$H$4191,"&gt;="&amp;A69,'Исходник — лиды'!$H$2:$H$4191,"&lt;"&amp;B69+1,'Исходник — лиды'!$C$2:$C$4191,"Качественный лид")</f>
        <v>28</v>
      </c>
      <c r="F69">
        <v>123</v>
      </c>
      <c r="G69" s="4">
        <f t="shared" ref="G69:G132" si="1">IFERROR(E69/D69,0)</f>
        <v>1</v>
      </c>
    </row>
    <row r="70" spans="1:7" x14ac:dyDescent="0.25">
      <c r="A70" s="3">
        <v>45012</v>
      </c>
      <c r="B70" s="3">
        <v>45018</v>
      </c>
      <c r="C70" t="s">
        <v>454</v>
      </c>
      <c r="D70">
        <f>COUNTIFS('Исходник — лиды'!$H$2:$H$4191,"&gt;="&amp;A70,'Исходник — лиды'!$H$2:$H$4191,"&lt;"&amp;B70+1)</f>
        <v>14</v>
      </c>
      <c r="E70">
        <f>COUNTIFS('Исходник — лиды'!$H$2:$H$4191,"&gt;="&amp;A70,'Исходник — лиды'!$H$2:$H$4191,"&lt;"&amp;B70+1,'Исходник — лиды'!$C$2:$C$4191,"Качественный лид")</f>
        <v>14</v>
      </c>
      <c r="F70">
        <v>126</v>
      </c>
      <c r="G70" s="4">
        <f t="shared" si="1"/>
        <v>1</v>
      </c>
    </row>
    <row r="71" spans="1:7" x14ac:dyDescent="0.25">
      <c r="A71" s="3">
        <v>45019</v>
      </c>
      <c r="B71" s="3">
        <v>45025</v>
      </c>
      <c r="C71" t="s">
        <v>455</v>
      </c>
      <c r="D71">
        <f>COUNTIFS('Исходник — лиды'!$H$2:$H$4191,"&gt;="&amp;A71,'Исходник — лиды'!$H$2:$H$4191,"&lt;"&amp;B71+1)</f>
        <v>19</v>
      </c>
      <c r="E71">
        <f>COUNTIFS('Исходник — лиды'!$H$2:$H$4191,"&gt;="&amp;A71,'Исходник — лиды'!$H$2:$H$4191,"&lt;"&amp;B71+1,'Исходник — лиды'!$C$2:$C$4191,"Качественный лид")</f>
        <v>19</v>
      </c>
      <c r="F71">
        <v>144</v>
      </c>
      <c r="G71" s="4">
        <f t="shared" si="1"/>
        <v>1</v>
      </c>
    </row>
    <row r="72" spans="1:7" x14ac:dyDescent="0.25">
      <c r="A72" s="3">
        <v>45026</v>
      </c>
      <c r="B72" s="3">
        <v>45032</v>
      </c>
      <c r="C72" t="s">
        <v>456</v>
      </c>
      <c r="D72">
        <f>COUNTIFS('Исходник — лиды'!$H$2:$H$4191,"&gt;="&amp;A72,'Исходник — лиды'!$H$2:$H$4191,"&lt;"&amp;B72+1)</f>
        <v>30</v>
      </c>
      <c r="E72">
        <f>COUNTIFS('Исходник — лиды'!$H$2:$H$4191,"&gt;="&amp;A72,'Исходник — лиды'!$H$2:$H$4191,"&lt;"&amp;B72+1,'Исходник — лиды'!$C$2:$C$4191,"Качественный лид")</f>
        <v>29</v>
      </c>
      <c r="F72">
        <v>135</v>
      </c>
      <c r="G72" s="4">
        <f t="shared" si="1"/>
        <v>0.96666666666666667</v>
      </c>
    </row>
    <row r="73" spans="1:7" x14ac:dyDescent="0.25">
      <c r="A73" s="3">
        <v>45033</v>
      </c>
      <c r="B73" s="3">
        <v>45039</v>
      </c>
      <c r="C73" t="s">
        <v>457</v>
      </c>
      <c r="D73">
        <f>COUNTIFS('Исходник — лиды'!$H$2:$H$4191,"&gt;="&amp;A73,'Исходник — лиды'!$H$2:$H$4191,"&lt;"&amp;B73+1)</f>
        <v>26</v>
      </c>
      <c r="E73">
        <f>COUNTIFS('Исходник — лиды'!$H$2:$H$4191,"&gt;="&amp;A73,'Исходник — лиды'!$H$2:$H$4191,"&lt;"&amp;B73+1,'Исходник — лиды'!$C$2:$C$4191,"Качественный лид")</f>
        <v>26</v>
      </c>
      <c r="F73">
        <v>144</v>
      </c>
      <c r="G73" s="4">
        <f t="shared" si="1"/>
        <v>1</v>
      </c>
    </row>
    <row r="74" spans="1:7" x14ac:dyDescent="0.25">
      <c r="A74" s="3">
        <v>45040</v>
      </c>
      <c r="B74" s="3">
        <v>45046</v>
      </c>
      <c r="C74" t="s">
        <v>458</v>
      </c>
      <c r="D74">
        <f>COUNTIFS('Исходник — лиды'!$H$2:$H$4191,"&gt;="&amp;A74,'Исходник — лиды'!$H$2:$H$4191,"&lt;"&amp;B74+1)</f>
        <v>23</v>
      </c>
      <c r="E74">
        <f>COUNTIFS('Исходник — лиды'!$H$2:$H$4191,"&gt;="&amp;A74,'Исходник — лиды'!$H$2:$H$4191,"&lt;"&amp;B74+1,'Исходник — лиды'!$C$2:$C$4191,"Качественный лид")</f>
        <v>23</v>
      </c>
      <c r="F74">
        <v>135</v>
      </c>
      <c r="G74" s="4">
        <f t="shared" si="1"/>
        <v>1</v>
      </c>
    </row>
    <row r="75" spans="1:7" x14ac:dyDescent="0.25">
      <c r="A75" s="3">
        <v>45047</v>
      </c>
      <c r="B75" s="3">
        <v>45053</v>
      </c>
      <c r="C75" t="s">
        <v>459</v>
      </c>
      <c r="D75">
        <f>COUNTIFS('Исходник — лиды'!$H$2:$H$4191,"&gt;="&amp;A75,'Исходник — лиды'!$H$2:$H$4191,"&lt;"&amp;B75+1)</f>
        <v>33</v>
      </c>
      <c r="E75">
        <f>COUNTIFS('Исходник — лиды'!$H$2:$H$4191,"&gt;="&amp;A75,'Исходник — лиды'!$H$2:$H$4191,"&lt;"&amp;B75+1,'Исходник — лиды'!$C$2:$C$4191,"Качественный лид")</f>
        <v>33</v>
      </c>
      <c r="F75">
        <v>109</v>
      </c>
      <c r="G75" s="4">
        <f t="shared" si="1"/>
        <v>1</v>
      </c>
    </row>
    <row r="76" spans="1:7" x14ac:dyDescent="0.25">
      <c r="A76" s="3">
        <v>45054</v>
      </c>
      <c r="B76" s="3">
        <v>45060</v>
      </c>
      <c r="C76" t="s">
        <v>460</v>
      </c>
      <c r="D76">
        <f>COUNTIFS('Исходник — лиды'!$H$2:$H$4191,"&gt;="&amp;A76,'Исходник — лиды'!$H$2:$H$4191,"&lt;"&amp;B76+1)</f>
        <v>23</v>
      </c>
      <c r="E76">
        <f>COUNTIFS('Исходник — лиды'!$H$2:$H$4191,"&gt;="&amp;A76,'Исходник — лиды'!$H$2:$H$4191,"&lt;"&amp;B76+1,'Исходник — лиды'!$C$2:$C$4191,"Качественный лид")</f>
        <v>23</v>
      </c>
      <c r="F76">
        <v>107</v>
      </c>
      <c r="G76" s="4">
        <f t="shared" si="1"/>
        <v>1</v>
      </c>
    </row>
    <row r="77" spans="1:7" x14ac:dyDescent="0.25">
      <c r="A77" s="3">
        <v>45061</v>
      </c>
      <c r="B77" s="3">
        <v>45067</v>
      </c>
      <c r="C77" t="s">
        <v>461</v>
      </c>
      <c r="D77">
        <f>COUNTIFS('Исходник — лиды'!$H$2:$H$4191,"&gt;="&amp;A77,'Исходник — лиды'!$H$2:$H$4191,"&lt;"&amp;B77+1)</f>
        <v>27</v>
      </c>
      <c r="E77">
        <f>COUNTIFS('Исходник — лиды'!$H$2:$H$4191,"&gt;="&amp;A77,'Исходник — лиды'!$H$2:$H$4191,"&lt;"&amp;B77+1,'Исходник — лиды'!$C$2:$C$4191,"Качественный лид")</f>
        <v>27</v>
      </c>
      <c r="F77">
        <v>138</v>
      </c>
      <c r="G77" s="4">
        <f t="shared" si="1"/>
        <v>1</v>
      </c>
    </row>
    <row r="78" spans="1:7" x14ac:dyDescent="0.25">
      <c r="A78" s="3">
        <v>45068</v>
      </c>
      <c r="B78" s="3">
        <v>45074</v>
      </c>
      <c r="C78" t="s">
        <v>462</v>
      </c>
      <c r="D78">
        <f>COUNTIFS('Исходник — лиды'!$H$2:$H$4191,"&gt;="&amp;A78,'Исходник — лиды'!$H$2:$H$4191,"&lt;"&amp;B78+1)</f>
        <v>14</v>
      </c>
      <c r="E78">
        <f>COUNTIFS('Исходник — лиды'!$H$2:$H$4191,"&gt;="&amp;A78,'Исходник — лиды'!$H$2:$H$4191,"&lt;"&amp;B78+1,'Исходник — лиды'!$C$2:$C$4191,"Качественный лид")</f>
        <v>14</v>
      </c>
      <c r="F78">
        <v>133</v>
      </c>
      <c r="G78" s="4">
        <f t="shared" si="1"/>
        <v>1</v>
      </c>
    </row>
    <row r="79" spans="1:7" x14ac:dyDescent="0.25">
      <c r="A79" s="3">
        <v>45075</v>
      </c>
      <c r="B79" s="3">
        <v>45081</v>
      </c>
      <c r="C79" t="s">
        <v>463</v>
      </c>
      <c r="D79">
        <f>COUNTIFS('Исходник — лиды'!$H$2:$H$4191,"&gt;="&amp;A79,'Исходник — лиды'!$H$2:$H$4191,"&lt;"&amp;B79+1)</f>
        <v>29</v>
      </c>
      <c r="E79">
        <f>COUNTIFS('Исходник — лиды'!$H$2:$H$4191,"&gt;="&amp;A79,'Исходник — лиды'!$H$2:$H$4191,"&lt;"&amp;B79+1,'Исходник — лиды'!$C$2:$C$4191,"Качественный лид")</f>
        <v>26</v>
      </c>
      <c r="F79">
        <v>147</v>
      </c>
      <c r="G79" s="4">
        <f t="shared" si="1"/>
        <v>0.89655172413793105</v>
      </c>
    </row>
    <row r="80" spans="1:7" x14ac:dyDescent="0.25">
      <c r="A80" s="3">
        <v>45082</v>
      </c>
      <c r="B80" s="3">
        <v>45088</v>
      </c>
      <c r="C80" t="s">
        <v>464</v>
      </c>
      <c r="D80">
        <f>COUNTIFS('Исходник — лиды'!$H$2:$H$4191,"&gt;="&amp;A80,'Исходник — лиды'!$H$2:$H$4191,"&lt;"&amp;B80+1)</f>
        <v>22</v>
      </c>
      <c r="E80">
        <f>COUNTIFS('Исходник — лиды'!$H$2:$H$4191,"&gt;="&amp;A80,'Исходник — лиды'!$H$2:$H$4191,"&lt;"&amp;B80+1,'Исходник — лиды'!$C$2:$C$4191,"Качественный лид")</f>
        <v>21</v>
      </c>
      <c r="F80">
        <v>105</v>
      </c>
      <c r="G80" s="4">
        <f t="shared" si="1"/>
        <v>0.95454545454545459</v>
      </c>
    </row>
    <row r="81" spans="1:7" x14ac:dyDescent="0.25">
      <c r="A81" s="3">
        <v>45089</v>
      </c>
      <c r="B81" s="3">
        <v>45095</v>
      </c>
      <c r="C81" t="s">
        <v>465</v>
      </c>
      <c r="D81">
        <f>COUNTIFS('Исходник — лиды'!$H$2:$H$4191,"&gt;="&amp;A81,'Исходник — лиды'!$H$2:$H$4191,"&lt;"&amp;B81+1)</f>
        <v>30</v>
      </c>
      <c r="E81">
        <f>COUNTIFS('Исходник — лиды'!$H$2:$H$4191,"&gt;="&amp;A81,'Исходник — лиды'!$H$2:$H$4191,"&lt;"&amp;B81+1,'Исходник — лиды'!$C$2:$C$4191,"Качественный лид")</f>
        <v>28</v>
      </c>
      <c r="F81">
        <v>139</v>
      </c>
      <c r="G81" s="4">
        <f t="shared" si="1"/>
        <v>0.93333333333333335</v>
      </c>
    </row>
    <row r="82" spans="1:7" x14ac:dyDescent="0.25">
      <c r="A82" s="3">
        <v>45096</v>
      </c>
      <c r="B82" s="3">
        <v>45102</v>
      </c>
      <c r="C82" t="s">
        <v>466</v>
      </c>
      <c r="D82">
        <f>COUNTIFS('Исходник — лиды'!$H$2:$H$4191,"&gt;="&amp;A82,'Исходник — лиды'!$H$2:$H$4191,"&lt;"&amp;B82+1)</f>
        <v>23</v>
      </c>
      <c r="E82">
        <f>COUNTIFS('Исходник — лиды'!$H$2:$H$4191,"&gt;="&amp;A82,'Исходник — лиды'!$H$2:$H$4191,"&lt;"&amp;B82+1,'Исходник — лиды'!$C$2:$C$4191,"Качественный лид")</f>
        <v>23</v>
      </c>
      <c r="F82">
        <v>117</v>
      </c>
      <c r="G82" s="4">
        <f t="shared" si="1"/>
        <v>1</v>
      </c>
    </row>
    <row r="83" spans="1:7" x14ac:dyDescent="0.25">
      <c r="A83" s="3">
        <v>45103</v>
      </c>
      <c r="B83" s="3">
        <v>45109</v>
      </c>
      <c r="C83" t="s">
        <v>467</v>
      </c>
      <c r="D83">
        <f>COUNTIFS('Исходник — лиды'!$H$2:$H$4191,"&gt;="&amp;A83,'Исходник — лиды'!$H$2:$H$4191,"&lt;"&amp;B83+1)</f>
        <v>26</v>
      </c>
      <c r="E83">
        <f>COUNTIFS('Исходник — лиды'!$H$2:$H$4191,"&gt;="&amp;A83,'Исходник — лиды'!$H$2:$H$4191,"&lt;"&amp;B83+1,'Исходник — лиды'!$C$2:$C$4191,"Качественный лид")</f>
        <v>26</v>
      </c>
      <c r="F83">
        <v>112</v>
      </c>
      <c r="G83" s="4">
        <f t="shared" si="1"/>
        <v>1</v>
      </c>
    </row>
    <row r="84" spans="1:7" x14ac:dyDescent="0.25">
      <c r="A84" s="3">
        <v>45110</v>
      </c>
      <c r="B84" s="3">
        <v>45116</v>
      </c>
      <c r="C84" t="s">
        <v>468</v>
      </c>
      <c r="D84">
        <f>COUNTIFS('Исходник — лиды'!$H$2:$H$4191,"&gt;="&amp;A84,'Исходник — лиды'!$H$2:$H$4191,"&lt;"&amp;B84+1)</f>
        <v>24</v>
      </c>
      <c r="E84">
        <f>COUNTIFS('Исходник — лиды'!$H$2:$H$4191,"&gt;="&amp;A84,'Исходник — лиды'!$H$2:$H$4191,"&lt;"&amp;B84+1,'Исходник — лиды'!$C$2:$C$4191,"Качественный лид")</f>
        <v>24</v>
      </c>
      <c r="F84">
        <v>100</v>
      </c>
      <c r="G84" s="4">
        <f t="shared" si="1"/>
        <v>1</v>
      </c>
    </row>
    <row r="85" spans="1:7" x14ac:dyDescent="0.25">
      <c r="A85" s="3">
        <v>45117</v>
      </c>
      <c r="B85" s="3">
        <v>45123</v>
      </c>
      <c r="C85" t="s">
        <v>469</v>
      </c>
      <c r="D85">
        <f>COUNTIFS('Исходник — лиды'!$H$2:$H$4191,"&gt;="&amp;A85,'Исходник — лиды'!$H$2:$H$4191,"&lt;"&amp;B85+1)</f>
        <v>21</v>
      </c>
      <c r="E85">
        <f>COUNTIFS('Исходник — лиды'!$H$2:$H$4191,"&gt;="&amp;A85,'Исходник — лиды'!$H$2:$H$4191,"&lt;"&amp;B85+1,'Исходник — лиды'!$C$2:$C$4191,"Качественный лид")</f>
        <v>21</v>
      </c>
      <c r="F85">
        <v>124</v>
      </c>
      <c r="G85" s="4">
        <f t="shared" si="1"/>
        <v>1</v>
      </c>
    </row>
    <row r="86" spans="1:7" x14ac:dyDescent="0.25">
      <c r="A86" s="3">
        <v>45124</v>
      </c>
      <c r="B86" s="3">
        <v>45130</v>
      </c>
      <c r="C86" t="s">
        <v>470</v>
      </c>
      <c r="D86">
        <f>COUNTIFS('Исходник — лиды'!$H$2:$H$4191,"&gt;="&amp;A86,'Исходник — лиды'!$H$2:$H$4191,"&lt;"&amp;B86+1)</f>
        <v>30</v>
      </c>
      <c r="E86">
        <f>COUNTIFS('Исходник — лиды'!$H$2:$H$4191,"&gt;="&amp;A86,'Исходник — лиды'!$H$2:$H$4191,"&lt;"&amp;B86+1,'Исходник — лиды'!$C$2:$C$4191,"Качественный лид")</f>
        <v>30</v>
      </c>
      <c r="F86">
        <v>148</v>
      </c>
      <c r="G86" s="4">
        <f t="shared" si="1"/>
        <v>1</v>
      </c>
    </row>
    <row r="87" spans="1:7" x14ac:dyDescent="0.25">
      <c r="A87" s="3">
        <v>45131</v>
      </c>
      <c r="B87" s="3">
        <v>45137</v>
      </c>
      <c r="C87" t="s">
        <v>471</v>
      </c>
      <c r="D87">
        <f>COUNTIFS('Исходник — лиды'!$H$2:$H$4191,"&gt;="&amp;A87,'Исходник — лиды'!$H$2:$H$4191,"&lt;"&amp;B87+1)</f>
        <v>31</v>
      </c>
      <c r="E87">
        <f>COUNTIFS('Исходник — лиды'!$H$2:$H$4191,"&gt;="&amp;A87,'Исходник — лиды'!$H$2:$H$4191,"&lt;"&amp;B87+1,'Исходник — лиды'!$C$2:$C$4191,"Качественный лид")</f>
        <v>31</v>
      </c>
      <c r="F87">
        <v>126</v>
      </c>
      <c r="G87" s="4">
        <f t="shared" si="1"/>
        <v>1</v>
      </c>
    </row>
    <row r="88" spans="1:7" x14ac:dyDescent="0.25">
      <c r="A88" s="3">
        <v>45138</v>
      </c>
      <c r="B88" s="3">
        <v>45144</v>
      </c>
      <c r="C88" t="s">
        <v>472</v>
      </c>
      <c r="D88">
        <f>COUNTIFS('Исходник — лиды'!$H$2:$H$4191,"&gt;="&amp;A88,'Исходник — лиды'!$H$2:$H$4191,"&lt;"&amp;B88+1)</f>
        <v>24</v>
      </c>
      <c r="E88">
        <f>COUNTIFS('Исходник — лиды'!$H$2:$H$4191,"&gt;="&amp;A88,'Исходник — лиды'!$H$2:$H$4191,"&lt;"&amp;B88+1,'Исходник — лиды'!$C$2:$C$4191,"Качественный лид")</f>
        <v>24</v>
      </c>
      <c r="F88">
        <v>105</v>
      </c>
      <c r="G88" s="4">
        <f t="shared" si="1"/>
        <v>1</v>
      </c>
    </row>
    <row r="89" spans="1:7" x14ac:dyDescent="0.25">
      <c r="A89" s="3">
        <v>45145</v>
      </c>
      <c r="B89" s="3">
        <v>45151</v>
      </c>
      <c r="C89" t="s">
        <v>473</v>
      </c>
      <c r="D89">
        <f>COUNTIFS('Исходник — лиды'!$H$2:$H$4191,"&gt;="&amp;A89,'Исходник — лиды'!$H$2:$H$4191,"&lt;"&amp;B89+1)</f>
        <v>31</v>
      </c>
      <c r="E89">
        <f>COUNTIFS('Исходник — лиды'!$H$2:$H$4191,"&gt;="&amp;A89,'Исходник — лиды'!$H$2:$H$4191,"&lt;"&amp;B89+1,'Исходник — лиды'!$C$2:$C$4191,"Качественный лид")</f>
        <v>28</v>
      </c>
      <c r="F89">
        <v>106</v>
      </c>
      <c r="G89" s="4">
        <f t="shared" si="1"/>
        <v>0.90322580645161288</v>
      </c>
    </row>
    <row r="90" spans="1:7" x14ac:dyDescent="0.25">
      <c r="A90" s="3">
        <v>45152</v>
      </c>
      <c r="B90" s="3">
        <v>45158</v>
      </c>
      <c r="C90" t="s">
        <v>474</v>
      </c>
      <c r="D90">
        <f>COUNTIFS('Исходник — лиды'!$H$2:$H$4191,"&gt;="&amp;A90,'Исходник — лиды'!$H$2:$H$4191,"&lt;"&amp;B90+1)</f>
        <v>14</v>
      </c>
      <c r="E90">
        <f>COUNTIFS('Исходник — лиды'!$H$2:$H$4191,"&gt;="&amp;A90,'Исходник — лиды'!$H$2:$H$4191,"&lt;"&amp;B90+1,'Исходник — лиды'!$C$2:$C$4191,"Качественный лид")</f>
        <v>13</v>
      </c>
      <c r="F90">
        <v>108</v>
      </c>
      <c r="G90" s="4">
        <f t="shared" si="1"/>
        <v>0.9285714285714286</v>
      </c>
    </row>
    <row r="91" spans="1:7" x14ac:dyDescent="0.25">
      <c r="A91" s="3">
        <v>45159</v>
      </c>
      <c r="B91" s="3">
        <v>45165</v>
      </c>
      <c r="C91" t="s">
        <v>475</v>
      </c>
      <c r="D91">
        <f>COUNTIFS('Исходник — лиды'!$H$2:$H$4191,"&gt;="&amp;A91,'Исходник — лиды'!$H$2:$H$4191,"&lt;"&amp;B91+1)</f>
        <v>20</v>
      </c>
      <c r="E91">
        <f>COUNTIFS('Исходник — лиды'!$H$2:$H$4191,"&gt;="&amp;A91,'Исходник — лиды'!$H$2:$H$4191,"&lt;"&amp;B91+1,'Исходник — лиды'!$C$2:$C$4191,"Качественный лид")</f>
        <v>19</v>
      </c>
      <c r="F91">
        <v>95</v>
      </c>
      <c r="G91" s="4">
        <f t="shared" si="1"/>
        <v>0.95</v>
      </c>
    </row>
    <row r="92" spans="1:7" x14ac:dyDescent="0.25">
      <c r="A92" s="3">
        <v>45166</v>
      </c>
      <c r="B92" s="3">
        <v>45172</v>
      </c>
      <c r="C92" t="s">
        <v>476</v>
      </c>
      <c r="D92">
        <f>COUNTIFS('Исходник — лиды'!$H$2:$H$4191,"&gt;="&amp;A92,'Исходник — лиды'!$H$2:$H$4191,"&lt;"&amp;B92+1)</f>
        <v>17</v>
      </c>
      <c r="E92">
        <f>COUNTIFS('Исходник — лиды'!$H$2:$H$4191,"&gt;="&amp;A92,'Исходник — лиды'!$H$2:$H$4191,"&lt;"&amp;B92+1,'Исходник — лиды'!$C$2:$C$4191,"Качественный лид")</f>
        <v>17</v>
      </c>
      <c r="F92">
        <v>126</v>
      </c>
      <c r="G92" s="4">
        <f t="shared" si="1"/>
        <v>1</v>
      </c>
    </row>
    <row r="93" spans="1:7" x14ac:dyDescent="0.25">
      <c r="A93" s="3">
        <v>45173</v>
      </c>
      <c r="B93" s="3">
        <v>45179</v>
      </c>
      <c r="C93" t="s">
        <v>477</v>
      </c>
      <c r="D93">
        <f>COUNTIFS('Исходник — лиды'!$H$2:$H$4191,"&gt;="&amp;A93,'Исходник — лиды'!$H$2:$H$4191,"&lt;"&amp;B93+1)</f>
        <v>25</v>
      </c>
      <c r="E93">
        <f>COUNTIFS('Исходник — лиды'!$H$2:$H$4191,"&gt;="&amp;A93,'Исходник — лиды'!$H$2:$H$4191,"&lt;"&amp;B93+1,'Исходник — лиды'!$C$2:$C$4191,"Качественный лид")</f>
        <v>25</v>
      </c>
      <c r="F93">
        <v>118</v>
      </c>
      <c r="G93" s="4">
        <f t="shared" si="1"/>
        <v>1</v>
      </c>
    </row>
    <row r="94" spans="1:7" x14ac:dyDescent="0.25">
      <c r="A94" s="3">
        <v>45180</v>
      </c>
      <c r="B94" s="3">
        <v>45186</v>
      </c>
      <c r="C94" t="s">
        <v>478</v>
      </c>
      <c r="D94">
        <f>COUNTIFS('Исходник — лиды'!$H$2:$H$4191,"&gt;="&amp;A94,'Исходник — лиды'!$H$2:$H$4191,"&lt;"&amp;B94+1)</f>
        <v>31</v>
      </c>
      <c r="E94">
        <f>COUNTIFS('Исходник — лиды'!$H$2:$H$4191,"&gt;="&amp;A94,'Исходник — лиды'!$H$2:$H$4191,"&lt;"&amp;B94+1,'Исходник — лиды'!$C$2:$C$4191,"Качественный лид")</f>
        <v>30</v>
      </c>
      <c r="F94">
        <v>84</v>
      </c>
      <c r="G94" s="4">
        <f t="shared" si="1"/>
        <v>0.967741935483871</v>
      </c>
    </row>
    <row r="95" spans="1:7" x14ac:dyDescent="0.25">
      <c r="A95" s="3">
        <v>45187</v>
      </c>
      <c r="B95" s="3">
        <v>45193</v>
      </c>
      <c r="C95" t="s">
        <v>479</v>
      </c>
      <c r="D95">
        <f>COUNTIFS('Исходник — лиды'!$H$2:$H$4191,"&gt;="&amp;A95,'Исходник — лиды'!$H$2:$H$4191,"&lt;"&amp;B95+1)</f>
        <v>28</v>
      </c>
      <c r="E95">
        <f>COUNTIFS('Исходник — лиды'!$H$2:$H$4191,"&gt;="&amp;A95,'Исходник — лиды'!$H$2:$H$4191,"&lt;"&amp;B95+1,'Исходник — лиды'!$C$2:$C$4191,"Качественный лид")</f>
        <v>27</v>
      </c>
      <c r="F95">
        <v>153</v>
      </c>
      <c r="G95" s="4">
        <f t="shared" si="1"/>
        <v>0.9642857142857143</v>
      </c>
    </row>
    <row r="96" spans="1:7" x14ac:dyDescent="0.25">
      <c r="A96" s="3">
        <v>45194</v>
      </c>
      <c r="B96" s="3">
        <v>45200</v>
      </c>
      <c r="C96" t="s">
        <v>480</v>
      </c>
      <c r="D96">
        <f>COUNTIFS('Исходник — лиды'!$H$2:$H$4191,"&gt;="&amp;A96,'Исходник — лиды'!$H$2:$H$4191,"&lt;"&amp;B96+1)</f>
        <v>41</v>
      </c>
      <c r="E96">
        <f>COUNTIFS('Исходник — лиды'!$H$2:$H$4191,"&gt;="&amp;A96,'Исходник — лиды'!$H$2:$H$4191,"&lt;"&amp;B96+1,'Исходник — лиды'!$C$2:$C$4191,"Качественный лид")</f>
        <v>37</v>
      </c>
      <c r="F96">
        <v>161</v>
      </c>
      <c r="G96" s="4">
        <f t="shared" si="1"/>
        <v>0.90243902439024393</v>
      </c>
    </row>
    <row r="97" spans="1:7" x14ac:dyDescent="0.25">
      <c r="A97" s="3">
        <v>45201</v>
      </c>
      <c r="B97" s="3">
        <v>45207</v>
      </c>
      <c r="C97" t="s">
        <v>481</v>
      </c>
      <c r="D97">
        <f>COUNTIFS('Исходник — лиды'!$H$2:$H$4191,"&gt;="&amp;A97,'Исходник — лиды'!$H$2:$H$4191,"&lt;"&amp;B97+1)</f>
        <v>26</v>
      </c>
      <c r="E97">
        <f>COUNTIFS('Исходник — лиды'!$H$2:$H$4191,"&gt;="&amp;A97,'Исходник — лиды'!$H$2:$H$4191,"&lt;"&amp;B97+1,'Исходник — лиды'!$C$2:$C$4191,"Качественный лид")</f>
        <v>26</v>
      </c>
      <c r="F97">
        <v>136</v>
      </c>
      <c r="G97" s="4">
        <f t="shared" si="1"/>
        <v>1</v>
      </c>
    </row>
    <row r="98" spans="1:7" x14ac:dyDescent="0.25">
      <c r="A98" s="3">
        <v>45208</v>
      </c>
      <c r="B98" s="3">
        <v>45214</v>
      </c>
      <c r="C98" t="s">
        <v>482</v>
      </c>
      <c r="D98">
        <f>COUNTIFS('Исходник — лиды'!$H$2:$H$4191,"&gt;="&amp;A98,'Исходник — лиды'!$H$2:$H$4191,"&lt;"&amp;B98+1)</f>
        <v>31</v>
      </c>
      <c r="E98">
        <f>COUNTIFS('Исходник — лиды'!$H$2:$H$4191,"&gt;="&amp;A98,'Исходник — лиды'!$H$2:$H$4191,"&lt;"&amp;B98+1,'Исходник — лиды'!$C$2:$C$4191,"Качественный лид")</f>
        <v>30</v>
      </c>
      <c r="F98">
        <v>131</v>
      </c>
      <c r="G98" s="4">
        <f t="shared" si="1"/>
        <v>0.967741935483871</v>
      </c>
    </row>
    <row r="99" spans="1:7" x14ac:dyDescent="0.25">
      <c r="A99" s="3">
        <v>45215</v>
      </c>
      <c r="B99" s="3">
        <v>45221</v>
      </c>
      <c r="C99" t="s">
        <v>483</v>
      </c>
      <c r="D99">
        <f>COUNTIFS('Исходник — лиды'!$H$2:$H$4191,"&gt;="&amp;A99,'Исходник — лиды'!$H$2:$H$4191,"&lt;"&amp;B99+1)</f>
        <v>34</v>
      </c>
      <c r="E99">
        <f>COUNTIFS('Исходник — лиды'!$H$2:$H$4191,"&gt;="&amp;A99,'Исходник — лиды'!$H$2:$H$4191,"&lt;"&amp;B99+1,'Исходник — лиды'!$C$2:$C$4191,"Качественный лид")</f>
        <v>32</v>
      </c>
      <c r="F99">
        <v>131</v>
      </c>
      <c r="G99" s="4">
        <f t="shared" si="1"/>
        <v>0.94117647058823528</v>
      </c>
    </row>
    <row r="100" spans="1:7" x14ac:dyDescent="0.25">
      <c r="A100" s="3">
        <v>45222</v>
      </c>
      <c r="B100" s="3">
        <v>45228</v>
      </c>
      <c r="C100" t="s">
        <v>484</v>
      </c>
      <c r="D100">
        <f>COUNTIFS('Исходник — лиды'!$H$2:$H$4191,"&gt;="&amp;A100,'Исходник — лиды'!$H$2:$H$4191,"&lt;"&amp;B100+1)</f>
        <v>23</v>
      </c>
      <c r="E100">
        <f>COUNTIFS('Исходник — лиды'!$H$2:$H$4191,"&gt;="&amp;A100,'Исходник — лиды'!$H$2:$H$4191,"&lt;"&amp;B100+1,'Исходник — лиды'!$C$2:$C$4191,"Качественный лид")</f>
        <v>22</v>
      </c>
      <c r="F100">
        <v>87</v>
      </c>
      <c r="G100" s="4">
        <f t="shared" si="1"/>
        <v>0.95652173913043481</v>
      </c>
    </row>
    <row r="101" spans="1:7" x14ac:dyDescent="0.25">
      <c r="A101" s="3">
        <v>45229</v>
      </c>
      <c r="B101" s="3">
        <v>45235</v>
      </c>
      <c r="C101" t="s">
        <v>485</v>
      </c>
      <c r="D101">
        <f>COUNTIFS('Исходник — лиды'!$H$2:$H$4191,"&gt;="&amp;A101,'Исходник — лиды'!$H$2:$H$4191,"&lt;"&amp;B101+1)</f>
        <v>27</v>
      </c>
      <c r="E101">
        <f>COUNTIFS('Исходник — лиды'!$H$2:$H$4191,"&gt;="&amp;A101,'Исходник — лиды'!$H$2:$H$4191,"&lt;"&amp;B101+1,'Исходник — лиды'!$C$2:$C$4191,"Качественный лид")</f>
        <v>27</v>
      </c>
      <c r="F101">
        <v>124</v>
      </c>
      <c r="G101" s="4">
        <f t="shared" si="1"/>
        <v>1</v>
      </c>
    </row>
    <row r="102" spans="1:7" x14ac:dyDescent="0.25">
      <c r="A102" s="3">
        <v>45236</v>
      </c>
      <c r="B102" s="3">
        <v>45242</v>
      </c>
      <c r="C102" t="s">
        <v>486</v>
      </c>
      <c r="D102">
        <f>COUNTIFS('Исходник — лиды'!$H$2:$H$4191,"&gt;="&amp;A102,'Исходник — лиды'!$H$2:$H$4191,"&lt;"&amp;B102+1)</f>
        <v>23</v>
      </c>
      <c r="E102">
        <f>COUNTIFS('Исходник — лиды'!$H$2:$H$4191,"&gt;="&amp;A102,'Исходник — лиды'!$H$2:$H$4191,"&lt;"&amp;B102+1,'Исходник — лиды'!$C$2:$C$4191,"Качественный лид")</f>
        <v>22</v>
      </c>
      <c r="F102">
        <v>119</v>
      </c>
      <c r="G102" s="4">
        <f t="shared" si="1"/>
        <v>0.95652173913043481</v>
      </c>
    </row>
    <row r="103" spans="1:7" x14ac:dyDescent="0.25">
      <c r="A103" s="3">
        <v>45243</v>
      </c>
      <c r="B103" s="3">
        <v>45249</v>
      </c>
      <c r="C103" t="s">
        <v>487</v>
      </c>
      <c r="D103">
        <f>COUNTIFS('Исходник — лиды'!$H$2:$H$4191,"&gt;="&amp;A103,'Исходник — лиды'!$H$2:$H$4191,"&lt;"&amp;B103+1)</f>
        <v>19</v>
      </c>
      <c r="E103">
        <f>COUNTIFS('Исходник — лиды'!$H$2:$H$4191,"&gt;="&amp;A103,'Исходник — лиды'!$H$2:$H$4191,"&lt;"&amp;B103+1,'Исходник — лиды'!$C$2:$C$4191,"Качественный лид")</f>
        <v>19</v>
      </c>
      <c r="F103">
        <v>183</v>
      </c>
      <c r="G103" s="4">
        <f t="shared" si="1"/>
        <v>1</v>
      </c>
    </row>
    <row r="104" spans="1:7" x14ac:dyDescent="0.25">
      <c r="A104" s="3">
        <v>45250</v>
      </c>
      <c r="B104" s="3">
        <v>45256</v>
      </c>
      <c r="C104" t="s">
        <v>488</v>
      </c>
      <c r="D104">
        <f>COUNTIFS('Исходник — лиды'!$H$2:$H$4191,"&gt;="&amp;A104,'Исходник — лиды'!$H$2:$H$4191,"&lt;"&amp;B104+1)</f>
        <v>12</v>
      </c>
      <c r="E104">
        <f>COUNTIFS('Исходник — лиды'!$H$2:$H$4191,"&gt;="&amp;A104,'Исходник — лиды'!$H$2:$H$4191,"&lt;"&amp;B104+1,'Исходник — лиды'!$C$2:$C$4191,"Качественный лид")</f>
        <v>12</v>
      </c>
      <c r="F104">
        <v>120</v>
      </c>
      <c r="G104" s="4">
        <f t="shared" si="1"/>
        <v>1</v>
      </c>
    </row>
    <row r="105" spans="1:7" x14ac:dyDescent="0.25">
      <c r="A105" s="3">
        <v>45257</v>
      </c>
      <c r="B105" s="3">
        <v>45263</v>
      </c>
      <c r="C105" t="s">
        <v>489</v>
      </c>
      <c r="D105">
        <f>COUNTIFS('Исходник — лиды'!$H$2:$H$4191,"&gt;="&amp;A105,'Исходник — лиды'!$H$2:$H$4191,"&lt;"&amp;B105+1)</f>
        <v>14</v>
      </c>
      <c r="E105">
        <f>COUNTIFS('Исходник — лиды'!$H$2:$H$4191,"&gt;="&amp;A105,'Исходник — лиды'!$H$2:$H$4191,"&lt;"&amp;B105+1,'Исходник — лиды'!$C$2:$C$4191,"Качественный лид")</f>
        <v>13</v>
      </c>
      <c r="F105">
        <v>105</v>
      </c>
      <c r="G105" s="4">
        <f t="shared" si="1"/>
        <v>0.9285714285714286</v>
      </c>
    </row>
    <row r="106" spans="1:7" x14ac:dyDescent="0.25">
      <c r="A106" s="3">
        <v>45264</v>
      </c>
      <c r="B106" s="3">
        <v>45270</v>
      </c>
      <c r="C106" t="s">
        <v>490</v>
      </c>
      <c r="D106">
        <f>COUNTIFS('Исходник — лиды'!$H$2:$H$4191,"&gt;="&amp;A106,'Исходник — лиды'!$H$2:$H$4191,"&lt;"&amp;B106+1)</f>
        <v>14</v>
      </c>
      <c r="E106">
        <f>COUNTIFS('Исходник — лиды'!$H$2:$H$4191,"&gt;="&amp;A106,'Исходник — лиды'!$H$2:$H$4191,"&lt;"&amp;B106+1,'Исходник — лиды'!$C$2:$C$4191,"Качественный лид")</f>
        <v>13</v>
      </c>
      <c r="F106">
        <v>128</v>
      </c>
      <c r="G106" s="4">
        <f t="shared" si="1"/>
        <v>0.9285714285714286</v>
      </c>
    </row>
    <row r="107" spans="1:7" x14ac:dyDescent="0.25">
      <c r="A107" s="3">
        <v>45271</v>
      </c>
      <c r="B107" s="3">
        <v>45277</v>
      </c>
      <c r="C107" t="s">
        <v>491</v>
      </c>
      <c r="D107">
        <f>COUNTIFS('Исходник — лиды'!$H$2:$H$4191,"&gt;="&amp;A107,'Исходник — лиды'!$H$2:$H$4191,"&lt;"&amp;B107+1)</f>
        <v>10</v>
      </c>
      <c r="E107">
        <f>COUNTIFS('Исходник — лиды'!$H$2:$H$4191,"&gt;="&amp;A107,'Исходник — лиды'!$H$2:$H$4191,"&lt;"&amp;B107+1,'Исходник — лиды'!$C$2:$C$4191,"Качественный лид")</f>
        <v>9</v>
      </c>
      <c r="F107">
        <v>84</v>
      </c>
      <c r="G107" s="4">
        <f t="shared" si="1"/>
        <v>0.9</v>
      </c>
    </row>
    <row r="108" spans="1:7" x14ac:dyDescent="0.25">
      <c r="A108" s="3">
        <v>45278</v>
      </c>
      <c r="B108" s="3">
        <v>45284</v>
      </c>
      <c r="C108" t="s">
        <v>492</v>
      </c>
      <c r="D108">
        <f>COUNTIFS('Исходник — лиды'!$H$2:$H$4191,"&gt;="&amp;A108,'Исходник — лиды'!$H$2:$H$4191,"&lt;"&amp;B108+1)</f>
        <v>10</v>
      </c>
      <c r="E108">
        <f>COUNTIFS('Исходник — лиды'!$H$2:$H$4191,"&gt;="&amp;A108,'Исходник — лиды'!$H$2:$H$4191,"&lt;"&amp;B108+1,'Исходник — лиды'!$C$2:$C$4191,"Качественный лид")</f>
        <v>10</v>
      </c>
      <c r="F108">
        <v>97</v>
      </c>
      <c r="G108" s="4">
        <f t="shared" si="1"/>
        <v>1</v>
      </c>
    </row>
    <row r="109" spans="1:7" x14ac:dyDescent="0.25">
      <c r="A109" s="3">
        <v>45285</v>
      </c>
      <c r="B109" s="3">
        <v>45291</v>
      </c>
      <c r="C109" t="s">
        <v>493</v>
      </c>
      <c r="D109">
        <f>COUNTIFS('Исходник — лиды'!$H$2:$H$4191,"&gt;="&amp;A109,'Исходник — лиды'!$H$2:$H$4191,"&lt;"&amp;B109+1)</f>
        <v>11</v>
      </c>
      <c r="E109">
        <f>COUNTIFS('Исходник — лиды'!$H$2:$H$4191,"&gt;="&amp;A109,'Исходник — лиды'!$H$2:$H$4191,"&lt;"&amp;B109+1,'Исходник — лиды'!$C$2:$C$4191,"Качественный лид")</f>
        <v>11</v>
      </c>
      <c r="F109">
        <v>81</v>
      </c>
      <c r="G109" s="4">
        <f t="shared" si="1"/>
        <v>1</v>
      </c>
    </row>
    <row r="110" spans="1:7" x14ac:dyDescent="0.25">
      <c r="A110" s="3">
        <v>45292</v>
      </c>
      <c r="B110" s="3">
        <v>45298</v>
      </c>
      <c r="C110" t="s">
        <v>494</v>
      </c>
      <c r="D110">
        <f>COUNTIFS('Исходник — лиды'!$H$2:$H$4191,"&gt;="&amp;A110,'Исходник — лиды'!$H$2:$H$4191,"&lt;"&amp;B110+1)</f>
        <v>14</v>
      </c>
      <c r="E110">
        <f>COUNTIFS('Исходник — лиды'!$H$2:$H$4191,"&gt;="&amp;A110,'Исходник — лиды'!$H$2:$H$4191,"&lt;"&amp;B110+1,'Исходник — лиды'!$C$2:$C$4191,"Качественный лид")</f>
        <v>13</v>
      </c>
      <c r="F110">
        <v>69</v>
      </c>
      <c r="G110" s="4">
        <f t="shared" si="1"/>
        <v>0.9285714285714286</v>
      </c>
    </row>
    <row r="111" spans="1:7" x14ac:dyDescent="0.25">
      <c r="A111" s="3">
        <v>45299</v>
      </c>
      <c r="B111" s="3">
        <v>45305</v>
      </c>
      <c r="C111" t="s">
        <v>495</v>
      </c>
      <c r="D111">
        <f>COUNTIFS('Исходник — лиды'!$H$2:$H$4191,"&gt;="&amp;A111,'Исходник — лиды'!$H$2:$H$4191,"&lt;"&amp;B111+1)</f>
        <v>13</v>
      </c>
      <c r="E111">
        <f>COUNTIFS('Исходник — лиды'!$H$2:$H$4191,"&gt;="&amp;A111,'Исходник — лиды'!$H$2:$H$4191,"&lt;"&amp;B111+1,'Исходник — лиды'!$C$2:$C$4191,"Качественный лид")</f>
        <v>13</v>
      </c>
      <c r="F111">
        <v>92</v>
      </c>
      <c r="G111" s="4">
        <f t="shared" si="1"/>
        <v>1</v>
      </c>
    </row>
    <row r="112" spans="1:7" x14ac:dyDescent="0.25">
      <c r="A112" s="3">
        <v>45306</v>
      </c>
      <c r="B112" s="3">
        <v>45312</v>
      </c>
      <c r="C112" t="s">
        <v>496</v>
      </c>
      <c r="D112">
        <f>COUNTIFS('Исходник — лиды'!$H$2:$H$4191,"&gt;="&amp;A112,'Исходник — лиды'!$H$2:$H$4191,"&lt;"&amp;B112+1)</f>
        <v>17</v>
      </c>
      <c r="E112">
        <f>COUNTIFS('Исходник — лиды'!$H$2:$H$4191,"&gt;="&amp;A112,'Исходник — лиды'!$H$2:$H$4191,"&lt;"&amp;B112+1,'Исходник — лиды'!$C$2:$C$4191,"Качественный лид")</f>
        <v>16</v>
      </c>
      <c r="F112">
        <v>118</v>
      </c>
      <c r="G112" s="4">
        <f t="shared" si="1"/>
        <v>0.94117647058823528</v>
      </c>
    </row>
    <row r="113" spans="1:7" x14ac:dyDescent="0.25">
      <c r="A113" s="3">
        <v>45313</v>
      </c>
      <c r="B113" s="3">
        <v>45319</v>
      </c>
      <c r="C113" t="s">
        <v>497</v>
      </c>
      <c r="D113">
        <f>COUNTIFS('Исходник — лиды'!$H$2:$H$4191,"&gt;="&amp;A113,'Исходник — лиды'!$H$2:$H$4191,"&lt;"&amp;B113+1)</f>
        <v>21</v>
      </c>
      <c r="E113">
        <f>COUNTIFS('Исходник — лиды'!$H$2:$H$4191,"&gt;="&amp;A113,'Исходник — лиды'!$H$2:$H$4191,"&lt;"&amp;B113+1,'Исходник — лиды'!$C$2:$C$4191,"Качественный лид")</f>
        <v>21</v>
      </c>
      <c r="F113">
        <v>165</v>
      </c>
      <c r="G113" s="4">
        <f t="shared" si="1"/>
        <v>1</v>
      </c>
    </row>
    <row r="114" spans="1:7" x14ac:dyDescent="0.25">
      <c r="A114" s="3">
        <v>45320</v>
      </c>
      <c r="B114" s="3">
        <v>45326</v>
      </c>
      <c r="C114" t="s">
        <v>498</v>
      </c>
      <c r="D114">
        <f>COUNTIFS('Исходник — лиды'!$H$2:$H$4191,"&gt;="&amp;A114,'Исходник — лиды'!$H$2:$H$4191,"&lt;"&amp;B114+1)</f>
        <v>17</v>
      </c>
      <c r="E114">
        <f>COUNTIFS('Исходник — лиды'!$H$2:$H$4191,"&gt;="&amp;A114,'Исходник — лиды'!$H$2:$H$4191,"&lt;"&amp;B114+1,'Исходник — лиды'!$C$2:$C$4191,"Качественный лид")</f>
        <v>17</v>
      </c>
      <c r="F114">
        <v>111</v>
      </c>
      <c r="G114" s="4">
        <f t="shared" si="1"/>
        <v>1</v>
      </c>
    </row>
    <row r="115" spans="1:7" x14ac:dyDescent="0.25">
      <c r="A115" s="3">
        <v>45327</v>
      </c>
      <c r="B115" s="3">
        <v>45333</v>
      </c>
      <c r="C115" t="s">
        <v>499</v>
      </c>
      <c r="D115">
        <f>COUNTIFS('Исходник — лиды'!$H$2:$H$4191,"&gt;="&amp;A115,'Исходник — лиды'!$H$2:$H$4191,"&lt;"&amp;B115+1)</f>
        <v>29</v>
      </c>
      <c r="E115">
        <f>COUNTIFS('Исходник — лиды'!$H$2:$H$4191,"&gt;="&amp;A115,'Исходник — лиды'!$H$2:$H$4191,"&lt;"&amp;B115+1,'Исходник — лиды'!$C$2:$C$4191,"Качественный лид")</f>
        <v>28</v>
      </c>
      <c r="F115">
        <v>127</v>
      </c>
      <c r="G115" s="4">
        <f t="shared" si="1"/>
        <v>0.96551724137931039</v>
      </c>
    </row>
    <row r="116" spans="1:7" x14ac:dyDescent="0.25">
      <c r="A116" s="3">
        <v>45334</v>
      </c>
      <c r="B116" s="3">
        <v>45340</v>
      </c>
      <c r="C116" t="s">
        <v>500</v>
      </c>
      <c r="D116">
        <f>COUNTIFS('Исходник — лиды'!$H$2:$H$4191,"&gt;="&amp;A116,'Исходник — лиды'!$H$2:$H$4191,"&lt;"&amp;B116+1)</f>
        <v>21</v>
      </c>
      <c r="E116">
        <f>COUNTIFS('Исходник — лиды'!$H$2:$H$4191,"&gt;="&amp;A116,'Исходник — лиды'!$H$2:$H$4191,"&lt;"&amp;B116+1,'Исходник — лиды'!$C$2:$C$4191,"Качественный лид")</f>
        <v>21</v>
      </c>
      <c r="F116">
        <v>142</v>
      </c>
      <c r="G116" s="4">
        <f t="shared" si="1"/>
        <v>1</v>
      </c>
    </row>
    <row r="117" spans="1:7" x14ac:dyDescent="0.25">
      <c r="A117" s="3">
        <v>45341</v>
      </c>
      <c r="B117" s="3">
        <v>45347</v>
      </c>
      <c r="C117" t="s">
        <v>501</v>
      </c>
      <c r="D117">
        <f>COUNTIFS('Исходник — лиды'!$H$2:$H$4191,"&gt;="&amp;A117,'Исходник — лиды'!$H$2:$H$4191,"&lt;"&amp;B117+1)</f>
        <v>22</v>
      </c>
      <c r="E117">
        <f>COUNTIFS('Исходник — лиды'!$H$2:$H$4191,"&gt;="&amp;A117,'Исходник — лиды'!$H$2:$H$4191,"&lt;"&amp;B117+1,'Исходник — лиды'!$C$2:$C$4191,"Качественный лид")</f>
        <v>22</v>
      </c>
      <c r="F117">
        <v>107</v>
      </c>
      <c r="G117" s="4">
        <f t="shared" si="1"/>
        <v>1</v>
      </c>
    </row>
    <row r="118" spans="1:7" x14ac:dyDescent="0.25">
      <c r="A118" s="3">
        <v>45348</v>
      </c>
      <c r="B118" s="3">
        <v>45354</v>
      </c>
      <c r="C118" t="s">
        <v>502</v>
      </c>
      <c r="D118">
        <f>COUNTIFS('Исходник — лиды'!$H$2:$H$4191,"&gt;="&amp;A118,'Исходник — лиды'!$H$2:$H$4191,"&lt;"&amp;B118+1)</f>
        <v>20</v>
      </c>
      <c r="E118">
        <f>COUNTIFS('Исходник — лиды'!$H$2:$H$4191,"&gt;="&amp;A118,'Исходник — лиды'!$H$2:$H$4191,"&lt;"&amp;B118+1,'Исходник — лиды'!$C$2:$C$4191,"Качественный лид")</f>
        <v>19</v>
      </c>
      <c r="F118">
        <v>171</v>
      </c>
      <c r="G118" s="4">
        <f t="shared" si="1"/>
        <v>0.95</v>
      </c>
    </row>
    <row r="119" spans="1:7" x14ac:dyDescent="0.25">
      <c r="A119" s="3">
        <v>45355</v>
      </c>
      <c r="B119" s="3">
        <v>45361</v>
      </c>
      <c r="C119" t="s">
        <v>503</v>
      </c>
      <c r="D119">
        <f>COUNTIFS('Исходник — лиды'!$H$2:$H$4191,"&gt;="&amp;A119,'Исходник — лиды'!$H$2:$H$4191,"&lt;"&amp;B119+1)</f>
        <v>18</v>
      </c>
      <c r="E119">
        <f>COUNTIFS('Исходник — лиды'!$H$2:$H$4191,"&gt;="&amp;A119,'Исходник — лиды'!$H$2:$H$4191,"&lt;"&amp;B119+1,'Исходник — лиды'!$C$2:$C$4191,"Качественный лид")</f>
        <v>17</v>
      </c>
      <c r="F119">
        <v>133</v>
      </c>
      <c r="G119" s="4">
        <f t="shared" si="1"/>
        <v>0.94444444444444442</v>
      </c>
    </row>
    <row r="120" spans="1:7" x14ac:dyDescent="0.25">
      <c r="A120" s="3">
        <v>45362</v>
      </c>
      <c r="B120" s="3">
        <v>45368</v>
      </c>
      <c r="C120" t="s">
        <v>504</v>
      </c>
      <c r="D120">
        <f>COUNTIFS('Исходник — лиды'!$H$2:$H$4191,"&gt;="&amp;A120,'Исходник — лиды'!$H$2:$H$4191,"&lt;"&amp;B120+1)</f>
        <v>20</v>
      </c>
      <c r="E120">
        <f>COUNTIFS('Исходник — лиды'!$H$2:$H$4191,"&gt;="&amp;A120,'Исходник — лиды'!$H$2:$H$4191,"&lt;"&amp;B120+1,'Исходник — лиды'!$C$2:$C$4191,"Качественный лид")</f>
        <v>19</v>
      </c>
      <c r="F120">
        <v>97</v>
      </c>
      <c r="G120" s="4">
        <f t="shared" si="1"/>
        <v>0.95</v>
      </c>
    </row>
    <row r="121" spans="1:7" x14ac:dyDescent="0.25">
      <c r="A121" s="3">
        <v>45369</v>
      </c>
      <c r="B121" s="3">
        <v>45375</v>
      </c>
      <c r="C121" t="s">
        <v>505</v>
      </c>
      <c r="D121">
        <f>COUNTIFS('Исходник — лиды'!$H$2:$H$4191,"&gt;="&amp;A121,'Исходник — лиды'!$H$2:$H$4191,"&lt;"&amp;B121+1)</f>
        <v>24</v>
      </c>
      <c r="E121">
        <f>COUNTIFS('Исходник — лиды'!$H$2:$H$4191,"&gt;="&amp;A121,'Исходник — лиды'!$H$2:$H$4191,"&lt;"&amp;B121+1,'Исходник — лиды'!$C$2:$C$4191,"Качественный лид")</f>
        <v>24</v>
      </c>
      <c r="F121">
        <v>91</v>
      </c>
      <c r="G121" s="4">
        <f t="shared" si="1"/>
        <v>1</v>
      </c>
    </row>
    <row r="122" spans="1:7" x14ac:dyDescent="0.25">
      <c r="A122" s="3">
        <v>45376</v>
      </c>
      <c r="B122" s="3">
        <v>45382</v>
      </c>
      <c r="C122" t="s">
        <v>506</v>
      </c>
      <c r="D122">
        <f>COUNTIFS('Исходник — лиды'!$H$2:$H$4191,"&gt;="&amp;A122,'Исходник — лиды'!$H$2:$H$4191,"&lt;"&amp;B122+1)</f>
        <v>12</v>
      </c>
      <c r="E122">
        <f>COUNTIFS('Исходник — лиды'!$H$2:$H$4191,"&gt;="&amp;A122,'Исходник — лиды'!$H$2:$H$4191,"&lt;"&amp;B122+1,'Исходник — лиды'!$C$2:$C$4191,"Качественный лид")</f>
        <v>12</v>
      </c>
      <c r="F122">
        <v>90</v>
      </c>
      <c r="G122" s="4">
        <f t="shared" si="1"/>
        <v>1</v>
      </c>
    </row>
    <row r="123" spans="1:7" x14ac:dyDescent="0.25">
      <c r="A123" s="3">
        <v>45383</v>
      </c>
      <c r="B123" s="3">
        <v>45389</v>
      </c>
      <c r="C123" t="s">
        <v>507</v>
      </c>
      <c r="D123">
        <f>COUNTIFS('Исходник — лиды'!$H$2:$H$4191,"&gt;="&amp;A123,'Исходник — лиды'!$H$2:$H$4191,"&lt;"&amp;B123+1)</f>
        <v>25</v>
      </c>
      <c r="E123">
        <f>COUNTIFS('Исходник — лиды'!$H$2:$H$4191,"&gt;="&amp;A123,'Исходник — лиды'!$H$2:$H$4191,"&lt;"&amp;B123+1,'Исходник — лиды'!$C$2:$C$4191,"Качественный лид")</f>
        <v>23</v>
      </c>
      <c r="F123">
        <v>151</v>
      </c>
      <c r="G123" s="4">
        <f t="shared" si="1"/>
        <v>0.92</v>
      </c>
    </row>
    <row r="124" spans="1:7" x14ac:dyDescent="0.25">
      <c r="A124" s="3">
        <v>45390</v>
      </c>
      <c r="B124" s="3">
        <v>45396</v>
      </c>
      <c r="C124" t="s">
        <v>508</v>
      </c>
      <c r="D124">
        <f>COUNTIFS('Исходник — лиды'!$H$2:$H$4191,"&gt;="&amp;A124,'Исходник — лиды'!$H$2:$H$4191,"&lt;"&amp;B124+1)</f>
        <v>25</v>
      </c>
      <c r="E124">
        <f>COUNTIFS('Исходник — лиды'!$H$2:$H$4191,"&gt;="&amp;A124,'Исходник — лиды'!$H$2:$H$4191,"&lt;"&amp;B124+1,'Исходник — лиды'!$C$2:$C$4191,"Качественный лид")</f>
        <v>23</v>
      </c>
      <c r="F124">
        <v>120</v>
      </c>
      <c r="G124" s="4">
        <f t="shared" si="1"/>
        <v>0.92</v>
      </c>
    </row>
    <row r="125" spans="1:7" x14ac:dyDescent="0.25">
      <c r="A125" s="3">
        <v>45397</v>
      </c>
      <c r="B125" s="3">
        <v>45403</v>
      </c>
      <c r="C125" t="s">
        <v>509</v>
      </c>
      <c r="D125">
        <f>COUNTIFS('Исходник — лиды'!$H$2:$H$4191,"&gt;="&amp;A125,'Исходник — лиды'!$H$2:$H$4191,"&lt;"&amp;B125+1)</f>
        <v>23</v>
      </c>
      <c r="E125">
        <f>COUNTIFS('Исходник — лиды'!$H$2:$H$4191,"&gt;="&amp;A125,'Исходник — лиды'!$H$2:$H$4191,"&lt;"&amp;B125+1,'Исходник — лиды'!$C$2:$C$4191,"Качественный лид")</f>
        <v>21</v>
      </c>
      <c r="F125">
        <v>152</v>
      </c>
      <c r="G125" s="4">
        <f t="shared" si="1"/>
        <v>0.91304347826086951</v>
      </c>
    </row>
    <row r="126" spans="1:7" x14ac:dyDescent="0.25">
      <c r="A126" s="3">
        <v>45404</v>
      </c>
      <c r="B126" s="3">
        <v>45410</v>
      </c>
      <c r="C126" t="s">
        <v>510</v>
      </c>
      <c r="D126">
        <f>COUNTIFS('Исходник — лиды'!$H$2:$H$4191,"&gt;="&amp;A126,'Исходник — лиды'!$H$2:$H$4191,"&lt;"&amp;B126+1)</f>
        <v>16</v>
      </c>
      <c r="E126">
        <f>COUNTIFS('Исходник — лиды'!$H$2:$H$4191,"&gt;="&amp;A126,'Исходник — лиды'!$H$2:$H$4191,"&lt;"&amp;B126+1,'Исходник — лиды'!$C$2:$C$4191,"Качественный лид")</f>
        <v>15</v>
      </c>
      <c r="F126">
        <v>134</v>
      </c>
      <c r="G126" s="4">
        <f t="shared" si="1"/>
        <v>0.9375</v>
      </c>
    </row>
    <row r="127" spans="1:7" x14ac:dyDescent="0.25">
      <c r="A127" s="3">
        <v>45411</v>
      </c>
      <c r="B127" s="3">
        <v>45417</v>
      </c>
      <c r="C127" t="s">
        <v>511</v>
      </c>
      <c r="D127">
        <f>COUNTIFS('Исходник — лиды'!$H$2:$H$4191,"&gt;="&amp;A127,'Исходник — лиды'!$H$2:$H$4191,"&lt;"&amp;B127+1)</f>
        <v>21</v>
      </c>
      <c r="E127">
        <f>COUNTIFS('Исходник — лиды'!$H$2:$H$4191,"&gt;="&amp;A127,'Исходник — лиды'!$H$2:$H$4191,"&lt;"&amp;B127+1,'Исходник — лиды'!$C$2:$C$4191,"Качественный лид")</f>
        <v>21</v>
      </c>
      <c r="F127">
        <v>119</v>
      </c>
      <c r="G127" s="4">
        <f t="shared" si="1"/>
        <v>1</v>
      </c>
    </row>
    <row r="128" spans="1:7" x14ac:dyDescent="0.25">
      <c r="A128" s="3">
        <v>45418</v>
      </c>
      <c r="B128" s="3">
        <v>45424</v>
      </c>
      <c r="C128" t="s">
        <v>512</v>
      </c>
      <c r="D128">
        <f>COUNTIFS('Исходник — лиды'!$H$2:$H$4191,"&gt;="&amp;A128,'Исходник — лиды'!$H$2:$H$4191,"&lt;"&amp;B128+1)</f>
        <v>22</v>
      </c>
      <c r="E128">
        <f>COUNTIFS('Исходник — лиды'!$H$2:$H$4191,"&gt;="&amp;A128,'Исходник — лиды'!$H$2:$H$4191,"&lt;"&amp;B128+1,'Исходник — лиды'!$C$2:$C$4191,"Качественный лид")</f>
        <v>22</v>
      </c>
      <c r="F128">
        <v>101</v>
      </c>
      <c r="G128" s="4">
        <f t="shared" si="1"/>
        <v>1</v>
      </c>
    </row>
    <row r="129" spans="1:7" x14ac:dyDescent="0.25">
      <c r="A129" s="3">
        <v>45425</v>
      </c>
      <c r="B129" s="3">
        <v>45431</v>
      </c>
      <c r="C129" t="s">
        <v>513</v>
      </c>
      <c r="D129">
        <f>COUNTIFS('Исходник — лиды'!$H$2:$H$4191,"&gt;="&amp;A129,'Исходник — лиды'!$H$2:$H$4191,"&lt;"&amp;B129+1)</f>
        <v>22</v>
      </c>
      <c r="E129">
        <f>COUNTIFS('Исходник — лиды'!$H$2:$H$4191,"&gt;="&amp;A129,'Исходник — лиды'!$H$2:$H$4191,"&lt;"&amp;B129+1,'Исходник — лиды'!$C$2:$C$4191,"Качественный лид")</f>
        <v>21</v>
      </c>
      <c r="F129">
        <v>110</v>
      </c>
      <c r="G129" s="4">
        <f t="shared" si="1"/>
        <v>0.95454545454545459</v>
      </c>
    </row>
    <row r="130" spans="1:7" x14ac:dyDescent="0.25">
      <c r="A130" s="3">
        <v>45432</v>
      </c>
      <c r="B130" s="3">
        <v>45438</v>
      </c>
      <c r="C130" t="s">
        <v>514</v>
      </c>
      <c r="D130">
        <f>COUNTIFS('Исходник — лиды'!$H$2:$H$4191,"&gt;="&amp;A130,'Исходник — лиды'!$H$2:$H$4191,"&lt;"&amp;B130+1)</f>
        <v>33</v>
      </c>
      <c r="E130">
        <f>COUNTIFS('Исходник — лиды'!$H$2:$H$4191,"&gt;="&amp;A130,'Исходник — лиды'!$H$2:$H$4191,"&lt;"&amp;B130+1,'Исходник — лиды'!$C$2:$C$4191,"Качественный лид")</f>
        <v>32</v>
      </c>
      <c r="F130">
        <v>177</v>
      </c>
      <c r="G130" s="4">
        <f t="shared" si="1"/>
        <v>0.96969696969696972</v>
      </c>
    </row>
    <row r="131" spans="1:7" x14ac:dyDescent="0.25">
      <c r="A131" s="3">
        <v>45439</v>
      </c>
      <c r="B131" s="3">
        <v>45445</v>
      </c>
      <c r="C131" t="s">
        <v>515</v>
      </c>
      <c r="D131">
        <f>COUNTIFS('Исходник — лиды'!$H$2:$H$4191,"&gt;="&amp;A131,'Исходник — лиды'!$H$2:$H$4191,"&lt;"&amp;B131+1)</f>
        <v>19</v>
      </c>
      <c r="E131">
        <f>COUNTIFS('Исходник — лиды'!$H$2:$H$4191,"&gt;="&amp;A131,'Исходник — лиды'!$H$2:$H$4191,"&lt;"&amp;B131+1,'Исходник — лиды'!$C$2:$C$4191,"Качественный лид")</f>
        <v>17</v>
      </c>
      <c r="F131">
        <v>124</v>
      </c>
      <c r="G131" s="4">
        <f t="shared" si="1"/>
        <v>0.89473684210526316</v>
      </c>
    </row>
    <row r="132" spans="1:7" x14ac:dyDescent="0.25">
      <c r="A132" s="3">
        <v>45446</v>
      </c>
      <c r="B132" s="3">
        <v>45452</v>
      </c>
      <c r="C132" t="s">
        <v>516</v>
      </c>
      <c r="D132">
        <f>COUNTIFS('Исходник — лиды'!$H$2:$H$4191,"&gt;="&amp;A132,'Исходник — лиды'!$H$2:$H$4191,"&lt;"&amp;B132+1)</f>
        <v>25</v>
      </c>
      <c r="E132">
        <f>COUNTIFS('Исходник — лиды'!$H$2:$H$4191,"&gt;="&amp;A132,'Исходник — лиды'!$H$2:$H$4191,"&lt;"&amp;B132+1,'Исходник — лиды'!$C$2:$C$4191,"Качественный лид")</f>
        <v>22</v>
      </c>
      <c r="F132">
        <v>104</v>
      </c>
      <c r="G132" s="4">
        <f t="shared" si="1"/>
        <v>0.88</v>
      </c>
    </row>
    <row r="133" spans="1:7" x14ac:dyDescent="0.25">
      <c r="A133" s="3">
        <v>45453</v>
      </c>
      <c r="B133" s="3">
        <v>45459</v>
      </c>
      <c r="C133" t="s">
        <v>517</v>
      </c>
      <c r="D133">
        <f>COUNTIFS('Исходник — лиды'!$H$2:$H$4191,"&gt;="&amp;A133,'Исходник — лиды'!$H$2:$H$4191,"&lt;"&amp;B133+1)</f>
        <v>27</v>
      </c>
      <c r="E133">
        <f>COUNTIFS('Исходник — лиды'!$H$2:$H$4191,"&gt;="&amp;A133,'Исходник — лиды'!$H$2:$H$4191,"&lt;"&amp;B133+1,'Исходник — лиды'!$C$2:$C$4191,"Качественный лид")</f>
        <v>24</v>
      </c>
      <c r="F133">
        <v>145</v>
      </c>
      <c r="G133" s="4">
        <f t="shared" ref="G133:G196" si="2">IFERROR(E133/D133,0)</f>
        <v>0.88888888888888884</v>
      </c>
    </row>
    <row r="134" spans="1:7" x14ac:dyDescent="0.25">
      <c r="A134" s="3">
        <v>45460</v>
      </c>
      <c r="B134" s="3">
        <v>45466</v>
      </c>
      <c r="C134" t="s">
        <v>518</v>
      </c>
      <c r="D134">
        <f>COUNTIFS('Исходник — лиды'!$H$2:$H$4191,"&gt;="&amp;A134,'Исходник — лиды'!$H$2:$H$4191,"&lt;"&amp;B134+1)</f>
        <v>10</v>
      </c>
      <c r="E134">
        <f>COUNTIFS('Исходник — лиды'!$H$2:$H$4191,"&gt;="&amp;A134,'Исходник — лиды'!$H$2:$H$4191,"&lt;"&amp;B134+1,'Исходник — лиды'!$C$2:$C$4191,"Качественный лид")</f>
        <v>10</v>
      </c>
      <c r="F134">
        <v>122</v>
      </c>
      <c r="G134" s="4">
        <f t="shared" si="2"/>
        <v>1</v>
      </c>
    </row>
    <row r="135" spans="1:7" x14ac:dyDescent="0.25">
      <c r="A135" s="3">
        <v>45467</v>
      </c>
      <c r="B135" s="3">
        <v>45473</v>
      </c>
      <c r="C135" t="s">
        <v>519</v>
      </c>
      <c r="D135">
        <f>COUNTIFS('Исходник — лиды'!$H$2:$H$4191,"&gt;="&amp;A135,'Исходник — лиды'!$H$2:$H$4191,"&lt;"&amp;B135+1)</f>
        <v>23</v>
      </c>
      <c r="E135">
        <f>COUNTIFS('Исходник — лиды'!$H$2:$H$4191,"&gt;="&amp;A135,'Исходник — лиды'!$H$2:$H$4191,"&lt;"&amp;B135+1,'Исходник — лиды'!$C$2:$C$4191,"Качественный лид")</f>
        <v>21</v>
      </c>
      <c r="F135">
        <v>97</v>
      </c>
      <c r="G135" s="4">
        <f t="shared" si="2"/>
        <v>0.91304347826086951</v>
      </c>
    </row>
    <row r="136" spans="1:7" x14ac:dyDescent="0.25">
      <c r="A136" s="3">
        <v>45474</v>
      </c>
      <c r="B136" s="3">
        <v>45480</v>
      </c>
      <c r="C136" t="s">
        <v>520</v>
      </c>
      <c r="D136">
        <f>COUNTIFS('Исходник — лиды'!$H$2:$H$4191,"&gt;="&amp;A136,'Исходник — лиды'!$H$2:$H$4191,"&lt;"&amp;B136+1)</f>
        <v>27</v>
      </c>
      <c r="E136">
        <f>COUNTIFS('Исходник — лиды'!$H$2:$H$4191,"&gt;="&amp;A136,'Исходник — лиды'!$H$2:$H$4191,"&lt;"&amp;B136+1,'Исходник — лиды'!$C$2:$C$4191,"Качественный лид")</f>
        <v>26</v>
      </c>
      <c r="F136">
        <v>112</v>
      </c>
      <c r="G136" s="4">
        <f t="shared" si="2"/>
        <v>0.96296296296296291</v>
      </c>
    </row>
    <row r="137" spans="1:7" x14ac:dyDescent="0.25">
      <c r="A137" s="3">
        <v>45481</v>
      </c>
      <c r="B137" s="3">
        <v>45487</v>
      </c>
      <c r="C137" t="s">
        <v>521</v>
      </c>
      <c r="D137">
        <f>COUNTIFS('Исходник — лиды'!$H$2:$H$4191,"&gt;="&amp;A137,'Исходник — лиды'!$H$2:$H$4191,"&lt;"&amp;B137+1)</f>
        <v>28</v>
      </c>
      <c r="E137">
        <f>COUNTIFS('Исходник — лиды'!$H$2:$H$4191,"&gt;="&amp;A137,'Исходник — лиды'!$H$2:$H$4191,"&lt;"&amp;B137+1,'Исходник — лиды'!$C$2:$C$4191,"Качественный лид")</f>
        <v>27</v>
      </c>
      <c r="F137">
        <v>137</v>
      </c>
      <c r="G137" s="4">
        <f t="shared" si="2"/>
        <v>0.9642857142857143</v>
      </c>
    </row>
    <row r="138" spans="1:7" x14ac:dyDescent="0.25">
      <c r="A138" s="3">
        <v>45488</v>
      </c>
      <c r="B138" s="3">
        <v>45494</v>
      </c>
      <c r="C138" t="s">
        <v>522</v>
      </c>
      <c r="D138">
        <f>COUNTIFS('Исходник — лиды'!$H$2:$H$4191,"&gt;="&amp;A138,'Исходник — лиды'!$H$2:$H$4191,"&lt;"&amp;B138+1)</f>
        <v>21</v>
      </c>
      <c r="E138">
        <f>COUNTIFS('Исходник — лиды'!$H$2:$H$4191,"&gt;="&amp;A138,'Исходник — лиды'!$H$2:$H$4191,"&lt;"&amp;B138+1,'Исходник — лиды'!$C$2:$C$4191,"Качественный лид")</f>
        <v>18</v>
      </c>
      <c r="F138">
        <v>147</v>
      </c>
      <c r="G138" s="4">
        <f t="shared" si="2"/>
        <v>0.8571428571428571</v>
      </c>
    </row>
    <row r="139" spans="1:7" x14ac:dyDescent="0.25">
      <c r="A139" s="3">
        <v>45495</v>
      </c>
      <c r="B139" s="3">
        <v>45501</v>
      </c>
      <c r="C139" t="s">
        <v>523</v>
      </c>
      <c r="D139">
        <f>COUNTIFS('Исходник — лиды'!$H$2:$H$4191,"&gt;="&amp;A139,'Исходник — лиды'!$H$2:$H$4191,"&lt;"&amp;B139+1)</f>
        <v>18</v>
      </c>
      <c r="E139">
        <f>COUNTIFS('Исходник — лиды'!$H$2:$H$4191,"&gt;="&amp;A139,'Исходник — лиды'!$H$2:$H$4191,"&lt;"&amp;B139+1,'Исходник — лиды'!$C$2:$C$4191,"Качественный лид")</f>
        <v>18</v>
      </c>
      <c r="F139">
        <v>121</v>
      </c>
      <c r="G139" s="4">
        <f t="shared" si="2"/>
        <v>1</v>
      </c>
    </row>
    <row r="140" spans="1:7" x14ac:dyDescent="0.25">
      <c r="A140" s="3">
        <v>45502</v>
      </c>
      <c r="B140" s="3">
        <v>45508</v>
      </c>
      <c r="C140" t="s">
        <v>524</v>
      </c>
      <c r="D140">
        <f>COUNTIFS('Исходник — лиды'!$H$2:$H$4191,"&gt;="&amp;A140,'Исходник — лиды'!$H$2:$H$4191,"&lt;"&amp;B140+1)</f>
        <v>29</v>
      </c>
      <c r="E140">
        <f>COUNTIFS('Исходник — лиды'!$H$2:$H$4191,"&gt;="&amp;A140,'Исходник — лиды'!$H$2:$H$4191,"&lt;"&amp;B140+1,'Исходник — лиды'!$C$2:$C$4191,"Качественный лид")</f>
        <v>26</v>
      </c>
      <c r="F140">
        <v>161</v>
      </c>
      <c r="G140" s="4">
        <f t="shared" si="2"/>
        <v>0.89655172413793105</v>
      </c>
    </row>
    <row r="141" spans="1:7" x14ac:dyDescent="0.25">
      <c r="A141" s="3">
        <v>45509</v>
      </c>
      <c r="B141" s="3">
        <v>45515</v>
      </c>
      <c r="C141" t="s">
        <v>525</v>
      </c>
      <c r="D141">
        <f>COUNTIFS('Исходник — лиды'!$H$2:$H$4191,"&gt;="&amp;A141,'Исходник — лиды'!$H$2:$H$4191,"&lt;"&amp;B141+1)</f>
        <v>22</v>
      </c>
      <c r="E141">
        <f>COUNTIFS('Исходник — лиды'!$H$2:$H$4191,"&gt;="&amp;A141,'Исходник — лиды'!$H$2:$H$4191,"&lt;"&amp;B141+1,'Исходник — лиды'!$C$2:$C$4191,"Качественный лид")</f>
        <v>21</v>
      </c>
      <c r="F141">
        <v>113</v>
      </c>
      <c r="G141" s="4">
        <f t="shared" si="2"/>
        <v>0.95454545454545459</v>
      </c>
    </row>
    <row r="142" spans="1:7" x14ac:dyDescent="0.25">
      <c r="A142" s="3">
        <v>45516</v>
      </c>
      <c r="B142" s="3">
        <v>45522</v>
      </c>
      <c r="C142" t="s">
        <v>526</v>
      </c>
      <c r="D142">
        <f>COUNTIFS('Исходник — лиды'!$H$2:$H$4191,"&gt;="&amp;A142,'Исходник — лиды'!$H$2:$H$4191,"&lt;"&amp;B142+1)</f>
        <v>19</v>
      </c>
      <c r="E142">
        <f>COUNTIFS('Исходник — лиды'!$H$2:$H$4191,"&gt;="&amp;A142,'Исходник — лиды'!$H$2:$H$4191,"&lt;"&amp;B142+1,'Исходник — лиды'!$C$2:$C$4191,"Качественный лид")</f>
        <v>19</v>
      </c>
      <c r="F142">
        <v>127</v>
      </c>
      <c r="G142" s="4">
        <f t="shared" si="2"/>
        <v>1</v>
      </c>
    </row>
    <row r="143" spans="1:7" x14ac:dyDescent="0.25">
      <c r="A143" s="3">
        <v>45523</v>
      </c>
      <c r="B143" s="3">
        <v>45529</v>
      </c>
      <c r="C143" t="s">
        <v>527</v>
      </c>
      <c r="D143">
        <f>COUNTIFS('Исходник — лиды'!$H$2:$H$4191,"&gt;="&amp;A143,'Исходник — лиды'!$H$2:$H$4191,"&lt;"&amp;B143+1)</f>
        <v>22</v>
      </c>
      <c r="E143">
        <f>COUNTIFS('Исходник — лиды'!$H$2:$H$4191,"&gt;="&amp;A143,'Исходник — лиды'!$H$2:$H$4191,"&lt;"&amp;B143+1,'Исходник — лиды'!$C$2:$C$4191,"Качественный лид")</f>
        <v>20</v>
      </c>
      <c r="F143">
        <v>109</v>
      </c>
      <c r="G143" s="4">
        <f t="shared" si="2"/>
        <v>0.90909090909090906</v>
      </c>
    </row>
    <row r="144" spans="1:7" x14ac:dyDescent="0.25">
      <c r="A144" s="3">
        <v>45530</v>
      </c>
      <c r="B144" s="3">
        <v>45536</v>
      </c>
      <c r="C144" t="s">
        <v>528</v>
      </c>
      <c r="D144">
        <f>COUNTIFS('Исходник — лиды'!$H$2:$H$4191,"&gt;="&amp;A144,'Исходник — лиды'!$H$2:$H$4191,"&lt;"&amp;B144+1)</f>
        <v>20</v>
      </c>
      <c r="E144">
        <f>COUNTIFS('Исходник — лиды'!$H$2:$H$4191,"&gt;="&amp;A144,'Исходник — лиды'!$H$2:$H$4191,"&lt;"&amp;B144+1,'Исходник — лиды'!$C$2:$C$4191,"Качественный лид")</f>
        <v>17</v>
      </c>
      <c r="F144">
        <v>142</v>
      </c>
      <c r="G144" s="4">
        <f t="shared" si="2"/>
        <v>0.85</v>
      </c>
    </row>
    <row r="145" spans="1:7" x14ac:dyDescent="0.25">
      <c r="A145" s="3">
        <v>45537</v>
      </c>
      <c r="B145" s="3">
        <v>45543</v>
      </c>
      <c r="C145" t="s">
        <v>529</v>
      </c>
      <c r="D145">
        <f>COUNTIFS('Исходник — лиды'!$H$2:$H$4191,"&gt;="&amp;A145,'Исходник — лиды'!$H$2:$H$4191,"&lt;"&amp;B145+1)</f>
        <v>24</v>
      </c>
      <c r="E145">
        <f>COUNTIFS('Исходник — лиды'!$H$2:$H$4191,"&gt;="&amp;A145,'Исходник — лиды'!$H$2:$H$4191,"&lt;"&amp;B145+1,'Исходник — лиды'!$C$2:$C$4191,"Качественный лид")</f>
        <v>23</v>
      </c>
      <c r="F145">
        <v>77</v>
      </c>
      <c r="G145" s="4">
        <f t="shared" si="2"/>
        <v>0.95833333333333337</v>
      </c>
    </row>
    <row r="146" spans="1:7" x14ac:dyDescent="0.25">
      <c r="A146" s="3">
        <v>45544</v>
      </c>
      <c r="B146" s="3">
        <v>45550</v>
      </c>
      <c r="C146" t="s">
        <v>530</v>
      </c>
      <c r="D146">
        <f>COUNTIFS('Исходник — лиды'!$H$2:$H$4191,"&gt;="&amp;A146,'Исходник — лиды'!$H$2:$H$4191,"&lt;"&amp;B146+1)</f>
        <v>17</v>
      </c>
      <c r="E146">
        <f>COUNTIFS('Исходник — лиды'!$H$2:$H$4191,"&gt;="&amp;A146,'Исходник — лиды'!$H$2:$H$4191,"&lt;"&amp;B146+1,'Исходник — лиды'!$C$2:$C$4191,"Качественный лид")</f>
        <v>17</v>
      </c>
      <c r="F146">
        <v>103</v>
      </c>
      <c r="G146" s="4">
        <f t="shared" si="2"/>
        <v>1</v>
      </c>
    </row>
    <row r="147" spans="1:7" x14ac:dyDescent="0.25">
      <c r="A147" s="3">
        <v>45551</v>
      </c>
      <c r="B147" s="3">
        <v>45557</v>
      </c>
      <c r="C147" t="s">
        <v>531</v>
      </c>
      <c r="D147">
        <f>COUNTIFS('Исходник — лиды'!$H$2:$H$4191,"&gt;="&amp;A147,'Исходник — лиды'!$H$2:$H$4191,"&lt;"&amp;B147+1)</f>
        <v>19</v>
      </c>
      <c r="E147">
        <f>COUNTIFS('Исходник — лиды'!$H$2:$H$4191,"&gt;="&amp;A147,'Исходник — лиды'!$H$2:$H$4191,"&lt;"&amp;B147+1,'Исходник — лиды'!$C$2:$C$4191,"Качественный лид")</f>
        <v>18</v>
      </c>
      <c r="F147">
        <v>153</v>
      </c>
      <c r="G147" s="4">
        <f t="shared" si="2"/>
        <v>0.94736842105263153</v>
      </c>
    </row>
    <row r="148" spans="1:7" x14ac:dyDescent="0.25">
      <c r="A148" s="3">
        <v>45558</v>
      </c>
      <c r="B148" s="3">
        <v>45564</v>
      </c>
      <c r="C148" t="s">
        <v>532</v>
      </c>
      <c r="D148">
        <f>COUNTIFS('Исходник — лиды'!$H$2:$H$4191,"&gt;="&amp;A148,'Исходник — лиды'!$H$2:$H$4191,"&lt;"&amp;B148+1)</f>
        <v>17</v>
      </c>
      <c r="E148">
        <f>COUNTIFS('Исходник — лиды'!$H$2:$H$4191,"&gt;="&amp;A148,'Исходник — лиды'!$H$2:$H$4191,"&lt;"&amp;B148+1,'Исходник — лиды'!$C$2:$C$4191,"Качественный лид")</f>
        <v>15</v>
      </c>
      <c r="F148">
        <v>122</v>
      </c>
      <c r="G148" s="4">
        <f t="shared" si="2"/>
        <v>0.88235294117647056</v>
      </c>
    </row>
    <row r="149" spans="1:7" x14ac:dyDescent="0.25">
      <c r="A149" s="3">
        <v>45565</v>
      </c>
      <c r="B149" s="3">
        <v>45571</v>
      </c>
      <c r="C149" t="s">
        <v>533</v>
      </c>
      <c r="D149">
        <f>COUNTIFS('Исходник — лиды'!$H$2:$H$4191,"&gt;="&amp;A149,'Исходник — лиды'!$H$2:$H$4191,"&lt;"&amp;B149+1)</f>
        <v>19</v>
      </c>
      <c r="E149">
        <f>COUNTIFS('Исходник — лиды'!$H$2:$H$4191,"&gt;="&amp;A149,'Исходник — лиды'!$H$2:$H$4191,"&lt;"&amp;B149+1,'Исходник — лиды'!$C$2:$C$4191,"Качественный лид")</f>
        <v>16</v>
      </c>
      <c r="F149">
        <v>140</v>
      </c>
      <c r="G149" s="4">
        <f t="shared" si="2"/>
        <v>0.84210526315789469</v>
      </c>
    </row>
    <row r="150" spans="1:7" x14ac:dyDescent="0.25">
      <c r="A150" s="3">
        <v>45572</v>
      </c>
      <c r="B150" s="3">
        <v>45578</v>
      </c>
      <c r="C150" t="s">
        <v>534</v>
      </c>
      <c r="D150">
        <f>COUNTIFS('Исходник — лиды'!$H$2:$H$4191,"&gt;="&amp;A150,'Исходник — лиды'!$H$2:$H$4191,"&lt;"&amp;B150+1)</f>
        <v>17</v>
      </c>
      <c r="E150">
        <f>COUNTIFS('Исходник — лиды'!$H$2:$H$4191,"&gt;="&amp;A150,'Исходник — лиды'!$H$2:$H$4191,"&lt;"&amp;B150+1,'Исходник — лиды'!$C$2:$C$4191,"Качественный лид")</f>
        <v>17</v>
      </c>
      <c r="F150">
        <v>158</v>
      </c>
      <c r="G150" s="4">
        <f t="shared" si="2"/>
        <v>1</v>
      </c>
    </row>
    <row r="151" spans="1:7" x14ac:dyDescent="0.25">
      <c r="A151" s="3">
        <v>45579</v>
      </c>
      <c r="B151" s="3">
        <v>45585</v>
      </c>
      <c r="C151" t="s">
        <v>535</v>
      </c>
      <c r="D151">
        <f>COUNTIFS('Исходник — лиды'!$H$2:$H$4191,"&gt;="&amp;A151,'Исходник — лиды'!$H$2:$H$4191,"&lt;"&amp;B151+1)</f>
        <v>22</v>
      </c>
      <c r="E151">
        <f>COUNTIFS('Исходник — лиды'!$H$2:$H$4191,"&gt;="&amp;A151,'Исходник — лиды'!$H$2:$H$4191,"&lt;"&amp;B151+1,'Исходник — лиды'!$C$2:$C$4191,"Качественный лид")</f>
        <v>20</v>
      </c>
      <c r="F151">
        <v>104</v>
      </c>
      <c r="G151" s="4">
        <f t="shared" si="2"/>
        <v>0.90909090909090906</v>
      </c>
    </row>
    <row r="152" spans="1:7" x14ac:dyDescent="0.25">
      <c r="A152" s="3">
        <v>45586</v>
      </c>
      <c r="B152" s="3">
        <v>45592</v>
      </c>
      <c r="C152" t="s">
        <v>536</v>
      </c>
      <c r="D152">
        <f>COUNTIFS('Исходник — лиды'!$H$2:$H$4191,"&gt;="&amp;A152,'Исходник — лиды'!$H$2:$H$4191,"&lt;"&amp;B152+1)</f>
        <v>17</v>
      </c>
      <c r="E152">
        <f>COUNTIFS('Исходник — лиды'!$H$2:$H$4191,"&gt;="&amp;A152,'Исходник — лиды'!$H$2:$H$4191,"&lt;"&amp;B152+1,'Исходник — лиды'!$C$2:$C$4191,"Качественный лид")</f>
        <v>16</v>
      </c>
      <c r="F152">
        <v>112</v>
      </c>
      <c r="G152" s="4">
        <f t="shared" si="2"/>
        <v>0.94117647058823528</v>
      </c>
    </row>
    <row r="153" spans="1:7" x14ac:dyDescent="0.25">
      <c r="A153" s="3">
        <v>45593</v>
      </c>
      <c r="B153" s="3">
        <v>45599</v>
      </c>
      <c r="C153" t="s">
        <v>537</v>
      </c>
      <c r="D153">
        <f>COUNTIFS('Исходник — лиды'!$H$2:$H$4191,"&gt;="&amp;A153,'Исходник — лиды'!$H$2:$H$4191,"&lt;"&amp;B153+1)</f>
        <v>16</v>
      </c>
      <c r="E153">
        <f>COUNTIFS('Исходник — лиды'!$H$2:$H$4191,"&gt;="&amp;A153,'Исходник — лиды'!$H$2:$H$4191,"&lt;"&amp;B153+1,'Исходник — лиды'!$C$2:$C$4191,"Качественный лид")</f>
        <v>16</v>
      </c>
      <c r="F153">
        <v>124</v>
      </c>
      <c r="G153" s="4">
        <f t="shared" si="2"/>
        <v>1</v>
      </c>
    </row>
    <row r="154" spans="1:7" x14ac:dyDescent="0.25">
      <c r="A154" s="3">
        <v>45600</v>
      </c>
      <c r="B154" s="3">
        <v>45606</v>
      </c>
      <c r="C154" t="s">
        <v>538</v>
      </c>
      <c r="D154">
        <f>COUNTIFS('Исходник — лиды'!$H$2:$H$4191,"&gt;="&amp;A154,'Исходник — лиды'!$H$2:$H$4191,"&lt;"&amp;B154+1)</f>
        <v>17</v>
      </c>
      <c r="E154">
        <f>COUNTIFS('Исходник — лиды'!$H$2:$H$4191,"&gt;="&amp;A154,'Исходник — лиды'!$H$2:$H$4191,"&lt;"&amp;B154+1,'Исходник — лиды'!$C$2:$C$4191,"Качественный лид")</f>
        <v>15</v>
      </c>
      <c r="F154">
        <v>91</v>
      </c>
      <c r="G154" s="4">
        <f t="shared" si="2"/>
        <v>0.88235294117647056</v>
      </c>
    </row>
    <row r="155" spans="1:7" x14ac:dyDescent="0.25">
      <c r="A155" s="3">
        <v>45607</v>
      </c>
      <c r="B155" s="3">
        <v>45613</v>
      </c>
      <c r="C155" t="s">
        <v>539</v>
      </c>
      <c r="D155">
        <f>COUNTIFS('Исходник — лиды'!$H$2:$H$4191,"&gt;="&amp;A155,'Исходник — лиды'!$H$2:$H$4191,"&lt;"&amp;B155+1)</f>
        <v>16</v>
      </c>
      <c r="E155">
        <f>COUNTIFS('Исходник — лиды'!$H$2:$H$4191,"&gt;="&amp;A155,'Исходник — лиды'!$H$2:$H$4191,"&lt;"&amp;B155+1,'Исходник — лиды'!$C$2:$C$4191,"Качественный лид")</f>
        <v>15</v>
      </c>
      <c r="F155">
        <v>67</v>
      </c>
      <c r="G155" s="4">
        <f t="shared" si="2"/>
        <v>0.9375</v>
      </c>
    </row>
    <row r="156" spans="1:7" x14ac:dyDescent="0.25">
      <c r="A156" s="3">
        <v>45614</v>
      </c>
      <c r="B156" s="3">
        <v>45620</v>
      </c>
      <c r="C156" t="s">
        <v>540</v>
      </c>
      <c r="D156">
        <f>COUNTIFS('Исходник — лиды'!$H$2:$H$4191,"&gt;="&amp;A156,'Исходник — лиды'!$H$2:$H$4191,"&lt;"&amp;B156+1)</f>
        <v>6</v>
      </c>
      <c r="E156">
        <f>COUNTIFS('Исходник — лиды'!$H$2:$H$4191,"&gt;="&amp;A156,'Исходник — лиды'!$H$2:$H$4191,"&lt;"&amp;B156+1,'Исходник — лиды'!$C$2:$C$4191,"Качественный лид")</f>
        <v>6</v>
      </c>
      <c r="F156">
        <v>74</v>
      </c>
      <c r="G156" s="4">
        <f t="shared" si="2"/>
        <v>1</v>
      </c>
    </row>
    <row r="157" spans="1:7" x14ac:dyDescent="0.25">
      <c r="A157" s="3">
        <v>45621</v>
      </c>
      <c r="B157" s="3">
        <v>45627</v>
      </c>
      <c r="C157" t="s">
        <v>541</v>
      </c>
      <c r="D157">
        <f>COUNTIFS('Исходник — лиды'!$H$2:$H$4191,"&gt;="&amp;A157,'Исходник — лиды'!$H$2:$H$4191,"&lt;"&amp;B157+1)</f>
        <v>18</v>
      </c>
      <c r="E157">
        <f>COUNTIFS('Исходник — лиды'!$H$2:$H$4191,"&gt;="&amp;A157,'Исходник — лиды'!$H$2:$H$4191,"&lt;"&amp;B157+1,'Исходник — лиды'!$C$2:$C$4191,"Качественный лид")</f>
        <v>17</v>
      </c>
      <c r="F157">
        <v>93</v>
      </c>
      <c r="G157" s="4">
        <f t="shared" si="2"/>
        <v>0.94444444444444442</v>
      </c>
    </row>
    <row r="158" spans="1:7" x14ac:dyDescent="0.25">
      <c r="A158" s="3">
        <v>45628</v>
      </c>
      <c r="B158" s="3">
        <v>45634</v>
      </c>
      <c r="C158" t="s">
        <v>542</v>
      </c>
      <c r="D158">
        <f>COUNTIFS('Исходник — лиды'!$H$2:$H$4191,"&gt;="&amp;A158,'Исходник — лиды'!$H$2:$H$4191,"&lt;"&amp;B158+1)</f>
        <v>12</v>
      </c>
      <c r="E158">
        <f>COUNTIFS('Исходник — лиды'!$H$2:$H$4191,"&gt;="&amp;A158,'Исходник — лиды'!$H$2:$H$4191,"&lt;"&amp;B158+1,'Исходник — лиды'!$C$2:$C$4191,"Качественный лид")</f>
        <v>12</v>
      </c>
      <c r="F158">
        <v>111</v>
      </c>
      <c r="G158" s="4">
        <f t="shared" si="2"/>
        <v>1</v>
      </c>
    </row>
    <row r="159" spans="1:7" x14ac:dyDescent="0.25">
      <c r="A159" s="3">
        <v>45635</v>
      </c>
      <c r="B159" s="3">
        <v>45641</v>
      </c>
      <c r="C159" t="s">
        <v>543</v>
      </c>
      <c r="D159">
        <f>COUNTIFS('Исходник — лиды'!$H$2:$H$4191,"&gt;="&amp;A159,'Исходник — лиды'!$H$2:$H$4191,"&lt;"&amp;B159+1)</f>
        <v>14</v>
      </c>
      <c r="E159">
        <f>COUNTIFS('Исходник — лиды'!$H$2:$H$4191,"&gt;="&amp;A159,'Исходник — лиды'!$H$2:$H$4191,"&lt;"&amp;B159+1,'Исходник — лиды'!$C$2:$C$4191,"Качественный лид")</f>
        <v>14</v>
      </c>
      <c r="F159">
        <v>76</v>
      </c>
      <c r="G159" s="4">
        <f t="shared" si="2"/>
        <v>1</v>
      </c>
    </row>
    <row r="160" spans="1:7" x14ac:dyDescent="0.25">
      <c r="A160" s="3">
        <v>45642</v>
      </c>
      <c r="B160" s="3">
        <v>45648</v>
      </c>
      <c r="C160" t="s">
        <v>544</v>
      </c>
      <c r="D160">
        <f>COUNTIFS('Исходник — лиды'!$H$2:$H$4191,"&gt;="&amp;A160,'Исходник — лиды'!$H$2:$H$4191,"&lt;"&amp;B160+1)</f>
        <v>12</v>
      </c>
      <c r="E160">
        <f>COUNTIFS('Исходник — лиды'!$H$2:$H$4191,"&gt;="&amp;A160,'Исходник — лиды'!$H$2:$H$4191,"&lt;"&amp;B160+1,'Исходник — лиды'!$C$2:$C$4191,"Качественный лид")</f>
        <v>11</v>
      </c>
      <c r="F160">
        <v>122</v>
      </c>
      <c r="G160" s="4">
        <f t="shared" si="2"/>
        <v>0.91666666666666663</v>
      </c>
    </row>
    <row r="161" spans="1:7" x14ac:dyDescent="0.25">
      <c r="A161" s="3">
        <v>45649</v>
      </c>
      <c r="B161" s="3">
        <v>45655</v>
      </c>
      <c r="C161" t="s">
        <v>545</v>
      </c>
      <c r="D161">
        <f>COUNTIFS('Исходник — лиды'!$H$2:$H$4191,"&gt;="&amp;A161,'Исходник — лиды'!$H$2:$H$4191,"&lt;"&amp;B161+1)</f>
        <v>15</v>
      </c>
      <c r="E161">
        <f>COUNTIFS('Исходник — лиды'!$H$2:$H$4191,"&gt;="&amp;A161,'Исходник — лиды'!$H$2:$H$4191,"&lt;"&amp;B161+1,'Исходник — лиды'!$C$2:$C$4191,"Качественный лид")</f>
        <v>14</v>
      </c>
      <c r="F161">
        <v>58</v>
      </c>
      <c r="G161" s="4">
        <f t="shared" si="2"/>
        <v>0.93333333333333335</v>
      </c>
    </row>
    <row r="162" spans="1:7" x14ac:dyDescent="0.25">
      <c r="A162" s="3">
        <v>45656</v>
      </c>
      <c r="B162" s="3">
        <v>45662</v>
      </c>
      <c r="C162" t="s">
        <v>546</v>
      </c>
      <c r="D162">
        <f>COUNTIFS('Исходник — лиды'!$H$2:$H$4191,"&gt;="&amp;A162,'Исходник — лиды'!$H$2:$H$4191,"&lt;"&amp;B162+1)</f>
        <v>10</v>
      </c>
      <c r="E162">
        <f>COUNTIFS('Исходник — лиды'!$H$2:$H$4191,"&gt;="&amp;A162,'Исходник — лиды'!$H$2:$H$4191,"&lt;"&amp;B162+1,'Исходник — лиды'!$C$2:$C$4191,"Качественный лид")</f>
        <v>10</v>
      </c>
      <c r="F162">
        <v>45</v>
      </c>
      <c r="G162" s="4">
        <f t="shared" si="2"/>
        <v>1</v>
      </c>
    </row>
    <row r="163" spans="1:7" x14ac:dyDescent="0.25">
      <c r="A163" s="3">
        <v>45663</v>
      </c>
      <c r="B163" s="3">
        <v>45669</v>
      </c>
      <c r="C163" t="s">
        <v>547</v>
      </c>
      <c r="D163">
        <f>COUNTIFS('Исходник — лиды'!$H$2:$H$4191,"&gt;="&amp;A163,'Исходник — лиды'!$H$2:$H$4191,"&lt;"&amp;B163+1)</f>
        <v>8</v>
      </c>
      <c r="E163">
        <f>COUNTIFS('Исходник — лиды'!$H$2:$H$4191,"&gt;="&amp;A163,'Исходник — лиды'!$H$2:$H$4191,"&lt;"&amp;B163+1,'Исходник — лиды'!$C$2:$C$4191,"Качественный лид")</f>
        <v>8</v>
      </c>
      <c r="F163">
        <v>123</v>
      </c>
      <c r="G163" s="4">
        <f t="shared" si="2"/>
        <v>1</v>
      </c>
    </row>
    <row r="164" spans="1:7" x14ac:dyDescent="0.25">
      <c r="A164" s="3">
        <v>45670</v>
      </c>
      <c r="B164" s="3">
        <v>45676</v>
      </c>
      <c r="C164" t="s">
        <v>548</v>
      </c>
      <c r="D164">
        <f>COUNTIFS('Исходник — лиды'!$H$2:$H$4191,"&gt;="&amp;A164,'Исходник — лиды'!$H$2:$H$4191,"&lt;"&amp;B164+1)</f>
        <v>18</v>
      </c>
      <c r="E164">
        <f>COUNTIFS('Исходник — лиды'!$H$2:$H$4191,"&gt;="&amp;A164,'Исходник — лиды'!$H$2:$H$4191,"&lt;"&amp;B164+1,'Исходник — лиды'!$C$2:$C$4191,"Качественный лид")</f>
        <v>17</v>
      </c>
      <c r="F164">
        <v>73</v>
      </c>
      <c r="G164" s="4">
        <f t="shared" si="2"/>
        <v>0.94444444444444442</v>
      </c>
    </row>
    <row r="165" spans="1:7" x14ac:dyDescent="0.25">
      <c r="A165" s="3">
        <v>45677</v>
      </c>
      <c r="B165" s="3">
        <v>45683</v>
      </c>
      <c r="C165" t="s">
        <v>549</v>
      </c>
      <c r="D165">
        <f>COUNTIFS('Исходник — лиды'!$H$2:$H$4191,"&gt;="&amp;A165,'Исходник — лиды'!$H$2:$H$4191,"&lt;"&amp;B165+1)</f>
        <v>13</v>
      </c>
      <c r="E165">
        <f>COUNTIFS('Исходник — лиды'!$H$2:$H$4191,"&gt;="&amp;A165,'Исходник — лиды'!$H$2:$H$4191,"&lt;"&amp;B165+1,'Исходник — лиды'!$C$2:$C$4191,"Качественный лид")</f>
        <v>13</v>
      </c>
      <c r="F165">
        <v>103</v>
      </c>
      <c r="G165" s="4">
        <f t="shared" si="2"/>
        <v>1</v>
      </c>
    </row>
    <row r="166" spans="1:7" x14ac:dyDescent="0.25">
      <c r="A166" s="3">
        <v>45684</v>
      </c>
      <c r="B166" s="3">
        <v>45690</v>
      </c>
      <c r="C166" t="s">
        <v>550</v>
      </c>
      <c r="D166">
        <f>COUNTIFS('Исходник — лиды'!$H$2:$H$4191,"&gt;="&amp;A166,'Исходник — лиды'!$H$2:$H$4191,"&lt;"&amp;B166+1)</f>
        <v>8</v>
      </c>
      <c r="E166">
        <f>COUNTIFS('Исходник — лиды'!$H$2:$H$4191,"&gt;="&amp;A166,'Исходник — лиды'!$H$2:$H$4191,"&lt;"&amp;B166+1,'Исходник — лиды'!$C$2:$C$4191,"Качественный лид")</f>
        <v>8</v>
      </c>
      <c r="F166">
        <v>109</v>
      </c>
      <c r="G166" s="4">
        <f t="shared" si="2"/>
        <v>1</v>
      </c>
    </row>
    <row r="167" spans="1:7" x14ac:dyDescent="0.25">
      <c r="A167" s="3">
        <v>45691</v>
      </c>
      <c r="B167" s="3">
        <v>45697</v>
      </c>
      <c r="C167" t="s">
        <v>551</v>
      </c>
      <c r="D167">
        <f>COUNTIFS('Исходник — лиды'!$H$2:$H$4191,"&gt;="&amp;A167,'Исходник — лиды'!$H$2:$H$4191,"&lt;"&amp;B167+1)</f>
        <v>11</v>
      </c>
      <c r="E167">
        <f>COUNTIFS('Исходник — лиды'!$H$2:$H$4191,"&gt;="&amp;A167,'Исходник — лиды'!$H$2:$H$4191,"&lt;"&amp;B167+1,'Исходник — лиды'!$C$2:$C$4191,"Качественный лид")</f>
        <v>11</v>
      </c>
      <c r="F167">
        <v>117</v>
      </c>
      <c r="G167" s="4">
        <f t="shared" si="2"/>
        <v>1</v>
      </c>
    </row>
    <row r="168" spans="1:7" x14ac:dyDescent="0.25">
      <c r="A168" s="3">
        <v>45698</v>
      </c>
      <c r="B168" s="3">
        <v>45704</v>
      </c>
      <c r="C168" t="s">
        <v>552</v>
      </c>
      <c r="D168">
        <f>COUNTIFS('Исходник — лиды'!$H$2:$H$4191,"&gt;="&amp;A168,'Исходник — лиды'!$H$2:$H$4191,"&lt;"&amp;B168+1)</f>
        <v>18</v>
      </c>
      <c r="E168">
        <f>COUNTIFS('Исходник — лиды'!$H$2:$H$4191,"&gt;="&amp;A168,'Исходник — лиды'!$H$2:$H$4191,"&lt;"&amp;B168+1,'Исходник — лиды'!$C$2:$C$4191,"Качественный лид")</f>
        <v>18</v>
      </c>
      <c r="F168">
        <v>159</v>
      </c>
      <c r="G168" s="4">
        <f t="shared" si="2"/>
        <v>1</v>
      </c>
    </row>
    <row r="169" spans="1:7" x14ac:dyDescent="0.25">
      <c r="A169" s="3">
        <v>45705</v>
      </c>
      <c r="B169" s="3">
        <v>45711</v>
      </c>
      <c r="C169" t="s">
        <v>553</v>
      </c>
      <c r="D169">
        <f>COUNTIFS('Исходник — лиды'!$H$2:$H$4191,"&gt;="&amp;A169,'Исходник — лиды'!$H$2:$H$4191,"&lt;"&amp;B169+1)</f>
        <v>8</v>
      </c>
      <c r="E169">
        <f>COUNTIFS('Исходник — лиды'!$H$2:$H$4191,"&gt;="&amp;A169,'Исходник — лиды'!$H$2:$H$4191,"&lt;"&amp;B169+1,'Исходник — лиды'!$C$2:$C$4191,"Качественный лид")</f>
        <v>8</v>
      </c>
      <c r="F169">
        <v>70</v>
      </c>
      <c r="G169" s="4">
        <f t="shared" si="2"/>
        <v>1</v>
      </c>
    </row>
    <row r="170" spans="1:7" x14ac:dyDescent="0.25">
      <c r="A170" s="3">
        <v>45712</v>
      </c>
      <c r="B170" s="3">
        <v>45718</v>
      </c>
      <c r="C170" t="s">
        <v>554</v>
      </c>
      <c r="D170">
        <f>COUNTIFS('Исходник — лиды'!$H$2:$H$4191,"&gt;="&amp;A170,'Исходник — лиды'!$H$2:$H$4191,"&lt;"&amp;B170+1)</f>
        <v>17</v>
      </c>
      <c r="E170">
        <f>COUNTIFS('Исходник — лиды'!$H$2:$H$4191,"&gt;="&amp;A170,'Исходник — лиды'!$H$2:$H$4191,"&lt;"&amp;B170+1,'Исходник — лиды'!$C$2:$C$4191,"Качественный лид")</f>
        <v>16</v>
      </c>
      <c r="F170">
        <v>109</v>
      </c>
      <c r="G170" s="4">
        <f t="shared" si="2"/>
        <v>0.94117647058823528</v>
      </c>
    </row>
    <row r="171" spans="1:7" x14ac:dyDescent="0.25">
      <c r="A171" s="3">
        <v>45719</v>
      </c>
      <c r="B171" s="3">
        <v>45725</v>
      </c>
      <c r="C171" t="s">
        <v>555</v>
      </c>
      <c r="D171">
        <f>COUNTIFS('Исходник — лиды'!$H$2:$H$4191,"&gt;="&amp;A171,'Исходник — лиды'!$H$2:$H$4191,"&lt;"&amp;B171+1)</f>
        <v>9</v>
      </c>
      <c r="E171">
        <f>COUNTIFS('Исходник — лиды'!$H$2:$H$4191,"&gt;="&amp;A171,'Исходник — лиды'!$H$2:$H$4191,"&lt;"&amp;B171+1,'Исходник — лиды'!$C$2:$C$4191,"Качественный лид")</f>
        <v>9</v>
      </c>
      <c r="F171">
        <v>70</v>
      </c>
      <c r="G171" s="4">
        <f t="shared" si="2"/>
        <v>1</v>
      </c>
    </row>
    <row r="172" spans="1:7" x14ac:dyDescent="0.25">
      <c r="A172" s="3">
        <v>45726</v>
      </c>
      <c r="B172" s="3">
        <v>45732</v>
      </c>
      <c r="C172" t="s">
        <v>556</v>
      </c>
      <c r="D172">
        <f>COUNTIFS('Исходник — лиды'!$H$2:$H$4191,"&gt;="&amp;A172,'Исходник — лиды'!$H$2:$H$4191,"&lt;"&amp;B172+1)</f>
        <v>14</v>
      </c>
      <c r="E172">
        <f>COUNTIFS('Исходник — лиды'!$H$2:$H$4191,"&gt;="&amp;A172,'Исходник — лиды'!$H$2:$H$4191,"&lt;"&amp;B172+1,'Исходник — лиды'!$C$2:$C$4191,"Качественный лид")</f>
        <v>14</v>
      </c>
      <c r="F172">
        <v>76</v>
      </c>
      <c r="G172" s="4">
        <f t="shared" si="2"/>
        <v>1</v>
      </c>
    </row>
    <row r="173" spans="1:7" x14ac:dyDescent="0.25">
      <c r="A173" s="3">
        <v>45733</v>
      </c>
      <c r="B173" s="3">
        <v>45739</v>
      </c>
      <c r="C173" t="s">
        <v>557</v>
      </c>
      <c r="D173">
        <f>COUNTIFS('Исходник — лиды'!$H$2:$H$4191,"&gt;="&amp;A173,'Исходник — лиды'!$H$2:$H$4191,"&lt;"&amp;B173+1)</f>
        <v>18</v>
      </c>
      <c r="E173">
        <f>COUNTIFS('Исходник — лиды'!$H$2:$H$4191,"&gt;="&amp;A173,'Исходник — лиды'!$H$2:$H$4191,"&lt;"&amp;B173+1,'Исходник — лиды'!$C$2:$C$4191,"Качественный лид")</f>
        <v>17</v>
      </c>
      <c r="F173">
        <v>152</v>
      </c>
      <c r="G173" s="4">
        <f t="shared" si="2"/>
        <v>0.94444444444444442</v>
      </c>
    </row>
    <row r="174" spans="1:7" x14ac:dyDescent="0.25">
      <c r="A174" s="3">
        <v>45740</v>
      </c>
      <c r="B174" s="3">
        <v>45746</v>
      </c>
      <c r="C174" t="s">
        <v>558</v>
      </c>
      <c r="D174">
        <f>COUNTIFS('Исходник — лиды'!$H$2:$H$4191,"&gt;="&amp;A174,'Исходник — лиды'!$H$2:$H$4191,"&lt;"&amp;B174+1)</f>
        <v>23</v>
      </c>
      <c r="E174">
        <f>COUNTIFS('Исходник — лиды'!$H$2:$H$4191,"&gt;="&amp;A174,'Исходник — лиды'!$H$2:$H$4191,"&lt;"&amp;B174+1,'Исходник — лиды'!$C$2:$C$4191,"Качественный лид")</f>
        <v>23</v>
      </c>
      <c r="F174">
        <v>191</v>
      </c>
      <c r="G174" s="4">
        <f t="shared" si="2"/>
        <v>1</v>
      </c>
    </row>
    <row r="175" spans="1:7" x14ac:dyDescent="0.25">
      <c r="A175" s="3">
        <v>45747</v>
      </c>
      <c r="B175" s="3">
        <v>45753</v>
      </c>
      <c r="C175" t="s">
        <v>559</v>
      </c>
      <c r="D175">
        <f>COUNTIFS('Исходник — лиды'!$H$2:$H$4191,"&gt;="&amp;A175,'Исходник — лиды'!$H$2:$H$4191,"&lt;"&amp;B175+1)</f>
        <v>15</v>
      </c>
      <c r="E175">
        <f>COUNTIFS('Исходник — лиды'!$H$2:$H$4191,"&gt;="&amp;A175,'Исходник — лиды'!$H$2:$H$4191,"&lt;"&amp;B175+1,'Исходник — лиды'!$C$2:$C$4191,"Качественный лид")</f>
        <v>15</v>
      </c>
      <c r="F175">
        <v>188</v>
      </c>
      <c r="G175" s="4">
        <f t="shared" si="2"/>
        <v>1</v>
      </c>
    </row>
    <row r="176" spans="1:7" x14ac:dyDescent="0.25">
      <c r="A176" s="3">
        <v>45754</v>
      </c>
      <c r="B176" s="3">
        <v>45760</v>
      </c>
      <c r="C176" t="s">
        <v>560</v>
      </c>
      <c r="D176">
        <f>COUNTIFS('Исходник — лиды'!$H$2:$H$4191,"&gt;="&amp;A176,'Исходник — лиды'!$H$2:$H$4191,"&lt;"&amp;B176+1)</f>
        <v>15</v>
      </c>
      <c r="E176">
        <f>COUNTIFS('Исходник — лиды'!$H$2:$H$4191,"&gt;="&amp;A176,'Исходник — лиды'!$H$2:$H$4191,"&lt;"&amp;B176+1,'Исходник — лиды'!$C$2:$C$4191,"Качественный лид")</f>
        <v>15</v>
      </c>
      <c r="F176">
        <v>151</v>
      </c>
      <c r="G176" s="4">
        <f t="shared" si="2"/>
        <v>1</v>
      </c>
    </row>
    <row r="177" spans="1:7" x14ac:dyDescent="0.25">
      <c r="A177" s="3">
        <v>45761</v>
      </c>
      <c r="B177" s="3">
        <v>45767</v>
      </c>
      <c r="C177" t="s">
        <v>561</v>
      </c>
      <c r="D177">
        <f>COUNTIFS('Исходник — лиды'!$H$2:$H$4191,"&gt;="&amp;A177,'Исходник — лиды'!$H$2:$H$4191,"&lt;"&amp;B177+1)</f>
        <v>11</v>
      </c>
      <c r="E177">
        <f>COUNTIFS('Исходник — лиды'!$H$2:$H$4191,"&gt;="&amp;A177,'Исходник — лиды'!$H$2:$H$4191,"&lt;"&amp;B177+1,'Исходник — лиды'!$C$2:$C$4191,"Качественный лид")</f>
        <v>11</v>
      </c>
      <c r="F177">
        <v>114</v>
      </c>
      <c r="G177" s="4">
        <f t="shared" si="2"/>
        <v>1</v>
      </c>
    </row>
    <row r="178" spans="1:7" x14ac:dyDescent="0.25">
      <c r="A178" s="3">
        <v>45768</v>
      </c>
      <c r="B178" s="3">
        <v>45774</v>
      </c>
      <c r="C178" t="s">
        <v>562</v>
      </c>
      <c r="D178">
        <f>COUNTIFS('Исходник — лиды'!$H$2:$H$4191,"&gt;="&amp;A178,'Исходник — лиды'!$H$2:$H$4191,"&lt;"&amp;B178+1)</f>
        <v>7</v>
      </c>
      <c r="E178">
        <f>COUNTIFS('Исходник — лиды'!$H$2:$H$4191,"&gt;="&amp;A178,'Исходник — лиды'!$H$2:$H$4191,"&lt;"&amp;B178+1,'Исходник — лиды'!$C$2:$C$4191,"Качественный лид")</f>
        <v>7</v>
      </c>
      <c r="F178">
        <v>110</v>
      </c>
      <c r="G178" s="4">
        <f t="shared" si="2"/>
        <v>1</v>
      </c>
    </row>
    <row r="179" spans="1:7" x14ac:dyDescent="0.25">
      <c r="A179" s="3">
        <v>45775</v>
      </c>
      <c r="B179" s="3">
        <v>45781</v>
      </c>
      <c r="C179" t="s">
        <v>563</v>
      </c>
      <c r="D179">
        <f>COUNTIFS('Исходник — лиды'!$H$2:$H$4191,"&gt;="&amp;A179,'Исходник — лиды'!$H$2:$H$4191,"&lt;"&amp;B179+1)</f>
        <v>13</v>
      </c>
      <c r="E179">
        <f>COUNTIFS('Исходник — лиды'!$H$2:$H$4191,"&gt;="&amp;A179,'Исходник — лиды'!$H$2:$H$4191,"&lt;"&amp;B179+1,'Исходник — лиды'!$C$2:$C$4191,"Качественный лид")</f>
        <v>13</v>
      </c>
      <c r="F179">
        <v>61</v>
      </c>
      <c r="G179" s="4">
        <f t="shared" si="2"/>
        <v>1</v>
      </c>
    </row>
    <row r="180" spans="1:7" x14ac:dyDescent="0.25">
      <c r="A180" s="3">
        <v>45782</v>
      </c>
      <c r="B180" s="3">
        <v>45788</v>
      </c>
      <c r="C180" t="s">
        <v>564</v>
      </c>
      <c r="D180">
        <f>COUNTIFS('Исходник — лиды'!$H$2:$H$4191,"&gt;="&amp;A180,'Исходник — лиды'!$H$2:$H$4191,"&lt;"&amp;B180+1)</f>
        <v>10</v>
      </c>
      <c r="E180">
        <f>COUNTIFS('Исходник — лиды'!$H$2:$H$4191,"&gt;="&amp;A180,'Исходник — лиды'!$H$2:$H$4191,"&lt;"&amp;B180+1,'Исходник — лиды'!$C$2:$C$4191,"Качественный лид")</f>
        <v>10</v>
      </c>
      <c r="F180">
        <v>66</v>
      </c>
      <c r="G180" s="4">
        <f t="shared" si="2"/>
        <v>1</v>
      </c>
    </row>
    <row r="181" spans="1:7" x14ac:dyDescent="0.25">
      <c r="A181" s="3">
        <v>45789</v>
      </c>
      <c r="B181" s="3">
        <v>45795</v>
      </c>
      <c r="C181" t="s">
        <v>565</v>
      </c>
      <c r="D181">
        <f>COUNTIFS('Исходник — лиды'!$H$2:$H$4191,"&gt;="&amp;A181,'Исходник — лиды'!$H$2:$H$4191,"&lt;"&amp;B181+1)</f>
        <v>10</v>
      </c>
      <c r="E181">
        <f>COUNTIFS('Исходник — лиды'!$H$2:$H$4191,"&gt;="&amp;A181,'Исходник — лиды'!$H$2:$H$4191,"&lt;"&amp;B181+1,'Исходник — лиды'!$C$2:$C$4191,"Качественный лид")</f>
        <v>10</v>
      </c>
      <c r="F181">
        <v>75</v>
      </c>
      <c r="G181" s="4">
        <f t="shared" si="2"/>
        <v>1</v>
      </c>
    </row>
    <row r="182" spans="1:7" x14ac:dyDescent="0.25">
      <c r="A182" s="3">
        <v>45796</v>
      </c>
      <c r="B182" s="3">
        <v>45802</v>
      </c>
      <c r="C182" t="s">
        <v>566</v>
      </c>
      <c r="D182">
        <f>COUNTIFS('Исходник — лиды'!$H$2:$H$4191,"&gt;="&amp;A182,'Исходник — лиды'!$H$2:$H$4191,"&lt;"&amp;B182+1)</f>
        <v>9</v>
      </c>
      <c r="E182">
        <f>COUNTIFS('Исходник — лиды'!$H$2:$H$4191,"&gt;="&amp;A182,'Исходник — лиды'!$H$2:$H$4191,"&lt;"&amp;B182+1,'Исходник — лиды'!$C$2:$C$4191,"Качественный лид")</f>
        <v>8</v>
      </c>
      <c r="F182">
        <v>127</v>
      </c>
      <c r="G182" s="4">
        <f t="shared" si="2"/>
        <v>0.88888888888888884</v>
      </c>
    </row>
    <row r="183" spans="1:7" x14ac:dyDescent="0.25">
      <c r="A183" s="3">
        <v>45803</v>
      </c>
      <c r="B183" s="3">
        <v>45809</v>
      </c>
      <c r="C183" t="s">
        <v>567</v>
      </c>
      <c r="D183">
        <f>COUNTIFS('Исходник — лиды'!$H$2:$H$4191,"&gt;="&amp;A183,'Исходник — лиды'!$H$2:$H$4191,"&lt;"&amp;B183+1)</f>
        <v>14</v>
      </c>
      <c r="E183">
        <f>COUNTIFS('Исходник — лиды'!$H$2:$H$4191,"&gt;="&amp;A183,'Исходник — лиды'!$H$2:$H$4191,"&lt;"&amp;B183+1,'Исходник — лиды'!$C$2:$C$4191,"Качественный лид")</f>
        <v>14</v>
      </c>
      <c r="F183">
        <v>104</v>
      </c>
      <c r="G183" s="4">
        <f t="shared" si="2"/>
        <v>1</v>
      </c>
    </row>
    <row r="184" spans="1:7" x14ac:dyDescent="0.25">
      <c r="A184" s="3">
        <v>45810</v>
      </c>
      <c r="B184" s="3">
        <v>45816</v>
      </c>
      <c r="C184" t="s">
        <v>568</v>
      </c>
      <c r="D184">
        <f>COUNTIFS('Исходник — лиды'!$H$2:$H$4191,"&gt;="&amp;A184,'Исходник — лиды'!$H$2:$H$4191,"&lt;"&amp;B184+1)</f>
        <v>15</v>
      </c>
      <c r="E184">
        <f>COUNTIFS('Исходник — лиды'!$H$2:$H$4191,"&gt;="&amp;A184,'Исходник — лиды'!$H$2:$H$4191,"&lt;"&amp;B184+1,'Исходник — лиды'!$C$2:$C$4191,"Качественный лид")</f>
        <v>15</v>
      </c>
      <c r="F184">
        <v>129</v>
      </c>
      <c r="G184" s="4">
        <f t="shared" si="2"/>
        <v>1</v>
      </c>
    </row>
    <row r="185" spans="1:7" x14ac:dyDescent="0.25">
      <c r="A185" s="3">
        <v>45817</v>
      </c>
      <c r="B185" s="3">
        <v>45823</v>
      </c>
      <c r="C185" t="s">
        <v>569</v>
      </c>
      <c r="D185">
        <f>COUNTIFS('Исходник — лиды'!$H$2:$H$4191,"&gt;="&amp;A185,'Исходник — лиды'!$H$2:$H$4191,"&lt;"&amp;B185+1)</f>
        <v>6</v>
      </c>
      <c r="E185">
        <f>COUNTIFS('Исходник — лиды'!$H$2:$H$4191,"&gt;="&amp;A185,'Исходник — лиды'!$H$2:$H$4191,"&lt;"&amp;B185+1,'Исходник — лиды'!$C$2:$C$4191,"Качественный лид")</f>
        <v>6</v>
      </c>
      <c r="F185">
        <v>75</v>
      </c>
      <c r="G185" s="4">
        <f t="shared" si="2"/>
        <v>1</v>
      </c>
    </row>
    <row r="186" spans="1:7" x14ac:dyDescent="0.25">
      <c r="A186" s="3">
        <v>45824</v>
      </c>
      <c r="B186" s="3">
        <v>45830</v>
      </c>
      <c r="C186" t="s">
        <v>570</v>
      </c>
      <c r="D186">
        <f>COUNTIFS('Исходник — лиды'!$H$2:$H$4191,"&gt;="&amp;A186,'Исходник — лиды'!$H$2:$H$4191,"&lt;"&amp;B186+1)</f>
        <v>19</v>
      </c>
      <c r="E186">
        <f>COUNTIFS('Исходник — лиды'!$H$2:$H$4191,"&gt;="&amp;A186,'Исходник — лиды'!$H$2:$H$4191,"&lt;"&amp;B186+1,'Исходник — лиды'!$C$2:$C$4191,"Качественный лид")</f>
        <v>19</v>
      </c>
      <c r="F186">
        <v>127</v>
      </c>
      <c r="G186" s="4">
        <f t="shared" si="2"/>
        <v>1</v>
      </c>
    </row>
    <row r="187" spans="1:7" x14ac:dyDescent="0.25">
      <c r="A187" s="3">
        <v>45831</v>
      </c>
      <c r="B187" s="3">
        <v>45837</v>
      </c>
      <c r="C187" t="s">
        <v>571</v>
      </c>
      <c r="D187">
        <f>COUNTIFS('Исходник — лиды'!$H$2:$H$4191,"&gt;="&amp;A187,'Исходник — лиды'!$H$2:$H$4191,"&lt;"&amp;B187+1)</f>
        <v>20</v>
      </c>
      <c r="E187">
        <f>COUNTIFS('Исходник — лиды'!$H$2:$H$4191,"&gt;="&amp;A187,'Исходник — лиды'!$H$2:$H$4191,"&lt;"&amp;B187+1,'Исходник — лиды'!$C$2:$C$4191,"Качественный лид")</f>
        <v>20</v>
      </c>
      <c r="F187">
        <v>132</v>
      </c>
      <c r="G187" s="4">
        <f t="shared" si="2"/>
        <v>1</v>
      </c>
    </row>
    <row r="188" spans="1:7" x14ac:dyDescent="0.25">
      <c r="A188" s="3">
        <v>45838</v>
      </c>
      <c r="B188" s="3">
        <v>45844</v>
      </c>
      <c r="C188" t="s">
        <v>572</v>
      </c>
      <c r="D188">
        <f>COUNTIFS('Исходник — лиды'!$H$2:$H$4191,"&gt;="&amp;A188,'Исходник — лиды'!$H$2:$H$4191,"&lt;"&amp;B188+1)</f>
        <v>9</v>
      </c>
      <c r="E188">
        <f>COUNTIFS('Исходник — лиды'!$H$2:$H$4191,"&gt;="&amp;A188,'Исходник — лиды'!$H$2:$H$4191,"&lt;"&amp;B188+1,'Исходник — лиды'!$C$2:$C$4191,"Качественный лид")</f>
        <v>9</v>
      </c>
      <c r="F188">
        <v>134</v>
      </c>
      <c r="G188" s="4">
        <f t="shared" si="2"/>
        <v>1</v>
      </c>
    </row>
    <row r="189" spans="1:7" x14ac:dyDescent="0.25">
      <c r="A189" s="3">
        <v>45845</v>
      </c>
      <c r="B189" s="3">
        <v>45851</v>
      </c>
      <c r="C189" t="s">
        <v>573</v>
      </c>
      <c r="D189">
        <f>COUNTIFS('Исходник — лиды'!$H$2:$H$4191,"&gt;="&amp;A189,'Исходник — лиды'!$H$2:$H$4191,"&lt;"&amp;B189+1)</f>
        <v>8</v>
      </c>
      <c r="E189">
        <f>COUNTIFS('Исходник — лиды'!$H$2:$H$4191,"&gt;="&amp;A189,'Исходник — лиды'!$H$2:$H$4191,"&lt;"&amp;B189+1,'Исходник — лиды'!$C$2:$C$4191,"Качественный лид")</f>
        <v>8</v>
      </c>
      <c r="F189">
        <v>134</v>
      </c>
      <c r="G189" s="4">
        <f t="shared" si="2"/>
        <v>1</v>
      </c>
    </row>
    <row r="190" spans="1:7" x14ac:dyDescent="0.25">
      <c r="A190" s="3">
        <v>45852</v>
      </c>
      <c r="B190" s="3">
        <v>45858</v>
      </c>
      <c r="C190" t="s">
        <v>574</v>
      </c>
      <c r="D190">
        <f>COUNTIFS('Исходник — лиды'!$H$2:$H$4191,"&gt;="&amp;A190,'Исходник — лиды'!$H$2:$H$4191,"&lt;"&amp;B190+1)</f>
        <v>27</v>
      </c>
      <c r="E190">
        <f>COUNTIFS('Исходник — лиды'!$H$2:$H$4191,"&gt;="&amp;A190,'Исходник — лиды'!$H$2:$H$4191,"&lt;"&amp;B190+1,'Исходник — лиды'!$C$2:$C$4191,"Качественный лид")</f>
        <v>27</v>
      </c>
      <c r="F190">
        <v>137</v>
      </c>
      <c r="G190" s="4">
        <f t="shared" si="2"/>
        <v>1</v>
      </c>
    </row>
    <row r="191" spans="1:7" x14ac:dyDescent="0.25">
      <c r="A191" s="3">
        <v>45859</v>
      </c>
      <c r="B191" s="3">
        <v>45865</v>
      </c>
      <c r="C191" t="s">
        <v>575</v>
      </c>
      <c r="D191">
        <f>COUNTIFS('Исходник — лиды'!$H$2:$H$4191,"&gt;="&amp;A191,'Исходник — лиды'!$H$2:$H$4191,"&lt;"&amp;B191+1)</f>
        <v>14</v>
      </c>
      <c r="E191">
        <f>COUNTIFS('Исходник — лиды'!$H$2:$H$4191,"&gt;="&amp;A191,'Исходник — лиды'!$H$2:$H$4191,"&lt;"&amp;B191+1,'Исходник — лиды'!$C$2:$C$4191,"Качественный лид")</f>
        <v>14</v>
      </c>
      <c r="F191">
        <v>85</v>
      </c>
      <c r="G191" s="4">
        <f t="shared" si="2"/>
        <v>1</v>
      </c>
    </row>
    <row r="192" spans="1:7" x14ac:dyDescent="0.25">
      <c r="A192" s="3">
        <v>45866</v>
      </c>
      <c r="B192" s="3">
        <v>45872</v>
      </c>
      <c r="C192" t="s">
        <v>576</v>
      </c>
      <c r="D192">
        <f>COUNTIFS('Исходник — лиды'!$H$2:$H$4191,"&gt;="&amp;A192,'Исходник — лиды'!$H$2:$H$4191,"&lt;"&amp;B192+1)</f>
        <v>16</v>
      </c>
      <c r="E192">
        <f>COUNTIFS('Исходник — лиды'!$H$2:$H$4191,"&gt;="&amp;A192,'Исходник — лиды'!$H$2:$H$4191,"&lt;"&amp;B192+1,'Исходник — лиды'!$C$2:$C$4191,"Качественный лид")</f>
        <v>16</v>
      </c>
      <c r="F192">
        <v>87</v>
      </c>
      <c r="G192" s="4">
        <f t="shared" si="2"/>
        <v>1</v>
      </c>
    </row>
    <row r="193" spans="1:7" x14ac:dyDescent="0.25">
      <c r="A193" s="3">
        <v>45873</v>
      </c>
      <c r="B193" s="3">
        <v>45879</v>
      </c>
      <c r="C193" t="s">
        <v>577</v>
      </c>
      <c r="D193">
        <f>COUNTIFS('Исходник — лиды'!$H$2:$H$4191,"&gt;="&amp;A193,'Исходник — лиды'!$H$2:$H$4191,"&lt;"&amp;B193+1)</f>
        <v>10</v>
      </c>
      <c r="E193">
        <f>COUNTIFS('Исходник — лиды'!$H$2:$H$4191,"&gt;="&amp;A193,'Исходник — лиды'!$H$2:$H$4191,"&lt;"&amp;B193+1,'Исходник — лиды'!$C$2:$C$4191,"Качественный лид")</f>
        <v>10</v>
      </c>
      <c r="F193">
        <v>59</v>
      </c>
      <c r="G193" s="4">
        <f t="shared" si="2"/>
        <v>1</v>
      </c>
    </row>
    <row r="194" spans="1:7" x14ac:dyDescent="0.25">
      <c r="A194" s="3">
        <v>45880</v>
      </c>
      <c r="B194" s="3">
        <v>45886</v>
      </c>
      <c r="C194" t="s">
        <v>578</v>
      </c>
      <c r="D194">
        <f>COUNTIFS('Исходник — лиды'!$H$2:$H$4191,"&gt;="&amp;A194,'Исходник — лиды'!$H$2:$H$4191,"&lt;"&amp;B194+1)</f>
        <v>13</v>
      </c>
      <c r="E194">
        <f>COUNTIFS('Исходник — лиды'!$H$2:$H$4191,"&gt;="&amp;A194,'Исходник — лиды'!$H$2:$H$4191,"&lt;"&amp;B194+1,'Исходник — лиды'!$C$2:$C$4191,"Качественный лид")</f>
        <v>12</v>
      </c>
      <c r="F194">
        <v>83</v>
      </c>
      <c r="G194" s="4">
        <f t="shared" si="2"/>
        <v>0.92307692307692313</v>
      </c>
    </row>
    <row r="195" spans="1:7" x14ac:dyDescent="0.25">
      <c r="A195" s="3">
        <v>45887</v>
      </c>
      <c r="B195" s="3">
        <v>45893</v>
      </c>
      <c r="C195" t="s">
        <v>579</v>
      </c>
      <c r="D195">
        <f>COUNTIFS('Исходник — лиды'!$H$2:$H$4191,"&gt;="&amp;A195,'Исходник — лиды'!$H$2:$H$4191,"&lt;"&amp;B195+1)</f>
        <v>12</v>
      </c>
      <c r="E195">
        <f>COUNTIFS('Исходник — лиды'!$H$2:$H$4191,"&gt;="&amp;A195,'Исходник — лиды'!$H$2:$H$4191,"&lt;"&amp;B195+1,'Исходник — лиды'!$C$2:$C$4191,"Качественный лид")</f>
        <v>11</v>
      </c>
      <c r="F195">
        <v>81</v>
      </c>
      <c r="G195" s="4">
        <f t="shared" si="2"/>
        <v>0.91666666666666663</v>
      </c>
    </row>
    <row r="196" spans="1:7" x14ac:dyDescent="0.25">
      <c r="A196" s="3">
        <v>45894</v>
      </c>
      <c r="B196" s="3">
        <v>45900</v>
      </c>
      <c r="C196" t="s">
        <v>580</v>
      </c>
      <c r="D196">
        <f>COUNTIFS('Исходник — лиды'!$H$2:$H$4191,"&gt;="&amp;A196,'Исходник — лиды'!$H$2:$H$4191,"&lt;"&amp;B196+1)</f>
        <v>12</v>
      </c>
      <c r="E196">
        <f>COUNTIFS('Исходник — лиды'!$H$2:$H$4191,"&gt;="&amp;A196,'Исходник — лиды'!$H$2:$H$4191,"&lt;"&amp;B196+1,'Исходник — лиды'!$C$2:$C$4191,"Качественный лид")</f>
        <v>12</v>
      </c>
      <c r="F196">
        <v>83</v>
      </c>
      <c r="G196" s="4">
        <f t="shared" si="2"/>
        <v>1</v>
      </c>
    </row>
    <row r="197" spans="1:7" x14ac:dyDescent="0.25">
      <c r="A197" s="3">
        <v>45901</v>
      </c>
      <c r="B197" s="3">
        <v>45907</v>
      </c>
      <c r="C197" t="s">
        <v>581</v>
      </c>
      <c r="D197">
        <f>COUNTIFS('Исходник — лиды'!$H$2:$H$4191,"&gt;="&amp;A197,'Исходник — лиды'!$H$2:$H$4191,"&lt;"&amp;B197+1)</f>
        <v>13</v>
      </c>
      <c r="E197">
        <f>COUNTIFS('Исходник — лиды'!$H$2:$H$4191,"&gt;="&amp;A197,'Исходник — лиды'!$H$2:$H$4191,"&lt;"&amp;B197+1,'Исходник — лиды'!$C$2:$C$4191,"Качественный лид")</f>
        <v>13</v>
      </c>
      <c r="F197">
        <v>108</v>
      </c>
      <c r="G197" s="4">
        <f t="shared" ref="G197:G241" si="3">IFERROR(E197/D197,0)</f>
        <v>1</v>
      </c>
    </row>
    <row r="198" spans="1:7" x14ac:dyDescent="0.25">
      <c r="A198" s="3">
        <v>45908</v>
      </c>
      <c r="B198" s="3">
        <v>45914</v>
      </c>
      <c r="C198" t="s">
        <v>582</v>
      </c>
      <c r="D198">
        <f>COUNTIFS('Исходник — лиды'!$H$2:$H$4191,"&gt;="&amp;A198,'Исходник — лиды'!$H$2:$H$4191,"&lt;"&amp;B198+1)</f>
        <v>8</v>
      </c>
      <c r="E198">
        <f>COUNTIFS('Исходник — лиды'!$H$2:$H$4191,"&gt;="&amp;A198,'Исходник — лиды'!$H$2:$H$4191,"&lt;"&amp;B198+1,'Исходник — лиды'!$C$2:$C$4191,"Качественный лид")</f>
        <v>8</v>
      </c>
      <c r="F198">
        <v>107</v>
      </c>
      <c r="G198" s="4">
        <f t="shared" si="3"/>
        <v>1</v>
      </c>
    </row>
    <row r="199" spans="1:7" x14ac:dyDescent="0.25">
      <c r="A199" s="3">
        <v>45915</v>
      </c>
      <c r="B199" s="3">
        <v>45921</v>
      </c>
      <c r="C199" t="s">
        <v>583</v>
      </c>
      <c r="D199">
        <f>COUNTIFS('Исходник — лиды'!$H$2:$H$4191,"&gt;="&amp;A199,'Исходник — лиды'!$H$2:$H$4191,"&lt;"&amp;B199+1)</f>
        <v>12</v>
      </c>
      <c r="E199">
        <f>COUNTIFS('Исходник — лиды'!$H$2:$H$4191,"&gt;="&amp;A199,'Исходник — лиды'!$H$2:$H$4191,"&lt;"&amp;B199+1,'Исходник — лиды'!$C$2:$C$4191,"Качественный лид")</f>
        <v>12</v>
      </c>
      <c r="F199">
        <v>59</v>
      </c>
      <c r="G199" s="4">
        <f t="shared" si="3"/>
        <v>1</v>
      </c>
    </row>
    <row r="200" spans="1:7" x14ac:dyDescent="0.25">
      <c r="A200" s="3">
        <v>45922</v>
      </c>
      <c r="B200" s="3">
        <v>45928</v>
      </c>
      <c r="C200" t="s">
        <v>584</v>
      </c>
      <c r="D200">
        <f>COUNTIFS('Исходник — лиды'!$H$2:$H$4191,"&gt;="&amp;A200,'Исходник — лиды'!$H$2:$H$4191,"&lt;"&amp;B200+1)</f>
        <v>10</v>
      </c>
      <c r="E200">
        <f>COUNTIFS('Исходник — лиды'!$H$2:$H$4191,"&gt;="&amp;A200,'Исходник — лиды'!$H$2:$H$4191,"&lt;"&amp;B200+1,'Исходник — лиды'!$C$2:$C$4191,"Качественный лид")</f>
        <v>10</v>
      </c>
      <c r="F200">
        <v>90</v>
      </c>
      <c r="G200" s="4">
        <f t="shared" si="3"/>
        <v>1</v>
      </c>
    </row>
    <row r="201" spans="1:7" x14ac:dyDescent="0.25">
      <c r="A201" s="3">
        <v>45929</v>
      </c>
      <c r="B201" s="3">
        <v>45935</v>
      </c>
      <c r="C201" t="s">
        <v>585</v>
      </c>
      <c r="D201">
        <f>COUNTIFS('Исходник — лиды'!$H$2:$H$4191,"&gt;="&amp;A201,'Исходник — лиды'!$H$2:$H$4191,"&lt;"&amp;B201+1)</f>
        <v>8</v>
      </c>
      <c r="E201">
        <f>COUNTIFS('Исходник — лиды'!$H$2:$H$4191,"&gt;="&amp;A201,'Исходник — лиды'!$H$2:$H$4191,"&lt;"&amp;B201+1,'Исходник — лиды'!$C$2:$C$4191,"Качественный лид")</f>
        <v>8</v>
      </c>
      <c r="F201">
        <v>84</v>
      </c>
      <c r="G201" s="4">
        <f t="shared" si="3"/>
        <v>1</v>
      </c>
    </row>
    <row r="202" spans="1:7" x14ac:dyDescent="0.25">
      <c r="A202" s="3">
        <v>45936</v>
      </c>
      <c r="B202" s="3">
        <v>45942</v>
      </c>
      <c r="C202" t="s">
        <v>586</v>
      </c>
      <c r="D202">
        <f>COUNTIFS('Исходник — лиды'!$H$2:$H$4191,"&gt;="&amp;A202,'Исходник — лиды'!$H$2:$H$4191,"&lt;"&amp;B202+1)</f>
        <v>13</v>
      </c>
      <c r="E202">
        <f>COUNTIFS('Исходник — лиды'!$H$2:$H$4191,"&gt;="&amp;A202,'Исходник — лиды'!$H$2:$H$4191,"&lt;"&amp;B202+1,'Исходник — лиды'!$C$2:$C$4191,"Качественный лид")</f>
        <v>13</v>
      </c>
      <c r="F202">
        <v>125</v>
      </c>
      <c r="G202" s="4">
        <f t="shared" si="3"/>
        <v>1</v>
      </c>
    </row>
    <row r="203" spans="1:7" x14ac:dyDescent="0.25">
      <c r="A203" s="3">
        <v>45943</v>
      </c>
      <c r="B203" s="3">
        <v>45949</v>
      </c>
      <c r="C203" t="s">
        <v>587</v>
      </c>
      <c r="D203">
        <f>COUNTIFS('Исходник — лиды'!$H$2:$H$4191,"&gt;="&amp;A203,'Исходник — лиды'!$H$2:$H$4191,"&lt;"&amp;B203+1)</f>
        <v>6</v>
      </c>
      <c r="E203">
        <f>COUNTIFS('Исходник — лиды'!$H$2:$H$4191,"&gt;="&amp;A203,'Исходник — лиды'!$H$2:$H$4191,"&lt;"&amp;B203+1,'Исходник — лиды'!$C$2:$C$4191,"Качественный лид")</f>
        <v>6</v>
      </c>
      <c r="F203">
        <v>114</v>
      </c>
      <c r="G203" s="4">
        <f t="shared" si="3"/>
        <v>1</v>
      </c>
    </row>
    <row r="204" spans="1:7" x14ac:dyDescent="0.25">
      <c r="A204" s="3">
        <v>45950</v>
      </c>
      <c r="B204" s="3">
        <v>45956</v>
      </c>
      <c r="C204" t="s">
        <v>588</v>
      </c>
      <c r="D204">
        <f>COUNTIFS('Исходник — лиды'!$H$2:$H$4191,"&gt;="&amp;A204,'Исходник — лиды'!$H$2:$H$4191,"&lt;"&amp;B204+1)</f>
        <v>20</v>
      </c>
      <c r="E204">
        <f>COUNTIFS('Исходник — лиды'!$H$2:$H$4191,"&gt;="&amp;A204,'Исходник — лиды'!$H$2:$H$4191,"&lt;"&amp;B204+1,'Исходник — лиды'!$C$2:$C$4191,"Качественный лид")</f>
        <v>18</v>
      </c>
      <c r="F204">
        <v>124</v>
      </c>
      <c r="G204" s="4">
        <f t="shared" si="3"/>
        <v>0.9</v>
      </c>
    </row>
    <row r="205" spans="1:7" x14ac:dyDescent="0.25">
      <c r="A205" s="3">
        <v>45957</v>
      </c>
      <c r="B205" s="3">
        <v>45963</v>
      </c>
      <c r="C205" t="s">
        <v>589</v>
      </c>
      <c r="D205">
        <f>COUNTIFS('Исходник — лиды'!$H$2:$H$4191,"&gt;="&amp;A205,'Исходник — лиды'!$H$2:$H$4191,"&lt;"&amp;B205+1)</f>
        <v>10</v>
      </c>
      <c r="E205">
        <f>COUNTIFS('Исходник — лиды'!$H$2:$H$4191,"&gt;="&amp;A205,'Исходник — лиды'!$H$2:$H$4191,"&lt;"&amp;B205+1,'Исходник — лиды'!$C$2:$C$4191,"Качественный лид")</f>
        <v>10</v>
      </c>
      <c r="F205">
        <v>107</v>
      </c>
      <c r="G205" s="4">
        <f t="shared" si="3"/>
        <v>1</v>
      </c>
    </row>
    <row r="206" spans="1:7" x14ac:dyDescent="0.25">
      <c r="A206" s="3">
        <v>45964</v>
      </c>
      <c r="B206" s="3">
        <v>45970</v>
      </c>
      <c r="C206" t="s">
        <v>590</v>
      </c>
      <c r="D206">
        <f>COUNTIFS('Исходник — лиды'!$H$2:$H$4191,"&gt;="&amp;A206,'Исходник — лиды'!$H$2:$H$4191,"&lt;"&amp;B206+1)</f>
        <v>9</v>
      </c>
      <c r="E206">
        <f>COUNTIFS('Исходник — лиды'!$H$2:$H$4191,"&gt;="&amp;A206,'Исходник — лиды'!$H$2:$H$4191,"&lt;"&amp;B206+1,'Исходник — лиды'!$C$2:$C$4191,"Качественный лид")</f>
        <v>9</v>
      </c>
      <c r="F206">
        <v>90</v>
      </c>
      <c r="G206" s="4">
        <f t="shared" si="3"/>
        <v>1</v>
      </c>
    </row>
    <row r="207" spans="1:7" x14ac:dyDescent="0.25">
      <c r="A207" s="3">
        <v>45971</v>
      </c>
      <c r="B207" s="3">
        <v>45977</v>
      </c>
      <c r="C207" t="s">
        <v>591</v>
      </c>
      <c r="D207">
        <f>COUNTIFS('Исходник — лиды'!$H$2:$H$4191,"&gt;="&amp;A207,'Исходник — лиды'!$H$2:$H$4191,"&lt;"&amp;B207+1)</f>
        <v>9</v>
      </c>
      <c r="E207">
        <f>COUNTIFS('Исходник — лиды'!$H$2:$H$4191,"&gt;="&amp;A207,'Исходник — лиды'!$H$2:$H$4191,"&lt;"&amp;B207+1,'Исходник — лиды'!$C$2:$C$4191,"Качественный лид")</f>
        <v>9</v>
      </c>
      <c r="F207">
        <v>95</v>
      </c>
      <c r="G207" s="4">
        <f t="shared" si="3"/>
        <v>1</v>
      </c>
    </row>
    <row r="208" spans="1:7" x14ac:dyDescent="0.25">
      <c r="A208" s="3">
        <v>45978</v>
      </c>
      <c r="B208" s="3">
        <v>45984</v>
      </c>
      <c r="C208" t="s">
        <v>592</v>
      </c>
      <c r="D208">
        <f>COUNTIFS('Исходник — лиды'!$H$2:$H$4191,"&gt;="&amp;A208,'Исходник — лиды'!$H$2:$H$4191,"&lt;"&amp;B208+1)</f>
        <v>13</v>
      </c>
      <c r="E208">
        <f>COUNTIFS('Исходник — лиды'!$H$2:$H$4191,"&gt;="&amp;A208,'Исходник — лиды'!$H$2:$H$4191,"&lt;"&amp;B208+1,'Исходник — лиды'!$C$2:$C$4191,"Качественный лид")</f>
        <v>13</v>
      </c>
      <c r="F208">
        <v>108</v>
      </c>
      <c r="G208" s="4">
        <f t="shared" si="3"/>
        <v>1</v>
      </c>
    </row>
    <row r="209" spans="1:7" x14ac:dyDescent="0.25">
      <c r="A209" s="3">
        <v>45985</v>
      </c>
      <c r="B209" s="3">
        <v>45991</v>
      </c>
      <c r="C209" t="s">
        <v>593</v>
      </c>
      <c r="D209">
        <f>COUNTIFS('Исходник — лиды'!$H$2:$H$4191,"&gt;="&amp;A209,'Исходник — лиды'!$H$2:$H$4191,"&lt;"&amp;B209+1)</f>
        <v>12</v>
      </c>
      <c r="E209">
        <f>COUNTIFS('Исходник — лиды'!$H$2:$H$4191,"&gt;="&amp;A209,'Исходник — лиды'!$H$2:$H$4191,"&lt;"&amp;B209+1,'Исходник — лиды'!$C$2:$C$4191,"Качественный лид")</f>
        <v>11</v>
      </c>
      <c r="F209">
        <v>129</v>
      </c>
      <c r="G209" s="4">
        <f t="shared" si="3"/>
        <v>0.91666666666666663</v>
      </c>
    </row>
    <row r="210" spans="1:7" x14ac:dyDescent="0.25">
      <c r="A210" s="3">
        <v>45992</v>
      </c>
      <c r="B210" s="3">
        <v>45998</v>
      </c>
      <c r="C210" t="s">
        <v>594</v>
      </c>
      <c r="D210">
        <f>COUNTIFS('Исходник — лиды'!$H$2:$H$4191,"&gt;="&amp;A210,'Исходник — лиды'!$H$2:$H$4191,"&lt;"&amp;B210+1)</f>
        <v>9</v>
      </c>
      <c r="E210">
        <f>COUNTIFS('Исходник — лиды'!$H$2:$H$4191,"&gt;="&amp;A210,'Исходник — лиды'!$H$2:$H$4191,"&lt;"&amp;B210+1,'Исходник — лиды'!$C$2:$C$4191,"Качественный лид")</f>
        <v>9</v>
      </c>
      <c r="F210">
        <v>85</v>
      </c>
      <c r="G210" s="4">
        <f t="shared" si="3"/>
        <v>1</v>
      </c>
    </row>
    <row r="211" spans="1:7" x14ac:dyDescent="0.25">
      <c r="A211" s="3">
        <v>45999</v>
      </c>
      <c r="B211" s="3">
        <v>46005</v>
      </c>
      <c r="C211" t="s">
        <v>595</v>
      </c>
      <c r="D211">
        <f>COUNTIFS('Исходник — лиды'!$H$2:$H$4191,"&gt;="&amp;A211,'Исходник — лиды'!$H$2:$H$4191,"&lt;"&amp;B211+1)</f>
        <v>15</v>
      </c>
      <c r="E211">
        <f>COUNTIFS('Исходник — лиды'!$H$2:$H$4191,"&gt;="&amp;A211,'Исходник — лиды'!$H$2:$H$4191,"&lt;"&amp;B211+1,'Исходник — лиды'!$C$2:$C$4191,"Качественный лид")</f>
        <v>15</v>
      </c>
      <c r="F211">
        <v>52</v>
      </c>
      <c r="G211" s="4">
        <f t="shared" si="3"/>
        <v>1</v>
      </c>
    </row>
    <row r="212" spans="1:7" x14ac:dyDescent="0.25">
      <c r="A212" s="3">
        <v>46006</v>
      </c>
      <c r="B212" s="3">
        <v>46012</v>
      </c>
      <c r="C212" t="s">
        <v>596</v>
      </c>
      <c r="D212">
        <f>COUNTIFS('Исходник — лиды'!$H$2:$H$4191,"&gt;="&amp;A212,'Исходник — лиды'!$H$2:$H$4191,"&lt;"&amp;B212+1)</f>
        <v>10</v>
      </c>
      <c r="E212">
        <f>COUNTIFS('Исходник — лиды'!$H$2:$H$4191,"&gt;="&amp;A212,'Исходник — лиды'!$H$2:$H$4191,"&lt;"&amp;B212+1,'Исходник — лиды'!$C$2:$C$4191,"Качественный лид")</f>
        <v>10</v>
      </c>
      <c r="F212">
        <v>66</v>
      </c>
      <c r="G212" s="4">
        <f t="shared" si="3"/>
        <v>1</v>
      </c>
    </row>
    <row r="213" spans="1:7" x14ac:dyDescent="0.25">
      <c r="A213" s="3">
        <v>46013</v>
      </c>
      <c r="B213" s="3">
        <v>46019</v>
      </c>
      <c r="C213" t="s">
        <v>597</v>
      </c>
      <c r="D213">
        <f>COUNTIFS('Исходник — лиды'!$H$2:$H$4191,"&gt;="&amp;A213,'Исходник — лиды'!$H$2:$H$4191,"&lt;"&amp;B213+1)</f>
        <v>16</v>
      </c>
      <c r="E213">
        <f>COUNTIFS('Исходник — лиды'!$H$2:$H$4191,"&gt;="&amp;A213,'Исходник — лиды'!$H$2:$H$4191,"&lt;"&amp;B213+1,'Исходник — лиды'!$C$2:$C$4191,"Качественный лид")</f>
        <v>14</v>
      </c>
      <c r="F213">
        <v>60</v>
      </c>
      <c r="G213" s="4">
        <f t="shared" si="3"/>
        <v>0.875</v>
      </c>
    </row>
    <row r="214" spans="1:7" x14ac:dyDescent="0.25">
      <c r="A214" s="3">
        <v>46020</v>
      </c>
      <c r="B214" s="3">
        <v>46026</v>
      </c>
      <c r="C214" t="s">
        <v>598</v>
      </c>
      <c r="D214">
        <f>COUNTIFS('Исходник — лиды'!$H$2:$H$4191,"&gt;="&amp;A214,'Исходник — лиды'!$H$2:$H$4191,"&lt;"&amp;B214+1)</f>
        <v>3</v>
      </c>
      <c r="E214">
        <f>COUNTIFS('Исходник — лиды'!$H$2:$H$4191,"&gt;="&amp;A214,'Исходник — лиды'!$H$2:$H$4191,"&lt;"&amp;B214+1,'Исходник — лиды'!$C$2:$C$4191,"Качественный лид")</f>
        <v>3</v>
      </c>
      <c r="F214">
        <v>41</v>
      </c>
      <c r="G214" s="4">
        <f t="shared" si="3"/>
        <v>1</v>
      </c>
    </row>
    <row r="215" spans="1:7" x14ac:dyDescent="0.25">
      <c r="A215" s="3">
        <v>46027</v>
      </c>
      <c r="B215" s="3">
        <v>46033</v>
      </c>
      <c r="C215" t="s">
        <v>599</v>
      </c>
      <c r="D215">
        <f>COUNTIFS('Исходник — лиды'!$H$2:$H$4191,"&gt;="&amp;A215,'Исходник — лиды'!$H$2:$H$4191,"&lt;"&amp;B215+1)</f>
        <v>11</v>
      </c>
      <c r="E215">
        <f>COUNTIFS('Исходник — лиды'!$H$2:$H$4191,"&gt;="&amp;A215,'Исходник — лиды'!$H$2:$H$4191,"&lt;"&amp;B215+1,'Исходник — лиды'!$C$2:$C$4191,"Качественный лид")</f>
        <v>11</v>
      </c>
      <c r="F215">
        <v>70</v>
      </c>
      <c r="G215" s="4">
        <f t="shared" si="3"/>
        <v>1</v>
      </c>
    </row>
    <row r="216" spans="1:7" x14ac:dyDescent="0.25">
      <c r="A216" s="3">
        <v>46034</v>
      </c>
      <c r="B216" s="3">
        <v>46040</v>
      </c>
      <c r="C216" t="s">
        <v>600</v>
      </c>
      <c r="D216">
        <f>COUNTIFS('Исходник — лиды'!$H$2:$H$4191,"&gt;="&amp;A216,'Исходник — лиды'!$H$2:$H$4191,"&lt;"&amp;B216+1)</f>
        <v>16</v>
      </c>
      <c r="E216">
        <f>COUNTIFS('Исходник — лиды'!$H$2:$H$4191,"&gt;="&amp;A216,'Исходник — лиды'!$H$2:$H$4191,"&lt;"&amp;B216+1,'Исходник — лиды'!$C$2:$C$4191,"Качественный лид")</f>
        <v>16</v>
      </c>
      <c r="F216">
        <v>118</v>
      </c>
      <c r="G216" s="4">
        <f t="shared" si="3"/>
        <v>1</v>
      </c>
    </row>
    <row r="217" spans="1:7" x14ac:dyDescent="0.25">
      <c r="A217" s="3">
        <v>46041</v>
      </c>
      <c r="B217" s="3">
        <v>46047</v>
      </c>
      <c r="C217" t="s">
        <v>601</v>
      </c>
      <c r="D217">
        <f>COUNTIFS('Исходник — лиды'!$H$2:$H$4191,"&gt;="&amp;A217,'Исходник — лиды'!$H$2:$H$4191,"&lt;"&amp;B217+1)</f>
        <v>15</v>
      </c>
      <c r="E217">
        <f>COUNTIFS('Исходник — лиды'!$H$2:$H$4191,"&gt;="&amp;A217,'Исходник — лиды'!$H$2:$H$4191,"&lt;"&amp;B217+1,'Исходник — лиды'!$C$2:$C$4191,"Качественный лид")</f>
        <v>15</v>
      </c>
      <c r="F217">
        <v>91</v>
      </c>
      <c r="G217" s="4">
        <f t="shared" si="3"/>
        <v>1</v>
      </c>
    </row>
    <row r="218" spans="1:7" x14ac:dyDescent="0.25">
      <c r="A218" s="3">
        <v>46048</v>
      </c>
      <c r="B218" s="3">
        <v>46054</v>
      </c>
      <c r="C218" t="s">
        <v>602</v>
      </c>
      <c r="D218">
        <f>COUNTIFS('Исходник — лиды'!$H$2:$H$4191,"&gt;="&amp;A218,'Исходник — лиды'!$H$2:$H$4191,"&lt;"&amp;B218+1)</f>
        <v>8</v>
      </c>
      <c r="E218">
        <f>COUNTIFS('Исходник — лиды'!$H$2:$H$4191,"&gt;="&amp;A218,'Исходник — лиды'!$H$2:$H$4191,"&lt;"&amp;B218+1,'Исходник — лиды'!$C$2:$C$4191,"Качественный лид")</f>
        <v>8</v>
      </c>
      <c r="F218">
        <v>60</v>
      </c>
      <c r="G218" s="4">
        <f t="shared" si="3"/>
        <v>1</v>
      </c>
    </row>
    <row r="219" spans="1:7" x14ac:dyDescent="0.25">
      <c r="A219" s="3">
        <v>46055</v>
      </c>
      <c r="B219" s="3">
        <v>46061</v>
      </c>
      <c r="C219" t="s">
        <v>603</v>
      </c>
      <c r="D219">
        <f>COUNTIFS('Исходник — лиды'!$H$2:$H$4191,"&gt;="&amp;A219,'Исходник — лиды'!$H$2:$H$4191,"&lt;"&amp;B219+1)</f>
        <v>4</v>
      </c>
      <c r="E219">
        <f>COUNTIFS('Исходник — лиды'!$H$2:$H$4191,"&gt;="&amp;A219,'Исходник — лиды'!$H$2:$H$4191,"&lt;"&amp;B219+1,'Исходник — лиды'!$C$2:$C$4191,"Качественный лид")</f>
        <v>4</v>
      </c>
      <c r="F219">
        <v>48</v>
      </c>
      <c r="G219" s="4">
        <f t="shared" si="3"/>
        <v>1</v>
      </c>
    </row>
    <row r="220" spans="1:7" x14ac:dyDescent="0.25">
      <c r="A220" s="3">
        <v>46062</v>
      </c>
      <c r="B220" s="3">
        <v>46068</v>
      </c>
      <c r="C220" t="s">
        <v>604</v>
      </c>
      <c r="D220">
        <f>COUNTIFS('Исходник — лиды'!$H$2:$H$4191,"&gt;="&amp;A220,'Исходник — лиды'!$H$2:$H$4191,"&lt;"&amp;B220+1)</f>
        <v>12</v>
      </c>
      <c r="E220">
        <f>COUNTIFS('Исходник — лиды'!$H$2:$H$4191,"&gt;="&amp;A220,'Исходник — лиды'!$H$2:$H$4191,"&lt;"&amp;B220+1,'Исходник — лиды'!$C$2:$C$4191,"Качественный лид")</f>
        <v>12</v>
      </c>
      <c r="F220">
        <v>98</v>
      </c>
      <c r="G220" s="4">
        <f t="shared" si="3"/>
        <v>1</v>
      </c>
    </row>
    <row r="221" spans="1:7" x14ac:dyDescent="0.25">
      <c r="A221" s="3">
        <v>46069</v>
      </c>
      <c r="B221" s="3">
        <v>46075</v>
      </c>
      <c r="C221" t="s">
        <v>605</v>
      </c>
      <c r="D221">
        <f>COUNTIFS('Исходник — лиды'!$H$2:$H$4191,"&gt;="&amp;A221,'Исходник — лиды'!$H$2:$H$4191,"&lt;"&amp;B221+1)</f>
        <v>7</v>
      </c>
      <c r="E221">
        <f>COUNTIFS('Исходник — лиды'!$H$2:$H$4191,"&gt;="&amp;A221,'Исходник — лиды'!$H$2:$H$4191,"&lt;"&amp;B221+1,'Исходник — лиды'!$C$2:$C$4191,"Качественный лид")</f>
        <v>7</v>
      </c>
      <c r="F221">
        <v>108</v>
      </c>
      <c r="G221" s="4">
        <f t="shared" si="3"/>
        <v>1</v>
      </c>
    </row>
    <row r="222" spans="1:7" x14ac:dyDescent="0.25">
      <c r="A222" s="3">
        <v>46076</v>
      </c>
      <c r="B222" s="3">
        <v>46082</v>
      </c>
      <c r="C222" t="s">
        <v>606</v>
      </c>
      <c r="D222">
        <f>COUNTIFS('Исходник — лиды'!$H$2:$H$4191,"&gt;="&amp;A222,'Исходник — лиды'!$H$2:$H$4191,"&lt;"&amp;B222+1)</f>
        <v>15</v>
      </c>
      <c r="E222">
        <f>COUNTIFS('Исходник — лиды'!$H$2:$H$4191,"&gt;="&amp;A222,'Исходник — лиды'!$H$2:$H$4191,"&lt;"&amp;B222+1,'Исходник — лиды'!$C$2:$C$4191,"Качественный лид")</f>
        <v>15</v>
      </c>
      <c r="F222">
        <v>80</v>
      </c>
      <c r="G222" s="4">
        <f t="shared" si="3"/>
        <v>1</v>
      </c>
    </row>
    <row r="223" spans="1:7" x14ac:dyDescent="0.25">
      <c r="A223" s="3">
        <v>46083</v>
      </c>
      <c r="B223" s="3">
        <v>46089</v>
      </c>
      <c r="C223" t="s">
        <v>607</v>
      </c>
      <c r="D223">
        <f>COUNTIFS('Исходник — лиды'!$H$2:$H$4191,"&gt;="&amp;A223,'Исходник — лиды'!$H$2:$H$4191,"&lt;"&amp;B223+1)</f>
        <v>14</v>
      </c>
      <c r="E223">
        <f>COUNTIFS('Исходник — лиды'!$H$2:$H$4191,"&gt;="&amp;A223,'Исходник — лиды'!$H$2:$H$4191,"&lt;"&amp;B223+1,'Исходник — лиды'!$C$2:$C$4191,"Качественный лид")</f>
        <v>14</v>
      </c>
      <c r="F223">
        <v>74</v>
      </c>
      <c r="G223" s="4">
        <f t="shared" si="3"/>
        <v>1</v>
      </c>
    </row>
    <row r="224" spans="1:7" x14ac:dyDescent="0.25">
      <c r="A224" s="3">
        <v>46090</v>
      </c>
      <c r="B224" s="3">
        <v>46096</v>
      </c>
      <c r="C224" t="s">
        <v>608</v>
      </c>
      <c r="D224">
        <f>COUNTIFS('Исходник — лиды'!$H$2:$H$4191,"&gt;="&amp;A224,'Исходник — лиды'!$H$2:$H$4191,"&lt;"&amp;B224+1)</f>
        <v>13</v>
      </c>
      <c r="E224">
        <f>COUNTIFS('Исходник — лиды'!$H$2:$H$4191,"&gt;="&amp;A224,'Исходник — лиды'!$H$2:$H$4191,"&lt;"&amp;B224+1,'Исходник — лиды'!$C$2:$C$4191,"Качественный лид")</f>
        <v>12</v>
      </c>
      <c r="F224">
        <v>78</v>
      </c>
      <c r="G224" s="4">
        <f t="shared" si="3"/>
        <v>0.92307692307692313</v>
      </c>
    </row>
    <row r="225" spans="1:7" x14ac:dyDescent="0.25">
      <c r="A225" s="3">
        <v>46097</v>
      </c>
      <c r="B225" s="3">
        <v>46103</v>
      </c>
      <c r="C225" t="s">
        <v>609</v>
      </c>
      <c r="D225">
        <f>COUNTIFS('Исходник — лиды'!$H$2:$H$4191,"&gt;="&amp;A225,'Исходник — лиды'!$H$2:$H$4191,"&lt;"&amp;B225+1)</f>
        <v>12</v>
      </c>
      <c r="E225">
        <f>COUNTIFS('Исходник — лиды'!$H$2:$H$4191,"&gt;="&amp;A225,'Исходник — лиды'!$H$2:$H$4191,"&lt;"&amp;B225+1,'Исходник — лиды'!$C$2:$C$4191,"Качественный лид")</f>
        <v>12</v>
      </c>
      <c r="F225">
        <v>141</v>
      </c>
      <c r="G225" s="4">
        <f t="shared" si="3"/>
        <v>1</v>
      </c>
    </row>
    <row r="226" spans="1:7" x14ac:dyDescent="0.25">
      <c r="A226" s="3">
        <v>46104</v>
      </c>
      <c r="B226" s="3">
        <v>46110</v>
      </c>
      <c r="C226" t="s">
        <v>610</v>
      </c>
      <c r="D226">
        <f>COUNTIFS('Исходник — лиды'!$H$2:$H$4191,"&gt;="&amp;A226,'Исходник — лиды'!$H$2:$H$4191,"&lt;"&amp;B226+1)</f>
        <v>18</v>
      </c>
      <c r="E226">
        <f>COUNTIFS('Исходник — лиды'!$H$2:$H$4191,"&gt;="&amp;A226,'Исходник — лиды'!$H$2:$H$4191,"&lt;"&amp;B226+1,'Исходник — лиды'!$C$2:$C$4191,"Качественный лид")</f>
        <v>18</v>
      </c>
      <c r="F226">
        <v>91</v>
      </c>
      <c r="G226" s="4">
        <f t="shared" si="3"/>
        <v>1</v>
      </c>
    </row>
    <row r="227" spans="1:7" x14ac:dyDescent="0.25">
      <c r="A227" s="3">
        <v>46111</v>
      </c>
      <c r="B227" s="3">
        <v>46117</v>
      </c>
      <c r="C227" t="s">
        <v>611</v>
      </c>
      <c r="D227">
        <f>COUNTIFS('Исходник — лиды'!$H$2:$H$4191,"&gt;="&amp;A227,'Исходник — лиды'!$H$2:$H$4191,"&lt;"&amp;B227+1)</f>
        <v>9</v>
      </c>
      <c r="E227">
        <f>COUNTIFS('Исходник — лиды'!$H$2:$H$4191,"&gt;="&amp;A227,'Исходник — лиды'!$H$2:$H$4191,"&lt;"&amp;B227+1,'Исходник — лиды'!$C$2:$C$4191,"Качественный лид")</f>
        <v>9</v>
      </c>
      <c r="F227">
        <v>110</v>
      </c>
      <c r="G227" s="4">
        <f t="shared" si="3"/>
        <v>1</v>
      </c>
    </row>
    <row r="228" spans="1:7" x14ac:dyDescent="0.25">
      <c r="A228" s="3">
        <v>46118</v>
      </c>
      <c r="B228" s="3">
        <v>46124</v>
      </c>
      <c r="C228" t="s">
        <v>612</v>
      </c>
      <c r="D228">
        <f>COUNTIFS('Исходник — лиды'!$H$2:$H$4191,"&gt;="&amp;A228,'Исходник — лиды'!$H$2:$H$4191,"&lt;"&amp;B228+1)</f>
        <v>24</v>
      </c>
      <c r="E228">
        <f>COUNTIFS('Исходник — лиды'!$H$2:$H$4191,"&gt;="&amp;A228,'Исходник — лиды'!$H$2:$H$4191,"&lt;"&amp;B228+1,'Исходник — лиды'!$C$2:$C$4191,"Качественный лид")</f>
        <v>24</v>
      </c>
      <c r="F228">
        <v>103</v>
      </c>
      <c r="G228" s="4">
        <f t="shared" si="3"/>
        <v>1</v>
      </c>
    </row>
    <row r="229" spans="1:7" x14ac:dyDescent="0.25">
      <c r="A229" s="3">
        <v>46125</v>
      </c>
      <c r="B229" s="3">
        <v>46131</v>
      </c>
      <c r="C229" t="s">
        <v>613</v>
      </c>
      <c r="D229">
        <f>COUNTIFS('Исходник — лиды'!$H$2:$H$4191,"&gt;="&amp;A229,'Исходник — лиды'!$H$2:$H$4191,"&lt;"&amp;B229+1)</f>
        <v>14</v>
      </c>
      <c r="E229">
        <f>COUNTIFS('Исходник — лиды'!$H$2:$H$4191,"&gt;="&amp;A229,'Исходник — лиды'!$H$2:$H$4191,"&lt;"&amp;B229+1,'Исходник — лиды'!$C$2:$C$4191,"Качественный лид")</f>
        <v>14</v>
      </c>
      <c r="F229">
        <v>80</v>
      </c>
      <c r="G229" s="4">
        <f t="shared" si="3"/>
        <v>1</v>
      </c>
    </row>
    <row r="230" spans="1:7" x14ac:dyDescent="0.25">
      <c r="A230" s="3">
        <v>46132</v>
      </c>
      <c r="B230" s="3">
        <v>46138</v>
      </c>
      <c r="C230" t="s">
        <v>614</v>
      </c>
      <c r="D230">
        <f>COUNTIFS('Исходник — лиды'!$H$2:$H$4191,"&gt;="&amp;A230,'Исходник — лиды'!$H$2:$H$4191,"&lt;"&amp;B230+1)</f>
        <v>14</v>
      </c>
      <c r="E230">
        <f>COUNTIFS('Исходник — лиды'!$H$2:$H$4191,"&gt;="&amp;A230,'Исходник — лиды'!$H$2:$H$4191,"&lt;"&amp;B230+1,'Исходник — лиды'!$C$2:$C$4191,"Качественный лид")</f>
        <v>13</v>
      </c>
      <c r="F230">
        <v>71</v>
      </c>
      <c r="G230" s="4">
        <f t="shared" si="3"/>
        <v>0.9285714285714286</v>
      </c>
    </row>
    <row r="231" spans="1:7" x14ac:dyDescent="0.25">
      <c r="A231" s="3">
        <v>46139</v>
      </c>
      <c r="B231" s="3">
        <v>46145</v>
      </c>
      <c r="C231" t="s">
        <v>615</v>
      </c>
      <c r="D231">
        <f>COUNTIFS('Исходник — лиды'!$H$2:$H$4191,"&gt;="&amp;A231,'Исходник — лиды'!$H$2:$H$4191,"&lt;"&amp;B231+1)</f>
        <v>12</v>
      </c>
      <c r="E231">
        <f>COUNTIFS('Исходник — лиды'!$H$2:$H$4191,"&gt;="&amp;A231,'Исходник — лиды'!$H$2:$H$4191,"&lt;"&amp;B231+1,'Исходник — лиды'!$C$2:$C$4191,"Качественный лид")</f>
        <v>12</v>
      </c>
      <c r="F231">
        <v>119</v>
      </c>
      <c r="G231" s="4">
        <f t="shared" si="3"/>
        <v>1</v>
      </c>
    </row>
    <row r="232" spans="1:7" x14ac:dyDescent="0.25">
      <c r="A232" s="3">
        <v>46146</v>
      </c>
      <c r="B232" s="3">
        <v>46152</v>
      </c>
      <c r="C232" t="s">
        <v>616</v>
      </c>
      <c r="D232">
        <f>COUNTIFS('Исходник — лиды'!$H$2:$H$4191,"&gt;="&amp;A232,'Исходник — лиды'!$H$2:$H$4191,"&lt;"&amp;B232+1)</f>
        <v>10</v>
      </c>
      <c r="E232">
        <f>COUNTIFS('Исходник — лиды'!$H$2:$H$4191,"&gt;="&amp;A232,'Исходник — лиды'!$H$2:$H$4191,"&lt;"&amp;B232+1,'Исходник — лиды'!$C$2:$C$4191,"Качественный лид")</f>
        <v>10</v>
      </c>
      <c r="F232">
        <v>97</v>
      </c>
      <c r="G232" s="4">
        <f t="shared" si="3"/>
        <v>1</v>
      </c>
    </row>
    <row r="233" spans="1:7" x14ac:dyDescent="0.25">
      <c r="A233" s="3">
        <v>46153</v>
      </c>
      <c r="B233" s="3">
        <v>46159</v>
      </c>
      <c r="C233" t="s">
        <v>617</v>
      </c>
      <c r="D233">
        <f>COUNTIFS('Исходник — лиды'!$H$2:$H$4191,"&gt;="&amp;A233,'Исходник — лиды'!$H$2:$H$4191,"&lt;"&amp;B233+1)</f>
        <v>11</v>
      </c>
      <c r="E233">
        <f>COUNTIFS('Исходник — лиды'!$H$2:$H$4191,"&gt;="&amp;A233,'Исходник — лиды'!$H$2:$H$4191,"&lt;"&amp;B233+1,'Исходник — лиды'!$C$2:$C$4191,"Качественный лид")</f>
        <v>11</v>
      </c>
      <c r="F233">
        <v>110</v>
      </c>
      <c r="G233" s="4">
        <f t="shared" si="3"/>
        <v>1</v>
      </c>
    </row>
    <row r="234" spans="1:7" x14ac:dyDescent="0.25">
      <c r="A234" s="3">
        <v>46160</v>
      </c>
      <c r="B234" s="3">
        <v>46166</v>
      </c>
      <c r="C234" t="s">
        <v>618</v>
      </c>
      <c r="D234">
        <f>COUNTIFS('Исходник — лиды'!$H$2:$H$4191,"&gt;="&amp;A234,'Исходник — лиды'!$H$2:$H$4191,"&lt;"&amp;B234+1)</f>
        <v>9</v>
      </c>
      <c r="E234">
        <f>COUNTIFS('Исходник — лиды'!$H$2:$H$4191,"&gt;="&amp;A234,'Исходник — лиды'!$H$2:$H$4191,"&lt;"&amp;B234+1,'Исходник — лиды'!$C$2:$C$4191,"Качественный лид")</f>
        <v>9</v>
      </c>
      <c r="F234">
        <v>102</v>
      </c>
      <c r="G234" s="4">
        <f t="shared" si="3"/>
        <v>1</v>
      </c>
    </row>
    <row r="235" spans="1:7" x14ac:dyDescent="0.25">
      <c r="A235" s="3">
        <v>46167</v>
      </c>
      <c r="B235" s="3">
        <v>46173</v>
      </c>
      <c r="C235" t="s">
        <v>619</v>
      </c>
      <c r="D235">
        <f>COUNTIFS('Исходник — лиды'!$H$2:$H$4191,"&gt;="&amp;A235,'Исходник — лиды'!$H$2:$H$4191,"&lt;"&amp;B235+1)</f>
        <v>14</v>
      </c>
      <c r="E235">
        <f>COUNTIFS('Исходник — лиды'!$H$2:$H$4191,"&gt;="&amp;A235,'Исходник — лиды'!$H$2:$H$4191,"&lt;"&amp;B235+1,'Исходник — лиды'!$C$2:$C$4191,"Качественный лид")</f>
        <v>12</v>
      </c>
      <c r="F235">
        <v>126</v>
      </c>
      <c r="G235" s="4">
        <f t="shared" si="3"/>
        <v>0.8571428571428571</v>
      </c>
    </row>
    <row r="236" spans="1:7" x14ac:dyDescent="0.25">
      <c r="A236" s="3">
        <v>46174</v>
      </c>
      <c r="B236" s="3">
        <v>46180</v>
      </c>
      <c r="C236" t="s">
        <v>620</v>
      </c>
      <c r="D236">
        <f>COUNTIFS('Исходник — лиды'!$H$2:$H$4191,"&gt;="&amp;A236,'Исходник — лиды'!$H$2:$H$4191,"&lt;"&amp;B236+1)</f>
        <v>9</v>
      </c>
      <c r="E236">
        <f>COUNTIFS('Исходник — лиды'!$H$2:$H$4191,"&gt;="&amp;A236,'Исходник — лиды'!$H$2:$H$4191,"&lt;"&amp;B236+1,'Исходник — лиды'!$C$2:$C$4191,"Качественный лид")</f>
        <v>9</v>
      </c>
      <c r="F236">
        <v>158</v>
      </c>
      <c r="G236" s="4">
        <f t="shared" si="3"/>
        <v>1</v>
      </c>
    </row>
    <row r="237" spans="1:7" x14ac:dyDescent="0.25">
      <c r="A237" s="3">
        <v>46181</v>
      </c>
      <c r="B237" s="3">
        <v>46187</v>
      </c>
      <c r="C237" t="s">
        <v>621</v>
      </c>
      <c r="D237">
        <f>COUNTIFS('Исходник — лиды'!$H$2:$H$4191,"&gt;="&amp;A237,'Исходник — лиды'!$H$2:$H$4191,"&lt;"&amp;B237+1)</f>
        <v>11</v>
      </c>
      <c r="E237">
        <f>COUNTIFS('Исходник — лиды'!$H$2:$H$4191,"&gt;="&amp;A237,'Исходник — лиды'!$H$2:$H$4191,"&lt;"&amp;B237+1,'Исходник — лиды'!$C$2:$C$4191,"Качественный лид")</f>
        <v>11</v>
      </c>
      <c r="F237">
        <v>158</v>
      </c>
      <c r="G237" s="4">
        <f t="shared" si="3"/>
        <v>1</v>
      </c>
    </row>
    <row r="238" spans="1:7" x14ac:dyDescent="0.25">
      <c r="A238" s="3">
        <v>46188</v>
      </c>
      <c r="B238" s="3">
        <v>46194</v>
      </c>
      <c r="C238" t="s">
        <v>622</v>
      </c>
      <c r="D238">
        <f>COUNTIFS('Исходник — лиды'!$H$2:$H$4191,"&gt;="&amp;A238,'Исходник — лиды'!$H$2:$H$4191,"&lt;"&amp;B238+1)</f>
        <v>13</v>
      </c>
      <c r="E238">
        <f>COUNTIFS('Исходник — лиды'!$H$2:$H$4191,"&gt;="&amp;A238,'Исходник — лиды'!$H$2:$H$4191,"&lt;"&amp;B238+1,'Исходник — лиды'!$C$2:$C$4191,"Качественный лид")</f>
        <v>12</v>
      </c>
      <c r="F238">
        <v>151</v>
      </c>
      <c r="G238" s="4">
        <f t="shared" si="3"/>
        <v>0.92307692307692313</v>
      </c>
    </row>
    <row r="239" spans="1:7" x14ac:dyDescent="0.25">
      <c r="A239" s="3">
        <v>46195</v>
      </c>
      <c r="B239" s="3">
        <v>46201</v>
      </c>
      <c r="C239" t="s">
        <v>623</v>
      </c>
      <c r="D239">
        <f>COUNTIFS('Исходник — лиды'!$H$2:$H$4191,"&gt;="&amp;A239,'Исходник — лиды'!$H$2:$H$4191,"&lt;"&amp;B239+1)</f>
        <v>12</v>
      </c>
      <c r="E239">
        <f>COUNTIFS('Исходник — лиды'!$H$2:$H$4191,"&gt;="&amp;A239,'Исходник — лиды'!$H$2:$H$4191,"&lt;"&amp;B239+1,'Исходник — лиды'!$C$2:$C$4191,"Качественный лид")</f>
        <v>12</v>
      </c>
      <c r="F239">
        <v>95</v>
      </c>
      <c r="G239" s="4">
        <f t="shared" si="3"/>
        <v>1</v>
      </c>
    </row>
    <row r="240" spans="1:7" x14ac:dyDescent="0.25">
      <c r="A240" s="3">
        <v>46202</v>
      </c>
      <c r="B240" s="3">
        <v>46208</v>
      </c>
      <c r="C240" t="s">
        <v>624</v>
      </c>
      <c r="D240">
        <f>COUNTIFS('Исходник — лиды'!$H$2:$H$4191,"&gt;="&amp;A240,'Исходник — лиды'!$H$2:$H$4191,"&lt;"&amp;B240+1)</f>
        <v>22</v>
      </c>
      <c r="E240">
        <f>COUNTIFS('Исходник — лиды'!$H$2:$H$4191,"&gt;="&amp;A240,'Исходник — лиды'!$H$2:$H$4191,"&lt;"&amp;B240+1,'Исходник — лиды'!$C$2:$C$4191,"Качественный лид")</f>
        <v>20</v>
      </c>
      <c r="F240">
        <v>138</v>
      </c>
      <c r="G240" s="4">
        <f t="shared" si="3"/>
        <v>0.90909090909090906</v>
      </c>
    </row>
    <row r="241" spans="1:7" x14ac:dyDescent="0.25">
      <c r="A241" s="3">
        <v>46209</v>
      </c>
      <c r="B241" s="3">
        <v>46215</v>
      </c>
      <c r="C241" t="s">
        <v>625</v>
      </c>
      <c r="D241">
        <f>COUNTIFS('Исходник — лиды'!$H$2:$H$4191,"&gt;="&amp;A241,'Исходник — лиды'!$H$2:$H$4191,"&lt;"&amp;B241+1)</f>
        <v>20</v>
      </c>
      <c r="E241">
        <f>COUNTIFS('Исходник — лиды'!$H$2:$H$4191,"&gt;="&amp;A241,'Исходник — лиды'!$H$2:$H$4191,"&lt;"&amp;B241+1,'Исходник — лиды'!$C$2:$C$4191,"Качественный лид")</f>
        <v>19</v>
      </c>
      <c r="F241">
        <v>124</v>
      </c>
      <c r="G241" s="4">
        <f t="shared" si="3"/>
        <v>0.95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C685-E17C-4D97-A73C-7E2DEAAA45EC}">
  <dimension ref="A1:Z4191"/>
  <sheetViews>
    <sheetView workbookViewId="0"/>
  </sheetViews>
  <sheetFormatPr defaultRowHeight="15" x14ac:dyDescent="0.25"/>
  <cols>
    <col min="1" max="3" width="28.7109375" customWidth="1"/>
    <col min="4" max="4" width="14.28515625" bestFit="1" customWidth="1"/>
    <col min="5" max="5" width="28.7109375" customWidth="1"/>
    <col min="6" max="6" width="11.5703125" bestFit="1" customWidth="1"/>
    <col min="7" max="7" width="17.28515625" bestFit="1" customWidth="1"/>
    <col min="8" max="8" width="16.5703125" bestFit="1" customWidth="1"/>
    <col min="9" max="9" width="23.140625" bestFit="1" customWidth="1"/>
    <col min="10" max="10" width="15.42578125" bestFit="1" customWidth="1"/>
    <col min="11" max="11" width="15.140625" bestFit="1" customWidth="1"/>
    <col min="12" max="12" width="15.7109375" bestFit="1" customWidth="1"/>
    <col min="13" max="13" width="16.85546875" bestFit="1" customWidth="1"/>
    <col min="14" max="14" width="15.140625" bestFit="1" customWidth="1"/>
    <col min="15" max="15" width="28.7109375" customWidth="1"/>
    <col min="16" max="16" width="24.85546875" bestFit="1" customWidth="1"/>
    <col min="17" max="17" width="16.5703125" bestFit="1" customWidth="1"/>
    <col min="18" max="18" width="18.7109375" bestFit="1" customWidth="1"/>
    <col min="19" max="19" width="13.42578125" bestFit="1" customWidth="1"/>
    <col min="20" max="20" width="16.5703125" bestFit="1" customWidth="1"/>
    <col min="21" max="21" width="13.28515625" bestFit="1" customWidth="1"/>
    <col min="22" max="22" width="17.140625" bestFit="1" customWidth="1"/>
    <col min="23" max="23" width="20.5703125" bestFit="1" customWidth="1"/>
    <col min="24" max="24" width="28.7109375" customWidth="1"/>
    <col min="25" max="25" width="22.140625" bestFit="1" customWidth="1"/>
    <col min="26" max="26" width="7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644</v>
      </c>
      <c r="B2" t="s">
        <v>42</v>
      </c>
      <c r="C2" t="s">
        <v>27</v>
      </c>
      <c r="E2" t="s">
        <v>96</v>
      </c>
      <c r="G2" t="s">
        <v>645</v>
      </c>
      <c r="H2" s="2">
        <v>46221.816666666666</v>
      </c>
      <c r="I2" t="s">
        <v>28</v>
      </c>
      <c r="Z2">
        <v>114217</v>
      </c>
    </row>
    <row r="3" spans="1:26" x14ac:dyDescent="0.25">
      <c r="A3" t="s">
        <v>92</v>
      </c>
      <c r="B3" t="s">
        <v>26</v>
      </c>
      <c r="C3" t="s">
        <v>27</v>
      </c>
      <c r="H3" s="2">
        <v>46221.457638888889</v>
      </c>
      <c r="I3" t="s">
        <v>29</v>
      </c>
      <c r="Z3">
        <v>114199</v>
      </c>
    </row>
    <row r="4" spans="1:26" x14ac:dyDescent="0.25">
      <c r="A4" t="s">
        <v>646</v>
      </c>
      <c r="B4" t="s">
        <v>42</v>
      </c>
      <c r="C4" t="s">
        <v>27</v>
      </c>
      <c r="E4" t="s">
        <v>103</v>
      </c>
      <c r="H4" s="2">
        <v>46220.90902777778</v>
      </c>
      <c r="I4" t="s">
        <v>40</v>
      </c>
      <c r="Z4">
        <v>114196</v>
      </c>
    </row>
    <row r="5" spans="1:26" x14ac:dyDescent="0.25">
      <c r="A5" t="s">
        <v>647</v>
      </c>
      <c r="B5" t="s">
        <v>42</v>
      </c>
      <c r="C5" t="s">
        <v>27</v>
      </c>
      <c r="E5" t="s">
        <v>648</v>
      </c>
      <c r="H5" s="2">
        <v>46220.602083333331</v>
      </c>
      <c r="I5" t="s">
        <v>40</v>
      </c>
      <c r="Z5">
        <v>114180</v>
      </c>
    </row>
    <row r="6" spans="1:26" x14ac:dyDescent="0.25">
      <c r="A6" t="s">
        <v>647</v>
      </c>
      <c r="B6" t="s">
        <v>42</v>
      </c>
      <c r="C6" t="s">
        <v>27</v>
      </c>
      <c r="E6" t="s">
        <v>649</v>
      </c>
      <c r="H6" s="2">
        <v>46219.740277777775</v>
      </c>
      <c r="I6" t="s">
        <v>40</v>
      </c>
      <c r="Z6">
        <v>114156</v>
      </c>
    </row>
    <row r="7" spans="1:26" x14ac:dyDescent="0.25">
      <c r="A7" t="s">
        <v>650</v>
      </c>
      <c r="B7" t="s">
        <v>42</v>
      </c>
      <c r="C7" t="s">
        <v>27</v>
      </c>
      <c r="E7" t="s">
        <v>651</v>
      </c>
      <c r="H7" s="2">
        <v>46219.643055555556</v>
      </c>
      <c r="I7" t="s">
        <v>40</v>
      </c>
      <c r="Z7">
        <v>114150</v>
      </c>
    </row>
    <row r="8" spans="1:26" x14ac:dyDescent="0.25">
      <c r="A8" t="s">
        <v>652</v>
      </c>
      <c r="B8" t="s">
        <v>42</v>
      </c>
      <c r="C8" t="s">
        <v>27</v>
      </c>
      <c r="E8" t="s">
        <v>132</v>
      </c>
      <c r="H8" s="2">
        <v>46219.427083333336</v>
      </c>
      <c r="I8" t="s">
        <v>41</v>
      </c>
      <c r="Z8">
        <v>114127</v>
      </c>
    </row>
    <row r="9" spans="1:26" x14ac:dyDescent="0.25">
      <c r="A9" t="s">
        <v>653</v>
      </c>
      <c r="B9" t="s">
        <v>42</v>
      </c>
      <c r="C9" t="s">
        <v>47</v>
      </c>
      <c r="E9" t="s">
        <v>168</v>
      </c>
      <c r="H9" s="2">
        <v>46218.487500000003</v>
      </c>
      <c r="I9" t="s">
        <v>28</v>
      </c>
      <c r="Z9">
        <v>114084</v>
      </c>
    </row>
    <row r="10" spans="1:26" x14ac:dyDescent="0.25">
      <c r="A10" t="s">
        <v>654</v>
      </c>
      <c r="B10" t="s">
        <v>42</v>
      </c>
      <c r="C10" t="s">
        <v>47</v>
      </c>
      <c r="E10" t="s">
        <v>193</v>
      </c>
      <c r="H10" s="2">
        <v>46218.17083333333</v>
      </c>
      <c r="I10" t="s">
        <v>28</v>
      </c>
      <c r="Z10">
        <v>114071</v>
      </c>
    </row>
    <row r="11" spans="1:26" x14ac:dyDescent="0.25">
      <c r="A11" t="s">
        <v>655</v>
      </c>
      <c r="B11" t="s">
        <v>42</v>
      </c>
      <c r="C11" t="s">
        <v>47</v>
      </c>
      <c r="E11" t="s">
        <v>649</v>
      </c>
      <c r="H11" s="2">
        <v>46217.82708333333</v>
      </c>
      <c r="I11" t="s">
        <v>28</v>
      </c>
      <c r="Z11">
        <v>114065</v>
      </c>
    </row>
    <row r="12" spans="1:26" x14ac:dyDescent="0.25">
      <c r="A12" t="s">
        <v>656</v>
      </c>
      <c r="B12" t="s">
        <v>42</v>
      </c>
      <c r="C12" t="s">
        <v>27</v>
      </c>
      <c r="E12" t="s">
        <v>70</v>
      </c>
      <c r="H12" s="2">
        <v>46217.607638888891</v>
      </c>
      <c r="I12" t="s">
        <v>29</v>
      </c>
      <c r="Z12">
        <v>114050</v>
      </c>
    </row>
    <row r="13" spans="1:26" x14ac:dyDescent="0.25">
      <c r="A13" t="s">
        <v>657</v>
      </c>
      <c r="B13" t="s">
        <v>26</v>
      </c>
      <c r="C13" t="s">
        <v>27</v>
      </c>
      <c r="H13" s="2">
        <v>46217.564583333333</v>
      </c>
      <c r="I13" t="s">
        <v>29</v>
      </c>
      <c r="Z13">
        <v>114045</v>
      </c>
    </row>
    <row r="14" spans="1:26" x14ac:dyDescent="0.25">
      <c r="A14" t="s">
        <v>658</v>
      </c>
      <c r="B14" t="s">
        <v>26</v>
      </c>
      <c r="C14" t="s">
        <v>27</v>
      </c>
      <c r="H14" s="2">
        <v>46217.479166666664</v>
      </c>
      <c r="I14" t="s">
        <v>29</v>
      </c>
      <c r="Z14">
        <v>114033</v>
      </c>
    </row>
    <row r="15" spans="1:26" x14ac:dyDescent="0.25">
      <c r="A15" t="s">
        <v>659</v>
      </c>
      <c r="B15" t="s">
        <v>46</v>
      </c>
      <c r="C15" t="s">
        <v>27</v>
      </c>
      <c r="E15" t="s">
        <v>169</v>
      </c>
      <c r="G15" t="s">
        <v>660</v>
      </c>
      <c r="H15" s="2">
        <v>46216.927083333336</v>
      </c>
      <c r="I15" t="s">
        <v>28</v>
      </c>
      <c r="Z15">
        <v>114018</v>
      </c>
    </row>
    <row r="16" spans="1:26" x14ac:dyDescent="0.25">
      <c r="A16" t="s">
        <v>661</v>
      </c>
      <c r="B16" t="s">
        <v>46</v>
      </c>
      <c r="C16" t="s">
        <v>27</v>
      </c>
      <c r="E16" t="s">
        <v>70</v>
      </c>
      <c r="G16" t="s">
        <v>662</v>
      </c>
      <c r="H16" s="2">
        <v>46216.836111111108</v>
      </c>
      <c r="I16" t="s">
        <v>29</v>
      </c>
      <c r="Z16">
        <v>114017</v>
      </c>
    </row>
    <row r="17" spans="1:26" x14ac:dyDescent="0.25">
      <c r="A17" t="s">
        <v>663</v>
      </c>
      <c r="B17" t="s">
        <v>42</v>
      </c>
      <c r="C17" t="s">
        <v>64</v>
      </c>
      <c r="E17" t="s">
        <v>70</v>
      </c>
      <c r="H17" s="2">
        <v>46216.829861111109</v>
      </c>
      <c r="I17" t="s">
        <v>29</v>
      </c>
      <c r="Z17">
        <v>114016</v>
      </c>
    </row>
    <row r="18" spans="1:26" x14ac:dyDescent="0.25">
      <c r="A18" t="s">
        <v>664</v>
      </c>
      <c r="B18" t="s">
        <v>26</v>
      </c>
      <c r="C18" t="s">
        <v>27</v>
      </c>
      <c r="H18" s="2">
        <v>46216.540277777778</v>
      </c>
      <c r="I18" t="s">
        <v>29</v>
      </c>
      <c r="Z18">
        <v>114000</v>
      </c>
    </row>
    <row r="19" spans="1:26" x14ac:dyDescent="0.25">
      <c r="A19" t="s">
        <v>665</v>
      </c>
      <c r="B19" t="s">
        <v>26</v>
      </c>
      <c r="C19" t="s">
        <v>27</v>
      </c>
      <c r="H19" s="2">
        <v>46216.466666666667</v>
      </c>
      <c r="I19" t="s">
        <v>28</v>
      </c>
      <c r="Z19">
        <v>113994</v>
      </c>
    </row>
    <row r="20" spans="1:26" x14ac:dyDescent="0.25">
      <c r="A20" t="s">
        <v>666</v>
      </c>
      <c r="B20" t="s">
        <v>26</v>
      </c>
      <c r="C20" t="s">
        <v>27</v>
      </c>
      <c r="H20" s="2">
        <v>46216.387499999997</v>
      </c>
      <c r="I20" t="s">
        <v>28</v>
      </c>
      <c r="Z20">
        <v>113987</v>
      </c>
    </row>
    <row r="21" spans="1:26" x14ac:dyDescent="0.25">
      <c r="A21" t="s">
        <v>667</v>
      </c>
      <c r="B21" t="s">
        <v>42</v>
      </c>
      <c r="C21" t="s">
        <v>47</v>
      </c>
      <c r="E21" t="s">
        <v>88</v>
      </c>
      <c r="G21" t="s">
        <v>668</v>
      </c>
      <c r="H21" s="2">
        <v>46215.911111111112</v>
      </c>
      <c r="I21" t="s">
        <v>28</v>
      </c>
      <c r="Z21">
        <v>113983</v>
      </c>
    </row>
    <row r="22" spans="1:26" x14ac:dyDescent="0.25">
      <c r="A22" t="s">
        <v>669</v>
      </c>
      <c r="B22" t="s">
        <v>26</v>
      </c>
      <c r="C22" t="s">
        <v>27</v>
      </c>
      <c r="H22" s="2">
        <v>46214.781944444447</v>
      </c>
      <c r="I22" t="s">
        <v>41</v>
      </c>
      <c r="K22" t="s">
        <v>33</v>
      </c>
      <c r="L22" t="s">
        <v>34</v>
      </c>
      <c r="M22" t="s">
        <v>35</v>
      </c>
      <c r="N22" t="s">
        <v>35</v>
      </c>
      <c r="O22" t="s">
        <v>35</v>
      </c>
      <c r="P22" t="s">
        <v>670</v>
      </c>
      <c r="R22" s="8">
        <v>1.7837799999999998E+23</v>
      </c>
      <c r="S22" t="s">
        <v>671</v>
      </c>
      <c r="T22" t="s">
        <v>33</v>
      </c>
      <c r="U22" t="s">
        <v>34</v>
      </c>
      <c r="V22" t="s">
        <v>35</v>
      </c>
      <c r="W22" t="s">
        <v>35</v>
      </c>
      <c r="X22" t="s">
        <v>35</v>
      </c>
      <c r="Y22">
        <v>3</v>
      </c>
      <c r="Z22">
        <v>113977</v>
      </c>
    </row>
    <row r="23" spans="1:26" x14ac:dyDescent="0.25">
      <c r="A23" t="s">
        <v>672</v>
      </c>
      <c r="B23" t="s">
        <v>26</v>
      </c>
      <c r="C23" t="s">
        <v>27</v>
      </c>
      <c r="H23" s="2">
        <v>46214.762499999997</v>
      </c>
      <c r="I23" t="s">
        <v>41</v>
      </c>
      <c r="K23" t="s">
        <v>33</v>
      </c>
      <c r="L23" t="s">
        <v>34</v>
      </c>
      <c r="M23" t="s">
        <v>35</v>
      </c>
      <c r="N23" t="s">
        <v>35</v>
      </c>
      <c r="O23" t="s">
        <v>35</v>
      </c>
      <c r="P23" t="s">
        <v>673</v>
      </c>
      <c r="R23" s="8">
        <v>1.78378E+22</v>
      </c>
      <c r="S23" t="s">
        <v>32</v>
      </c>
      <c r="T23" t="s">
        <v>33</v>
      </c>
      <c r="U23" t="s">
        <v>34</v>
      </c>
      <c r="V23" t="s">
        <v>35</v>
      </c>
      <c r="W23" t="s">
        <v>35</v>
      </c>
      <c r="X23" t="s">
        <v>35</v>
      </c>
      <c r="Y23">
        <v>399</v>
      </c>
      <c r="Z23">
        <v>113976</v>
      </c>
    </row>
    <row r="24" spans="1:26" x14ac:dyDescent="0.25">
      <c r="A24" t="s">
        <v>674</v>
      </c>
      <c r="B24" t="s">
        <v>26</v>
      </c>
      <c r="C24" t="s">
        <v>27</v>
      </c>
      <c r="H24" s="2">
        <v>46214.38958333333</v>
      </c>
      <c r="I24" t="s">
        <v>41</v>
      </c>
      <c r="Z24">
        <v>113966</v>
      </c>
    </row>
    <row r="25" spans="1:26" x14ac:dyDescent="0.25">
      <c r="A25" t="s">
        <v>675</v>
      </c>
      <c r="B25" t="s">
        <v>42</v>
      </c>
      <c r="C25" t="s">
        <v>27</v>
      </c>
      <c r="E25" t="s">
        <v>76</v>
      </c>
      <c r="H25" s="2">
        <v>46213.915277777778</v>
      </c>
      <c r="I25" t="s">
        <v>40</v>
      </c>
      <c r="Z25">
        <v>113964</v>
      </c>
    </row>
    <row r="26" spans="1:26" x14ac:dyDescent="0.25">
      <c r="A26" t="s">
        <v>676</v>
      </c>
      <c r="B26" t="s">
        <v>26</v>
      </c>
      <c r="C26" t="s">
        <v>27</v>
      </c>
      <c r="H26" s="2">
        <v>46213.800694444442</v>
      </c>
      <c r="I26" t="s">
        <v>40</v>
      </c>
      <c r="Z26">
        <v>113958</v>
      </c>
    </row>
    <row r="27" spans="1:26" x14ac:dyDescent="0.25">
      <c r="A27" t="s">
        <v>677</v>
      </c>
      <c r="B27" t="s">
        <v>26</v>
      </c>
      <c r="C27" t="s">
        <v>27</v>
      </c>
      <c r="H27" s="2">
        <v>46213.79791666667</v>
      </c>
      <c r="I27" t="s">
        <v>40</v>
      </c>
      <c r="K27" t="s">
        <v>30</v>
      </c>
      <c r="L27" t="s">
        <v>34</v>
      </c>
      <c r="M27" t="s">
        <v>35</v>
      </c>
      <c r="N27" t="s">
        <v>38</v>
      </c>
      <c r="O27" t="s">
        <v>35</v>
      </c>
      <c r="P27" t="s">
        <v>678</v>
      </c>
      <c r="R27" s="8">
        <v>1.7836999999999999E+21</v>
      </c>
      <c r="S27" t="s">
        <v>51</v>
      </c>
      <c r="T27" t="s">
        <v>30</v>
      </c>
      <c r="U27" t="s">
        <v>34</v>
      </c>
      <c r="V27" t="s">
        <v>35</v>
      </c>
      <c r="W27" t="s">
        <v>38</v>
      </c>
      <c r="X27" t="s">
        <v>35</v>
      </c>
      <c r="Y27">
        <v>438</v>
      </c>
      <c r="Z27">
        <v>113957</v>
      </c>
    </row>
    <row r="28" spans="1:26" x14ac:dyDescent="0.25">
      <c r="A28" t="s">
        <v>679</v>
      </c>
      <c r="B28" t="s">
        <v>26</v>
      </c>
      <c r="C28" t="s">
        <v>27</v>
      </c>
      <c r="H28" s="2">
        <v>46213.509722222225</v>
      </c>
      <c r="I28" t="s">
        <v>41</v>
      </c>
      <c r="Z28">
        <v>113933</v>
      </c>
    </row>
    <row r="29" spans="1:26" x14ac:dyDescent="0.25">
      <c r="A29" t="s">
        <v>680</v>
      </c>
      <c r="B29" t="s">
        <v>26</v>
      </c>
      <c r="C29" t="s">
        <v>27</v>
      </c>
      <c r="H29" s="2">
        <v>46213.38958333333</v>
      </c>
      <c r="I29" t="s">
        <v>40</v>
      </c>
      <c r="Z29">
        <v>113927</v>
      </c>
    </row>
    <row r="30" spans="1:26" x14ac:dyDescent="0.25">
      <c r="A30" t="s">
        <v>681</v>
      </c>
      <c r="B30" t="s">
        <v>36</v>
      </c>
      <c r="C30" t="s">
        <v>27</v>
      </c>
      <c r="E30" t="s">
        <v>53</v>
      </c>
      <c r="H30" s="2">
        <v>46213.386805555558</v>
      </c>
      <c r="I30" t="s">
        <v>40</v>
      </c>
      <c r="K30" t="s">
        <v>126</v>
      </c>
      <c r="L30" t="s">
        <v>31</v>
      </c>
      <c r="M30">
        <v>119789135</v>
      </c>
      <c r="N30">
        <v>16990012916</v>
      </c>
      <c r="O30" t="s">
        <v>682</v>
      </c>
      <c r="Z30">
        <v>113926</v>
      </c>
    </row>
    <row r="31" spans="1:26" x14ac:dyDescent="0.25">
      <c r="A31" t="s">
        <v>683</v>
      </c>
      <c r="B31" t="s">
        <v>26</v>
      </c>
      <c r="C31" t="s">
        <v>27</v>
      </c>
      <c r="H31" s="2">
        <v>46212.438194444447</v>
      </c>
      <c r="I31" t="s">
        <v>41</v>
      </c>
      <c r="K31" t="s">
        <v>30</v>
      </c>
      <c r="L31" t="s">
        <v>31</v>
      </c>
      <c r="M31">
        <v>119789135</v>
      </c>
      <c r="N31">
        <v>16990012919</v>
      </c>
      <c r="O31" t="s">
        <v>682</v>
      </c>
      <c r="P31" t="s">
        <v>684</v>
      </c>
      <c r="R31" s="8">
        <v>1.78229E+23</v>
      </c>
      <c r="S31" t="s">
        <v>32</v>
      </c>
      <c r="T31" t="s">
        <v>30</v>
      </c>
      <c r="U31" t="s">
        <v>31</v>
      </c>
      <c r="V31">
        <v>119789135</v>
      </c>
      <c r="W31">
        <v>16990012919</v>
      </c>
      <c r="X31" t="s">
        <v>682</v>
      </c>
      <c r="Y31">
        <v>131</v>
      </c>
      <c r="Z31">
        <v>113900</v>
      </c>
    </row>
    <row r="32" spans="1:26" x14ac:dyDescent="0.25">
      <c r="A32" t="s">
        <v>685</v>
      </c>
      <c r="B32" t="s">
        <v>46</v>
      </c>
      <c r="C32" t="s">
        <v>27</v>
      </c>
      <c r="E32" t="s">
        <v>60</v>
      </c>
      <c r="G32" t="s">
        <v>686</v>
      </c>
      <c r="H32" s="2">
        <v>46212.402083333334</v>
      </c>
      <c r="I32" t="s">
        <v>28</v>
      </c>
      <c r="Z32">
        <v>113898</v>
      </c>
    </row>
    <row r="33" spans="1:26" x14ac:dyDescent="0.25">
      <c r="A33" t="s">
        <v>687</v>
      </c>
      <c r="B33" t="s">
        <v>42</v>
      </c>
      <c r="C33" t="s">
        <v>27</v>
      </c>
      <c r="E33" t="s">
        <v>688</v>
      </c>
      <c r="H33" s="2">
        <v>46211.807638888888</v>
      </c>
      <c r="I33" t="s">
        <v>29</v>
      </c>
      <c r="Z33">
        <v>113892</v>
      </c>
    </row>
    <row r="34" spans="1:26" x14ac:dyDescent="0.25">
      <c r="A34" t="s">
        <v>689</v>
      </c>
      <c r="B34" t="s">
        <v>26</v>
      </c>
      <c r="C34" t="s">
        <v>27</v>
      </c>
      <c r="H34" s="2">
        <v>46211.698611111111</v>
      </c>
      <c r="I34" t="s">
        <v>29</v>
      </c>
      <c r="Z34">
        <v>113883</v>
      </c>
    </row>
    <row r="35" spans="1:26" x14ac:dyDescent="0.25">
      <c r="A35" t="s">
        <v>690</v>
      </c>
      <c r="B35" t="s">
        <v>42</v>
      </c>
      <c r="C35" t="s">
        <v>27</v>
      </c>
      <c r="E35" t="s">
        <v>691</v>
      </c>
      <c r="H35" s="2">
        <v>46211.190972222219</v>
      </c>
      <c r="I35" t="s">
        <v>29</v>
      </c>
      <c r="Z35">
        <v>113868</v>
      </c>
    </row>
    <row r="36" spans="1:26" x14ac:dyDescent="0.25">
      <c r="A36" t="s">
        <v>692</v>
      </c>
      <c r="B36" t="s">
        <v>26</v>
      </c>
      <c r="C36" t="s">
        <v>27</v>
      </c>
      <c r="H36" s="2">
        <v>46210.67083333333</v>
      </c>
      <c r="I36" t="s">
        <v>29</v>
      </c>
      <c r="K36" t="s">
        <v>33</v>
      </c>
      <c r="L36" t="s">
        <v>34</v>
      </c>
      <c r="M36" t="s">
        <v>35</v>
      </c>
      <c r="N36" t="s">
        <v>35</v>
      </c>
      <c r="O36" t="s">
        <v>35</v>
      </c>
      <c r="P36" t="s">
        <v>693</v>
      </c>
      <c r="R36" s="8">
        <v>1.7522999999999999E+22</v>
      </c>
      <c r="S36" t="s">
        <v>694</v>
      </c>
      <c r="T36" t="s">
        <v>33</v>
      </c>
      <c r="U36" t="s">
        <v>34</v>
      </c>
      <c r="V36" t="s">
        <v>35</v>
      </c>
      <c r="W36" t="s">
        <v>35</v>
      </c>
      <c r="X36" t="s">
        <v>35</v>
      </c>
      <c r="Y36">
        <v>110</v>
      </c>
      <c r="Z36">
        <v>113850</v>
      </c>
    </row>
    <row r="37" spans="1:26" x14ac:dyDescent="0.25">
      <c r="A37" t="s">
        <v>695</v>
      </c>
      <c r="B37" t="s">
        <v>26</v>
      </c>
      <c r="C37" t="s">
        <v>27</v>
      </c>
      <c r="H37" s="2">
        <v>46210.631249999999</v>
      </c>
      <c r="I37" t="s">
        <v>29</v>
      </c>
      <c r="Z37">
        <v>113843</v>
      </c>
    </row>
    <row r="38" spans="1:26" x14ac:dyDescent="0.25">
      <c r="A38" t="s">
        <v>127</v>
      </c>
      <c r="B38" t="s">
        <v>42</v>
      </c>
      <c r="C38" t="s">
        <v>27</v>
      </c>
      <c r="E38" t="s">
        <v>76</v>
      </c>
      <c r="H38" s="2">
        <v>46210.532638888886</v>
      </c>
      <c r="I38" t="s">
        <v>29</v>
      </c>
      <c r="Z38">
        <v>113837</v>
      </c>
    </row>
    <row r="39" spans="1:26" x14ac:dyDescent="0.25">
      <c r="A39" t="s">
        <v>696</v>
      </c>
      <c r="B39" t="s">
        <v>26</v>
      </c>
      <c r="C39" t="s">
        <v>27</v>
      </c>
      <c r="H39" s="2">
        <v>46210.394444444442</v>
      </c>
      <c r="I39" t="s">
        <v>29</v>
      </c>
      <c r="Z39">
        <v>113826</v>
      </c>
    </row>
    <row r="40" spans="1:26" x14ac:dyDescent="0.25">
      <c r="A40" t="s">
        <v>697</v>
      </c>
      <c r="B40" t="s">
        <v>42</v>
      </c>
      <c r="C40" t="s">
        <v>27</v>
      </c>
      <c r="E40" t="s">
        <v>53</v>
      </c>
      <c r="H40" s="2">
        <v>46209.863888888889</v>
      </c>
      <c r="I40" t="s">
        <v>29</v>
      </c>
      <c r="Z40">
        <v>113821</v>
      </c>
    </row>
    <row r="41" spans="1:26" x14ac:dyDescent="0.25">
      <c r="A41" t="s">
        <v>698</v>
      </c>
      <c r="B41" t="s">
        <v>36</v>
      </c>
      <c r="C41" t="s">
        <v>27</v>
      </c>
      <c r="E41" t="s">
        <v>101</v>
      </c>
      <c r="H41" s="2">
        <v>46208.352777777778</v>
      </c>
      <c r="I41" t="s">
        <v>40</v>
      </c>
      <c r="K41" t="s">
        <v>37</v>
      </c>
      <c r="Z41">
        <v>113749</v>
      </c>
    </row>
    <row r="42" spans="1:26" x14ac:dyDescent="0.25">
      <c r="A42" t="s">
        <v>699</v>
      </c>
      <c r="B42" t="s">
        <v>26</v>
      </c>
      <c r="C42" t="s">
        <v>27</v>
      </c>
      <c r="H42" s="2">
        <v>46207.678472222222</v>
      </c>
      <c r="I42" t="s">
        <v>40</v>
      </c>
      <c r="Z42">
        <v>113741</v>
      </c>
    </row>
    <row r="43" spans="1:26" x14ac:dyDescent="0.25">
      <c r="A43" t="s">
        <v>102</v>
      </c>
      <c r="B43" t="s">
        <v>77</v>
      </c>
      <c r="C43" t="s">
        <v>27</v>
      </c>
      <c r="E43" t="s">
        <v>103</v>
      </c>
      <c r="H43" s="2">
        <v>46207.504166666666</v>
      </c>
      <c r="I43" t="s">
        <v>40</v>
      </c>
      <c r="Z43">
        <v>113733</v>
      </c>
    </row>
    <row r="44" spans="1:26" x14ac:dyDescent="0.25">
      <c r="A44" t="s">
        <v>647</v>
      </c>
      <c r="B44" t="s">
        <v>46</v>
      </c>
      <c r="C44" t="s">
        <v>27</v>
      </c>
      <c r="E44" t="s">
        <v>103</v>
      </c>
      <c r="G44" t="s">
        <v>700</v>
      </c>
      <c r="H44" s="2">
        <v>46207.498611111114</v>
      </c>
      <c r="I44" t="s">
        <v>40</v>
      </c>
      <c r="Z44">
        <v>113732</v>
      </c>
    </row>
    <row r="45" spans="1:26" x14ac:dyDescent="0.25">
      <c r="A45" t="s">
        <v>701</v>
      </c>
      <c r="B45" t="s">
        <v>42</v>
      </c>
      <c r="C45" t="s">
        <v>27</v>
      </c>
      <c r="E45" t="s">
        <v>68</v>
      </c>
      <c r="H45" s="2">
        <v>46207.381249999999</v>
      </c>
      <c r="I45" t="s">
        <v>40</v>
      </c>
      <c r="Z45">
        <v>113723</v>
      </c>
    </row>
    <row r="46" spans="1:26" x14ac:dyDescent="0.25">
      <c r="A46" t="s">
        <v>652</v>
      </c>
      <c r="B46" t="s">
        <v>46</v>
      </c>
      <c r="C46" t="s">
        <v>27</v>
      </c>
      <c r="E46" t="s">
        <v>80</v>
      </c>
      <c r="G46" t="s">
        <v>702</v>
      </c>
      <c r="H46" s="2">
        <v>46207.348611111112</v>
      </c>
      <c r="I46" t="s">
        <v>28</v>
      </c>
      <c r="Z46">
        <v>113722</v>
      </c>
    </row>
    <row r="47" spans="1:26" x14ac:dyDescent="0.25">
      <c r="A47" t="s">
        <v>703</v>
      </c>
      <c r="B47" t="s">
        <v>42</v>
      </c>
      <c r="C47" t="s">
        <v>27</v>
      </c>
      <c r="E47" t="s">
        <v>44</v>
      </c>
      <c r="H47" s="2">
        <v>46206.879166666666</v>
      </c>
      <c r="I47" t="s">
        <v>41</v>
      </c>
      <c r="Z47">
        <v>113721</v>
      </c>
    </row>
    <row r="48" spans="1:26" x14ac:dyDescent="0.25">
      <c r="A48" t="s">
        <v>704</v>
      </c>
      <c r="B48" t="s">
        <v>26</v>
      </c>
      <c r="C48" t="s">
        <v>27</v>
      </c>
      <c r="H48" s="2">
        <v>46206.650694444441</v>
      </c>
      <c r="I48" t="s">
        <v>41</v>
      </c>
      <c r="Z48">
        <v>113716</v>
      </c>
    </row>
    <row r="49" spans="1:26" x14ac:dyDescent="0.25">
      <c r="A49" t="s">
        <v>705</v>
      </c>
      <c r="B49" t="s">
        <v>46</v>
      </c>
      <c r="C49" t="s">
        <v>27</v>
      </c>
      <c r="E49" t="s">
        <v>74</v>
      </c>
      <c r="G49" t="s">
        <v>706</v>
      </c>
      <c r="H49" s="2">
        <v>46206.636805555558</v>
      </c>
      <c r="I49" t="s">
        <v>28</v>
      </c>
      <c r="Z49">
        <v>113714</v>
      </c>
    </row>
    <row r="50" spans="1:26" x14ac:dyDescent="0.25">
      <c r="A50" t="s">
        <v>707</v>
      </c>
      <c r="B50" t="s">
        <v>46</v>
      </c>
      <c r="C50" t="s">
        <v>27</v>
      </c>
      <c r="E50" t="s">
        <v>80</v>
      </c>
      <c r="G50" t="s">
        <v>702</v>
      </c>
      <c r="H50" s="2">
        <v>46206.583333333336</v>
      </c>
      <c r="I50" t="s">
        <v>28</v>
      </c>
      <c r="Z50">
        <v>113711</v>
      </c>
    </row>
    <row r="51" spans="1:26" x14ac:dyDescent="0.25">
      <c r="A51" t="s">
        <v>708</v>
      </c>
      <c r="B51" t="s">
        <v>42</v>
      </c>
      <c r="C51" t="s">
        <v>47</v>
      </c>
      <c r="E51" t="s">
        <v>74</v>
      </c>
      <c r="H51" s="2">
        <v>46206.408333333333</v>
      </c>
      <c r="I51" t="s">
        <v>28</v>
      </c>
      <c r="Z51">
        <v>113694</v>
      </c>
    </row>
    <row r="52" spans="1:26" x14ac:dyDescent="0.25">
      <c r="A52" t="s">
        <v>709</v>
      </c>
      <c r="B52" t="s">
        <v>26</v>
      </c>
      <c r="C52" t="s">
        <v>27</v>
      </c>
      <c r="H52" s="2">
        <v>46205.804166666669</v>
      </c>
      <c r="I52" t="s">
        <v>29</v>
      </c>
      <c r="Z52">
        <v>113686</v>
      </c>
    </row>
    <row r="53" spans="1:26" x14ac:dyDescent="0.25">
      <c r="A53" t="s">
        <v>710</v>
      </c>
      <c r="B53" t="s">
        <v>26</v>
      </c>
      <c r="C53" t="s">
        <v>27</v>
      </c>
      <c r="H53" s="2">
        <v>46205.411111111112</v>
      </c>
      <c r="I53" t="s">
        <v>29</v>
      </c>
      <c r="K53" t="s">
        <v>33</v>
      </c>
      <c r="L53" t="s">
        <v>34</v>
      </c>
      <c r="M53" t="s">
        <v>35</v>
      </c>
      <c r="N53" t="s">
        <v>35</v>
      </c>
      <c r="O53" t="s">
        <v>35</v>
      </c>
      <c r="P53" t="s">
        <v>711</v>
      </c>
      <c r="R53" s="8">
        <v>1.78297E+23</v>
      </c>
      <c r="S53" t="s">
        <v>32</v>
      </c>
      <c r="T53" t="s">
        <v>33</v>
      </c>
      <c r="U53" t="s">
        <v>34</v>
      </c>
      <c r="V53" t="s">
        <v>35</v>
      </c>
      <c r="W53" t="s">
        <v>35</v>
      </c>
      <c r="X53" t="s">
        <v>35</v>
      </c>
      <c r="Y53">
        <v>18</v>
      </c>
      <c r="Z53">
        <v>113665</v>
      </c>
    </row>
    <row r="54" spans="1:26" x14ac:dyDescent="0.25">
      <c r="A54" t="s">
        <v>712</v>
      </c>
      <c r="B54" t="s">
        <v>42</v>
      </c>
      <c r="C54" t="s">
        <v>27</v>
      </c>
      <c r="E54" t="s">
        <v>60</v>
      </c>
      <c r="H54" s="2">
        <v>46205.293749999997</v>
      </c>
      <c r="I54" t="s">
        <v>28</v>
      </c>
      <c r="Z54">
        <v>113660</v>
      </c>
    </row>
    <row r="55" spans="1:26" x14ac:dyDescent="0.25">
      <c r="A55" t="s">
        <v>713</v>
      </c>
      <c r="B55" t="s">
        <v>26</v>
      </c>
      <c r="C55" t="s">
        <v>47</v>
      </c>
      <c r="H55" s="2">
        <v>46204.640972222223</v>
      </c>
      <c r="I55" t="s">
        <v>28</v>
      </c>
      <c r="Z55">
        <v>113645</v>
      </c>
    </row>
    <row r="56" spans="1:26" x14ac:dyDescent="0.25">
      <c r="A56" t="s">
        <v>714</v>
      </c>
      <c r="B56" t="s">
        <v>26</v>
      </c>
      <c r="C56" t="s">
        <v>27</v>
      </c>
      <c r="H56" s="2">
        <v>46204.615277777775</v>
      </c>
      <c r="I56" t="s">
        <v>29</v>
      </c>
      <c r="Z56">
        <v>113642</v>
      </c>
    </row>
    <row r="57" spans="1:26" x14ac:dyDescent="0.25">
      <c r="A57" t="s">
        <v>712</v>
      </c>
      <c r="B57" t="s">
        <v>42</v>
      </c>
      <c r="C57" t="s">
        <v>27</v>
      </c>
      <c r="E57" t="s">
        <v>715</v>
      </c>
      <c r="H57" s="2">
        <v>46204.098611111112</v>
      </c>
      <c r="I57" t="s">
        <v>28</v>
      </c>
      <c r="Z57">
        <v>113620</v>
      </c>
    </row>
    <row r="58" spans="1:26" x14ac:dyDescent="0.25">
      <c r="A58" t="s">
        <v>716</v>
      </c>
      <c r="B58" t="s">
        <v>26</v>
      </c>
      <c r="C58" t="s">
        <v>27</v>
      </c>
      <c r="H58" s="2">
        <v>46203.526388888888</v>
      </c>
      <c r="I58" t="s">
        <v>29</v>
      </c>
      <c r="K58" t="s">
        <v>30</v>
      </c>
      <c r="L58" t="s">
        <v>34</v>
      </c>
      <c r="M58" t="s">
        <v>35</v>
      </c>
      <c r="N58" t="s">
        <v>38</v>
      </c>
      <c r="O58" t="s">
        <v>35</v>
      </c>
      <c r="P58" t="s">
        <v>717</v>
      </c>
      <c r="S58" t="s">
        <v>32</v>
      </c>
      <c r="T58" t="s">
        <v>30</v>
      </c>
      <c r="U58" t="s">
        <v>34</v>
      </c>
      <c r="V58" t="s">
        <v>35</v>
      </c>
      <c r="W58" t="s">
        <v>38</v>
      </c>
      <c r="X58" t="s">
        <v>35</v>
      </c>
      <c r="Y58">
        <v>0</v>
      </c>
      <c r="Z58">
        <v>113604</v>
      </c>
    </row>
    <row r="59" spans="1:26" x14ac:dyDescent="0.25">
      <c r="A59" t="s">
        <v>718</v>
      </c>
      <c r="B59" t="s">
        <v>26</v>
      </c>
      <c r="C59" t="s">
        <v>27</v>
      </c>
      <c r="H59" s="2">
        <v>46203.490277777775</v>
      </c>
      <c r="I59" t="s">
        <v>29</v>
      </c>
      <c r="K59" t="s">
        <v>33</v>
      </c>
      <c r="L59" t="s">
        <v>34</v>
      </c>
      <c r="M59" t="s">
        <v>35</v>
      </c>
      <c r="N59" t="s">
        <v>35</v>
      </c>
      <c r="O59" t="s">
        <v>35</v>
      </c>
      <c r="P59" t="s">
        <v>719</v>
      </c>
      <c r="R59" s="8">
        <v>1.7359500000000001E+23</v>
      </c>
      <c r="S59" t="s">
        <v>32</v>
      </c>
      <c r="T59" t="s">
        <v>33</v>
      </c>
      <c r="U59" t="s">
        <v>34</v>
      </c>
      <c r="V59" t="s">
        <v>35</v>
      </c>
      <c r="W59" t="s">
        <v>35</v>
      </c>
      <c r="X59" t="s">
        <v>35</v>
      </c>
      <c r="Y59">
        <v>3</v>
      </c>
      <c r="Z59">
        <v>113603</v>
      </c>
    </row>
    <row r="60" spans="1:26" x14ac:dyDescent="0.25">
      <c r="A60" t="s">
        <v>720</v>
      </c>
      <c r="B60" t="s">
        <v>42</v>
      </c>
      <c r="C60" t="s">
        <v>27</v>
      </c>
      <c r="E60" t="s">
        <v>58</v>
      </c>
      <c r="G60" t="s">
        <v>721</v>
      </c>
      <c r="H60" s="2">
        <v>46203.363888888889</v>
      </c>
      <c r="I60" t="s">
        <v>29</v>
      </c>
      <c r="Z60">
        <v>113595</v>
      </c>
    </row>
    <row r="61" spans="1:26" x14ac:dyDescent="0.25">
      <c r="A61" t="s">
        <v>722</v>
      </c>
      <c r="B61" t="s">
        <v>26</v>
      </c>
      <c r="C61" t="s">
        <v>27</v>
      </c>
      <c r="H61" s="2">
        <v>46202.398611111108</v>
      </c>
      <c r="I61" t="s">
        <v>40</v>
      </c>
      <c r="Z61">
        <v>113561</v>
      </c>
    </row>
    <row r="62" spans="1:26" x14ac:dyDescent="0.25">
      <c r="A62" t="s">
        <v>723</v>
      </c>
      <c r="B62" t="s">
        <v>26</v>
      </c>
      <c r="C62" t="s">
        <v>27</v>
      </c>
      <c r="H62" s="2">
        <v>46202.397916666669</v>
      </c>
      <c r="I62" t="s">
        <v>41</v>
      </c>
      <c r="K62" t="s">
        <v>62</v>
      </c>
      <c r="L62" t="s">
        <v>35</v>
      </c>
      <c r="M62" t="s">
        <v>35</v>
      </c>
      <c r="N62" t="s">
        <v>35</v>
      </c>
      <c r="O62" t="s">
        <v>724</v>
      </c>
      <c r="P62" t="s">
        <v>725</v>
      </c>
      <c r="R62" s="8">
        <v>1.706E+21</v>
      </c>
      <c r="S62" t="s">
        <v>61</v>
      </c>
      <c r="T62" t="s">
        <v>62</v>
      </c>
      <c r="U62" t="s">
        <v>35</v>
      </c>
      <c r="V62" t="s">
        <v>35</v>
      </c>
      <c r="W62" t="s">
        <v>35</v>
      </c>
      <c r="X62" t="s">
        <v>724</v>
      </c>
      <c r="Y62">
        <v>713</v>
      </c>
      <c r="Z62">
        <v>113560</v>
      </c>
    </row>
    <row r="63" spans="1:26" x14ac:dyDescent="0.25">
      <c r="A63" t="s">
        <v>726</v>
      </c>
      <c r="B63" t="s">
        <v>26</v>
      </c>
      <c r="C63" t="s">
        <v>27</v>
      </c>
      <c r="H63" s="2">
        <v>46200.472916666666</v>
      </c>
      <c r="I63" t="s">
        <v>41</v>
      </c>
      <c r="Z63">
        <v>113527</v>
      </c>
    </row>
    <row r="64" spans="1:26" x14ac:dyDescent="0.25">
      <c r="A64" t="s">
        <v>727</v>
      </c>
      <c r="B64" t="s">
        <v>26</v>
      </c>
      <c r="C64" t="s">
        <v>27</v>
      </c>
      <c r="H64" s="2">
        <v>46199.800694444442</v>
      </c>
      <c r="I64" t="s">
        <v>29</v>
      </c>
      <c r="Z64">
        <v>113520</v>
      </c>
    </row>
    <row r="65" spans="1:26" x14ac:dyDescent="0.25">
      <c r="A65" t="s">
        <v>713</v>
      </c>
      <c r="B65" t="s">
        <v>26</v>
      </c>
      <c r="C65" t="s">
        <v>27</v>
      </c>
      <c r="H65" s="2">
        <v>46199.786111111112</v>
      </c>
      <c r="I65" t="s">
        <v>29</v>
      </c>
      <c r="K65" t="s">
        <v>381</v>
      </c>
      <c r="L65" t="s">
        <v>35</v>
      </c>
      <c r="M65" t="s">
        <v>35</v>
      </c>
      <c r="N65" t="s">
        <v>35</v>
      </c>
      <c r="O65" t="s">
        <v>35</v>
      </c>
      <c r="P65" t="s">
        <v>728</v>
      </c>
      <c r="R65" s="8">
        <v>1.7558899999999999E+23</v>
      </c>
      <c r="S65" t="s">
        <v>32</v>
      </c>
      <c r="T65" t="s">
        <v>381</v>
      </c>
      <c r="U65" t="s">
        <v>35</v>
      </c>
      <c r="V65" t="s">
        <v>35</v>
      </c>
      <c r="W65" t="s">
        <v>35</v>
      </c>
      <c r="X65" t="s">
        <v>35</v>
      </c>
      <c r="Y65">
        <v>1539</v>
      </c>
      <c r="Z65">
        <v>113517</v>
      </c>
    </row>
    <row r="66" spans="1:26" x14ac:dyDescent="0.25">
      <c r="A66" t="s">
        <v>729</v>
      </c>
      <c r="B66" t="s">
        <v>26</v>
      </c>
      <c r="C66" t="s">
        <v>27</v>
      </c>
      <c r="H66" s="2">
        <v>46199.59375</v>
      </c>
      <c r="I66" t="s">
        <v>41</v>
      </c>
      <c r="Z66">
        <v>113510</v>
      </c>
    </row>
    <row r="67" spans="1:26" x14ac:dyDescent="0.25">
      <c r="A67" t="s">
        <v>713</v>
      </c>
      <c r="B67" t="s">
        <v>26</v>
      </c>
      <c r="C67" t="s">
        <v>27</v>
      </c>
      <c r="H67" s="2">
        <v>46199.55972222222</v>
      </c>
      <c r="I67" t="s">
        <v>29</v>
      </c>
      <c r="K67" t="s">
        <v>30</v>
      </c>
      <c r="L67" t="s">
        <v>34</v>
      </c>
      <c r="M67" t="s">
        <v>35</v>
      </c>
      <c r="N67" t="s">
        <v>38</v>
      </c>
      <c r="O67" t="s">
        <v>35</v>
      </c>
      <c r="P67" t="s">
        <v>730</v>
      </c>
      <c r="S67" t="s">
        <v>51</v>
      </c>
      <c r="T67" t="s">
        <v>30</v>
      </c>
      <c r="U67" t="s">
        <v>34</v>
      </c>
      <c r="V67" t="s">
        <v>35</v>
      </c>
      <c r="W67" t="s">
        <v>38</v>
      </c>
      <c r="X67" t="s">
        <v>35</v>
      </c>
      <c r="Y67">
        <v>0</v>
      </c>
      <c r="Z67">
        <v>113507</v>
      </c>
    </row>
    <row r="68" spans="1:26" x14ac:dyDescent="0.25">
      <c r="A68" t="s">
        <v>731</v>
      </c>
      <c r="B68" t="s">
        <v>26</v>
      </c>
      <c r="C68" t="s">
        <v>27</v>
      </c>
      <c r="H68" s="2">
        <v>46199.554861111108</v>
      </c>
      <c r="I68" t="s">
        <v>29</v>
      </c>
      <c r="Z68">
        <v>113506</v>
      </c>
    </row>
    <row r="69" spans="1:26" x14ac:dyDescent="0.25">
      <c r="A69" t="s">
        <v>732</v>
      </c>
      <c r="B69" t="s">
        <v>26</v>
      </c>
      <c r="C69" t="s">
        <v>27</v>
      </c>
      <c r="H69" s="2">
        <v>46198.835416666669</v>
      </c>
      <c r="I69" t="s">
        <v>40</v>
      </c>
      <c r="Z69">
        <v>113493</v>
      </c>
    </row>
    <row r="70" spans="1:26" x14ac:dyDescent="0.25">
      <c r="A70" t="s">
        <v>733</v>
      </c>
      <c r="B70" t="s">
        <v>26</v>
      </c>
      <c r="C70" t="s">
        <v>27</v>
      </c>
      <c r="H70" s="2">
        <v>46198.650694444441</v>
      </c>
      <c r="I70" t="s">
        <v>40</v>
      </c>
      <c r="Z70">
        <v>113472</v>
      </c>
    </row>
    <row r="71" spans="1:26" x14ac:dyDescent="0.25">
      <c r="A71" t="s">
        <v>734</v>
      </c>
      <c r="B71" t="s">
        <v>26</v>
      </c>
      <c r="C71" t="s">
        <v>27</v>
      </c>
      <c r="H71" s="2">
        <v>46198.62222222222</v>
      </c>
      <c r="I71" t="s">
        <v>29</v>
      </c>
      <c r="Z71">
        <v>113467</v>
      </c>
    </row>
    <row r="72" spans="1:26" x14ac:dyDescent="0.25">
      <c r="A72" t="s">
        <v>92</v>
      </c>
      <c r="B72" t="s">
        <v>26</v>
      </c>
      <c r="C72" t="s">
        <v>27</v>
      </c>
      <c r="H72" s="2">
        <v>46197.595833333333</v>
      </c>
      <c r="I72" t="s">
        <v>29</v>
      </c>
      <c r="Z72">
        <v>113423</v>
      </c>
    </row>
    <row r="73" spans="1:26" x14ac:dyDescent="0.25">
      <c r="A73" t="s">
        <v>735</v>
      </c>
      <c r="B73" t="s">
        <v>26</v>
      </c>
      <c r="C73" t="s">
        <v>27</v>
      </c>
      <c r="H73" s="2">
        <v>46196.800694444442</v>
      </c>
      <c r="I73" t="s">
        <v>40</v>
      </c>
      <c r="Z73">
        <v>113396</v>
      </c>
    </row>
    <row r="74" spans="1:26" x14ac:dyDescent="0.25">
      <c r="A74" t="s">
        <v>647</v>
      </c>
      <c r="B74" t="s">
        <v>26</v>
      </c>
      <c r="C74" t="s">
        <v>27</v>
      </c>
      <c r="H74" s="2">
        <v>46195.571527777778</v>
      </c>
      <c r="I74" t="s">
        <v>40</v>
      </c>
      <c r="Z74">
        <v>113361</v>
      </c>
    </row>
    <row r="75" spans="1:26" x14ac:dyDescent="0.25">
      <c r="A75" t="s">
        <v>92</v>
      </c>
      <c r="B75" t="s">
        <v>46</v>
      </c>
      <c r="C75" t="s">
        <v>27</v>
      </c>
      <c r="E75" t="s">
        <v>44</v>
      </c>
      <c r="G75" t="s">
        <v>736</v>
      </c>
      <c r="H75" s="2">
        <v>46193.50277777778</v>
      </c>
      <c r="I75" t="s">
        <v>29</v>
      </c>
      <c r="Z75">
        <v>113304</v>
      </c>
    </row>
    <row r="76" spans="1:26" x14ac:dyDescent="0.25">
      <c r="A76" t="s">
        <v>737</v>
      </c>
      <c r="B76" t="s">
        <v>26</v>
      </c>
      <c r="C76" t="s">
        <v>27</v>
      </c>
      <c r="H76" s="2">
        <v>46193.427777777775</v>
      </c>
      <c r="I76" t="s">
        <v>41</v>
      </c>
      <c r="Z76">
        <v>113297</v>
      </c>
    </row>
    <row r="77" spans="1:26" x14ac:dyDescent="0.25">
      <c r="A77" t="s">
        <v>738</v>
      </c>
      <c r="B77" t="s">
        <v>26</v>
      </c>
      <c r="C77" t="s">
        <v>39</v>
      </c>
      <c r="H77" s="2">
        <v>46192.650694444441</v>
      </c>
      <c r="I77" t="s">
        <v>40</v>
      </c>
      <c r="Z77">
        <v>113279</v>
      </c>
    </row>
    <row r="78" spans="1:26" x14ac:dyDescent="0.25">
      <c r="A78" t="s">
        <v>738</v>
      </c>
      <c r="B78" t="s">
        <v>26</v>
      </c>
      <c r="C78" t="s">
        <v>27</v>
      </c>
      <c r="H78" s="2">
        <v>46192.65</v>
      </c>
      <c r="I78" t="s">
        <v>29</v>
      </c>
      <c r="Z78">
        <v>113278</v>
      </c>
    </row>
    <row r="79" spans="1:26" x14ac:dyDescent="0.25">
      <c r="A79" t="s">
        <v>739</v>
      </c>
      <c r="B79" t="s">
        <v>26</v>
      </c>
      <c r="C79" t="s">
        <v>27</v>
      </c>
      <c r="H79" s="2">
        <v>46192.4</v>
      </c>
      <c r="I79" t="s">
        <v>29</v>
      </c>
      <c r="Z79">
        <v>113262</v>
      </c>
    </row>
    <row r="80" spans="1:26" x14ac:dyDescent="0.25">
      <c r="A80" t="s">
        <v>92</v>
      </c>
      <c r="B80" t="s">
        <v>26</v>
      </c>
      <c r="C80" t="s">
        <v>27</v>
      </c>
      <c r="H80" s="2">
        <v>46192.356944444444</v>
      </c>
      <c r="I80" t="s">
        <v>50</v>
      </c>
      <c r="K80" t="s">
        <v>381</v>
      </c>
      <c r="L80" t="s">
        <v>35</v>
      </c>
      <c r="M80" t="s">
        <v>35</v>
      </c>
      <c r="N80" t="s">
        <v>35</v>
      </c>
      <c r="O80" t="s">
        <v>35</v>
      </c>
      <c r="P80" t="s">
        <v>740</v>
      </c>
      <c r="S80" t="s">
        <v>51</v>
      </c>
      <c r="T80" t="s">
        <v>381</v>
      </c>
      <c r="U80" t="s">
        <v>35</v>
      </c>
      <c r="V80" t="s">
        <v>35</v>
      </c>
      <c r="W80" t="s">
        <v>35</v>
      </c>
      <c r="X80" t="s">
        <v>35</v>
      </c>
      <c r="Y80">
        <v>27</v>
      </c>
      <c r="Z80">
        <v>113261</v>
      </c>
    </row>
    <row r="81" spans="1:26" x14ac:dyDescent="0.25">
      <c r="A81" t="s">
        <v>741</v>
      </c>
      <c r="B81" t="s">
        <v>26</v>
      </c>
      <c r="C81" t="s">
        <v>27</v>
      </c>
      <c r="H81" s="2">
        <v>46191.587500000001</v>
      </c>
      <c r="I81" t="s">
        <v>40</v>
      </c>
      <c r="K81" t="s">
        <v>33</v>
      </c>
      <c r="L81" t="s">
        <v>34</v>
      </c>
      <c r="M81" t="s">
        <v>35</v>
      </c>
      <c r="N81" t="s">
        <v>35</v>
      </c>
      <c r="O81" t="s">
        <v>35</v>
      </c>
      <c r="P81" t="s">
        <v>742</v>
      </c>
      <c r="R81" s="8">
        <v>1.7817799999999999E+23</v>
      </c>
      <c r="S81" t="s">
        <v>743</v>
      </c>
      <c r="T81" t="s">
        <v>33</v>
      </c>
      <c r="U81" t="s">
        <v>34</v>
      </c>
      <c r="V81" t="s">
        <v>35</v>
      </c>
      <c r="W81" t="s">
        <v>35</v>
      </c>
      <c r="X81" t="s">
        <v>35</v>
      </c>
      <c r="Y81">
        <v>57</v>
      </c>
      <c r="Z81">
        <v>113244</v>
      </c>
    </row>
    <row r="82" spans="1:26" x14ac:dyDescent="0.25">
      <c r="A82" t="s">
        <v>744</v>
      </c>
      <c r="B82" t="s">
        <v>26</v>
      </c>
      <c r="C82" t="s">
        <v>27</v>
      </c>
      <c r="H82" s="2">
        <v>46190.430555555555</v>
      </c>
      <c r="I82" t="s">
        <v>41</v>
      </c>
      <c r="Z82">
        <v>113201</v>
      </c>
    </row>
    <row r="83" spans="1:26" x14ac:dyDescent="0.25">
      <c r="A83" t="s">
        <v>745</v>
      </c>
      <c r="B83" t="s">
        <v>26</v>
      </c>
      <c r="C83" t="s">
        <v>27</v>
      </c>
      <c r="H83" s="2">
        <v>46189.556944444441</v>
      </c>
      <c r="I83" t="s">
        <v>41</v>
      </c>
      <c r="Z83">
        <v>113172</v>
      </c>
    </row>
    <row r="84" spans="1:26" x14ac:dyDescent="0.25">
      <c r="A84" t="s">
        <v>746</v>
      </c>
      <c r="B84" t="s">
        <v>26</v>
      </c>
      <c r="C84" t="s">
        <v>27</v>
      </c>
      <c r="H84" s="2">
        <v>46189.525694444441</v>
      </c>
      <c r="I84" t="s">
        <v>41</v>
      </c>
      <c r="Z84">
        <v>113167</v>
      </c>
    </row>
    <row r="85" spans="1:26" x14ac:dyDescent="0.25">
      <c r="A85" t="s">
        <v>747</v>
      </c>
      <c r="B85" t="s">
        <v>26</v>
      </c>
      <c r="C85" t="s">
        <v>27</v>
      </c>
      <c r="H85" s="2">
        <v>46189.40347222222</v>
      </c>
      <c r="I85" t="s">
        <v>41</v>
      </c>
      <c r="Z85">
        <v>113156</v>
      </c>
    </row>
    <row r="86" spans="1:26" x14ac:dyDescent="0.25">
      <c r="A86" t="s">
        <v>748</v>
      </c>
      <c r="B86" t="s">
        <v>26</v>
      </c>
      <c r="C86" t="s">
        <v>27</v>
      </c>
      <c r="H86" s="2">
        <v>46188.616666666669</v>
      </c>
      <c r="I86" t="s">
        <v>29</v>
      </c>
      <c r="Z86">
        <v>113124</v>
      </c>
    </row>
    <row r="87" spans="1:26" x14ac:dyDescent="0.25">
      <c r="A87" t="s">
        <v>713</v>
      </c>
      <c r="B87" t="s">
        <v>46</v>
      </c>
      <c r="C87" t="s">
        <v>27</v>
      </c>
      <c r="E87" t="s">
        <v>110</v>
      </c>
      <c r="G87" t="s">
        <v>749</v>
      </c>
      <c r="H87" s="2">
        <v>46188.523611111108</v>
      </c>
      <c r="I87" t="s">
        <v>29</v>
      </c>
      <c r="K87" t="s">
        <v>30</v>
      </c>
      <c r="L87" t="s">
        <v>31</v>
      </c>
      <c r="M87">
        <v>119789135</v>
      </c>
      <c r="N87">
        <v>16990012916</v>
      </c>
      <c r="O87" t="s">
        <v>682</v>
      </c>
      <c r="Z87">
        <v>113109</v>
      </c>
    </row>
    <row r="88" spans="1:26" x14ac:dyDescent="0.25">
      <c r="A88" t="s">
        <v>750</v>
      </c>
      <c r="B88" t="s">
        <v>26</v>
      </c>
      <c r="C88" t="s">
        <v>27</v>
      </c>
      <c r="H88" s="2">
        <v>46186.499305555553</v>
      </c>
      <c r="I88" t="s">
        <v>29</v>
      </c>
      <c r="Z88">
        <v>113052</v>
      </c>
    </row>
    <row r="89" spans="1:26" x14ac:dyDescent="0.25">
      <c r="A89" t="s">
        <v>713</v>
      </c>
      <c r="B89" t="s">
        <v>26</v>
      </c>
      <c r="C89" t="s">
        <v>27</v>
      </c>
      <c r="H89" s="2">
        <v>46186.43472222222</v>
      </c>
      <c r="I89" t="s">
        <v>29</v>
      </c>
      <c r="Z89">
        <v>113048</v>
      </c>
    </row>
    <row r="90" spans="1:26" x14ac:dyDescent="0.25">
      <c r="A90" t="s">
        <v>751</v>
      </c>
      <c r="B90" t="s">
        <v>46</v>
      </c>
      <c r="C90" t="s">
        <v>27</v>
      </c>
      <c r="E90" t="s">
        <v>752</v>
      </c>
      <c r="G90" t="s">
        <v>753</v>
      </c>
      <c r="H90" s="2">
        <v>46184.650694444441</v>
      </c>
      <c r="I90" t="s">
        <v>40</v>
      </c>
      <c r="Z90">
        <v>113014</v>
      </c>
    </row>
    <row r="91" spans="1:26" x14ac:dyDescent="0.25">
      <c r="A91" t="s">
        <v>754</v>
      </c>
      <c r="B91" t="s">
        <v>46</v>
      </c>
      <c r="C91" t="s">
        <v>27</v>
      </c>
      <c r="E91" t="s">
        <v>350</v>
      </c>
      <c r="G91" t="s">
        <v>755</v>
      </c>
      <c r="H91" s="2">
        <v>46183.873611111114</v>
      </c>
      <c r="I91" t="s">
        <v>40</v>
      </c>
      <c r="Z91">
        <v>112991</v>
      </c>
    </row>
    <row r="92" spans="1:26" x14ac:dyDescent="0.25">
      <c r="A92" t="s">
        <v>756</v>
      </c>
      <c r="B92" t="s">
        <v>77</v>
      </c>
      <c r="C92" t="s">
        <v>27</v>
      </c>
      <c r="E92" t="s">
        <v>757</v>
      </c>
      <c r="H92" s="2">
        <v>46183.866666666669</v>
      </c>
      <c r="I92" t="s">
        <v>40</v>
      </c>
      <c r="Z92">
        <v>112990</v>
      </c>
    </row>
    <row r="93" spans="1:26" x14ac:dyDescent="0.25">
      <c r="A93" t="s">
        <v>758</v>
      </c>
      <c r="B93" t="s">
        <v>26</v>
      </c>
      <c r="C93" t="s">
        <v>27</v>
      </c>
      <c r="H93" s="2">
        <v>46183.78402777778</v>
      </c>
      <c r="I93" t="s">
        <v>41</v>
      </c>
      <c r="Z93">
        <v>112987</v>
      </c>
    </row>
    <row r="94" spans="1:26" x14ac:dyDescent="0.25">
      <c r="A94" t="s">
        <v>759</v>
      </c>
      <c r="B94" t="s">
        <v>26</v>
      </c>
      <c r="C94" t="s">
        <v>27</v>
      </c>
      <c r="H94" s="2">
        <v>46182.720138888886</v>
      </c>
      <c r="I94" t="s">
        <v>29</v>
      </c>
      <c r="Z94">
        <v>112950</v>
      </c>
    </row>
    <row r="95" spans="1:26" x14ac:dyDescent="0.25">
      <c r="A95" t="s">
        <v>760</v>
      </c>
      <c r="B95" t="s">
        <v>26</v>
      </c>
      <c r="C95" t="s">
        <v>27</v>
      </c>
      <c r="H95" s="2">
        <v>46182.472222222219</v>
      </c>
      <c r="I95" t="s">
        <v>29</v>
      </c>
      <c r="Z95">
        <v>112931</v>
      </c>
    </row>
    <row r="96" spans="1:26" x14ac:dyDescent="0.25">
      <c r="A96" t="s">
        <v>761</v>
      </c>
      <c r="B96" t="s">
        <v>46</v>
      </c>
      <c r="C96" t="s">
        <v>27</v>
      </c>
      <c r="E96" t="s">
        <v>88</v>
      </c>
      <c r="G96" t="s">
        <v>762</v>
      </c>
      <c r="H96" s="2">
        <v>46181.558333333334</v>
      </c>
      <c r="I96" t="s">
        <v>29</v>
      </c>
      <c r="Z96">
        <v>112898</v>
      </c>
    </row>
    <row r="97" spans="1:26" x14ac:dyDescent="0.25">
      <c r="A97" t="s">
        <v>763</v>
      </c>
      <c r="B97" t="s">
        <v>26</v>
      </c>
      <c r="C97" t="s">
        <v>27</v>
      </c>
      <c r="H97" s="2">
        <v>46181.531944444447</v>
      </c>
      <c r="I97" t="s">
        <v>41</v>
      </c>
      <c r="Z97">
        <v>112895</v>
      </c>
    </row>
    <row r="98" spans="1:26" x14ac:dyDescent="0.25">
      <c r="A98" t="s">
        <v>764</v>
      </c>
      <c r="B98" t="s">
        <v>46</v>
      </c>
      <c r="C98" t="s">
        <v>27</v>
      </c>
      <c r="E98" t="s">
        <v>765</v>
      </c>
      <c r="G98" t="s">
        <v>766</v>
      </c>
      <c r="H98" s="2">
        <v>46181.504166666666</v>
      </c>
      <c r="I98" t="s">
        <v>50</v>
      </c>
      <c r="Z98">
        <v>112890</v>
      </c>
    </row>
    <row r="99" spans="1:26" x14ac:dyDescent="0.25">
      <c r="A99" t="s">
        <v>92</v>
      </c>
      <c r="B99" t="s">
        <v>26</v>
      </c>
      <c r="C99" t="s">
        <v>27</v>
      </c>
      <c r="H99" s="2">
        <v>46179.548611111109</v>
      </c>
      <c r="I99" t="s">
        <v>29</v>
      </c>
      <c r="Z99">
        <v>112835</v>
      </c>
    </row>
    <row r="100" spans="1:26" x14ac:dyDescent="0.25">
      <c r="A100" t="s">
        <v>767</v>
      </c>
      <c r="B100" t="s">
        <v>26</v>
      </c>
      <c r="C100" t="s">
        <v>27</v>
      </c>
      <c r="H100" s="2">
        <v>46177.793055555558</v>
      </c>
      <c r="I100" t="s">
        <v>41</v>
      </c>
      <c r="Z100">
        <v>112789</v>
      </c>
    </row>
    <row r="101" spans="1:26" x14ac:dyDescent="0.25">
      <c r="A101" t="s">
        <v>768</v>
      </c>
      <c r="B101" t="s">
        <v>26</v>
      </c>
      <c r="C101" t="s">
        <v>27</v>
      </c>
      <c r="H101" s="2">
        <v>46177.76666666667</v>
      </c>
      <c r="I101" t="s">
        <v>40</v>
      </c>
      <c r="Z101">
        <v>112787</v>
      </c>
    </row>
    <row r="102" spans="1:26" x14ac:dyDescent="0.25">
      <c r="A102" t="s">
        <v>769</v>
      </c>
      <c r="B102" t="s">
        <v>26</v>
      </c>
      <c r="C102" t="s">
        <v>27</v>
      </c>
      <c r="H102" s="2">
        <v>46177.68472222222</v>
      </c>
      <c r="I102" t="s">
        <v>41</v>
      </c>
      <c r="Z102">
        <v>112777</v>
      </c>
    </row>
    <row r="103" spans="1:26" x14ac:dyDescent="0.25">
      <c r="A103" t="s">
        <v>770</v>
      </c>
      <c r="B103" t="s">
        <v>26</v>
      </c>
      <c r="C103" t="s">
        <v>27</v>
      </c>
      <c r="H103" s="2">
        <v>46177.427083333336</v>
      </c>
      <c r="I103" t="s">
        <v>40</v>
      </c>
      <c r="Z103">
        <v>112756</v>
      </c>
    </row>
    <row r="104" spans="1:26" x14ac:dyDescent="0.25">
      <c r="A104" t="s">
        <v>109</v>
      </c>
      <c r="B104" t="s">
        <v>36</v>
      </c>
      <c r="C104" t="s">
        <v>27</v>
      </c>
      <c r="E104" t="s">
        <v>45</v>
      </c>
      <c r="H104" s="2">
        <v>46175.926388888889</v>
      </c>
      <c r="I104" t="s">
        <v>41</v>
      </c>
      <c r="K104" t="s">
        <v>37</v>
      </c>
      <c r="Z104">
        <v>112709</v>
      </c>
    </row>
    <row r="105" spans="1:26" x14ac:dyDescent="0.25">
      <c r="A105" t="s">
        <v>771</v>
      </c>
      <c r="B105" t="s">
        <v>36</v>
      </c>
      <c r="C105" t="s">
        <v>27</v>
      </c>
      <c r="E105" t="s">
        <v>772</v>
      </c>
      <c r="H105" s="2">
        <v>46175.807638888888</v>
      </c>
      <c r="I105" t="s">
        <v>29</v>
      </c>
      <c r="K105" t="s">
        <v>30</v>
      </c>
      <c r="L105" t="s">
        <v>31</v>
      </c>
      <c r="M105">
        <v>119789135</v>
      </c>
      <c r="N105">
        <v>16990012916</v>
      </c>
      <c r="O105" t="s">
        <v>682</v>
      </c>
      <c r="Z105">
        <v>112707</v>
      </c>
    </row>
    <row r="106" spans="1:26" x14ac:dyDescent="0.25">
      <c r="A106" t="s">
        <v>92</v>
      </c>
      <c r="B106" t="s">
        <v>26</v>
      </c>
      <c r="C106" t="s">
        <v>27</v>
      </c>
      <c r="H106" s="2">
        <v>46175.746527777781</v>
      </c>
      <c r="I106" t="s">
        <v>29</v>
      </c>
      <c r="Z106">
        <v>112706</v>
      </c>
    </row>
    <row r="107" spans="1:26" x14ac:dyDescent="0.25">
      <c r="A107" t="s">
        <v>773</v>
      </c>
      <c r="B107" t="s">
        <v>26</v>
      </c>
      <c r="C107" t="s">
        <v>27</v>
      </c>
      <c r="H107" s="2">
        <v>46175.602083333331</v>
      </c>
      <c r="I107" t="s">
        <v>29</v>
      </c>
      <c r="Z107">
        <v>112695</v>
      </c>
    </row>
    <row r="108" spans="1:26" x14ac:dyDescent="0.25">
      <c r="A108" t="s">
        <v>774</v>
      </c>
      <c r="B108" t="s">
        <v>46</v>
      </c>
      <c r="C108" t="s">
        <v>27</v>
      </c>
      <c r="E108" t="s">
        <v>135</v>
      </c>
      <c r="G108" t="s">
        <v>775</v>
      </c>
      <c r="H108" s="2">
        <v>46173.577777777777</v>
      </c>
      <c r="I108" t="s">
        <v>40</v>
      </c>
      <c r="Z108">
        <v>112618</v>
      </c>
    </row>
    <row r="109" spans="1:26" x14ac:dyDescent="0.25">
      <c r="A109" t="s">
        <v>776</v>
      </c>
      <c r="B109" t="s">
        <v>46</v>
      </c>
      <c r="C109" t="s">
        <v>64</v>
      </c>
      <c r="E109" t="s">
        <v>195</v>
      </c>
      <c r="G109" t="s">
        <v>777</v>
      </c>
      <c r="H109" s="2">
        <v>46173.515972222223</v>
      </c>
      <c r="I109" t="s">
        <v>40</v>
      </c>
      <c r="Z109">
        <v>112614</v>
      </c>
    </row>
    <row r="110" spans="1:26" x14ac:dyDescent="0.25">
      <c r="A110" t="s">
        <v>778</v>
      </c>
      <c r="B110" t="s">
        <v>46</v>
      </c>
      <c r="C110" t="s">
        <v>27</v>
      </c>
      <c r="E110" t="s">
        <v>195</v>
      </c>
      <c r="G110" t="s">
        <v>777</v>
      </c>
      <c r="H110" s="2">
        <v>46172.974305555559</v>
      </c>
      <c r="I110" t="s">
        <v>40</v>
      </c>
      <c r="Z110">
        <v>112607</v>
      </c>
    </row>
    <row r="111" spans="1:26" x14ac:dyDescent="0.25">
      <c r="A111" t="s">
        <v>779</v>
      </c>
      <c r="B111" t="s">
        <v>26</v>
      </c>
      <c r="C111" t="s">
        <v>27</v>
      </c>
      <c r="H111" s="2">
        <v>46172.60833333333</v>
      </c>
      <c r="I111" t="s">
        <v>41</v>
      </c>
      <c r="Z111">
        <v>112599</v>
      </c>
    </row>
    <row r="112" spans="1:26" x14ac:dyDescent="0.25">
      <c r="A112" t="s">
        <v>780</v>
      </c>
      <c r="B112" t="s">
        <v>46</v>
      </c>
      <c r="C112" t="s">
        <v>27</v>
      </c>
      <c r="E112" t="s">
        <v>135</v>
      </c>
      <c r="G112" t="s">
        <v>775</v>
      </c>
      <c r="H112" s="2">
        <v>46172.53402777778</v>
      </c>
      <c r="I112" t="s">
        <v>40</v>
      </c>
      <c r="Z112">
        <v>112594</v>
      </c>
    </row>
    <row r="113" spans="1:26" x14ac:dyDescent="0.25">
      <c r="A113" t="s">
        <v>781</v>
      </c>
      <c r="B113" t="s">
        <v>26</v>
      </c>
      <c r="C113" t="s">
        <v>47</v>
      </c>
      <c r="H113" s="2">
        <v>46171.537499999999</v>
      </c>
      <c r="I113" t="s">
        <v>41</v>
      </c>
      <c r="Z113">
        <v>112571</v>
      </c>
    </row>
    <row r="114" spans="1:26" x14ac:dyDescent="0.25">
      <c r="A114" t="s">
        <v>782</v>
      </c>
      <c r="B114" t="s">
        <v>26</v>
      </c>
      <c r="C114" t="s">
        <v>27</v>
      </c>
      <c r="H114" s="2">
        <v>46170.645138888889</v>
      </c>
      <c r="I114" t="s">
        <v>41</v>
      </c>
      <c r="Z114">
        <v>112548</v>
      </c>
    </row>
    <row r="115" spans="1:26" x14ac:dyDescent="0.25">
      <c r="A115" t="s">
        <v>783</v>
      </c>
      <c r="B115" t="s">
        <v>26</v>
      </c>
      <c r="C115" t="s">
        <v>27</v>
      </c>
      <c r="H115" s="2">
        <v>46170.498611111114</v>
      </c>
      <c r="I115" t="s">
        <v>41</v>
      </c>
      <c r="Z115">
        <v>112543</v>
      </c>
    </row>
    <row r="116" spans="1:26" x14ac:dyDescent="0.25">
      <c r="A116" t="s">
        <v>784</v>
      </c>
      <c r="B116" t="s">
        <v>46</v>
      </c>
      <c r="C116" t="s">
        <v>27</v>
      </c>
      <c r="E116" t="s">
        <v>53</v>
      </c>
      <c r="G116" t="s">
        <v>785</v>
      </c>
      <c r="H116" s="2">
        <v>46169.75</v>
      </c>
      <c r="I116" t="s">
        <v>41</v>
      </c>
      <c r="Z116">
        <v>112525</v>
      </c>
    </row>
    <row r="117" spans="1:26" x14ac:dyDescent="0.25">
      <c r="A117" t="s">
        <v>786</v>
      </c>
      <c r="B117" t="s">
        <v>26</v>
      </c>
      <c r="C117" t="s">
        <v>27</v>
      </c>
      <c r="H117" s="2">
        <v>46169.681250000001</v>
      </c>
      <c r="I117" t="s">
        <v>29</v>
      </c>
      <c r="Z117">
        <v>112522</v>
      </c>
    </row>
    <row r="118" spans="1:26" x14ac:dyDescent="0.25">
      <c r="A118" t="s">
        <v>787</v>
      </c>
      <c r="B118" t="s">
        <v>26</v>
      </c>
      <c r="C118" t="s">
        <v>27</v>
      </c>
      <c r="H118" s="2">
        <v>46169.60833333333</v>
      </c>
      <c r="I118" t="s">
        <v>29</v>
      </c>
      <c r="Z118">
        <v>112517</v>
      </c>
    </row>
    <row r="119" spans="1:26" x14ac:dyDescent="0.25">
      <c r="A119" t="s">
        <v>788</v>
      </c>
      <c r="B119" t="s">
        <v>26</v>
      </c>
      <c r="C119" t="s">
        <v>27</v>
      </c>
      <c r="H119" s="2">
        <v>46169.567361111112</v>
      </c>
      <c r="I119" t="s">
        <v>41</v>
      </c>
      <c r="Z119">
        <v>112513</v>
      </c>
    </row>
    <row r="120" spans="1:26" x14ac:dyDescent="0.25">
      <c r="A120" t="s">
        <v>92</v>
      </c>
      <c r="B120" t="s">
        <v>26</v>
      </c>
      <c r="C120" t="s">
        <v>27</v>
      </c>
      <c r="H120" s="2">
        <v>46168.484027777777</v>
      </c>
      <c r="I120" t="s">
        <v>29</v>
      </c>
      <c r="Z120">
        <v>112486</v>
      </c>
    </row>
    <row r="121" spans="1:26" x14ac:dyDescent="0.25">
      <c r="A121" t="s">
        <v>789</v>
      </c>
      <c r="B121" t="s">
        <v>46</v>
      </c>
      <c r="C121" t="s">
        <v>27</v>
      </c>
      <c r="E121" t="s">
        <v>80</v>
      </c>
      <c r="G121" t="s">
        <v>147</v>
      </c>
      <c r="H121" s="2">
        <v>46167.729166666664</v>
      </c>
      <c r="I121" t="s">
        <v>29</v>
      </c>
      <c r="Z121">
        <v>112476</v>
      </c>
    </row>
    <row r="122" spans="1:26" x14ac:dyDescent="0.25">
      <c r="A122" t="s">
        <v>790</v>
      </c>
      <c r="B122" t="s">
        <v>26</v>
      </c>
      <c r="C122" t="s">
        <v>27</v>
      </c>
      <c r="H122" s="2">
        <v>46165.822916666664</v>
      </c>
      <c r="I122" t="s">
        <v>41</v>
      </c>
      <c r="Z122">
        <v>112422</v>
      </c>
    </row>
    <row r="123" spans="1:26" x14ac:dyDescent="0.25">
      <c r="A123" t="s">
        <v>791</v>
      </c>
      <c r="B123" t="s">
        <v>26</v>
      </c>
      <c r="C123" t="s">
        <v>27</v>
      </c>
      <c r="H123" s="2">
        <v>46165.378472222219</v>
      </c>
      <c r="I123" t="s">
        <v>40</v>
      </c>
      <c r="Z123">
        <v>112402</v>
      </c>
    </row>
    <row r="124" spans="1:26" x14ac:dyDescent="0.25">
      <c r="A124" t="s">
        <v>792</v>
      </c>
      <c r="B124" t="s">
        <v>26</v>
      </c>
      <c r="C124" t="s">
        <v>27</v>
      </c>
      <c r="H124" s="2">
        <v>46164.509722222225</v>
      </c>
      <c r="I124" t="s">
        <v>29</v>
      </c>
      <c r="Z124">
        <v>112378</v>
      </c>
    </row>
    <row r="125" spans="1:26" x14ac:dyDescent="0.25">
      <c r="A125" t="s">
        <v>793</v>
      </c>
      <c r="B125" t="s">
        <v>46</v>
      </c>
      <c r="C125" t="s">
        <v>27</v>
      </c>
      <c r="E125" t="s">
        <v>765</v>
      </c>
      <c r="G125" t="s">
        <v>766</v>
      </c>
      <c r="H125" s="2">
        <v>46164.121527777781</v>
      </c>
      <c r="I125" t="s">
        <v>41</v>
      </c>
      <c r="Z125">
        <v>112363</v>
      </c>
    </row>
    <row r="126" spans="1:26" x14ac:dyDescent="0.25">
      <c r="A126" t="s">
        <v>794</v>
      </c>
      <c r="B126" t="s">
        <v>26</v>
      </c>
      <c r="C126" t="s">
        <v>27</v>
      </c>
      <c r="H126" s="2">
        <v>46162.70416666667</v>
      </c>
      <c r="I126" t="s">
        <v>40</v>
      </c>
      <c r="Z126">
        <v>112307</v>
      </c>
    </row>
    <row r="127" spans="1:26" x14ac:dyDescent="0.25">
      <c r="A127" t="s">
        <v>795</v>
      </c>
      <c r="B127" t="s">
        <v>26</v>
      </c>
      <c r="C127" t="s">
        <v>27</v>
      </c>
      <c r="H127" s="2">
        <v>46162.577777777777</v>
      </c>
      <c r="I127" t="s">
        <v>40</v>
      </c>
      <c r="Z127">
        <v>112301</v>
      </c>
    </row>
    <row r="128" spans="1:26" x14ac:dyDescent="0.25">
      <c r="A128" t="s">
        <v>796</v>
      </c>
      <c r="B128" t="s">
        <v>46</v>
      </c>
      <c r="C128" t="s">
        <v>27</v>
      </c>
      <c r="E128" t="s">
        <v>84</v>
      </c>
      <c r="G128" t="s">
        <v>797</v>
      </c>
      <c r="H128" s="2">
        <v>46162.556944444441</v>
      </c>
      <c r="I128" t="s">
        <v>40</v>
      </c>
      <c r="Z128">
        <v>112300</v>
      </c>
    </row>
    <row r="129" spans="1:26" x14ac:dyDescent="0.25">
      <c r="A129" t="s">
        <v>92</v>
      </c>
      <c r="B129" t="s">
        <v>26</v>
      </c>
      <c r="C129" t="s">
        <v>27</v>
      </c>
      <c r="H129" s="2">
        <v>46162.525694444441</v>
      </c>
      <c r="I129" t="s">
        <v>29</v>
      </c>
      <c r="Z129">
        <v>112297</v>
      </c>
    </row>
    <row r="130" spans="1:26" x14ac:dyDescent="0.25">
      <c r="A130" t="s">
        <v>798</v>
      </c>
      <c r="B130" t="s">
        <v>26</v>
      </c>
      <c r="C130" t="s">
        <v>27</v>
      </c>
      <c r="H130" s="2">
        <v>46160.484027777777</v>
      </c>
      <c r="I130" t="s">
        <v>40</v>
      </c>
      <c r="Z130">
        <v>112201</v>
      </c>
    </row>
    <row r="131" spans="1:26" x14ac:dyDescent="0.25">
      <c r="A131" t="s">
        <v>92</v>
      </c>
      <c r="B131" t="s">
        <v>26</v>
      </c>
      <c r="C131" t="s">
        <v>27</v>
      </c>
      <c r="H131" s="2">
        <v>46158.606249999997</v>
      </c>
      <c r="I131" t="s">
        <v>29</v>
      </c>
      <c r="Z131">
        <v>112155</v>
      </c>
    </row>
    <row r="132" spans="1:26" x14ac:dyDescent="0.25">
      <c r="A132" t="s">
        <v>652</v>
      </c>
      <c r="B132" t="s">
        <v>46</v>
      </c>
      <c r="C132" t="s">
        <v>27</v>
      </c>
      <c r="E132" t="s">
        <v>799</v>
      </c>
      <c r="G132" t="s">
        <v>800</v>
      </c>
      <c r="H132" s="2">
        <v>46157.834027777775</v>
      </c>
      <c r="I132" t="s">
        <v>41</v>
      </c>
      <c r="Z132">
        <v>112135</v>
      </c>
    </row>
    <row r="133" spans="1:26" x14ac:dyDescent="0.25">
      <c r="A133" t="s">
        <v>92</v>
      </c>
      <c r="B133" t="s">
        <v>26</v>
      </c>
      <c r="C133" t="s">
        <v>27</v>
      </c>
      <c r="H133" s="2">
        <v>46157.67291666667</v>
      </c>
      <c r="I133" t="s">
        <v>29</v>
      </c>
      <c r="Z133">
        <v>112130</v>
      </c>
    </row>
    <row r="134" spans="1:26" x14ac:dyDescent="0.25">
      <c r="A134" t="s">
        <v>801</v>
      </c>
      <c r="B134" t="s">
        <v>26</v>
      </c>
      <c r="C134" t="s">
        <v>27</v>
      </c>
      <c r="H134" s="2">
        <v>46157.47152777778</v>
      </c>
      <c r="I134" t="s">
        <v>41</v>
      </c>
      <c r="Z134">
        <v>112107</v>
      </c>
    </row>
    <row r="135" spans="1:26" x14ac:dyDescent="0.25">
      <c r="A135" t="s">
        <v>92</v>
      </c>
      <c r="B135" t="s">
        <v>26</v>
      </c>
      <c r="C135" t="s">
        <v>27</v>
      </c>
      <c r="H135" s="2">
        <v>46157.455555555556</v>
      </c>
      <c r="I135" t="s">
        <v>29</v>
      </c>
      <c r="Z135">
        <v>112104</v>
      </c>
    </row>
    <row r="136" spans="1:26" x14ac:dyDescent="0.25">
      <c r="A136" t="s">
        <v>92</v>
      </c>
      <c r="B136" t="s">
        <v>26</v>
      </c>
      <c r="C136" t="s">
        <v>27</v>
      </c>
      <c r="H136" s="2">
        <v>46156.772222222222</v>
      </c>
      <c r="I136" t="s">
        <v>29</v>
      </c>
      <c r="Z136">
        <v>112086</v>
      </c>
    </row>
    <row r="137" spans="1:26" x14ac:dyDescent="0.25">
      <c r="A137" t="s">
        <v>802</v>
      </c>
      <c r="B137" t="s">
        <v>26</v>
      </c>
      <c r="C137" t="s">
        <v>27</v>
      </c>
      <c r="H137" s="2">
        <v>46156.542361111111</v>
      </c>
      <c r="I137" t="s">
        <v>40</v>
      </c>
      <c r="Z137">
        <v>112062</v>
      </c>
    </row>
    <row r="138" spans="1:26" x14ac:dyDescent="0.25">
      <c r="A138" t="s">
        <v>803</v>
      </c>
      <c r="B138" t="s">
        <v>26</v>
      </c>
      <c r="C138" t="s">
        <v>27</v>
      </c>
      <c r="H138" s="2">
        <v>46155.4</v>
      </c>
      <c r="I138" t="s">
        <v>40</v>
      </c>
      <c r="Z138">
        <v>112010</v>
      </c>
    </row>
    <row r="139" spans="1:26" x14ac:dyDescent="0.25">
      <c r="A139" t="s">
        <v>804</v>
      </c>
      <c r="B139" t="s">
        <v>26</v>
      </c>
      <c r="C139" t="s">
        <v>27</v>
      </c>
      <c r="H139" s="2">
        <v>46155.382638888892</v>
      </c>
      <c r="I139" t="s">
        <v>40</v>
      </c>
      <c r="Z139">
        <v>112008</v>
      </c>
    </row>
    <row r="140" spans="1:26" x14ac:dyDescent="0.25">
      <c r="A140" t="s">
        <v>805</v>
      </c>
      <c r="B140" t="s">
        <v>46</v>
      </c>
      <c r="C140" t="s">
        <v>27</v>
      </c>
      <c r="E140" t="s">
        <v>53</v>
      </c>
      <c r="G140" t="s">
        <v>806</v>
      </c>
      <c r="H140" s="2">
        <v>46153.769444444442</v>
      </c>
      <c r="I140" t="s">
        <v>40</v>
      </c>
      <c r="Z140">
        <v>111961</v>
      </c>
    </row>
    <row r="141" spans="1:26" x14ac:dyDescent="0.25">
      <c r="A141" t="s">
        <v>807</v>
      </c>
      <c r="B141" t="s">
        <v>26</v>
      </c>
      <c r="C141" t="s">
        <v>27</v>
      </c>
      <c r="H141" s="2">
        <v>46153.729166666664</v>
      </c>
      <c r="I141" t="s">
        <v>41</v>
      </c>
      <c r="Z141">
        <v>111958</v>
      </c>
    </row>
    <row r="142" spans="1:26" x14ac:dyDescent="0.25">
      <c r="A142" t="s">
        <v>808</v>
      </c>
      <c r="B142" t="s">
        <v>26</v>
      </c>
      <c r="C142" t="s">
        <v>27</v>
      </c>
      <c r="H142" s="2">
        <v>46152.463888888888</v>
      </c>
      <c r="I142" t="s">
        <v>41</v>
      </c>
      <c r="Z142">
        <v>111918</v>
      </c>
    </row>
    <row r="143" spans="1:26" x14ac:dyDescent="0.25">
      <c r="A143" t="s">
        <v>809</v>
      </c>
      <c r="B143" t="s">
        <v>26</v>
      </c>
      <c r="C143" t="s">
        <v>27</v>
      </c>
      <c r="H143" s="2">
        <v>46151.522222222222</v>
      </c>
      <c r="I143" t="s">
        <v>29</v>
      </c>
      <c r="Z143">
        <v>111895</v>
      </c>
    </row>
    <row r="144" spans="1:26" x14ac:dyDescent="0.25">
      <c r="A144" t="s">
        <v>810</v>
      </c>
      <c r="B144" t="s">
        <v>26</v>
      </c>
      <c r="C144" t="s">
        <v>27</v>
      </c>
      <c r="H144" s="2">
        <v>46150.742361111108</v>
      </c>
      <c r="I144" t="s">
        <v>40</v>
      </c>
      <c r="Z144">
        <v>111883</v>
      </c>
    </row>
    <row r="145" spans="1:26" x14ac:dyDescent="0.25">
      <c r="A145" t="s">
        <v>811</v>
      </c>
      <c r="B145" t="s">
        <v>26</v>
      </c>
      <c r="C145" t="s">
        <v>27</v>
      </c>
      <c r="H145" s="2">
        <v>46149.615277777775</v>
      </c>
      <c r="I145" t="s">
        <v>29</v>
      </c>
      <c r="Z145">
        <v>111847</v>
      </c>
    </row>
    <row r="146" spans="1:26" x14ac:dyDescent="0.25">
      <c r="A146" t="s">
        <v>812</v>
      </c>
      <c r="B146" t="s">
        <v>26</v>
      </c>
      <c r="C146" t="s">
        <v>27</v>
      </c>
      <c r="H146" s="2">
        <v>46148.681944444441</v>
      </c>
      <c r="I146" t="s">
        <v>41</v>
      </c>
      <c r="Z146">
        <v>111824</v>
      </c>
    </row>
    <row r="147" spans="1:26" x14ac:dyDescent="0.25">
      <c r="A147" t="s">
        <v>813</v>
      </c>
      <c r="B147" t="s">
        <v>26</v>
      </c>
      <c r="C147" t="s">
        <v>27</v>
      </c>
      <c r="H147" s="2">
        <v>46148.385416666664</v>
      </c>
      <c r="I147" t="s">
        <v>41</v>
      </c>
      <c r="Z147">
        <v>111796</v>
      </c>
    </row>
    <row r="148" spans="1:26" x14ac:dyDescent="0.25">
      <c r="A148" t="s">
        <v>814</v>
      </c>
      <c r="B148" t="s">
        <v>26</v>
      </c>
      <c r="C148" t="s">
        <v>27</v>
      </c>
      <c r="H148" s="2">
        <v>46148.243055555555</v>
      </c>
      <c r="I148" t="s">
        <v>41</v>
      </c>
      <c r="Z148">
        <v>111794</v>
      </c>
    </row>
    <row r="149" spans="1:26" x14ac:dyDescent="0.25">
      <c r="A149" t="s">
        <v>815</v>
      </c>
      <c r="B149" t="s">
        <v>26</v>
      </c>
      <c r="C149" t="s">
        <v>27</v>
      </c>
      <c r="H149" s="2">
        <v>46147.752083333333</v>
      </c>
      <c r="I149" t="s">
        <v>40</v>
      </c>
      <c r="Z149">
        <v>111781</v>
      </c>
    </row>
    <row r="150" spans="1:26" x14ac:dyDescent="0.25">
      <c r="A150" t="s">
        <v>816</v>
      </c>
      <c r="B150" t="s">
        <v>26</v>
      </c>
      <c r="C150" t="s">
        <v>27</v>
      </c>
      <c r="H150" s="2">
        <v>46146.646527777775</v>
      </c>
      <c r="I150" t="s">
        <v>41</v>
      </c>
      <c r="Z150">
        <v>111726</v>
      </c>
    </row>
    <row r="151" spans="1:26" x14ac:dyDescent="0.25">
      <c r="A151" t="s">
        <v>817</v>
      </c>
      <c r="B151" t="s">
        <v>26</v>
      </c>
      <c r="C151" t="s">
        <v>27</v>
      </c>
      <c r="H151" s="2">
        <v>46146.507638888892</v>
      </c>
      <c r="I151" t="s">
        <v>41</v>
      </c>
      <c r="Z151">
        <v>111711</v>
      </c>
    </row>
    <row r="152" spans="1:26" x14ac:dyDescent="0.25">
      <c r="A152" t="s">
        <v>818</v>
      </c>
      <c r="B152" t="s">
        <v>26</v>
      </c>
      <c r="C152" t="s">
        <v>27</v>
      </c>
      <c r="H152" s="2">
        <v>46142.755555555559</v>
      </c>
      <c r="I152" t="s">
        <v>41</v>
      </c>
      <c r="Z152">
        <v>111614</v>
      </c>
    </row>
    <row r="153" spans="1:26" x14ac:dyDescent="0.25">
      <c r="A153" t="s">
        <v>819</v>
      </c>
      <c r="B153" t="s">
        <v>26</v>
      </c>
      <c r="C153" t="s">
        <v>27</v>
      </c>
      <c r="H153" s="2">
        <v>46141.45</v>
      </c>
      <c r="I153" t="s">
        <v>40</v>
      </c>
      <c r="Z153">
        <v>111554</v>
      </c>
    </row>
    <row r="154" spans="1:26" x14ac:dyDescent="0.25">
      <c r="A154" t="s">
        <v>820</v>
      </c>
      <c r="B154" t="s">
        <v>46</v>
      </c>
      <c r="C154" t="s">
        <v>27</v>
      </c>
      <c r="E154" t="s">
        <v>821</v>
      </c>
      <c r="G154" t="s">
        <v>822</v>
      </c>
      <c r="H154" s="2">
        <v>46141.442361111112</v>
      </c>
      <c r="I154" t="s">
        <v>40</v>
      </c>
      <c r="Z154">
        <v>111552</v>
      </c>
    </row>
    <row r="155" spans="1:26" x14ac:dyDescent="0.25">
      <c r="A155" t="s">
        <v>823</v>
      </c>
      <c r="B155" t="s">
        <v>26</v>
      </c>
      <c r="C155" t="s">
        <v>27</v>
      </c>
      <c r="H155" s="2">
        <v>46140.572222222225</v>
      </c>
      <c r="I155" t="s">
        <v>41</v>
      </c>
      <c r="Z155">
        <v>111517</v>
      </c>
    </row>
    <row r="156" spans="1:26" x14ac:dyDescent="0.25">
      <c r="A156" t="s">
        <v>824</v>
      </c>
      <c r="B156" t="s">
        <v>26</v>
      </c>
      <c r="C156" t="s">
        <v>27</v>
      </c>
      <c r="H156" s="2">
        <v>46140.554861111108</v>
      </c>
      <c r="I156" t="s">
        <v>95</v>
      </c>
      <c r="Z156">
        <v>111516</v>
      </c>
    </row>
    <row r="157" spans="1:26" x14ac:dyDescent="0.25">
      <c r="A157" t="s">
        <v>825</v>
      </c>
      <c r="B157" t="s">
        <v>26</v>
      </c>
      <c r="C157" t="s">
        <v>27</v>
      </c>
      <c r="H157" s="2">
        <v>46140.521527777775</v>
      </c>
      <c r="I157" t="s">
        <v>41</v>
      </c>
      <c r="Z157">
        <v>111515</v>
      </c>
    </row>
    <row r="158" spans="1:26" x14ac:dyDescent="0.25">
      <c r="A158" t="s">
        <v>826</v>
      </c>
      <c r="B158" t="s">
        <v>26</v>
      </c>
      <c r="C158" t="s">
        <v>27</v>
      </c>
      <c r="H158" s="2">
        <v>46140.40347222222</v>
      </c>
      <c r="I158" t="s">
        <v>95</v>
      </c>
      <c r="Z158">
        <v>111502</v>
      </c>
    </row>
    <row r="159" spans="1:26" x14ac:dyDescent="0.25">
      <c r="A159" t="s">
        <v>827</v>
      </c>
      <c r="B159" t="s">
        <v>26</v>
      </c>
      <c r="C159" t="s">
        <v>27</v>
      </c>
      <c r="H159" s="2">
        <v>46139.830555555556</v>
      </c>
      <c r="I159" t="s">
        <v>95</v>
      </c>
      <c r="Z159">
        <v>111496</v>
      </c>
    </row>
    <row r="160" spans="1:26" x14ac:dyDescent="0.25">
      <c r="A160" t="s">
        <v>828</v>
      </c>
      <c r="B160" t="s">
        <v>46</v>
      </c>
      <c r="C160" t="s">
        <v>27</v>
      </c>
      <c r="E160" t="s">
        <v>335</v>
      </c>
      <c r="G160" t="s">
        <v>287</v>
      </c>
      <c r="H160" s="2">
        <v>46139.794444444444</v>
      </c>
      <c r="I160" t="s">
        <v>95</v>
      </c>
      <c r="Z160">
        <v>111495</v>
      </c>
    </row>
    <row r="161" spans="1:26" x14ac:dyDescent="0.25">
      <c r="A161" t="s">
        <v>829</v>
      </c>
      <c r="B161" t="s">
        <v>26</v>
      </c>
      <c r="C161" t="s">
        <v>27</v>
      </c>
      <c r="H161" s="2">
        <v>46139.759027777778</v>
      </c>
      <c r="I161" t="s">
        <v>95</v>
      </c>
      <c r="Z161">
        <v>111492</v>
      </c>
    </row>
    <row r="162" spans="1:26" x14ac:dyDescent="0.25">
      <c r="A162" t="s">
        <v>830</v>
      </c>
      <c r="B162" t="s">
        <v>26</v>
      </c>
      <c r="C162" t="s">
        <v>27</v>
      </c>
      <c r="H162" s="2">
        <v>46139.553472222222</v>
      </c>
      <c r="I162" t="s">
        <v>29</v>
      </c>
      <c r="Z162">
        <v>111481</v>
      </c>
    </row>
    <row r="163" spans="1:26" x14ac:dyDescent="0.25">
      <c r="A163" t="s">
        <v>831</v>
      </c>
      <c r="B163" t="s">
        <v>26</v>
      </c>
      <c r="C163" t="s">
        <v>27</v>
      </c>
      <c r="H163" s="2">
        <v>46139.378472222219</v>
      </c>
      <c r="I163" t="s">
        <v>29</v>
      </c>
      <c r="Z163">
        <v>111467</v>
      </c>
    </row>
    <row r="164" spans="1:26" x14ac:dyDescent="0.25">
      <c r="A164" t="s">
        <v>832</v>
      </c>
      <c r="B164" t="s">
        <v>26</v>
      </c>
      <c r="C164" t="s">
        <v>27</v>
      </c>
      <c r="H164" s="2">
        <v>46138.878472222219</v>
      </c>
      <c r="I164" t="s">
        <v>29</v>
      </c>
      <c r="Z164">
        <v>111465</v>
      </c>
    </row>
    <row r="165" spans="1:26" x14ac:dyDescent="0.25">
      <c r="A165" t="s">
        <v>59</v>
      </c>
      <c r="B165" t="s">
        <v>46</v>
      </c>
      <c r="C165" t="s">
        <v>59</v>
      </c>
      <c r="E165" t="s">
        <v>821</v>
      </c>
      <c r="G165" t="s">
        <v>822</v>
      </c>
      <c r="H165" s="2">
        <v>46137.930555555555</v>
      </c>
      <c r="I165" t="s">
        <v>95</v>
      </c>
      <c r="Z165">
        <v>111436</v>
      </c>
    </row>
    <row r="166" spans="1:26" x14ac:dyDescent="0.25">
      <c r="A166" t="s">
        <v>833</v>
      </c>
      <c r="B166" t="s">
        <v>26</v>
      </c>
      <c r="C166" t="s">
        <v>27</v>
      </c>
      <c r="H166" s="2">
        <v>46137.544444444444</v>
      </c>
      <c r="I166" t="s">
        <v>29</v>
      </c>
      <c r="Z166">
        <v>111421</v>
      </c>
    </row>
    <row r="167" spans="1:26" x14ac:dyDescent="0.25">
      <c r="A167" t="s">
        <v>834</v>
      </c>
      <c r="B167" t="s">
        <v>26</v>
      </c>
      <c r="C167" t="s">
        <v>27</v>
      </c>
      <c r="H167" s="2">
        <v>46137.447916666664</v>
      </c>
      <c r="I167" t="s">
        <v>40</v>
      </c>
      <c r="Z167">
        <v>111418</v>
      </c>
    </row>
    <row r="168" spans="1:26" x14ac:dyDescent="0.25">
      <c r="A168" t="s">
        <v>835</v>
      </c>
      <c r="B168" t="s">
        <v>46</v>
      </c>
      <c r="C168" t="s">
        <v>27</v>
      </c>
      <c r="E168" t="s">
        <v>112</v>
      </c>
      <c r="G168" t="s">
        <v>836</v>
      </c>
      <c r="H168" s="2">
        <v>46136.691666666666</v>
      </c>
      <c r="I168" t="s">
        <v>40</v>
      </c>
      <c r="Z168">
        <v>111403</v>
      </c>
    </row>
    <row r="169" spans="1:26" x14ac:dyDescent="0.25">
      <c r="A169" t="s">
        <v>837</v>
      </c>
      <c r="B169" t="s">
        <v>26</v>
      </c>
      <c r="C169" t="s">
        <v>27</v>
      </c>
      <c r="H169" s="2">
        <v>46136.679166666669</v>
      </c>
      <c r="I169" t="s">
        <v>41</v>
      </c>
      <c r="Z169">
        <v>111400</v>
      </c>
    </row>
    <row r="170" spans="1:26" x14ac:dyDescent="0.25">
      <c r="A170" t="s">
        <v>838</v>
      </c>
      <c r="B170" t="s">
        <v>26</v>
      </c>
      <c r="C170" t="s">
        <v>27</v>
      </c>
      <c r="H170" s="2">
        <v>46136.534722222219</v>
      </c>
      <c r="I170" t="s">
        <v>40</v>
      </c>
      <c r="Z170">
        <v>111386</v>
      </c>
    </row>
    <row r="171" spans="1:26" x14ac:dyDescent="0.25">
      <c r="A171" t="s">
        <v>839</v>
      </c>
      <c r="B171" t="s">
        <v>26</v>
      </c>
      <c r="C171" t="s">
        <v>27</v>
      </c>
      <c r="H171" s="2">
        <v>46134.671527777777</v>
      </c>
      <c r="I171" t="s">
        <v>95</v>
      </c>
      <c r="Z171">
        <v>111342</v>
      </c>
    </row>
    <row r="172" spans="1:26" x14ac:dyDescent="0.25">
      <c r="A172" t="s">
        <v>840</v>
      </c>
      <c r="B172" t="s">
        <v>26</v>
      </c>
      <c r="C172" t="s">
        <v>27</v>
      </c>
      <c r="H172" s="2">
        <v>46134.54583333333</v>
      </c>
      <c r="I172" t="s">
        <v>95</v>
      </c>
      <c r="Z172">
        <v>111331</v>
      </c>
    </row>
    <row r="173" spans="1:26" x14ac:dyDescent="0.25">
      <c r="A173" t="s">
        <v>841</v>
      </c>
      <c r="B173" t="s">
        <v>26</v>
      </c>
      <c r="C173" t="s">
        <v>27</v>
      </c>
      <c r="H173" s="2">
        <v>46134.431944444441</v>
      </c>
      <c r="I173" t="s">
        <v>95</v>
      </c>
      <c r="Z173">
        <v>111322</v>
      </c>
    </row>
    <row r="174" spans="1:26" x14ac:dyDescent="0.25">
      <c r="A174" t="s">
        <v>842</v>
      </c>
      <c r="B174" t="s">
        <v>46</v>
      </c>
      <c r="C174" t="s">
        <v>27</v>
      </c>
      <c r="E174" t="s">
        <v>80</v>
      </c>
      <c r="G174" t="s">
        <v>843</v>
      </c>
      <c r="H174" s="2">
        <v>46133.967361111114</v>
      </c>
      <c r="I174" t="s">
        <v>95</v>
      </c>
      <c r="Z174">
        <v>111314</v>
      </c>
    </row>
    <row r="175" spans="1:26" x14ac:dyDescent="0.25">
      <c r="A175" t="s">
        <v>844</v>
      </c>
      <c r="B175" t="s">
        <v>46</v>
      </c>
      <c r="C175" t="s">
        <v>27</v>
      </c>
      <c r="E175" t="s">
        <v>88</v>
      </c>
      <c r="G175" t="s">
        <v>123</v>
      </c>
      <c r="H175" s="2">
        <v>46133.745138888888</v>
      </c>
      <c r="I175" t="s">
        <v>95</v>
      </c>
      <c r="Z175">
        <v>111310</v>
      </c>
    </row>
    <row r="176" spans="1:26" x14ac:dyDescent="0.25">
      <c r="A176" t="s">
        <v>845</v>
      </c>
      <c r="B176" t="s">
        <v>26</v>
      </c>
      <c r="C176" t="s">
        <v>27</v>
      </c>
      <c r="H176" s="2">
        <v>46133.524305555555</v>
      </c>
      <c r="I176" t="s">
        <v>95</v>
      </c>
      <c r="Z176">
        <v>111302</v>
      </c>
    </row>
    <row r="177" spans="1:26" x14ac:dyDescent="0.25">
      <c r="A177" t="s">
        <v>846</v>
      </c>
      <c r="B177" t="s">
        <v>46</v>
      </c>
      <c r="C177" t="s">
        <v>27</v>
      </c>
      <c r="E177" t="s">
        <v>90</v>
      </c>
      <c r="G177" t="s">
        <v>847</v>
      </c>
      <c r="H177" s="2">
        <v>46133.414583333331</v>
      </c>
      <c r="I177" t="s">
        <v>95</v>
      </c>
      <c r="Z177">
        <v>111292</v>
      </c>
    </row>
    <row r="178" spans="1:26" x14ac:dyDescent="0.25">
      <c r="A178" t="s">
        <v>848</v>
      </c>
      <c r="B178" t="s">
        <v>26</v>
      </c>
      <c r="C178" t="s">
        <v>27</v>
      </c>
      <c r="H178" s="2">
        <v>46131.692361111112</v>
      </c>
      <c r="I178" t="s">
        <v>40</v>
      </c>
      <c r="Z178">
        <v>111257</v>
      </c>
    </row>
    <row r="179" spans="1:26" x14ac:dyDescent="0.25">
      <c r="A179" t="s">
        <v>849</v>
      </c>
      <c r="B179" t="s">
        <v>26</v>
      </c>
      <c r="C179" t="s">
        <v>27</v>
      </c>
      <c r="H179" s="2">
        <v>46131.655555555553</v>
      </c>
      <c r="I179" t="s">
        <v>40</v>
      </c>
      <c r="Z179">
        <v>111255</v>
      </c>
    </row>
    <row r="180" spans="1:26" x14ac:dyDescent="0.25">
      <c r="A180" t="s">
        <v>92</v>
      </c>
      <c r="B180" t="s">
        <v>26</v>
      </c>
      <c r="C180" t="s">
        <v>27</v>
      </c>
      <c r="H180" s="2">
        <v>46131.481249999997</v>
      </c>
      <c r="I180" t="s">
        <v>29</v>
      </c>
      <c r="Z180">
        <v>111245</v>
      </c>
    </row>
    <row r="181" spans="1:26" x14ac:dyDescent="0.25">
      <c r="A181" t="s">
        <v>92</v>
      </c>
      <c r="B181" t="s">
        <v>26</v>
      </c>
      <c r="C181" t="s">
        <v>27</v>
      </c>
      <c r="H181" s="2">
        <v>46131.422222222223</v>
      </c>
      <c r="I181" t="s">
        <v>29</v>
      </c>
      <c r="Z181">
        <v>111243</v>
      </c>
    </row>
    <row r="182" spans="1:26" x14ac:dyDescent="0.25">
      <c r="A182" t="s">
        <v>850</v>
      </c>
      <c r="B182" t="s">
        <v>26</v>
      </c>
      <c r="C182" t="s">
        <v>27</v>
      </c>
      <c r="H182" s="2">
        <v>46130.699305555558</v>
      </c>
      <c r="I182" t="s">
        <v>41</v>
      </c>
      <c r="Z182">
        <v>111233</v>
      </c>
    </row>
    <row r="183" spans="1:26" x14ac:dyDescent="0.25">
      <c r="A183" t="s">
        <v>851</v>
      </c>
      <c r="B183" t="s">
        <v>26</v>
      </c>
      <c r="C183" t="s">
        <v>27</v>
      </c>
      <c r="H183" s="2">
        <v>46130.688888888886</v>
      </c>
      <c r="I183" t="s">
        <v>41</v>
      </c>
      <c r="Z183">
        <v>111232</v>
      </c>
    </row>
    <row r="184" spans="1:26" x14ac:dyDescent="0.25">
      <c r="A184" t="s">
        <v>852</v>
      </c>
      <c r="B184" t="s">
        <v>36</v>
      </c>
      <c r="C184" t="s">
        <v>27</v>
      </c>
      <c r="E184" t="s">
        <v>116</v>
      </c>
      <c r="H184" s="2">
        <v>46130.677777777775</v>
      </c>
      <c r="I184" t="s">
        <v>41</v>
      </c>
      <c r="K184" t="s">
        <v>37</v>
      </c>
      <c r="Z184">
        <v>111229</v>
      </c>
    </row>
    <row r="185" spans="1:26" x14ac:dyDescent="0.25">
      <c r="A185" t="s">
        <v>853</v>
      </c>
      <c r="B185" t="s">
        <v>26</v>
      </c>
      <c r="C185" t="s">
        <v>27</v>
      </c>
      <c r="H185" s="2">
        <v>46129.811805555553</v>
      </c>
      <c r="I185" t="s">
        <v>40</v>
      </c>
      <c r="Z185">
        <v>111215</v>
      </c>
    </row>
    <row r="186" spans="1:26" x14ac:dyDescent="0.25">
      <c r="A186" t="s">
        <v>854</v>
      </c>
      <c r="B186" t="s">
        <v>46</v>
      </c>
      <c r="C186" t="s">
        <v>27</v>
      </c>
      <c r="E186" t="s">
        <v>66</v>
      </c>
      <c r="G186" t="s">
        <v>855</v>
      </c>
      <c r="H186" s="2">
        <v>46129.65347222222</v>
      </c>
      <c r="I186" t="s">
        <v>40</v>
      </c>
      <c r="Z186">
        <v>111201</v>
      </c>
    </row>
    <row r="187" spans="1:26" x14ac:dyDescent="0.25">
      <c r="A187" t="s">
        <v>856</v>
      </c>
      <c r="B187" t="s">
        <v>26</v>
      </c>
      <c r="C187" t="s">
        <v>27</v>
      </c>
      <c r="H187" s="2">
        <v>46129.480555555558</v>
      </c>
      <c r="I187" t="s">
        <v>40</v>
      </c>
      <c r="Z187">
        <v>111192</v>
      </c>
    </row>
    <row r="188" spans="1:26" x14ac:dyDescent="0.25">
      <c r="A188" t="s">
        <v>857</v>
      </c>
      <c r="B188" t="s">
        <v>26</v>
      </c>
      <c r="C188" t="s">
        <v>27</v>
      </c>
      <c r="H188" s="2">
        <v>46129.480555555558</v>
      </c>
      <c r="I188" t="s">
        <v>40</v>
      </c>
      <c r="Z188">
        <v>111191</v>
      </c>
    </row>
    <row r="189" spans="1:26" x14ac:dyDescent="0.25">
      <c r="A189" t="s">
        <v>858</v>
      </c>
      <c r="B189" t="s">
        <v>26</v>
      </c>
      <c r="C189" t="s">
        <v>27</v>
      </c>
      <c r="H189" s="2">
        <v>46127.640277777777</v>
      </c>
      <c r="I189" t="s">
        <v>29</v>
      </c>
      <c r="Z189">
        <v>111109</v>
      </c>
    </row>
    <row r="190" spans="1:26" x14ac:dyDescent="0.25">
      <c r="A190" t="s">
        <v>859</v>
      </c>
      <c r="B190" t="s">
        <v>26</v>
      </c>
      <c r="C190" t="s">
        <v>27</v>
      </c>
      <c r="H190" s="2">
        <v>46127.463194444441</v>
      </c>
      <c r="I190" t="s">
        <v>95</v>
      </c>
      <c r="Z190">
        <v>111093</v>
      </c>
    </row>
    <row r="191" spans="1:26" x14ac:dyDescent="0.25">
      <c r="A191" t="s">
        <v>860</v>
      </c>
      <c r="B191" t="s">
        <v>26</v>
      </c>
      <c r="C191" t="s">
        <v>27</v>
      </c>
      <c r="E191" t="s">
        <v>70</v>
      </c>
      <c r="G191" t="s">
        <v>379</v>
      </c>
      <c r="H191" s="2">
        <v>46126.65347222222</v>
      </c>
      <c r="I191" t="s">
        <v>29</v>
      </c>
      <c r="Z191">
        <v>111062</v>
      </c>
    </row>
    <row r="192" spans="1:26" x14ac:dyDescent="0.25">
      <c r="A192" t="s">
        <v>861</v>
      </c>
      <c r="B192" t="s">
        <v>26</v>
      </c>
      <c r="C192" t="s">
        <v>27</v>
      </c>
      <c r="H192" s="2">
        <v>46124.597222222219</v>
      </c>
      <c r="I192" t="s">
        <v>40</v>
      </c>
      <c r="Z192">
        <v>110991</v>
      </c>
    </row>
    <row r="193" spans="1:26" x14ac:dyDescent="0.25">
      <c r="A193" t="s">
        <v>862</v>
      </c>
      <c r="B193" t="s">
        <v>26</v>
      </c>
      <c r="C193" t="s">
        <v>27</v>
      </c>
      <c r="H193" s="2">
        <v>46123.613888888889</v>
      </c>
      <c r="I193" t="s">
        <v>40</v>
      </c>
      <c r="Z193">
        <v>110967</v>
      </c>
    </row>
    <row r="194" spans="1:26" x14ac:dyDescent="0.25">
      <c r="A194" t="s">
        <v>863</v>
      </c>
      <c r="B194" t="s">
        <v>26</v>
      </c>
      <c r="C194" t="s">
        <v>27</v>
      </c>
      <c r="H194" s="2">
        <v>46123.560416666667</v>
      </c>
      <c r="I194" t="s">
        <v>40</v>
      </c>
      <c r="Z194">
        <v>110960</v>
      </c>
    </row>
    <row r="195" spans="1:26" x14ac:dyDescent="0.25">
      <c r="A195" t="s">
        <v>864</v>
      </c>
      <c r="B195" t="s">
        <v>26</v>
      </c>
      <c r="C195" t="s">
        <v>27</v>
      </c>
      <c r="H195" s="2">
        <v>46123.482638888891</v>
      </c>
      <c r="I195" t="s">
        <v>41</v>
      </c>
      <c r="Z195">
        <v>110954</v>
      </c>
    </row>
    <row r="196" spans="1:26" x14ac:dyDescent="0.25">
      <c r="A196" t="s">
        <v>865</v>
      </c>
      <c r="B196" t="s">
        <v>26</v>
      </c>
      <c r="C196" t="s">
        <v>27</v>
      </c>
      <c r="H196" s="2">
        <v>46123.404166666667</v>
      </c>
      <c r="I196" t="s">
        <v>41</v>
      </c>
      <c r="Z196">
        <v>110950</v>
      </c>
    </row>
    <row r="197" spans="1:26" x14ac:dyDescent="0.25">
      <c r="A197" t="s">
        <v>866</v>
      </c>
      <c r="B197" t="s">
        <v>26</v>
      </c>
      <c r="C197" t="s">
        <v>27</v>
      </c>
      <c r="H197" s="2">
        <v>46122.672222222223</v>
      </c>
      <c r="I197" t="s">
        <v>41</v>
      </c>
      <c r="Z197">
        <v>110936</v>
      </c>
    </row>
    <row r="198" spans="1:26" x14ac:dyDescent="0.25">
      <c r="A198" t="s">
        <v>867</v>
      </c>
      <c r="B198" t="s">
        <v>36</v>
      </c>
      <c r="C198" t="s">
        <v>27</v>
      </c>
      <c r="E198" t="s">
        <v>87</v>
      </c>
      <c r="H198" s="2">
        <v>46122.63958333333</v>
      </c>
      <c r="I198" t="s">
        <v>40</v>
      </c>
      <c r="K198" t="s">
        <v>37</v>
      </c>
      <c r="Z198">
        <v>110930</v>
      </c>
    </row>
    <row r="199" spans="1:26" x14ac:dyDescent="0.25">
      <c r="A199" t="s">
        <v>868</v>
      </c>
      <c r="B199" t="s">
        <v>36</v>
      </c>
      <c r="C199" t="s">
        <v>27</v>
      </c>
      <c r="E199" t="s">
        <v>87</v>
      </c>
      <c r="H199" s="2">
        <v>46122.520833333336</v>
      </c>
      <c r="I199" t="s">
        <v>40</v>
      </c>
      <c r="K199" t="s">
        <v>37</v>
      </c>
      <c r="Z199">
        <v>110916</v>
      </c>
    </row>
    <row r="200" spans="1:26" x14ac:dyDescent="0.25">
      <c r="A200" t="s">
        <v>102</v>
      </c>
      <c r="B200" t="s">
        <v>77</v>
      </c>
      <c r="C200" t="s">
        <v>27</v>
      </c>
      <c r="E200" t="s">
        <v>43</v>
      </c>
      <c r="H200" s="2">
        <v>46122.430555555555</v>
      </c>
      <c r="I200" t="s">
        <v>95</v>
      </c>
      <c r="Z200">
        <v>110911</v>
      </c>
    </row>
    <row r="201" spans="1:26" x14ac:dyDescent="0.25">
      <c r="A201" t="s">
        <v>97</v>
      </c>
      <c r="B201" t="s">
        <v>36</v>
      </c>
      <c r="C201" t="s">
        <v>27</v>
      </c>
      <c r="E201" t="s">
        <v>43</v>
      </c>
      <c r="H201" s="2">
        <v>46121.913888888892</v>
      </c>
      <c r="I201" t="s">
        <v>95</v>
      </c>
      <c r="K201" t="s">
        <v>37</v>
      </c>
      <c r="Z201">
        <v>110903</v>
      </c>
    </row>
    <row r="202" spans="1:26" x14ac:dyDescent="0.25">
      <c r="A202" t="s">
        <v>869</v>
      </c>
      <c r="B202" t="s">
        <v>26</v>
      </c>
      <c r="C202" t="s">
        <v>27</v>
      </c>
      <c r="H202" s="2">
        <v>46121.800694444442</v>
      </c>
      <c r="I202" t="s">
        <v>29</v>
      </c>
      <c r="Z202">
        <v>110900</v>
      </c>
    </row>
    <row r="203" spans="1:26" x14ac:dyDescent="0.25">
      <c r="A203" t="s">
        <v>870</v>
      </c>
      <c r="B203" t="s">
        <v>26</v>
      </c>
      <c r="C203" t="s">
        <v>27</v>
      </c>
      <c r="H203" s="2">
        <v>46121.74722222222</v>
      </c>
      <c r="I203" t="s">
        <v>95</v>
      </c>
      <c r="Z203">
        <v>110899</v>
      </c>
    </row>
    <row r="204" spans="1:26" x14ac:dyDescent="0.25">
      <c r="A204" t="s">
        <v>92</v>
      </c>
      <c r="B204" t="s">
        <v>26</v>
      </c>
      <c r="C204" t="s">
        <v>27</v>
      </c>
      <c r="H204" s="2">
        <v>46121.49722222222</v>
      </c>
      <c r="I204" t="s">
        <v>29</v>
      </c>
      <c r="Z204">
        <v>110885</v>
      </c>
    </row>
    <row r="205" spans="1:26" x14ac:dyDescent="0.25">
      <c r="A205" t="s">
        <v>871</v>
      </c>
      <c r="B205" t="s">
        <v>26</v>
      </c>
      <c r="C205" t="s">
        <v>27</v>
      </c>
      <c r="H205" s="2">
        <v>46120.816666666666</v>
      </c>
      <c r="I205" t="s">
        <v>95</v>
      </c>
      <c r="Z205">
        <v>110867</v>
      </c>
    </row>
    <row r="206" spans="1:26" x14ac:dyDescent="0.25">
      <c r="A206" t="s">
        <v>872</v>
      </c>
      <c r="B206" t="s">
        <v>26</v>
      </c>
      <c r="C206" t="s">
        <v>27</v>
      </c>
      <c r="H206" s="2">
        <v>46120.789583333331</v>
      </c>
      <c r="I206" t="s">
        <v>95</v>
      </c>
      <c r="Z206">
        <v>110865</v>
      </c>
    </row>
    <row r="207" spans="1:26" x14ac:dyDescent="0.25">
      <c r="A207" t="s">
        <v>873</v>
      </c>
      <c r="B207" t="s">
        <v>26</v>
      </c>
      <c r="C207" t="s">
        <v>27</v>
      </c>
      <c r="H207" s="2">
        <v>46120.554166666669</v>
      </c>
      <c r="I207" t="s">
        <v>95</v>
      </c>
      <c r="Z207">
        <v>110845</v>
      </c>
    </row>
    <row r="208" spans="1:26" x14ac:dyDescent="0.25">
      <c r="A208" t="s">
        <v>81</v>
      </c>
      <c r="B208" t="s">
        <v>75</v>
      </c>
      <c r="C208" t="s">
        <v>27</v>
      </c>
      <c r="E208" s="1" t="s">
        <v>78</v>
      </c>
      <c r="H208" s="2">
        <v>46120.510416666664</v>
      </c>
      <c r="I208" t="s">
        <v>95</v>
      </c>
      <c r="Z208">
        <v>110841</v>
      </c>
    </row>
    <row r="209" spans="1:26" x14ac:dyDescent="0.25">
      <c r="A209" t="s">
        <v>874</v>
      </c>
      <c r="B209" t="s">
        <v>26</v>
      </c>
      <c r="C209" t="s">
        <v>27</v>
      </c>
      <c r="H209" s="2">
        <v>46120.414583333331</v>
      </c>
      <c r="I209" t="s">
        <v>29</v>
      </c>
      <c r="Z209">
        <v>110825</v>
      </c>
    </row>
    <row r="210" spans="1:26" x14ac:dyDescent="0.25">
      <c r="A210" t="s">
        <v>875</v>
      </c>
      <c r="B210" t="s">
        <v>26</v>
      </c>
      <c r="C210" t="s">
        <v>27</v>
      </c>
      <c r="H210" s="2">
        <v>46120.393055555556</v>
      </c>
      <c r="I210" t="s">
        <v>95</v>
      </c>
      <c r="Z210">
        <v>110823</v>
      </c>
    </row>
    <row r="211" spans="1:26" x14ac:dyDescent="0.25">
      <c r="A211" t="s">
        <v>876</v>
      </c>
      <c r="B211" t="s">
        <v>77</v>
      </c>
      <c r="C211" t="s">
        <v>27</v>
      </c>
      <c r="E211" t="s">
        <v>200</v>
      </c>
      <c r="H211" s="2">
        <v>46119.714583333334</v>
      </c>
      <c r="I211" t="s">
        <v>29</v>
      </c>
      <c r="K211" t="s">
        <v>30</v>
      </c>
      <c r="L211" t="s">
        <v>31</v>
      </c>
      <c r="M211">
        <v>119789135</v>
      </c>
      <c r="N211">
        <v>16990012919</v>
      </c>
      <c r="O211" t="s">
        <v>877</v>
      </c>
      <c r="Z211">
        <v>110807</v>
      </c>
    </row>
    <row r="212" spans="1:26" x14ac:dyDescent="0.25">
      <c r="A212" t="s">
        <v>878</v>
      </c>
      <c r="B212" t="s">
        <v>26</v>
      </c>
      <c r="C212" t="s">
        <v>27</v>
      </c>
      <c r="H212" s="2">
        <v>46119.571527777778</v>
      </c>
      <c r="I212" t="s">
        <v>40</v>
      </c>
      <c r="Z212">
        <v>110789</v>
      </c>
    </row>
    <row r="213" spans="1:26" x14ac:dyDescent="0.25">
      <c r="A213" t="s">
        <v>879</v>
      </c>
      <c r="B213" t="s">
        <v>26</v>
      </c>
      <c r="C213" t="s">
        <v>27</v>
      </c>
      <c r="H213" s="2">
        <v>46118.657638888886</v>
      </c>
      <c r="I213" t="s">
        <v>40</v>
      </c>
      <c r="Z213">
        <v>110762</v>
      </c>
    </row>
    <row r="214" spans="1:26" x14ac:dyDescent="0.25">
      <c r="A214" t="s">
        <v>880</v>
      </c>
      <c r="B214" t="s">
        <v>26</v>
      </c>
      <c r="C214" t="s">
        <v>27</v>
      </c>
      <c r="H214" s="2">
        <v>46118.434027777781</v>
      </c>
      <c r="I214" t="s">
        <v>41</v>
      </c>
      <c r="Z214">
        <v>110742</v>
      </c>
    </row>
    <row r="215" spans="1:26" x14ac:dyDescent="0.25">
      <c r="A215" t="s">
        <v>881</v>
      </c>
      <c r="B215" t="s">
        <v>26</v>
      </c>
      <c r="C215" t="s">
        <v>27</v>
      </c>
      <c r="H215" s="2">
        <v>46118.390277777777</v>
      </c>
      <c r="I215" t="s">
        <v>41</v>
      </c>
      <c r="Z215">
        <v>110738</v>
      </c>
    </row>
    <row r="216" spans="1:26" x14ac:dyDescent="0.25">
      <c r="A216" t="s">
        <v>882</v>
      </c>
      <c r="B216" t="s">
        <v>46</v>
      </c>
      <c r="C216" t="s">
        <v>27</v>
      </c>
      <c r="E216" t="s">
        <v>377</v>
      </c>
      <c r="G216" t="s">
        <v>883</v>
      </c>
      <c r="H216" s="2">
        <v>46116.59375</v>
      </c>
      <c r="I216" t="s">
        <v>95</v>
      </c>
      <c r="Z216">
        <v>110689</v>
      </c>
    </row>
    <row r="217" spans="1:26" x14ac:dyDescent="0.25">
      <c r="A217" t="s">
        <v>884</v>
      </c>
      <c r="B217" t="s">
        <v>36</v>
      </c>
      <c r="C217" t="s">
        <v>27</v>
      </c>
      <c r="E217" t="s">
        <v>128</v>
      </c>
      <c r="H217" s="2">
        <v>46116.520138888889</v>
      </c>
      <c r="I217" t="s">
        <v>41</v>
      </c>
      <c r="K217" t="s">
        <v>37</v>
      </c>
      <c r="Z217">
        <v>110681</v>
      </c>
    </row>
    <row r="218" spans="1:26" x14ac:dyDescent="0.25">
      <c r="A218" t="s">
        <v>885</v>
      </c>
      <c r="B218" t="s">
        <v>26</v>
      </c>
      <c r="C218" t="s">
        <v>27</v>
      </c>
      <c r="H218" s="2">
        <v>46114.488194444442</v>
      </c>
      <c r="I218" t="s">
        <v>29</v>
      </c>
      <c r="Z218">
        <v>110606</v>
      </c>
    </row>
    <row r="219" spans="1:26" x14ac:dyDescent="0.25">
      <c r="A219" t="s">
        <v>92</v>
      </c>
      <c r="B219" t="s">
        <v>26</v>
      </c>
      <c r="C219" t="s">
        <v>27</v>
      </c>
      <c r="H219" s="2">
        <v>46113.551388888889</v>
      </c>
      <c r="I219" t="s">
        <v>40</v>
      </c>
      <c r="Z219">
        <v>110555</v>
      </c>
    </row>
    <row r="220" spans="1:26" x14ac:dyDescent="0.25">
      <c r="A220" t="s">
        <v>886</v>
      </c>
      <c r="B220" t="s">
        <v>26</v>
      </c>
      <c r="C220" t="s">
        <v>27</v>
      </c>
      <c r="H220" s="2">
        <v>46112.722916666666</v>
      </c>
      <c r="I220" t="s">
        <v>41</v>
      </c>
      <c r="Z220">
        <v>110510</v>
      </c>
    </row>
    <row r="221" spans="1:26" x14ac:dyDescent="0.25">
      <c r="A221" t="s">
        <v>887</v>
      </c>
      <c r="B221" t="s">
        <v>75</v>
      </c>
      <c r="C221" t="s">
        <v>27</v>
      </c>
      <c r="E221" s="1" t="s">
        <v>78</v>
      </c>
      <c r="H221" s="2">
        <v>46112.511111111111</v>
      </c>
      <c r="I221" t="s">
        <v>40</v>
      </c>
      <c r="Z221">
        <v>110481</v>
      </c>
    </row>
    <row r="222" spans="1:26" x14ac:dyDescent="0.25">
      <c r="A222" t="s">
        <v>888</v>
      </c>
      <c r="B222" t="s">
        <v>26</v>
      </c>
      <c r="C222" t="s">
        <v>27</v>
      </c>
      <c r="H222" s="2">
        <v>46112.488194444442</v>
      </c>
      <c r="I222" t="s">
        <v>40</v>
      </c>
      <c r="Z222">
        <v>110477</v>
      </c>
    </row>
    <row r="223" spans="1:26" x14ac:dyDescent="0.25">
      <c r="A223" t="s">
        <v>889</v>
      </c>
      <c r="B223" t="s">
        <v>26</v>
      </c>
      <c r="C223" t="s">
        <v>27</v>
      </c>
      <c r="H223" s="2">
        <v>46112.48541666667</v>
      </c>
      <c r="I223" t="s">
        <v>40</v>
      </c>
      <c r="Z223">
        <v>110476</v>
      </c>
    </row>
    <row r="224" spans="1:26" x14ac:dyDescent="0.25">
      <c r="A224" t="s">
        <v>890</v>
      </c>
      <c r="B224" t="s">
        <v>26</v>
      </c>
      <c r="C224" t="s">
        <v>27</v>
      </c>
      <c r="H224" s="2">
        <v>46112.463194444441</v>
      </c>
      <c r="I224" t="s">
        <v>41</v>
      </c>
      <c r="Z224">
        <v>110469</v>
      </c>
    </row>
    <row r="225" spans="1:26" x14ac:dyDescent="0.25">
      <c r="A225" t="s">
        <v>885</v>
      </c>
      <c r="B225" t="s">
        <v>26</v>
      </c>
      <c r="C225" t="s">
        <v>27</v>
      </c>
      <c r="H225" s="2">
        <v>46109.689583333333</v>
      </c>
      <c r="I225" t="s">
        <v>29</v>
      </c>
      <c r="Z225">
        <v>110313</v>
      </c>
    </row>
    <row r="226" spans="1:26" x14ac:dyDescent="0.25">
      <c r="A226" t="s">
        <v>891</v>
      </c>
      <c r="B226" t="s">
        <v>26</v>
      </c>
      <c r="C226" t="s">
        <v>27</v>
      </c>
      <c r="H226" s="2">
        <v>46109.667361111111</v>
      </c>
      <c r="I226" t="s">
        <v>29</v>
      </c>
      <c r="Z226">
        <v>110310</v>
      </c>
    </row>
    <row r="227" spans="1:26" x14ac:dyDescent="0.25">
      <c r="A227" t="s">
        <v>892</v>
      </c>
      <c r="B227" t="s">
        <v>26</v>
      </c>
      <c r="C227" t="s">
        <v>27</v>
      </c>
      <c r="H227" s="2">
        <v>46109.65902777778</v>
      </c>
      <c r="I227" t="s">
        <v>95</v>
      </c>
      <c r="Z227">
        <v>110309</v>
      </c>
    </row>
    <row r="228" spans="1:26" x14ac:dyDescent="0.25">
      <c r="A228" t="s">
        <v>893</v>
      </c>
      <c r="B228" t="s">
        <v>26</v>
      </c>
      <c r="C228" t="s">
        <v>27</v>
      </c>
      <c r="H228" s="2">
        <v>46109.604861111111</v>
      </c>
      <c r="I228" t="s">
        <v>29</v>
      </c>
      <c r="Z228">
        <v>110303</v>
      </c>
    </row>
    <row r="229" spans="1:26" x14ac:dyDescent="0.25">
      <c r="A229" t="s">
        <v>894</v>
      </c>
      <c r="B229" t="s">
        <v>26</v>
      </c>
      <c r="C229" t="s">
        <v>27</v>
      </c>
      <c r="H229" s="2">
        <v>46109.549305555556</v>
      </c>
      <c r="I229" t="s">
        <v>29</v>
      </c>
      <c r="Z229">
        <v>110294</v>
      </c>
    </row>
    <row r="230" spans="1:26" x14ac:dyDescent="0.25">
      <c r="A230" t="s">
        <v>885</v>
      </c>
      <c r="B230" t="s">
        <v>26</v>
      </c>
      <c r="C230" t="s">
        <v>27</v>
      </c>
      <c r="H230" s="2">
        <v>46108.68472222222</v>
      </c>
      <c r="I230" t="s">
        <v>29</v>
      </c>
      <c r="Z230">
        <v>110257</v>
      </c>
    </row>
    <row r="231" spans="1:26" x14ac:dyDescent="0.25">
      <c r="A231" t="s">
        <v>895</v>
      </c>
      <c r="B231" t="s">
        <v>26</v>
      </c>
      <c r="C231" t="s">
        <v>27</v>
      </c>
      <c r="H231" s="2">
        <v>46108.543749999997</v>
      </c>
      <c r="I231" t="s">
        <v>95</v>
      </c>
      <c r="Z231">
        <v>110246</v>
      </c>
    </row>
    <row r="232" spans="1:26" x14ac:dyDescent="0.25">
      <c r="A232" t="s">
        <v>896</v>
      </c>
      <c r="B232" t="s">
        <v>26</v>
      </c>
      <c r="C232" t="s">
        <v>27</v>
      </c>
      <c r="H232" s="2">
        <v>46108.523611111108</v>
      </c>
      <c r="I232" t="s">
        <v>29</v>
      </c>
      <c r="Z232">
        <v>110243</v>
      </c>
    </row>
    <row r="233" spans="1:26" x14ac:dyDescent="0.25">
      <c r="A233" t="s">
        <v>92</v>
      </c>
      <c r="B233" t="s">
        <v>75</v>
      </c>
      <c r="C233" t="s">
        <v>27</v>
      </c>
      <c r="E233" s="1" t="s">
        <v>78</v>
      </c>
      <c r="H233" s="2">
        <v>46108.473611111112</v>
      </c>
      <c r="I233" t="s">
        <v>29</v>
      </c>
      <c r="Z233">
        <v>110233</v>
      </c>
    </row>
    <row r="234" spans="1:26" x14ac:dyDescent="0.25">
      <c r="A234" t="s">
        <v>897</v>
      </c>
      <c r="B234" t="s">
        <v>26</v>
      </c>
      <c r="C234" t="s">
        <v>27</v>
      </c>
      <c r="H234" s="2">
        <v>46108.413194444445</v>
      </c>
      <c r="I234" t="s">
        <v>95</v>
      </c>
      <c r="Z234">
        <v>110218</v>
      </c>
    </row>
    <row r="235" spans="1:26" x14ac:dyDescent="0.25">
      <c r="A235" t="s">
        <v>92</v>
      </c>
      <c r="B235" t="s">
        <v>26</v>
      </c>
      <c r="C235" t="s">
        <v>27</v>
      </c>
      <c r="H235" s="2">
        <v>46107.654861111114</v>
      </c>
      <c r="I235" t="s">
        <v>29</v>
      </c>
      <c r="Z235">
        <v>110197</v>
      </c>
    </row>
    <row r="236" spans="1:26" x14ac:dyDescent="0.25">
      <c r="A236" t="s">
        <v>885</v>
      </c>
      <c r="B236" t="s">
        <v>26</v>
      </c>
      <c r="C236" t="s">
        <v>27</v>
      </c>
      <c r="H236" s="2">
        <v>46107.4</v>
      </c>
      <c r="I236" t="s">
        <v>29</v>
      </c>
      <c r="Z236">
        <v>110177</v>
      </c>
    </row>
    <row r="237" spans="1:26" x14ac:dyDescent="0.25">
      <c r="A237" t="s">
        <v>898</v>
      </c>
      <c r="B237" t="s">
        <v>36</v>
      </c>
      <c r="C237" t="s">
        <v>27</v>
      </c>
      <c r="E237" t="s">
        <v>162</v>
      </c>
      <c r="H237" s="2">
        <v>46105.92083333333</v>
      </c>
      <c r="I237" t="s">
        <v>40</v>
      </c>
      <c r="K237" t="s">
        <v>37</v>
      </c>
      <c r="Z237">
        <v>110132</v>
      </c>
    </row>
    <row r="238" spans="1:26" x14ac:dyDescent="0.25">
      <c r="A238" t="s">
        <v>899</v>
      </c>
      <c r="B238" t="s">
        <v>26</v>
      </c>
      <c r="C238" t="s">
        <v>27</v>
      </c>
      <c r="H238" s="2">
        <v>46105.508333333331</v>
      </c>
      <c r="I238" t="s">
        <v>40</v>
      </c>
      <c r="Z238">
        <v>110098</v>
      </c>
    </row>
    <row r="239" spans="1:26" x14ac:dyDescent="0.25">
      <c r="A239" t="s">
        <v>109</v>
      </c>
      <c r="B239" t="s">
        <v>36</v>
      </c>
      <c r="C239" t="s">
        <v>27</v>
      </c>
      <c r="E239" t="s">
        <v>900</v>
      </c>
      <c r="H239" s="2">
        <v>46104.84375</v>
      </c>
      <c r="I239" t="s">
        <v>40</v>
      </c>
      <c r="K239" t="s">
        <v>37</v>
      </c>
      <c r="Z239">
        <v>110074</v>
      </c>
    </row>
    <row r="240" spans="1:26" x14ac:dyDescent="0.25">
      <c r="A240" t="s">
        <v>901</v>
      </c>
      <c r="B240" t="s">
        <v>26</v>
      </c>
      <c r="C240" t="s">
        <v>27</v>
      </c>
      <c r="H240" s="2">
        <v>46104.728472222225</v>
      </c>
      <c r="I240" t="s">
        <v>95</v>
      </c>
      <c r="Z240">
        <v>110071</v>
      </c>
    </row>
    <row r="241" spans="1:26" x14ac:dyDescent="0.25">
      <c r="A241" t="s">
        <v>902</v>
      </c>
      <c r="B241" t="s">
        <v>26</v>
      </c>
      <c r="C241" t="s">
        <v>27</v>
      </c>
      <c r="H241" s="2">
        <v>46104.406944444447</v>
      </c>
      <c r="I241" t="s">
        <v>41</v>
      </c>
      <c r="Z241">
        <v>110015</v>
      </c>
    </row>
    <row r="242" spans="1:26" x14ac:dyDescent="0.25">
      <c r="A242" t="s">
        <v>903</v>
      </c>
      <c r="B242" t="s">
        <v>26</v>
      </c>
      <c r="C242" t="s">
        <v>27</v>
      </c>
      <c r="H242" s="2">
        <v>46104.40625</v>
      </c>
      <c r="I242" t="s">
        <v>41</v>
      </c>
      <c r="Z242">
        <v>110014</v>
      </c>
    </row>
    <row r="243" spans="1:26" x14ac:dyDescent="0.25">
      <c r="A243" t="s">
        <v>109</v>
      </c>
      <c r="B243" t="s">
        <v>36</v>
      </c>
      <c r="C243" t="s">
        <v>27</v>
      </c>
      <c r="E243" t="s">
        <v>44</v>
      </c>
      <c r="H243" s="2">
        <v>46101.574305555558</v>
      </c>
      <c r="I243" t="s">
        <v>29</v>
      </c>
      <c r="K243" t="s">
        <v>37</v>
      </c>
      <c r="Z243">
        <v>109917</v>
      </c>
    </row>
    <row r="244" spans="1:26" x14ac:dyDescent="0.25">
      <c r="A244" t="s">
        <v>92</v>
      </c>
      <c r="B244" t="s">
        <v>36</v>
      </c>
      <c r="C244" t="s">
        <v>27</v>
      </c>
      <c r="E244" t="s">
        <v>43</v>
      </c>
      <c r="H244" s="2">
        <v>46101.487500000003</v>
      </c>
      <c r="I244" t="s">
        <v>29</v>
      </c>
      <c r="K244" t="s">
        <v>37</v>
      </c>
      <c r="Z244">
        <v>109912</v>
      </c>
    </row>
    <row r="245" spans="1:26" x14ac:dyDescent="0.25">
      <c r="A245" t="s">
        <v>904</v>
      </c>
      <c r="B245" t="s">
        <v>26</v>
      </c>
      <c r="C245" t="s">
        <v>27</v>
      </c>
      <c r="H245" s="2">
        <v>46100.564583333333</v>
      </c>
      <c r="I245" t="s">
        <v>41</v>
      </c>
      <c r="Z245">
        <v>109867</v>
      </c>
    </row>
    <row r="246" spans="1:26" x14ac:dyDescent="0.25">
      <c r="A246" t="s">
        <v>905</v>
      </c>
      <c r="B246" t="s">
        <v>75</v>
      </c>
      <c r="C246" t="s">
        <v>27</v>
      </c>
      <c r="E246" s="1" t="s">
        <v>78</v>
      </c>
      <c r="H246" s="2">
        <v>46099.45416666667</v>
      </c>
      <c r="I246" t="s">
        <v>40</v>
      </c>
      <c r="Z246">
        <v>109820</v>
      </c>
    </row>
    <row r="247" spans="1:26" x14ac:dyDescent="0.25">
      <c r="A247" t="s">
        <v>906</v>
      </c>
      <c r="B247" t="s">
        <v>26</v>
      </c>
      <c r="C247" t="s">
        <v>27</v>
      </c>
      <c r="H247" s="2">
        <v>46099.411805555559</v>
      </c>
      <c r="I247" t="s">
        <v>41</v>
      </c>
      <c r="Z247">
        <v>109816</v>
      </c>
    </row>
    <row r="248" spans="1:26" x14ac:dyDescent="0.25">
      <c r="A248" t="s">
        <v>907</v>
      </c>
      <c r="B248" t="s">
        <v>26</v>
      </c>
      <c r="C248" t="s">
        <v>27</v>
      </c>
      <c r="H248" s="2">
        <v>46098.81527777778</v>
      </c>
      <c r="I248" t="s">
        <v>41</v>
      </c>
      <c r="Z248">
        <v>109806</v>
      </c>
    </row>
    <row r="249" spans="1:26" x14ac:dyDescent="0.25">
      <c r="A249" t="s">
        <v>908</v>
      </c>
      <c r="B249" t="s">
        <v>26</v>
      </c>
      <c r="C249" t="s">
        <v>27</v>
      </c>
      <c r="H249" s="2">
        <v>46098.589583333334</v>
      </c>
      <c r="I249" t="s">
        <v>95</v>
      </c>
      <c r="Z249">
        <v>109790</v>
      </c>
    </row>
    <row r="250" spans="1:26" x14ac:dyDescent="0.25">
      <c r="A250" t="s">
        <v>909</v>
      </c>
      <c r="B250" t="s">
        <v>26</v>
      </c>
      <c r="C250" t="s">
        <v>27</v>
      </c>
      <c r="H250" s="2">
        <v>46098.429861111108</v>
      </c>
      <c r="I250" t="s">
        <v>41</v>
      </c>
      <c r="Z250">
        <v>109779</v>
      </c>
    </row>
    <row r="251" spans="1:26" x14ac:dyDescent="0.25">
      <c r="A251" t="s">
        <v>92</v>
      </c>
      <c r="B251" t="s">
        <v>26</v>
      </c>
      <c r="C251" t="s">
        <v>27</v>
      </c>
      <c r="H251" s="2">
        <v>46097.883333333331</v>
      </c>
      <c r="I251" t="s">
        <v>29</v>
      </c>
      <c r="Z251">
        <v>109773</v>
      </c>
    </row>
    <row r="252" spans="1:26" x14ac:dyDescent="0.25">
      <c r="A252" t="s">
        <v>910</v>
      </c>
      <c r="B252" t="s">
        <v>26</v>
      </c>
      <c r="C252" t="s">
        <v>27</v>
      </c>
      <c r="H252" s="2">
        <v>46097.697222222225</v>
      </c>
      <c r="I252" t="s">
        <v>95</v>
      </c>
      <c r="Z252">
        <v>109764</v>
      </c>
    </row>
    <row r="253" spans="1:26" x14ac:dyDescent="0.25">
      <c r="A253" t="s">
        <v>911</v>
      </c>
      <c r="B253" t="s">
        <v>26</v>
      </c>
      <c r="C253" t="s">
        <v>27</v>
      </c>
      <c r="H253" s="2">
        <v>46097.384722222225</v>
      </c>
      <c r="I253" t="s">
        <v>29</v>
      </c>
      <c r="Z253">
        <v>109726</v>
      </c>
    </row>
    <row r="254" spans="1:26" x14ac:dyDescent="0.25">
      <c r="A254" t="s">
        <v>718</v>
      </c>
      <c r="B254" t="s">
        <v>26</v>
      </c>
      <c r="C254" t="s">
        <v>27</v>
      </c>
      <c r="H254" s="2">
        <v>46097.379861111112</v>
      </c>
      <c r="I254" t="s">
        <v>29</v>
      </c>
      <c r="Z254">
        <v>109725</v>
      </c>
    </row>
    <row r="255" spans="1:26" x14ac:dyDescent="0.25">
      <c r="A255" t="s">
        <v>912</v>
      </c>
      <c r="B255" t="s">
        <v>26</v>
      </c>
      <c r="C255" t="s">
        <v>27</v>
      </c>
      <c r="H255" s="2">
        <v>46096.555555555555</v>
      </c>
      <c r="I255" t="s">
        <v>29</v>
      </c>
      <c r="Z255">
        <v>109710</v>
      </c>
    </row>
    <row r="256" spans="1:26" x14ac:dyDescent="0.25">
      <c r="A256" t="s">
        <v>913</v>
      </c>
      <c r="B256" t="s">
        <v>26</v>
      </c>
      <c r="C256" t="s">
        <v>27</v>
      </c>
      <c r="H256" s="2">
        <v>46096.474999999999</v>
      </c>
      <c r="I256" t="s">
        <v>29</v>
      </c>
      <c r="Z256">
        <v>109709</v>
      </c>
    </row>
    <row r="257" spans="1:26" x14ac:dyDescent="0.25">
      <c r="A257" t="s">
        <v>914</v>
      </c>
      <c r="B257" t="s">
        <v>26</v>
      </c>
      <c r="C257" t="s">
        <v>27</v>
      </c>
      <c r="H257" s="2">
        <v>46094.572222222225</v>
      </c>
      <c r="I257" t="s">
        <v>40</v>
      </c>
      <c r="Z257">
        <v>109663</v>
      </c>
    </row>
    <row r="258" spans="1:26" x14ac:dyDescent="0.25">
      <c r="A258" t="s">
        <v>915</v>
      </c>
      <c r="B258" t="s">
        <v>26</v>
      </c>
      <c r="C258" t="s">
        <v>27</v>
      </c>
      <c r="H258" s="2">
        <v>46094.556250000001</v>
      </c>
      <c r="I258" t="s">
        <v>40</v>
      </c>
      <c r="Z258">
        <v>109662</v>
      </c>
    </row>
    <row r="259" spans="1:26" x14ac:dyDescent="0.25">
      <c r="A259" t="s">
        <v>109</v>
      </c>
      <c r="B259" t="s">
        <v>36</v>
      </c>
      <c r="C259" t="s">
        <v>27</v>
      </c>
      <c r="E259" t="s">
        <v>916</v>
      </c>
      <c r="H259" s="2">
        <v>46092.876388888886</v>
      </c>
      <c r="I259" t="s">
        <v>95</v>
      </c>
      <c r="K259" t="s">
        <v>37</v>
      </c>
      <c r="Z259">
        <v>109626</v>
      </c>
    </row>
    <row r="260" spans="1:26" x14ac:dyDescent="0.25">
      <c r="A260" t="s">
        <v>917</v>
      </c>
      <c r="B260" t="s">
        <v>26</v>
      </c>
      <c r="C260" t="s">
        <v>27</v>
      </c>
      <c r="H260" s="2">
        <v>46092.664583333331</v>
      </c>
      <c r="I260" t="s">
        <v>41</v>
      </c>
      <c r="Z260">
        <v>109614</v>
      </c>
    </row>
    <row r="261" spans="1:26" x14ac:dyDescent="0.25">
      <c r="A261" t="s">
        <v>918</v>
      </c>
      <c r="B261" t="s">
        <v>26</v>
      </c>
      <c r="C261" t="s">
        <v>27</v>
      </c>
      <c r="H261" s="2">
        <v>46092.466666666667</v>
      </c>
      <c r="I261" t="s">
        <v>41</v>
      </c>
      <c r="Z261">
        <v>109602</v>
      </c>
    </row>
    <row r="262" spans="1:26" x14ac:dyDescent="0.25">
      <c r="A262" t="s">
        <v>919</v>
      </c>
      <c r="B262" t="s">
        <v>26</v>
      </c>
      <c r="C262" t="s">
        <v>27</v>
      </c>
      <c r="H262" s="2">
        <v>46091.720833333333</v>
      </c>
      <c r="I262" t="s">
        <v>29</v>
      </c>
      <c r="Z262">
        <v>109596</v>
      </c>
    </row>
    <row r="263" spans="1:26" x14ac:dyDescent="0.25">
      <c r="A263" t="s">
        <v>92</v>
      </c>
      <c r="B263" t="s">
        <v>26</v>
      </c>
      <c r="C263" t="s">
        <v>27</v>
      </c>
      <c r="H263" s="2">
        <v>46091.645833333336</v>
      </c>
      <c r="I263" t="s">
        <v>29</v>
      </c>
      <c r="Z263">
        <v>109591</v>
      </c>
    </row>
    <row r="264" spans="1:26" x14ac:dyDescent="0.25">
      <c r="A264" t="s">
        <v>92</v>
      </c>
      <c r="B264" t="s">
        <v>26</v>
      </c>
      <c r="C264" t="s">
        <v>27</v>
      </c>
      <c r="H264" s="2">
        <v>46091.623611111114</v>
      </c>
      <c r="I264" t="s">
        <v>29</v>
      </c>
      <c r="Z264">
        <v>109588</v>
      </c>
    </row>
    <row r="265" spans="1:26" x14ac:dyDescent="0.25">
      <c r="A265" t="s">
        <v>92</v>
      </c>
      <c r="B265" t="s">
        <v>26</v>
      </c>
      <c r="C265" t="s">
        <v>27</v>
      </c>
      <c r="H265" s="2">
        <v>46091.598611111112</v>
      </c>
      <c r="I265" t="s">
        <v>29</v>
      </c>
      <c r="Z265">
        <v>109585</v>
      </c>
    </row>
    <row r="266" spans="1:26" x14ac:dyDescent="0.25">
      <c r="A266" t="s">
        <v>920</v>
      </c>
      <c r="B266" t="s">
        <v>26</v>
      </c>
      <c r="C266" t="s">
        <v>27</v>
      </c>
      <c r="H266" s="2">
        <v>46091.597222222219</v>
      </c>
      <c r="I266" t="s">
        <v>29</v>
      </c>
      <c r="Z266">
        <v>109584</v>
      </c>
    </row>
    <row r="267" spans="1:26" x14ac:dyDescent="0.25">
      <c r="A267" t="s">
        <v>92</v>
      </c>
      <c r="B267" t="s">
        <v>26</v>
      </c>
      <c r="C267" t="s">
        <v>64</v>
      </c>
      <c r="H267" s="2">
        <v>46091.59097222222</v>
      </c>
      <c r="I267" t="s">
        <v>29</v>
      </c>
      <c r="Z267">
        <v>109583</v>
      </c>
    </row>
    <row r="268" spans="1:26" x14ac:dyDescent="0.25">
      <c r="A268" t="s">
        <v>921</v>
      </c>
      <c r="B268" t="s">
        <v>26</v>
      </c>
      <c r="C268" t="s">
        <v>27</v>
      </c>
      <c r="H268" s="2">
        <v>46089.65902777778</v>
      </c>
      <c r="I268" t="s">
        <v>29</v>
      </c>
      <c r="Z268">
        <v>109530</v>
      </c>
    </row>
    <row r="269" spans="1:26" x14ac:dyDescent="0.25">
      <c r="A269" t="s">
        <v>922</v>
      </c>
      <c r="B269" t="s">
        <v>26</v>
      </c>
      <c r="C269" t="s">
        <v>27</v>
      </c>
      <c r="H269" s="2">
        <v>46089.633333333331</v>
      </c>
      <c r="I269" t="s">
        <v>29</v>
      </c>
      <c r="Z269">
        <v>109527</v>
      </c>
    </row>
    <row r="270" spans="1:26" x14ac:dyDescent="0.25">
      <c r="A270" t="s">
        <v>708</v>
      </c>
      <c r="B270" t="s">
        <v>42</v>
      </c>
      <c r="C270" t="s">
        <v>27</v>
      </c>
      <c r="E270" t="s">
        <v>74</v>
      </c>
      <c r="H270" s="2">
        <v>46089.45208333333</v>
      </c>
      <c r="I270" t="s">
        <v>40</v>
      </c>
      <c r="Z270">
        <v>109523</v>
      </c>
    </row>
    <row r="271" spans="1:26" x14ac:dyDescent="0.25">
      <c r="A271" t="s">
        <v>923</v>
      </c>
      <c r="B271" t="s">
        <v>26</v>
      </c>
      <c r="C271" t="s">
        <v>27</v>
      </c>
      <c r="H271" s="2">
        <v>46088.744444444441</v>
      </c>
      <c r="I271" t="s">
        <v>40</v>
      </c>
      <c r="Z271">
        <v>109512</v>
      </c>
    </row>
    <row r="272" spans="1:26" x14ac:dyDescent="0.25">
      <c r="A272" t="s">
        <v>924</v>
      </c>
      <c r="B272" t="s">
        <v>26</v>
      </c>
      <c r="C272" t="s">
        <v>27</v>
      </c>
      <c r="H272" s="2">
        <v>46088.614583333336</v>
      </c>
      <c r="I272" t="s">
        <v>40</v>
      </c>
      <c r="Z272">
        <v>109505</v>
      </c>
    </row>
    <row r="273" spans="1:26" x14ac:dyDescent="0.25">
      <c r="A273" t="s">
        <v>925</v>
      </c>
      <c r="B273" t="s">
        <v>26</v>
      </c>
      <c r="C273" t="s">
        <v>27</v>
      </c>
      <c r="H273" s="2">
        <v>46086.799305555556</v>
      </c>
      <c r="I273" t="s">
        <v>95</v>
      </c>
      <c r="Z273">
        <v>109464</v>
      </c>
    </row>
    <row r="274" spans="1:26" x14ac:dyDescent="0.25">
      <c r="A274" t="s">
        <v>926</v>
      </c>
      <c r="B274" t="s">
        <v>26</v>
      </c>
      <c r="C274" t="s">
        <v>27</v>
      </c>
      <c r="H274" s="2">
        <v>46086.779166666667</v>
      </c>
      <c r="I274" t="s">
        <v>41</v>
      </c>
      <c r="Z274">
        <v>109463</v>
      </c>
    </row>
    <row r="275" spans="1:26" x14ac:dyDescent="0.25">
      <c r="A275" t="s">
        <v>927</v>
      </c>
      <c r="B275" t="s">
        <v>26</v>
      </c>
      <c r="C275" t="s">
        <v>27</v>
      </c>
      <c r="H275" s="2">
        <v>46086.773611111108</v>
      </c>
      <c r="I275" t="s">
        <v>95</v>
      </c>
      <c r="Z275">
        <v>109462</v>
      </c>
    </row>
    <row r="276" spans="1:26" x14ac:dyDescent="0.25">
      <c r="A276" t="s">
        <v>928</v>
      </c>
      <c r="B276" t="s">
        <v>26</v>
      </c>
      <c r="C276" t="s">
        <v>27</v>
      </c>
      <c r="H276" s="2">
        <v>46086.611805555556</v>
      </c>
      <c r="I276" t="s">
        <v>41</v>
      </c>
      <c r="Z276">
        <v>109453</v>
      </c>
    </row>
    <row r="277" spans="1:26" x14ac:dyDescent="0.25">
      <c r="A277" t="s">
        <v>929</v>
      </c>
      <c r="B277" t="s">
        <v>26</v>
      </c>
      <c r="C277" t="s">
        <v>27</v>
      </c>
      <c r="H277" s="2">
        <v>46084.723611111112</v>
      </c>
      <c r="I277" t="s">
        <v>29</v>
      </c>
      <c r="Z277">
        <v>109405</v>
      </c>
    </row>
    <row r="278" spans="1:26" x14ac:dyDescent="0.25">
      <c r="A278" t="s">
        <v>930</v>
      </c>
      <c r="B278" t="s">
        <v>26</v>
      </c>
      <c r="C278" t="s">
        <v>27</v>
      </c>
      <c r="H278" s="2">
        <v>46084.5</v>
      </c>
      <c r="I278" t="s">
        <v>95</v>
      </c>
      <c r="Z278">
        <v>109397</v>
      </c>
    </row>
    <row r="279" spans="1:26" x14ac:dyDescent="0.25">
      <c r="A279" t="s">
        <v>931</v>
      </c>
      <c r="B279" t="s">
        <v>42</v>
      </c>
      <c r="C279" t="s">
        <v>27</v>
      </c>
      <c r="E279" t="s">
        <v>88</v>
      </c>
      <c r="H279" s="2">
        <v>46084.48541666667</v>
      </c>
      <c r="I279" t="s">
        <v>95</v>
      </c>
      <c r="Z279">
        <v>109396</v>
      </c>
    </row>
    <row r="280" spans="1:26" x14ac:dyDescent="0.25">
      <c r="A280" t="s">
        <v>92</v>
      </c>
      <c r="B280" t="s">
        <v>26</v>
      </c>
      <c r="C280" t="s">
        <v>27</v>
      </c>
      <c r="H280" s="2">
        <v>46084.459027777775</v>
      </c>
      <c r="I280" t="s">
        <v>29</v>
      </c>
      <c r="Z280">
        <v>109394</v>
      </c>
    </row>
    <row r="281" spans="1:26" x14ac:dyDescent="0.25">
      <c r="A281" t="s">
        <v>932</v>
      </c>
      <c r="B281" t="s">
        <v>26</v>
      </c>
      <c r="C281" t="s">
        <v>27</v>
      </c>
      <c r="H281" s="2">
        <v>46083.564583333333</v>
      </c>
      <c r="I281" t="s">
        <v>40</v>
      </c>
      <c r="Z281">
        <v>109379</v>
      </c>
    </row>
    <row r="282" spans="1:26" x14ac:dyDescent="0.25">
      <c r="A282" t="s">
        <v>933</v>
      </c>
      <c r="B282" t="s">
        <v>26</v>
      </c>
      <c r="C282" t="s">
        <v>27</v>
      </c>
      <c r="H282" s="2">
        <v>46082.579861111109</v>
      </c>
      <c r="I282" t="s">
        <v>41</v>
      </c>
      <c r="Z282">
        <v>109364</v>
      </c>
    </row>
    <row r="283" spans="1:26" x14ac:dyDescent="0.25">
      <c r="A283" t="s">
        <v>934</v>
      </c>
      <c r="B283" t="s">
        <v>26</v>
      </c>
      <c r="C283" t="s">
        <v>27</v>
      </c>
      <c r="H283" s="2">
        <v>46081.529861111114</v>
      </c>
      <c r="I283" t="s">
        <v>40</v>
      </c>
      <c r="Z283">
        <v>109348</v>
      </c>
    </row>
    <row r="284" spans="1:26" x14ac:dyDescent="0.25">
      <c r="A284" t="s">
        <v>935</v>
      </c>
      <c r="B284" t="s">
        <v>26</v>
      </c>
      <c r="C284" t="s">
        <v>27</v>
      </c>
      <c r="H284" s="2">
        <v>46080.847916666666</v>
      </c>
      <c r="I284" t="s">
        <v>41</v>
      </c>
      <c r="Z284">
        <v>109335</v>
      </c>
    </row>
    <row r="285" spans="1:26" x14ac:dyDescent="0.25">
      <c r="A285" t="s">
        <v>936</v>
      </c>
      <c r="B285" t="s">
        <v>26</v>
      </c>
      <c r="C285" t="s">
        <v>27</v>
      </c>
      <c r="H285" s="2">
        <v>46080.588194444441</v>
      </c>
      <c r="I285" t="s">
        <v>41</v>
      </c>
      <c r="Z285">
        <v>109323</v>
      </c>
    </row>
    <row r="286" spans="1:26" x14ac:dyDescent="0.25">
      <c r="A286" t="s">
        <v>937</v>
      </c>
      <c r="B286" t="s">
        <v>26</v>
      </c>
      <c r="C286" t="s">
        <v>27</v>
      </c>
      <c r="H286" s="2">
        <v>46080.47152777778</v>
      </c>
      <c r="I286" t="s">
        <v>41</v>
      </c>
      <c r="Z286">
        <v>109313</v>
      </c>
    </row>
    <row r="287" spans="1:26" x14ac:dyDescent="0.25">
      <c r="A287" t="s">
        <v>938</v>
      </c>
      <c r="B287" t="s">
        <v>26</v>
      </c>
      <c r="C287" t="s">
        <v>27</v>
      </c>
      <c r="H287" s="2">
        <v>46079.814583333333</v>
      </c>
      <c r="I287" t="s">
        <v>29</v>
      </c>
      <c r="Z287">
        <v>109309</v>
      </c>
    </row>
    <row r="288" spans="1:26" x14ac:dyDescent="0.25">
      <c r="A288" t="s">
        <v>939</v>
      </c>
      <c r="B288" t="s">
        <v>26</v>
      </c>
      <c r="C288" t="s">
        <v>27</v>
      </c>
      <c r="H288" s="2">
        <v>46079.732638888891</v>
      </c>
      <c r="I288" t="s">
        <v>29</v>
      </c>
      <c r="Z288">
        <v>109306</v>
      </c>
    </row>
    <row r="289" spans="1:26" x14ac:dyDescent="0.25">
      <c r="A289" t="s">
        <v>869</v>
      </c>
      <c r="B289" t="s">
        <v>26</v>
      </c>
      <c r="C289" t="s">
        <v>27</v>
      </c>
      <c r="H289" s="2">
        <v>46079.535416666666</v>
      </c>
      <c r="I289" t="s">
        <v>29</v>
      </c>
      <c r="Z289">
        <v>109291</v>
      </c>
    </row>
    <row r="290" spans="1:26" x14ac:dyDescent="0.25">
      <c r="A290" t="s">
        <v>921</v>
      </c>
      <c r="B290" t="s">
        <v>26</v>
      </c>
      <c r="C290" t="s">
        <v>27</v>
      </c>
      <c r="H290" s="2">
        <v>46078.763888888891</v>
      </c>
      <c r="I290" t="s">
        <v>29</v>
      </c>
      <c r="Z290">
        <v>109277</v>
      </c>
    </row>
    <row r="291" spans="1:26" x14ac:dyDescent="0.25">
      <c r="A291" t="s">
        <v>940</v>
      </c>
      <c r="B291" t="s">
        <v>36</v>
      </c>
      <c r="C291" t="s">
        <v>27</v>
      </c>
      <c r="E291" t="s">
        <v>69</v>
      </c>
      <c r="H291" s="2">
        <v>46078.70416666667</v>
      </c>
      <c r="I291" t="s">
        <v>29</v>
      </c>
      <c r="K291" t="s">
        <v>30</v>
      </c>
      <c r="L291" t="s">
        <v>31</v>
      </c>
      <c r="M291" t="s">
        <v>121</v>
      </c>
      <c r="N291">
        <v>16990012916</v>
      </c>
      <c r="O291" t="s">
        <v>122</v>
      </c>
      <c r="Z291">
        <v>109273</v>
      </c>
    </row>
    <row r="292" spans="1:26" x14ac:dyDescent="0.25">
      <c r="A292" t="s">
        <v>941</v>
      </c>
      <c r="B292" t="s">
        <v>26</v>
      </c>
      <c r="C292" t="s">
        <v>27</v>
      </c>
      <c r="H292" s="2">
        <v>46078.393750000003</v>
      </c>
      <c r="I292" t="s">
        <v>29</v>
      </c>
      <c r="Z292">
        <v>109258</v>
      </c>
    </row>
    <row r="293" spans="1:26" x14ac:dyDescent="0.25">
      <c r="A293" t="s">
        <v>942</v>
      </c>
      <c r="B293" t="s">
        <v>26</v>
      </c>
      <c r="C293" t="s">
        <v>27</v>
      </c>
      <c r="H293" s="2">
        <v>46077.753472222219</v>
      </c>
      <c r="I293" t="s">
        <v>29</v>
      </c>
      <c r="Z293">
        <v>109251</v>
      </c>
    </row>
    <row r="294" spans="1:26" x14ac:dyDescent="0.25">
      <c r="A294" t="s">
        <v>943</v>
      </c>
      <c r="B294" t="s">
        <v>26</v>
      </c>
      <c r="C294" t="s">
        <v>27</v>
      </c>
      <c r="H294" s="2">
        <v>46077.744444444441</v>
      </c>
      <c r="I294" t="s">
        <v>29</v>
      </c>
      <c r="Z294">
        <v>109250</v>
      </c>
    </row>
    <row r="295" spans="1:26" x14ac:dyDescent="0.25">
      <c r="A295" t="s">
        <v>944</v>
      </c>
      <c r="B295" t="s">
        <v>26</v>
      </c>
      <c r="C295" t="s">
        <v>27</v>
      </c>
      <c r="H295" s="2">
        <v>46077.449305555558</v>
      </c>
      <c r="I295" t="s">
        <v>40</v>
      </c>
      <c r="Z295">
        <v>109225</v>
      </c>
    </row>
    <row r="296" spans="1:26" x14ac:dyDescent="0.25">
      <c r="A296" t="s">
        <v>945</v>
      </c>
      <c r="B296" t="s">
        <v>26</v>
      </c>
      <c r="C296" t="s">
        <v>27</v>
      </c>
      <c r="H296" s="2">
        <v>46076.443055555559</v>
      </c>
      <c r="I296" t="s">
        <v>40</v>
      </c>
      <c r="Z296">
        <v>109191</v>
      </c>
    </row>
    <row r="297" spans="1:26" x14ac:dyDescent="0.25">
      <c r="A297" t="s">
        <v>946</v>
      </c>
      <c r="B297" t="s">
        <v>26</v>
      </c>
      <c r="C297" t="s">
        <v>27</v>
      </c>
      <c r="H297" s="2">
        <v>46075.655555555553</v>
      </c>
      <c r="I297" t="s">
        <v>40</v>
      </c>
      <c r="Z297">
        <v>109180</v>
      </c>
    </row>
    <row r="298" spans="1:26" x14ac:dyDescent="0.25">
      <c r="A298" t="s">
        <v>947</v>
      </c>
      <c r="B298" t="s">
        <v>26</v>
      </c>
      <c r="C298" t="s">
        <v>27</v>
      </c>
      <c r="H298" s="2">
        <v>46075.63958333333</v>
      </c>
      <c r="I298" t="s">
        <v>40</v>
      </c>
      <c r="Z298">
        <v>109179</v>
      </c>
    </row>
    <row r="299" spans="1:26" x14ac:dyDescent="0.25">
      <c r="A299" t="s">
        <v>948</v>
      </c>
      <c r="B299" t="s">
        <v>26</v>
      </c>
      <c r="C299" t="s">
        <v>27</v>
      </c>
      <c r="H299" s="2">
        <v>46074.568055555559</v>
      </c>
      <c r="I299" t="s">
        <v>95</v>
      </c>
      <c r="Z299">
        <v>109158</v>
      </c>
    </row>
    <row r="300" spans="1:26" x14ac:dyDescent="0.25">
      <c r="A300" t="s">
        <v>949</v>
      </c>
      <c r="B300" t="s">
        <v>26</v>
      </c>
      <c r="C300" t="s">
        <v>27</v>
      </c>
      <c r="H300" s="2">
        <v>46072.757638888892</v>
      </c>
      <c r="I300" t="s">
        <v>95</v>
      </c>
      <c r="Z300">
        <v>109125</v>
      </c>
    </row>
    <row r="301" spans="1:26" x14ac:dyDescent="0.25">
      <c r="A301" t="s">
        <v>950</v>
      </c>
      <c r="B301" t="s">
        <v>26</v>
      </c>
      <c r="C301" t="s">
        <v>27</v>
      </c>
      <c r="H301" s="2">
        <v>46072.55972222222</v>
      </c>
      <c r="I301" t="s">
        <v>95</v>
      </c>
      <c r="Z301">
        <v>109110</v>
      </c>
    </row>
    <row r="302" spans="1:26" x14ac:dyDescent="0.25">
      <c r="A302" t="s">
        <v>951</v>
      </c>
      <c r="B302" t="s">
        <v>26</v>
      </c>
      <c r="C302" t="s">
        <v>27</v>
      </c>
      <c r="H302" s="2">
        <v>46069.469444444447</v>
      </c>
      <c r="I302" t="s">
        <v>40</v>
      </c>
      <c r="Z302">
        <v>109018</v>
      </c>
    </row>
    <row r="303" spans="1:26" x14ac:dyDescent="0.25">
      <c r="A303" t="s">
        <v>952</v>
      </c>
      <c r="B303" t="s">
        <v>26</v>
      </c>
      <c r="C303" t="s">
        <v>27</v>
      </c>
      <c r="H303" s="2">
        <v>46069.445833333331</v>
      </c>
      <c r="I303" t="s">
        <v>40</v>
      </c>
      <c r="Z303">
        <v>109016</v>
      </c>
    </row>
    <row r="304" spans="1:26" x14ac:dyDescent="0.25">
      <c r="A304" t="s">
        <v>953</v>
      </c>
      <c r="B304" t="s">
        <v>26</v>
      </c>
      <c r="C304" t="s">
        <v>27</v>
      </c>
      <c r="H304" s="2">
        <v>46068.520138888889</v>
      </c>
      <c r="I304" t="s">
        <v>41</v>
      </c>
      <c r="Z304">
        <v>109006</v>
      </c>
    </row>
    <row r="305" spans="1:26" x14ac:dyDescent="0.25">
      <c r="A305" t="s">
        <v>100</v>
      </c>
      <c r="B305" t="s">
        <v>77</v>
      </c>
      <c r="C305" t="s">
        <v>27</v>
      </c>
      <c r="H305" s="2">
        <v>46067.902083333334</v>
      </c>
      <c r="I305" t="s">
        <v>95</v>
      </c>
      <c r="Z305">
        <v>109000</v>
      </c>
    </row>
    <row r="306" spans="1:26" x14ac:dyDescent="0.25">
      <c r="A306" t="s">
        <v>954</v>
      </c>
      <c r="B306" t="s">
        <v>26</v>
      </c>
      <c r="C306" t="s">
        <v>27</v>
      </c>
      <c r="H306" s="2">
        <v>46066.378472222219</v>
      </c>
      <c r="I306" t="s">
        <v>29</v>
      </c>
      <c r="Z306">
        <v>108963</v>
      </c>
    </row>
    <row r="307" spans="1:26" x14ac:dyDescent="0.25">
      <c r="A307" t="s">
        <v>869</v>
      </c>
      <c r="B307" t="s">
        <v>26</v>
      </c>
      <c r="C307" t="s">
        <v>27</v>
      </c>
      <c r="H307" s="2">
        <v>46065.734722222223</v>
      </c>
      <c r="I307" t="s">
        <v>29</v>
      </c>
      <c r="Z307">
        <v>108955</v>
      </c>
    </row>
    <row r="308" spans="1:26" x14ac:dyDescent="0.25">
      <c r="A308" t="s">
        <v>955</v>
      </c>
      <c r="B308" t="s">
        <v>26</v>
      </c>
      <c r="C308" t="s">
        <v>27</v>
      </c>
      <c r="H308" s="2">
        <v>46065.664583333331</v>
      </c>
      <c r="I308" t="s">
        <v>40</v>
      </c>
      <c r="Z308">
        <v>108950</v>
      </c>
    </row>
    <row r="309" spans="1:26" x14ac:dyDescent="0.25">
      <c r="A309" t="s">
        <v>956</v>
      </c>
      <c r="B309" t="s">
        <v>26</v>
      </c>
      <c r="C309" t="s">
        <v>27</v>
      </c>
      <c r="H309" s="2">
        <v>46065.385416666664</v>
      </c>
      <c r="I309" t="s">
        <v>29</v>
      </c>
      <c r="Z309">
        <v>108931</v>
      </c>
    </row>
    <row r="310" spans="1:26" x14ac:dyDescent="0.25">
      <c r="A310" t="s">
        <v>957</v>
      </c>
      <c r="B310" t="s">
        <v>26</v>
      </c>
      <c r="C310" t="s">
        <v>27</v>
      </c>
      <c r="H310" s="2">
        <v>46064.426388888889</v>
      </c>
      <c r="I310" t="s">
        <v>41</v>
      </c>
      <c r="Z310">
        <v>108897</v>
      </c>
    </row>
    <row r="311" spans="1:26" x14ac:dyDescent="0.25">
      <c r="A311" t="s">
        <v>958</v>
      </c>
      <c r="B311" t="s">
        <v>26</v>
      </c>
      <c r="C311" t="s">
        <v>27</v>
      </c>
      <c r="H311" s="2">
        <v>46064.376388888886</v>
      </c>
      <c r="I311" t="s">
        <v>40</v>
      </c>
      <c r="Z311">
        <v>108892</v>
      </c>
    </row>
    <row r="312" spans="1:26" x14ac:dyDescent="0.25">
      <c r="A312" t="s">
        <v>959</v>
      </c>
      <c r="B312" t="s">
        <v>42</v>
      </c>
      <c r="C312" t="s">
        <v>27</v>
      </c>
      <c r="E312" t="s">
        <v>56</v>
      </c>
      <c r="H312" s="2">
        <v>46063.518055555556</v>
      </c>
      <c r="I312" t="s">
        <v>41</v>
      </c>
      <c r="Z312">
        <v>108879</v>
      </c>
    </row>
    <row r="313" spans="1:26" x14ac:dyDescent="0.25">
      <c r="A313" t="s">
        <v>960</v>
      </c>
      <c r="B313" t="s">
        <v>36</v>
      </c>
      <c r="C313" t="s">
        <v>27</v>
      </c>
      <c r="E313" t="s">
        <v>107</v>
      </c>
      <c r="H313" s="2">
        <v>46063.490277777775</v>
      </c>
      <c r="I313" t="s">
        <v>41</v>
      </c>
      <c r="K313" t="s">
        <v>37</v>
      </c>
      <c r="Z313">
        <v>108877</v>
      </c>
    </row>
    <row r="314" spans="1:26" x14ac:dyDescent="0.25">
      <c r="A314" t="s">
        <v>961</v>
      </c>
      <c r="B314" t="s">
        <v>26</v>
      </c>
      <c r="C314" t="s">
        <v>27</v>
      </c>
      <c r="H314" s="2">
        <v>46062.538888888892</v>
      </c>
      <c r="I314" t="s">
        <v>95</v>
      </c>
      <c r="Z314">
        <v>108851</v>
      </c>
    </row>
    <row r="315" spans="1:26" x14ac:dyDescent="0.25">
      <c r="A315" t="s">
        <v>81</v>
      </c>
      <c r="B315" t="s">
        <v>75</v>
      </c>
      <c r="C315" t="s">
        <v>27</v>
      </c>
      <c r="E315" s="1" t="s">
        <v>78</v>
      </c>
      <c r="H315" s="2">
        <v>46062.527083333334</v>
      </c>
      <c r="I315" t="s">
        <v>95</v>
      </c>
      <c r="Z315">
        <v>108850</v>
      </c>
    </row>
    <row r="316" spans="1:26" x14ac:dyDescent="0.25">
      <c r="A316" t="s">
        <v>92</v>
      </c>
      <c r="B316" t="s">
        <v>46</v>
      </c>
      <c r="C316" t="s">
        <v>27</v>
      </c>
      <c r="E316" t="s">
        <v>90</v>
      </c>
      <c r="G316" t="s">
        <v>351</v>
      </c>
      <c r="H316" s="2">
        <v>46060.397222222222</v>
      </c>
      <c r="I316" t="s">
        <v>29</v>
      </c>
      <c r="K316" t="s">
        <v>30</v>
      </c>
      <c r="L316" t="s">
        <v>31</v>
      </c>
      <c r="M316" t="s">
        <v>121</v>
      </c>
      <c r="N316">
        <v>16990012919</v>
      </c>
      <c r="O316" t="s">
        <v>682</v>
      </c>
      <c r="Z316">
        <v>108806</v>
      </c>
    </row>
    <row r="317" spans="1:26" x14ac:dyDescent="0.25">
      <c r="A317" t="s">
        <v>869</v>
      </c>
      <c r="B317" t="s">
        <v>46</v>
      </c>
      <c r="C317" t="s">
        <v>27</v>
      </c>
      <c r="E317" t="s">
        <v>962</v>
      </c>
      <c r="G317" t="s">
        <v>963</v>
      </c>
      <c r="H317" s="2">
        <v>46059.938194444447</v>
      </c>
      <c r="I317" t="s">
        <v>29</v>
      </c>
      <c r="Z317">
        <v>108804</v>
      </c>
    </row>
    <row r="318" spans="1:26" x14ac:dyDescent="0.25">
      <c r="A318" t="s">
        <v>964</v>
      </c>
      <c r="B318" t="s">
        <v>42</v>
      </c>
      <c r="C318" t="s">
        <v>27</v>
      </c>
      <c r="E318" t="s">
        <v>214</v>
      </c>
      <c r="H318" s="2">
        <v>46058.665972222225</v>
      </c>
      <c r="I318" t="s">
        <v>41</v>
      </c>
      <c r="Z318">
        <v>108776</v>
      </c>
    </row>
    <row r="319" spans="1:26" x14ac:dyDescent="0.25">
      <c r="A319" t="s">
        <v>965</v>
      </c>
      <c r="B319" t="s">
        <v>26</v>
      </c>
      <c r="C319" t="s">
        <v>27</v>
      </c>
      <c r="H319" s="2">
        <v>46058.636111111111</v>
      </c>
      <c r="I319" t="s">
        <v>40</v>
      </c>
      <c r="Z319">
        <v>108774</v>
      </c>
    </row>
    <row r="320" spans="1:26" x14ac:dyDescent="0.25">
      <c r="A320" t="s">
        <v>966</v>
      </c>
      <c r="B320" t="s">
        <v>26</v>
      </c>
      <c r="C320" t="s">
        <v>27</v>
      </c>
      <c r="H320" s="2">
        <v>46054.811111111114</v>
      </c>
      <c r="I320" t="s">
        <v>29</v>
      </c>
      <c r="Z320">
        <v>108691</v>
      </c>
    </row>
    <row r="321" spans="1:26" x14ac:dyDescent="0.25">
      <c r="A321" t="s">
        <v>967</v>
      </c>
      <c r="B321" t="s">
        <v>26</v>
      </c>
      <c r="C321" t="s">
        <v>27</v>
      </c>
      <c r="H321" s="2">
        <v>46054.533333333333</v>
      </c>
      <c r="I321" t="s">
        <v>95</v>
      </c>
      <c r="Z321">
        <v>108677</v>
      </c>
    </row>
    <row r="322" spans="1:26" x14ac:dyDescent="0.25">
      <c r="A322" t="s">
        <v>968</v>
      </c>
      <c r="B322" t="s">
        <v>969</v>
      </c>
      <c r="C322" t="s">
        <v>27</v>
      </c>
      <c r="H322" s="2">
        <v>46052.404861111114</v>
      </c>
      <c r="I322" t="s">
        <v>40</v>
      </c>
      <c r="Z322">
        <v>108628</v>
      </c>
    </row>
    <row r="323" spans="1:26" x14ac:dyDescent="0.25">
      <c r="A323" t="s">
        <v>970</v>
      </c>
      <c r="B323" t="s">
        <v>26</v>
      </c>
      <c r="C323" t="s">
        <v>27</v>
      </c>
      <c r="H323" s="2">
        <v>46051.760416666664</v>
      </c>
      <c r="I323" t="s">
        <v>40</v>
      </c>
      <c r="Z323">
        <v>108623</v>
      </c>
    </row>
    <row r="324" spans="1:26" x14ac:dyDescent="0.25">
      <c r="A324" t="s">
        <v>971</v>
      </c>
      <c r="B324" t="s">
        <v>969</v>
      </c>
      <c r="C324" t="s">
        <v>27</v>
      </c>
      <c r="H324" s="2">
        <v>46050.575694444444</v>
      </c>
      <c r="I324" t="s">
        <v>95</v>
      </c>
      <c r="Z324">
        <v>108590</v>
      </c>
    </row>
    <row r="325" spans="1:26" x14ac:dyDescent="0.25">
      <c r="A325" t="s">
        <v>972</v>
      </c>
      <c r="B325" t="s">
        <v>26</v>
      </c>
      <c r="C325" t="s">
        <v>27</v>
      </c>
      <c r="H325" s="2">
        <v>46050.52847222222</v>
      </c>
      <c r="I325" t="s">
        <v>41</v>
      </c>
      <c r="Z325">
        <v>108582</v>
      </c>
    </row>
    <row r="326" spans="1:26" x14ac:dyDescent="0.25">
      <c r="A326" t="s">
        <v>973</v>
      </c>
      <c r="B326" t="s">
        <v>26</v>
      </c>
      <c r="C326" t="s">
        <v>27</v>
      </c>
      <c r="H326" s="2">
        <v>46049.69027777778</v>
      </c>
      <c r="I326" t="s">
        <v>29</v>
      </c>
      <c r="Z326">
        <v>108562</v>
      </c>
    </row>
    <row r="327" spans="1:26" x14ac:dyDescent="0.25">
      <c r="A327" t="s">
        <v>974</v>
      </c>
      <c r="B327" t="s">
        <v>26</v>
      </c>
      <c r="C327" t="s">
        <v>27</v>
      </c>
      <c r="H327" s="2">
        <v>46048.65347222222</v>
      </c>
      <c r="I327" t="s">
        <v>95</v>
      </c>
      <c r="Z327">
        <v>108536</v>
      </c>
    </row>
    <row r="328" spans="1:26" x14ac:dyDescent="0.25">
      <c r="A328" t="s">
        <v>975</v>
      </c>
      <c r="B328" t="s">
        <v>26</v>
      </c>
      <c r="C328" t="s">
        <v>27</v>
      </c>
      <c r="H328" s="2">
        <v>46047.662499999999</v>
      </c>
      <c r="I328" t="s">
        <v>29</v>
      </c>
      <c r="Z328">
        <v>108510</v>
      </c>
    </row>
    <row r="329" spans="1:26" x14ac:dyDescent="0.25">
      <c r="A329" t="s">
        <v>976</v>
      </c>
      <c r="B329" t="s">
        <v>969</v>
      </c>
      <c r="C329" t="s">
        <v>27</v>
      </c>
      <c r="H329" s="2">
        <v>46047.419444444444</v>
      </c>
      <c r="I329" t="s">
        <v>29</v>
      </c>
      <c r="Z329">
        <v>108500</v>
      </c>
    </row>
    <row r="330" spans="1:26" x14ac:dyDescent="0.25">
      <c r="A330" t="s">
        <v>977</v>
      </c>
      <c r="B330" t="s">
        <v>26</v>
      </c>
      <c r="C330" t="s">
        <v>27</v>
      </c>
      <c r="H330" s="2">
        <v>46046.627083333333</v>
      </c>
      <c r="I330" t="s">
        <v>40</v>
      </c>
      <c r="Z330">
        <v>108488</v>
      </c>
    </row>
    <row r="331" spans="1:26" x14ac:dyDescent="0.25">
      <c r="A331" t="s">
        <v>978</v>
      </c>
      <c r="B331" t="s">
        <v>26</v>
      </c>
      <c r="C331" t="s">
        <v>27</v>
      </c>
      <c r="H331" s="2">
        <v>46046.377083333333</v>
      </c>
      <c r="I331" t="s">
        <v>41</v>
      </c>
      <c r="Z331">
        <v>108472</v>
      </c>
    </row>
    <row r="332" spans="1:26" x14ac:dyDescent="0.25">
      <c r="A332" t="s">
        <v>979</v>
      </c>
      <c r="B332" t="s">
        <v>26</v>
      </c>
      <c r="C332" t="s">
        <v>27</v>
      </c>
      <c r="H332" s="2">
        <v>46044.572222222225</v>
      </c>
      <c r="I332" t="s">
        <v>95</v>
      </c>
      <c r="Z332">
        <v>108426</v>
      </c>
    </row>
    <row r="333" spans="1:26" x14ac:dyDescent="0.25">
      <c r="A333" t="s">
        <v>127</v>
      </c>
      <c r="B333" t="s">
        <v>42</v>
      </c>
      <c r="C333" t="s">
        <v>27</v>
      </c>
      <c r="E333" t="s">
        <v>76</v>
      </c>
      <c r="H333" s="2">
        <v>46043.918749999997</v>
      </c>
      <c r="I333" t="s">
        <v>95</v>
      </c>
      <c r="Z333">
        <v>108410</v>
      </c>
    </row>
    <row r="334" spans="1:26" x14ac:dyDescent="0.25">
      <c r="A334" t="s">
        <v>980</v>
      </c>
      <c r="B334" t="s">
        <v>46</v>
      </c>
      <c r="C334" t="s">
        <v>27</v>
      </c>
      <c r="E334" t="s">
        <v>981</v>
      </c>
      <c r="G334" t="s">
        <v>982</v>
      </c>
      <c r="H334" s="2">
        <v>46043.682638888888</v>
      </c>
      <c r="I334" t="s">
        <v>95</v>
      </c>
      <c r="Z334">
        <v>108399</v>
      </c>
    </row>
    <row r="335" spans="1:26" x14ac:dyDescent="0.25">
      <c r="A335" t="s">
        <v>983</v>
      </c>
      <c r="B335" t="s">
        <v>26</v>
      </c>
      <c r="C335" t="s">
        <v>27</v>
      </c>
      <c r="H335" s="2">
        <v>46042.865277777775</v>
      </c>
      <c r="I335" t="s">
        <v>95</v>
      </c>
      <c r="Z335">
        <v>108379</v>
      </c>
    </row>
    <row r="336" spans="1:26" x14ac:dyDescent="0.25">
      <c r="A336" t="s">
        <v>984</v>
      </c>
      <c r="B336" t="s">
        <v>969</v>
      </c>
      <c r="C336" t="s">
        <v>27</v>
      </c>
      <c r="H336" s="2">
        <v>46042.799305555556</v>
      </c>
      <c r="I336" t="s">
        <v>95</v>
      </c>
      <c r="Z336">
        <v>108377</v>
      </c>
    </row>
    <row r="337" spans="1:26" x14ac:dyDescent="0.25">
      <c r="A337" t="s">
        <v>92</v>
      </c>
      <c r="B337" t="s">
        <v>26</v>
      </c>
      <c r="C337" t="s">
        <v>27</v>
      </c>
      <c r="H337" s="2">
        <v>46042.780555555553</v>
      </c>
      <c r="I337" t="s">
        <v>29</v>
      </c>
      <c r="Z337">
        <v>108374</v>
      </c>
    </row>
    <row r="338" spans="1:26" x14ac:dyDescent="0.25">
      <c r="A338" t="s">
        <v>985</v>
      </c>
      <c r="B338" t="s">
        <v>42</v>
      </c>
      <c r="C338" t="s">
        <v>27</v>
      </c>
      <c r="E338" t="s">
        <v>76</v>
      </c>
      <c r="H338" s="2">
        <v>46042.615277777775</v>
      </c>
      <c r="I338" t="s">
        <v>29</v>
      </c>
      <c r="Z338">
        <v>108368</v>
      </c>
    </row>
    <row r="339" spans="1:26" x14ac:dyDescent="0.25">
      <c r="A339" t="s">
        <v>986</v>
      </c>
      <c r="B339" t="s">
        <v>26</v>
      </c>
      <c r="C339" t="s">
        <v>27</v>
      </c>
      <c r="H339" s="2">
        <v>46042.499305555553</v>
      </c>
      <c r="I339" t="s">
        <v>29</v>
      </c>
      <c r="Z339">
        <v>108358</v>
      </c>
    </row>
    <row r="340" spans="1:26" x14ac:dyDescent="0.25">
      <c r="A340" t="s">
        <v>987</v>
      </c>
      <c r="B340" t="s">
        <v>26</v>
      </c>
      <c r="C340" t="s">
        <v>27</v>
      </c>
      <c r="H340" s="2">
        <v>46042.472916666666</v>
      </c>
      <c r="I340" t="s">
        <v>29</v>
      </c>
      <c r="Z340">
        <v>108357</v>
      </c>
    </row>
    <row r="341" spans="1:26" x14ac:dyDescent="0.25">
      <c r="A341" t="s">
        <v>988</v>
      </c>
      <c r="B341" t="s">
        <v>42</v>
      </c>
      <c r="C341" t="s">
        <v>27</v>
      </c>
      <c r="E341" t="s">
        <v>989</v>
      </c>
      <c r="H341" s="2">
        <v>46041.59375</v>
      </c>
      <c r="I341" t="s">
        <v>40</v>
      </c>
      <c r="Z341">
        <v>108336</v>
      </c>
    </row>
    <row r="342" spans="1:26" x14ac:dyDescent="0.25">
      <c r="A342" t="s">
        <v>990</v>
      </c>
      <c r="B342" t="s">
        <v>26</v>
      </c>
      <c r="C342" t="s">
        <v>27</v>
      </c>
      <c r="H342" s="2">
        <v>46041.473611111112</v>
      </c>
      <c r="I342" t="s">
        <v>40</v>
      </c>
      <c r="Z342">
        <v>108323</v>
      </c>
    </row>
    <row r="343" spans="1:26" x14ac:dyDescent="0.25">
      <c r="A343" t="s">
        <v>991</v>
      </c>
      <c r="B343" t="s">
        <v>46</v>
      </c>
      <c r="C343" t="s">
        <v>27</v>
      </c>
      <c r="E343" t="s">
        <v>84</v>
      </c>
      <c r="G343" t="s">
        <v>992</v>
      </c>
      <c r="H343" s="2">
        <v>46040.07916666667</v>
      </c>
      <c r="I343" t="s">
        <v>40</v>
      </c>
      <c r="Z343">
        <v>108283</v>
      </c>
    </row>
    <row r="344" spans="1:26" x14ac:dyDescent="0.25">
      <c r="A344" t="s">
        <v>993</v>
      </c>
      <c r="B344" t="s">
        <v>46</v>
      </c>
      <c r="C344" t="s">
        <v>27</v>
      </c>
      <c r="E344" t="s">
        <v>53</v>
      </c>
      <c r="G344" t="s">
        <v>994</v>
      </c>
      <c r="H344" s="2">
        <v>46039.911111111112</v>
      </c>
      <c r="I344" t="s">
        <v>40</v>
      </c>
      <c r="Z344">
        <v>108282</v>
      </c>
    </row>
    <row r="345" spans="1:26" x14ac:dyDescent="0.25">
      <c r="A345" t="s">
        <v>995</v>
      </c>
      <c r="B345" t="s">
        <v>46</v>
      </c>
      <c r="C345" t="s">
        <v>27</v>
      </c>
      <c r="E345" t="s">
        <v>138</v>
      </c>
      <c r="G345" t="s">
        <v>996</v>
      </c>
      <c r="H345" s="2">
        <v>46039.765277777777</v>
      </c>
      <c r="I345" t="s">
        <v>41</v>
      </c>
      <c r="Z345">
        <v>108276</v>
      </c>
    </row>
    <row r="346" spans="1:26" x14ac:dyDescent="0.25">
      <c r="A346" t="s">
        <v>997</v>
      </c>
      <c r="B346" t="s">
        <v>46</v>
      </c>
      <c r="C346" t="s">
        <v>27</v>
      </c>
      <c r="E346" t="s">
        <v>209</v>
      </c>
      <c r="G346" t="s">
        <v>998</v>
      </c>
      <c r="H346" s="2">
        <v>46039.548611111109</v>
      </c>
      <c r="I346" t="s">
        <v>41</v>
      </c>
      <c r="Z346">
        <v>108257</v>
      </c>
    </row>
    <row r="347" spans="1:26" x14ac:dyDescent="0.25">
      <c r="A347" t="s">
        <v>999</v>
      </c>
      <c r="B347" t="s">
        <v>26</v>
      </c>
      <c r="C347" t="s">
        <v>27</v>
      </c>
      <c r="H347" s="2">
        <v>46039.466666666667</v>
      </c>
      <c r="I347" t="s">
        <v>40</v>
      </c>
      <c r="Z347">
        <v>108247</v>
      </c>
    </row>
    <row r="348" spans="1:26" x14ac:dyDescent="0.25">
      <c r="A348" t="s">
        <v>1000</v>
      </c>
      <c r="B348" t="s">
        <v>26</v>
      </c>
      <c r="C348" t="s">
        <v>27</v>
      </c>
      <c r="H348" s="2">
        <v>46038.752083333333</v>
      </c>
      <c r="I348" t="s">
        <v>41</v>
      </c>
      <c r="Z348">
        <v>108228</v>
      </c>
    </row>
    <row r="349" spans="1:26" x14ac:dyDescent="0.25">
      <c r="A349" t="s">
        <v>102</v>
      </c>
      <c r="B349" t="s">
        <v>77</v>
      </c>
      <c r="C349" t="s">
        <v>27</v>
      </c>
      <c r="E349" t="s">
        <v>76</v>
      </c>
      <c r="H349" s="2">
        <v>46038.449305555558</v>
      </c>
      <c r="I349" t="s">
        <v>95</v>
      </c>
      <c r="K349" t="s">
        <v>30</v>
      </c>
      <c r="L349" t="s">
        <v>31</v>
      </c>
      <c r="M349" t="s">
        <v>130</v>
      </c>
      <c r="N349">
        <v>16989286241</v>
      </c>
      <c r="O349" t="s">
        <v>1001</v>
      </c>
      <c r="Z349">
        <v>108199</v>
      </c>
    </row>
    <row r="350" spans="1:26" x14ac:dyDescent="0.25">
      <c r="A350" t="s">
        <v>1002</v>
      </c>
      <c r="B350" t="s">
        <v>26</v>
      </c>
      <c r="C350" t="s">
        <v>27</v>
      </c>
      <c r="H350" s="2">
        <v>46038.417361111111</v>
      </c>
      <c r="I350" t="s">
        <v>95</v>
      </c>
      <c r="Z350">
        <v>108194</v>
      </c>
    </row>
    <row r="351" spans="1:26" x14ac:dyDescent="0.25">
      <c r="A351" t="s">
        <v>1003</v>
      </c>
      <c r="B351" t="s">
        <v>26</v>
      </c>
      <c r="C351" t="s">
        <v>27</v>
      </c>
      <c r="H351" s="2">
        <v>46038.347916666666</v>
      </c>
      <c r="I351" t="s">
        <v>41</v>
      </c>
      <c r="Z351">
        <v>108189</v>
      </c>
    </row>
    <row r="352" spans="1:26" x14ac:dyDescent="0.25">
      <c r="A352" t="s">
        <v>1004</v>
      </c>
      <c r="B352" t="s">
        <v>46</v>
      </c>
      <c r="C352" t="s">
        <v>27</v>
      </c>
      <c r="E352" t="s">
        <v>1005</v>
      </c>
      <c r="G352" t="s">
        <v>1006</v>
      </c>
      <c r="H352" s="2">
        <v>46037.152777777781</v>
      </c>
      <c r="I352" t="s">
        <v>95</v>
      </c>
      <c r="Z352">
        <v>108144</v>
      </c>
    </row>
    <row r="353" spans="1:26" x14ac:dyDescent="0.25">
      <c r="A353" t="s">
        <v>92</v>
      </c>
      <c r="B353" t="s">
        <v>26</v>
      </c>
      <c r="C353" t="s">
        <v>27</v>
      </c>
      <c r="H353" s="2">
        <v>46036.463888888888</v>
      </c>
      <c r="I353" t="s">
        <v>29</v>
      </c>
      <c r="Z353">
        <v>108111</v>
      </c>
    </row>
    <row r="354" spans="1:26" x14ac:dyDescent="0.25">
      <c r="A354" t="s">
        <v>92</v>
      </c>
      <c r="B354" t="s">
        <v>969</v>
      </c>
      <c r="C354" t="s">
        <v>27</v>
      </c>
      <c r="H354" s="2">
        <v>46036.461111111108</v>
      </c>
      <c r="I354" t="s">
        <v>29</v>
      </c>
      <c r="Z354">
        <v>108109</v>
      </c>
    </row>
    <row r="355" spans="1:26" x14ac:dyDescent="0.25">
      <c r="A355" t="s">
        <v>1007</v>
      </c>
      <c r="B355" t="s">
        <v>26</v>
      </c>
      <c r="C355" t="s">
        <v>27</v>
      </c>
      <c r="H355" s="2">
        <v>46036.459027777775</v>
      </c>
      <c r="I355" t="s">
        <v>95</v>
      </c>
      <c r="Z355">
        <v>108108</v>
      </c>
    </row>
    <row r="356" spans="1:26" x14ac:dyDescent="0.25">
      <c r="A356" t="s">
        <v>1008</v>
      </c>
      <c r="B356" t="s">
        <v>26</v>
      </c>
      <c r="C356" t="s">
        <v>27</v>
      </c>
      <c r="H356" s="2">
        <v>46036.397222222222</v>
      </c>
      <c r="I356" t="s">
        <v>95</v>
      </c>
      <c r="Z356">
        <v>108104</v>
      </c>
    </row>
    <row r="357" spans="1:26" x14ac:dyDescent="0.25">
      <c r="A357" t="s">
        <v>92</v>
      </c>
      <c r="B357" t="s">
        <v>26</v>
      </c>
      <c r="C357" t="s">
        <v>27</v>
      </c>
      <c r="H357" s="2">
        <v>46036.376388888886</v>
      </c>
      <c r="I357" t="s">
        <v>29</v>
      </c>
      <c r="Z357">
        <v>108102</v>
      </c>
    </row>
    <row r="358" spans="1:26" x14ac:dyDescent="0.25">
      <c r="A358" t="s">
        <v>1009</v>
      </c>
      <c r="B358" t="s">
        <v>26</v>
      </c>
      <c r="C358" t="s">
        <v>27</v>
      </c>
      <c r="H358" s="2">
        <v>46034.495138888888</v>
      </c>
      <c r="I358" t="s">
        <v>41</v>
      </c>
      <c r="Z358">
        <v>108059</v>
      </c>
    </row>
    <row r="359" spans="1:26" x14ac:dyDescent="0.25">
      <c r="A359" t="s">
        <v>1010</v>
      </c>
      <c r="B359" t="s">
        <v>46</v>
      </c>
      <c r="C359" t="s">
        <v>27</v>
      </c>
      <c r="E359" t="s">
        <v>80</v>
      </c>
      <c r="G359" t="s">
        <v>119</v>
      </c>
      <c r="H359" s="2">
        <v>46033.779166666667</v>
      </c>
      <c r="I359" t="s">
        <v>41</v>
      </c>
      <c r="Z359">
        <v>108048</v>
      </c>
    </row>
    <row r="360" spans="1:26" x14ac:dyDescent="0.25">
      <c r="A360" t="s">
        <v>1011</v>
      </c>
      <c r="B360" t="s">
        <v>26</v>
      </c>
      <c r="C360" t="s">
        <v>27</v>
      </c>
      <c r="H360" s="2">
        <v>46033.714583333334</v>
      </c>
      <c r="I360" t="s">
        <v>40</v>
      </c>
      <c r="Z360">
        <v>108043</v>
      </c>
    </row>
    <row r="361" spans="1:26" x14ac:dyDescent="0.25">
      <c r="A361" t="s">
        <v>1012</v>
      </c>
      <c r="B361" t="s">
        <v>26</v>
      </c>
      <c r="C361" t="s">
        <v>27</v>
      </c>
      <c r="H361" s="2">
        <v>46033.583333333336</v>
      </c>
      <c r="I361" t="s">
        <v>41</v>
      </c>
      <c r="Z361">
        <v>108037</v>
      </c>
    </row>
    <row r="362" spans="1:26" x14ac:dyDescent="0.25">
      <c r="A362" t="s">
        <v>92</v>
      </c>
      <c r="B362" t="s">
        <v>26</v>
      </c>
      <c r="C362" t="s">
        <v>27</v>
      </c>
      <c r="H362" s="2">
        <v>46031.811111111114</v>
      </c>
      <c r="I362" t="s">
        <v>29</v>
      </c>
      <c r="Z362">
        <v>107997</v>
      </c>
    </row>
    <row r="363" spans="1:26" x14ac:dyDescent="0.25">
      <c r="A363" t="s">
        <v>92</v>
      </c>
      <c r="B363" t="s">
        <v>46</v>
      </c>
      <c r="C363" t="s">
        <v>27</v>
      </c>
      <c r="E363" t="s">
        <v>44</v>
      </c>
      <c r="G363" t="s">
        <v>286</v>
      </c>
      <c r="H363" s="2">
        <v>46031.535416666666</v>
      </c>
      <c r="I363" t="s">
        <v>29</v>
      </c>
      <c r="Z363">
        <v>107984</v>
      </c>
    </row>
    <row r="364" spans="1:26" x14ac:dyDescent="0.25">
      <c r="A364" t="s">
        <v>1013</v>
      </c>
      <c r="B364" t="s">
        <v>26</v>
      </c>
      <c r="C364" t="s">
        <v>27</v>
      </c>
      <c r="H364" s="2">
        <v>46030.59652777778</v>
      </c>
      <c r="I364" t="s">
        <v>95</v>
      </c>
      <c r="Z364">
        <v>107970</v>
      </c>
    </row>
    <row r="365" spans="1:26" x14ac:dyDescent="0.25">
      <c r="A365" t="s">
        <v>1014</v>
      </c>
      <c r="B365" t="s">
        <v>26</v>
      </c>
      <c r="C365" t="s">
        <v>27</v>
      </c>
      <c r="H365" s="2">
        <v>46030.518750000003</v>
      </c>
      <c r="I365" t="s">
        <v>29</v>
      </c>
      <c r="Z365">
        <v>107969</v>
      </c>
    </row>
    <row r="366" spans="1:26" x14ac:dyDescent="0.25">
      <c r="A366" t="s">
        <v>1015</v>
      </c>
      <c r="B366" t="s">
        <v>26</v>
      </c>
      <c r="C366" t="s">
        <v>27</v>
      </c>
      <c r="H366" s="2">
        <v>46028.715277777781</v>
      </c>
      <c r="I366" t="s">
        <v>40</v>
      </c>
      <c r="Z366">
        <v>107931</v>
      </c>
    </row>
    <row r="367" spans="1:26" x14ac:dyDescent="0.25">
      <c r="A367" t="s">
        <v>1016</v>
      </c>
      <c r="B367" t="s">
        <v>26</v>
      </c>
      <c r="C367" t="s">
        <v>27</v>
      </c>
      <c r="H367" s="2">
        <v>46028.445833333331</v>
      </c>
      <c r="I367" t="s">
        <v>41</v>
      </c>
      <c r="Z367">
        <v>107915</v>
      </c>
    </row>
    <row r="368" spans="1:26" x14ac:dyDescent="0.25">
      <c r="A368" t="s">
        <v>652</v>
      </c>
      <c r="B368" t="s">
        <v>26</v>
      </c>
      <c r="C368" t="s">
        <v>27</v>
      </c>
      <c r="H368" s="2">
        <v>46027.688888888886</v>
      </c>
      <c r="I368" t="s">
        <v>41</v>
      </c>
      <c r="Z368">
        <v>107903</v>
      </c>
    </row>
    <row r="369" spans="1:26" x14ac:dyDescent="0.25">
      <c r="A369" t="s">
        <v>1017</v>
      </c>
      <c r="B369" t="s">
        <v>26</v>
      </c>
      <c r="C369" t="s">
        <v>27</v>
      </c>
      <c r="H369" s="2">
        <v>46027.561111111114</v>
      </c>
      <c r="I369" t="s">
        <v>41</v>
      </c>
      <c r="Z369">
        <v>107891</v>
      </c>
    </row>
    <row r="370" spans="1:26" x14ac:dyDescent="0.25">
      <c r="A370" t="s">
        <v>1018</v>
      </c>
      <c r="B370" t="s">
        <v>36</v>
      </c>
      <c r="C370" t="s">
        <v>27</v>
      </c>
      <c r="E370" t="s">
        <v>135</v>
      </c>
      <c r="H370" s="2">
        <v>46025.756249999999</v>
      </c>
      <c r="I370" t="s">
        <v>40</v>
      </c>
      <c r="K370" t="s">
        <v>37</v>
      </c>
      <c r="Z370">
        <v>107869</v>
      </c>
    </row>
    <row r="371" spans="1:26" x14ac:dyDescent="0.25">
      <c r="A371" t="s">
        <v>1019</v>
      </c>
      <c r="B371" t="s">
        <v>26</v>
      </c>
      <c r="C371" t="s">
        <v>27</v>
      </c>
      <c r="H371" s="2">
        <v>46020.652083333334</v>
      </c>
      <c r="I371" t="s">
        <v>41</v>
      </c>
      <c r="Z371">
        <v>107823</v>
      </c>
    </row>
    <row r="372" spans="1:26" x14ac:dyDescent="0.25">
      <c r="A372" t="s">
        <v>1020</v>
      </c>
      <c r="B372" t="s">
        <v>26</v>
      </c>
      <c r="C372" t="s">
        <v>27</v>
      </c>
      <c r="H372" s="2">
        <v>46020.598611111112</v>
      </c>
      <c r="I372" t="s">
        <v>95</v>
      </c>
      <c r="Z372">
        <v>107821</v>
      </c>
    </row>
    <row r="373" spans="1:26" x14ac:dyDescent="0.25">
      <c r="A373" t="s">
        <v>1021</v>
      </c>
      <c r="B373" t="s">
        <v>46</v>
      </c>
      <c r="C373" t="s">
        <v>27</v>
      </c>
      <c r="E373" t="s">
        <v>88</v>
      </c>
      <c r="G373" t="s">
        <v>1022</v>
      </c>
      <c r="H373" s="2">
        <v>46019.842361111114</v>
      </c>
      <c r="I373" t="s">
        <v>41</v>
      </c>
      <c r="Z373">
        <v>107807</v>
      </c>
    </row>
    <row r="374" spans="1:26" x14ac:dyDescent="0.25">
      <c r="A374" t="s">
        <v>1023</v>
      </c>
      <c r="B374" t="s">
        <v>26</v>
      </c>
      <c r="C374" t="s">
        <v>27</v>
      </c>
      <c r="H374" s="2">
        <v>46018.771527777775</v>
      </c>
      <c r="I374" t="s">
        <v>95</v>
      </c>
      <c r="Z374">
        <v>107776</v>
      </c>
    </row>
    <row r="375" spans="1:26" x14ac:dyDescent="0.25">
      <c r="A375" t="s">
        <v>1024</v>
      </c>
      <c r="B375" t="s">
        <v>26</v>
      </c>
      <c r="C375" t="s">
        <v>27</v>
      </c>
      <c r="H375" s="2">
        <v>46018.654166666667</v>
      </c>
      <c r="I375" t="s">
        <v>29</v>
      </c>
      <c r="Z375">
        <v>107770</v>
      </c>
    </row>
    <row r="376" spans="1:26" x14ac:dyDescent="0.25">
      <c r="A376" t="s">
        <v>1025</v>
      </c>
      <c r="B376" t="s">
        <v>36</v>
      </c>
      <c r="C376" t="s">
        <v>64</v>
      </c>
      <c r="E376" t="s">
        <v>237</v>
      </c>
      <c r="H376" s="2">
        <v>46017.804861111108</v>
      </c>
      <c r="I376" t="s">
        <v>29</v>
      </c>
      <c r="K376" t="s">
        <v>37</v>
      </c>
      <c r="Z376">
        <v>107753</v>
      </c>
    </row>
    <row r="377" spans="1:26" x14ac:dyDescent="0.25">
      <c r="A377" t="s">
        <v>1026</v>
      </c>
      <c r="B377" t="s">
        <v>26</v>
      </c>
      <c r="C377" t="s">
        <v>27</v>
      </c>
      <c r="H377" s="2">
        <v>46017.722222222219</v>
      </c>
      <c r="I377" t="s">
        <v>40</v>
      </c>
      <c r="Z377">
        <v>107746</v>
      </c>
    </row>
    <row r="378" spans="1:26" x14ac:dyDescent="0.25">
      <c r="A378" t="s">
        <v>1027</v>
      </c>
      <c r="B378" t="s">
        <v>77</v>
      </c>
      <c r="C378" t="s">
        <v>27</v>
      </c>
      <c r="E378" t="s">
        <v>112</v>
      </c>
      <c r="H378" s="2">
        <v>46016.662499999999</v>
      </c>
      <c r="I378" t="s">
        <v>41</v>
      </c>
      <c r="K378" t="s">
        <v>30</v>
      </c>
      <c r="L378" t="s">
        <v>31</v>
      </c>
      <c r="M378" t="s">
        <v>1028</v>
      </c>
      <c r="N378">
        <v>17103708778</v>
      </c>
      <c r="O378" t="s">
        <v>682</v>
      </c>
      <c r="Z378">
        <v>107690</v>
      </c>
    </row>
    <row r="379" spans="1:26" x14ac:dyDescent="0.25">
      <c r="A379" t="s">
        <v>1029</v>
      </c>
      <c r="B379" t="s">
        <v>42</v>
      </c>
      <c r="C379" t="s">
        <v>59</v>
      </c>
      <c r="E379" t="s">
        <v>1030</v>
      </c>
      <c r="H379" s="2">
        <v>46015.931250000001</v>
      </c>
      <c r="I379" t="s">
        <v>40</v>
      </c>
      <c r="Z379">
        <v>107650</v>
      </c>
    </row>
    <row r="380" spans="1:26" x14ac:dyDescent="0.25">
      <c r="A380" t="s">
        <v>1031</v>
      </c>
      <c r="B380" t="s">
        <v>77</v>
      </c>
      <c r="C380" t="s">
        <v>27</v>
      </c>
      <c r="E380" t="s">
        <v>116</v>
      </c>
      <c r="H380" s="2">
        <v>46014.710416666669</v>
      </c>
      <c r="I380" t="s">
        <v>41</v>
      </c>
      <c r="K380" t="s">
        <v>30</v>
      </c>
      <c r="L380" t="s">
        <v>31</v>
      </c>
      <c r="M380" t="s">
        <v>1028</v>
      </c>
      <c r="N380">
        <v>17103708778</v>
      </c>
      <c r="O380" t="s">
        <v>1032</v>
      </c>
      <c r="Z380">
        <v>107627</v>
      </c>
    </row>
    <row r="381" spans="1:26" x14ac:dyDescent="0.25">
      <c r="A381" t="s">
        <v>1033</v>
      </c>
      <c r="B381" t="s">
        <v>26</v>
      </c>
      <c r="C381" t="s">
        <v>27</v>
      </c>
      <c r="H381" s="2">
        <v>46014.672222222223</v>
      </c>
      <c r="I381" t="s">
        <v>41</v>
      </c>
      <c r="Z381">
        <v>107625</v>
      </c>
    </row>
    <row r="382" spans="1:26" x14ac:dyDescent="0.25">
      <c r="A382" t="s">
        <v>1034</v>
      </c>
      <c r="B382" t="s">
        <v>26</v>
      </c>
      <c r="C382" t="s">
        <v>27</v>
      </c>
      <c r="H382" s="2">
        <v>46014.646527777775</v>
      </c>
      <c r="I382" t="s">
        <v>41</v>
      </c>
      <c r="Z382">
        <v>107623</v>
      </c>
    </row>
    <row r="383" spans="1:26" x14ac:dyDescent="0.25">
      <c r="A383" t="s">
        <v>1035</v>
      </c>
      <c r="B383" t="s">
        <v>46</v>
      </c>
      <c r="C383" t="s">
        <v>27</v>
      </c>
      <c r="E383" t="s">
        <v>44</v>
      </c>
      <c r="G383" t="s">
        <v>199</v>
      </c>
      <c r="H383" s="2">
        <v>46014.60833333333</v>
      </c>
      <c r="I383" t="s">
        <v>41</v>
      </c>
      <c r="Z383">
        <v>107620</v>
      </c>
    </row>
    <row r="384" spans="1:26" x14ac:dyDescent="0.25">
      <c r="A384" t="s">
        <v>1036</v>
      </c>
      <c r="B384" t="s">
        <v>26</v>
      </c>
      <c r="C384" t="s">
        <v>27</v>
      </c>
      <c r="H384" s="2">
        <v>46014.446527777778</v>
      </c>
      <c r="I384" t="s">
        <v>95</v>
      </c>
      <c r="Z384">
        <v>107605</v>
      </c>
    </row>
    <row r="385" spans="1:26" x14ac:dyDescent="0.25">
      <c r="A385" t="s">
        <v>1037</v>
      </c>
      <c r="B385" t="s">
        <v>46</v>
      </c>
      <c r="C385" t="s">
        <v>27</v>
      </c>
      <c r="E385" t="s">
        <v>113</v>
      </c>
      <c r="G385" t="s">
        <v>1038</v>
      </c>
      <c r="H385" s="2">
        <v>46014.404861111114</v>
      </c>
      <c r="I385" t="s">
        <v>41</v>
      </c>
      <c r="K385" t="s">
        <v>30</v>
      </c>
      <c r="L385" t="s">
        <v>31</v>
      </c>
      <c r="M385" t="s">
        <v>1028</v>
      </c>
      <c r="N385">
        <v>17103708778</v>
      </c>
      <c r="O385" t="s">
        <v>1032</v>
      </c>
      <c r="Z385">
        <v>107601</v>
      </c>
    </row>
    <row r="386" spans="1:26" x14ac:dyDescent="0.25">
      <c r="A386" t="s">
        <v>1039</v>
      </c>
      <c r="B386" t="s">
        <v>36</v>
      </c>
      <c r="C386" t="s">
        <v>27</v>
      </c>
      <c r="E386" t="s">
        <v>1040</v>
      </c>
      <c r="H386" s="2">
        <v>46013.92291666667</v>
      </c>
      <c r="I386" t="s">
        <v>41</v>
      </c>
      <c r="K386" t="s">
        <v>37</v>
      </c>
      <c r="Z386">
        <v>107594</v>
      </c>
    </row>
    <row r="387" spans="1:26" x14ac:dyDescent="0.25">
      <c r="A387" t="s">
        <v>1041</v>
      </c>
      <c r="B387" t="s">
        <v>26</v>
      </c>
      <c r="C387" t="s">
        <v>27</v>
      </c>
      <c r="H387" s="2">
        <v>46013.621527777781</v>
      </c>
      <c r="I387" t="s">
        <v>95</v>
      </c>
      <c r="Z387">
        <v>107582</v>
      </c>
    </row>
    <row r="388" spans="1:26" x14ac:dyDescent="0.25">
      <c r="A388" t="s">
        <v>1042</v>
      </c>
      <c r="B388" t="s">
        <v>26</v>
      </c>
      <c r="C388" t="s">
        <v>27</v>
      </c>
      <c r="H388" s="2">
        <v>46013.545138888891</v>
      </c>
      <c r="I388" t="s">
        <v>29</v>
      </c>
      <c r="Z388">
        <v>107578</v>
      </c>
    </row>
    <row r="389" spans="1:26" x14ac:dyDescent="0.25">
      <c r="A389" t="s">
        <v>1043</v>
      </c>
      <c r="B389" t="s">
        <v>26</v>
      </c>
      <c r="C389" t="s">
        <v>27</v>
      </c>
      <c r="H389" s="2">
        <v>46012.547222222223</v>
      </c>
      <c r="I389" t="s">
        <v>29</v>
      </c>
      <c r="Z389">
        <v>107546</v>
      </c>
    </row>
    <row r="390" spans="1:26" x14ac:dyDescent="0.25">
      <c r="A390" t="s">
        <v>1044</v>
      </c>
      <c r="B390" t="s">
        <v>26</v>
      </c>
      <c r="C390" t="s">
        <v>27</v>
      </c>
      <c r="H390" s="2">
        <v>46012.504861111112</v>
      </c>
      <c r="I390" t="s">
        <v>29</v>
      </c>
      <c r="Z390">
        <v>107542</v>
      </c>
    </row>
    <row r="391" spans="1:26" x14ac:dyDescent="0.25">
      <c r="A391" t="s">
        <v>1045</v>
      </c>
      <c r="B391" t="s">
        <v>26</v>
      </c>
      <c r="C391" t="s">
        <v>27</v>
      </c>
      <c r="H391" s="2">
        <v>46010.624305555553</v>
      </c>
      <c r="I391" t="s">
        <v>29</v>
      </c>
      <c r="Z391">
        <v>107504</v>
      </c>
    </row>
    <row r="392" spans="1:26" x14ac:dyDescent="0.25">
      <c r="A392" t="s">
        <v>1046</v>
      </c>
      <c r="B392" t="s">
        <v>26</v>
      </c>
      <c r="C392" t="s">
        <v>27</v>
      </c>
      <c r="H392" s="2">
        <v>46010.606944444444</v>
      </c>
      <c r="I392" t="s">
        <v>40</v>
      </c>
      <c r="Z392">
        <v>107503</v>
      </c>
    </row>
    <row r="393" spans="1:26" x14ac:dyDescent="0.25">
      <c r="A393" t="s">
        <v>1047</v>
      </c>
      <c r="B393" t="s">
        <v>26</v>
      </c>
      <c r="C393" t="s">
        <v>27</v>
      </c>
      <c r="H393" s="2">
        <v>46008.635416666664</v>
      </c>
      <c r="I393" t="s">
        <v>95</v>
      </c>
      <c r="Z393">
        <v>107463</v>
      </c>
    </row>
    <row r="394" spans="1:26" x14ac:dyDescent="0.25">
      <c r="A394" t="s">
        <v>1048</v>
      </c>
      <c r="B394" t="s">
        <v>26</v>
      </c>
      <c r="C394" t="s">
        <v>27</v>
      </c>
      <c r="H394" s="2">
        <v>46007.592361111114</v>
      </c>
      <c r="I394" t="s">
        <v>95</v>
      </c>
      <c r="Z394">
        <v>107423</v>
      </c>
    </row>
    <row r="395" spans="1:26" x14ac:dyDescent="0.25">
      <c r="A395" t="s">
        <v>674</v>
      </c>
      <c r="B395" t="s">
        <v>26</v>
      </c>
      <c r="C395" t="s">
        <v>27</v>
      </c>
      <c r="H395" s="2">
        <v>46007.490277777775</v>
      </c>
      <c r="I395" t="s">
        <v>41</v>
      </c>
      <c r="Z395">
        <v>107418</v>
      </c>
    </row>
    <row r="396" spans="1:26" x14ac:dyDescent="0.25">
      <c r="A396" t="s">
        <v>1049</v>
      </c>
      <c r="B396" t="s">
        <v>26</v>
      </c>
      <c r="C396" t="s">
        <v>27</v>
      </c>
      <c r="H396" s="2">
        <v>46006.598611111112</v>
      </c>
      <c r="I396" t="s">
        <v>29</v>
      </c>
      <c r="Z396">
        <v>107389</v>
      </c>
    </row>
    <row r="397" spans="1:26" x14ac:dyDescent="0.25">
      <c r="A397" t="s">
        <v>1050</v>
      </c>
      <c r="B397" t="s">
        <v>26</v>
      </c>
      <c r="C397" t="s">
        <v>27</v>
      </c>
      <c r="H397" s="2">
        <v>46006.589583333334</v>
      </c>
      <c r="I397" t="s">
        <v>29</v>
      </c>
      <c r="Z397">
        <v>107386</v>
      </c>
    </row>
    <row r="398" spans="1:26" x14ac:dyDescent="0.25">
      <c r="A398" t="s">
        <v>1051</v>
      </c>
      <c r="B398" t="s">
        <v>26</v>
      </c>
      <c r="C398" t="s">
        <v>27</v>
      </c>
      <c r="H398" s="2">
        <v>46006.506944444445</v>
      </c>
      <c r="I398" t="s">
        <v>29</v>
      </c>
      <c r="Z398">
        <v>107382</v>
      </c>
    </row>
    <row r="399" spans="1:26" x14ac:dyDescent="0.25">
      <c r="A399" t="s">
        <v>1052</v>
      </c>
      <c r="B399" t="s">
        <v>26</v>
      </c>
      <c r="C399" t="s">
        <v>27</v>
      </c>
      <c r="H399" s="2">
        <v>46005.693749999999</v>
      </c>
      <c r="I399" t="s">
        <v>29</v>
      </c>
      <c r="Z399">
        <v>107366</v>
      </c>
    </row>
    <row r="400" spans="1:26" x14ac:dyDescent="0.25">
      <c r="A400" t="s">
        <v>1053</v>
      </c>
      <c r="B400" t="s">
        <v>36</v>
      </c>
      <c r="C400" t="s">
        <v>27</v>
      </c>
      <c r="E400" t="s">
        <v>45</v>
      </c>
      <c r="H400" s="2">
        <v>46004.848611111112</v>
      </c>
      <c r="I400" t="s">
        <v>40</v>
      </c>
      <c r="K400" t="s">
        <v>30</v>
      </c>
      <c r="L400" t="s">
        <v>31</v>
      </c>
      <c r="M400" t="s">
        <v>1028</v>
      </c>
      <c r="N400">
        <v>17103708778</v>
      </c>
      <c r="O400" t="s">
        <v>1054</v>
      </c>
      <c r="Z400">
        <v>107344</v>
      </c>
    </row>
    <row r="401" spans="1:26" x14ac:dyDescent="0.25">
      <c r="A401" t="s">
        <v>861</v>
      </c>
      <c r="B401" t="s">
        <v>26</v>
      </c>
      <c r="C401" t="s">
        <v>27</v>
      </c>
      <c r="H401" s="2">
        <v>46004.45208333333</v>
      </c>
      <c r="I401" t="s">
        <v>40</v>
      </c>
      <c r="Z401">
        <v>107333</v>
      </c>
    </row>
    <row r="402" spans="1:26" x14ac:dyDescent="0.25">
      <c r="A402" t="s">
        <v>1055</v>
      </c>
      <c r="B402" t="s">
        <v>26</v>
      </c>
      <c r="C402" t="s">
        <v>27</v>
      </c>
      <c r="H402" s="2">
        <v>46003.821527777778</v>
      </c>
      <c r="I402" t="s">
        <v>41</v>
      </c>
      <c r="Z402">
        <v>107327</v>
      </c>
    </row>
    <row r="403" spans="1:26" x14ac:dyDescent="0.25">
      <c r="A403" t="s">
        <v>1056</v>
      </c>
      <c r="B403" t="s">
        <v>26</v>
      </c>
      <c r="C403" t="s">
        <v>27</v>
      </c>
      <c r="H403" s="2">
        <v>46003.729861111111</v>
      </c>
      <c r="I403" t="s">
        <v>40</v>
      </c>
      <c r="Z403">
        <v>107323</v>
      </c>
    </row>
    <row r="404" spans="1:26" x14ac:dyDescent="0.25">
      <c r="A404" t="s">
        <v>1057</v>
      </c>
      <c r="B404" t="s">
        <v>26</v>
      </c>
      <c r="C404" t="s">
        <v>27</v>
      </c>
      <c r="H404" s="2">
        <v>46003.560416666667</v>
      </c>
      <c r="I404" t="s">
        <v>40</v>
      </c>
      <c r="Z404">
        <v>107318</v>
      </c>
    </row>
    <row r="405" spans="1:26" x14ac:dyDescent="0.25">
      <c r="A405" t="s">
        <v>1058</v>
      </c>
      <c r="B405" t="s">
        <v>26</v>
      </c>
      <c r="C405" t="s">
        <v>27</v>
      </c>
      <c r="H405" s="2">
        <v>46003.501388888886</v>
      </c>
      <c r="I405" t="s">
        <v>40</v>
      </c>
      <c r="Z405">
        <v>107312</v>
      </c>
    </row>
    <row r="406" spans="1:26" x14ac:dyDescent="0.25">
      <c r="A406" t="s">
        <v>1059</v>
      </c>
      <c r="B406" t="s">
        <v>26</v>
      </c>
      <c r="C406" t="s">
        <v>27</v>
      </c>
      <c r="H406" s="2">
        <v>46002.77847222222</v>
      </c>
      <c r="I406" t="s">
        <v>95</v>
      </c>
      <c r="Z406">
        <v>107302</v>
      </c>
    </row>
    <row r="407" spans="1:26" x14ac:dyDescent="0.25">
      <c r="A407" t="s">
        <v>1060</v>
      </c>
      <c r="B407" t="s">
        <v>46</v>
      </c>
      <c r="C407" t="s">
        <v>27</v>
      </c>
      <c r="E407" t="s">
        <v>201</v>
      </c>
      <c r="G407" t="s">
        <v>1061</v>
      </c>
      <c r="H407" s="2">
        <v>46002.603472222225</v>
      </c>
      <c r="I407" t="s">
        <v>41</v>
      </c>
      <c r="Z407">
        <v>107290</v>
      </c>
    </row>
    <row r="408" spans="1:26" x14ac:dyDescent="0.25">
      <c r="A408" t="s">
        <v>1062</v>
      </c>
      <c r="B408" t="s">
        <v>26</v>
      </c>
      <c r="C408" t="s">
        <v>27</v>
      </c>
      <c r="H408" s="2">
        <v>46001.634027777778</v>
      </c>
      <c r="I408" t="s">
        <v>95</v>
      </c>
      <c r="Z408">
        <v>107246</v>
      </c>
    </row>
    <row r="409" spans="1:26" x14ac:dyDescent="0.25">
      <c r="A409" t="s">
        <v>1063</v>
      </c>
      <c r="B409" t="s">
        <v>26</v>
      </c>
      <c r="C409" t="s">
        <v>27</v>
      </c>
      <c r="H409" s="2">
        <v>46000.446527777778</v>
      </c>
      <c r="I409" t="s">
        <v>95</v>
      </c>
      <c r="Z409">
        <v>107180</v>
      </c>
    </row>
    <row r="410" spans="1:26" x14ac:dyDescent="0.25">
      <c r="A410" t="s">
        <v>92</v>
      </c>
      <c r="B410" t="s">
        <v>26</v>
      </c>
      <c r="C410" t="s">
        <v>27</v>
      </c>
      <c r="H410" s="2">
        <v>46000.398611111108</v>
      </c>
      <c r="I410" t="s">
        <v>29</v>
      </c>
      <c r="Z410">
        <v>107172</v>
      </c>
    </row>
    <row r="411" spans="1:26" x14ac:dyDescent="0.25">
      <c r="A411" t="s">
        <v>1064</v>
      </c>
      <c r="B411" t="s">
        <v>26</v>
      </c>
      <c r="C411" t="s">
        <v>27</v>
      </c>
      <c r="H411" s="2">
        <v>45999.790972222225</v>
      </c>
      <c r="I411" t="s">
        <v>29</v>
      </c>
      <c r="Z411">
        <v>107162</v>
      </c>
    </row>
    <row r="412" spans="1:26" x14ac:dyDescent="0.25">
      <c r="A412" t="s">
        <v>92</v>
      </c>
      <c r="B412" t="s">
        <v>26</v>
      </c>
      <c r="C412" t="s">
        <v>27</v>
      </c>
      <c r="H412" s="2">
        <v>45999.774305555555</v>
      </c>
      <c r="I412" t="s">
        <v>40</v>
      </c>
      <c r="Z412">
        <v>107158</v>
      </c>
    </row>
    <row r="413" spans="1:26" x14ac:dyDescent="0.25">
      <c r="A413" t="s">
        <v>1065</v>
      </c>
      <c r="B413" t="s">
        <v>26</v>
      </c>
      <c r="C413" t="s">
        <v>27</v>
      </c>
      <c r="H413" s="2">
        <v>45999.657638888886</v>
      </c>
      <c r="I413" t="s">
        <v>40</v>
      </c>
      <c r="Z413">
        <v>107146</v>
      </c>
    </row>
    <row r="414" spans="1:26" x14ac:dyDescent="0.25">
      <c r="A414" t="s">
        <v>1066</v>
      </c>
      <c r="B414" t="s">
        <v>36</v>
      </c>
      <c r="C414" t="s">
        <v>27</v>
      </c>
      <c r="E414" t="s">
        <v>1067</v>
      </c>
      <c r="H414" s="2">
        <v>45998.927777777775</v>
      </c>
      <c r="I414" t="s">
        <v>40</v>
      </c>
      <c r="K414" t="s">
        <v>30</v>
      </c>
      <c r="L414" t="s">
        <v>31</v>
      </c>
      <c r="M414" t="s">
        <v>1028</v>
      </c>
      <c r="N414">
        <v>17103708778</v>
      </c>
      <c r="O414" t="s">
        <v>682</v>
      </c>
      <c r="Z414">
        <v>107124</v>
      </c>
    </row>
    <row r="415" spans="1:26" x14ac:dyDescent="0.25">
      <c r="A415" t="s">
        <v>1068</v>
      </c>
      <c r="B415" t="s">
        <v>26</v>
      </c>
      <c r="C415" t="s">
        <v>27</v>
      </c>
      <c r="H415" s="2">
        <v>45997.704861111109</v>
      </c>
      <c r="I415" t="s">
        <v>41</v>
      </c>
      <c r="Z415">
        <v>107101</v>
      </c>
    </row>
    <row r="416" spans="1:26" x14ac:dyDescent="0.25">
      <c r="A416" t="s">
        <v>1069</v>
      </c>
      <c r="B416" t="s">
        <v>26</v>
      </c>
      <c r="C416" t="s">
        <v>27</v>
      </c>
      <c r="H416" s="2">
        <v>45996.75277777778</v>
      </c>
      <c r="I416" t="s">
        <v>95</v>
      </c>
      <c r="Z416">
        <v>107079</v>
      </c>
    </row>
    <row r="417" spans="1:26" x14ac:dyDescent="0.25">
      <c r="A417" t="s">
        <v>92</v>
      </c>
      <c r="B417" t="s">
        <v>26</v>
      </c>
      <c r="C417" t="s">
        <v>27</v>
      </c>
      <c r="H417" s="2">
        <v>45995.724305555559</v>
      </c>
      <c r="I417" t="s">
        <v>29</v>
      </c>
      <c r="Z417">
        <v>107038</v>
      </c>
    </row>
    <row r="418" spans="1:26" x14ac:dyDescent="0.25">
      <c r="A418" t="s">
        <v>1070</v>
      </c>
      <c r="B418" t="s">
        <v>26</v>
      </c>
      <c r="C418" t="s">
        <v>27</v>
      </c>
      <c r="H418" s="2">
        <v>45994.78402777778</v>
      </c>
      <c r="I418" t="s">
        <v>29</v>
      </c>
      <c r="Z418">
        <v>107009</v>
      </c>
    </row>
    <row r="419" spans="1:26" x14ac:dyDescent="0.25">
      <c r="A419" t="s">
        <v>1071</v>
      </c>
      <c r="B419" t="s">
        <v>26</v>
      </c>
      <c r="C419" t="s">
        <v>27</v>
      </c>
      <c r="H419" s="2">
        <v>45994.548611111109</v>
      </c>
      <c r="I419" t="s">
        <v>29</v>
      </c>
      <c r="Z419">
        <v>106993</v>
      </c>
    </row>
    <row r="420" spans="1:26" x14ac:dyDescent="0.25">
      <c r="A420" t="s">
        <v>718</v>
      </c>
      <c r="B420" t="s">
        <v>26</v>
      </c>
      <c r="C420" t="s">
        <v>27</v>
      </c>
      <c r="H420" s="2">
        <v>45993.6875</v>
      </c>
      <c r="I420" t="s">
        <v>29</v>
      </c>
      <c r="Z420">
        <v>106973</v>
      </c>
    </row>
    <row r="421" spans="1:26" x14ac:dyDescent="0.25">
      <c r="A421" t="s">
        <v>1072</v>
      </c>
      <c r="B421" t="s">
        <v>26</v>
      </c>
      <c r="C421" t="s">
        <v>27</v>
      </c>
      <c r="H421" s="2">
        <v>45993.236111111109</v>
      </c>
      <c r="I421" t="s">
        <v>41</v>
      </c>
      <c r="Z421">
        <v>106951</v>
      </c>
    </row>
    <row r="422" spans="1:26" x14ac:dyDescent="0.25">
      <c r="A422" t="s">
        <v>1073</v>
      </c>
      <c r="B422" t="s">
        <v>26</v>
      </c>
      <c r="C422" t="s">
        <v>27</v>
      </c>
      <c r="H422" s="2">
        <v>45992.643750000003</v>
      </c>
      <c r="I422" t="s">
        <v>40</v>
      </c>
      <c r="Z422">
        <v>106936</v>
      </c>
    </row>
    <row r="423" spans="1:26" x14ac:dyDescent="0.25">
      <c r="A423" t="s">
        <v>1074</v>
      </c>
      <c r="B423" t="s">
        <v>26</v>
      </c>
      <c r="C423" t="s">
        <v>27</v>
      </c>
      <c r="H423" s="2">
        <v>45990.669444444444</v>
      </c>
      <c r="I423" t="s">
        <v>41</v>
      </c>
      <c r="Z423">
        <v>106887</v>
      </c>
    </row>
    <row r="424" spans="1:26" x14ac:dyDescent="0.25">
      <c r="A424" t="s">
        <v>1075</v>
      </c>
      <c r="B424" t="s">
        <v>46</v>
      </c>
      <c r="C424" t="s">
        <v>27</v>
      </c>
      <c r="E424" t="s">
        <v>60</v>
      </c>
      <c r="G424" t="s">
        <v>215</v>
      </c>
      <c r="H424" s="2">
        <v>45990.438194444447</v>
      </c>
      <c r="I424" t="s">
        <v>95</v>
      </c>
      <c r="K424" t="s">
        <v>30</v>
      </c>
      <c r="L424" t="s">
        <v>31</v>
      </c>
      <c r="M424" t="s">
        <v>1028</v>
      </c>
      <c r="N424">
        <v>17103708778</v>
      </c>
      <c r="O424" t="s">
        <v>1032</v>
      </c>
      <c r="Z424">
        <v>106873</v>
      </c>
    </row>
    <row r="425" spans="1:26" x14ac:dyDescent="0.25">
      <c r="A425" t="s">
        <v>1076</v>
      </c>
      <c r="B425" t="s">
        <v>36</v>
      </c>
      <c r="C425" t="s">
        <v>27</v>
      </c>
      <c r="E425" t="s">
        <v>162</v>
      </c>
      <c r="H425" s="2">
        <v>45989.505555555559</v>
      </c>
      <c r="I425" t="s">
        <v>29</v>
      </c>
      <c r="K425" t="s">
        <v>30</v>
      </c>
      <c r="L425" t="s">
        <v>31</v>
      </c>
      <c r="M425" t="s">
        <v>121</v>
      </c>
      <c r="N425">
        <v>16990012919</v>
      </c>
      <c r="O425" t="s">
        <v>122</v>
      </c>
      <c r="Z425">
        <v>106852</v>
      </c>
    </row>
    <row r="426" spans="1:26" x14ac:dyDescent="0.25">
      <c r="A426" t="s">
        <v>1077</v>
      </c>
      <c r="B426" t="s">
        <v>26</v>
      </c>
      <c r="C426" t="s">
        <v>27</v>
      </c>
      <c r="H426" s="2">
        <v>45989.395833333336</v>
      </c>
      <c r="I426" t="s">
        <v>95</v>
      </c>
      <c r="Z426">
        <v>106849</v>
      </c>
    </row>
    <row r="427" spans="1:26" x14ac:dyDescent="0.25">
      <c r="A427" t="s">
        <v>1078</v>
      </c>
      <c r="B427" t="s">
        <v>26</v>
      </c>
      <c r="C427" t="s">
        <v>27</v>
      </c>
      <c r="H427" s="2">
        <v>45988.638194444444</v>
      </c>
      <c r="I427" t="s">
        <v>29</v>
      </c>
      <c r="Z427">
        <v>106827</v>
      </c>
    </row>
    <row r="428" spans="1:26" x14ac:dyDescent="0.25">
      <c r="A428" t="s">
        <v>1079</v>
      </c>
      <c r="B428" t="s">
        <v>26</v>
      </c>
      <c r="C428" t="s">
        <v>27</v>
      </c>
      <c r="H428" s="2">
        <v>45987.6875</v>
      </c>
      <c r="I428" t="s">
        <v>40</v>
      </c>
      <c r="Z428">
        <v>106798</v>
      </c>
    </row>
    <row r="429" spans="1:26" x14ac:dyDescent="0.25">
      <c r="A429" t="s">
        <v>1080</v>
      </c>
      <c r="B429" t="s">
        <v>26</v>
      </c>
      <c r="C429" t="s">
        <v>27</v>
      </c>
      <c r="H429" s="2">
        <v>45987.631249999999</v>
      </c>
      <c r="I429" t="s">
        <v>29</v>
      </c>
      <c r="Z429">
        <v>106793</v>
      </c>
    </row>
    <row r="430" spans="1:26" x14ac:dyDescent="0.25">
      <c r="A430" t="s">
        <v>1081</v>
      </c>
      <c r="B430" t="s">
        <v>46</v>
      </c>
      <c r="C430" t="s">
        <v>47</v>
      </c>
      <c r="E430" t="s">
        <v>84</v>
      </c>
      <c r="G430" t="s">
        <v>1082</v>
      </c>
      <c r="H430" s="2">
        <v>45987.036111111112</v>
      </c>
      <c r="I430" t="s">
        <v>29</v>
      </c>
      <c r="Z430">
        <v>106774</v>
      </c>
    </row>
    <row r="431" spans="1:26" x14ac:dyDescent="0.25">
      <c r="A431" t="s">
        <v>1083</v>
      </c>
      <c r="B431" t="s">
        <v>26</v>
      </c>
      <c r="C431" t="s">
        <v>27</v>
      </c>
      <c r="H431" s="2">
        <v>45986.648611111108</v>
      </c>
      <c r="I431" t="s">
        <v>40</v>
      </c>
      <c r="Z431">
        <v>106757</v>
      </c>
    </row>
    <row r="432" spans="1:26" x14ac:dyDescent="0.25">
      <c r="A432" t="s">
        <v>1084</v>
      </c>
      <c r="B432" t="s">
        <v>26</v>
      </c>
      <c r="C432" t="s">
        <v>27</v>
      </c>
      <c r="H432" s="2">
        <v>45986.598611111112</v>
      </c>
      <c r="I432" t="s">
        <v>40</v>
      </c>
      <c r="Z432">
        <v>106755</v>
      </c>
    </row>
    <row r="433" spans="1:26" x14ac:dyDescent="0.25">
      <c r="A433" t="s">
        <v>1085</v>
      </c>
      <c r="B433" t="s">
        <v>26</v>
      </c>
      <c r="C433" t="s">
        <v>27</v>
      </c>
      <c r="H433" s="2">
        <v>45985.525694444441</v>
      </c>
      <c r="I433" t="s">
        <v>40</v>
      </c>
      <c r="Z433">
        <v>106719</v>
      </c>
    </row>
    <row r="434" spans="1:26" x14ac:dyDescent="0.25">
      <c r="A434" t="s">
        <v>1086</v>
      </c>
      <c r="B434" t="s">
        <v>26</v>
      </c>
      <c r="C434" t="s">
        <v>27</v>
      </c>
      <c r="H434" s="2">
        <v>45985.512499999997</v>
      </c>
      <c r="I434" t="s">
        <v>40</v>
      </c>
      <c r="Z434">
        <v>106716</v>
      </c>
    </row>
    <row r="435" spans="1:26" x14ac:dyDescent="0.25">
      <c r="A435" t="s">
        <v>1087</v>
      </c>
      <c r="B435" t="s">
        <v>26</v>
      </c>
      <c r="C435" t="s">
        <v>27</v>
      </c>
      <c r="H435" s="2">
        <v>45984.625694444447</v>
      </c>
      <c r="I435" t="s">
        <v>95</v>
      </c>
      <c r="Z435">
        <v>106692</v>
      </c>
    </row>
    <row r="436" spans="1:26" x14ac:dyDescent="0.25">
      <c r="A436" t="s">
        <v>1088</v>
      </c>
      <c r="B436" t="s">
        <v>26</v>
      </c>
      <c r="C436" t="s">
        <v>27</v>
      </c>
      <c r="H436" s="2">
        <v>45984.481944444444</v>
      </c>
      <c r="I436" t="s">
        <v>41</v>
      </c>
      <c r="Z436">
        <v>106682</v>
      </c>
    </row>
    <row r="437" spans="1:26" x14ac:dyDescent="0.25">
      <c r="A437" t="s">
        <v>1089</v>
      </c>
      <c r="B437" t="s">
        <v>26</v>
      </c>
      <c r="C437" t="s">
        <v>27</v>
      </c>
      <c r="H437" s="2">
        <v>45983.6</v>
      </c>
      <c r="I437" t="s">
        <v>29</v>
      </c>
      <c r="Z437">
        <v>106661</v>
      </c>
    </row>
    <row r="438" spans="1:26" x14ac:dyDescent="0.25">
      <c r="A438" t="s">
        <v>1076</v>
      </c>
      <c r="B438" t="s">
        <v>26</v>
      </c>
      <c r="C438" t="s">
        <v>27</v>
      </c>
      <c r="H438" s="2">
        <v>45983.567361111112</v>
      </c>
      <c r="I438" t="s">
        <v>29</v>
      </c>
      <c r="Z438">
        <v>106658</v>
      </c>
    </row>
    <row r="439" spans="1:26" x14ac:dyDescent="0.25">
      <c r="A439" t="s">
        <v>92</v>
      </c>
      <c r="B439" t="s">
        <v>26</v>
      </c>
      <c r="C439" t="s">
        <v>27</v>
      </c>
      <c r="H439" s="2">
        <v>45982.450694444444</v>
      </c>
      <c r="I439" t="s">
        <v>29</v>
      </c>
      <c r="Z439">
        <v>106620</v>
      </c>
    </row>
    <row r="440" spans="1:26" x14ac:dyDescent="0.25">
      <c r="A440" t="s">
        <v>1090</v>
      </c>
      <c r="B440" t="s">
        <v>46</v>
      </c>
      <c r="C440" t="s">
        <v>27</v>
      </c>
      <c r="E440" t="s">
        <v>69</v>
      </c>
      <c r="G440" t="s">
        <v>1091</v>
      </c>
      <c r="H440" s="2">
        <v>45981.713194444441</v>
      </c>
      <c r="I440" t="s">
        <v>29</v>
      </c>
      <c r="Z440">
        <v>106599</v>
      </c>
    </row>
    <row r="441" spans="1:26" x14ac:dyDescent="0.25">
      <c r="A441" t="s">
        <v>92</v>
      </c>
      <c r="B441" t="s">
        <v>26</v>
      </c>
      <c r="C441" t="s">
        <v>27</v>
      </c>
      <c r="H441" s="2">
        <v>45981.380555555559</v>
      </c>
      <c r="I441" t="s">
        <v>29</v>
      </c>
      <c r="Z441">
        <v>106557</v>
      </c>
    </row>
    <row r="442" spans="1:26" x14ac:dyDescent="0.25">
      <c r="A442" t="s">
        <v>1092</v>
      </c>
      <c r="B442" t="s">
        <v>42</v>
      </c>
      <c r="C442" t="s">
        <v>27</v>
      </c>
      <c r="E442" t="s">
        <v>69</v>
      </c>
      <c r="H442" s="2">
        <v>45980.710416666669</v>
      </c>
      <c r="I442" t="s">
        <v>40</v>
      </c>
      <c r="Z442">
        <v>106550</v>
      </c>
    </row>
    <row r="443" spans="1:26" x14ac:dyDescent="0.25">
      <c r="A443" t="s">
        <v>652</v>
      </c>
      <c r="B443" t="s">
        <v>26</v>
      </c>
      <c r="C443" t="s">
        <v>27</v>
      </c>
      <c r="H443" s="2">
        <v>45979.75</v>
      </c>
      <c r="I443" t="s">
        <v>41</v>
      </c>
      <c r="Z443">
        <v>106517</v>
      </c>
    </row>
    <row r="444" spans="1:26" x14ac:dyDescent="0.25">
      <c r="A444" t="s">
        <v>1093</v>
      </c>
      <c r="B444" t="s">
        <v>26</v>
      </c>
      <c r="C444" t="s">
        <v>27</v>
      </c>
      <c r="H444" s="2">
        <v>45979.747916666667</v>
      </c>
      <c r="I444" t="s">
        <v>41</v>
      </c>
      <c r="Z444">
        <v>106516</v>
      </c>
    </row>
    <row r="445" spans="1:26" x14ac:dyDescent="0.25">
      <c r="A445" t="s">
        <v>1094</v>
      </c>
      <c r="B445" t="s">
        <v>26</v>
      </c>
      <c r="C445" t="s">
        <v>27</v>
      </c>
      <c r="H445" s="2">
        <v>45979.472916666666</v>
      </c>
      <c r="I445" t="s">
        <v>40</v>
      </c>
      <c r="Z445">
        <v>106492</v>
      </c>
    </row>
    <row r="446" spans="1:26" x14ac:dyDescent="0.25">
      <c r="A446" t="s">
        <v>1095</v>
      </c>
      <c r="B446" t="s">
        <v>26</v>
      </c>
      <c r="C446" t="s">
        <v>27</v>
      </c>
      <c r="H446" s="2">
        <v>45979.46597222222</v>
      </c>
      <c r="I446" t="s">
        <v>40</v>
      </c>
      <c r="Z446">
        <v>106491</v>
      </c>
    </row>
    <row r="447" spans="1:26" x14ac:dyDescent="0.25">
      <c r="A447" t="s">
        <v>1096</v>
      </c>
      <c r="B447" t="s">
        <v>26</v>
      </c>
      <c r="C447" t="s">
        <v>27</v>
      </c>
      <c r="H447" s="2">
        <v>45979.411805555559</v>
      </c>
      <c r="I447" t="s">
        <v>41</v>
      </c>
      <c r="Z447">
        <v>106486</v>
      </c>
    </row>
    <row r="448" spans="1:26" x14ac:dyDescent="0.25">
      <c r="A448" t="s">
        <v>1007</v>
      </c>
      <c r="B448" t="s">
        <v>26</v>
      </c>
      <c r="C448" t="s">
        <v>27</v>
      </c>
      <c r="H448" s="2">
        <v>45976.65902777778</v>
      </c>
      <c r="I448" t="s">
        <v>95</v>
      </c>
      <c r="Z448">
        <v>106399</v>
      </c>
    </row>
    <row r="449" spans="1:26" x14ac:dyDescent="0.25">
      <c r="A449" t="s">
        <v>1097</v>
      </c>
      <c r="B449" t="s">
        <v>26</v>
      </c>
      <c r="C449" t="s">
        <v>27</v>
      </c>
      <c r="H449" s="2">
        <v>45976.590277777781</v>
      </c>
      <c r="I449" t="s">
        <v>95</v>
      </c>
      <c r="Z449">
        <v>106388</v>
      </c>
    </row>
    <row r="450" spans="1:26" x14ac:dyDescent="0.25">
      <c r="A450" t="s">
        <v>1098</v>
      </c>
      <c r="B450" t="s">
        <v>26</v>
      </c>
      <c r="C450" t="s">
        <v>27</v>
      </c>
      <c r="H450" s="2">
        <v>45976.55</v>
      </c>
      <c r="I450" t="s">
        <v>95</v>
      </c>
      <c r="Z450">
        <v>106383</v>
      </c>
    </row>
    <row r="451" spans="1:26" x14ac:dyDescent="0.25">
      <c r="A451" t="s">
        <v>1099</v>
      </c>
      <c r="B451" t="s">
        <v>26</v>
      </c>
      <c r="C451" t="s">
        <v>27</v>
      </c>
      <c r="H451" s="2">
        <v>45975.650694444441</v>
      </c>
      <c r="I451" t="s">
        <v>29</v>
      </c>
      <c r="Z451">
        <v>106351</v>
      </c>
    </row>
    <row r="452" spans="1:26" x14ac:dyDescent="0.25">
      <c r="A452" t="s">
        <v>1100</v>
      </c>
      <c r="B452" t="s">
        <v>26</v>
      </c>
      <c r="C452" t="s">
        <v>27</v>
      </c>
      <c r="H452" s="2">
        <v>45975.464583333334</v>
      </c>
      <c r="I452" t="s">
        <v>29</v>
      </c>
      <c r="Z452">
        <v>106341</v>
      </c>
    </row>
    <row r="453" spans="1:26" x14ac:dyDescent="0.25">
      <c r="A453" t="s">
        <v>1101</v>
      </c>
      <c r="B453" t="s">
        <v>36</v>
      </c>
      <c r="C453" t="s">
        <v>27</v>
      </c>
      <c r="E453" t="s">
        <v>66</v>
      </c>
      <c r="H453" s="2">
        <v>45973.536805555559</v>
      </c>
      <c r="I453" t="s">
        <v>40</v>
      </c>
      <c r="K453" t="s">
        <v>37</v>
      </c>
      <c r="Z453">
        <v>106284</v>
      </c>
    </row>
    <row r="454" spans="1:26" x14ac:dyDescent="0.25">
      <c r="A454" t="s">
        <v>1102</v>
      </c>
      <c r="B454" t="s">
        <v>26</v>
      </c>
      <c r="C454" t="s">
        <v>27</v>
      </c>
      <c r="H454" s="2">
        <v>45973.49722222222</v>
      </c>
      <c r="I454" t="s">
        <v>41</v>
      </c>
      <c r="Z454">
        <v>106278</v>
      </c>
    </row>
    <row r="455" spans="1:26" x14ac:dyDescent="0.25">
      <c r="A455" t="s">
        <v>1103</v>
      </c>
      <c r="B455" t="s">
        <v>36</v>
      </c>
      <c r="C455" t="s">
        <v>27</v>
      </c>
      <c r="E455" t="s">
        <v>107</v>
      </c>
      <c r="H455" s="2">
        <v>45973.361805555556</v>
      </c>
      <c r="I455" t="s">
        <v>40</v>
      </c>
      <c r="K455" t="s">
        <v>37</v>
      </c>
      <c r="Z455">
        <v>106262</v>
      </c>
    </row>
    <row r="456" spans="1:26" x14ac:dyDescent="0.25">
      <c r="A456" t="s">
        <v>1104</v>
      </c>
      <c r="B456" t="s">
        <v>36</v>
      </c>
      <c r="C456" t="s">
        <v>27</v>
      </c>
      <c r="E456" t="s">
        <v>44</v>
      </c>
      <c r="H456" s="2">
        <v>45973.342361111114</v>
      </c>
      <c r="I456" t="s">
        <v>40</v>
      </c>
      <c r="K456" t="s">
        <v>37</v>
      </c>
      <c r="Z456">
        <v>106261</v>
      </c>
    </row>
    <row r="457" spans="1:26" x14ac:dyDescent="0.25">
      <c r="A457" t="s">
        <v>92</v>
      </c>
      <c r="B457" t="s">
        <v>26</v>
      </c>
      <c r="C457" t="s">
        <v>27</v>
      </c>
      <c r="H457" s="2">
        <v>45969.572222222225</v>
      </c>
      <c r="I457" t="s">
        <v>29</v>
      </c>
      <c r="Z457">
        <v>106164</v>
      </c>
    </row>
    <row r="458" spans="1:26" x14ac:dyDescent="0.25">
      <c r="A458" t="s">
        <v>1105</v>
      </c>
      <c r="B458" t="s">
        <v>26</v>
      </c>
      <c r="C458" t="s">
        <v>27</v>
      </c>
      <c r="H458" s="2">
        <v>45968.688888888886</v>
      </c>
      <c r="I458" t="s">
        <v>41</v>
      </c>
      <c r="Z458">
        <v>106139</v>
      </c>
    </row>
    <row r="459" spans="1:26" x14ac:dyDescent="0.25">
      <c r="A459" t="s">
        <v>1106</v>
      </c>
      <c r="B459" t="s">
        <v>26</v>
      </c>
      <c r="C459" t="s">
        <v>27</v>
      </c>
      <c r="H459" s="2">
        <v>45966.586111111108</v>
      </c>
      <c r="I459" t="s">
        <v>95</v>
      </c>
      <c r="Z459">
        <v>106069</v>
      </c>
    </row>
    <row r="460" spans="1:26" x14ac:dyDescent="0.25">
      <c r="A460" t="s">
        <v>1107</v>
      </c>
      <c r="B460" t="s">
        <v>26</v>
      </c>
      <c r="C460" t="s">
        <v>27</v>
      </c>
      <c r="H460" s="2">
        <v>45966.472222222219</v>
      </c>
      <c r="I460" t="s">
        <v>124</v>
      </c>
      <c r="Z460">
        <v>106054</v>
      </c>
    </row>
    <row r="461" spans="1:26" x14ac:dyDescent="0.25">
      <c r="A461" t="s">
        <v>1108</v>
      </c>
      <c r="B461" t="s">
        <v>26</v>
      </c>
      <c r="C461" t="s">
        <v>27</v>
      </c>
      <c r="H461" s="2">
        <v>45966.38958333333</v>
      </c>
      <c r="I461" t="s">
        <v>41</v>
      </c>
      <c r="Z461">
        <v>106042</v>
      </c>
    </row>
    <row r="462" spans="1:26" x14ac:dyDescent="0.25">
      <c r="A462" t="s">
        <v>1109</v>
      </c>
      <c r="B462" t="s">
        <v>46</v>
      </c>
      <c r="C462" t="s">
        <v>27</v>
      </c>
      <c r="E462" t="s">
        <v>67</v>
      </c>
      <c r="G462" t="s">
        <v>1110</v>
      </c>
      <c r="H462" s="2">
        <v>45965.560416666667</v>
      </c>
      <c r="I462" t="s">
        <v>29</v>
      </c>
      <c r="Z462">
        <v>106019</v>
      </c>
    </row>
    <row r="463" spans="1:26" x14ac:dyDescent="0.25">
      <c r="A463" t="s">
        <v>1111</v>
      </c>
      <c r="B463" t="s">
        <v>26</v>
      </c>
      <c r="C463" t="s">
        <v>27</v>
      </c>
      <c r="H463" s="2">
        <v>45965.515277777777</v>
      </c>
      <c r="I463" t="s">
        <v>95</v>
      </c>
      <c r="Z463">
        <v>106017</v>
      </c>
    </row>
    <row r="464" spans="1:26" x14ac:dyDescent="0.25">
      <c r="A464" t="s">
        <v>1112</v>
      </c>
      <c r="B464" t="s">
        <v>26</v>
      </c>
      <c r="C464" t="s">
        <v>27</v>
      </c>
      <c r="H464" s="2">
        <v>45964.618055555555</v>
      </c>
      <c r="I464" t="s">
        <v>95</v>
      </c>
      <c r="Z464">
        <v>105990</v>
      </c>
    </row>
    <row r="465" spans="1:26" x14ac:dyDescent="0.25">
      <c r="A465" t="s">
        <v>1113</v>
      </c>
      <c r="B465" t="s">
        <v>26</v>
      </c>
      <c r="C465" t="s">
        <v>27</v>
      </c>
      <c r="H465" s="2">
        <v>45964.447222222225</v>
      </c>
      <c r="I465" t="s">
        <v>29</v>
      </c>
      <c r="Z465">
        <v>105975</v>
      </c>
    </row>
    <row r="466" spans="1:26" x14ac:dyDescent="0.25">
      <c r="A466" t="s">
        <v>92</v>
      </c>
      <c r="B466" t="s">
        <v>46</v>
      </c>
      <c r="C466" t="s">
        <v>27</v>
      </c>
      <c r="E466" t="s">
        <v>180</v>
      </c>
      <c r="G466" t="s">
        <v>1114</v>
      </c>
      <c r="H466" s="2">
        <v>45963.818055555559</v>
      </c>
      <c r="I466" t="s">
        <v>29</v>
      </c>
      <c r="Z466">
        <v>105970</v>
      </c>
    </row>
    <row r="467" spans="1:26" x14ac:dyDescent="0.25">
      <c r="A467" t="s">
        <v>1115</v>
      </c>
      <c r="B467" t="s">
        <v>26</v>
      </c>
      <c r="C467" t="s">
        <v>27</v>
      </c>
      <c r="H467" s="2">
        <v>45963.64166666667</v>
      </c>
      <c r="I467" t="s">
        <v>40</v>
      </c>
      <c r="Z467">
        <v>105964</v>
      </c>
    </row>
    <row r="468" spans="1:26" x14ac:dyDescent="0.25">
      <c r="A468" t="s">
        <v>1116</v>
      </c>
      <c r="B468" t="s">
        <v>26</v>
      </c>
      <c r="C468" t="s">
        <v>27</v>
      </c>
      <c r="H468" s="2">
        <v>45963.622916666667</v>
      </c>
      <c r="I468" t="s">
        <v>40</v>
      </c>
      <c r="Z468">
        <v>105961</v>
      </c>
    </row>
    <row r="469" spans="1:26" x14ac:dyDescent="0.25">
      <c r="A469" t="s">
        <v>1117</v>
      </c>
      <c r="B469" t="s">
        <v>26</v>
      </c>
      <c r="C469" t="s">
        <v>27</v>
      </c>
      <c r="H469" s="2">
        <v>45962.888888888891</v>
      </c>
      <c r="I469" t="s">
        <v>41</v>
      </c>
      <c r="Z469">
        <v>105945</v>
      </c>
    </row>
    <row r="470" spans="1:26" x14ac:dyDescent="0.25">
      <c r="A470" t="s">
        <v>1118</v>
      </c>
      <c r="B470" t="s">
        <v>46</v>
      </c>
      <c r="C470" t="s">
        <v>27</v>
      </c>
      <c r="E470" t="s">
        <v>1119</v>
      </c>
      <c r="G470" t="s">
        <v>1120</v>
      </c>
      <c r="H470" s="2">
        <v>45960.601388888892</v>
      </c>
      <c r="I470" t="s">
        <v>41</v>
      </c>
      <c r="Z470">
        <v>105889</v>
      </c>
    </row>
    <row r="471" spans="1:26" x14ac:dyDescent="0.25">
      <c r="A471" t="s">
        <v>109</v>
      </c>
      <c r="B471" t="s">
        <v>36</v>
      </c>
      <c r="C471" t="s">
        <v>27</v>
      </c>
      <c r="E471" t="s">
        <v>58</v>
      </c>
      <c r="H471" s="2">
        <v>45959.520833333336</v>
      </c>
      <c r="I471" t="s">
        <v>95</v>
      </c>
      <c r="K471" t="s">
        <v>37</v>
      </c>
      <c r="Z471">
        <v>105843</v>
      </c>
    </row>
    <row r="472" spans="1:26" x14ac:dyDescent="0.25">
      <c r="A472" t="s">
        <v>1121</v>
      </c>
      <c r="B472" t="s">
        <v>26</v>
      </c>
      <c r="C472" t="s">
        <v>27</v>
      </c>
      <c r="H472" s="2">
        <v>45958.661111111112</v>
      </c>
      <c r="I472" t="s">
        <v>95</v>
      </c>
      <c r="Z472">
        <v>105811</v>
      </c>
    </row>
    <row r="473" spans="1:26" x14ac:dyDescent="0.25">
      <c r="A473" t="s">
        <v>1122</v>
      </c>
      <c r="B473" t="s">
        <v>46</v>
      </c>
      <c r="C473" t="s">
        <v>27</v>
      </c>
      <c r="E473" t="s">
        <v>90</v>
      </c>
      <c r="G473" t="s">
        <v>1123</v>
      </c>
      <c r="H473" s="2">
        <v>45957.767361111109</v>
      </c>
      <c r="I473" t="s">
        <v>40</v>
      </c>
      <c r="Z473">
        <v>105778</v>
      </c>
    </row>
    <row r="474" spans="1:26" x14ac:dyDescent="0.25">
      <c r="A474" t="s">
        <v>1124</v>
      </c>
      <c r="B474" t="s">
        <v>26</v>
      </c>
      <c r="C474" t="s">
        <v>27</v>
      </c>
      <c r="H474" s="2">
        <v>45957.597222222219</v>
      </c>
      <c r="I474" t="s">
        <v>40</v>
      </c>
      <c r="Z474">
        <v>105768</v>
      </c>
    </row>
    <row r="475" spans="1:26" x14ac:dyDescent="0.25">
      <c r="A475" t="s">
        <v>1125</v>
      </c>
      <c r="B475" t="s">
        <v>26</v>
      </c>
      <c r="C475" t="s">
        <v>27</v>
      </c>
      <c r="H475" s="2">
        <v>45957.463194444441</v>
      </c>
      <c r="I475" t="s">
        <v>40</v>
      </c>
      <c r="Z475">
        <v>105756</v>
      </c>
    </row>
    <row r="476" spans="1:26" x14ac:dyDescent="0.25">
      <c r="A476" t="s">
        <v>1126</v>
      </c>
      <c r="B476" t="s">
        <v>36</v>
      </c>
      <c r="C476" t="s">
        <v>27</v>
      </c>
      <c r="E476" t="s">
        <v>53</v>
      </c>
      <c r="H476" s="2">
        <v>45956.87222222222</v>
      </c>
      <c r="I476" t="s">
        <v>40</v>
      </c>
      <c r="K476" t="s">
        <v>37</v>
      </c>
      <c r="Z476">
        <v>105744</v>
      </c>
    </row>
    <row r="477" spans="1:26" x14ac:dyDescent="0.25">
      <c r="A477" t="s">
        <v>1127</v>
      </c>
      <c r="B477" t="s">
        <v>46</v>
      </c>
      <c r="C477" t="s">
        <v>27</v>
      </c>
      <c r="E477" t="s">
        <v>68</v>
      </c>
      <c r="G477" t="s">
        <v>1128</v>
      </c>
      <c r="H477" s="2">
        <v>45956.586111111108</v>
      </c>
      <c r="I477" t="s">
        <v>40</v>
      </c>
      <c r="Z477">
        <v>105731</v>
      </c>
    </row>
    <row r="478" spans="1:26" x14ac:dyDescent="0.25">
      <c r="A478" t="s">
        <v>1129</v>
      </c>
      <c r="B478" t="s">
        <v>26</v>
      </c>
      <c r="C478" t="s">
        <v>27</v>
      </c>
      <c r="H478" s="2">
        <v>45955.677777777775</v>
      </c>
      <c r="I478" t="s">
        <v>40</v>
      </c>
      <c r="Z478">
        <v>105713</v>
      </c>
    </row>
    <row r="479" spans="1:26" x14ac:dyDescent="0.25">
      <c r="A479" t="s">
        <v>1130</v>
      </c>
      <c r="B479" t="s">
        <v>26</v>
      </c>
      <c r="C479" t="s">
        <v>27</v>
      </c>
      <c r="H479" s="2">
        <v>45955.522222222222</v>
      </c>
      <c r="I479" t="s">
        <v>40</v>
      </c>
      <c r="Z479">
        <v>105706</v>
      </c>
    </row>
    <row r="480" spans="1:26" x14ac:dyDescent="0.25">
      <c r="A480" t="s">
        <v>1131</v>
      </c>
      <c r="B480" t="s">
        <v>26</v>
      </c>
      <c r="C480" t="s">
        <v>27</v>
      </c>
      <c r="H480" s="2">
        <v>45955.42083333333</v>
      </c>
      <c r="I480" t="s">
        <v>40</v>
      </c>
      <c r="Z480">
        <v>105691</v>
      </c>
    </row>
    <row r="481" spans="1:26" x14ac:dyDescent="0.25">
      <c r="A481" t="s">
        <v>212</v>
      </c>
      <c r="B481" t="s">
        <v>26</v>
      </c>
      <c r="C481" t="s">
        <v>27</v>
      </c>
      <c r="H481" s="2">
        <v>45954.833333333336</v>
      </c>
      <c r="I481" t="s">
        <v>95</v>
      </c>
      <c r="Z481">
        <v>105686</v>
      </c>
    </row>
    <row r="482" spans="1:26" x14ac:dyDescent="0.25">
      <c r="A482" t="s">
        <v>1132</v>
      </c>
      <c r="B482" t="s">
        <v>26</v>
      </c>
      <c r="C482" t="s">
        <v>27</v>
      </c>
      <c r="H482" s="2">
        <v>45953.786805555559</v>
      </c>
      <c r="I482" t="s">
        <v>95</v>
      </c>
      <c r="Z482">
        <v>105660</v>
      </c>
    </row>
    <row r="483" spans="1:26" x14ac:dyDescent="0.25">
      <c r="A483" t="s">
        <v>1133</v>
      </c>
      <c r="B483" t="s">
        <v>26</v>
      </c>
      <c r="C483" t="s">
        <v>27</v>
      </c>
      <c r="H483" s="2">
        <v>45953.582638888889</v>
      </c>
      <c r="I483" t="s">
        <v>29</v>
      </c>
      <c r="Z483">
        <v>105646</v>
      </c>
    </row>
    <row r="484" spans="1:26" x14ac:dyDescent="0.25">
      <c r="A484" t="s">
        <v>1134</v>
      </c>
      <c r="B484" t="s">
        <v>26</v>
      </c>
      <c r="C484" t="s">
        <v>27</v>
      </c>
      <c r="H484" s="2">
        <v>45952.688194444447</v>
      </c>
      <c r="I484" t="s">
        <v>29</v>
      </c>
      <c r="Z484">
        <v>105622</v>
      </c>
    </row>
    <row r="485" spans="1:26" x14ac:dyDescent="0.25">
      <c r="A485" t="s">
        <v>59</v>
      </c>
      <c r="B485" t="s">
        <v>77</v>
      </c>
      <c r="C485" t="s">
        <v>59</v>
      </c>
      <c r="H485" s="2">
        <v>45952.671527777777</v>
      </c>
      <c r="I485" t="s">
        <v>95</v>
      </c>
      <c r="K485" t="s">
        <v>30</v>
      </c>
      <c r="L485" t="s">
        <v>31</v>
      </c>
      <c r="M485" t="s">
        <v>1028</v>
      </c>
      <c r="N485">
        <v>17103708778</v>
      </c>
      <c r="O485" t="s">
        <v>1032</v>
      </c>
      <c r="Z485">
        <v>105618</v>
      </c>
    </row>
    <row r="486" spans="1:26" x14ac:dyDescent="0.25">
      <c r="A486" t="s">
        <v>92</v>
      </c>
      <c r="B486" t="s">
        <v>26</v>
      </c>
      <c r="C486" t="s">
        <v>27</v>
      </c>
      <c r="H486" s="2">
        <v>45952.446527777778</v>
      </c>
      <c r="I486" t="s">
        <v>29</v>
      </c>
      <c r="Z486">
        <v>105603</v>
      </c>
    </row>
    <row r="487" spans="1:26" x14ac:dyDescent="0.25">
      <c r="A487" t="s">
        <v>92</v>
      </c>
      <c r="B487" t="s">
        <v>26</v>
      </c>
      <c r="C487" t="s">
        <v>27</v>
      </c>
      <c r="H487" s="2">
        <v>45952.435416666667</v>
      </c>
      <c r="I487" t="s">
        <v>29</v>
      </c>
      <c r="Z487">
        <v>105599</v>
      </c>
    </row>
    <row r="488" spans="1:26" x14ac:dyDescent="0.25">
      <c r="A488" t="s">
        <v>1135</v>
      </c>
      <c r="B488" t="s">
        <v>46</v>
      </c>
      <c r="C488" t="s">
        <v>27</v>
      </c>
      <c r="E488" t="s">
        <v>44</v>
      </c>
      <c r="G488" t="s">
        <v>1136</v>
      </c>
      <c r="H488" s="2">
        <v>45952.410416666666</v>
      </c>
      <c r="I488" t="s">
        <v>95</v>
      </c>
      <c r="Z488">
        <v>105597</v>
      </c>
    </row>
    <row r="489" spans="1:26" x14ac:dyDescent="0.25">
      <c r="A489" t="s">
        <v>1137</v>
      </c>
      <c r="B489" t="s">
        <v>26</v>
      </c>
      <c r="C489" t="s">
        <v>27</v>
      </c>
      <c r="H489" s="2">
        <v>45951.648611111108</v>
      </c>
      <c r="I489" t="s">
        <v>29</v>
      </c>
      <c r="Z489">
        <v>105581</v>
      </c>
    </row>
    <row r="490" spans="1:26" x14ac:dyDescent="0.25">
      <c r="A490" t="s">
        <v>1138</v>
      </c>
      <c r="B490" t="s">
        <v>26</v>
      </c>
      <c r="C490" t="s">
        <v>27</v>
      </c>
      <c r="H490" s="2">
        <v>45951.6</v>
      </c>
      <c r="I490" t="s">
        <v>40</v>
      </c>
      <c r="Z490">
        <v>105578</v>
      </c>
    </row>
    <row r="491" spans="1:26" x14ac:dyDescent="0.25">
      <c r="A491" t="s">
        <v>1139</v>
      </c>
      <c r="B491" t="s">
        <v>36</v>
      </c>
      <c r="C491" t="s">
        <v>27</v>
      </c>
      <c r="E491" t="s">
        <v>107</v>
      </c>
      <c r="H491" s="2">
        <v>45951.548611111109</v>
      </c>
      <c r="I491" t="s">
        <v>40</v>
      </c>
      <c r="K491" t="s">
        <v>37</v>
      </c>
      <c r="Z491">
        <v>105574</v>
      </c>
    </row>
    <row r="492" spans="1:26" x14ac:dyDescent="0.25">
      <c r="A492" t="s">
        <v>1140</v>
      </c>
      <c r="B492" t="s">
        <v>26</v>
      </c>
      <c r="C492" t="s">
        <v>27</v>
      </c>
      <c r="H492" s="2">
        <v>45951.438194444447</v>
      </c>
      <c r="I492" t="s">
        <v>40</v>
      </c>
      <c r="Z492">
        <v>105565</v>
      </c>
    </row>
    <row r="493" spans="1:26" x14ac:dyDescent="0.25">
      <c r="A493" t="s">
        <v>1141</v>
      </c>
      <c r="B493" t="s">
        <v>26</v>
      </c>
      <c r="C493" t="s">
        <v>27</v>
      </c>
      <c r="H493" s="2">
        <v>45951.375</v>
      </c>
      <c r="I493" t="s">
        <v>40</v>
      </c>
      <c r="Z493">
        <v>105557</v>
      </c>
    </row>
    <row r="494" spans="1:26" x14ac:dyDescent="0.25">
      <c r="A494" t="s">
        <v>1142</v>
      </c>
      <c r="B494" t="s">
        <v>26</v>
      </c>
      <c r="C494" t="s">
        <v>27</v>
      </c>
      <c r="H494" s="2">
        <v>45950.543749999997</v>
      </c>
      <c r="I494" t="s">
        <v>40</v>
      </c>
      <c r="Z494">
        <v>105540</v>
      </c>
    </row>
    <row r="495" spans="1:26" x14ac:dyDescent="0.25">
      <c r="A495" t="s">
        <v>1057</v>
      </c>
      <c r="B495" t="s">
        <v>26</v>
      </c>
      <c r="C495" t="s">
        <v>64</v>
      </c>
      <c r="E495" t="s">
        <v>128</v>
      </c>
      <c r="H495" s="2">
        <v>45950.481249999997</v>
      </c>
      <c r="I495" t="s">
        <v>41</v>
      </c>
      <c r="K495" t="s">
        <v>37</v>
      </c>
      <c r="Z495">
        <v>105530</v>
      </c>
    </row>
    <row r="496" spans="1:26" x14ac:dyDescent="0.25">
      <c r="A496" t="s">
        <v>1143</v>
      </c>
      <c r="B496" t="s">
        <v>26</v>
      </c>
      <c r="C496" t="s">
        <v>27</v>
      </c>
      <c r="H496" s="2">
        <v>45949.580555555556</v>
      </c>
      <c r="I496" t="s">
        <v>41</v>
      </c>
      <c r="Z496">
        <v>105503</v>
      </c>
    </row>
    <row r="497" spans="1:26" x14ac:dyDescent="0.25">
      <c r="A497" t="s">
        <v>1144</v>
      </c>
      <c r="B497" t="s">
        <v>26</v>
      </c>
      <c r="C497" t="s">
        <v>27</v>
      </c>
      <c r="H497" s="2">
        <v>45946.699305555558</v>
      </c>
      <c r="I497" t="s">
        <v>29</v>
      </c>
      <c r="Z497">
        <v>105439</v>
      </c>
    </row>
    <row r="498" spans="1:26" x14ac:dyDescent="0.25">
      <c r="A498" t="s">
        <v>1145</v>
      </c>
      <c r="B498" t="s">
        <v>26</v>
      </c>
      <c r="C498" t="s">
        <v>27</v>
      </c>
      <c r="H498" s="2">
        <v>45946.672222222223</v>
      </c>
      <c r="I498" t="s">
        <v>95</v>
      </c>
      <c r="Z498">
        <v>105437</v>
      </c>
    </row>
    <row r="499" spans="1:26" x14ac:dyDescent="0.25">
      <c r="A499" t="s">
        <v>92</v>
      </c>
      <c r="B499" t="s">
        <v>46</v>
      </c>
      <c r="C499" t="s">
        <v>27</v>
      </c>
      <c r="E499" t="s">
        <v>146</v>
      </c>
      <c r="G499" t="s">
        <v>1146</v>
      </c>
      <c r="H499" s="2">
        <v>45945.404861111114</v>
      </c>
      <c r="I499" t="s">
        <v>29</v>
      </c>
      <c r="K499" t="s">
        <v>30</v>
      </c>
      <c r="L499" t="s">
        <v>31</v>
      </c>
      <c r="M499" t="s">
        <v>121</v>
      </c>
      <c r="N499">
        <v>16990012916</v>
      </c>
      <c r="O499" t="s">
        <v>682</v>
      </c>
      <c r="Z499">
        <v>105391</v>
      </c>
    </row>
    <row r="500" spans="1:26" x14ac:dyDescent="0.25">
      <c r="A500" t="s">
        <v>1147</v>
      </c>
      <c r="B500" t="s">
        <v>46</v>
      </c>
      <c r="C500" t="s">
        <v>27</v>
      </c>
      <c r="E500" t="s">
        <v>65</v>
      </c>
      <c r="G500" t="s">
        <v>1148</v>
      </c>
      <c r="H500" s="2">
        <v>45945.373611111114</v>
      </c>
      <c r="I500" t="s">
        <v>40</v>
      </c>
      <c r="Z500">
        <v>105389</v>
      </c>
    </row>
    <row r="501" spans="1:26" x14ac:dyDescent="0.25">
      <c r="A501" t="s">
        <v>1149</v>
      </c>
      <c r="B501" t="s">
        <v>26</v>
      </c>
      <c r="C501" t="s">
        <v>27</v>
      </c>
      <c r="H501" s="2">
        <v>45943.774305555555</v>
      </c>
      <c r="I501" t="s">
        <v>40</v>
      </c>
      <c r="Z501">
        <v>105348</v>
      </c>
    </row>
    <row r="502" spans="1:26" x14ac:dyDescent="0.25">
      <c r="A502" t="s">
        <v>1150</v>
      </c>
      <c r="B502" t="s">
        <v>26</v>
      </c>
      <c r="C502" t="s">
        <v>27</v>
      </c>
      <c r="H502" s="2">
        <v>45942.765972222223</v>
      </c>
      <c r="I502" t="s">
        <v>41</v>
      </c>
      <c r="Z502">
        <v>105323</v>
      </c>
    </row>
    <row r="503" spans="1:26" x14ac:dyDescent="0.25">
      <c r="A503" t="s">
        <v>1151</v>
      </c>
      <c r="B503" t="s">
        <v>26</v>
      </c>
      <c r="C503" t="s">
        <v>27</v>
      </c>
      <c r="H503" s="2">
        <v>45941.638888888891</v>
      </c>
      <c r="I503" t="s">
        <v>29</v>
      </c>
      <c r="Z503">
        <v>105297</v>
      </c>
    </row>
    <row r="504" spans="1:26" x14ac:dyDescent="0.25">
      <c r="A504" t="s">
        <v>92</v>
      </c>
      <c r="B504" t="s">
        <v>26</v>
      </c>
      <c r="C504" t="s">
        <v>27</v>
      </c>
      <c r="H504" s="2">
        <v>45941.548611111109</v>
      </c>
      <c r="I504" t="s">
        <v>29</v>
      </c>
      <c r="Z504">
        <v>105290</v>
      </c>
    </row>
    <row r="505" spans="1:26" x14ac:dyDescent="0.25">
      <c r="A505" t="s">
        <v>92</v>
      </c>
      <c r="B505" t="s">
        <v>26</v>
      </c>
      <c r="C505" t="s">
        <v>27</v>
      </c>
      <c r="H505" s="2">
        <v>45941.502083333333</v>
      </c>
      <c r="I505" t="s">
        <v>29</v>
      </c>
      <c r="Z505">
        <v>105287</v>
      </c>
    </row>
    <row r="506" spans="1:26" x14ac:dyDescent="0.25">
      <c r="A506" t="s">
        <v>921</v>
      </c>
      <c r="B506" t="s">
        <v>46</v>
      </c>
      <c r="C506" t="s">
        <v>27</v>
      </c>
      <c r="E506" t="s">
        <v>44</v>
      </c>
      <c r="G506" t="s">
        <v>1152</v>
      </c>
      <c r="H506" s="2">
        <v>45939.708333333336</v>
      </c>
      <c r="I506" t="s">
        <v>29</v>
      </c>
      <c r="Z506">
        <v>105253</v>
      </c>
    </row>
    <row r="507" spans="1:26" x14ac:dyDescent="0.25">
      <c r="A507" t="s">
        <v>1153</v>
      </c>
      <c r="B507" t="s">
        <v>26</v>
      </c>
      <c r="C507" t="s">
        <v>27</v>
      </c>
      <c r="H507" s="2">
        <v>45939.654166666667</v>
      </c>
      <c r="I507" t="s">
        <v>40</v>
      </c>
      <c r="Z507">
        <v>105252</v>
      </c>
    </row>
    <row r="508" spans="1:26" x14ac:dyDescent="0.25">
      <c r="A508" t="s">
        <v>869</v>
      </c>
      <c r="B508" t="s">
        <v>46</v>
      </c>
      <c r="C508" t="s">
        <v>27</v>
      </c>
      <c r="E508" t="s">
        <v>1154</v>
      </c>
      <c r="G508" t="s">
        <v>1155</v>
      </c>
      <c r="H508" s="2">
        <v>45939.578472222223</v>
      </c>
      <c r="I508" t="s">
        <v>29</v>
      </c>
      <c r="Z508">
        <v>105243</v>
      </c>
    </row>
    <row r="509" spans="1:26" x14ac:dyDescent="0.25">
      <c r="A509" t="s">
        <v>92</v>
      </c>
      <c r="B509" t="s">
        <v>26</v>
      </c>
      <c r="C509" t="s">
        <v>27</v>
      </c>
      <c r="H509" s="2">
        <v>45939.475694444445</v>
      </c>
      <c r="I509" t="s">
        <v>29</v>
      </c>
      <c r="Z509">
        <v>105238</v>
      </c>
    </row>
    <row r="510" spans="1:26" x14ac:dyDescent="0.25">
      <c r="A510" t="s">
        <v>1156</v>
      </c>
      <c r="B510" t="s">
        <v>26</v>
      </c>
      <c r="C510" t="s">
        <v>27</v>
      </c>
      <c r="H510" s="2">
        <v>45939.442361111112</v>
      </c>
      <c r="I510" t="s">
        <v>29</v>
      </c>
      <c r="Z510">
        <v>105236</v>
      </c>
    </row>
    <row r="511" spans="1:26" x14ac:dyDescent="0.25">
      <c r="A511" t="s">
        <v>921</v>
      </c>
      <c r="B511" t="s">
        <v>46</v>
      </c>
      <c r="C511" t="s">
        <v>27</v>
      </c>
      <c r="E511" t="s">
        <v>1154</v>
      </c>
      <c r="G511" t="s">
        <v>1155</v>
      </c>
      <c r="H511" s="2">
        <v>45938.932638888888</v>
      </c>
      <c r="I511" t="s">
        <v>29</v>
      </c>
      <c r="Z511">
        <v>105227</v>
      </c>
    </row>
    <row r="512" spans="1:26" x14ac:dyDescent="0.25">
      <c r="A512" t="s">
        <v>1157</v>
      </c>
      <c r="B512" t="s">
        <v>26</v>
      </c>
      <c r="C512" t="s">
        <v>27</v>
      </c>
      <c r="H512" s="2">
        <v>45938.82708333333</v>
      </c>
      <c r="I512" t="s">
        <v>41</v>
      </c>
      <c r="Z512">
        <v>105225</v>
      </c>
    </row>
    <row r="513" spans="1:26" x14ac:dyDescent="0.25">
      <c r="A513" t="s">
        <v>1158</v>
      </c>
      <c r="B513" t="s">
        <v>26</v>
      </c>
      <c r="C513" t="s">
        <v>27</v>
      </c>
      <c r="H513" s="2">
        <v>45938.429861111108</v>
      </c>
      <c r="I513" t="s">
        <v>40</v>
      </c>
      <c r="Z513">
        <v>105211</v>
      </c>
    </row>
    <row r="514" spans="1:26" x14ac:dyDescent="0.25">
      <c r="A514" t="s">
        <v>1159</v>
      </c>
      <c r="B514" t="s">
        <v>26</v>
      </c>
      <c r="C514" t="s">
        <v>27</v>
      </c>
      <c r="H514" s="2">
        <v>45937.699305555558</v>
      </c>
      <c r="I514" t="s">
        <v>40</v>
      </c>
      <c r="Z514">
        <v>105196</v>
      </c>
    </row>
    <row r="515" spans="1:26" x14ac:dyDescent="0.25">
      <c r="A515" t="s">
        <v>1160</v>
      </c>
      <c r="B515" t="s">
        <v>26</v>
      </c>
      <c r="C515" t="s">
        <v>27</v>
      </c>
      <c r="H515" s="2">
        <v>45935.731249999997</v>
      </c>
      <c r="I515" t="s">
        <v>29</v>
      </c>
      <c r="Z515">
        <v>105121</v>
      </c>
    </row>
    <row r="516" spans="1:26" x14ac:dyDescent="0.25">
      <c r="A516" t="s">
        <v>225</v>
      </c>
      <c r="B516" t="s">
        <v>26</v>
      </c>
      <c r="C516" t="s">
        <v>27</v>
      </c>
      <c r="H516" s="2">
        <v>45935.696527777778</v>
      </c>
      <c r="I516" t="s">
        <v>95</v>
      </c>
      <c r="Z516">
        <v>105120</v>
      </c>
    </row>
    <row r="517" spans="1:26" x14ac:dyDescent="0.25">
      <c r="A517" t="s">
        <v>1161</v>
      </c>
      <c r="B517" t="s">
        <v>26</v>
      </c>
      <c r="C517" t="s">
        <v>27</v>
      </c>
      <c r="H517" s="2">
        <v>45935.52847222222</v>
      </c>
      <c r="I517" t="s">
        <v>95</v>
      </c>
      <c r="Z517">
        <v>105110</v>
      </c>
    </row>
    <row r="518" spans="1:26" x14ac:dyDescent="0.25">
      <c r="A518" t="s">
        <v>1162</v>
      </c>
      <c r="B518" t="s">
        <v>26</v>
      </c>
      <c r="C518" t="s">
        <v>27</v>
      </c>
      <c r="H518" s="2">
        <v>45933.380555555559</v>
      </c>
      <c r="I518" t="s">
        <v>29</v>
      </c>
      <c r="Z518">
        <v>105040</v>
      </c>
    </row>
    <row r="519" spans="1:26" x14ac:dyDescent="0.25">
      <c r="A519" t="s">
        <v>1163</v>
      </c>
      <c r="B519" t="s">
        <v>36</v>
      </c>
      <c r="C519" t="s">
        <v>27</v>
      </c>
      <c r="E519" t="s">
        <v>65</v>
      </c>
      <c r="H519" s="2">
        <v>45931.780555555553</v>
      </c>
      <c r="I519" t="s">
        <v>40</v>
      </c>
      <c r="K519" t="s">
        <v>37</v>
      </c>
      <c r="Z519">
        <v>105002</v>
      </c>
    </row>
    <row r="520" spans="1:26" x14ac:dyDescent="0.25">
      <c r="A520" t="s">
        <v>1164</v>
      </c>
      <c r="B520" t="s">
        <v>26</v>
      </c>
      <c r="C520" t="s">
        <v>27</v>
      </c>
      <c r="H520" s="2">
        <v>45930.694444444445</v>
      </c>
      <c r="I520" t="s">
        <v>95</v>
      </c>
      <c r="Z520">
        <v>104968</v>
      </c>
    </row>
    <row r="521" spans="1:26" x14ac:dyDescent="0.25">
      <c r="A521" t="s">
        <v>1165</v>
      </c>
      <c r="B521" t="s">
        <v>26</v>
      </c>
      <c r="C521" t="s">
        <v>27</v>
      </c>
      <c r="H521" s="2">
        <v>45930.568749999999</v>
      </c>
      <c r="I521" t="s">
        <v>95</v>
      </c>
      <c r="Z521">
        <v>104957</v>
      </c>
    </row>
    <row r="522" spans="1:26" x14ac:dyDescent="0.25">
      <c r="A522" t="s">
        <v>1166</v>
      </c>
      <c r="B522" t="s">
        <v>26</v>
      </c>
      <c r="C522" t="s">
        <v>27</v>
      </c>
      <c r="H522" s="2">
        <v>45929.529166666667</v>
      </c>
      <c r="I522" t="s">
        <v>29</v>
      </c>
      <c r="Z522">
        <v>104907</v>
      </c>
    </row>
    <row r="523" spans="1:26" x14ac:dyDescent="0.25">
      <c r="A523" t="s">
        <v>1167</v>
      </c>
      <c r="B523" t="s">
        <v>26</v>
      </c>
      <c r="C523" t="s">
        <v>27</v>
      </c>
      <c r="H523" s="2">
        <v>45928.54583333333</v>
      </c>
      <c r="I523" t="s">
        <v>29</v>
      </c>
      <c r="Z523">
        <v>104888</v>
      </c>
    </row>
    <row r="524" spans="1:26" x14ac:dyDescent="0.25">
      <c r="A524" t="s">
        <v>1168</v>
      </c>
      <c r="B524" t="s">
        <v>26</v>
      </c>
      <c r="C524" t="s">
        <v>27</v>
      </c>
      <c r="H524" s="2">
        <v>45928.470833333333</v>
      </c>
      <c r="I524" t="s">
        <v>29</v>
      </c>
      <c r="Z524">
        <v>104884</v>
      </c>
    </row>
    <row r="525" spans="1:26" x14ac:dyDescent="0.25">
      <c r="A525" t="s">
        <v>787</v>
      </c>
      <c r="B525" t="s">
        <v>46</v>
      </c>
      <c r="C525" t="s">
        <v>27</v>
      </c>
      <c r="E525" t="s">
        <v>45</v>
      </c>
      <c r="G525" t="s">
        <v>1169</v>
      </c>
      <c r="H525" s="2">
        <v>45927.438888888886</v>
      </c>
      <c r="I525" t="s">
        <v>29</v>
      </c>
      <c r="Z525">
        <v>104867</v>
      </c>
    </row>
    <row r="526" spans="1:26" x14ac:dyDescent="0.25">
      <c r="A526" t="s">
        <v>1170</v>
      </c>
      <c r="B526" t="s">
        <v>26</v>
      </c>
      <c r="C526" t="s">
        <v>27</v>
      </c>
      <c r="H526" s="2">
        <v>45925.445833333331</v>
      </c>
      <c r="I526" t="s">
        <v>40</v>
      </c>
      <c r="Z526">
        <v>104824</v>
      </c>
    </row>
    <row r="527" spans="1:26" x14ac:dyDescent="0.25">
      <c r="A527" t="s">
        <v>1171</v>
      </c>
      <c r="B527" t="s">
        <v>36</v>
      </c>
      <c r="C527" t="s">
        <v>27</v>
      </c>
      <c r="E527" t="s">
        <v>84</v>
      </c>
      <c r="H527" s="2">
        <v>45923.597222222219</v>
      </c>
      <c r="I527" t="s">
        <v>29</v>
      </c>
      <c r="K527" t="s">
        <v>37</v>
      </c>
      <c r="Z527">
        <v>104756</v>
      </c>
    </row>
    <row r="528" spans="1:26" x14ac:dyDescent="0.25">
      <c r="A528" t="s">
        <v>1172</v>
      </c>
      <c r="B528" t="s">
        <v>26</v>
      </c>
      <c r="C528" t="s">
        <v>27</v>
      </c>
      <c r="H528" s="2">
        <v>45923.427777777775</v>
      </c>
      <c r="I528" t="s">
        <v>95</v>
      </c>
      <c r="Z528">
        <v>104745</v>
      </c>
    </row>
    <row r="529" spans="1:26" x14ac:dyDescent="0.25">
      <c r="A529" t="s">
        <v>1173</v>
      </c>
      <c r="B529" t="s">
        <v>46</v>
      </c>
      <c r="C529" t="s">
        <v>27</v>
      </c>
      <c r="E529" t="s">
        <v>163</v>
      </c>
      <c r="G529" t="s">
        <v>1174</v>
      </c>
      <c r="H529" s="2">
        <v>45923.427083333336</v>
      </c>
      <c r="I529" t="s">
        <v>95</v>
      </c>
      <c r="Z529">
        <v>104744</v>
      </c>
    </row>
    <row r="530" spans="1:26" x14ac:dyDescent="0.25">
      <c r="A530" t="s">
        <v>1175</v>
      </c>
      <c r="B530" t="s">
        <v>46</v>
      </c>
      <c r="C530" t="s">
        <v>27</v>
      </c>
      <c r="E530" t="s">
        <v>1176</v>
      </c>
      <c r="G530" t="s">
        <v>1177</v>
      </c>
      <c r="H530" s="2">
        <v>45923.418055555558</v>
      </c>
      <c r="I530" t="s">
        <v>95</v>
      </c>
      <c r="Z530">
        <v>104742</v>
      </c>
    </row>
    <row r="531" spans="1:26" x14ac:dyDescent="0.25">
      <c r="A531" t="s">
        <v>1178</v>
      </c>
      <c r="B531" t="s">
        <v>26</v>
      </c>
      <c r="C531" t="s">
        <v>27</v>
      </c>
      <c r="H531" s="2">
        <v>45922.486805555556</v>
      </c>
      <c r="I531" t="s">
        <v>95</v>
      </c>
      <c r="Z531">
        <v>104702</v>
      </c>
    </row>
    <row r="532" spans="1:26" x14ac:dyDescent="0.25">
      <c r="A532" t="s">
        <v>92</v>
      </c>
      <c r="B532" t="s">
        <v>26</v>
      </c>
      <c r="C532" t="s">
        <v>27</v>
      </c>
      <c r="H532" s="2">
        <v>45922.429861111108</v>
      </c>
      <c r="I532" t="s">
        <v>29</v>
      </c>
      <c r="Z532">
        <v>104695</v>
      </c>
    </row>
    <row r="533" spans="1:26" x14ac:dyDescent="0.25">
      <c r="A533" t="s">
        <v>1179</v>
      </c>
      <c r="B533" t="s">
        <v>26</v>
      </c>
      <c r="C533" t="s">
        <v>27</v>
      </c>
      <c r="H533" s="2">
        <v>45919.731249999997</v>
      </c>
      <c r="I533" t="s">
        <v>41</v>
      </c>
      <c r="Z533">
        <v>104650</v>
      </c>
    </row>
    <row r="534" spans="1:26" x14ac:dyDescent="0.25">
      <c r="A534" t="s">
        <v>1180</v>
      </c>
      <c r="B534" t="s">
        <v>42</v>
      </c>
      <c r="C534" t="s">
        <v>27</v>
      </c>
      <c r="E534" t="s">
        <v>138</v>
      </c>
      <c r="H534" s="2">
        <v>45919.693749999999</v>
      </c>
      <c r="I534" t="s">
        <v>40</v>
      </c>
      <c r="Z534">
        <v>104647</v>
      </c>
    </row>
    <row r="535" spans="1:26" x14ac:dyDescent="0.25">
      <c r="A535" t="s">
        <v>1181</v>
      </c>
      <c r="B535" t="s">
        <v>77</v>
      </c>
      <c r="C535" t="s">
        <v>27</v>
      </c>
      <c r="E535" t="s">
        <v>53</v>
      </c>
      <c r="H535" s="2">
        <v>45919.447222222225</v>
      </c>
      <c r="I535" t="s">
        <v>40</v>
      </c>
      <c r="Z535">
        <v>104633</v>
      </c>
    </row>
    <row r="536" spans="1:26" x14ac:dyDescent="0.25">
      <c r="A536" t="s">
        <v>1182</v>
      </c>
      <c r="B536" t="s">
        <v>26</v>
      </c>
      <c r="C536" t="s">
        <v>27</v>
      </c>
      <c r="H536" s="2">
        <v>45918.567361111112</v>
      </c>
      <c r="I536" t="s">
        <v>41</v>
      </c>
      <c r="Z536">
        <v>104597</v>
      </c>
    </row>
    <row r="537" spans="1:26" x14ac:dyDescent="0.25">
      <c r="A537" t="s">
        <v>885</v>
      </c>
      <c r="B537" t="s">
        <v>26</v>
      </c>
      <c r="C537" t="s">
        <v>27</v>
      </c>
      <c r="H537" s="2">
        <v>45917.48333333333</v>
      </c>
      <c r="I537" t="s">
        <v>29</v>
      </c>
      <c r="Z537">
        <v>104565</v>
      </c>
    </row>
    <row r="538" spans="1:26" x14ac:dyDescent="0.25">
      <c r="A538" t="s">
        <v>1183</v>
      </c>
      <c r="B538" t="s">
        <v>26</v>
      </c>
      <c r="C538" t="s">
        <v>27</v>
      </c>
      <c r="H538" s="2">
        <v>45916.779861111114</v>
      </c>
      <c r="I538" t="s">
        <v>29</v>
      </c>
      <c r="Z538">
        <v>104557</v>
      </c>
    </row>
    <row r="539" spans="1:26" x14ac:dyDescent="0.25">
      <c r="A539" t="s">
        <v>92</v>
      </c>
      <c r="B539" t="s">
        <v>26</v>
      </c>
      <c r="C539" t="s">
        <v>27</v>
      </c>
      <c r="H539" s="2">
        <v>45916.761805555558</v>
      </c>
      <c r="I539" t="s">
        <v>29</v>
      </c>
      <c r="Z539">
        <v>104554</v>
      </c>
    </row>
    <row r="540" spans="1:26" x14ac:dyDescent="0.25">
      <c r="A540" t="s">
        <v>1184</v>
      </c>
      <c r="B540" t="s">
        <v>26</v>
      </c>
      <c r="C540" t="s">
        <v>27</v>
      </c>
      <c r="H540" s="2">
        <v>45916.722916666666</v>
      </c>
      <c r="I540" t="s">
        <v>95</v>
      </c>
      <c r="Z540">
        <v>104550</v>
      </c>
    </row>
    <row r="541" spans="1:26" x14ac:dyDescent="0.25">
      <c r="A541" t="s">
        <v>1185</v>
      </c>
      <c r="B541" t="s">
        <v>26</v>
      </c>
      <c r="C541" t="s">
        <v>27</v>
      </c>
      <c r="H541" s="2">
        <v>45916.645833333336</v>
      </c>
      <c r="I541" t="s">
        <v>29</v>
      </c>
      <c r="Z541">
        <v>104547</v>
      </c>
    </row>
    <row r="542" spans="1:26" x14ac:dyDescent="0.25">
      <c r="A542" t="s">
        <v>92</v>
      </c>
      <c r="B542" t="s">
        <v>26</v>
      </c>
      <c r="C542" t="s">
        <v>27</v>
      </c>
      <c r="H542" s="2">
        <v>45916.619444444441</v>
      </c>
      <c r="I542" t="s">
        <v>29</v>
      </c>
      <c r="Z542">
        <v>104546</v>
      </c>
    </row>
    <row r="543" spans="1:26" x14ac:dyDescent="0.25">
      <c r="A543" t="s">
        <v>92</v>
      </c>
      <c r="B543" t="s">
        <v>26</v>
      </c>
      <c r="C543" t="s">
        <v>27</v>
      </c>
      <c r="H543" s="2">
        <v>45916.448611111111</v>
      </c>
      <c r="I543" t="s">
        <v>29</v>
      </c>
      <c r="Z543">
        <v>104520</v>
      </c>
    </row>
    <row r="544" spans="1:26" x14ac:dyDescent="0.25">
      <c r="A544" t="s">
        <v>1186</v>
      </c>
      <c r="B544" t="s">
        <v>26</v>
      </c>
      <c r="C544" t="s">
        <v>27</v>
      </c>
      <c r="H544" s="2">
        <v>45916.380555555559</v>
      </c>
      <c r="I544" t="s">
        <v>29</v>
      </c>
      <c r="Z544">
        <v>104510</v>
      </c>
    </row>
    <row r="545" spans="1:26" x14ac:dyDescent="0.25">
      <c r="A545" t="s">
        <v>1187</v>
      </c>
      <c r="B545" t="s">
        <v>26</v>
      </c>
      <c r="C545" t="s">
        <v>27</v>
      </c>
      <c r="H545" s="2">
        <v>45913.461111111108</v>
      </c>
      <c r="I545" t="s">
        <v>40</v>
      </c>
      <c r="Z545">
        <v>104473</v>
      </c>
    </row>
    <row r="546" spans="1:26" x14ac:dyDescent="0.25">
      <c r="A546" t="s">
        <v>1188</v>
      </c>
      <c r="B546" t="s">
        <v>46</v>
      </c>
      <c r="C546" t="s">
        <v>27</v>
      </c>
      <c r="E546" t="s">
        <v>63</v>
      </c>
      <c r="G546" t="s">
        <v>219</v>
      </c>
      <c r="H546" s="2">
        <v>45911.693749999999</v>
      </c>
      <c r="I546" t="s">
        <v>95</v>
      </c>
      <c r="Z546">
        <v>104438</v>
      </c>
    </row>
    <row r="547" spans="1:26" x14ac:dyDescent="0.25">
      <c r="A547" t="s">
        <v>1189</v>
      </c>
      <c r="B547" t="s">
        <v>26</v>
      </c>
      <c r="C547" t="s">
        <v>27</v>
      </c>
      <c r="H547" s="2">
        <v>45911.540972222225</v>
      </c>
      <c r="I547" t="s">
        <v>29</v>
      </c>
      <c r="Z547">
        <v>104426</v>
      </c>
    </row>
    <row r="548" spans="1:26" x14ac:dyDescent="0.25">
      <c r="A548" t="s">
        <v>1190</v>
      </c>
      <c r="B548" t="s">
        <v>26</v>
      </c>
      <c r="C548" t="s">
        <v>27</v>
      </c>
      <c r="H548" s="2">
        <v>45910.716666666667</v>
      </c>
      <c r="I548" t="s">
        <v>40</v>
      </c>
      <c r="Z548">
        <v>104408</v>
      </c>
    </row>
    <row r="549" spans="1:26" x14ac:dyDescent="0.25">
      <c r="A549" t="s">
        <v>1191</v>
      </c>
      <c r="B549" t="s">
        <v>26</v>
      </c>
      <c r="C549" t="s">
        <v>27</v>
      </c>
      <c r="H549" s="2">
        <v>45910.628472222219</v>
      </c>
      <c r="I549" t="s">
        <v>29</v>
      </c>
      <c r="Z549">
        <v>104405</v>
      </c>
    </row>
    <row r="550" spans="1:26" x14ac:dyDescent="0.25">
      <c r="A550" t="s">
        <v>1192</v>
      </c>
      <c r="B550" t="s">
        <v>42</v>
      </c>
      <c r="C550" t="s">
        <v>27</v>
      </c>
      <c r="E550" t="s">
        <v>335</v>
      </c>
      <c r="H550" s="2">
        <v>45909.85</v>
      </c>
      <c r="I550" t="s">
        <v>29</v>
      </c>
      <c r="Z550">
        <v>104393</v>
      </c>
    </row>
    <row r="551" spans="1:26" x14ac:dyDescent="0.25">
      <c r="A551" t="s">
        <v>1193</v>
      </c>
      <c r="B551" t="s">
        <v>26</v>
      </c>
      <c r="C551" t="s">
        <v>27</v>
      </c>
      <c r="H551" s="2">
        <v>45909.415277777778</v>
      </c>
      <c r="I551" t="s">
        <v>40</v>
      </c>
      <c r="Z551">
        <v>104370</v>
      </c>
    </row>
    <row r="552" spans="1:26" x14ac:dyDescent="0.25">
      <c r="A552" t="s">
        <v>1194</v>
      </c>
      <c r="B552" t="s">
        <v>26</v>
      </c>
      <c r="C552" t="s">
        <v>27</v>
      </c>
      <c r="H552" s="2">
        <v>45908.581944444442</v>
      </c>
      <c r="I552" t="s">
        <v>95</v>
      </c>
      <c r="Z552">
        <v>104353</v>
      </c>
    </row>
    <row r="553" spans="1:26" x14ac:dyDescent="0.25">
      <c r="A553" t="s">
        <v>1195</v>
      </c>
      <c r="B553" t="s">
        <v>26</v>
      </c>
      <c r="C553" t="s">
        <v>27</v>
      </c>
      <c r="H553" s="2">
        <v>45907.770138888889</v>
      </c>
      <c r="I553" t="s">
        <v>40</v>
      </c>
      <c r="Z553">
        <v>104332</v>
      </c>
    </row>
    <row r="554" spans="1:26" x14ac:dyDescent="0.25">
      <c r="A554" t="s">
        <v>1196</v>
      </c>
      <c r="B554" t="s">
        <v>26</v>
      </c>
      <c r="C554" t="s">
        <v>27</v>
      </c>
      <c r="H554" s="2">
        <v>45907.731249999997</v>
      </c>
      <c r="I554" t="s">
        <v>40</v>
      </c>
      <c r="Z554">
        <v>104330</v>
      </c>
    </row>
    <row r="555" spans="1:26" x14ac:dyDescent="0.25">
      <c r="A555" t="s">
        <v>1197</v>
      </c>
      <c r="B555" t="s">
        <v>26</v>
      </c>
      <c r="C555" t="s">
        <v>27</v>
      </c>
      <c r="H555" s="2">
        <v>45907.625</v>
      </c>
      <c r="I555" t="s">
        <v>40</v>
      </c>
      <c r="Z555">
        <v>104325</v>
      </c>
    </row>
    <row r="556" spans="1:26" x14ac:dyDescent="0.25">
      <c r="A556" t="s">
        <v>1198</v>
      </c>
      <c r="B556" t="s">
        <v>26</v>
      </c>
      <c r="C556" t="s">
        <v>27</v>
      </c>
      <c r="H556" s="2">
        <v>45906.679166666669</v>
      </c>
      <c r="I556" t="s">
        <v>95</v>
      </c>
      <c r="Z556">
        <v>104314</v>
      </c>
    </row>
    <row r="557" spans="1:26" x14ac:dyDescent="0.25">
      <c r="A557" t="s">
        <v>1199</v>
      </c>
      <c r="B557" t="s">
        <v>26</v>
      </c>
      <c r="C557" t="s">
        <v>27</v>
      </c>
      <c r="H557" s="2">
        <v>45906.664583333331</v>
      </c>
      <c r="I557" t="s">
        <v>95</v>
      </c>
      <c r="Z557">
        <v>104312</v>
      </c>
    </row>
    <row r="558" spans="1:26" x14ac:dyDescent="0.25">
      <c r="A558" t="s">
        <v>1200</v>
      </c>
      <c r="B558" t="s">
        <v>26</v>
      </c>
      <c r="C558" t="s">
        <v>27</v>
      </c>
      <c r="H558" s="2">
        <v>45906.421527777777</v>
      </c>
      <c r="I558" t="s">
        <v>95</v>
      </c>
      <c r="Z558">
        <v>104301</v>
      </c>
    </row>
    <row r="559" spans="1:26" x14ac:dyDescent="0.25">
      <c r="A559" t="s">
        <v>1201</v>
      </c>
      <c r="B559" t="s">
        <v>26</v>
      </c>
      <c r="C559" t="s">
        <v>27</v>
      </c>
      <c r="H559" s="2">
        <v>45905.53402777778</v>
      </c>
      <c r="I559" t="s">
        <v>29</v>
      </c>
      <c r="Z559">
        <v>104280</v>
      </c>
    </row>
    <row r="560" spans="1:26" x14ac:dyDescent="0.25">
      <c r="A560" t="s">
        <v>1202</v>
      </c>
      <c r="B560" t="s">
        <v>77</v>
      </c>
      <c r="C560" t="s">
        <v>27</v>
      </c>
      <c r="E560" t="s">
        <v>1203</v>
      </c>
      <c r="H560" s="2">
        <v>45905.495138888888</v>
      </c>
      <c r="I560" t="s">
        <v>29</v>
      </c>
      <c r="Z560">
        <v>104279</v>
      </c>
    </row>
    <row r="561" spans="1:26" x14ac:dyDescent="0.25">
      <c r="A561" t="s">
        <v>1204</v>
      </c>
      <c r="B561" t="s">
        <v>26</v>
      </c>
      <c r="C561" t="s">
        <v>27</v>
      </c>
      <c r="H561" s="2">
        <v>45905.456250000003</v>
      </c>
      <c r="I561" t="s">
        <v>95</v>
      </c>
      <c r="Z561">
        <v>104278</v>
      </c>
    </row>
    <row r="562" spans="1:26" x14ac:dyDescent="0.25">
      <c r="A562" t="s">
        <v>1205</v>
      </c>
      <c r="B562" t="s">
        <v>42</v>
      </c>
      <c r="C562" t="s">
        <v>27</v>
      </c>
      <c r="E562" t="s">
        <v>146</v>
      </c>
      <c r="H562" s="2">
        <v>45905.42291666667</v>
      </c>
      <c r="I562" t="s">
        <v>95</v>
      </c>
      <c r="Z562">
        <v>104277</v>
      </c>
    </row>
    <row r="563" spans="1:26" x14ac:dyDescent="0.25">
      <c r="A563" t="s">
        <v>1206</v>
      </c>
      <c r="B563" t="s">
        <v>26</v>
      </c>
      <c r="C563" t="s">
        <v>27</v>
      </c>
      <c r="H563" s="2">
        <v>45903.447916666664</v>
      </c>
      <c r="I563" t="s">
        <v>40</v>
      </c>
      <c r="Z563">
        <v>104218</v>
      </c>
    </row>
    <row r="564" spans="1:26" x14ac:dyDescent="0.25">
      <c r="A564" t="s">
        <v>1207</v>
      </c>
      <c r="B564" t="s">
        <v>26</v>
      </c>
      <c r="C564" t="s">
        <v>27</v>
      </c>
      <c r="H564" s="2">
        <v>45901.438194444447</v>
      </c>
      <c r="I564" t="s">
        <v>95</v>
      </c>
      <c r="Z564">
        <v>104161</v>
      </c>
    </row>
    <row r="565" spans="1:26" x14ac:dyDescent="0.25">
      <c r="A565" t="s">
        <v>1208</v>
      </c>
      <c r="B565" t="s">
        <v>26</v>
      </c>
      <c r="C565" t="s">
        <v>27</v>
      </c>
      <c r="H565" s="2">
        <v>45901.427083333336</v>
      </c>
      <c r="I565" t="s">
        <v>40</v>
      </c>
      <c r="Z565">
        <v>104158</v>
      </c>
    </row>
    <row r="566" spans="1:26" x14ac:dyDescent="0.25">
      <c r="A566" t="s">
        <v>738</v>
      </c>
      <c r="B566" t="s">
        <v>26</v>
      </c>
      <c r="C566" t="s">
        <v>27</v>
      </c>
      <c r="H566" s="2">
        <v>45900.584027777775</v>
      </c>
      <c r="I566" t="s">
        <v>29</v>
      </c>
      <c r="Z566">
        <v>104138</v>
      </c>
    </row>
    <row r="567" spans="1:26" x14ac:dyDescent="0.25">
      <c r="A567" t="s">
        <v>1209</v>
      </c>
      <c r="B567" t="s">
        <v>26</v>
      </c>
      <c r="C567" t="s">
        <v>27</v>
      </c>
      <c r="H567" s="2">
        <v>45899.486111111109</v>
      </c>
      <c r="I567" t="s">
        <v>29</v>
      </c>
      <c r="Z567">
        <v>104107</v>
      </c>
    </row>
    <row r="568" spans="1:26" x14ac:dyDescent="0.25">
      <c r="A568" t="s">
        <v>1210</v>
      </c>
      <c r="B568" t="s">
        <v>26</v>
      </c>
      <c r="C568" t="s">
        <v>27</v>
      </c>
      <c r="H568" s="2">
        <v>45899.419444444444</v>
      </c>
      <c r="I568" t="s">
        <v>29</v>
      </c>
      <c r="Z568">
        <v>104102</v>
      </c>
    </row>
    <row r="569" spans="1:26" x14ac:dyDescent="0.25">
      <c r="A569" t="s">
        <v>1211</v>
      </c>
      <c r="B569" t="s">
        <v>26</v>
      </c>
      <c r="C569" t="s">
        <v>27</v>
      </c>
      <c r="H569" s="2">
        <v>45898.881249999999</v>
      </c>
      <c r="I569" t="s">
        <v>29</v>
      </c>
      <c r="Z569">
        <v>104100</v>
      </c>
    </row>
    <row r="570" spans="1:26" x14ac:dyDescent="0.25">
      <c r="A570" t="s">
        <v>1212</v>
      </c>
      <c r="B570" t="s">
        <v>26</v>
      </c>
      <c r="C570" t="s">
        <v>27</v>
      </c>
      <c r="H570" s="2">
        <v>45898.578472222223</v>
      </c>
      <c r="I570" t="s">
        <v>29</v>
      </c>
      <c r="Z570">
        <v>104084</v>
      </c>
    </row>
    <row r="571" spans="1:26" x14ac:dyDescent="0.25">
      <c r="A571" t="s">
        <v>92</v>
      </c>
      <c r="B571" t="s">
        <v>26</v>
      </c>
      <c r="C571" t="s">
        <v>27</v>
      </c>
      <c r="H571" s="2">
        <v>45897.727083333331</v>
      </c>
      <c r="I571" t="s">
        <v>29</v>
      </c>
      <c r="Z571">
        <v>104055</v>
      </c>
    </row>
    <row r="572" spans="1:26" x14ac:dyDescent="0.25">
      <c r="A572" t="s">
        <v>652</v>
      </c>
      <c r="B572" t="s">
        <v>46</v>
      </c>
      <c r="C572" t="s">
        <v>27</v>
      </c>
      <c r="E572" t="s">
        <v>1213</v>
      </c>
      <c r="G572" t="s">
        <v>1214</v>
      </c>
      <c r="H572" s="2">
        <v>45897.638194444444</v>
      </c>
      <c r="I572" t="s">
        <v>40</v>
      </c>
      <c r="Z572">
        <v>104045</v>
      </c>
    </row>
    <row r="573" spans="1:26" x14ac:dyDescent="0.25">
      <c r="A573" t="s">
        <v>1215</v>
      </c>
      <c r="B573" t="s">
        <v>26</v>
      </c>
      <c r="C573" t="s">
        <v>27</v>
      </c>
      <c r="H573" s="2">
        <v>45897.52847222222</v>
      </c>
      <c r="I573" t="s">
        <v>40</v>
      </c>
      <c r="Z573">
        <v>104037</v>
      </c>
    </row>
    <row r="574" spans="1:26" x14ac:dyDescent="0.25">
      <c r="A574" t="s">
        <v>1216</v>
      </c>
      <c r="B574" t="s">
        <v>36</v>
      </c>
      <c r="C574" t="s">
        <v>27</v>
      </c>
      <c r="E574" t="s">
        <v>45</v>
      </c>
      <c r="H574" s="2">
        <v>45896.864583333336</v>
      </c>
      <c r="I574" t="s">
        <v>40</v>
      </c>
      <c r="K574" t="s">
        <v>37</v>
      </c>
      <c r="Z574">
        <v>104024</v>
      </c>
    </row>
    <row r="575" spans="1:26" x14ac:dyDescent="0.25">
      <c r="A575" t="s">
        <v>92</v>
      </c>
      <c r="B575" t="s">
        <v>46</v>
      </c>
      <c r="C575" t="s">
        <v>27</v>
      </c>
      <c r="E575" t="s">
        <v>87</v>
      </c>
      <c r="G575" t="s">
        <v>1217</v>
      </c>
      <c r="H575" s="2">
        <v>45895.609027777777</v>
      </c>
      <c r="I575" t="s">
        <v>29</v>
      </c>
      <c r="Z575">
        <v>103984</v>
      </c>
    </row>
    <row r="576" spans="1:26" x14ac:dyDescent="0.25">
      <c r="A576" t="s">
        <v>921</v>
      </c>
      <c r="B576" t="s">
        <v>36</v>
      </c>
      <c r="C576" t="s">
        <v>27</v>
      </c>
      <c r="E576" t="s">
        <v>103</v>
      </c>
      <c r="H576" s="2">
        <v>45894.572916666664</v>
      </c>
      <c r="I576" t="s">
        <v>29</v>
      </c>
      <c r="K576" t="s">
        <v>37</v>
      </c>
      <c r="Z576">
        <v>103940</v>
      </c>
    </row>
    <row r="577" spans="1:26" x14ac:dyDescent="0.25">
      <c r="A577" t="s">
        <v>92</v>
      </c>
      <c r="B577" t="s">
        <v>26</v>
      </c>
      <c r="C577" t="s">
        <v>27</v>
      </c>
      <c r="H577" s="2">
        <v>45894.568055555559</v>
      </c>
      <c r="I577" t="s">
        <v>29</v>
      </c>
      <c r="Z577">
        <v>103938</v>
      </c>
    </row>
    <row r="578" spans="1:26" x14ac:dyDescent="0.25">
      <c r="A578" t="s">
        <v>1218</v>
      </c>
      <c r="B578" t="s">
        <v>26</v>
      </c>
      <c r="C578" t="s">
        <v>27</v>
      </c>
      <c r="H578" s="2">
        <v>45892.647222222222</v>
      </c>
      <c r="I578" t="s">
        <v>29</v>
      </c>
      <c r="Z578">
        <v>103887</v>
      </c>
    </row>
    <row r="579" spans="1:26" x14ac:dyDescent="0.25">
      <c r="A579" t="s">
        <v>1219</v>
      </c>
      <c r="B579" t="s">
        <v>46</v>
      </c>
      <c r="C579" t="s">
        <v>27</v>
      </c>
      <c r="E579" t="s">
        <v>347</v>
      </c>
      <c r="G579" t="s">
        <v>1220</v>
      </c>
      <c r="H579" s="2">
        <v>45892.39166666667</v>
      </c>
      <c r="I579" t="s">
        <v>40</v>
      </c>
      <c r="Z579">
        <v>103868</v>
      </c>
    </row>
    <row r="580" spans="1:26" x14ac:dyDescent="0.25">
      <c r="A580" t="s">
        <v>1221</v>
      </c>
      <c r="B580" t="s">
        <v>36</v>
      </c>
      <c r="C580" t="s">
        <v>27</v>
      </c>
      <c r="E580" t="s">
        <v>162</v>
      </c>
      <c r="H580" s="2">
        <v>45890.398611111108</v>
      </c>
      <c r="I580" t="s">
        <v>40</v>
      </c>
      <c r="K580" t="s">
        <v>37</v>
      </c>
      <c r="Z580">
        <v>103803</v>
      </c>
    </row>
    <row r="581" spans="1:26" x14ac:dyDescent="0.25">
      <c r="A581" t="s">
        <v>1222</v>
      </c>
      <c r="B581" t="s">
        <v>26</v>
      </c>
      <c r="C581" t="s">
        <v>27</v>
      </c>
      <c r="H581" s="2">
        <v>45889.793749999997</v>
      </c>
      <c r="I581" t="s">
        <v>95</v>
      </c>
      <c r="Z581">
        <v>103797</v>
      </c>
    </row>
    <row r="582" spans="1:26" x14ac:dyDescent="0.25">
      <c r="A582" t="s">
        <v>92</v>
      </c>
      <c r="B582" t="s">
        <v>26</v>
      </c>
      <c r="C582" t="s">
        <v>27</v>
      </c>
      <c r="H582" s="2">
        <v>45889.722916666666</v>
      </c>
      <c r="I582" t="s">
        <v>29</v>
      </c>
      <c r="Z582">
        <v>103794</v>
      </c>
    </row>
    <row r="583" spans="1:26" x14ac:dyDescent="0.25">
      <c r="A583" t="s">
        <v>1223</v>
      </c>
      <c r="B583" t="s">
        <v>26</v>
      </c>
      <c r="C583" t="s">
        <v>27</v>
      </c>
      <c r="H583" s="2">
        <v>45889.615277777775</v>
      </c>
      <c r="I583" t="s">
        <v>95</v>
      </c>
      <c r="Z583">
        <v>103784</v>
      </c>
    </row>
    <row r="584" spans="1:26" x14ac:dyDescent="0.25">
      <c r="A584" t="s">
        <v>1224</v>
      </c>
      <c r="B584" t="s">
        <v>26</v>
      </c>
      <c r="C584" t="s">
        <v>27</v>
      </c>
      <c r="H584" s="2">
        <v>45889.612500000003</v>
      </c>
      <c r="I584" t="s">
        <v>29</v>
      </c>
      <c r="Z584">
        <v>103783</v>
      </c>
    </row>
    <row r="585" spans="1:26" x14ac:dyDescent="0.25">
      <c r="A585" t="s">
        <v>1225</v>
      </c>
      <c r="B585" t="s">
        <v>26</v>
      </c>
      <c r="C585" t="s">
        <v>27</v>
      </c>
      <c r="H585" s="2">
        <v>45889.432638888888</v>
      </c>
      <c r="I585" t="s">
        <v>95</v>
      </c>
      <c r="Z585">
        <v>103768</v>
      </c>
    </row>
    <row r="586" spans="1:26" x14ac:dyDescent="0.25">
      <c r="A586" t="s">
        <v>59</v>
      </c>
      <c r="B586" t="s">
        <v>46</v>
      </c>
      <c r="C586" t="s">
        <v>59</v>
      </c>
      <c r="E586" t="s">
        <v>101</v>
      </c>
      <c r="G586" t="s">
        <v>1226</v>
      </c>
      <c r="H586" s="2">
        <v>45889.394444444442</v>
      </c>
      <c r="I586" t="s">
        <v>95</v>
      </c>
      <c r="Z586">
        <v>103765</v>
      </c>
    </row>
    <row r="587" spans="1:26" x14ac:dyDescent="0.25">
      <c r="A587" t="s">
        <v>1227</v>
      </c>
      <c r="B587" t="s">
        <v>26</v>
      </c>
      <c r="C587" t="s">
        <v>27</v>
      </c>
      <c r="H587" s="2">
        <v>45888.795138888891</v>
      </c>
      <c r="I587" t="s">
        <v>95</v>
      </c>
      <c r="Z587">
        <v>103761</v>
      </c>
    </row>
    <row r="588" spans="1:26" x14ac:dyDescent="0.25">
      <c r="A588" t="s">
        <v>1228</v>
      </c>
      <c r="B588" t="s">
        <v>26</v>
      </c>
      <c r="C588" t="s">
        <v>27</v>
      </c>
      <c r="H588" s="2">
        <v>45888.518750000003</v>
      </c>
      <c r="I588" t="s">
        <v>29</v>
      </c>
      <c r="Z588">
        <v>103748</v>
      </c>
    </row>
    <row r="589" spans="1:26" x14ac:dyDescent="0.25">
      <c r="A589" t="s">
        <v>1229</v>
      </c>
      <c r="B589" t="s">
        <v>26</v>
      </c>
      <c r="C589" t="s">
        <v>27</v>
      </c>
      <c r="H589" s="2">
        <v>45887.534722222219</v>
      </c>
      <c r="I589" t="s">
        <v>95</v>
      </c>
      <c r="Z589">
        <v>103723</v>
      </c>
    </row>
    <row r="590" spans="1:26" x14ac:dyDescent="0.25">
      <c r="A590" t="s">
        <v>92</v>
      </c>
      <c r="B590" t="s">
        <v>26</v>
      </c>
      <c r="C590" t="s">
        <v>27</v>
      </c>
      <c r="H590" s="2">
        <v>45885.53402777778</v>
      </c>
      <c r="I590" t="s">
        <v>29</v>
      </c>
      <c r="Z590">
        <v>103670</v>
      </c>
    </row>
    <row r="591" spans="1:26" x14ac:dyDescent="0.25">
      <c r="A591" t="s">
        <v>1230</v>
      </c>
      <c r="B591" t="s">
        <v>26</v>
      </c>
      <c r="C591" t="s">
        <v>27</v>
      </c>
      <c r="H591" s="2">
        <v>45884.637499999997</v>
      </c>
      <c r="I591" t="s">
        <v>40</v>
      </c>
      <c r="Z591">
        <v>103652</v>
      </c>
    </row>
    <row r="592" spans="1:26" x14ac:dyDescent="0.25">
      <c r="A592" t="s">
        <v>1231</v>
      </c>
      <c r="B592" t="s">
        <v>26</v>
      </c>
      <c r="C592" t="s">
        <v>27</v>
      </c>
      <c r="H592" s="2">
        <v>45883.808333333334</v>
      </c>
      <c r="I592" t="s">
        <v>95</v>
      </c>
      <c r="Z592">
        <v>103637</v>
      </c>
    </row>
    <row r="593" spans="1:26" x14ac:dyDescent="0.25">
      <c r="A593" t="s">
        <v>1232</v>
      </c>
      <c r="B593" t="s">
        <v>36</v>
      </c>
      <c r="C593" t="s">
        <v>27</v>
      </c>
      <c r="E593" t="s">
        <v>135</v>
      </c>
      <c r="H593" s="2">
        <v>45882.95208333333</v>
      </c>
      <c r="I593" t="s">
        <v>95</v>
      </c>
      <c r="K593" t="s">
        <v>37</v>
      </c>
      <c r="Z593">
        <v>103605</v>
      </c>
    </row>
    <row r="594" spans="1:26" x14ac:dyDescent="0.25">
      <c r="A594" t="s">
        <v>92</v>
      </c>
      <c r="B594" t="s">
        <v>26</v>
      </c>
      <c r="C594" t="s">
        <v>27</v>
      </c>
      <c r="H594" s="2">
        <v>45882.886805555558</v>
      </c>
      <c r="I594" t="s">
        <v>29</v>
      </c>
      <c r="Z594">
        <v>103604</v>
      </c>
    </row>
    <row r="595" spans="1:26" x14ac:dyDescent="0.25">
      <c r="A595" t="s">
        <v>1233</v>
      </c>
      <c r="B595" t="s">
        <v>26</v>
      </c>
      <c r="C595" t="s">
        <v>27</v>
      </c>
      <c r="H595" s="2">
        <v>45882.558333333334</v>
      </c>
      <c r="I595" t="s">
        <v>29</v>
      </c>
      <c r="Z595">
        <v>103586</v>
      </c>
    </row>
    <row r="596" spans="1:26" x14ac:dyDescent="0.25">
      <c r="A596" t="s">
        <v>92</v>
      </c>
      <c r="B596" t="s">
        <v>26</v>
      </c>
      <c r="C596" t="s">
        <v>27</v>
      </c>
      <c r="H596" s="2">
        <v>45882.552777777775</v>
      </c>
      <c r="I596" t="s">
        <v>29</v>
      </c>
      <c r="Z596">
        <v>103584</v>
      </c>
    </row>
    <row r="597" spans="1:26" x14ac:dyDescent="0.25">
      <c r="A597" t="s">
        <v>1234</v>
      </c>
      <c r="B597" t="s">
        <v>26</v>
      </c>
      <c r="C597" t="s">
        <v>27</v>
      </c>
      <c r="H597" s="2">
        <v>45881.534722222219</v>
      </c>
      <c r="I597" t="s">
        <v>95</v>
      </c>
      <c r="Z597">
        <v>103559</v>
      </c>
    </row>
    <row r="598" spans="1:26" x14ac:dyDescent="0.25">
      <c r="A598" t="s">
        <v>921</v>
      </c>
      <c r="B598" t="s">
        <v>26</v>
      </c>
      <c r="C598" t="s">
        <v>27</v>
      </c>
      <c r="H598" s="2">
        <v>45881.388888888891</v>
      </c>
      <c r="I598" t="s">
        <v>29</v>
      </c>
      <c r="Z598">
        <v>103547</v>
      </c>
    </row>
    <row r="599" spans="1:26" x14ac:dyDescent="0.25">
      <c r="A599" t="s">
        <v>1235</v>
      </c>
      <c r="B599" t="s">
        <v>26</v>
      </c>
      <c r="C599" t="s">
        <v>27</v>
      </c>
      <c r="H599" s="2">
        <v>45880.554166666669</v>
      </c>
      <c r="I599" t="s">
        <v>40</v>
      </c>
      <c r="Z599">
        <v>103531</v>
      </c>
    </row>
    <row r="600" spans="1:26" x14ac:dyDescent="0.25">
      <c r="A600" t="s">
        <v>1236</v>
      </c>
      <c r="B600" t="s">
        <v>26</v>
      </c>
      <c r="C600" t="s">
        <v>27</v>
      </c>
      <c r="H600" s="2">
        <v>45880.524305555555</v>
      </c>
      <c r="I600" t="s">
        <v>40</v>
      </c>
      <c r="Z600">
        <v>103530</v>
      </c>
    </row>
    <row r="601" spans="1:26" x14ac:dyDescent="0.25">
      <c r="A601" t="s">
        <v>1237</v>
      </c>
      <c r="B601" t="s">
        <v>26</v>
      </c>
      <c r="C601" t="s">
        <v>47</v>
      </c>
      <c r="H601" s="2">
        <v>45880.409722222219</v>
      </c>
      <c r="I601" t="s">
        <v>40</v>
      </c>
      <c r="Z601">
        <v>103518</v>
      </c>
    </row>
    <row r="602" spans="1:26" x14ac:dyDescent="0.25">
      <c r="A602" t="s">
        <v>1238</v>
      </c>
      <c r="B602" t="s">
        <v>36</v>
      </c>
      <c r="C602" t="s">
        <v>27</v>
      </c>
      <c r="E602" t="s">
        <v>370</v>
      </c>
      <c r="H602" s="2">
        <v>45880.352777777778</v>
      </c>
      <c r="I602" t="s">
        <v>40</v>
      </c>
      <c r="K602" t="s">
        <v>37</v>
      </c>
      <c r="Z602">
        <v>103516</v>
      </c>
    </row>
    <row r="603" spans="1:26" x14ac:dyDescent="0.25">
      <c r="A603" t="s">
        <v>1239</v>
      </c>
      <c r="B603" t="s">
        <v>26</v>
      </c>
      <c r="C603" t="s">
        <v>27</v>
      </c>
      <c r="H603" s="2">
        <v>45878.833333333336</v>
      </c>
      <c r="I603" t="s">
        <v>40</v>
      </c>
      <c r="Z603">
        <v>103496</v>
      </c>
    </row>
    <row r="604" spans="1:26" x14ac:dyDescent="0.25">
      <c r="A604" t="s">
        <v>1240</v>
      </c>
      <c r="B604" t="s">
        <v>26</v>
      </c>
      <c r="C604" t="s">
        <v>27</v>
      </c>
      <c r="H604" s="2">
        <v>45878.561805555553</v>
      </c>
      <c r="I604" t="s">
        <v>40</v>
      </c>
      <c r="Z604">
        <v>103483</v>
      </c>
    </row>
    <row r="605" spans="1:26" x14ac:dyDescent="0.25">
      <c r="A605" t="s">
        <v>1241</v>
      </c>
      <c r="B605" t="s">
        <v>26</v>
      </c>
      <c r="C605" t="s">
        <v>27</v>
      </c>
      <c r="H605" s="2">
        <v>45878.466666666667</v>
      </c>
      <c r="I605" t="s">
        <v>40</v>
      </c>
      <c r="Z605">
        <v>103475</v>
      </c>
    </row>
    <row r="606" spans="1:26" x14ac:dyDescent="0.25">
      <c r="A606" t="s">
        <v>1242</v>
      </c>
      <c r="B606" t="s">
        <v>26</v>
      </c>
      <c r="C606" t="s">
        <v>27</v>
      </c>
      <c r="H606" s="2">
        <v>45876.455555555556</v>
      </c>
      <c r="I606" t="s">
        <v>29</v>
      </c>
      <c r="Z606">
        <v>103415</v>
      </c>
    </row>
    <row r="607" spans="1:26" x14ac:dyDescent="0.25">
      <c r="A607" t="s">
        <v>1243</v>
      </c>
      <c r="B607" t="s">
        <v>46</v>
      </c>
      <c r="C607" t="s">
        <v>27</v>
      </c>
      <c r="E607" t="s">
        <v>66</v>
      </c>
      <c r="G607" t="s">
        <v>1244</v>
      </c>
      <c r="H607" s="2">
        <v>45875.754166666666</v>
      </c>
      <c r="I607" t="s">
        <v>29</v>
      </c>
      <c r="Z607">
        <v>103397</v>
      </c>
    </row>
    <row r="608" spans="1:26" x14ac:dyDescent="0.25">
      <c r="A608" t="s">
        <v>92</v>
      </c>
      <c r="B608" t="s">
        <v>26</v>
      </c>
      <c r="C608" t="s">
        <v>27</v>
      </c>
      <c r="H608" s="2">
        <v>45874.602777777778</v>
      </c>
      <c r="I608" t="s">
        <v>29</v>
      </c>
      <c r="Z608">
        <v>103358</v>
      </c>
    </row>
    <row r="609" spans="1:26" x14ac:dyDescent="0.25">
      <c r="A609" t="s">
        <v>1245</v>
      </c>
      <c r="B609" t="s">
        <v>26</v>
      </c>
      <c r="C609" t="s">
        <v>27</v>
      </c>
      <c r="H609" s="2">
        <v>45874.574305555558</v>
      </c>
      <c r="I609" t="s">
        <v>40</v>
      </c>
      <c r="Z609">
        <v>103353</v>
      </c>
    </row>
    <row r="610" spans="1:26" x14ac:dyDescent="0.25">
      <c r="A610" t="s">
        <v>1246</v>
      </c>
      <c r="B610" t="s">
        <v>26</v>
      </c>
      <c r="C610" t="s">
        <v>27</v>
      </c>
      <c r="H610" s="2">
        <v>45873.718055555553</v>
      </c>
      <c r="I610" t="s">
        <v>29</v>
      </c>
      <c r="Z610">
        <v>103319</v>
      </c>
    </row>
    <row r="611" spans="1:26" x14ac:dyDescent="0.25">
      <c r="A611" t="s">
        <v>869</v>
      </c>
      <c r="B611" t="s">
        <v>26</v>
      </c>
      <c r="C611" t="s">
        <v>27</v>
      </c>
      <c r="H611" s="2">
        <v>45873.57916666667</v>
      </c>
      <c r="I611" t="s">
        <v>29</v>
      </c>
      <c r="Z611">
        <v>103310</v>
      </c>
    </row>
    <row r="612" spans="1:26" x14ac:dyDescent="0.25">
      <c r="A612" t="s">
        <v>1247</v>
      </c>
      <c r="B612" t="s">
        <v>26</v>
      </c>
      <c r="C612" t="s">
        <v>27</v>
      </c>
      <c r="H612" s="2">
        <v>45873.563194444447</v>
      </c>
      <c r="I612" t="s">
        <v>40</v>
      </c>
      <c r="Z612">
        <v>103308</v>
      </c>
    </row>
    <row r="613" spans="1:26" x14ac:dyDescent="0.25">
      <c r="A613" t="s">
        <v>1248</v>
      </c>
      <c r="B613" t="s">
        <v>46</v>
      </c>
      <c r="C613" t="s">
        <v>27</v>
      </c>
      <c r="E613" t="s">
        <v>169</v>
      </c>
      <c r="G613" t="s">
        <v>1249</v>
      </c>
      <c r="H613" s="2">
        <v>45872.844444444447</v>
      </c>
      <c r="I613" t="s">
        <v>95</v>
      </c>
      <c r="Z613">
        <v>103290</v>
      </c>
    </row>
    <row r="614" spans="1:26" x14ac:dyDescent="0.25">
      <c r="A614" t="s">
        <v>1250</v>
      </c>
      <c r="B614" t="s">
        <v>150</v>
      </c>
      <c r="C614" t="s">
        <v>27</v>
      </c>
      <c r="E614" t="s">
        <v>1251</v>
      </c>
      <c r="G614" t="s">
        <v>1252</v>
      </c>
      <c r="H614" s="2">
        <v>45872.831944444442</v>
      </c>
      <c r="I614" t="s">
        <v>95</v>
      </c>
      <c r="Z614">
        <v>103289</v>
      </c>
    </row>
    <row r="615" spans="1:26" x14ac:dyDescent="0.25">
      <c r="A615" t="s">
        <v>149</v>
      </c>
      <c r="B615" t="s">
        <v>26</v>
      </c>
      <c r="C615" t="s">
        <v>27</v>
      </c>
      <c r="H615" s="2">
        <v>45871.557638888888</v>
      </c>
      <c r="I615" t="s">
        <v>95</v>
      </c>
      <c r="Z615">
        <v>103255</v>
      </c>
    </row>
    <row r="616" spans="1:26" x14ac:dyDescent="0.25">
      <c r="A616" t="s">
        <v>1253</v>
      </c>
      <c r="B616" t="s">
        <v>26</v>
      </c>
      <c r="C616" t="s">
        <v>27</v>
      </c>
      <c r="H616" s="2">
        <v>45871.503472222219</v>
      </c>
      <c r="I616" t="s">
        <v>95</v>
      </c>
      <c r="Z616">
        <v>103252</v>
      </c>
    </row>
    <row r="617" spans="1:26" x14ac:dyDescent="0.25">
      <c r="A617" t="s">
        <v>1254</v>
      </c>
      <c r="B617" t="s">
        <v>26</v>
      </c>
      <c r="C617" t="s">
        <v>27</v>
      </c>
      <c r="H617" s="2">
        <v>45870.720138888886</v>
      </c>
      <c r="I617" t="s">
        <v>29</v>
      </c>
      <c r="Z617">
        <v>103236</v>
      </c>
    </row>
    <row r="618" spans="1:26" x14ac:dyDescent="0.25">
      <c r="A618" t="s">
        <v>92</v>
      </c>
      <c r="B618" t="s">
        <v>26</v>
      </c>
      <c r="C618" t="s">
        <v>27</v>
      </c>
      <c r="H618" s="2">
        <v>45870.59652777778</v>
      </c>
      <c r="I618" t="s">
        <v>29</v>
      </c>
      <c r="Z618">
        <v>103227</v>
      </c>
    </row>
    <row r="619" spans="1:26" x14ac:dyDescent="0.25">
      <c r="A619" t="s">
        <v>869</v>
      </c>
      <c r="B619" t="s">
        <v>26</v>
      </c>
      <c r="C619" t="s">
        <v>27</v>
      </c>
      <c r="H619" s="2">
        <v>45869.453472222223</v>
      </c>
      <c r="I619" t="s">
        <v>29</v>
      </c>
      <c r="Z619">
        <v>103188</v>
      </c>
    </row>
    <row r="620" spans="1:26" x14ac:dyDescent="0.25">
      <c r="A620" t="s">
        <v>1255</v>
      </c>
      <c r="B620" t="s">
        <v>26</v>
      </c>
      <c r="C620" t="s">
        <v>27</v>
      </c>
      <c r="H620" s="2">
        <v>45868.888888888891</v>
      </c>
      <c r="I620" t="s">
        <v>29</v>
      </c>
      <c r="Z620">
        <v>103183</v>
      </c>
    </row>
    <row r="621" spans="1:26" x14ac:dyDescent="0.25">
      <c r="A621" t="s">
        <v>1256</v>
      </c>
      <c r="B621" t="s">
        <v>26</v>
      </c>
      <c r="C621" t="s">
        <v>27</v>
      </c>
      <c r="H621" s="2">
        <v>45868.561805555553</v>
      </c>
      <c r="I621" t="s">
        <v>40</v>
      </c>
      <c r="Z621">
        <v>103161</v>
      </c>
    </row>
    <row r="622" spans="1:26" x14ac:dyDescent="0.25">
      <c r="A622" t="s">
        <v>1257</v>
      </c>
      <c r="B622" t="s">
        <v>26</v>
      </c>
      <c r="C622" t="s">
        <v>27</v>
      </c>
      <c r="H622" s="2">
        <v>45868.480555555558</v>
      </c>
      <c r="I622" t="s">
        <v>40</v>
      </c>
      <c r="Z622">
        <v>103157</v>
      </c>
    </row>
    <row r="623" spans="1:26" x14ac:dyDescent="0.25">
      <c r="A623" t="s">
        <v>1258</v>
      </c>
      <c r="B623" t="s">
        <v>26</v>
      </c>
      <c r="C623" t="s">
        <v>27</v>
      </c>
      <c r="H623" s="2">
        <v>45868.463194444441</v>
      </c>
      <c r="I623" t="s">
        <v>29</v>
      </c>
      <c r="Z623">
        <v>103154</v>
      </c>
    </row>
    <row r="624" spans="1:26" x14ac:dyDescent="0.25">
      <c r="A624" t="s">
        <v>1259</v>
      </c>
      <c r="B624" t="s">
        <v>26</v>
      </c>
      <c r="C624" t="s">
        <v>27</v>
      </c>
      <c r="H624" s="2">
        <v>45867.885416666664</v>
      </c>
      <c r="I624" t="s">
        <v>40</v>
      </c>
      <c r="Z624">
        <v>103141</v>
      </c>
    </row>
    <row r="625" spans="1:26" x14ac:dyDescent="0.25">
      <c r="A625" t="s">
        <v>1260</v>
      </c>
      <c r="B625" t="s">
        <v>26</v>
      </c>
      <c r="C625" t="s">
        <v>27</v>
      </c>
      <c r="H625" s="2">
        <v>45867.45416666667</v>
      </c>
      <c r="I625" t="s">
        <v>40</v>
      </c>
      <c r="Z625">
        <v>103115</v>
      </c>
    </row>
    <row r="626" spans="1:26" x14ac:dyDescent="0.25">
      <c r="A626" t="s">
        <v>1261</v>
      </c>
      <c r="B626" t="s">
        <v>26</v>
      </c>
      <c r="C626" t="s">
        <v>27</v>
      </c>
      <c r="H626" s="2">
        <v>45866.757638888892</v>
      </c>
      <c r="I626" t="s">
        <v>40</v>
      </c>
      <c r="Z626">
        <v>103096</v>
      </c>
    </row>
    <row r="627" spans="1:26" x14ac:dyDescent="0.25">
      <c r="A627" t="s">
        <v>1262</v>
      </c>
      <c r="B627" t="s">
        <v>26</v>
      </c>
      <c r="C627" t="s">
        <v>27</v>
      </c>
      <c r="H627" s="2">
        <v>45866.686111111114</v>
      </c>
      <c r="I627" t="s">
        <v>40</v>
      </c>
      <c r="Z627">
        <v>103092</v>
      </c>
    </row>
    <row r="628" spans="1:26" x14ac:dyDescent="0.25">
      <c r="A628" t="s">
        <v>1263</v>
      </c>
      <c r="B628" t="s">
        <v>26</v>
      </c>
      <c r="C628" t="s">
        <v>27</v>
      </c>
      <c r="H628" s="2">
        <v>45866.595833333333</v>
      </c>
      <c r="I628" t="s">
        <v>95</v>
      </c>
      <c r="Z628">
        <v>103083</v>
      </c>
    </row>
    <row r="629" spans="1:26" x14ac:dyDescent="0.25">
      <c r="A629" t="s">
        <v>1264</v>
      </c>
      <c r="B629" t="s">
        <v>26</v>
      </c>
      <c r="C629" t="s">
        <v>27</v>
      </c>
      <c r="H629" s="2">
        <v>45865.519444444442</v>
      </c>
      <c r="I629" t="s">
        <v>40</v>
      </c>
      <c r="Z629">
        <v>103044</v>
      </c>
    </row>
    <row r="630" spans="1:26" x14ac:dyDescent="0.25">
      <c r="A630" t="s">
        <v>1265</v>
      </c>
      <c r="B630" t="s">
        <v>150</v>
      </c>
      <c r="C630" t="s">
        <v>27</v>
      </c>
      <c r="E630" t="s">
        <v>1266</v>
      </c>
      <c r="H630" s="2">
        <v>45865.459027777775</v>
      </c>
      <c r="I630" t="s">
        <v>40</v>
      </c>
      <c r="K630" t="s">
        <v>30</v>
      </c>
      <c r="L630" t="s">
        <v>31</v>
      </c>
      <c r="M630" t="s">
        <v>91</v>
      </c>
      <c r="N630">
        <v>17138766948</v>
      </c>
      <c r="O630" t="s">
        <v>1267</v>
      </c>
      <c r="Z630">
        <v>103037</v>
      </c>
    </row>
    <row r="631" spans="1:26" x14ac:dyDescent="0.25">
      <c r="A631" t="s">
        <v>1268</v>
      </c>
      <c r="B631" t="s">
        <v>26</v>
      </c>
      <c r="C631" t="s">
        <v>27</v>
      </c>
      <c r="H631" s="2">
        <v>45863.62777777778</v>
      </c>
      <c r="I631" t="s">
        <v>95</v>
      </c>
      <c r="Z631">
        <v>103002</v>
      </c>
    </row>
    <row r="632" spans="1:26" x14ac:dyDescent="0.25">
      <c r="A632" t="s">
        <v>1269</v>
      </c>
      <c r="B632" t="s">
        <v>26</v>
      </c>
      <c r="C632" t="s">
        <v>27</v>
      </c>
      <c r="H632" s="2">
        <v>45862.5625</v>
      </c>
      <c r="I632" t="s">
        <v>40</v>
      </c>
      <c r="Z632">
        <v>102958</v>
      </c>
    </row>
    <row r="633" spans="1:26" x14ac:dyDescent="0.25">
      <c r="A633" t="s">
        <v>1270</v>
      </c>
      <c r="B633" t="s">
        <v>26</v>
      </c>
      <c r="C633" t="s">
        <v>27</v>
      </c>
      <c r="H633" s="2">
        <v>45861.657638888886</v>
      </c>
      <c r="I633" t="s">
        <v>29</v>
      </c>
      <c r="Z633">
        <v>102930</v>
      </c>
    </row>
    <row r="634" spans="1:26" x14ac:dyDescent="0.25">
      <c r="A634" t="s">
        <v>92</v>
      </c>
      <c r="B634" t="s">
        <v>150</v>
      </c>
      <c r="C634" t="s">
        <v>27</v>
      </c>
      <c r="E634" t="s">
        <v>68</v>
      </c>
      <c r="H634" s="2">
        <v>45861.606249999997</v>
      </c>
      <c r="I634" t="s">
        <v>50</v>
      </c>
      <c r="Z634">
        <v>102925</v>
      </c>
    </row>
    <row r="635" spans="1:26" x14ac:dyDescent="0.25">
      <c r="A635" t="s">
        <v>1271</v>
      </c>
      <c r="B635" t="s">
        <v>26</v>
      </c>
      <c r="C635" t="s">
        <v>27</v>
      </c>
      <c r="H635" s="2">
        <v>45861.587500000001</v>
      </c>
      <c r="I635" t="s">
        <v>40</v>
      </c>
      <c r="Z635">
        <v>102922</v>
      </c>
    </row>
    <row r="636" spans="1:26" x14ac:dyDescent="0.25">
      <c r="A636" t="s">
        <v>718</v>
      </c>
      <c r="B636" t="s">
        <v>26</v>
      </c>
      <c r="C636" t="s">
        <v>27</v>
      </c>
      <c r="H636" s="2">
        <v>45861.526388888888</v>
      </c>
      <c r="I636" t="s">
        <v>29</v>
      </c>
      <c r="Z636">
        <v>102917</v>
      </c>
    </row>
    <row r="637" spans="1:26" x14ac:dyDescent="0.25">
      <c r="A637" t="s">
        <v>1261</v>
      </c>
      <c r="B637" t="s">
        <v>26</v>
      </c>
      <c r="C637" t="s">
        <v>27</v>
      </c>
      <c r="H637" s="2">
        <v>45860.577777777777</v>
      </c>
      <c r="I637" t="s">
        <v>40</v>
      </c>
      <c r="Z637">
        <v>102884</v>
      </c>
    </row>
    <row r="638" spans="1:26" x14ac:dyDescent="0.25">
      <c r="A638" t="s">
        <v>1272</v>
      </c>
      <c r="B638" t="s">
        <v>26</v>
      </c>
      <c r="C638" t="s">
        <v>27</v>
      </c>
      <c r="H638" s="2">
        <v>45860.40347222222</v>
      </c>
      <c r="I638" t="s">
        <v>40</v>
      </c>
      <c r="Z638">
        <v>102867</v>
      </c>
    </row>
    <row r="639" spans="1:26" x14ac:dyDescent="0.25">
      <c r="A639" t="s">
        <v>1273</v>
      </c>
      <c r="B639" t="s">
        <v>26</v>
      </c>
      <c r="C639" t="s">
        <v>27</v>
      </c>
      <c r="H639" s="2">
        <v>45859.828472222223</v>
      </c>
      <c r="I639" t="s">
        <v>29</v>
      </c>
      <c r="Z639">
        <v>102860</v>
      </c>
    </row>
    <row r="640" spans="1:26" x14ac:dyDescent="0.25">
      <c r="A640" t="s">
        <v>1274</v>
      </c>
      <c r="B640" t="s">
        <v>26</v>
      </c>
      <c r="C640" t="s">
        <v>27</v>
      </c>
      <c r="H640" s="2">
        <v>45859.754861111112</v>
      </c>
      <c r="I640" t="s">
        <v>29</v>
      </c>
      <c r="Z640">
        <v>102853</v>
      </c>
    </row>
    <row r="641" spans="1:26" x14ac:dyDescent="0.25">
      <c r="A641" t="s">
        <v>1275</v>
      </c>
      <c r="B641" t="s">
        <v>26</v>
      </c>
      <c r="C641" t="s">
        <v>27</v>
      </c>
      <c r="H641" s="2">
        <v>45859.48541666667</v>
      </c>
      <c r="I641" t="s">
        <v>29</v>
      </c>
      <c r="Z641">
        <v>102831</v>
      </c>
    </row>
    <row r="642" spans="1:26" x14ac:dyDescent="0.25">
      <c r="A642" t="s">
        <v>92</v>
      </c>
      <c r="B642" t="s">
        <v>36</v>
      </c>
      <c r="C642" t="s">
        <v>27</v>
      </c>
      <c r="E642" t="s">
        <v>1276</v>
      </c>
      <c r="H642" s="2">
        <v>45859.454861111109</v>
      </c>
      <c r="I642" t="s">
        <v>29</v>
      </c>
      <c r="K642" t="s">
        <v>37</v>
      </c>
      <c r="Z642">
        <v>102828</v>
      </c>
    </row>
    <row r="643" spans="1:26" x14ac:dyDescent="0.25">
      <c r="A643" t="s">
        <v>1277</v>
      </c>
      <c r="B643" t="s">
        <v>26</v>
      </c>
      <c r="C643" t="s">
        <v>27</v>
      </c>
      <c r="H643" s="2">
        <v>45858.811805555553</v>
      </c>
      <c r="I643" t="s">
        <v>29</v>
      </c>
      <c r="Z643">
        <v>102820</v>
      </c>
    </row>
    <row r="644" spans="1:26" x14ac:dyDescent="0.25">
      <c r="A644" t="s">
        <v>1278</v>
      </c>
      <c r="B644" t="s">
        <v>26</v>
      </c>
      <c r="C644" t="s">
        <v>27</v>
      </c>
      <c r="H644" s="2">
        <v>45858.739583333336</v>
      </c>
      <c r="I644" t="s">
        <v>29</v>
      </c>
      <c r="Z644">
        <v>102816</v>
      </c>
    </row>
    <row r="645" spans="1:26" x14ac:dyDescent="0.25">
      <c r="A645" t="s">
        <v>1279</v>
      </c>
      <c r="B645" t="s">
        <v>26</v>
      </c>
      <c r="C645" t="s">
        <v>27</v>
      </c>
      <c r="H645" s="2">
        <v>45858.686805555553</v>
      </c>
      <c r="I645" t="s">
        <v>29</v>
      </c>
      <c r="Z645">
        <v>102809</v>
      </c>
    </row>
    <row r="646" spans="1:26" x14ac:dyDescent="0.25">
      <c r="A646" t="s">
        <v>1280</v>
      </c>
      <c r="B646" t="s">
        <v>26</v>
      </c>
      <c r="C646" t="s">
        <v>27</v>
      </c>
      <c r="H646" s="2">
        <v>45858.494444444441</v>
      </c>
      <c r="I646" t="s">
        <v>29</v>
      </c>
      <c r="Z646">
        <v>102804</v>
      </c>
    </row>
    <row r="647" spans="1:26" x14ac:dyDescent="0.25">
      <c r="A647" t="s">
        <v>1281</v>
      </c>
      <c r="B647" t="s">
        <v>150</v>
      </c>
      <c r="C647" t="s">
        <v>27</v>
      </c>
      <c r="E647" t="s">
        <v>188</v>
      </c>
      <c r="H647" s="2">
        <v>45858.454861111109</v>
      </c>
      <c r="I647" t="s">
        <v>29</v>
      </c>
      <c r="Z647">
        <v>102802</v>
      </c>
    </row>
    <row r="648" spans="1:26" x14ac:dyDescent="0.25">
      <c r="A648" t="s">
        <v>1282</v>
      </c>
      <c r="B648" t="s">
        <v>36</v>
      </c>
      <c r="C648" t="s">
        <v>27</v>
      </c>
      <c r="E648" t="s">
        <v>45</v>
      </c>
      <c r="H648" s="2">
        <v>45857.793749999997</v>
      </c>
      <c r="I648" t="s">
        <v>40</v>
      </c>
      <c r="K648" t="s">
        <v>37</v>
      </c>
      <c r="Z648">
        <v>102792</v>
      </c>
    </row>
    <row r="649" spans="1:26" x14ac:dyDescent="0.25">
      <c r="A649" t="s">
        <v>1283</v>
      </c>
      <c r="B649" t="s">
        <v>26</v>
      </c>
      <c r="C649" t="s">
        <v>27</v>
      </c>
      <c r="H649" s="2">
        <v>45857.541666666664</v>
      </c>
      <c r="I649" t="s">
        <v>95</v>
      </c>
      <c r="Z649">
        <v>102778</v>
      </c>
    </row>
    <row r="650" spans="1:26" x14ac:dyDescent="0.25">
      <c r="A650" t="s">
        <v>1284</v>
      </c>
      <c r="B650" t="s">
        <v>26</v>
      </c>
      <c r="C650" t="s">
        <v>27</v>
      </c>
      <c r="H650" s="2">
        <v>45857.48541666667</v>
      </c>
      <c r="I650" t="s">
        <v>40</v>
      </c>
      <c r="Z650">
        <v>102774</v>
      </c>
    </row>
    <row r="651" spans="1:26" x14ac:dyDescent="0.25">
      <c r="A651" t="s">
        <v>1285</v>
      </c>
      <c r="B651" t="s">
        <v>26</v>
      </c>
      <c r="C651" t="s">
        <v>27</v>
      </c>
      <c r="H651" s="2">
        <v>45857.48333333333</v>
      </c>
      <c r="I651" t="s">
        <v>40</v>
      </c>
      <c r="Z651">
        <v>102773</v>
      </c>
    </row>
    <row r="652" spans="1:26" x14ac:dyDescent="0.25">
      <c r="A652" t="s">
        <v>92</v>
      </c>
      <c r="B652" t="s">
        <v>26</v>
      </c>
      <c r="C652" t="s">
        <v>27</v>
      </c>
      <c r="H652" s="2">
        <v>45856.734027777777</v>
      </c>
      <c r="I652" t="s">
        <v>29</v>
      </c>
      <c r="Z652">
        <v>102756</v>
      </c>
    </row>
    <row r="653" spans="1:26" x14ac:dyDescent="0.25">
      <c r="A653" t="s">
        <v>1286</v>
      </c>
      <c r="B653" t="s">
        <v>26</v>
      </c>
      <c r="C653" t="s">
        <v>27</v>
      </c>
      <c r="H653" s="2">
        <v>45856.548611111109</v>
      </c>
      <c r="I653" t="s">
        <v>40</v>
      </c>
      <c r="Z653">
        <v>102738</v>
      </c>
    </row>
    <row r="654" spans="1:26" x14ac:dyDescent="0.25">
      <c r="A654" t="s">
        <v>1287</v>
      </c>
      <c r="B654" t="s">
        <v>26</v>
      </c>
      <c r="C654" t="s">
        <v>27</v>
      </c>
      <c r="H654" s="2">
        <v>45856.498611111114</v>
      </c>
      <c r="I654" t="s">
        <v>40</v>
      </c>
      <c r="Z654">
        <v>102733</v>
      </c>
    </row>
    <row r="655" spans="1:26" x14ac:dyDescent="0.25">
      <c r="A655" t="s">
        <v>1288</v>
      </c>
      <c r="B655" t="s">
        <v>26</v>
      </c>
      <c r="C655" t="s">
        <v>27</v>
      </c>
      <c r="H655" s="2">
        <v>45856.443055555559</v>
      </c>
      <c r="I655" t="s">
        <v>40</v>
      </c>
      <c r="Z655">
        <v>102727</v>
      </c>
    </row>
    <row r="656" spans="1:26" x14ac:dyDescent="0.25">
      <c r="A656" t="s">
        <v>92</v>
      </c>
      <c r="B656" t="s">
        <v>26</v>
      </c>
      <c r="C656" t="s">
        <v>27</v>
      </c>
      <c r="H656" s="2">
        <v>45856.378472222219</v>
      </c>
      <c r="I656" t="s">
        <v>29</v>
      </c>
      <c r="Z656">
        <v>102723</v>
      </c>
    </row>
    <row r="657" spans="1:26" x14ac:dyDescent="0.25">
      <c r="A657" t="s">
        <v>92</v>
      </c>
      <c r="B657" t="s">
        <v>150</v>
      </c>
      <c r="C657" t="s">
        <v>27</v>
      </c>
      <c r="E657" t="s">
        <v>1289</v>
      </c>
      <c r="H657" s="2">
        <v>45855.852083333331</v>
      </c>
      <c r="I657" t="s">
        <v>29</v>
      </c>
      <c r="Z657">
        <v>102719</v>
      </c>
    </row>
    <row r="658" spans="1:26" x14ac:dyDescent="0.25">
      <c r="A658" t="s">
        <v>92</v>
      </c>
      <c r="B658" t="s">
        <v>26</v>
      </c>
      <c r="C658" t="s">
        <v>27</v>
      </c>
      <c r="H658" s="2">
        <v>45855.821527777778</v>
      </c>
      <c r="I658" t="s">
        <v>29</v>
      </c>
      <c r="Z658">
        <v>102717</v>
      </c>
    </row>
    <row r="659" spans="1:26" x14ac:dyDescent="0.25">
      <c r="A659" t="s">
        <v>869</v>
      </c>
      <c r="B659" t="s">
        <v>26</v>
      </c>
      <c r="C659" t="s">
        <v>27</v>
      </c>
      <c r="H659" s="2">
        <v>45855.788194444445</v>
      </c>
      <c r="I659" t="s">
        <v>29</v>
      </c>
      <c r="Z659">
        <v>102714</v>
      </c>
    </row>
    <row r="660" spans="1:26" x14ac:dyDescent="0.25">
      <c r="A660" t="s">
        <v>1290</v>
      </c>
      <c r="B660" t="s">
        <v>26</v>
      </c>
      <c r="C660" t="s">
        <v>27</v>
      </c>
      <c r="H660" s="2">
        <v>45855.723611111112</v>
      </c>
      <c r="I660" t="s">
        <v>29</v>
      </c>
      <c r="Z660">
        <v>102708</v>
      </c>
    </row>
    <row r="661" spans="1:26" x14ac:dyDescent="0.25">
      <c r="A661" t="s">
        <v>102</v>
      </c>
      <c r="B661" t="s">
        <v>77</v>
      </c>
      <c r="C661" t="s">
        <v>27</v>
      </c>
      <c r="E661" t="s">
        <v>266</v>
      </c>
      <c r="H661" s="2">
        <v>45855.585416666669</v>
      </c>
      <c r="I661" t="s">
        <v>153</v>
      </c>
      <c r="Z661">
        <v>102697</v>
      </c>
    </row>
    <row r="662" spans="1:26" x14ac:dyDescent="0.25">
      <c r="A662" t="s">
        <v>1291</v>
      </c>
      <c r="B662" t="s">
        <v>77</v>
      </c>
      <c r="C662" t="s">
        <v>27</v>
      </c>
      <c r="E662" t="s">
        <v>72</v>
      </c>
      <c r="H662" s="2">
        <v>45855.565972222219</v>
      </c>
      <c r="I662" t="s">
        <v>29</v>
      </c>
      <c r="Z662">
        <v>102696</v>
      </c>
    </row>
    <row r="663" spans="1:26" x14ac:dyDescent="0.25">
      <c r="A663" t="s">
        <v>1292</v>
      </c>
      <c r="B663" t="s">
        <v>26</v>
      </c>
      <c r="C663" t="s">
        <v>27</v>
      </c>
      <c r="H663" s="2">
        <v>45855.504166666666</v>
      </c>
      <c r="I663" t="s">
        <v>29</v>
      </c>
      <c r="Z663">
        <v>102689</v>
      </c>
    </row>
    <row r="664" spans="1:26" x14ac:dyDescent="0.25">
      <c r="A664" t="s">
        <v>1293</v>
      </c>
      <c r="B664" t="s">
        <v>26</v>
      </c>
      <c r="C664" t="s">
        <v>27</v>
      </c>
      <c r="H664" s="2">
        <v>45855.5</v>
      </c>
      <c r="I664" t="s">
        <v>29</v>
      </c>
      <c r="Z664">
        <v>102688</v>
      </c>
    </row>
    <row r="665" spans="1:26" x14ac:dyDescent="0.25">
      <c r="A665" t="s">
        <v>92</v>
      </c>
      <c r="B665" t="s">
        <v>26</v>
      </c>
      <c r="C665" t="s">
        <v>27</v>
      </c>
      <c r="H665" s="2">
        <v>45855.375694444447</v>
      </c>
      <c r="I665" t="s">
        <v>29</v>
      </c>
      <c r="Z665">
        <v>102681</v>
      </c>
    </row>
    <row r="666" spans="1:26" x14ac:dyDescent="0.25">
      <c r="A666" t="s">
        <v>1294</v>
      </c>
      <c r="B666" t="s">
        <v>26</v>
      </c>
      <c r="C666" t="s">
        <v>27</v>
      </c>
      <c r="H666" s="2">
        <v>45854.568055555559</v>
      </c>
      <c r="I666" t="s">
        <v>29</v>
      </c>
      <c r="Z666">
        <v>102661</v>
      </c>
    </row>
    <row r="667" spans="1:26" x14ac:dyDescent="0.25">
      <c r="A667" t="s">
        <v>1295</v>
      </c>
      <c r="B667" t="s">
        <v>150</v>
      </c>
      <c r="C667" t="s">
        <v>27</v>
      </c>
      <c r="E667" t="s">
        <v>98</v>
      </c>
      <c r="H667" s="2">
        <v>45853.637499999997</v>
      </c>
      <c r="I667" t="s">
        <v>40</v>
      </c>
      <c r="Z667">
        <v>102631</v>
      </c>
    </row>
    <row r="668" spans="1:26" x14ac:dyDescent="0.25">
      <c r="A668" t="s">
        <v>1296</v>
      </c>
      <c r="B668" t="s">
        <v>26</v>
      </c>
      <c r="C668" t="s">
        <v>27</v>
      </c>
      <c r="H668" s="2">
        <v>45853.468055555553</v>
      </c>
      <c r="I668" t="s">
        <v>40</v>
      </c>
      <c r="Z668">
        <v>102619</v>
      </c>
    </row>
    <row r="669" spans="1:26" x14ac:dyDescent="0.25">
      <c r="A669" t="s">
        <v>92</v>
      </c>
      <c r="B669" t="s">
        <v>26</v>
      </c>
      <c r="C669" t="s">
        <v>27</v>
      </c>
      <c r="H669" s="2">
        <v>45852.569444444445</v>
      </c>
      <c r="I669" t="s">
        <v>29</v>
      </c>
      <c r="Z669">
        <v>102588</v>
      </c>
    </row>
    <row r="670" spans="1:26" x14ac:dyDescent="0.25">
      <c r="A670" t="s">
        <v>1076</v>
      </c>
      <c r="B670" t="s">
        <v>150</v>
      </c>
      <c r="C670" t="s">
        <v>27</v>
      </c>
      <c r="E670" t="s">
        <v>191</v>
      </c>
      <c r="G670" t="s">
        <v>1297</v>
      </c>
      <c r="H670" s="2">
        <v>45851.565972222219</v>
      </c>
      <c r="I670" t="s">
        <v>29</v>
      </c>
      <c r="Z670">
        <v>102537</v>
      </c>
    </row>
    <row r="671" spans="1:26" x14ac:dyDescent="0.25">
      <c r="A671" t="s">
        <v>92</v>
      </c>
      <c r="B671" t="s">
        <v>26</v>
      </c>
      <c r="C671" t="s">
        <v>27</v>
      </c>
      <c r="H671" s="2">
        <v>45851.56527777778</v>
      </c>
      <c r="I671" t="s">
        <v>29</v>
      </c>
      <c r="Z671">
        <v>102536</v>
      </c>
    </row>
    <row r="672" spans="1:26" x14ac:dyDescent="0.25">
      <c r="A672" t="s">
        <v>869</v>
      </c>
      <c r="B672" t="s">
        <v>26</v>
      </c>
      <c r="C672" t="s">
        <v>27</v>
      </c>
      <c r="H672" s="2">
        <v>45850.805555555555</v>
      </c>
      <c r="I672" t="s">
        <v>29</v>
      </c>
      <c r="Z672">
        <v>102527</v>
      </c>
    </row>
    <row r="673" spans="1:26" x14ac:dyDescent="0.25">
      <c r="A673" t="s">
        <v>1298</v>
      </c>
      <c r="B673" t="s">
        <v>26</v>
      </c>
      <c r="C673" t="s">
        <v>27</v>
      </c>
      <c r="H673" s="2">
        <v>45848.477083333331</v>
      </c>
      <c r="I673" t="s">
        <v>40</v>
      </c>
      <c r="Z673">
        <v>102439</v>
      </c>
    </row>
    <row r="674" spans="1:26" x14ac:dyDescent="0.25">
      <c r="A674" t="s">
        <v>1299</v>
      </c>
      <c r="B674" t="s">
        <v>26</v>
      </c>
      <c r="C674" t="s">
        <v>27</v>
      </c>
      <c r="H674" s="2">
        <v>45848.388194444444</v>
      </c>
      <c r="I674" t="s">
        <v>40</v>
      </c>
      <c r="Z674">
        <v>102432</v>
      </c>
    </row>
    <row r="675" spans="1:26" x14ac:dyDescent="0.25">
      <c r="A675" t="s">
        <v>1300</v>
      </c>
      <c r="B675" t="s">
        <v>26</v>
      </c>
      <c r="C675" t="s">
        <v>27</v>
      </c>
      <c r="H675" s="2">
        <v>45848.379861111112</v>
      </c>
      <c r="I675" t="s">
        <v>40</v>
      </c>
      <c r="Z675">
        <v>102429</v>
      </c>
    </row>
    <row r="676" spans="1:26" x14ac:dyDescent="0.25">
      <c r="A676" t="s">
        <v>1301</v>
      </c>
      <c r="B676" t="s">
        <v>26</v>
      </c>
      <c r="C676" t="s">
        <v>27</v>
      </c>
      <c r="H676" s="2">
        <v>45847.426388888889</v>
      </c>
      <c r="I676" t="s">
        <v>29</v>
      </c>
      <c r="Z676">
        <v>102385</v>
      </c>
    </row>
    <row r="677" spans="1:26" x14ac:dyDescent="0.25">
      <c r="A677" t="s">
        <v>92</v>
      </c>
      <c r="B677" t="s">
        <v>26</v>
      </c>
      <c r="C677" t="s">
        <v>27</v>
      </c>
      <c r="H677" s="2">
        <v>45845.718055555553</v>
      </c>
      <c r="I677" t="s">
        <v>29</v>
      </c>
      <c r="Z677">
        <v>102324</v>
      </c>
    </row>
    <row r="678" spans="1:26" x14ac:dyDescent="0.25">
      <c r="A678" t="s">
        <v>92</v>
      </c>
      <c r="B678" t="s">
        <v>26</v>
      </c>
      <c r="C678" t="s">
        <v>27</v>
      </c>
      <c r="H678" s="2">
        <v>45844.628472222219</v>
      </c>
      <c r="I678" t="s">
        <v>29</v>
      </c>
      <c r="Z678">
        <v>102263</v>
      </c>
    </row>
    <row r="679" spans="1:26" x14ac:dyDescent="0.25">
      <c r="A679" t="s">
        <v>1302</v>
      </c>
      <c r="B679" t="s">
        <v>26</v>
      </c>
      <c r="C679" t="s">
        <v>27</v>
      </c>
      <c r="H679" s="2">
        <v>45843.54791666667</v>
      </c>
      <c r="I679" t="s">
        <v>153</v>
      </c>
      <c r="Z679">
        <v>102223</v>
      </c>
    </row>
    <row r="680" spans="1:26" x14ac:dyDescent="0.25">
      <c r="A680" t="s">
        <v>1303</v>
      </c>
      <c r="B680" t="s">
        <v>150</v>
      </c>
      <c r="C680" t="s">
        <v>27</v>
      </c>
      <c r="E680" t="s">
        <v>1304</v>
      </c>
      <c r="H680" s="2">
        <v>45841.969444444447</v>
      </c>
      <c r="I680" t="s">
        <v>40</v>
      </c>
      <c r="Z680">
        <v>102170</v>
      </c>
    </row>
    <row r="681" spans="1:26" x14ac:dyDescent="0.25">
      <c r="A681" t="s">
        <v>92</v>
      </c>
      <c r="B681" t="s">
        <v>26</v>
      </c>
      <c r="C681" t="s">
        <v>27</v>
      </c>
      <c r="H681" s="2">
        <v>45840.397916666669</v>
      </c>
      <c r="I681" t="s">
        <v>29</v>
      </c>
      <c r="Z681">
        <v>102099</v>
      </c>
    </row>
    <row r="682" spans="1:26" x14ac:dyDescent="0.25">
      <c r="A682" t="s">
        <v>1305</v>
      </c>
      <c r="B682" t="s">
        <v>26</v>
      </c>
      <c r="C682" t="s">
        <v>27</v>
      </c>
      <c r="H682" s="2">
        <v>45840.393750000003</v>
      </c>
      <c r="I682" t="s">
        <v>29</v>
      </c>
      <c r="Z682">
        <v>102098</v>
      </c>
    </row>
    <row r="683" spans="1:26" x14ac:dyDescent="0.25">
      <c r="A683" t="s">
        <v>1306</v>
      </c>
      <c r="B683" t="s">
        <v>26</v>
      </c>
      <c r="C683" t="s">
        <v>27</v>
      </c>
      <c r="H683" s="2">
        <v>45839.591666666667</v>
      </c>
      <c r="I683" t="s">
        <v>29</v>
      </c>
      <c r="Z683">
        <v>102078</v>
      </c>
    </row>
    <row r="684" spans="1:26" x14ac:dyDescent="0.25">
      <c r="A684" t="s">
        <v>92</v>
      </c>
      <c r="B684" t="s">
        <v>26</v>
      </c>
      <c r="C684" t="s">
        <v>27</v>
      </c>
      <c r="H684" s="2">
        <v>45839.451388888891</v>
      </c>
      <c r="I684" t="s">
        <v>29</v>
      </c>
      <c r="Z684">
        <v>102067</v>
      </c>
    </row>
    <row r="685" spans="1:26" x14ac:dyDescent="0.25">
      <c r="A685" t="s">
        <v>1307</v>
      </c>
      <c r="B685" t="s">
        <v>150</v>
      </c>
      <c r="C685" t="s">
        <v>27</v>
      </c>
      <c r="E685" t="s">
        <v>1308</v>
      </c>
      <c r="G685" t="s">
        <v>1309</v>
      </c>
      <c r="H685" s="2">
        <v>45838.418055555558</v>
      </c>
      <c r="I685" t="s">
        <v>29</v>
      </c>
      <c r="K685" t="s">
        <v>30</v>
      </c>
      <c r="L685" t="s">
        <v>31</v>
      </c>
      <c r="M685" t="s">
        <v>1028</v>
      </c>
      <c r="N685">
        <v>17103708806</v>
      </c>
      <c r="Z685">
        <v>102030</v>
      </c>
    </row>
    <row r="686" spans="1:26" x14ac:dyDescent="0.25">
      <c r="A686" t="s">
        <v>92</v>
      </c>
      <c r="B686" t="s">
        <v>26</v>
      </c>
      <c r="C686" t="s">
        <v>27</v>
      </c>
      <c r="H686" s="2">
        <v>45838.345138888886</v>
      </c>
      <c r="I686" t="s">
        <v>29</v>
      </c>
      <c r="Z686">
        <v>102028</v>
      </c>
    </row>
    <row r="687" spans="1:26" x14ac:dyDescent="0.25">
      <c r="A687" t="s">
        <v>1310</v>
      </c>
      <c r="B687" t="s">
        <v>26</v>
      </c>
      <c r="C687" t="s">
        <v>27</v>
      </c>
      <c r="H687" s="2">
        <v>45837.709027777775</v>
      </c>
      <c r="I687" t="s">
        <v>40</v>
      </c>
      <c r="Z687">
        <v>102016</v>
      </c>
    </row>
    <row r="688" spans="1:26" x14ac:dyDescent="0.25">
      <c r="A688" t="s">
        <v>1311</v>
      </c>
      <c r="B688" t="s">
        <v>150</v>
      </c>
      <c r="C688" t="s">
        <v>27</v>
      </c>
      <c r="E688" t="s">
        <v>1312</v>
      </c>
      <c r="G688" t="s">
        <v>1313</v>
      </c>
      <c r="H688" s="2">
        <v>45837.602777777778</v>
      </c>
      <c r="I688" t="s">
        <v>40</v>
      </c>
      <c r="Z688">
        <v>102012</v>
      </c>
    </row>
    <row r="689" spans="1:26" x14ac:dyDescent="0.25">
      <c r="A689" t="s">
        <v>1314</v>
      </c>
      <c r="B689" t="s">
        <v>26</v>
      </c>
      <c r="C689" t="s">
        <v>27</v>
      </c>
      <c r="H689" s="2">
        <v>45837.396527777775</v>
      </c>
      <c r="I689" t="s">
        <v>153</v>
      </c>
      <c r="Z689">
        <v>102001</v>
      </c>
    </row>
    <row r="690" spans="1:26" x14ac:dyDescent="0.25">
      <c r="A690" t="s">
        <v>92</v>
      </c>
      <c r="B690" t="s">
        <v>46</v>
      </c>
      <c r="C690" t="s">
        <v>27</v>
      </c>
      <c r="E690" t="s">
        <v>66</v>
      </c>
      <c r="G690" t="s">
        <v>1315</v>
      </c>
      <c r="H690" s="2">
        <v>45836.839583333334</v>
      </c>
      <c r="I690" t="s">
        <v>29</v>
      </c>
      <c r="Z690">
        <v>101995</v>
      </c>
    </row>
    <row r="691" spans="1:26" x14ac:dyDescent="0.25">
      <c r="A691" t="s">
        <v>92</v>
      </c>
      <c r="B691" t="s">
        <v>26</v>
      </c>
      <c r="C691" t="s">
        <v>27</v>
      </c>
      <c r="H691" s="2">
        <v>45836.488888888889</v>
      </c>
      <c r="I691" t="s">
        <v>29</v>
      </c>
      <c r="Z691">
        <v>101976</v>
      </c>
    </row>
    <row r="692" spans="1:26" x14ac:dyDescent="0.25">
      <c r="A692" t="s">
        <v>1316</v>
      </c>
      <c r="B692" t="s">
        <v>26</v>
      </c>
      <c r="C692" t="s">
        <v>27</v>
      </c>
      <c r="H692" s="2">
        <v>45835.621527777781</v>
      </c>
      <c r="I692" t="s">
        <v>153</v>
      </c>
      <c r="Z692">
        <v>101954</v>
      </c>
    </row>
    <row r="693" spans="1:26" x14ac:dyDescent="0.25">
      <c r="A693" t="s">
        <v>1317</v>
      </c>
      <c r="B693" t="s">
        <v>26</v>
      </c>
      <c r="C693" t="s">
        <v>27</v>
      </c>
      <c r="H693" s="2">
        <v>45835.595138888886</v>
      </c>
      <c r="I693" t="s">
        <v>153</v>
      </c>
      <c r="Z693">
        <v>101950</v>
      </c>
    </row>
    <row r="694" spans="1:26" x14ac:dyDescent="0.25">
      <c r="A694" t="s">
        <v>1318</v>
      </c>
      <c r="B694" t="s">
        <v>26</v>
      </c>
      <c r="C694" t="s">
        <v>27</v>
      </c>
      <c r="H694" s="2">
        <v>45835.550694444442</v>
      </c>
      <c r="I694" t="s">
        <v>153</v>
      </c>
      <c r="Z694">
        <v>101948</v>
      </c>
    </row>
    <row r="695" spans="1:26" x14ac:dyDescent="0.25">
      <c r="A695" t="s">
        <v>1319</v>
      </c>
      <c r="B695" t="s">
        <v>26</v>
      </c>
      <c r="C695" t="s">
        <v>27</v>
      </c>
      <c r="H695" s="2">
        <v>45835.476388888892</v>
      </c>
      <c r="I695" t="s">
        <v>95</v>
      </c>
      <c r="Z695">
        <v>101941</v>
      </c>
    </row>
    <row r="696" spans="1:26" x14ac:dyDescent="0.25">
      <c r="A696" t="s">
        <v>1320</v>
      </c>
      <c r="B696" t="s">
        <v>26</v>
      </c>
      <c r="C696" t="s">
        <v>27</v>
      </c>
      <c r="H696" s="2">
        <v>45834.407638888886</v>
      </c>
      <c r="I696" t="s">
        <v>29</v>
      </c>
      <c r="Z696">
        <v>101922</v>
      </c>
    </row>
    <row r="697" spans="1:26" x14ac:dyDescent="0.25">
      <c r="A697" t="s">
        <v>1321</v>
      </c>
      <c r="B697" t="s">
        <v>26</v>
      </c>
      <c r="C697" t="s">
        <v>27</v>
      </c>
      <c r="H697" s="2">
        <v>45833.435416666667</v>
      </c>
      <c r="I697" t="s">
        <v>95</v>
      </c>
      <c r="Z697">
        <v>101891</v>
      </c>
    </row>
    <row r="698" spans="1:26" x14ac:dyDescent="0.25">
      <c r="A698" t="s">
        <v>1322</v>
      </c>
      <c r="B698" t="s">
        <v>26</v>
      </c>
      <c r="C698" t="s">
        <v>27</v>
      </c>
      <c r="H698" s="2">
        <v>45833.433333333334</v>
      </c>
      <c r="I698" t="s">
        <v>29</v>
      </c>
      <c r="Z698">
        <v>101890</v>
      </c>
    </row>
    <row r="699" spans="1:26" x14ac:dyDescent="0.25">
      <c r="A699" t="s">
        <v>92</v>
      </c>
      <c r="B699" t="s">
        <v>26</v>
      </c>
      <c r="C699" t="s">
        <v>27</v>
      </c>
      <c r="H699" s="2">
        <v>45832.852777777778</v>
      </c>
      <c r="I699" t="s">
        <v>29</v>
      </c>
      <c r="Z699">
        <v>101884</v>
      </c>
    </row>
    <row r="700" spans="1:26" x14ac:dyDescent="0.25">
      <c r="A700" t="s">
        <v>1323</v>
      </c>
      <c r="B700" t="s">
        <v>26</v>
      </c>
      <c r="C700" t="s">
        <v>27</v>
      </c>
      <c r="H700" s="2">
        <v>45832.517361111109</v>
      </c>
      <c r="I700" t="s">
        <v>153</v>
      </c>
      <c r="Z700">
        <v>101862</v>
      </c>
    </row>
    <row r="701" spans="1:26" x14ac:dyDescent="0.25">
      <c r="A701" t="s">
        <v>869</v>
      </c>
      <c r="B701" t="s">
        <v>26</v>
      </c>
      <c r="C701" t="s">
        <v>27</v>
      </c>
      <c r="H701" s="2">
        <v>45832.457638888889</v>
      </c>
      <c r="I701" t="s">
        <v>29</v>
      </c>
      <c r="Z701">
        <v>101855</v>
      </c>
    </row>
    <row r="702" spans="1:26" x14ac:dyDescent="0.25">
      <c r="A702" t="s">
        <v>1324</v>
      </c>
      <c r="B702" t="s">
        <v>26</v>
      </c>
      <c r="C702" t="s">
        <v>27</v>
      </c>
      <c r="H702" s="2">
        <v>45831.731249999997</v>
      </c>
      <c r="I702" t="s">
        <v>153</v>
      </c>
      <c r="Z702">
        <v>101830</v>
      </c>
    </row>
    <row r="703" spans="1:26" x14ac:dyDescent="0.25">
      <c r="A703" t="s">
        <v>1325</v>
      </c>
      <c r="B703" t="s">
        <v>26</v>
      </c>
      <c r="C703" t="s">
        <v>27</v>
      </c>
      <c r="H703" s="2">
        <v>45831.673611111109</v>
      </c>
      <c r="I703" t="s">
        <v>29</v>
      </c>
      <c r="Z703">
        <v>101827</v>
      </c>
    </row>
    <row r="704" spans="1:26" x14ac:dyDescent="0.25">
      <c r="A704" t="s">
        <v>1326</v>
      </c>
      <c r="B704" t="s">
        <v>26</v>
      </c>
      <c r="C704" t="s">
        <v>27</v>
      </c>
      <c r="H704" s="2">
        <v>45831.508333333331</v>
      </c>
      <c r="I704" t="s">
        <v>29</v>
      </c>
      <c r="Z704">
        <v>101809</v>
      </c>
    </row>
    <row r="705" spans="1:26" x14ac:dyDescent="0.25">
      <c r="A705" t="s">
        <v>92</v>
      </c>
      <c r="B705" t="s">
        <v>26</v>
      </c>
      <c r="C705" t="s">
        <v>27</v>
      </c>
      <c r="H705" s="2">
        <v>45831.40902777778</v>
      </c>
      <c r="I705" t="s">
        <v>29</v>
      </c>
      <c r="Z705">
        <v>101793</v>
      </c>
    </row>
    <row r="706" spans="1:26" x14ac:dyDescent="0.25">
      <c r="A706" t="s">
        <v>1327</v>
      </c>
      <c r="B706" t="s">
        <v>26</v>
      </c>
      <c r="C706" t="s">
        <v>27</v>
      </c>
      <c r="H706" s="2">
        <v>45831.402083333334</v>
      </c>
      <c r="I706" t="s">
        <v>29</v>
      </c>
      <c r="Z706">
        <v>101791</v>
      </c>
    </row>
    <row r="707" spans="1:26" x14ac:dyDescent="0.25">
      <c r="A707" t="s">
        <v>1328</v>
      </c>
      <c r="B707" t="s">
        <v>26</v>
      </c>
      <c r="C707" t="s">
        <v>27</v>
      </c>
      <c r="H707" s="2">
        <v>45830.395833333336</v>
      </c>
      <c r="I707" t="s">
        <v>95</v>
      </c>
      <c r="Z707">
        <v>101764</v>
      </c>
    </row>
    <row r="708" spans="1:26" x14ac:dyDescent="0.25">
      <c r="A708" t="s">
        <v>1329</v>
      </c>
      <c r="B708" t="s">
        <v>26</v>
      </c>
      <c r="C708" t="s">
        <v>27</v>
      </c>
      <c r="H708" s="2">
        <v>45829.797222222223</v>
      </c>
      <c r="I708" t="s">
        <v>95</v>
      </c>
      <c r="Z708">
        <v>101761</v>
      </c>
    </row>
    <row r="709" spans="1:26" x14ac:dyDescent="0.25">
      <c r="A709" t="s">
        <v>1330</v>
      </c>
      <c r="B709" t="s">
        <v>26</v>
      </c>
      <c r="C709" t="s">
        <v>27</v>
      </c>
      <c r="H709" s="2">
        <v>45828.727083333331</v>
      </c>
      <c r="I709" t="s">
        <v>29</v>
      </c>
      <c r="Z709">
        <v>101736</v>
      </c>
    </row>
    <row r="710" spans="1:26" x14ac:dyDescent="0.25">
      <c r="A710" t="s">
        <v>1331</v>
      </c>
      <c r="B710" t="s">
        <v>26</v>
      </c>
      <c r="C710" t="s">
        <v>27</v>
      </c>
      <c r="H710" s="2">
        <v>45828.699305555558</v>
      </c>
      <c r="I710" t="s">
        <v>95</v>
      </c>
      <c r="Z710">
        <v>101733</v>
      </c>
    </row>
    <row r="711" spans="1:26" x14ac:dyDescent="0.25">
      <c r="A711" t="s">
        <v>1332</v>
      </c>
      <c r="B711" t="s">
        <v>26</v>
      </c>
      <c r="C711" t="s">
        <v>27</v>
      </c>
      <c r="H711" s="2">
        <v>45828.381249999999</v>
      </c>
      <c r="I711" t="s">
        <v>95</v>
      </c>
      <c r="Z711">
        <v>101705</v>
      </c>
    </row>
    <row r="712" spans="1:26" x14ac:dyDescent="0.25">
      <c r="A712" t="s">
        <v>1333</v>
      </c>
      <c r="B712" t="s">
        <v>46</v>
      </c>
      <c r="C712" t="s">
        <v>27</v>
      </c>
      <c r="E712" t="s">
        <v>141</v>
      </c>
      <c r="G712" t="s">
        <v>1334</v>
      </c>
      <c r="H712" s="2">
        <v>45827.811805555553</v>
      </c>
      <c r="I712" t="s">
        <v>95</v>
      </c>
      <c r="Z712">
        <v>101701</v>
      </c>
    </row>
    <row r="713" spans="1:26" x14ac:dyDescent="0.25">
      <c r="A713" t="s">
        <v>1335</v>
      </c>
      <c r="B713" t="s">
        <v>26</v>
      </c>
      <c r="C713" t="s">
        <v>27</v>
      </c>
      <c r="H713" s="2">
        <v>45827.731944444444</v>
      </c>
      <c r="I713" t="s">
        <v>29</v>
      </c>
      <c r="Z713">
        <v>101695</v>
      </c>
    </row>
    <row r="714" spans="1:26" x14ac:dyDescent="0.25">
      <c r="A714" t="s">
        <v>1336</v>
      </c>
      <c r="B714" t="s">
        <v>26</v>
      </c>
      <c r="C714" t="s">
        <v>27</v>
      </c>
      <c r="H714" s="2">
        <v>45827.573611111111</v>
      </c>
      <c r="I714" t="s">
        <v>29</v>
      </c>
      <c r="Z714">
        <v>101684</v>
      </c>
    </row>
    <row r="715" spans="1:26" x14ac:dyDescent="0.25">
      <c r="A715" t="s">
        <v>1337</v>
      </c>
      <c r="B715" t="s">
        <v>26</v>
      </c>
      <c r="C715" t="s">
        <v>27</v>
      </c>
      <c r="H715" s="2">
        <v>45826.713194444441</v>
      </c>
      <c r="I715" t="s">
        <v>153</v>
      </c>
      <c r="Z715">
        <v>101629</v>
      </c>
    </row>
    <row r="716" spans="1:26" x14ac:dyDescent="0.25">
      <c r="A716" t="s">
        <v>1338</v>
      </c>
      <c r="B716" t="s">
        <v>46</v>
      </c>
      <c r="C716" t="s">
        <v>27</v>
      </c>
      <c r="E716" t="s">
        <v>182</v>
      </c>
      <c r="G716" t="s">
        <v>183</v>
      </c>
      <c r="H716" s="2">
        <v>45826.712500000001</v>
      </c>
      <c r="I716" t="s">
        <v>153</v>
      </c>
      <c r="Z716">
        <v>101628</v>
      </c>
    </row>
    <row r="717" spans="1:26" x14ac:dyDescent="0.25">
      <c r="A717" t="s">
        <v>1339</v>
      </c>
      <c r="B717" t="s">
        <v>26</v>
      </c>
      <c r="C717" t="s">
        <v>27</v>
      </c>
      <c r="H717" s="2">
        <v>45826.702777777777</v>
      </c>
      <c r="I717" t="s">
        <v>29</v>
      </c>
      <c r="Z717">
        <v>101626</v>
      </c>
    </row>
    <row r="718" spans="1:26" x14ac:dyDescent="0.25">
      <c r="A718" t="s">
        <v>1340</v>
      </c>
      <c r="B718" t="s">
        <v>26</v>
      </c>
      <c r="C718" t="s">
        <v>27</v>
      </c>
      <c r="H718" s="2">
        <v>45826.684027777781</v>
      </c>
      <c r="I718" t="s">
        <v>153</v>
      </c>
      <c r="Z718">
        <v>101625</v>
      </c>
    </row>
    <row r="719" spans="1:26" x14ac:dyDescent="0.25">
      <c r="A719" t="s">
        <v>92</v>
      </c>
      <c r="B719" t="s">
        <v>150</v>
      </c>
      <c r="C719" t="s">
        <v>27</v>
      </c>
      <c r="E719" t="s">
        <v>1341</v>
      </c>
      <c r="H719" s="2">
        <v>45826.649305555555</v>
      </c>
      <c r="I719" t="s">
        <v>29</v>
      </c>
      <c r="Z719">
        <v>101624</v>
      </c>
    </row>
    <row r="720" spans="1:26" x14ac:dyDescent="0.25">
      <c r="A720" t="s">
        <v>1342</v>
      </c>
      <c r="B720" t="s">
        <v>26</v>
      </c>
      <c r="C720" t="s">
        <v>27</v>
      </c>
      <c r="H720" s="2">
        <v>45826.60833333333</v>
      </c>
      <c r="I720" t="s">
        <v>153</v>
      </c>
      <c r="Z720">
        <v>101623</v>
      </c>
    </row>
    <row r="721" spans="1:26" x14ac:dyDescent="0.25">
      <c r="A721" t="s">
        <v>1343</v>
      </c>
      <c r="B721" t="s">
        <v>26</v>
      </c>
      <c r="C721" t="s">
        <v>27</v>
      </c>
      <c r="H721" s="2">
        <v>45825.777083333334</v>
      </c>
      <c r="I721" t="s">
        <v>29</v>
      </c>
      <c r="Z721">
        <v>101605</v>
      </c>
    </row>
    <row r="722" spans="1:26" x14ac:dyDescent="0.25">
      <c r="A722" t="s">
        <v>1344</v>
      </c>
      <c r="B722" t="s">
        <v>26</v>
      </c>
      <c r="C722" t="s">
        <v>27</v>
      </c>
      <c r="H722" s="2">
        <v>45825.604861111111</v>
      </c>
      <c r="I722" t="s">
        <v>29</v>
      </c>
      <c r="Z722">
        <v>101596</v>
      </c>
    </row>
    <row r="723" spans="1:26" x14ac:dyDescent="0.25">
      <c r="A723" t="s">
        <v>1345</v>
      </c>
      <c r="B723" t="s">
        <v>150</v>
      </c>
      <c r="C723" t="s">
        <v>27</v>
      </c>
      <c r="E723" t="s">
        <v>1304</v>
      </c>
      <c r="H723" s="2">
        <v>45825.380555555559</v>
      </c>
      <c r="I723" t="s">
        <v>29</v>
      </c>
      <c r="Z723">
        <v>101568</v>
      </c>
    </row>
    <row r="724" spans="1:26" x14ac:dyDescent="0.25">
      <c r="A724" t="s">
        <v>1346</v>
      </c>
      <c r="B724" t="s">
        <v>26</v>
      </c>
      <c r="C724" t="s">
        <v>27</v>
      </c>
      <c r="H724" s="2">
        <v>45824.749305555553</v>
      </c>
      <c r="I724" t="s">
        <v>153</v>
      </c>
      <c r="Z724">
        <v>101560</v>
      </c>
    </row>
    <row r="725" spans="1:26" x14ac:dyDescent="0.25">
      <c r="A725" t="s">
        <v>1347</v>
      </c>
      <c r="B725" t="s">
        <v>26</v>
      </c>
      <c r="C725" t="s">
        <v>27</v>
      </c>
      <c r="H725" s="2">
        <v>45824.726388888892</v>
      </c>
      <c r="I725" t="s">
        <v>153</v>
      </c>
      <c r="Z725">
        <v>101555</v>
      </c>
    </row>
    <row r="726" spans="1:26" x14ac:dyDescent="0.25">
      <c r="A726" t="s">
        <v>1348</v>
      </c>
      <c r="B726" t="s">
        <v>26</v>
      </c>
      <c r="C726" t="s">
        <v>27</v>
      </c>
      <c r="H726" s="2">
        <v>45822.434027777781</v>
      </c>
      <c r="I726" t="s">
        <v>95</v>
      </c>
      <c r="Z726">
        <v>101494</v>
      </c>
    </row>
    <row r="727" spans="1:26" x14ac:dyDescent="0.25">
      <c r="A727" t="s">
        <v>1349</v>
      </c>
      <c r="B727" t="s">
        <v>26</v>
      </c>
      <c r="C727" t="s">
        <v>27</v>
      </c>
      <c r="H727" s="2">
        <v>45822.412499999999</v>
      </c>
      <c r="I727" t="s">
        <v>95</v>
      </c>
      <c r="Z727">
        <v>101492</v>
      </c>
    </row>
    <row r="728" spans="1:26" x14ac:dyDescent="0.25">
      <c r="A728" t="s">
        <v>1350</v>
      </c>
      <c r="B728" t="s">
        <v>26</v>
      </c>
      <c r="C728" t="s">
        <v>27</v>
      </c>
      <c r="H728" s="2">
        <v>45820.243055555555</v>
      </c>
      <c r="I728" t="s">
        <v>29</v>
      </c>
      <c r="Z728">
        <v>101440</v>
      </c>
    </row>
    <row r="729" spans="1:26" x14ac:dyDescent="0.25">
      <c r="A729" t="s">
        <v>1351</v>
      </c>
      <c r="B729" t="s">
        <v>26</v>
      </c>
      <c r="C729" t="s">
        <v>27</v>
      </c>
      <c r="H729" s="2">
        <v>45819.739583333336</v>
      </c>
      <c r="I729" t="s">
        <v>153</v>
      </c>
      <c r="Z729">
        <v>101417</v>
      </c>
    </row>
    <row r="730" spans="1:26" x14ac:dyDescent="0.25">
      <c r="A730" t="s">
        <v>1352</v>
      </c>
      <c r="B730" t="s">
        <v>26</v>
      </c>
      <c r="C730" t="s">
        <v>27</v>
      </c>
      <c r="H730" s="2">
        <v>45819.634722222225</v>
      </c>
      <c r="I730" t="s">
        <v>40</v>
      </c>
      <c r="Z730">
        <v>101410</v>
      </c>
    </row>
    <row r="731" spans="1:26" x14ac:dyDescent="0.25">
      <c r="A731" t="s">
        <v>1353</v>
      </c>
      <c r="B731" t="s">
        <v>26</v>
      </c>
      <c r="C731" t="s">
        <v>27</v>
      </c>
      <c r="H731" s="2">
        <v>45817.518055555556</v>
      </c>
      <c r="I731" t="s">
        <v>153</v>
      </c>
      <c r="Z731">
        <v>101316</v>
      </c>
    </row>
    <row r="732" spans="1:26" x14ac:dyDescent="0.25">
      <c r="A732" t="s">
        <v>1354</v>
      </c>
      <c r="B732" t="s">
        <v>46</v>
      </c>
      <c r="C732" t="s">
        <v>27</v>
      </c>
      <c r="E732" t="s">
        <v>181</v>
      </c>
      <c r="G732" t="s">
        <v>1355</v>
      </c>
      <c r="H732" s="2">
        <v>45815.459722222222</v>
      </c>
      <c r="I732" t="s">
        <v>95</v>
      </c>
      <c r="Z732">
        <v>101235</v>
      </c>
    </row>
    <row r="733" spans="1:26" x14ac:dyDescent="0.25">
      <c r="A733" t="s">
        <v>178</v>
      </c>
      <c r="B733" t="s">
        <v>150</v>
      </c>
      <c r="C733" t="s">
        <v>27</v>
      </c>
      <c r="E733" t="s">
        <v>63</v>
      </c>
      <c r="H733" s="2">
        <v>45815.454861111109</v>
      </c>
      <c r="I733" t="s">
        <v>95</v>
      </c>
      <c r="Z733">
        <v>101234</v>
      </c>
    </row>
    <row r="734" spans="1:26" x14ac:dyDescent="0.25">
      <c r="A734" t="s">
        <v>1356</v>
      </c>
      <c r="B734" t="s">
        <v>150</v>
      </c>
      <c r="C734" t="s">
        <v>27</v>
      </c>
      <c r="E734" t="s">
        <v>161</v>
      </c>
      <c r="G734" t="s">
        <v>1357</v>
      </c>
      <c r="H734" s="2">
        <v>45815.34097222222</v>
      </c>
      <c r="I734" t="s">
        <v>40</v>
      </c>
      <c r="Z734">
        <v>101226</v>
      </c>
    </row>
    <row r="735" spans="1:26" x14ac:dyDescent="0.25">
      <c r="A735" t="s">
        <v>1358</v>
      </c>
      <c r="B735" t="s">
        <v>26</v>
      </c>
      <c r="C735" t="s">
        <v>27</v>
      </c>
      <c r="H735" s="2">
        <v>45814.732638888891</v>
      </c>
      <c r="I735" t="s">
        <v>40</v>
      </c>
      <c r="Z735">
        <v>101221</v>
      </c>
    </row>
    <row r="736" spans="1:26" x14ac:dyDescent="0.25">
      <c r="A736" t="s">
        <v>1359</v>
      </c>
      <c r="B736" t="s">
        <v>26</v>
      </c>
      <c r="C736" t="s">
        <v>27</v>
      </c>
      <c r="H736" s="2">
        <v>45814.529861111114</v>
      </c>
      <c r="I736" t="s">
        <v>40</v>
      </c>
      <c r="Z736">
        <v>101204</v>
      </c>
    </row>
    <row r="737" spans="1:26" x14ac:dyDescent="0.25">
      <c r="A737" t="s">
        <v>1360</v>
      </c>
      <c r="B737" t="s">
        <v>46</v>
      </c>
      <c r="C737" t="s">
        <v>27</v>
      </c>
      <c r="E737" t="s">
        <v>101</v>
      </c>
      <c r="G737" t="s">
        <v>1361</v>
      </c>
      <c r="H737" s="2">
        <v>45812.62777777778</v>
      </c>
      <c r="I737" t="s">
        <v>153</v>
      </c>
      <c r="Z737">
        <v>101135</v>
      </c>
    </row>
    <row r="738" spans="1:26" x14ac:dyDescent="0.25">
      <c r="A738" t="s">
        <v>1362</v>
      </c>
      <c r="B738" t="s">
        <v>26</v>
      </c>
      <c r="C738" t="s">
        <v>27</v>
      </c>
      <c r="H738" s="2">
        <v>45812.57916666667</v>
      </c>
      <c r="I738" t="s">
        <v>40</v>
      </c>
      <c r="Z738">
        <v>101131</v>
      </c>
    </row>
    <row r="739" spans="1:26" x14ac:dyDescent="0.25">
      <c r="A739" t="s">
        <v>1363</v>
      </c>
      <c r="B739" t="s">
        <v>26</v>
      </c>
      <c r="C739" t="s">
        <v>27</v>
      </c>
      <c r="H739" s="2">
        <v>45812.51458333333</v>
      </c>
      <c r="I739" t="s">
        <v>40</v>
      </c>
      <c r="Z739">
        <v>101126</v>
      </c>
    </row>
    <row r="740" spans="1:26" x14ac:dyDescent="0.25">
      <c r="A740" t="s">
        <v>97</v>
      </c>
      <c r="C740" t="s">
        <v>27</v>
      </c>
      <c r="E740" t="s">
        <v>1364</v>
      </c>
      <c r="H740" s="2">
        <v>45812.511805555558</v>
      </c>
      <c r="I740" t="s">
        <v>153</v>
      </c>
      <c r="Z740">
        <v>101124</v>
      </c>
    </row>
    <row r="741" spans="1:26" x14ac:dyDescent="0.25">
      <c r="A741" t="s">
        <v>1365</v>
      </c>
      <c r="B741" t="s">
        <v>26</v>
      </c>
      <c r="C741" t="s">
        <v>27</v>
      </c>
      <c r="H741" s="2">
        <v>45812.509027777778</v>
      </c>
      <c r="I741" t="s">
        <v>153</v>
      </c>
      <c r="Z741">
        <v>101122</v>
      </c>
    </row>
    <row r="742" spans="1:26" x14ac:dyDescent="0.25">
      <c r="A742" t="s">
        <v>1366</v>
      </c>
      <c r="B742" t="s">
        <v>26</v>
      </c>
      <c r="C742" t="s">
        <v>27</v>
      </c>
      <c r="H742" s="2">
        <v>45811.585416666669</v>
      </c>
      <c r="I742" t="s">
        <v>153</v>
      </c>
      <c r="Z742">
        <v>101077</v>
      </c>
    </row>
    <row r="743" spans="1:26" x14ac:dyDescent="0.25">
      <c r="A743" t="s">
        <v>109</v>
      </c>
      <c r="C743" t="s">
        <v>27</v>
      </c>
      <c r="E743" t="s">
        <v>90</v>
      </c>
      <c r="H743" s="2">
        <v>45810.859027777777</v>
      </c>
      <c r="I743" t="s">
        <v>153</v>
      </c>
      <c r="Z743">
        <v>101062</v>
      </c>
    </row>
    <row r="744" spans="1:26" x14ac:dyDescent="0.25">
      <c r="A744" t="s">
        <v>1367</v>
      </c>
      <c r="B744" t="s">
        <v>26</v>
      </c>
      <c r="C744" t="s">
        <v>27</v>
      </c>
      <c r="H744" s="2">
        <v>45810.657638888886</v>
      </c>
      <c r="I744" t="s">
        <v>153</v>
      </c>
      <c r="Z744">
        <v>101050</v>
      </c>
    </row>
    <row r="745" spans="1:26" x14ac:dyDescent="0.25">
      <c r="A745" t="s">
        <v>109</v>
      </c>
      <c r="C745" t="s">
        <v>27</v>
      </c>
      <c r="E745" t="s">
        <v>90</v>
      </c>
      <c r="H745" s="2">
        <v>45810.654166666667</v>
      </c>
      <c r="I745" t="s">
        <v>153</v>
      </c>
      <c r="Z745">
        <v>101049</v>
      </c>
    </row>
    <row r="746" spans="1:26" x14ac:dyDescent="0.25">
      <c r="A746" t="s">
        <v>1368</v>
      </c>
      <c r="B746" t="s">
        <v>26</v>
      </c>
      <c r="C746" t="s">
        <v>27</v>
      </c>
      <c r="H746" s="2">
        <v>45810.420138888891</v>
      </c>
      <c r="I746" t="s">
        <v>153</v>
      </c>
      <c r="Z746">
        <v>101028</v>
      </c>
    </row>
    <row r="747" spans="1:26" x14ac:dyDescent="0.25">
      <c r="A747" t="s">
        <v>1369</v>
      </c>
      <c r="B747" t="s">
        <v>26</v>
      </c>
      <c r="C747" t="s">
        <v>27</v>
      </c>
      <c r="H747" s="2">
        <v>45808.451388888891</v>
      </c>
      <c r="I747" t="s">
        <v>153</v>
      </c>
      <c r="Z747">
        <v>100990</v>
      </c>
    </row>
    <row r="748" spans="1:26" x14ac:dyDescent="0.25">
      <c r="A748" t="s">
        <v>1370</v>
      </c>
      <c r="B748" t="s">
        <v>26</v>
      </c>
      <c r="C748" t="s">
        <v>27</v>
      </c>
      <c r="H748" s="2">
        <v>45807.890277777777</v>
      </c>
      <c r="I748" t="s">
        <v>95</v>
      </c>
      <c r="Z748">
        <v>100980</v>
      </c>
    </row>
    <row r="749" spans="1:26" x14ac:dyDescent="0.25">
      <c r="A749" t="s">
        <v>1371</v>
      </c>
      <c r="B749" t="s">
        <v>26</v>
      </c>
      <c r="C749" t="s">
        <v>27</v>
      </c>
      <c r="H749" s="2">
        <v>45807.75277777778</v>
      </c>
      <c r="I749" t="s">
        <v>95</v>
      </c>
      <c r="Z749">
        <v>100975</v>
      </c>
    </row>
    <row r="750" spans="1:26" x14ac:dyDescent="0.25">
      <c r="A750" t="s">
        <v>1372</v>
      </c>
      <c r="B750" t="s">
        <v>26</v>
      </c>
      <c r="C750" t="s">
        <v>27</v>
      </c>
      <c r="H750" s="2">
        <v>45807.623611111114</v>
      </c>
      <c r="I750" t="s">
        <v>95</v>
      </c>
      <c r="Z750">
        <v>100966</v>
      </c>
    </row>
    <row r="751" spans="1:26" x14ac:dyDescent="0.25">
      <c r="A751" t="s">
        <v>1373</v>
      </c>
      <c r="B751" t="s">
        <v>26</v>
      </c>
      <c r="C751" t="s">
        <v>27</v>
      </c>
      <c r="H751" s="2">
        <v>45806.711805555555</v>
      </c>
      <c r="I751" t="s">
        <v>40</v>
      </c>
      <c r="Z751">
        <v>100934</v>
      </c>
    </row>
    <row r="752" spans="1:26" x14ac:dyDescent="0.25">
      <c r="A752" t="s">
        <v>1374</v>
      </c>
      <c r="C752" t="s">
        <v>27</v>
      </c>
      <c r="E752" t="s">
        <v>108</v>
      </c>
      <c r="H752" s="2">
        <v>45806.68472222222</v>
      </c>
      <c r="I752" t="s">
        <v>40</v>
      </c>
      <c r="Z752">
        <v>100932</v>
      </c>
    </row>
    <row r="753" spans="1:26" x14ac:dyDescent="0.25">
      <c r="A753" t="s">
        <v>1375</v>
      </c>
      <c r="B753" t="s">
        <v>26</v>
      </c>
      <c r="C753" t="s">
        <v>27</v>
      </c>
      <c r="H753" s="2">
        <v>45806.436111111114</v>
      </c>
      <c r="I753" t="s">
        <v>95</v>
      </c>
      <c r="Z753">
        <v>100912</v>
      </c>
    </row>
    <row r="754" spans="1:26" x14ac:dyDescent="0.25">
      <c r="A754" t="s">
        <v>1376</v>
      </c>
      <c r="B754" t="s">
        <v>26</v>
      </c>
      <c r="C754" t="s">
        <v>27</v>
      </c>
      <c r="H754" s="2">
        <v>45805.599999999999</v>
      </c>
      <c r="I754" t="s">
        <v>40</v>
      </c>
      <c r="Z754">
        <v>100881</v>
      </c>
    </row>
    <row r="755" spans="1:26" x14ac:dyDescent="0.25">
      <c r="A755" t="s">
        <v>1377</v>
      </c>
      <c r="B755" t="s">
        <v>26</v>
      </c>
      <c r="C755" t="s">
        <v>27</v>
      </c>
      <c r="H755" s="2">
        <v>45805.540277777778</v>
      </c>
      <c r="I755" t="s">
        <v>40</v>
      </c>
      <c r="Z755">
        <v>100877</v>
      </c>
    </row>
    <row r="756" spans="1:26" x14ac:dyDescent="0.25">
      <c r="A756" t="s">
        <v>1378</v>
      </c>
      <c r="B756" t="s">
        <v>26</v>
      </c>
      <c r="C756" t="s">
        <v>27</v>
      </c>
      <c r="H756" s="2">
        <v>45805.430555555555</v>
      </c>
      <c r="I756" t="s">
        <v>153</v>
      </c>
      <c r="Z756">
        <v>100867</v>
      </c>
    </row>
    <row r="757" spans="1:26" x14ac:dyDescent="0.25">
      <c r="A757" t="s">
        <v>1379</v>
      </c>
      <c r="B757" t="s">
        <v>150</v>
      </c>
      <c r="C757" t="s">
        <v>27</v>
      </c>
      <c r="E757" t="s">
        <v>45</v>
      </c>
      <c r="G757" t="s">
        <v>118</v>
      </c>
      <c r="H757" s="2">
        <v>45804.794444444444</v>
      </c>
      <c r="I757" t="s">
        <v>40</v>
      </c>
      <c r="K757" t="s">
        <v>30</v>
      </c>
      <c r="L757" t="s">
        <v>31</v>
      </c>
      <c r="M757">
        <v>55887089</v>
      </c>
      <c r="N757">
        <v>9754619174</v>
      </c>
      <c r="O757" t="s">
        <v>283</v>
      </c>
      <c r="Z757">
        <v>100855</v>
      </c>
    </row>
    <row r="758" spans="1:26" x14ac:dyDescent="0.25">
      <c r="A758" t="s">
        <v>1380</v>
      </c>
      <c r="B758" t="s">
        <v>26</v>
      </c>
      <c r="C758" t="s">
        <v>27</v>
      </c>
      <c r="H758" s="2">
        <v>45804.685416666667</v>
      </c>
      <c r="I758" t="s">
        <v>95</v>
      </c>
      <c r="Z758">
        <v>100850</v>
      </c>
    </row>
    <row r="759" spans="1:26" x14ac:dyDescent="0.25">
      <c r="A759" t="s">
        <v>1381</v>
      </c>
      <c r="B759" t="s">
        <v>26</v>
      </c>
      <c r="C759" t="s">
        <v>27</v>
      </c>
      <c r="H759" s="2">
        <v>45803.750694444447</v>
      </c>
      <c r="I759" t="s">
        <v>29</v>
      </c>
      <c r="Z759">
        <v>100816</v>
      </c>
    </row>
    <row r="760" spans="1:26" x14ac:dyDescent="0.25">
      <c r="A760" t="s">
        <v>1382</v>
      </c>
      <c r="C760" t="s">
        <v>27</v>
      </c>
      <c r="E760" t="s">
        <v>103</v>
      </c>
      <c r="H760" s="2">
        <v>45803.568749999999</v>
      </c>
      <c r="I760" t="s">
        <v>29</v>
      </c>
      <c r="Z760">
        <v>100793</v>
      </c>
    </row>
    <row r="761" spans="1:26" x14ac:dyDescent="0.25">
      <c r="A761" t="s">
        <v>92</v>
      </c>
      <c r="C761" t="s">
        <v>27</v>
      </c>
      <c r="E761" t="s">
        <v>94</v>
      </c>
      <c r="H761" s="2">
        <v>45802.76458333333</v>
      </c>
      <c r="I761" t="s">
        <v>29</v>
      </c>
      <c r="Z761">
        <v>100763</v>
      </c>
    </row>
    <row r="762" spans="1:26" x14ac:dyDescent="0.25">
      <c r="A762" t="s">
        <v>1383</v>
      </c>
      <c r="C762" t="s">
        <v>27</v>
      </c>
      <c r="E762" t="s">
        <v>44</v>
      </c>
      <c r="H762" s="2">
        <v>45801.645138888889</v>
      </c>
      <c r="I762" t="s">
        <v>40</v>
      </c>
      <c r="Z762">
        <v>100729</v>
      </c>
    </row>
    <row r="763" spans="1:26" x14ac:dyDescent="0.25">
      <c r="A763" t="s">
        <v>1384</v>
      </c>
      <c r="B763" t="s">
        <v>26</v>
      </c>
      <c r="C763" t="s">
        <v>82</v>
      </c>
      <c r="H763" s="2">
        <v>45801.643750000003</v>
      </c>
      <c r="I763" t="s">
        <v>40</v>
      </c>
      <c r="Z763">
        <v>100728</v>
      </c>
    </row>
    <row r="764" spans="1:26" x14ac:dyDescent="0.25">
      <c r="A764" t="s">
        <v>1385</v>
      </c>
      <c r="B764" t="s">
        <v>26</v>
      </c>
      <c r="C764" t="s">
        <v>27</v>
      </c>
      <c r="H764" s="2">
        <v>45801.488888888889</v>
      </c>
      <c r="I764" t="s">
        <v>40</v>
      </c>
      <c r="Z764">
        <v>100715</v>
      </c>
    </row>
    <row r="765" spans="1:26" x14ac:dyDescent="0.25">
      <c r="A765" t="s">
        <v>1386</v>
      </c>
      <c r="B765" t="s">
        <v>26</v>
      </c>
      <c r="C765" t="s">
        <v>27</v>
      </c>
      <c r="H765" s="2">
        <v>45800.640972222223</v>
      </c>
      <c r="I765" t="s">
        <v>153</v>
      </c>
      <c r="Z765">
        <v>100694</v>
      </c>
    </row>
    <row r="766" spans="1:26" x14ac:dyDescent="0.25">
      <c r="A766" t="s">
        <v>1387</v>
      </c>
      <c r="B766" t="s">
        <v>26</v>
      </c>
      <c r="C766" t="s">
        <v>27</v>
      </c>
      <c r="H766" s="2">
        <v>45798.799305555556</v>
      </c>
      <c r="I766" t="s">
        <v>153</v>
      </c>
      <c r="Z766">
        <v>100616</v>
      </c>
    </row>
    <row r="767" spans="1:26" x14ac:dyDescent="0.25">
      <c r="A767" t="s">
        <v>1388</v>
      </c>
      <c r="B767" t="s">
        <v>26</v>
      </c>
      <c r="C767" t="s">
        <v>27</v>
      </c>
      <c r="H767" s="2">
        <v>45797.665277777778</v>
      </c>
      <c r="I767" t="s">
        <v>95</v>
      </c>
      <c r="Z767">
        <v>100570</v>
      </c>
    </row>
    <row r="768" spans="1:26" x14ac:dyDescent="0.25">
      <c r="A768" t="s">
        <v>1389</v>
      </c>
      <c r="B768" t="s">
        <v>26</v>
      </c>
      <c r="C768" t="s">
        <v>27</v>
      </c>
      <c r="H768" s="2">
        <v>45796.783333333333</v>
      </c>
      <c r="I768" t="s">
        <v>95</v>
      </c>
      <c r="Z768">
        <v>100545</v>
      </c>
    </row>
    <row r="769" spans="1:26" x14ac:dyDescent="0.25">
      <c r="A769" t="s">
        <v>1390</v>
      </c>
      <c r="B769" t="s">
        <v>26</v>
      </c>
      <c r="C769" t="s">
        <v>27</v>
      </c>
      <c r="H769" s="2">
        <v>45796.726388888892</v>
      </c>
      <c r="I769" t="s">
        <v>95</v>
      </c>
      <c r="Z769">
        <v>100540</v>
      </c>
    </row>
    <row r="770" spans="1:26" x14ac:dyDescent="0.25">
      <c r="A770" t="s">
        <v>1391</v>
      </c>
      <c r="B770" t="s">
        <v>26</v>
      </c>
      <c r="C770" t="s">
        <v>27</v>
      </c>
      <c r="E770" t="s">
        <v>1391</v>
      </c>
      <c r="H770" s="2">
        <v>45795.499305555553</v>
      </c>
      <c r="I770" t="s">
        <v>29</v>
      </c>
      <c r="Z770">
        <v>100482</v>
      </c>
    </row>
    <row r="771" spans="1:26" x14ac:dyDescent="0.25">
      <c r="A771" t="s">
        <v>1392</v>
      </c>
      <c r="B771" t="s">
        <v>26</v>
      </c>
      <c r="C771" t="s">
        <v>27</v>
      </c>
      <c r="H771" s="2">
        <v>45794.593055555553</v>
      </c>
      <c r="I771" t="s">
        <v>40</v>
      </c>
      <c r="Z771">
        <v>100467</v>
      </c>
    </row>
    <row r="772" spans="1:26" x14ac:dyDescent="0.25">
      <c r="A772" t="s">
        <v>1393</v>
      </c>
      <c r="B772" t="s">
        <v>26</v>
      </c>
      <c r="C772" t="s">
        <v>27</v>
      </c>
      <c r="H772" s="2">
        <v>45794.443749999999</v>
      </c>
      <c r="I772" t="s">
        <v>153</v>
      </c>
      <c r="Z772">
        <v>100458</v>
      </c>
    </row>
    <row r="773" spans="1:26" x14ac:dyDescent="0.25">
      <c r="A773" t="s">
        <v>1394</v>
      </c>
      <c r="B773" t="s">
        <v>26</v>
      </c>
      <c r="C773" t="s">
        <v>27</v>
      </c>
      <c r="H773" s="2">
        <v>45793.560416666667</v>
      </c>
      <c r="I773" t="s">
        <v>153</v>
      </c>
      <c r="Z773">
        <v>100430</v>
      </c>
    </row>
    <row r="774" spans="1:26" x14ac:dyDescent="0.25">
      <c r="A774" t="s">
        <v>1395</v>
      </c>
      <c r="B774" t="s">
        <v>26</v>
      </c>
      <c r="C774" t="s">
        <v>27</v>
      </c>
      <c r="H774" s="2">
        <v>45792.488888888889</v>
      </c>
      <c r="I774" t="s">
        <v>153</v>
      </c>
      <c r="Z774">
        <v>100386</v>
      </c>
    </row>
    <row r="775" spans="1:26" x14ac:dyDescent="0.25">
      <c r="A775" t="s">
        <v>1396</v>
      </c>
      <c r="B775" t="s">
        <v>26</v>
      </c>
      <c r="C775" t="s">
        <v>27</v>
      </c>
      <c r="H775" s="2">
        <v>45791.499305555553</v>
      </c>
      <c r="I775" t="s">
        <v>29</v>
      </c>
      <c r="Z775">
        <v>100363</v>
      </c>
    </row>
    <row r="776" spans="1:26" x14ac:dyDescent="0.25">
      <c r="A776" t="s">
        <v>1397</v>
      </c>
      <c r="B776" t="s">
        <v>164</v>
      </c>
      <c r="C776" t="s">
        <v>27</v>
      </c>
      <c r="E776" t="s">
        <v>203</v>
      </c>
      <c r="H776" s="2">
        <v>45791.422222222223</v>
      </c>
      <c r="I776" t="s">
        <v>29</v>
      </c>
      <c r="Z776">
        <v>100357</v>
      </c>
    </row>
    <row r="777" spans="1:26" x14ac:dyDescent="0.25">
      <c r="A777" t="s">
        <v>1398</v>
      </c>
      <c r="B777" t="s">
        <v>26</v>
      </c>
      <c r="C777" t="s">
        <v>27</v>
      </c>
      <c r="H777" s="2">
        <v>45790.786111111112</v>
      </c>
      <c r="I777" t="s">
        <v>29</v>
      </c>
      <c r="Z777">
        <v>100347</v>
      </c>
    </row>
    <row r="778" spans="1:26" x14ac:dyDescent="0.25">
      <c r="A778" t="s">
        <v>1399</v>
      </c>
      <c r="B778" t="s">
        <v>26</v>
      </c>
      <c r="C778" t="s">
        <v>27</v>
      </c>
      <c r="H778" s="2">
        <v>45789.57708333333</v>
      </c>
      <c r="I778" t="s">
        <v>29</v>
      </c>
      <c r="Z778">
        <v>100281</v>
      </c>
    </row>
    <row r="779" spans="1:26" x14ac:dyDescent="0.25">
      <c r="A779" t="s">
        <v>1400</v>
      </c>
      <c r="B779" t="s">
        <v>150</v>
      </c>
      <c r="C779" t="s">
        <v>27</v>
      </c>
      <c r="E779" t="s">
        <v>43</v>
      </c>
      <c r="G779" t="s">
        <v>1401</v>
      </c>
      <c r="H779" s="2">
        <v>45789.448611111111</v>
      </c>
      <c r="I779" t="s">
        <v>153</v>
      </c>
      <c r="Z779">
        <v>100266</v>
      </c>
    </row>
    <row r="780" spans="1:26" x14ac:dyDescent="0.25">
      <c r="A780" t="s">
        <v>1402</v>
      </c>
      <c r="B780" t="s">
        <v>26</v>
      </c>
      <c r="C780" t="s">
        <v>27</v>
      </c>
      <c r="H780" s="2">
        <v>45787.627083333333</v>
      </c>
      <c r="I780" t="s">
        <v>153</v>
      </c>
      <c r="Z780">
        <v>100219</v>
      </c>
    </row>
    <row r="781" spans="1:26" x14ac:dyDescent="0.25">
      <c r="A781" t="s">
        <v>1403</v>
      </c>
      <c r="B781" t="s">
        <v>26</v>
      </c>
      <c r="C781" t="s">
        <v>27</v>
      </c>
      <c r="H781" s="2">
        <v>45786.82708333333</v>
      </c>
      <c r="I781" t="s">
        <v>95</v>
      </c>
      <c r="Z781">
        <v>100205</v>
      </c>
    </row>
    <row r="782" spans="1:26" x14ac:dyDescent="0.25">
      <c r="A782" t="s">
        <v>661</v>
      </c>
      <c r="B782" t="s">
        <v>46</v>
      </c>
      <c r="C782" t="s">
        <v>27</v>
      </c>
      <c r="E782" t="s">
        <v>110</v>
      </c>
      <c r="G782" t="s">
        <v>1404</v>
      </c>
      <c r="H782" s="2">
        <v>45785.700694444444</v>
      </c>
      <c r="I782" t="s">
        <v>29</v>
      </c>
      <c r="Z782">
        <v>100185</v>
      </c>
    </row>
    <row r="783" spans="1:26" x14ac:dyDescent="0.25">
      <c r="A783" t="s">
        <v>1405</v>
      </c>
      <c r="B783" t="s">
        <v>26</v>
      </c>
      <c r="C783" t="s">
        <v>27</v>
      </c>
      <c r="H783" s="2">
        <v>45784.418749999997</v>
      </c>
      <c r="I783" t="s">
        <v>95</v>
      </c>
      <c r="Z783">
        <v>100131</v>
      </c>
    </row>
    <row r="784" spans="1:26" x14ac:dyDescent="0.25">
      <c r="A784" t="s">
        <v>921</v>
      </c>
      <c r="B784" t="s">
        <v>26</v>
      </c>
      <c r="C784" t="s">
        <v>27</v>
      </c>
      <c r="H784" s="2">
        <v>45783.716666666667</v>
      </c>
      <c r="I784" t="s">
        <v>29</v>
      </c>
      <c r="Z784">
        <v>100110</v>
      </c>
    </row>
    <row r="785" spans="1:26" x14ac:dyDescent="0.25">
      <c r="A785" t="s">
        <v>92</v>
      </c>
      <c r="B785" t="s">
        <v>26</v>
      </c>
      <c r="C785" t="s">
        <v>27</v>
      </c>
      <c r="H785" s="2">
        <v>45783.490972222222</v>
      </c>
      <c r="I785" t="s">
        <v>29</v>
      </c>
      <c r="Z785">
        <v>100095</v>
      </c>
    </row>
    <row r="786" spans="1:26" x14ac:dyDescent="0.25">
      <c r="A786" t="s">
        <v>1406</v>
      </c>
      <c r="B786" t="s">
        <v>164</v>
      </c>
      <c r="C786" t="s">
        <v>27</v>
      </c>
      <c r="E786" t="s">
        <v>1407</v>
      </c>
      <c r="H786" s="2">
        <v>45783.490972222222</v>
      </c>
      <c r="I786" t="s">
        <v>29</v>
      </c>
      <c r="Z786">
        <v>100094</v>
      </c>
    </row>
    <row r="787" spans="1:26" x14ac:dyDescent="0.25">
      <c r="A787" t="s">
        <v>1408</v>
      </c>
      <c r="B787" t="s">
        <v>26</v>
      </c>
      <c r="C787" t="s">
        <v>27</v>
      </c>
      <c r="H787" s="2">
        <v>45783.411805555559</v>
      </c>
      <c r="I787" t="s">
        <v>29</v>
      </c>
      <c r="Z787">
        <v>100087</v>
      </c>
    </row>
    <row r="788" spans="1:26" x14ac:dyDescent="0.25">
      <c r="A788" t="s">
        <v>1255</v>
      </c>
      <c r="B788" t="s">
        <v>164</v>
      </c>
      <c r="C788" t="s">
        <v>27</v>
      </c>
      <c r="E788" t="s">
        <v>84</v>
      </c>
      <c r="G788" t="s">
        <v>1409</v>
      </c>
      <c r="H788" s="2">
        <v>45782.769444444442</v>
      </c>
      <c r="I788" t="s">
        <v>29</v>
      </c>
      <c r="Z788">
        <v>100078</v>
      </c>
    </row>
    <row r="789" spans="1:26" x14ac:dyDescent="0.25">
      <c r="A789" t="s">
        <v>1410</v>
      </c>
      <c r="B789" t="s">
        <v>26</v>
      </c>
      <c r="C789" t="s">
        <v>27</v>
      </c>
      <c r="H789" s="2">
        <v>45782.583333333336</v>
      </c>
      <c r="I789" t="s">
        <v>40</v>
      </c>
      <c r="Z789">
        <v>100051</v>
      </c>
    </row>
    <row r="790" spans="1:26" x14ac:dyDescent="0.25">
      <c r="A790" t="s">
        <v>1411</v>
      </c>
      <c r="B790" t="s">
        <v>26</v>
      </c>
      <c r="C790" t="s">
        <v>27</v>
      </c>
      <c r="H790" s="2">
        <v>45781.772222222222</v>
      </c>
      <c r="I790" t="s">
        <v>40</v>
      </c>
      <c r="Z790">
        <v>100010</v>
      </c>
    </row>
    <row r="791" spans="1:26" x14ac:dyDescent="0.25">
      <c r="A791" t="s">
        <v>1412</v>
      </c>
      <c r="B791" t="s">
        <v>26</v>
      </c>
      <c r="C791" t="s">
        <v>27</v>
      </c>
      <c r="H791" s="2">
        <v>45781.665277777778</v>
      </c>
      <c r="I791" t="s">
        <v>153</v>
      </c>
      <c r="Z791">
        <v>100006</v>
      </c>
    </row>
    <row r="792" spans="1:26" x14ac:dyDescent="0.25">
      <c r="A792" t="s">
        <v>1413</v>
      </c>
      <c r="B792" t="s">
        <v>26</v>
      </c>
      <c r="C792" t="s">
        <v>27</v>
      </c>
      <c r="E792" t="s">
        <v>1414</v>
      </c>
      <c r="H792" s="2">
        <v>45780.51458333333</v>
      </c>
      <c r="I792" t="s">
        <v>153</v>
      </c>
      <c r="Z792">
        <v>99982</v>
      </c>
    </row>
    <row r="793" spans="1:26" x14ac:dyDescent="0.25">
      <c r="A793" t="s">
        <v>1415</v>
      </c>
      <c r="B793" t="s">
        <v>164</v>
      </c>
      <c r="C793" t="s">
        <v>27</v>
      </c>
      <c r="E793" t="s">
        <v>1416</v>
      </c>
      <c r="H793" s="2">
        <v>45779.759027777778</v>
      </c>
      <c r="I793" t="s">
        <v>29</v>
      </c>
      <c r="Z793">
        <v>99966</v>
      </c>
    </row>
    <row r="794" spans="1:26" x14ac:dyDescent="0.25">
      <c r="A794" t="s">
        <v>661</v>
      </c>
      <c r="B794" t="s">
        <v>164</v>
      </c>
      <c r="C794" t="s">
        <v>27</v>
      </c>
      <c r="E794" t="s">
        <v>1417</v>
      </c>
      <c r="H794" s="2">
        <v>45778.525000000001</v>
      </c>
      <c r="I794" t="s">
        <v>29</v>
      </c>
      <c r="Z794">
        <v>99920</v>
      </c>
    </row>
    <row r="795" spans="1:26" x14ac:dyDescent="0.25">
      <c r="A795" t="s">
        <v>1418</v>
      </c>
      <c r="B795" t="s">
        <v>26</v>
      </c>
      <c r="C795" t="s">
        <v>27</v>
      </c>
      <c r="H795" s="2">
        <v>45778.518055555556</v>
      </c>
      <c r="I795" t="s">
        <v>95</v>
      </c>
      <c r="Z795">
        <v>99918</v>
      </c>
    </row>
    <row r="796" spans="1:26" x14ac:dyDescent="0.25">
      <c r="A796" t="s">
        <v>1419</v>
      </c>
      <c r="C796" t="s">
        <v>27</v>
      </c>
      <c r="E796" t="s">
        <v>1420</v>
      </c>
      <c r="H796" s="2">
        <v>45777.65625</v>
      </c>
      <c r="I796" t="s">
        <v>29</v>
      </c>
      <c r="Z796">
        <v>99903</v>
      </c>
    </row>
    <row r="797" spans="1:26" x14ac:dyDescent="0.25">
      <c r="A797" t="s">
        <v>1421</v>
      </c>
      <c r="B797" t="s">
        <v>26</v>
      </c>
      <c r="C797" t="s">
        <v>27</v>
      </c>
      <c r="H797" s="2">
        <v>45775.832638888889</v>
      </c>
      <c r="I797" t="s">
        <v>153</v>
      </c>
      <c r="Z797">
        <v>99849</v>
      </c>
    </row>
    <row r="798" spans="1:26" x14ac:dyDescent="0.25">
      <c r="A798" t="s">
        <v>318</v>
      </c>
      <c r="B798" t="s">
        <v>164</v>
      </c>
      <c r="C798" t="s">
        <v>27</v>
      </c>
      <c r="E798" t="s">
        <v>87</v>
      </c>
      <c r="H798" s="2">
        <v>45775.831250000003</v>
      </c>
      <c r="I798" t="s">
        <v>153</v>
      </c>
      <c r="Z798">
        <v>99848</v>
      </c>
    </row>
    <row r="799" spans="1:26" x14ac:dyDescent="0.25">
      <c r="A799" t="s">
        <v>1422</v>
      </c>
      <c r="B799" t="s">
        <v>26</v>
      </c>
      <c r="C799" t="s">
        <v>27</v>
      </c>
      <c r="H799" s="2">
        <v>45775.827777777777</v>
      </c>
      <c r="I799" t="s">
        <v>153</v>
      </c>
      <c r="Z799">
        <v>99846</v>
      </c>
    </row>
    <row r="800" spans="1:26" x14ac:dyDescent="0.25">
      <c r="A800" t="s">
        <v>1423</v>
      </c>
      <c r="B800" t="s">
        <v>26</v>
      </c>
      <c r="C800" t="s">
        <v>27</v>
      </c>
      <c r="E800" t="s">
        <v>1424</v>
      </c>
      <c r="G800" t="s">
        <v>1425</v>
      </c>
      <c r="H800" s="2">
        <v>45775.680555555555</v>
      </c>
      <c r="I800" t="s">
        <v>153</v>
      </c>
      <c r="Z800">
        <v>99837</v>
      </c>
    </row>
    <row r="801" spans="1:26" x14ac:dyDescent="0.25">
      <c r="A801" t="s">
        <v>1426</v>
      </c>
      <c r="B801" t="s">
        <v>26</v>
      </c>
      <c r="C801" t="s">
        <v>27</v>
      </c>
      <c r="H801" s="2">
        <v>45775.640972222223</v>
      </c>
      <c r="I801" t="s">
        <v>40</v>
      </c>
      <c r="Z801">
        <v>99832</v>
      </c>
    </row>
    <row r="802" spans="1:26" x14ac:dyDescent="0.25">
      <c r="A802" t="s">
        <v>1427</v>
      </c>
      <c r="B802" t="s">
        <v>26</v>
      </c>
      <c r="C802" t="s">
        <v>27</v>
      </c>
      <c r="H802" s="2">
        <v>45775.441666666666</v>
      </c>
      <c r="I802" t="s">
        <v>40</v>
      </c>
      <c r="Z802">
        <v>99819</v>
      </c>
    </row>
    <row r="803" spans="1:26" x14ac:dyDescent="0.25">
      <c r="A803" t="s">
        <v>1428</v>
      </c>
      <c r="B803" t="s">
        <v>26</v>
      </c>
      <c r="C803" t="s">
        <v>27</v>
      </c>
      <c r="H803" s="2">
        <v>45774.669444444444</v>
      </c>
      <c r="I803" t="s">
        <v>95</v>
      </c>
      <c r="Z803">
        <v>99806</v>
      </c>
    </row>
    <row r="804" spans="1:26" x14ac:dyDescent="0.25">
      <c r="A804" t="s">
        <v>1429</v>
      </c>
      <c r="B804" t="s">
        <v>26</v>
      </c>
      <c r="C804" t="s">
        <v>27</v>
      </c>
      <c r="E804" t="s">
        <v>87</v>
      </c>
      <c r="G804" t="s">
        <v>1430</v>
      </c>
      <c r="H804" s="2">
        <v>45774.379166666666</v>
      </c>
      <c r="I804" t="s">
        <v>29</v>
      </c>
      <c r="Z804">
        <v>99795</v>
      </c>
    </row>
    <row r="805" spans="1:26" x14ac:dyDescent="0.25">
      <c r="A805" t="s">
        <v>1431</v>
      </c>
      <c r="B805" t="s">
        <v>26</v>
      </c>
      <c r="C805" t="s">
        <v>27</v>
      </c>
      <c r="H805" s="2">
        <v>45773.513888888891</v>
      </c>
      <c r="I805" t="s">
        <v>95</v>
      </c>
      <c r="Z805">
        <v>99777</v>
      </c>
    </row>
    <row r="806" spans="1:26" x14ac:dyDescent="0.25">
      <c r="A806" t="s">
        <v>1432</v>
      </c>
      <c r="B806" t="s">
        <v>26</v>
      </c>
      <c r="C806" t="s">
        <v>27</v>
      </c>
      <c r="H806" s="2">
        <v>45771.720833333333</v>
      </c>
      <c r="I806" t="s">
        <v>29</v>
      </c>
      <c r="Z806">
        <v>99728</v>
      </c>
    </row>
    <row r="807" spans="1:26" x14ac:dyDescent="0.25">
      <c r="A807" t="s">
        <v>1433</v>
      </c>
      <c r="B807" t="s">
        <v>26</v>
      </c>
      <c r="C807" t="s">
        <v>27</v>
      </c>
      <c r="H807" s="2">
        <v>45770.838888888888</v>
      </c>
      <c r="I807" t="s">
        <v>153</v>
      </c>
      <c r="Z807">
        <v>99700</v>
      </c>
    </row>
    <row r="808" spans="1:26" x14ac:dyDescent="0.25">
      <c r="A808" t="s">
        <v>1434</v>
      </c>
      <c r="B808" t="s">
        <v>46</v>
      </c>
      <c r="C808" t="s">
        <v>27</v>
      </c>
      <c r="E808" t="s">
        <v>117</v>
      </c>
      <c r="G808" t="s">
        <v>1435</v>
      </c>
      <c r="H808" s="2">
        <v>45769.946527777778</v>
      </c>
      <c r="I808" t="s">
        <v>40</v>
      </c>
      <c r="Z808">
        <v>99651</v>
      </c>
    </row>
    <row r="809" spans="1:26" x14ac:dyDescent="0.25">
      <c r="A809" t="s">
        <v>1436</v>
      </c>
      <c r="B809" t="s">
        <v>26</v>
      </c>
      <c r="C809" t="s">
        <v>27</v>
      </c>
      <c r="H809" s="2">
        <v>45769.381249999999</v>
      </c>
      <c r="I809" t="s">
        <v>40</v>
      </c>
      <c r="Z809">
        <v>99594</v>
      </c>
    </row>
    <row r="810" spans="1:26" x14ac:dyDescent="0.25">
      <c r="A810" t="s">
        <v>1437</v>
      </c>
      <c r="B810" t="s">
        <v>26</v>
      </c>
      <c r="C810" t="s">
        <v>27</v>
      </c>
      <c r="H810" s="2">
        <v>45766.48333333333</v>
      </c>
      <c r="I810" t="s">
        <v>95</v>
      </c>
      <c r="Z810">
        <v>99463</v>
      </c>
    </row>
    <row r="811" spans="1:26" x14ac:dyDescent="0.25">
      <c r="A811" t="s">
        <v>1438</v>
      </c>
      <c r="B811" t="s">
        <v>150</v>
      </c>
      <c r="C811" t="s">
        <v>27</v>
      </c>
      <c r="E811" t="s">
        <v>1439</v>
      </c>
      <c r="H811" s="2">
        <v>45764.488888888889</v>
      </c>
      <c r="I811" t="s">
        <v>40</v>
      </c>
      <c r="Z811">
        <v>99384</v>
      </c>
    </row>
    <row r="812" spans="1:26" x14ac:dyDescent="0.25">
      <c r="A812" t="s">
        <v>1440</v>
      </c>
      <c r="B812" t="s">
        <v>26</v>
      </c>
      <c r="C812" t="s">
        <v>27</v>
      </c>
      <c r="H812" s="2">
        <v>45763.643055555556</v>
      </c>
      <c r="I812" t="s">
        <v>153</v>
      </c>
      <c r="Z812">
        <v>99341</v>
      </c>
    </row>
    <row r="813" spans="1:26" x14ac:dyDescent="0.25">
      <c r="A813" t="s">
        <v>1441</v>
      </c>
      <c r="B813" t="s">
        <v>26</v>
      </c>
      <c r="C813" t="s">
        <v>27</v>
      </c>
      <c r="H813" s="2">
        <v>45763.429166666669</v>
      </c>
      <c r="I813" t="s">
        <v>153</v>
      </c>
      <c r="Z813">
        <v>99316</v>
      </c>
    </row>
    <row r="814" spans="1:26" x14ac:dyDescent="0.25">
      <c r="A814" t="s">
        <v>1442</v>
      </c>
      <c r="B814" t="s">
        <v>26</v>
      </c>
      <c r="C814" t="s">
        <v>27</v>
      </c>
      <c r="H814" s="2">
        <v>45762.811111111114</v>
      </c>
      <c r="I814" t="s">
        <v>95</v>
      </c>
      <c r="Z814">
        <v>99308</v>
      </c>
    </row>
    <row r="815" spans="1:26" x14ac:dyDescent="0.25">
      <c r="A815" t="s">
        <v>1443</v>
      </c>
      <c r="B815" t="s">
        <v>26</v>
      </c>
      <c r="C815" t="s">
        <v>27</v>
      </c>
      <c r="H815" s="2">
        <v>45762.677777777775</v>
      </c>
      <c r="I815" t="s">
        <v>40</v>
      </c>
      <c r="Z815">
        <v>99292</v>
      </c>
    </row>
    <row r="816" spans="1:26" x14ac:dyDescent="0.25">
      <c r="A816" t="s">
        <v>109</v>
      </c>
      <c r="C816" t="s">
        <v>27</v>
      </c>
      <c r="E816" t="s">
        <v>300</v>
      </c>
      <c r="H816" s="2">
        <v>45762.45208333333</v>
      </c>
      <c r="I816" t="s">
        <v>95</v>
      </c>
      <c r="Z816">
        <v>99263</v>
      </c>
    </row>
    <row r="817" spans="1:26" x14ac:dyDescent="0.25">
      <c r="A817" t="s">
        <v>1444</v>
      </c>
      <c r="B817" t="s">
        <v>26</v>
      </c>
      <c r="C817" t="s">
        <v>27</v>
      </c>
      <c r="H817" s="2">
        <v>45761.832638888889</v>
      </c>
      <c r="I817" t="s">
        <v>95</v>
      </c>
      <c r="Z817">
        <v>99245</v>
      </c>
    </row>
    <row r="818" spans="1:26" x14ac:dyDescent="0.25">
      <c r="A818" t="s">
        <v>1445</v>
      </c>
      <c r="C818" t="s">
        <v>27</v>
      </c>
      <c r="E818" t="s">
        <v>107</v>
      </c>
      <c r="H818" s="2">
        <v>45761.57708333333</v>
      </c>
      <c r="I818" t="s">
        <v>29</v>
      </c>
      <c r="Z818">
        <v>99221</v>
      </c>
    </row>
    <row r="819" spans="1:26" x14ac:dyDescent="0.25">
      <c r="A819" t="s">
        <v>1446</v>
      </c>
      <c r="B819" t="s">
        <v>26</v>
      </c>
      <c r="C819" t="s">
        <v>27</v>
      </c>
      <c r="H819" s="2">
        <v>45761.54791666667</v>
      </c>
      <c r="I819" t="s">
        <v>194</v>
      </c>
      <c r="Z819">
        <v>99218</v>
      </c>
    </row>
    <row r="820" spans="1:26" x14ac:dyDescent="0.25">
      <c r="A820" t="s">
        <v>1447</v>
      </c>
      <c r="B820" t="s">
        <v>26</v>
      </c>
      <c r="C820" t="s">
        <v>27</v>
      </c>
      <c r="H820" s="2">
        <v>45761.439583333333</v>
      </c>
      <c r="I820" t="s">
        <v>29</v>
      </c>
      <c r="Z820">
        <v>99207</v>
      </c>
    </row>
    <row r="821" spans="1:26" x14ac:dyDescent="0.25">
      <c r="A821" t="s">
        <v>1448</v>
      </c>
      <c r="B821" t="s">
        <v>26</v>
      </c>
      <c r="C821" t="s">
        <v>27</v>
      </c>
      <c r="H821" s="2">
        <v>45759.775694444441</v>
      </c>
      <c r="I821" t="s">
        <v>29</v>
      </c>
      <c r="Z821">
        <v>99166</v>
      </c>
    </row>
    <row r="822" spans="1:26" x14ac:dyDescent="0.25">
      <c r="A822" t="s">
        <v>1449</v>
      </c>
      <c r="B822" t="s">
        <v>26</v>
      </c>
      <c r="C822" t="s">
        <v>27</v>
      </c>
      <c r="H822" s="2">
        <v>45759.701388888891</v>
      </c>
      <c r="I822" t="s">
        <v>40</v>
      </c>
      <c r="Z822">
        <v>99163</v>
      </c>
    </row>
    <row r="823" spans="1:26" x14ac:dyDescent="0.25">
      <c r="A823" t="s">
        <v>1450</v>
      </c>
      <c r="B823" t="s">
        <v>46</v>
      </c>
      <c r="C823" t="s">
        <v>27</v>
      </c>
      <c r="E823" t="s">
        <v>74</v>
      </c>
      <c r="G823" t="s">
        <v>1451</v>
      </c>
      <c r="H823" s="2">
        <v>45759.681944444441</v>
      </c>
      <c r="I823" t="s">
        <v>29</v>
      </c>
      <c r="Z823">
        <v>99160</v>
      </c>
    </row>
    <row r="824" spans="1:26" x14ac:dyDescent="0.25">
      <c r="A824" t="s">
        <v>1452</v>
      </c>
      <c r="B824" t="s">
        <v>150</v>
      </c>
      <c r="C824" t="s">
        <v>27</v>
      </c>
      <c r="E824" t="s">
        <v>136</v>
      </c>
      <c r="G824" t="s">
        <v>702</v>
      </c>
      <c r="H824" s="2">
        <v>45758.30972222222</v>
      </c>
      <c r="I824" t="s">
        <v>153</v>
      </c>
      <c r="Z824">
        <v>99092</v>
      </c>
    </row>
    <row r="825" spans="1:26" x14ac:dyDescent="0.25">
      <c r="A825" t="s">
        <v>1453</v>
      </c>
      <c r="B825" t="s">
        <v>26</v>
      </c>
      <c r="C825" t="s">
        <v>27</v>
      </c>
      <c r="H825" s="2">
        <v>45757.71875</v>
      </c>
      <c r="I825" t="s">
        <v>153</v>
      </c>
      <c r="Z825">
        <v>99082</v>
      </c>
    </row>
    <row r="826" spans="1:26" x14ac:dyDescent="0.25">
      <c r="A826" t="s">
        <v>1454</v>
      </c>
      <c r="B826" t="s">
        <v>46</v>
      </c>
      <c r="C826" t="s">
        <v>27</v>
      </c>
      <c r="E826" t="s">
        <v>87</v>
      </c>
      <c r="G826" t="s">
        <v>1455</v>
      </c>
      <c r="H826" s="2">
        <v>45756.770833333336</v>
      </c>
      <c r="I826" t="s">
        <v>40</v>
      </c>
      <c r="K826" t="s">
        <v>30</v>
      </c>
      <c r="L826" t="s">
        <v>31</v>
      </c>
      <c r="M826">
        <v>55887024</v>
      </c>
      <c r="N826">
        <v>9754613612</v>
      </c>
      <c r="O826" t="s">
        <v>1456</v>
      </c>
      <c r="Z826">
        <v>99036</v>
      </c>
    </row>
    <row r="827" spans="1:26" x14ac:dyDescent="0.25">
      <c r="A827" t="s">
        <v>1457</v>
      </c>
      <c r="B827" t="s">
        <v>26</v>
      </c>
      <c r="C827" t="s">
        <v>27</v>
      </c>
      <c r="E827" t="s">
        <v>1458</v>
      </c>
      <c r="H827" s="2">
        <v>45755.621527777781</v>
      </c>
      <c r="I827" t="s">
        <v>29</v>
      </c>
      <c r="Z827">
        <v>98983</v>
      </c>
    </row>
    <row r="828" spans="1:26" x14ac:dyDescent="0.25">
      <c r="A828" t="s">
        <v>1459</v>
      </c>
      <c r="B828" t="s">
        <v>26</v>
      </c>
      <c r="C828" t="s">
        <v>27</v>
      </c>
      <c r="H828" s="2">
        <v>45755.609722222223</v>
      </c>
      <c r="I828" t="s">
        <v>95</v>
      </c>
      <c r="Z828">
        <v>98981</v>
      </c>
    </row>
    <row r="829" spans="1:26" x14ac:dyDescent="0.25">
      <c r="A829" t="s">
        <v>1460</v>
      </c>
      <c r="B829" t="s">
        <v>77</v>
      </c>
      <c r="C829" t="s">
        <v>27</v>
      </c>
      <c r="E829" t="s">
        <v>79</v>
      </c>
      <c r="H829" s="2">
        <v>45755.489583333336</v>
      </c>
      <c r="I829" t="s">
        <v>29</v>
      </c>
      <c r="Z829">
        <v>98969</v>
      </c>
    </row>
    <row r="830" spans="1:26" x14ac:dyDescent="0.25">
      <c r="A830" t="s">
        <v>1461</v>
      </c>
      <c r="B830" t="s">
        <v>26</v>
      </c>
      <c r="C830" t="s">
        <v>27</v>
      </c>
      <c r="H830" s="2">
        <v>45754.53125</v>
      </c>
      <c r="I830" t="s">
        <v>95</v>
      </c>
      <c r="Z830">
        <v>98927</v>
      </c>
    </row>
    <row r="831" spans="1:26" x14ac:dyDescent="0.25">
      <c r="A831" t="s">
        <v>271</v>
      </c>
      <c r="B831" t="s">
        <v>164</v>
      </c>
      <c r="C831" t="s">
        <v>27</v>
      </c>
      <c r="E831" t="s">
        <v>101</v>
      </c>
      <c r="H831" s="2">
        <v>45754.504861111112</v>
      </c>
      <c r="I831" t="s">
        <v>95</v>
      </c>
      <c r="Z831">
        <v>98922</v>
      </c>
    </row>
    <row r="832" spans="1:26" x14ac:dyDescent="0.25">
      <c r="A832" t="s">
        <v>109</v>
      </c>
      <c r="C832" t="s">
        <v>27</v>
      </c>
      <c r="E832" t="s">
        <v>101</v>
      </c>
      <c r="H832" s="2">
        <v>45754.487500000003</v>
      </c>
      <c r="I832" t="s">
        <v>95</v>
      </c>
      <c r="Z832">
        <v>98917</v>
      </c>
    </row>
    <row r="833" spans="1:26" x14ac:dyDescent="0.25">
      <c r="A833" t="s">
        <v>271</v>
      </c>
      <c r="B833" t="s">
        <v>150</v>
      </c>
      <c r="C833" t="s">
        <v>27</v>
      </c>
      <c r="E833" t="s">
        <v>101</v>
      </c>
      <c r="H833" s="2">
        <v>45754.479861111111</v>
      </c>
      <c r="I833" t="s">
        <v>95</v>
      </c>
      <c r="Z833">
        <v>98915</v>
      </c>
    </row>
    <row r="834" spans="1:26" x14ac:dyDescent="0.25">
      <c r="A834" t="s">
        <v>109</v>
      </c>
      <c r="C834" t="s">
        <v>27</v>
      </c>
      <c r="E834" t="s">
        <v>103</v>
      </c>
      <c r="H834" s="2">
        <v>45754.473611111112</v>
      </c>
      <c r="I834" t="s">
        <v>95</v>
      </c>
      <c r="Z834">
        <v>98914</v>
      </c>
    </row>
    <row r="835" spans="1:26" x14ac:dyDescent="0.25">
      <c r="A835" t="s">
        <v>1462</v>
      </c>
      <c r="B835" t="s">
        <v>26</v>
      </c>
      <c r="C835" t="s">
        <v>27</v>
      </c>
      <c r="H835" s="2">
        <v>45754.443749999999</v>
      </c>
      <c r="I835" t="s">
        <v>95</v>
      </c>
      <c r="Z835">
        <v>98911</v>
      </c>
    </row>
    <row r="836" spans="1:26" x14ac:dyDescent="0.25">
      <c r="A836" t="s">
        <v>1463</v>
      </c>
      <c r="B836" t="s">
        <v>46</v>
      </c>
      <c r="C836" t="s">
        <v>27</v>
      </c>
      <c r="E836" t="s">
        <v>88</v>
      </c>
      <c r="G836" t="s">
        <v>1464</v>
      </c>
      <c r="H836" s="2">
        <v>45753.762499999997</v>
      </c>
      <c r="I836" t="s">
        <v>29</v>
      </c>
      <c r="Z836">
        <v>98894</v>
      </c>
    </row>
    <row r="837" spans="1:26" x14ac:dyDescent="0.25">
      <c r="A837" t="s">
        <v>109</v>
      </c>
      <c r="C837" t="s">
        <v>27</v>
      </c>
      <c r="E837" t="s">
        <v>84</v>
      </c>
      <c r="H837" s="2">
        <v>45753.478472222225</v>
      </c>
      <c r="I837" t="s">
        <v>40</v>
      </c>
      <c r="Z837">
        <v>98883</v>
      </c>
    </row>
    <row r="838" spans="1:26" x14ac:dyDescent="0.25">
      <c r="A838" t="s">
        <v>1465</v>
      </c>
      <c r="B838" t="s">
        <v>26</v>
      </c>
      <c r="C838" t="s">
        <v>27</v>
      </c>
      <c r="H838" s="2">
        <v>45751.744444444441</v>
      </c>
      <c r="I838" t="s">
        <v>153</v>
      </c>
      <c r="Z838">
        <v>98824</v>
      </c>
    </row>
    <row r="839" spans="1:26" x14ac:dyDescent="0.25">
      <c r="A839" t="s">
        <v>1466</v>
      </c>
      <c r="B839" t="s">
        <v>26</v>
      </c>
      <c r="C839" t="s">
        <v>27</v>
      </c>
      <c r="H839" s="2">
        <v>45751.682638888888</v>
      </c>
      <c r="I839" t="s">
        <v>40</v>
      </c>
      <c r="Z839">
        <v>98818</v>
      </c>
    </row>
    <row r="840" spans="1:26" x14ac:dyDescent="0.25">
      <c r="A840" t="s">
        <v>1467</v>
      </c>
      <c r="B840" t="s">
        <v>26</v>
      </c>
      <c r="C840" t="s">
        <v>27</v>
      </c>
      <c r="H840" s="2">
        <v>45751.488194444442</v>
      </c>
      <c r="I840" t="s">
        <v>40</v>
      </c>
      <c r="Z840">
        <v>98798</v>
      </c>
    </row>
    <row r="841" spans="1:26" x14ac:dyDescent="0.25">
      <c r="A841" t="s">
        <v>1468</v>
      </c>
      <c r="B841" t="s">
        <v>26</v>
      </c>
      <c r="C841" t="s">
        <v>27</v>
      </c>
      <c r="H841" s="2">
        <v>45750.805555555555</v>
      </c>
      <c r="I841" t="s">
        <v>95</v>
      </c>
      <c r="Z841">
        <v>98779</v>
      </c>
    </row>
    <row r="842" spans="1:26" x14ac:dyDescent="0.25">
      <c r="A842" t="s">
        <v>1469</v>
      </c>
      <c r="B842" t="s">
        <v>77</v>
      </c>
      <c r="C842" t="s">
        <v>27</v>
      </c>
      <c r="E842" t="s">
        <v>45</v>
      </c>
      <c r="H842" s="2">
        <v>45750.662499999999</v>
      </c>
      <c r="I842" t="s">
        <v>40</v>
      </c>
      <c r="Z842">
        <v>98768</v>
      </c>
    </row>
    <row r="843" spans="1:26" x14ac:dyDescent="0.25">
      <c r="A843" t="s">
        <v>234</v>
      </c>
      <c r="B843" t="s">
        <v>164</v>
      </c>
      <c r="C843" t="s">
        <v>27</v>
      </c>
      <c r="E843" t="s">
        <v>45</v>
      </c>
      <c r="H843" s="2">
        <v>45750.413194444445</v>
      </c>
      <c r="I843" t="s">
        <v>153</v>
      </c>
      <c r="K843" t="s">
        <v>30</v>
      </c>
      <c r="L843" t="s">
        <v>31</v>
      </c>
      <c r="M843">
        <v>67130164</v>
      </c>
      <c r="N843">
        <v>12403825921</v>
      </c>
      <c r="O843" t="s">
        <v>682</v>
      </c>
      <c r="Z843">
        <v>98734</v>
      </c>
    </row>
    <row r="844" spans="1:26" x14ac:dyDescent="0.25">
      <c r="A844" t="s">
        <v>92</v>
      </c>
      <c r="B844" t="s">
        <v>26</v>
      </c>
      <c r="C844" t="s">
        <v>27</v>
      </c>
      <c r="H844" s="2">
        <v>45749.624305555553</v>
      </c>
      <c r="I844" t="s">
        <v>95</v>
      </c>
      <c r="Z844">
        <v>98703</v>
      </c>
    </row>
    <row r="845" spans="1:26" x14ac:dyDescent="0.25">
      <c r="A845" t="s">
        <v>1470</v>
      </c>
      <c r="B845" t="s">
        <v>26</v>
      </c>
      <c r="C845" t="s">
        <v>27</v>
      </c>
      <c r="H845" s="2">
        <v>45748.559027777781</v>
      </c>
      <c r="I845" t="s">
        <v>95</v>
      </c>
      <c r="Z845">
        <v>98626</v>
      </c>
    </row>
    <row r="846" spans="1:26" x14ac:dyDescent="0.25">
      <c r="A846" t="s">
        <v>92</v>
      </c>
      <c r="B846" t="s">
        <v>26</v>
      </c>
      <c r="C846" t="s">
        <v>27</v>
      </c>
      <c r="H846" s="2">
        <v>45748.473611111112</v>
      </c>
      <c r="I846" t="s">
        <v>29</v>
      </c>
      <c r="Z846">
        <v>98620</v>
      </c>
    </row>
    <row r="847" spans="1:26" x14ac:dyDescent="0.25">
      <c r="A847" t="s">
        <v>1471</v>
      </c>
      <c r="B847" t="s">
        <v>185</v>
      </c>
      <c r="C847" t="s">
        <v>27</v>
      </c>
      <c r="E847" t="s">
        <v>1472</v>
      </c>
      <c r="G847" t="s">
        <v>1473</v>
      </c>
      <c r="H847" s="2">
        <v>45747.731249999997</v>
      </c>
      <c r="I847" t="s">
        <v>95</v>
      </c>
      <c r="Z847">
        <v>98589</v>
      </c>
    </row>
    <row r="848" spans="1:26" x14ac:dyDescent="0.25">
      <c r="A848" t="s">
        <v>92</v>
      </c>
      <c r="B848" t="s">
        <v>26</v>
      </c>
      <c r="C848" t="s">
        <v>27</v>
      </c>
      <c r="H848" s="2">
        <v>45747.575694444444</v>
      </c>
      <c r="I848" t="s">
        <v>29</v>
      </c>
      <c r="Z848">
        <v>98566</v>
      </c>
    </row>
    <row r="849" spans="1:26" x14ac:dyDescent="0.25">
      <c r="A849" t="s">
        <v>1474</v>
      </c>
      <c r="B849" t="s">
        <v>26</v>
      </c>
      <c r="C849" t="s">
        <v>27</v>
      </c>
      <c r="E849" t="s">
        <v>179</v>
      </c>
      <c r="H849" s="2">
        <v>45747.569444444445</v>
      </c>
      <c r="I849" t="s">
        <v>29</v>
      </c>
      <c r="Z849">
        <v>98565</v>
      </c>
    </row>
    <row r="850" spans="1:26" x14ac:dyDescent="0.25">
      <c r="A850" t="s">
        <v>92</v>
      </c>
      <c r="B850" t="s">
        <v>26</v>
      </c>
      <c r="C850" t="s">
        <v>27</v>
      </c>
      <c r="H850" s="2">
        <v>45747.48333333333</v>
      </c>
      <c r="I850" t="s">
        <v>29</v>
      </c>
      <c r="Z850">
        <v>98551</v>
      </c>
    </row>
    <row r="851" spans="1:26" x14ac:dyDescent="0.25">
      <c r="A851" t="s">
        <v>1475</v>
      </c>
      <c r="B851" t="s">
        <v>26</v>
      </c>
      <c r="C851" t="s">
        <v>27</v>
      </c>
      <c r="H851" s="2">
        <v>45746.568055555559</v>
      </c>
      <c r="I851" t="s">
        <v>40</v>
      </c>
      <c r="Z851">
        <v>98514</v>
      </c>
    </row>
    <row r="852" spans="1:26" x14ac:dyDescent="0.25">
      <c r="A852" t="s">
        <v>1476</v>
      </c>
      <c r="B852" t="s">
        <v>26</v>
      </c>
      <c r="C852" t="s">
        <v>27</v>
      </c>
      <c r="H852" s="2">
        <v>45745.832638888889</v>
      </c>
      <c r="I852" t="s">
        <v>40</v>
      </c>
      <c r="Z852">
        <v>98497</v>
      </c>
    </row>
    <row r="853" spans="1:26" x14ac:dyDescent="0.25">
      <c r="A853" t="s">
        <v>1477</v>
      </c>
      <c r="B853" t="s">
        <v>26</v>
      </c>
      <c r="C853" t="s">
        <v>27</v>
      </c>
      <c r="H853" s="2">
        <v>45745.51666666667</v>
      </c>
      <c r="I853" t="s">
        <v>40</v>
      </c>
      <c r="Z853">
        <v>98461</v>
      </c>
    </row>
    <row r="854" spans="1:26" x14ac:dyDescent="0.25">
      <c r="A854" t="s">
        <v>1478</v>
      </c>
      <c r="B854" t="s">
        <v>150</v>
      </c>
      <c r="C854" t="s">
        <v>27</v>
      </c>
      <c r="E854" t="s">
        <v>1479</v>
      </c>
      <c r="H854" s="2">
        <v>45744.654166666667</v>
      </c>
      <c r="I854" t="s">
        <v>95</v>
      </c>
      <c r="K854" t="s">
        <v>30</v>
      </c>
      <c r="L854" t="s">
        <v>31</v>
      </c>
      <c r="M854">
        <v>55887024</v>
      </c>
      <c r="N854">
        <v>9754613610</v>
      </c>
      <c r="O854" t="s">
        <v>1480</v>
      </c>
      <c r="Z854">
        <v>98418</v>
      </c>
    </row>
    <row r="855" spans="1:26" x14ac:dyDescent="0.25">
      <c r="A855" t="s">
        <v>1481</v>
      </c>
      <c r="B855" t="s">
        <v>26</v>
      </c>
      <c r="C855" t="s">
        <v>27</v>
      </c>
      <c r="H855" s="2">
        <v>45744.527777777781</v>
      </c>
      <c r="I855" t="s">
        <v>95</v>
      </c>
      <c r="Z855">
        <v>98397</v>
      </c>
    </row>
    <row r="856" spans="1:26" x14ac:dyDescent="0.25">
      <c r="A856" t="s">
        <v>1482</v>
      </c>
      <c r="B856" t="s">
        <v>26</v>
      </c>
      <c r="C856" t="s">
        <v>27</v>
      </c>
      <c r="H856" s="2">
        <v>45744.477777777778</v>
      </c>
      <c r="I856" t="s">
        <v>95</v>
      </c>
      <c r="Z856">
        <v>98395</v>
      </c>
    </row>
    <row r="857" spans="1:26" x14ac:dyDescent="0.25">
      <c r="A857" t="s">
        <v>92</v>
      </c>
      <c r="B857" t="s">
        <v>26</v>
      </c>
      <c r="C857" t="s">
        <v>27</v>
      </c>
      <c r="H857" s="2">
        <v>45743.525000000001</v>
      </c>
      <c r="I857" t="s">
        <v>29</v>
      </c>
      <c r="Z857">
        <v>98339</v>
      </c>
    </row>
    <row r="858" spans="1:26" x14ac:dyDescent="0.25">
      <c r="A858" t="s">
        <v>1255</v>
      </c>
      <c r="B858" t="s">
        <v>150</v>
      </c>
      <c r="C858" t="s">
        <v>27</v>
      </c>
      <c r="E858" t="s">
        <v>1483</v>
      </c>
      <c r="H858" s="2">
        <v>45743.469444444447</v>
      </c>
      <c r="I858" t="s">
        <v>29</v>
      </c>
      <c r="K858" t="s">
        <v>30</v>
      </c>
      <c r="L858" t="s">
        <v>31</v>
      </c>
      <c r="M858">
        <v>55887024</v>
      </c>
      <c r="N858">
        <v>9754613600</v>
      </c>
      <c r="O858" t="s">
        <v>382</v>
      </c>
      <c r="Z858">
        <v>98328</v>
      </c>
    </row>
    <row r="859" spans="1:26" x14ac:dyDescent="0.25">
      <c r="A859" t="s">
        <v>869</v>
      </c>
      <c r="B859" t="s">
        <v>26</v>
      </c>
      <c r="C859" t="s">
        <v>27</v>
      </c>
      <c r="E859" t="s">
        <v>1484</v>
      </c>
      <c r="H859" s="2">
        <v>45743.456250000003</v>
      </c>
      <c r="I859" t="s">
        <v>29</v>
      </c>
      <c r="Z859">
        <v>98325</v>
      </c>
    </row>
    <row r="860" spans="1:26" x14ac:dyDescent="0.25">
      <c r="A860" t="s">
        <v>92</v>
      </c>
      <c r="B860" t="s">
        <v>26</v>
      </c>
      <c r="C860" t="s">
        <v>27</v>
      </c>
      <c r="H860" s="2">
        <v>45742.736805555556</v>
      </c>
      <c r="I860" t="s">
        <v>29</v>
      </c>
      <c r="Z860">
        <v>98301</v>
      </c>
    </row>
    <row r="861" spans="1:26" x14ac:dyDescent="0.25">
      <c r="A861" t="s">
        <v>1485</v>
      </c>
      <c r="B861" t="s">
        <v>164</v>
      </c>
      <c r="C861" t="s">
        <v>27</v>
      </c>
      <c r="E861" t="s">
        <v>44</v>
      </c>
      <c r="G861" t="s">
        <v>1486</v>
      </c>
      <c r="H861" s="2">
        <v>45742.661805555559</v>
      </c>
      <c r="I861" t="s">
        <v>194</v>
      </c>
      <c r="Z861">
        <v>98285</v>
      </c>
    </row>
    <row r="862" spans="1:26" x14ac:dyDescent="0.25">
      <c r="A862" t="s">
        <v>1487</v>
      </c>
      <c r="B862" t="s">
        <v>150</v>
      </c>
      <c r="C862" t="s">
        <v>27</v>
      </c>
      <c r="E862" t="s">
        <v>1488</v>
      </c>
      <c r="G862" t="s">
        <v>1488</v>
      </c>
      <c r="H862" s="2">
        <v>45742.593055555553</v>
      </c>
      <c r="I862" t="s">
        <v>194</v>
      </c>
      <c r="Z862">
        <v>98274</v>
      </c>
    </row>
    <row r="863" spans="1:26" x14ac:dyDescent="0.25">
      <c r="A863" t="s">
        <v>1489</v>
      </c>
      <c r="B863" t="s">
        <v>26</v>
      </c>
      <c r="C863" t="s">
        <v>27</v>
      </c>
      <c r="H863" s="2">
        <v>45742.538888888892</v>
      </c>
      <c r="I863" t="s">
        <v>29</v>
      </c>
      <c r="Z863">
        <v>98269</v>
      </c>
    </row>
    <row r="864" spans="1:26" x14ac:dyDescent="0.25">
      <c r="A864" t="s">
        <v>1490</v>
      </c>
      <c r="B864" t="s">
        <v>26</v>
      </c>
      <c r="C864" t="s">
        <v>27</v>
      </c>
      <c r="H864" s="2">
        <v>45742.515277777777</v>
      </c>
      <c r="I864" t="s">
        <v>29</v>
      </c>
      <c r="Z864">
        <v>98264</v>
      </c>
    </row>
    <row r="865" spans="1:26" x14ac:dyDescent="0.25">
      <c r="A865" t="s">
        <v>1491</v>
      </c>
      <c r="B865" t="s">
        <v>150</v>
      </c>
      <c r="C865" t="s">
        <v>27</v>
      </c>
      <c r="E865" t="s">
        <v>87</v>
      </c>
      <c r="G865" t="s">
        <v>1492</v>
      </c>
      <c r="H865" s="2">
        <v>45742.481249999997</v>
      </c>
      <c r="I865" t="s">
        <v>95</v>
      </c>
      <c r="Z865">
        <v>98259</v>
      </c>
    </row>
    <row r="866" spans="1:26" x14ac:dyDescent="0.25">
      <c r="A866" t="s">
        <v>92</v>
      </c>
      <c r="B866" t="s">
        <v>26</v>
      </c>
      <c r="C866" t="s">
        <v>27</v>
      </c>
      <c r="E866" t="s">
        <v>1493</v>
      </c>
      <c r="H866" s="2">
        <v>45741.780555555553</v>
      </c>
      <c r="I866" t="s">
        <v>29</v>
      </c>
      <c r="Z866">
        <v>98225</v>
      </c>
    </row>
    <row r="867" spans="1:26" x14ac:dyDescent="0.25">
      <c r="A867" t="s">
        <v>1494</v>
      </c>
      <c r="B867" t="s">
        <v>26</v>
      </c>
      <c r="C867" t="s">
        <v>27</v>
      </c>
      <c r="H867" s="2">
        <v>45741.768055555556</v>
      </c>
      <c r="I867" t="s">
        <v>40</v>
      </c>
      <c r="Z867">
        <v>98221</v>
      </c>
    </row>
    <row r="868" spans="1:26" x14ac:dyDescent="0.25">
      <c r="A868" t="s">
        <v>1495</v>
      </c>
      <c r="B868" t="s">
        <v>164</v>
      </c>
      <c r="C868" t="s">
        <v>27</v>
      </c>
      <c r="E868" t="s">
        <v>1496</v>
      </c>
      <c r="G868" t="s">
        <v>1497</v>
      </c>
      <c r="H868" s="2">
        <v>45741.613888888889</v>
      </c>
      <c r="I868" t="s">
        <v>153</v>
      </c>
      <c r="Z868">
        <v>98190</v>
      </c>
    </row>
    <row r="869" spans="1:26" x14ac:dyDescent="0.25">
      <c r="A869" t="s">
        <v>956</v>
      </c>
      <c r="B869" t="s">
        <v>26</v>
      </c>
      <c r="C869" t="s">
        <v>27</v>
      </c>
      <c r="H869" s="2">
        <v>45741.600694444445</v>
      </c>
      <c r="I869" t="s">
        <v>29</v>
      </c>
      <c r="Z869">
        <v>98188</v>
      </c>
    </row>
    <row r="870" spans="1:26" x14ac:dyDescent="0.25">
      <c r="A870" t="s">
        <v>1498</v>
      </c>
      <c r="B870" t="s">
        <v>26</v>
      </c>
      <c r="C870" t="s">
        <v>27</v>
      </c>
      <c r="H870" s="2">
        <v>45741.487500000003</v>
      </c>
      <c r="I870" t="s">
        <v>40</v>
      </c>
      <c r="Z870">
        <v>98167</v>
      </c>
    </row>
    <row r="871" spans="1:26" x14ac:dyDescent="0.25">
      <c r="A871" t="s">
        <v>1255</v>
      </c>
      <c r="C871" t="s">
        <v>27</v>
      </c>
      <c r="E871" t="s">
        <v>74</v>
      </c>
      <c r="H871" s="2">
        <v>45740.905555555553</v>
      </c>
      <c r="I871" t="s">
        <v>29</v>
      </c>
      <c r="Z871">
        <v>98146</v>
      </c>
    </row>
    <row r="872" spans="1:26" x14ac:dyDescent="0.25">
      <c r="A872" t="s">
        <v>1499</v>
      </c>
      <c r="B872" t="s">
        <v>26</v>
      </c>
      <c r="C872" t="s">
        <v>27</v>
      </c>
      <c r="H872" s="2">
        <v>45740.629166666666</v>
      </c>
      <c r="I872" t="s">
        <v>29</v>
      </c>
      <c r="Z872">
        <v>98101</v>
      </c>
    </row>
    <row r="873" spans="1:26" x14ac:dyDescent="0.25">
      <c r="A873" t="s">
        <v>1500</v>
      </c>
      <c r="B873" t="s">
        <v>26</v>
      </c>
      <c r="C873" t="s">
        <v>27</v>
      </c>
      <c r="E873" t="s">
        <v>190</v>
      </c>
      <c r="H873" s="2">
        <v>45740.584027777775</v>
      </c>
      <c r="I873" t="s">
        <v>153</v>
      </c>
      <c r="Z873">
        <v>98089</v>
      </c>
    </row>
    <row r="874" spans="1:26" x14ac:dyDescent="0.25">
      <c r="A874" t="s">
        <v>1501</v>
      </c>
      <c r="B874" t="s">
        <v>26</v>
      </c>
      <c r="C874" t="s">
        <v>27</v>
      </c>
      <c r="H874" s="2">
        <v>45739.417361111111</v>
      </c>
      <c r="I874" t="s">
        <v>40</v>
      </c>
      <c r="Z874">
        <v>97986</v>
      </c>
    </row>
    <row r="875" spans="1:26" x14ac:dyDescent="0.25">
      <c r="A875" t="s">
        <v>1502</v>
      </c>
      <c r="B875" t="s">
        <v>150</v>
      </c>
      <c r="C875" t="s">
        <v>27</v>
      </c>
      <c r="E875" t="s">
        <v>101</v>
      </c>
      <c r="H875" s="2">
        <v>45739.415277777778</v>
      </c>
      <c r="I875" t="s">
        <v>40</v>
      </c>
      <c r="K875" t="s">
        <v>30</v>
      </c>
      <c r="L875" t="s">
        <v>31</v>
      </c>
      <c r="M875">
        <v>104108031</v>
      </c>
      <c r="N875">
        <v>15719003139</v>
      </c>
      <c r="O875" t="s">
        <v>682</v>
      </c>
      <c r="Z875">
        <v>97985</v>
      </c>
    </row>
    <row r="876" spans="1:26" x14ac:dyDescent="0.25">
      <c r="A876" t="s">
        <v>1503</v>
      </c>
      <c r="B876" t="s">
        <v>26</v>
      </c>
      <c r="C876" t="s">
        <v>27</v>
      </c>
      <c r="H876" s="2">
        <v>45737.425000000003</v>
      </c>
      <c r="I876" t="s">
        <v>29</v>
      </c>
      <c r="Z876">
        <v>97851</v>
      </c>
    </row>
    <row r="877" spans="1:26" x14ac:dyDescent="0.25">
      <c r="A877" t="s">
        <v>1504</v>
      </c>
      <c r="B877" t="s">
        <v>150</v>
      </c>
      <c r="C877" t="s">
        <v>27</v>
      </c>
      <c r="E877" t="s">
        <v>244</v>
      </c>
      <c r="G877" t="s">
        <v>1505</v>
      </c>
      <c r="H877" s="2">
        <v>45737.409722222219</v>
      </c>
      <c r="I877" t="s">
        <v>29</v>
      </c>
      <c r="Z877">
        <v>97848</v>
      </c>
    </row>
    <row r="878" spans="1:26" x14ac:dyDescent="0.25">
      <c r="A878" t="s">
        <v>787</v>
      </c>
      <c r="B878" t="s">
        <v>46</v>
      </c>
      <c r="C878" t="s">
        <v>27</v>
      </c>
      <c r="E878" t="s">
        <v>1506</v>
      </c>
      <c r="G878" t="s">
        <v>1507</v>
      </c>
      <c r="H878" s="2">
        <v>45736.718055555553</v>
      </c>
      <c r="I878" t="s">
        <v>29</v>
      </c>
      <c r="Z878">
        <v>97832</v>
      </c>
    </row>
    <row r="879" spans="1:26" x14ac:dyDescent="0.25">
      <c r="A879" t="s">
        <v>787</v>
      </c>
      <c r="B879" t="s">
        <v>164</v>
      </c>
      <c r="C879" t="s">
        <v>27</v>
      </c>
      <c r="E879" t="s">
        <v>66</v>
      </c>
      <c r="H879" s="2">
        <v>45736.69027777778</v>
      </c>
      <c r="I879" t="s">
        <v>29</v>
      </c>
      <c r="Z879">
        <v>97823</v>
      </c>
    </row>
    <row r="880" spans="1:26" x14ac:dyDescent="0.25">
      <c r="A880" t="s">
        <v>921</v>
      </c>
      <c r="B880" t="s">
        <v>26</v>
      </c>
      <c r="C880" t="s">
        <v>27</v>
      </c>
      <c r="H880" s="2">
        <v>45736.65625</v>
      </c>
      <c r="I880" t="s">
        <v>29</v>
      </c>
      <c r="Z880">
        <v>97819</v>
      </c>
    </row>
    <row r="881" spans="1:26" x14ac:dyDescent="0.25">
      <c r="A881" t="s">
        <v>92</v>
      </c>
      <c r="B881" t="s">
        <v>26</v>
      </c>
      <c r="C881" t="s">
        <v>27</v>
      </c>
      <c r="H881" s="2">
        <v>45736.51666666667</v>
      </c>
      <c r="I881" t="s">
        <v>29</v>
      </c>
      <c r="Z881">
        <v>97802</v>
      </c>
    </row>
    <row r="882" spans="1:26" x14ac:dyDescent="0.25">
      <c r="A882" t="s">
        <v>102</v>
      </c>
      <c r="B882" t="s">
        <v>77</v>
      </c>
      <c r="C882" t="s">
        <v>27</v>
      </c>
      <c r="E882" t="s">
        <v>84</v>
      </c>
      <c r="H882" s="2">
        <v>45736.494444444441</v>
      </c>
      <c r="I882" t="s">
        <v>95</v>
      </c>
      <c r="Z882">
        <v>97798</v>
      </c>
    </row>
    <row r="883" spans="1:26" x14ac:dyDescent="0.25">
      <c r="A883" t="s">
        <v>1508</v>
      </c>
      <c r="B883" t="s">
        <v>164</v>
      </c>
      <c r="C883" t="s">
        <v>27</v>
      </c>
      <c r="E883" t="s">
        <v>1509</v>
      </c>
      <c r="H883" s="2">
        <v>45735.840277777781</v>
      </c>
      <c r="I883" t="s">
        <v>29</v>
      </c>
      <c r="Z883">
        <v>97772</v>
      </c>
    </row>
    <row r="884" spans="1:26" x14ac:dyDescent="0.25">
      <c r="A884" t="s">
        <v>92</v>
      </c>
      <c r="B884" t="s">
        <v>164</v>
      </c>
      <c r="C884" t="s">
        <v>27</v>
      </c>
      <c r="E884" t="s">
        <v>1510</v>
      </c>
      <c r="G884" t="s">
        <v>1511</v>
      </c>
      <c r="H884" s="2">
        <v>45735.743055555555</v>
      </c>
      <c r="I884" t="s">
        <v>29</v>
      </c>
      <c r="Z884">
        <v>97763</v>
      </c>
    </row>
    <row r="885" spans="1:26" x14ac:dyDescent="0.25">
      <c r="A885" t="s">
        <v>1512</v>
      </c>
      <c r="B885" t="s">
        <v>26</v>
      </c>
      <c r="C885" t="s">
        <v>27</v>
      </c>
      <c r="H885" s="2">
        <v>45735.724999999999</v>
      </c>
      <c r="I885" t="s">
        <v>29</v>
      </c>
      <c r="Z885">
        <v>97759</v>
      </c>
    </row>
    <row r="886" spans="1:26" x14ac:dyDescent="0.25">
      <c r="A886" t="s">
        <v>1513</v>
      </c>
      <c r="B886" t="s">
        <v>150</v>
      </c>
      <c r="C886" t="s">
        <v>64</v>
      </c>
      <c r="E886" t="s">
        <v>120</v>
      </c>
      <c r="G886" t="s">
        <v>49</v>
      </c>
      <c r="H886" s="2">
        <v>45735.707638888889</v>
      </c>
      <c r="I886" t="s">
        <v>29</v>
      </c>
      <c r="Z886">
        <v>97758</v>
      </c>
    </row>
    <row r="887" spans="1:26" x14ac:dyDescent="0.25">
      <c r="A887" t="s">
        <v>92</v>
      </c>
      <c r="B887" t="s">
        <v>26</v>
      </c>
      <c r="C887" t="s">
        <v>27</v>
      </c>
      <c r="H887" s="2">
        <v>45735.553472222222</v>
      </c>
      <c r="I887" t="s">
        <v>29</v>
      </c>
      <c r="Z887">
        <v>97737</v>
      </c>
    </row>
    <row r="888" spans="1:26" x14ac:dyDescent="0.25">
      <c r="A888" t="s">
        <v>1514</v>
      </c>
      <c r="B888" t="s">
        <v>26</v>
      </c>
      <c r="C888" t="s">
        <v>27</v>
      </c>
      <c r="H888" s="2">
        <v>45733.857638888891</v>
      </c>
      <c r="I888" t="s">
        <v>153</v>
      </c>
      <c r="Z888">
        <v>97675</v>
      </c>
    </row>
    <row r="889" spans="1:26" x14ac:dyDescent="0.25">
      <c r="A889" t="s">
        <v>1515</v>
      </c>
      <c r="B889" t="s">
        <v>26</v>
      </c>
      <c r="C889" t="s">
        <v>27</v>
      </c>
      <c r="H889" s="2">
        <v>45733.683333333334</v>
      </c>
      <c r="I889" t="s">
        <v>40</v>
      </c>
      <c r="Z889">
        <v>97669</v>
      </c>
    </row>
    <row r="890" spans="1:26" x14ac:dyDescent="0.25">
      <c r="A890" t="s">
        <v>1516</v>
      </c>
      <c r="B890" t="s">
        <v>150</v>
      </c>
      <c r="C890" t="s">
        <v>27</v>
      </c>
      <c r="E890" t="s">
        <v>54</v>
      </c>
      <c r="G890" t="s">
        <v>1517</v>
      </c>
      <c r="H890" s="2">
        <v>45733.506944444445</v>
      </c>
      <c r="I890" t="s">
        <v>40</v>
      </c>
      <c r="Z890">
        <v>97645</v>
      </c>
    </row>
    <row r="891" spans="1:26" x14ac:dyDescent="0.25">
      <c r="A891" t="s">
        <v>109</v>
      </c>
      <c r="C891" t="s">
        <v>27</v>
      </c>
      <c r="E891" t="s">
        <v>54</v>
      </c>
      <c r="H891" s="2">
        <v>45733.436805555553</v>
      </c>
      <c r="I891" t="s">
        <v>40</v>
      </c>
      <c r="Z891">
        <v>97635</v>
      </c>
    </row>
    <row r="892" spans="1:26" x14ac:dyDescent="0.25">
      <c r="A892" t="s">
        <v>1518</v>
      </c>
      <c r="B892" t="s">
        <v>26</v>
      </c>
      <c r="C892" t="s">
        <v>27</v>
      </c>
      <c r="H892" s="2">
        <v>45732.445138888892</v>
      </c>
      <c r="I892" t="s">
        <v>95</v>
      </c>
      <c r="Z892">
        <v>97605</v>
      </c>
    </row>
    <row r="893" spans="1:26" x14ac:dyDescent="0.25">
      <c r="A893" t="s">
        <v>1519</v>
      </c>
      <c r="B893" t="s">
        <v>150</v>
      </c>
      <c r="C893" t="s">
        <v>27</v>
      </c>
      <c r="E893" t="s">
        <v>63</v>
      </c>
      <c r="G893" t="s">
        <v>1520</v>
      </c>
      <c r="H893" s="2">
        <v>45731.527083333334</v>
      </c>
      <c r="I893" t="s">
        <v>29</v>
      </c>
      <c r="Z893">
        <v>97576</v>
      </c>
    </row>
    <row r="894" spans="1:26" x14ac:dyDescent="0.25">
      <c r="A894" t="s">
        <v>1521</v>
      </c>
      <c r="B894" t="s">
        <v>26</v>
      </c>
      <c r="C894" t="s">
        <v>27</v>
      </c>
      <c r="H894" s="2">
        <v>45731.427777777775</v>
      </c>
      <c r="I894" t="s">
        <v>95</v>
      </c>
      <c r="Z894">
        <v>97563</v>
      </c>
    </row>
    <row r="895" spans="1:26" x14ac:dyDescent="0.25">
      <c r="A895" t="s">
        <v>1522</v>
      </c>
      <c r="B895" t="s">
        <v>26</v>
      </c>
      <c r="C895" t="s">
        <v>27</v>
      </c>
      <c r="H895" s="2">
        <v>45730.651388888888</v>
      </c>
      <c r="I895" t="s">
        <v>29</v>
      </c>
      <c r="Z895">
        <v>97534</v>
      </c>
    </row>
    <row r="896" spans="1:26" x14ac:dyDescent="0.25">
      <c r="A896" t="s">
        <v>1523</v>
      </c>
      <c r="B896" t="s">
        <v>26</v>
      </c>
      <c r="C896" t="s">
        <v>27</v>
      </c>
      <c r="H896" s="2">
        <v>45730.609722222223</v>
      </c>
      <c r="I896" t="s">
        <v>95</v>
      </c>
      <c r="Z896">
        <v>97532</v>
      </c>
    </row>
    <row r="897" spans="1:26" x14ac:dyDescent="0.25">
      <c r="A897" t="s">
        <v>92</v>
      </c>
      <c r="B897" t="s">
        <v>26</v>
      </c>
      <c r="C897" t="s">
        <v>27</v>
      </c>
      <c r="H897" s="2">
        <v>45730.467361111114</v>
      </c>
      <c r="I897" t="s">
        <v>29</v>
      </c>
      <c r="Z897">
        <v>97518</v>
      </c>
    </row>
    <row r="898" spans="1:26" x14ac:dyDescent="0.25">
      <c r="A898" t="s">
        <v>92</v>
      </c>
      <c r="B898" t="s">
        <v>164</v>
      </c>
      <c r="C898" t="s">
        <v>27</v>
      </c>
      <c r="E898" t="s">
        <v>45</v>
      </c>
      <c r="H898" s="2">
        <v>45730.349305555559</v>
      </c>
      <c r="I898" t="s">
        <v>29</v>
      </c>
      <c r="K898" t="s">
        <v>30</v>
      </c>
      <c r="L898" t="s">
        <v>31</v>
      </c>
      <c r="M898">
        <v>67130164</v>
      </c>
      <c r="N898">
        <v>12403825950</v>
      </c>
      <c r="O898" t="s">
        <v>682</v>
      </c>
      <c r="Z898">
        <v>97505</v>
      </c>
    </row>
    <row r="899" spans="1:26" x14ac:dyDescent="0.25">
      <c r="A899" t="s">
        <v>92</v>
      </c>
      <c r="B899" t="s">
        <v>26</v>
      </c>
      <c r="C899" t="s">
        <v>27</v>
      </c>
      <c r="H899" s="2">
        <v>45729.689583333333</v>
      </c>
      <c r="I899" t="s">
        <v>29</v>
      </c>
      <c r="Z899">
        <v>97497</v>
      </c>
    </row>
    <row r="900" spans="1:26" x14ac:dyDescent="0.25">
      <c r="A900" t="s">
        <v>1524</v>
      </c>
      <c r="B900" t="s">
        <v>26</v>
      </c>
      <c r="C900" t="s">
        <v>27</v>
      </c>
      <c r="H900" s="2">
        <v>45728.65625</v>
      </c>
      <c r="I900" t="s">
        <v>40</v>
      </c>
      <c r="Z900">
        <v>97464</v>
      </c>
    </row>
    <row r="901" spans="1:26" x14ac:dyDescent="0.25">
      <c r="A901" t="s">
        <v>1525</v>
      </c>
      <c r="B901" t="s">
        <v>26</v>
      </c>
      <c r="C901" t="s">
        <v>27</v>
      </c>
      <c r="H901" s="2">
        <v>45728.574999999997</v>
      </c>
      <c r="I901" t="s">
        <v>40</v>
      </c>
      <c r="Z901">
        <v>97458</v>
      </c>
    </row>
    <row r="902" spans="1:26" x14ac:dyDescent="0.25">
      <c r="A902" t="s">
        <v>1526</v>
      </c>
      <c r="B902" t="s">
        <v>26</v>
      </c>
      <c r="C902" t="s">
        <v>27</v>
      </c>
      <c r="H902" s="2">
        <v>45728.474305555559</v>
      </c>
      <c r="I902" t="s">
        <v>40</v>
      </c>
      <c r="Z902">
        <v>97450</v>
      </c>
    </row>
    <row r="903" spans="1:26" x14ac:dyDescent="0.25">
      <c r="A903" t="s">
        <v>1527</v>
      </c>
      <c r="B903" t="s">
        <v>164</v>
      </c>
      <c r="C903" t="s">
        <v>27</v>
      </c>
      <c r="E903" t="s">
        <v>1528</v>
      </c>
      <c r="H903" s="2">
        <v>45727.699305555558</v>
      </c>
      <c r="I903" t="s">
        <v>40</v>
      </c>
      <c r="K903" t="s">
        <v>30</v>
      </c>
      <c r="L903" t="s">
        <v>31</v>
      </c>
      <c r="M903">
        <v>55887024</v>
      </c>
      <c r="N903">
        <v>9754613638</v>
      </c>
      <c r="O903" t="s">
        <v>1529</v>
      </c>
      <c r="Z903">
        <v>97429</v>
      </c>
    </row>
    <row r="904" spans="1:26" x14ac:dyDescent="0.25">
      <c r="A904" t="s">
        <v>1530</v>
      </c>
      <c r="B904" t="s">
        <v>26</v>
      </c>
      <c r="C904" t="s">
        <v>27</v>
      </c>
      <c r="E904" t="s">
        <v>53</v>
      </c>
      <c r="H904" s="2">
        <v>45727.409722222219</v>
      </c>
      <c r="I904" t="s">
        <v>153</v>
      </c>
      <c r="Z904">
        <v>97397</v>
      </c>
    </row>
    <row r="905" spans="1:26" x14ac:dyDescent="0.25">
      <c r="A905" t="s">
        <v>1531</v>
      </c>
      <c r="B905" t="s">
        <v>26</v>
      </c>
      <c r="C905" t="s">
        <v>27</v>
      </c>
      <c r="E905" t="s">
        <v>254</v>
      </c>
      <c r="H905" s="2">
        <v>45726.736805555556</v>
      </c>
      <c r="I905" t="s">
        <v>153</v>
      </c>
      <c r="Z905">
        <v>97386</v>
      </c>
    </row>
    <row r="906" spans="1:26" x14ac:dyDescent="0.25">
      <c r="A906" t="s">
        <v>1532</v>
      </c>
      <c r="B906" t="s">
        <v>26</v>
      </c>
      <c r="C906" t="s">
        <v>27</v>
      </c>
      <c r="H906" s="2">
        <v>45725.824305555558</v>
      </c>
      <c r="I906" t="s">
        <v>29</v>
      </c>
      <c r="Z906">
        <v>97340</v>
      </c>
    </row>
    <row r="907" spans="1:26" x14ac:dyDescent="0.25">
      <c r="A907" t="s">
        <v>92</v>
      </c>
      <c r="B907" t="s">
        <v>26</v>
      </c>
      <c r="C907" t="s">
        <v>27</v>
      </c>
      <c r="H907" s="2">
        <v>45725.782638888886</v>
      </c>
      <c r="I907" t="s">
        <v>29</v>
      </c>
      <c r="Z907">
        <v>97338</v>
      </c>
    </row>
    <row r="908" spans="1:26" x14ac:dyDescent="0.25">
      <c r="A908" t="s">
        <v>1533</v>
      </c>
      <c r="B908" t="s">
        <v>26</v>
      </c>
      <c r="C908" t="s">
        <v>27</v>
      </c>
      <c r="H908" s="2">
        <v>45725.557638888888</v>
      </c>
      <c r="I908" t="s">
        <v>29</v>
      </c>
      <c r="Z908">
        <v>97324</v>
      </c>
    </row>
    <row r="909" spans="1:26" x14ac:dyDescent="0.25">
      <c r="A909" t="s">
        <v>1534</v>
      </c>
      <c r="B909" t="s">
        <v>26</v>
      </c>
      <c r="C909" t="s">
        <v>27</v>
      </c>
      <c r="E909" t="s">
        <v>84</v>
      </c>
      <c r="G909" t="s">
        <v>249</v>
      </c>
      <c r="H909" s="2">
        <v>45723.84652777778</v>
      </c>
      <c r="I909" t="s">
        <v>29</v>
      </c>
      <c r="Z909">
        <v>97290</v>
      </c>
    </row>
    <row r="910" spans="1:26" x14ac:dyDescent="0.25">
      <c r="A910" t="s">
        <v>1535</v>
      </c>
      <c r="B910" t="s">
        <v>164</v>
      </c>
      <c r="C910" t="s">
        <v>27</v>
      </c>
      <c r="E910" t="s">
        <v>84</v>
      </c>
      <c r="G910" t="s">
        <v>1536</v>
      </c>
      <c r="H910" s="2">
        <v>45723.404166666667</v>
      </c>
      <c r="I910" t="s">
        <v>29</v>
      </c>
      <c r="Z910">
        <v>97276</v>
      </c>
    </row>
    <row r="911" spans="1:26" x14ac:dyDescent="0.25">
      <c r="A911" t="s">
        <v>1537</v>
      </c>
      <c r="B911" t="s">
        <v>26</v>
      </c>
      <c r="C911" t="s">
        <v>27</v>
      </c>
      <c r="H911" s="2">
        <v>45723.401388888888</v>
      </c>
      <c r="I911" t="s">
        <v>29</v>
      </c>
      <c r="Z911">
        <v>97275</v>
      </c>
    </row>
    <row r="912" spans="1:26" x14ac:dyDescent="0.25">
      <c r="A912" t="s">
        <v>1538</v>
      </c>
      <c r="B912" t="s">
        <v>150</v>
      </c>
      <c r="C912" t="s">
        <v>27</v>
      </c>
      <c r="E912" t="s">
        <v>1539</v>
      </c>
      <c r="H912" s="2">
        <v>45722.329861111109</v>
      </c>
      <c r="I912" t="s">
        <v>40</v>
      </c>
      <c r="Z912">
        <v>97245</v>
      </c>
    </row>
    <row r="913" spans="1:26" x14ac:dyDescent="0.25">
      <c r="A913" t="s">
        <v>1540</v>
      </c>
      <c r="B913" t="s">
        <v>46</v>
      </c>
      <c r="C913" t="s">
        <v>27</v>
      </c>
      <c r="E913" t="s">
        <v>45</v>
      </c>
      <c r="G913" t="s">
        <v>1541</v>
      </c>
      <c r="H913" s="2">
        <v>45721.572222222225</v>
      </c>
      <c r="I913" t="s">
        <v>40</v>
      </c>
      <c r="Z913">
        <v>97225</v>
      </c>
    </row>
    <row r="914" spans="1:26" x14ac:dyDescent="0.25">
      <c r="A914" t="s">
        <v>234</v>
      </c>
      <c r="B914" t="s">
        <v>150</v>
      </c>
      <c r="C914" t="s">
        <v>27</v>
      </c>
      <c r="E914" t="s">
        <v>45</v>
      </c>
      <c r="H914" s="2">
        <v>45719.560416666667</v>
      </c>
      <c r="I914" t="s">
        <v>95</v>
      </c>
      <c r="Z914">
        <v>97165</v>
      </c>
    </row>
    <row r="915" spans="1:26" x14ac:dyDescent="0.25">
      <c r="A915" t="s">
        <v>1057</v>
      </c>
      <c r="B915" t="s">
        <v>150</v>
      </c>
      <c r="C915" t="s">
        <v>27</v>
      </c>
      <c r="E915" t="s">
        <v>1542</v>
      </c>
      <c r="G915" t="s">
        <v>1543</v>
      </c>
      <c r="H915" s="2">
        <v>45718.859027777777</v>
      </c>
      <c r="I915" t="s">
        <v>95</v>
      </c>
      <c r="Z915">
        <v>97150</v>
      </c>
    </row>
    <row r="916" spans="1:26" x14ac:dyDescent="0.25">
      <c r="A916" t="s">
        <v>1544</v>
      </c>
      <c r="B916" t="s">
        <v>26</v>
      </c>
      <c r="C916" t="s">
        <v>27</v>
      </c>
      <c r="H916" s="2">
        <v>45718.629861111112</v>
      </c>
      <c r="I916" t="s">
        <v>29</v>
      </c>
      <c r="Z916">
        <v>97144</v>
      </c>
    </row>
    <row r="917" spans="1:26" x14ac:dyDescent="0.25">
      <c r="A917" t="s">
        <v>1545</v>
      </c>
      <c r="C917" t="s">
        <v>27</v>
      </c>
      <c r="E917" t="s">
        <v>65</v>
      </c>
      <c r="H917" s="2">
        <v>45718.427777777775</v>
      </c>
      <c r="I917" t="s">
        <v>29</v>
      </c>
      <c r="Z917">
        <v>97137</v>
      </c>
    </row>
    <row r="918" spans="1:26" x14ac:dyDescent="0.25">
      <c r="A918" t="s">
        <v>92</v>
      </c>
      <c r="B918" t="s">
        <v>26</v>
      </c>
      <c r="C918" t="s">
        <v>27</v>
      </c>
      <c r="H918" s="2">
        <v>45717.736805555556</v>
      </c>
      <c r="I918" t="s">
        <v>29</v>
      </c>
      <c r="Z918">
        <v>97129</v>
      </c>
    </row>
    <row r="919" spans="1:26" x14ac:dyDescent="0.25">
      <c r="A919" t="s">
        <v>92</v>
      </c>
      <c r="B919" t="s">
        <v>26</v>
      </c>
      <c r="C919" t="s">
        <v>27</v>
      </c>
      <c r="E919" t="s">
        <v>284</v>
      </c>
      <c r="H919" s="2">
        <v>45717.726388888892</v>
      </c>
      <c r="I919" t="s">
        <v>29</v>
      </c>
      <c r="Z919">
        <v>97128</v>
      </c>
    </row>
    <row r="920" spans="1:26" x14ac:dyDescent="0.25">
      <c r="A920" t="s">
        <v>1546</v>
      </c>
      <c r="B920" t="s">
        <v>26</v>
      </c>
      <c r="C920" t="s">
        <v>27</v>
      </c>
      <c r="H920" s="2">
        <v>45717.498611111114</v>
      </c>
      <c r="I920" t="s">
        <v>29</v>
      </c>
      <c r="Z920">
        <v>97111</v>
      </c>
    </row>
    <row r="921" spans="1:26" x14ac:dyDescent="0.25">
      <c r="A921" t="s">
        <v>1547</v>
      </c>
      <c r="B921" t="s">
        <v>150</v>
      </c>
      <c r="C921" t="s">
        <v>27</v>
      </c>
      <c r="E921" t="s">
        <v>90</v>
      </c>
      <c r="G921" t="s">
        <v>1548</v>
      </c>
      <c r="H921" s="2">
        <v>45716.680555555555</v>
      </c>
      <c r="I921" t="s">
        <v>40</v>
      </c>
      <c r="K921" t="s">
        <v>30</v>
      </c>
      <c r="L921" t="s">
        <v>31</v>
      </c>
      <c r="M921">
        <v>55887024</v>
      </c>
      <c r="N921">
        <v>9754613607</v>
      </c>
      <c r="O921" t="s">
        <v>1549</v>
      </c>
      <c r="Z921">
        <v>97088</v>
      </c>
    </row>
    <row r="922" spans="1:26" x14ac:dyDescent="0.25">
      <c r="A922" t="s">
        <v>1550</v>
      </c>
      <c r="B922" t="s">
        <v>26</v>
      </c>
      <c r="C922" t="s">
        <v>64</v>
      </c>
      <c r="H922" s="2">
        <v>45716.678472222222</v>
      </c>
      <c r="I922" t="s">
        <v>40</v>
      </c>
      <c r="Z922">
        <v>97087</v>
      </c>
    </row>
    <row r="923" spans="1:26" x14ac:dyDescent="0.25">
      <c r="A923" t="s">
        <v>1551</v>
      </c>
      <c r="B923" t="s">
        <v>26</v>
      </c>
      <c r="C923" t="s">
        <v>27</v>
      </c>
      <c r="H923" s="2">
        <v>45716.602777777778</v>
      </c>
      <c r="I923" t="s">
        <v>95</v>
      </c>
      <c r="Z923">
        <v>97083</v>
      </c>
    </row>
    <row r="924" spans="1:26" x14ac:dyDescent="0.25">
      <c r="A924" t="s">
        <v>1552</v>
      </c>
      <c r="B924" t="s">
        <v>26</v>
      </c>
      <c r="C924" t="s">
        <v>27</v>
      </c>
      <c r="H924" s="2">
        <v>45716.477777777778</v>
      </c>
      <c r="I924" t="s">
        <v>153</v>
      </c>
      <c r="Z924">
        <v>97077</v>
      </c>
    </row>
    <row r="925" spans="1:26" x14ac:dyDescent="0.25">
      <c r="A925" t="s">
        <v>1553</v>
      </c>
      <c r="B925" t="s">
        <v>26</v>
      </c>
      <c r="C925" t="s">
        <v>27</v>
      </c>
      <c r="H925" s="2">
        <v>45715.819444444445</v>
      </c>
      <c r="I925" t="s">
        <v>40</v>
      </c>
      <c r="Z925">
        <v>97068</v>
      </c>
    </row>
    <row r="926" spans="1:26" x14ac:dyDescent="0.25">
      <c r="A926" t="s">
        <v>152</v>
      </c>
      <c r="B926" t="s">
        <v>26</v>
      </c>
      <c r="C926" t="s">
        <v>27</v>
      </c>
      <c r="H926" s="2">
        <v>45714.871527777781</v>
      </c>
      <c r="I926" t="s">
        <v>95</v>
      </c>
      <c r="Z926">
        <v>97038</v>
      </c>
    </row>
    <row r="927" spans="1:26" x14ac:dyDescent="0.25">
      <c r="A927" t="s">
        <v>1554</v>
      </c>
      <c r="B927" t="s">
        <v>26</v>
      </c>
      <c r="C927" t="s">
        <v>27</v>
      </c>
      <c r="E927" t="s">
        <v>70</v>
      </c>
      <c r="H927" s="2">
        <v>45714.67083333333</v>
      </c>
      <c r="I927" t="s">
        <v>153</v>
      </c>
      <c r="Z927">
        <v>97027</v>
      </c>
    </row>
    <row r="928" spans="1:26" x14ac:dyDescent="0.25">
      <c r="A928" t="s">
        <v>1555</v>
      </c>
      <c r="B928" t="s">
        <v>26</v>
      </c>
      <c r="C928" t="s">
        <v>27</v>
      </c>
      <c r="H928" s="2">
        <v>45714.622916666667</v>
      </c>
      <c r="I928" t="s">
        <v>95</v>
      </c>
      <c r="Z928">
        <v>97024</v>
      </c>
    </row>
    <row r="929" spans="1:26" x14ac:dyDescent="0.25">
      <c r="A929" t="s">
        <v>1556</v>
      </c>
      <c r="B929" t="s">
        <v>26</v>
      </c>
      <c r="C929" t="s">
        <v>27</v>
      </c>
      <c r="H929" s="2">
        <v>45712.621527777781</v>
      </c>
      <c r="I929" t="s">
        <v>95</v>
      </c>
      <c r="Z929">
        <v>96961</v>
      </c>
    </row>
    <row r="930" spans="1:26" x14ac:dyDescent="0.25">
      <c r="A930" t="s">
        <v>1557</v>
      </c>
      <c r="B930" t="s">
        <v>26</v>
      </c>
      <c r="C930" t="s">
        <v>27</v>
      </c>
      <c r="E930" t="s">
        <v>1558</v>
      </c>
      <c r="H930" s="2">
        <v>45712.414583333331</v>
      </c>
      <c r="I930" t="s">
        <v>29</v>
      </c>
      <c r="Z930">
        <v>96947</v>
      </c>
    </row>
    <row r="931" spans="1:26" x14ac:dyDescent="0.25">
      <c r="A931" t="s">
        <v>102</v>
      </c>
      <c r="B931" t="s">
        <v>77</v>
      </c>
      <c r="C931" t="s">
        <v>27</v>
      </c>
      <c r="E931" t="s">
        <v>73</v>
      </c>
      <c r="H931" s="2">
        <v>45712.380555555559</v>
      </c>
      <c r="I931" t="s">
        <v>95</v>
      </c>
      <c r="K931" t="s">
        <v>30</v>
      </c>
      <c r="L931" t="s">
        <v>31</v>
      </c>
      <c r="M931">
        <v>55887024</v>
      </c>
      <c r="N931">
        <v>9754613602</v>
      </c>
      <c r="O931" t="s">
        <v>1559</v>
      </c>
      <c r="Z931">
        <v>96941</v>
      </c>
    </row>
    <row r="932" spans="1:26" x14ac:dyDescent="0.25">
      <c r="A932" t="s">
        <v>1560</v>
      </c>
      <c r="B932" t="s">
        <v>26</v>
      </c>
      <c r="C932" t="s">
        <v>27</v>
      </c>
      <c r="H932" s="2">
        <v>45711.817361111112</v>
      </c>
      <c r="I932" t="s">
        <v>40</v>
      </c>
      <c r="Z932">
        <v>96936</v>
      </c>
    </row>
    <row r="933" spans="1:26" x14ac:dyDescent="0.25">
      <c r="A933" t="s">
        <v>1561</v>
      </c>
      <c r="B933" t="s">
        <v>26</v>
      </c>
      <c r="C933" t="s">
        <v>27</v>
      </c>
      <c r="H933" s="2">
        <v>45711.538194444445</v>
      </c>
      <c r="I933" t="s">
        <v>29</v>
      </c>
      <c r="Z933">
        <v>96925</v>
      </c>
    </row>
    <row r="934" spans="1:26" x14ac:dyDescent="0.25">
      <c r="A934" t="s">
        <v>1562</v>
      </c>
      <c r="B934" t="s">
        <v>26</v>
      </c>
      <c r="C934" t="s">
        <v>27</v>
      </c>
      <c r="E934" t="s">
        <v>1563</v>
      </c>
      <c r="H934" s="2">
        <v>45711.439583333333</v>
      </c>
      <c r="I934" t="s">
        <v>40</v>
      </c>
      <c r="Z934">
        <v>96919</v>
      </c>
    </row>
    <row r="935" spans="1:26" x14ac:dyDescent="0.25">
      <c r="A935" t="s">
        <v>92</v>
      </c>
      <c r="B935" t="s">
        <v>26</v>
      </c>
      <c r="C935" t="s">
        <v>27</v>
      </c>
      <c r="H935" s="2">
        <v>45711.402777777781</v>
      </c>
      <c r="I935" t="s">
        <v>29</v>
      </c>
      <c r="Z935">
        <v>96916</v>
      </c>
    </row>
    <row r="936" spans="1:26" x14ac:dyDescent="0.25">
      <c r="A936" t="s">
        <v>1564</v>
      </c>
      <c r="B936" t="s">
        <v>164</v>
      </c>
      <c r="C936" t="s">
        <v>27</v>
      </c>
      <c r="E936" t="s">
        <v>174</v>
      </c>
      <c r="G936" t="s">
        <v>1565</v>
      </c>
      <c r="H936" s="2">
        <v>45711.365277777775</v>
      </c>
      <c r="I936" t="s">
        <v>29</v>
      </c>
      <c r="K936" t="s">
        <v>1566</v>
      </c>
      <c r="Z936">
        <v>96914</v>
      </c>
    </row>
    <row r="937" spans="1:26" x14ac:dyDescent="0.25">
      <c r="A937" t="s">
        <v>652</v>
      </c>
      <c r="B937" t="s">
        <v>164</v>
      </c>
      <c r="C937" t="s">
        <v>27</v>
      </c>
      <c r="E937" t="s">
        <v>90</v>
      </c>
      <c r="H937" s="2">
        <v>45710.535416666666</v>
      </c>
      <c r="I937" t="s">
        <v>40</v>
      </c>
      <c r="Z937">
        <v>96895</v>
      </c>
    </row>
    <row r="938" spans="1:26" x14ac:dyDescent="0.25">
      <c r="A938" t="s">
        <v>216</v>
      </c>
      <c r="B938" t="s">
        <v>26</v>
      </c>
      <c r="C938" t="s">
        <v>27</v>
      </c>
      <c r="H938" s="2">
        <v>45708.740277777775</v>
      </c>
      <c r="I938" t="s">
        <v>95</v>
      </c>
      <c r="Z938">
        <v>96843</v>
      </c>
    </row>
    <row r="939" spans="1:26" x14ac:dyDescent="0.25">
      <c r="A939" t="s">
        <v>1567</v>
      </c>
      <c r="B939" t="s">
        <v>26</v>
      </c>
      <c r="C939" t="s">
        <v>27</v>
      </c>
      <c r="H939" s="2">
        <v>45706.504861111112</v>
      </c>
      <c r="I939" t="s">
        <v>29</v>
      </c>
      <c r="Z939">
        <v>96764</v>
      </c>
    </row>
    <row r="940" spans="1:26" x14ac:dyDescent="0.25">
      <c r="A940" t="s">
        <v>1568</v>
      </c>
      <c r="B940" t="s">
        <v>26</v>
      </c>
      <c r="C940" t="s">
        <v>27</v>
      </c>
      <c r="H940" s="2">
        <v>45703.691666666666</v>
      </c>
      <c r="I940" t="s">
        <v>95</v>
      </c>
      <c r="Z940">
        <v>96663</v>
      </c>
    </row>
    <row r="941" spans="1:26" x14ac:dyDescent="0.25">
      <c r="A941" t="s">
        <v>1569</v>
      </c>
      <c r="B941" t="s">
        <v>26</v>
      </c>
      <c r="C941" t="s">
        <v>27</v>
      </c>
      <c r="H941" s="2">
        <v>45702.472916666666</v>
      </c>
      <c r="I941" t="s">
        <v>95</v>
      </c>
      <c r="Z941">
        <v>96622</v>
      </c>
    </row>
    <row r="942" spans="1:26" x14ac:dyDescent="0.25">
      <c r="A942" t="s">
        <v>1570</v>
      </c>
      <c r="B942" t="s">
        <v>46</v>
      </c>
      <c r="C942" t="s">
        <v>27</v>
      </c>
      <c r="E942" t="s">
        <v>195</v>
      </c>
      <c r="G942" t="s">
        <v>1571</v>
      </c>
      <c r="H942" s="2">
        <v>45702.407638888886</v>
      </c>
      <c r="I942" t="s">
        <v>95</v>
      </c>
      <c r="Z942">
        <v>96612</v>
      </c>
    </row>
    <row r="943" spans="1:26" x14ac:dyDescent="0.25">
      <c r="A943" t="s">
        <v>1572</v>
      </c>
      <c r="B943" t="s">
        <v>150</v>
      </c>
      <c r="C943" t="s">
        <v>27</v>
      </c>
      <c r="E943" t="s">
        <v>74</v>
      </c>
      <c r="H943" s="2">
        <v>45701.662499999999</v>
      </c>
      <c r="I943" t="s">
        <v>29</v>
      </c>
      <c r="K943" t="s">
        <v>30</v>
      </c>
      <c r="L943" t="s">
        <v>31</v>
      </c>
      <c r="M943">
        <v>55887024</v>
      </c>
      <c r="N943">
        <v>9754613638</v>
      </c>
      <c r="O943" t="s">
        <v>682</v>
      </c>
      <c r="Z943">
        <v>96596</v>
      </c>
    </row>
    <row r="944" spans="1:26" x14ac:dyDescent="0.25">
      <c r="A944" t="s">
        <v>92</v>
      </c>
      <c r="B944" t="s">
        <v>26</v>
      </c>
      <c r="C944" t="s">
        <v>27</v>
      </c>
      <c r="H944" s="2">
        <v>45701.504166666666</v>
      </c>
      <c r="I944" t="s">
        <v>29</v>
      </c>
      <c r="Z944">
        <v>96582</v>
      </c>
    </row>
    <row r="945" spans="1:26" x14ac:dyDescent="0.25">
      <c r="A945" t="s">
        <v>869</v>
      </c>
      <c r="B945" t="s">
        <v>77</v>
      </c>
      <c r="C945" t="s">
        <v>27</v>
      </c>
      <c r="E945" t="s">
        <v>144</v>
      </c>
      <c r="H945" s="2">
        <v>45701.40902777778</v>
      </c>
      <c r="I945" t="s">
        <v>29</v>
      </c>
      <c r="Z945">
        <v>96570</v>
      </c>
    </row>
    <row r="946" spans="1:26" x14ac:dyDescent="0.25">
      <c r="A946" t="s">
        <v>1573</v>
      </c>
      <c r="B946" t="s">
        <v>26</v>
      </c>
      <c r="C946" t="s">
        <v>27</v>
      </c>
      <c r="H946" s="2">
        <v>45700.799305555556</v>
      </c>
      <c r="I946" t="s">
        <v>29</v>
      </c>
      <c r="Z946">
        <v>96558</v>
      </c>
    </row>
    <row r="947" spans="1:26" x14ac:dyDescent="0.25">
      <c r="A947" t="s">
        <v>1574</v>
      </c>
      <c r="B947" t="s">
        <v>26</v>
      </c>
      <c r="C947" t="s">
        <v>27</v>
      </c>
      <c r="H947" s="2">
        <v>45700.720138888886</v>
      </c>
      <c r="I947" t="s">
        <v>29</v>
      </c>
      <c r="Z947">
        <v>96551</v>
      </c>
    </row>
    <row r="948" spans="1:26" x14ac:dyDescent="0.25">
      <c r="A948" t="s">
        <v>92</v>
      </c>
      <c r="B948" t="s">
        <v>164</v>
      </c>
      <c r="C948" t="s">
        <v>27</v>
      </c>
      <c r="E948" t="s">
        <v>1575</v>
      </c>
      <c r="H948" s="2">
        <v>45700.679861111108</v>
      </c>
      <c r="I948" t="s">
        <v>29</v>
      </c>
      <c r="Z948">
        <v>96547</v>
      </c>
    </row>
    <row r="949" spans="1:26" x14ac:dyDescent="0.25">
      <c r="A949" t="s">
        <v>1576</v>
      </c>
      <c r="B949" t="s">
        <v>26</v>
      </c>
      <c r="C949" t="s">
        <v>27</v>
      </c>
      <c r="H949" s="2">
        <v>45700.618750000001</v>
      </c>
      <c r="I949" t="s">
        <v>95</v>
      </c>
      <c r="Z949">
        <v>96539</v>
      </c>
    </row>
    <row r="950" spans="1:26" x14ac:dyDescent="0.25">
      <c r="A950" t="s">
        <v>1577</v>
      </c>
      <c r="B950" t="s">
        <v>26</v>
      </c>
      <c r="C950" t="s">
        <v>27</v>
      </c>
      <c r="H950" s="2">
        <v>45700.551388888889</v>
      </c>
      <c r="I950" t="s">
        <v>29</v>
      </c>
      <c r="Z950">
        <v>96533</v>
      </c>
    </row>
    <row r="951" spans="1:26" x14ac:dyDescent="0.25">
      <c r="A951" t="s">
        <v>1578</v>
      </c>
      <c r="B951" t="s">
        <v>26</v>
      </c>
      <c r="C951" t="s">
        <v>27</v>
      </c>
      <c r="H951" s="2">
        <v>45700.4</v>
      </c>
      <c r="I951" t="s">
        <v>95</v>
      </c>
      <c r="Z951">
        <v>96518</v>
      </c>
    </row>
    <row r="952" spans="1:26" x14ac:dyDescent="0.25">
      <c r="A952" t="s">
        <v>1579</v>
      </c>
      <c r="B952" t="s">
        <v>164</v>
      </c>
      <c r="C952" t="s">
        <v>27</v>
      </c>
      <c r="E952" t="s">
        <v>66</v>
      </c>
      <c r="H952" s="2">
        <v>45700.3125</v>
      </c>
      <c r="I952" t="s">
        <v>29</v>
      </c>
      <c r="Z952">
        <v>96514</v>
      </c>
    </row>
    <row r="953" spans="1:26" x14ac:dyDescent="0.25">
      <c r="A953" t="s">
        <v>869</v>
      </c>
      <c r="B953" t="s">
        <v>26</v>
      </c>
      <c r="C953" t="s">
        <v>27</v>
      </c>
      <c r="H953" s="2">
        <v>45699.661805555559</v>
      </c>
      <c r="I953" t="s">
        <v>29</v>
      </c>
      <c r="Z953">
        <v>96505</v>
      </c>
    </row>
    <row r="954" spans="1:26" x14ac:dyDescent="0.25">
      <c r="A954" t="s">
        <v>92</v>
      </c>
      <c r="C954" t="s">
        <v>27</v>
      </c>
      <c r="E954" t="s">
        <v>180</v>
      </c>
      <c r="H954" s="2">
        <v>45699.634027777778</v>
      </c>
      <c r="I954" t="s">
        <v>29</v>
      </c>
      <c r="Z954">
        <v>96504</v>
      </c>
    </row>
    <row r="955" spans="1:26" x14ac:dyDescent="0.25">
      <c r="A955" t="s">
        <v>1580</v>
      </c>
      <c r="B955" t="s">
        <v>26</v>
      </c>
      <c r="C955" t="s">
        <v>27</v>
      </c>
      <c r="H955" s="2">
        <v>45699.588888888888</v>
      </c>
      <c r="I955" t="s">
        <v>40</v>
      </c>
      <c r="Z955">
        <v>96502</v>
      </c>
    </row>
    <row r="956" spans="1:26" x14ac:dyDescent="0.25">
      <c r="A956" t="s">
        <v>1581</v>
      </c>
      <c r="B956" t="s">
        <v>26</v>
      </c>
      <c r="C956" t="s">
        <v>27</v>
      </c>
      <c r="H956" s="2">
        <v>45698.67291666667</v>
      </c>
      <c r="I956" t="s">
        <v>153</v>
      </c>
      <c r="Z956">
        <v>96457</v>
      </c>
    </row>
    <row r="957" spans="1:26" x14ac:dyDescent="0.25">
      <c r="A957" t="s">
        <v>1582</v>
      </c>
      <c r="B957" t="s">
        <v>26</v>
      </c>
      <c r="C957" t="s">
        <v>27</v>
      </c>
      <c r="H957" s="2">
        <v>45698.478472222225</v>
      </c>
      <c r="I957" t="s">
        <v>40</v>
      </c>
      <c r="Z957">
        <v>96435</v>
      </c>
    </row>
    <row r="958" spans="1:26" x14ac:dyDescent="0.25">
      <c r="A958" t="s">
        <v>1583</v>
      </c>
      <c r="B958" t="s">
        <v>26</v>
      </c>
      <c r="C958" t="s">
        <v>27</v>
      </c>
      <c r="H958" s="2">
        <v>45696.675000000003</v>
      </c>
      <c r="I958" t="s">
        <v>153</v>
      </c>
      <c r="Z958">
        <v>96377</v>
      </c>
    </row>
    <row r="959" spans="1:26" x14ac:dyDescent="0.25">
      <c r="A959" t="s">
        <v>1256</v>
      </c>
      <c r="B959" t="s">
        <v>150</v>
      </c>
      <c r="C959" t="s">
        <v>27</v>
      </c>
      <c r="E959" t="s">
        <v>74</v>
      </c>
      <c r="G959" t="s">
        <v>1584</v>
      </c>
      <c r="H959" s="2">
        <v>45695.643750000003</v>
      </c>
      <c r="I959" t="s">
        <v>29</v>
      </c>
      <c r="Z959">
        <v>96327</v>
      </c>
    </row>
    <row r="960" spans="1:26" x14ac:dyDescent="0.25">
      <c r="A960" t="s">
        <v>102</v>
      </c>
      <c r="B960" t="s">
        <v>77</v>
      </c>
      <c r="C960" t="s">
        <v>27</v>
      </c>
      <c r="E960" t="s">
        <v>53</v>
      </c>
      <c r="H960" s="2">
        <v>45693.925000000003</v>
      </c>
      <c r="I960" t="s">
        <v>95</v>
      </c>
      <c r="K960" t="s">
        <v>30</v>
      </c>
      <c r="L960" t="s">
        <v>31</v>
      </c>
      <c r="M960">
        <v>67130164</v>
      </c>
      <c r="N960">
        <v>12403825975</v>
      </c>
      <c r="O960" t="s">
        <v>682</v>
      </c>
      <c r="Z960">
        <v>96242</v>
      </c>
    </row>
    <row r="961" spans="1:26" x14ac:dyDescent="0.25">
      <c r="A961" t="s">
        <v>1585</v>
      </c>
      <c r="B961" t="s">
        <v>26</v>
      </c>
      <c r="C961" t="s">
        <v>27</v>
      </c>
      <c r="H961" s="2">
        <v>45693.901388888888</v>
      </c>
      <c r="I961" t="s">
        <v>95</v>
      </c>
      <c r="Z961">
        <v>96241</v>
      </c>
    </row>
    <row r="962" spans="1:26" x14ac:dyDescent="0.25">
      <c r="A962" t="s">
        <v>712</v>
      </c>
      <c r="B962" t="s">
        <v>26</v>
      </c>
      <c r="C962" t="s">
        <v>27</v>
      </c>
      <c r="H962" s="2">
        <v>45693.754166666666</v>
      </c>
      <c r="I962" t="s">
        <v>29</v>
      </c>
      <c r="Z962">
        <v>96238</v>
      </c>
    </row>
    <row r="963" spans="1:26" x14ac:dyDescent="0.25">
      <c r="A963" t="s">
        <v>1228</v>
      </c>
      <c r="B963" t="s">
        <v>26</v>
      </c>
      <c r="C963" t="s">
        <v>27</v>
      </c>
      <c r="H963" s="2">
        <v>45693.645138888889</v>
      </c>
      <c r="I963" t="s">
        <v>40</v>
      </c>
      <c r="Z963">
        <v>96230</v>
      </c>
    </row>
    <row r="964" spans="1:26" x14ac:dyDescent="0.25">
      <c r="A964" t="s">
        <v>1586</v>
      </c>
      <c r="B964" t="s">
        <v>26</v>
      </c>
      <c r="C964" t="s">
        <v>27</v>
      </c>
      <c r="H964" s="2">
        <v>45692.599305555559</v>
      </c>
      <c r="I964" t="s">
        <v>153</v>
      </c>
      <c r="Z964">
        <v>96169</v>
      </c>
    </row>
    <row r="965" spans="1:26" x14ac:dyDescent="0.25">
      <c r="A965" t="s">
        <v>1587</v>
      </c>
      <c r="B965" t="s">
        <v>26</v>
      </c>
      <c r="C965" t="s">
        <v>27</v>
      </c>
      <c r="H965" s="2">
        <v>45692.584722222222</v>
      </c>
      <c r="I965" t="s">
        <v>153</v>
      </c>
      <c r="Z965">
        <v>96168</v>
      </c>
    </row>
    <row r="966" spans="1:26" x14ac:dyDescent="0.25">
      <c r="A966" t="s">
        <v>1588</v>
      </c>
      <c r="B966" t="s">
        <v>26</v>
      </c>
      <c r="C966" t="s">
        <v>27</v>
      </c>
      <c r="E966" t="s">
        <v>157</v>
      </c>
      <c r="H966" s="2">
        <v>45691.728472222225</v>
      </c>
      <c r="I966" t="s">
        <v>40</v>
      </c>
      <c r="Z966">
        <v>96147</v>
      </c>
    </row>
    <row r="967" spans="1:26" x14ac:dyDescent="0.25">
      <c r="A967" t="s">
        <v>1589</v>
      </c>
      <c r="B967" t="s">
        <v>150</v>
      </c>
      <c r="C967" t="s">
        <v>27</v>
      </c>
      <c r="E967" t="s">
        <v>80</v>
      </c>
      <c r="H967" s="2">
        <v>45691.438194444447</v>
      </c>
      <c r="I967" t="s">
        <v>40</v>
      </c>
      <c r="Z967">
        <v>96134</v>
      </c>
    </row>
    <row r="968" spans="1:26" x14ac:dyDescent="0.25">
      <c r="A968" t="s">
        <v>1590</v>
      </c>
      <c r="B968" t="s">
        <v>26</v>
      </c>
      <c r="C968" t="s">
        <v>27</v>
      </c>
      <c r="H968" s="2">
        <v>45691.436805555553</v>
      </c>
      <c r="I968" t="s">
        <v>40</v>
      </c>
      <c r="Z968">
        <v>96133</v>
      </c>
    </row>
    <row r="969" spans="1:26" x14ac:dyDescent="0.25">
      <c r="A969" t="s">
        <v>921</v>
      </c>
      <c r="B969" t="s">
        <v>26</v>
      </c>
      <c r="C969" t="s">
        <v>27</v>
      </c>
      <c r="H969" s="2">
        <v>45689.768750000003</v>
      </c>
      <c r="I969" t="s">
        <v>29</v>
      </c>
      <c r="Z969">
        <v>96103</v>
      </c>
    </row>
    <row r="970" spans="1:26" x14ac:dyDescent="0.25">
      <c r="A970" t="s">
        <v>1591</v>
      </c>
      <c r="B970" t="s">
        <v>26</v>
      </c>
      <c r="C970" t="s">
        <v>27</v>
      </c>
      <c r="H970" s="2">
        <v>45687.625</v>
      </c>
      <c r="I970" t="s">
        <v>153</v>
      </c>
      <c r="Z970">
        <v>96042</v>
      </c>
    </row>
    <row r="971" spans="1:26" x14ac:dyDescent="0.25">
      <c r="A971" t="s">
        <v>1592</v>
      </c>
      <c r="B971" t="s">
        <v>26</v>
      </c>
      <c r="C971" t="s">
        <v>27</v>
      </c>
      <c r="H971" s="2">
        <v>45686.795138888891</v>
      </c>
      <c r="I971" t="s">
        <v>40</v>
      </c>
      <c r="Z971">
        <v>96032</v>
      </c>
    </row>
    <row r="972" spans="1:26" x14ac:dyDescent="0.25">
      <c r="A972" t="s">
        <v>1593</v>
      </c>
      <c r="B972" t="s">
        <v>26</v>
      </c>
      <c r="C972" t="s">
        <v>27</v>
      </c>
      <c r="H972" s="2">
        <v>45685.484027777777</v>
      </c>
      <c r="I972" t="s">
        <v>40</v>
      </c>
      <c r="Z972">
        <v>95983</v>
      </c>
    </row>
    <row r="973" spans="1:26" x14ac:dyDescent="0.25">
      <c r="A973" t="s">
        <v>102</v>
      </c>
      <c r="B973" t="s">
        <v>77</v>
      </c>
      <c r="C973" t="s">
        <v>27</v>
      </c>
      <c r="E973" t="s">
        <v>128</v>
      </c>
      <c r="H973" s="2">
        <v>45684.835416666669</v>
      </c>
      <c r="I973" t="s">
        <v>95</v>
      </c>
      <c r="Z973">
        <v>95974</v>
      </c>
    </row>
    <row r="974" spans="1:26" x14ac:dyDescent="0.25">
      <c r="A974" t="s">
        <v>1594</v>
      </c>
      <c r="B974" t="s">
        <v>26</v>
      </c>
      <c r="C974" t="s">
        <v>27</v>
      </c>
      <c r="H974" s="2">
        <v>45684.743055555555</v>
      </c>
      <c r="I974" t="s">
        <v>95</v>
      </c>
      <c r="Z974">
        <v>95972</v>
      </c>
    </row>
    <row r="975" spans="1:26" x14ac:dyDescent="0.25">
      <c r="A975" t="s">
        <v>1595</v>
      </c>
      <c r="B975" t="s">
        <v>150</v>
      </c>
      <c r="C975" t="s">
        <v>27</v>
      </c>
      <c r="E975" t="s">
        <v>55</v>
      </c>
      <c r="H975" s="2">
        <v>45684.518750000003</v>
      </c>
      <c r="I975" t="s">
        <v>29</v>
      </c>
      <c r="Z975">
        <v>95960</v>
      </c>
    </row>
    <row r="976" spans="1:26" x14ac:dyDescent="0.25">
      <c r="A976" t="s">
        <v>1596</v>
      </c>
      <c r="B976" t="s">
        <v>26</v>
      </c>
      <c r="C976" t="s">
        <v>27</v>
      </c>
      <c r="H976" s="2">
        <v>45684.500694444447</v>
      </c>
      <c r="I976" t="s">
        <v>95</v>
      </c>
      <c r="Z976">
        <v>95958</v>
      </c>
    </row>
    <row r="977" spans="1:26" x14ac:dyDescent="0.25">
      <c r="A977" t="s">
        <v>1597</v>
      </c>
      <c r="B977" t="s">
        <v>26</v>
      </c>
      <c r="C977" t="s">
        <v>27</v>
      </c>
      <c r="H977" s="2">
        <v>45683.837500000001</v>
      </c>
      <c r="I977" t="s">
        <v>95</v>
      </c>
      <c r="Z977">
        <v>95947</v>
      </c>
    </row>
    <row r="978" spans="1:26" x14ac:dyDescent="0.25">
      <c r="A978" t="s">
        <v>92</v>
      </c>
      <c r="B978" t="s">
        <v>26</v>
      </c>
      <c r="C978" t="s">
        <v>27</v>
      </c>
      <c r="H978" s="2">
        <v>45683.412499999999</v>
      </c>
      <c r="I978" t="s">
        <v>29</v>
      </c>
      <c r="Z978">
        <v>95920</v>
      </c>
    </row>
    <row r="979" spans="1:26" x14ac:dyDescent="0.25">
      <c r="A979" t="s">
        <v>92</v>
      </c>
      <c r="B979" t="s">
        <v>26</v>
      </c>
      <c r="C979" t="s">
        <v>27</v>
      </c>
      <c r="H979" s="2">
        <v>45682.690972222219</v>
      </c>
      <c r="I979" t="s">
        <v>29</v>
      </c>
      <c r="Z979">
        <v>95912</v>
      </c>
    </row>
    <row r="980" spans="1:26" x14ac:dyDescent="0.25">
      <c r="A980" t="s">
        <v>869</v>
      </c>
      <c r="B980" t="s">
        <v>26</v>
      </c>
      <c r="C980" t="s">
        <v>27</v>
      </c>
      <c r="H980" s="2">
        <v>45682.393750000003</v>
      </c>
      <c r="I980" t="s">
        <v>29</v>
      </c>
      <c r="Z980">
        <v>95899</v>
      </c>
    </row>
    <row r="981" spans="1:26" x14ac:dyDescent="0.25">
      <c r="A981" t="s">
        <v>1598</v>
      </c>
      <c r="B981" t="s">
        <v>26</v>
      </c>
      <c r="C981" t="s">
        <v>27</v>
      </c>
      <c r="H981" s="2">
        <v>45681.570138888892</v>
      </c>
      <c r="I981" t="s">
        <v>40</v>
      </c>
      <c r="Z981">
        <v>95875</v>
      </c>
    </row>
    <row r="982" spans="1:26" x14ac:dyDescent="0.25">
      <c r="A982" t="s">
        <v>1599</v>
      </c>
      <c r="B982" t="s">
        <v>26</v>
      </c>
      <c r="C982" t="s">
        <v>27</v>
      </c>
      <c r="E982" t="s">
        <v>80</v>
      </c>
      <c r="H982" s="2">
        <v>45680.701388888891</v>
      </c>
      <c r="I982" t="s">
        <v>153</v>
      </c>
      <c r="Z982">
        <v>95848</v>
      </c>
    </row>
    <row r="983" spans="1:26" x14ac:dyDescent="0.25">
      <c r="A983" t="s">
        <v>1600</v>
      </c>
      <c r="B983" t="s">
        <v>150</v>
      </c>
      <c r="C983" t="s">
        <v>27</v>
      </c>
      <c r="E983" t="s">
        <v>76</v>
      </c>
      <c r="G983" t="s">
        <v>1601</v>
      </c>
      <c r="H983" s="2">
        <v>45680.418749999997</v>
      </c>
      <c r="I983" t="s">
        <v>40</v>
      </c>
      <c r="Z983">
        <v>95820</v>
      </c>
    </row>
    <row r="984" spans="1:26" x14ac:dyDescent="0.25">
      <c r="A984" t="s">
        <v>1602</v>
      </c>
      <c r="B984" t="s">
        <v>26</v>
      </c>
      <c r="C984" t="s">
        <v>27</v>
      </c>
      <c r="H984" s="2">
        <v>45680.411805555559</v>
      </c>
      <c r="I984" t="s">
        <v>40</v>
      </c>
      <c r="Z984">
        <v>95818</v>
      </c>
    </row>
    <row r="985" spans="1:26" x14ac:dyDescent="0.25">
      <c r="A985" t="s">
        <v>1603</v>
      </c>
      <c r="B985" t="s">
        <v>26</v>
      </c>
      <c r="C985" t="s">
        <v>27</v>
      </c>
      <c r="H985" s="2">
        <v>45680.390277777777</v>
      </c>
      <c r="I985" t="s">
        <v>40</v>
      </c>
      <c r="Z985">
        <v>95813</v>
      </c>
    </row>
    <row r="986" spans="1:26" x14ac:dyDescent="0.25">
      <c r="A986" t="s">
        <v>1604</v>
      </c>
      <c r="B986" t="s">
        <v>164</v>
      </c>
      <c r="C986" t="s">
        <v>27</v>
      </c>
      <c r="E986" t="s">
        <v>1605</v>
      </c>
      <c r="H986" s="2">
        <v>45679.401388888888</v>
      </c>
      <c r="I986" t="s">
        <v>40</v>
      </c>
      <c r="Z986">
        <v>95763</v>
      </c>
    </row>
    <row r="987" spans="1:26" x14ac:dyDescent="0.25">
      <c r="A987" t="s">
        <v>1606</v>
      </c>
      <c r="B987" t="s">
        <v>26</v>
      </c>
      <c r="C987" t="s">
        <v>27</v>
      </c>
      <c r="H987" s="2">
        <v>45678.548611111109</v>
      </c>
      <c r="I987" t="s">
        <v>153</v>
      </c>
      <c r="Z987">
        <v>95741</v>
      </c>
    </row>
    <row r="988" spans="1:26" x14ac:dyDescent="0.25">
      <c r="A988" t="s">
        <v>1607</v>
      </c>
      <c r="B988" t="s">
        <v>26</v>
      </c>
      <c r="C988" t="s">
        <v>27</v>
      </c>
      <c r="H988" s="2">
        <v>45677.541666666664</v>
      </c>
      <c r="I988" t="s">
        <v>95</v>
      </c>
      <c r="Z988">
        <v>95685</v>
      </c>
    </row>
    <row r="989" spans="1:26" x14ac:dyDescent="0.25">
      <c r="A989" t="s">
        <v>1608</v>
      </c>
      <c r="B989" t="s">
        <v>46</v>
      </c>
      <c r="C989" t="s">
        <v>27</v>
      </c>
      <c r="E989" t="s">
        <v>53</v>
      </c>
      <c r="G989" t="s">
        <v>1609</v>
      </c>
      <c r="H989" s="2">
        <v>45677.503472222219</v>
      </c>
      <c r="I989" t="s">
        <v>29</v>
      </c>
      <c r="Z989">
        <v>95682</v>
      </c>
    </row>
    <row r="990" spans="1:26" x14ac:dyDescent="0.25">
      <c r="A990" t="s">
        <v>1610</v>
      </c>
      <c r="B990" t="s">
        <v>26</v>
      </c>
      <c r="C990" t="s">
        <v>27</v>
      </c>
      <c r="H990" s="2">
        <v>45676.746527777781</v>
      </c>
      <c r="I990" t="s">
        <v>29</v>
      </c>
      <c r="Z990">
        <v>95667</v>
      </c>
    </row>
    <row r="991" spans="1:26" x14ac:dyDescent="0.25">
      <c r="A991" t="s">
        <v>1611</v>
      </c>
      <c r="B991" t="s">
        <v>26</v>
      </c>
      <c r="C991" t="s">
        <v>27</v>
      </c>
      <c r="H991" s="2">
        <v>45676.444444444445</v>
      </c>
      <c r="I991" t="s">
        <v>29</v>
      </c>
      <c r="Z991">
        <v>95648</v>
      </c>
    </row>
    <row r="992" spans="1:26" x14ac:dyDescent="0.25">
      <c r="A992" t="s">
        <v>1612</v>
      </c>
      <c r="C992" t="s">
        <v>27</v>
      </c>
      <c r="E992" t="s">
        <v>80</v>
      </c>
      <c r="H992" s="2">
        <v>45675.500694444447</v>
      </c>
      <c r="I992" t="s">
        <v>40</v>
      </c>
      <c r="Z992">
        <v>95630</v>
      </c>
    </row>
    <row r="993" spans="1:26" x14ac:dyDescent="0.25">
      <c r="A993" t="s">
        <v>1613</v>
      </c>
      <c r="B993" t="s">
        <v>26</v>
      </c>
      <c r="C993" t="s">
        <v>27</v>
      </c>
      <c r="H993" s="2">
        <v>45674.768055555556</v>
      </c>
      <c r="I993" t="s">
        <v>40</v>
      </c>
      <c r="Z993">
        <v>95623</v>
      </c>
    </row>
    <row r="994" spans="1:26" x14ac:dyDescent="0.25">
      <c r="A994" t="s">
        <v>1614</v>
      </c>
      <c r="B994" t="s">
        <v>164</v>
      </c>
      <c r="C994" t="s">
        <v>27</v>
      </c>
      <c r="E994" t="s">
        <v>223</v>
      </c>
      <c r="G994" t="s">
        <v>1615</v>
      </c>
      <c r="H994" s="2">
        <v>45674.71875</v>
      </c>
      <c r="I994" t="s">
        <v>40</v>
      </c>
      <c r="Z994">
        <v>95618</v>
      </c>
    </row>
    <row r="995" spans="1:26" x14ac:dyDescent="0.25">
      <c r="A995" t="s">
        <v>1616</v>
      </c>
      <c r="C995" t="s">
        <v>27</v>
      </c>
      <c r="E995" t="s">
        <v>337</v>
      </c>
      <c r="H995" s="2">
        <v>45674.674305555556</v>
      </c>
      <c r="I995" t="s">
        <v>40</v>
      </c>
      <c r="Z995">
        <v>95615</v>
      </c>
    </row>
    <row r="996" spans="1:26" x14ac:dyDescent="0.25">
      <c r="A996" t="s">
        <v>1617</v>
      </c>
      <c r="B996" t="s">
        <v>26</v>
      </c>
      <c r="C996" t="s">
        <v>64</v>
      </c>
      <c r="H996" s="2">
        <v>45674.67291666667</v>
      </c>
      <c r="I996" t="s">
        <v>95</v>
      </c>
      <c r="Z996">
        <v>95614</v>
      </c>
    </row>
    <row r="997" spans="1:26" x14ac:dyDescent="0.25">
      <c r="A997" t="s">
        <v>1618</v>
      </c>
      <c r="B997" t="s">
        <v>164</v>
      </c>
      <c r="C997" t="s">
        <v>27</v>
      </c>
      <c r="E997" t="s">
        <v>110</v>
      </c>
      <c r="H997" s="2">
        <v>45674.574999999997</v>
      </c>
      <c r="I997" t="s">
        <v>40</v>
      </c>
      <c r="Z997">
        <v>95603</v>
      </c>
    </row>
    <row r="998" spans="1:26" x14ac:dyDescent="0.25">
      <c r="A998" t="s">
        <v>1619</v>
      </c>
      <c r="B998" t="s">
        <v>26</v>
      </c>
      <c r="C998" t="s">
        <v>27</v>
      </c>
      <c r="H998" s="2">
        <v>45674.569444444445</v>
      </c>
      <c r="I998" t="s">
        <v>153</v>
      </c>
      <c r="Z998">
        <v>95601</v>
      </c>
    </row>
    <row r="999" spans="1:26" x14ac:dyDescent="0.25">
      <c r="A999" t="s">
        <v>1620</v>
      </c>
      <c r="B999" t="s">
        <v>164</v>
      </c>
      <c r="C999" t="s">
        <v>27</v>
      </c>
      <c r="E999" t="s">
        <v>1621</v>
      </c>
      <c r="H999" s="2">
        <v>45674.54583333333</v>
      </c>
      <c r="I999" t="s">
        <v>40</v>
      </c>
      <c r="Z999">
        <v>95599</v>
      </c>
    </row>
    <row r="1000" spans="1:26" x14ac:dyDescent="0.25">
      <c r="A1000" t="s">
        <v>1622</v>
      </c>
      <c r="B1000" t="s">
        <v>26</v>
      </c>
      <c r="C1000" t="s">
        <v>27</v>
      </c>
      <c r="H1000" s="2">
        <v>45674.387499999997</v>
      </c>
      <c r="I1000" t="s">
        <v>153</v>
      </c>
      <c r="Z1000">
        <v>95591</v>
      </c>
    </row>
    <row r="1001" spans="1:26" x14ac:dyDescent="0.25">
      <c r="A1001" t="s">
        <v>109</v>
      </c>
      <c r="C1001" t="s">
        <v>27</v>
      </c>
      <c r="E1001" t="s">
        <v>172</v>
      </c>
      <c r="H1001" s="2">
        <v>45672.911805555559</v>
      </c>
      <c r="I1001" t="s">
        <v>153</v>
      </c>
      <c r="Z1001">
        <v>95565</v>
      </c>
    </row>
    <row r="1002" spans="1:26" x14ac:dyDescent="0.25">
      <c r="A1002" t="s">
        <v>102</v>
      </c>
      <c r="B1002" t="s">
        <v>77</v>
      </c>
      <c r="C1002" t="s">
        <v>27</v>
      </c>
      <c r="E1002" t="s">
        <v>128</v>
      </c>
      <c r="H1002" s="2">
        <v>45672.654861111114</v>
      </c>
      <c r="I1002" t="s">
        <v>95</v>
      </c>
      <c r="K1002" t="s">
        <v>30</v>
      </c>
      <c r="L1002" t="s">
        <v>31</v>
      </c>
      <c r="M1002">
        <v>55887024</v>
      </c>
      <c r="N1002">
        <v>9754613638</v>
      </c>
      <c r="O1002" t="s">
        <v>682</v>
      </c>
      <c r="Z1002">
        <v>95560</v>
      </c>
    </row>
    <row r="1003" spans="1:26" x14ac:dyDescent="0.25">
      <c r="A1003" t="s">
        <v>1623</v>
      </c>
      <c r="B1003" t="s">
        <v>26</v>
      </c>
      <c r="C1003" t="s">
        <v>27</v>
      </c>
      <c r="H1003" s="2">
        <v>45672.486805555556</v>
      </c>
      <c r="I1003" t="s">
        <v>153</v>
      </c>
      <c r="Z1003">
        <v>95554</v>
      </c>
    </row>
    <row r="1004" spans="1:26" x14ac:dyDescent="0.25">
      <c r="A1004" t="s">
        <v>1624</v>
      </c>
      <c r="B1004" t="s">
        <v>26</v>
      </c>
      <c r="C1004" t="s">
        <v>27</v>
      </c>
      <c r="H1004" s="2">
        <v>45671.65</v>
      </c>
      <c r="I1004" t="s">
        <v>29</v>
      </c>
      <c r="Z1004">
        <v>95535</v>
      </c>
    </row>
    <row r="1005" spans="1:26" x14ac:dyDescent="0.25">
      <c r="A1005" t="s">
        <v>1625</v>
      </c>
      <c r="B1005" t="s">
        <v>26</v>
      </c>
      <c r="C1005" t="s">
        <v>27</v>
      </c>
      <c r="H1005" s="2">
        <v>45671.640277777777</v>
      </c>
      <c r="I1005" t="s">
        <v>29</v>
      </c>
      <c r="Z1005">
        <v>95533</v>
      </c>
    </row>
    <row r="1006" spans="1:26" x14ac:dyDescent="0.25">
      <c r="A1006" t="s">
        <v>1626</v>
      </c>
      <c r="B1006" t="s">
        <v>26</v>
      </c>
      <c r="C1006" t="s">
        <v>27</v>
      </c>
      <c r="H1006" s="2">
        <v>45670.624305555553</v>
      </c>
      <c r="I1006" t="s">
        <v>95</v>
      </c>
      <c r="Z1006">
        <v>95505</v>
      </c>
    </row>
    <row r="1007" spans="1:26" x14ac:dyDescent="0.25">
      <c r="A1007" t="s">
        <v>1627</v>
      </c>
      <c r="B1007" t="s">
        <v>26</v>
      </c>
      <c r="C1007" t="s">
        <v>27</v>
      </c>
      <c r="H1007" s="2">
        <v>45670.623611111114</v>
      </c>
      <c r="I1007" t="s">
        <v>95</v>
      </c>
      <c r="Z1007">
        <v>95504</v>
      </c>
    </row>
    <row r="1008" spans="1:26" x14ac:dyDescent="0.25">
      <c r="A1008" t="s">
        <v>1628</v>
      </c>
      <c r="C1008" t="s">
        <v>27</v>
      </c>
      <c r="E1008" t="s">
        <v>70</v>
      </c>
      <c r="H1008" s="2">
        <v>45667.811805555553</v>
      </c>
      <c r="I1008" t="s">
        <v>40</v>
      </c>
      <c r="Z1008">
        <v>95439</v>
      </c>
    </row>
    <row r="1009" spans="1:26" x14ac:dyDescent="0.25">
      <c r="A1009" t="s">
        <v>1629</v>
      </c>
      <c r="B1009" t="s">
        <v>26</v>
      </c>
      <c r="C1009" t="s">
        <v>27</v>
      </c>
      <c r="E1009" t="s">
        <v>84</v>
      </c>
      <c r="G1009" t="s">
        <v>251</v>
      </c>
      <c r="H1009" s="2">
        <v>45667.804166666669</v>
      </c>
      <c r="I1009" t="s">
        <v>40</v>
      </c>
      <c r="Z1009">
        <v>95438</v>
      </c>
    </row>
    <row r="1010" spans="1:26" x14ac:dyDescent="0.25">
      <c r="A1010" t="s">
        <v>1630</v>
      </c>
      <c r="B1010" t="s">
        <v>26</v>
      </c>
      <c r="C1010" t="s">
        <v>27</v>
      </c>
      <c r="H1010" s="2">
        <v>45666.65</v>
      </c>
      <c r="I1010" t="s">
        <v>153</v>
      </c>
      <c r="Z1010">
        <v>95411</v>
      </c>
    </row>
    <row r="1011" spans="1:26" x14ac:dyDescent="0.25">
      <c r="A1011" t="s">
        <v>1631</v>
      </c>
      <c r="B1011" t="s">
        <v>26</v>
      </c>
      <c r="C1011" t="s">
        <v>27</v>
      </c>
      <c r="H1011" s="2">
        <v>45666.506249999999</v>
      </c>
      <c r="I1011" t="s">
        <v>153</v>
      </c>
      <c r="Z1011">
        <v>95397</v>
      </c>
    </row>
    <row r="1012" spans="1:26" x14ac:dyDescent="0.25">
      <c r="A1012" t="s">
        <v>1632</v>
      </c>
      <c r="B1012" t="s">
        <v>46</v>
      </c>
      <c r="C1012" t="s">
        <v>27</v>
      </c>
      <c r="E1012" t="s">
        <v>90</v>
      </c>
      <c r="G1012" t="s">
        <v>1633</v>
      </c>
      <c r="H1012" s="2">
        <v>45665.932638888888</v>
      </c>
      <c r="I1012" t="s">
        <v>153</v>
      </c>
      <c r="Z1012">
        <v>95390</v>
      </c>
    </row>
    <row r="1013" spans="1:26" x14ac:dyDescent="0.25">
      <c r="A1013" t="s">
        <v>869</v>
      </c>
      <c r="B1013" t="s">
        <v>26</v>
      </c>
      <c r="C1013" t="s">
        <v>27</v>
      </c>
      <c r="H1013" s="2">
        <v>45664.84652777778</v>
      </c>
      <c r="I1013" t="s">
        <v>29</v>
      </c>
      <c r="Z1013">
        <v>95375</v>
      </c>
    </row>
    <row r="1014" spans="1:26" x14ac:dyDescent="0.25">
      <c r="A1014" t="s">
        <v>1634</v>
      </c>
      <c r="B1014" t="s">
        <v>26</v>
      </c>
      <c r="C1014" t="s">
        <v>27</v>
      </c>
      <c r="H1014" s="2">
        <v>45664.550694444442</v>
      </c>
      <c r="I1014" t="s">
        <v>29</v>
      </c>
      <c r="Z1014">
        <v>95370</v>
      </c>
    </row>
    <row r="1015" spans="1:26" x14ac:dyDescent="0.25">
      <c r="A1015" t="s">
        <v>1635</v>
      </c>
      <c r="B1015" t="s">
        <v>185</v>
      </c>
      <c r="C1015" t="s">
        <v>27</v>
      </c>
      <c r="E1015" t="s">
        <v>58</v>
      </c>
      <c r="H1015" s="2">
        <v>45663.790277777778</v>
      </c>
      <c r="I1015" t="s">
        <v>40</v>
      </c>
      <c r="Z1015">
        <v>95362</v>
      </c>
    </row>
    <row r="1016" spans="1:26" x14ac:dyDescent="0.25">
      <c r="A1016" t="s">
        <v>1636</v>
      </c>
      <c r="B1016" t="s">
        <v>26</v>
      </c>
      <c r="C1016" t="s">
        <v>27</v>
      </c>
      <c r="H1016" s="2">
        <v>45662.760416666664</v>
      </c>
      <c r="I1016" t="s">
        <v>40</v>
      </c>
      <c r="Z1016">
        <v>95320</v>
      </c>
    </row>
    <row r="1017" spans="1:26" x14ac:dyDescent="0.25">
      <c r="A1017" t="s">
        <v>304</v>
      </c>
      <c r="B1017" t="s">
        <v>150</v>
      </c>
      <c r="C1017" t="s">
        <v>27</v>
      </c>
      <c r="E1017" t="s">
        <v>44</v>
      </c>
      <c r="H1017" s="2">
        <v>45662.686111111114</v>
      </c>
      <c r="I1017" t="s">
        <v>153</v>
      </c>
      <c r="Z1017">
        <v>95315</v>
      </c>
    </row>
    <row r="1018" spans="1:26" x14ac:dyDescent="0.25">
      <c r="A1018" t="s">
        <v>1637</v>
      </c>
      <c r="B1018" t="s">
        <v>46</v>
      </c>
      <c r="C1018" t="s">
        <v>27</v>
      </c>
      <c r="E1018" t="s">
        <v>44</v>
      </c>
      <c r="G1018" t="s">
        <v>1638</v>
      </c>
      <c r="H1018" s="2">
        <v>45662.67291666667</v>
      </c>
      <c r="I1018" t="s">
        <v>153</v>
      </c>
      <c r="Z1018">
        <v>95314</v>
      </c>
    </row>
    <row r="1019" spans="1:26" x14ac:dyDescent="0.25">
      <c r="A1019" t="s">
        <v>1639</v>
      </c>
      <c r="B1019" t="s">
        <v>26</v>
      </c>
      <c r="C1019" t="s">
        <v>27</v>
      </c>
      <c r="E1019" t="s">
        <v>44</v>
      </c>
      <c r="G1019" t="s">
        <v>1638</v>
      </c>
      <c r="H1019" s="2">
        <v>45662.669444444444</v>
      </c>
      <c r="I1019" t="s">
        <v>40</v>
      </c>
      <c r="Z1019">
        <v>95313</v>
      </c>
    </row>
    <row r="1020" spans="1:26" x14ac:dyDescent="0.25">
      <c r="A1020" t="s">
        <v>1640</v>
      </c>
      <c r="B1020" t="s">
        <v>26</v>
      </c>
      <c r="C1020" t="s">
        <v>27</v>
      </c>
      <c r="H1020" s="2">
        <v>45662.538888888892</v>
      </c>
      <c r="I1020" t="s">
        <v>153</v>
      </c>
      <c r="Z1020">
        <v>95304</v>
      </c>
    </row>
    <row r="1021" spans="1:26" x14ac:dyDescent="0.25">
      <c r="A1021" t="s">
        <v>1641</v>
      </c>
      <c r="B1021" t="s">
        <v>164</v>
      </c>
      <c r="C1021" t="s">
        <v>27</v>
      </c>
      <c r="E1021" t="s">
        <v>45</v>
      </c>
      <c r="H1021" s="2">
        <v>45662.418749999997</v>
      </c>
      <c r="I1021" t="s">
        <v>40</v>
      </c>
      <c r="Z1021">
        <v>95291</v>
      </c>
    </row>
    <row r="1022" spans="1:26" x14ac:dyDescent="0.25">
      <c r="A1022" t="s">
        <v>92</v>
      </c>
      <c r="B1022" t="s">
        <v>26</v>
      </c>
      <c r="C1022" t="s">
        <v>27</v>
      </c>
      <c r="H1022" s="2">
        <v>45657.413888888892</v>
      </c>
      <c r="I1022" t="s">
        <v>29</v>
      </c>
      <c r="Z1022">
        <v>95270</v>
      </c>
    </row>
    <row r="1023" spans="1:26" x14ac:dyDescent="0.25">
      <c r="A1023" t="s">
        <v>713</v>
      </c>
      <c r="B1023" t="s">
        <v>26</v>
      </c>
      <c r="C1023" t="s">
        <v>27</v>
      </c>
      <c r="H1023" s="2">
        <v>45657.401388888888</v>
      </c>
      <c r="I1023" t="s">
        <v>29</v>
      </c>
      <c r="Z1023">
        <v>95268</v>
      </c>
    </row>
    <row r="1024" spans="1:26" x14ac:dyDescent="0.25">
      <c r="A1024" t="s">
        <v>92</v>
      </c>
      <c r="B1024" t="s">
        <v>26</v>
      </c>
      <c r="C1024" t="s">
        <v>27</v>
      </c>
      <c r="E1024" t="s">
        <v>1642</v>
      </c>
      <c r="G1024" t="s">
        <v>1643</v>
      </c>
      <c r="H1024" s="2">
        <v>45656.611111111109</v>
      </c>
      <c r="I1024" t="s">
        <v>29</v>
      </c>
      <c r="Z1024">
        <v>95255</v>
      </c>
    </row>
    <row r="1025" spans="1:26" x14ac:dyDescent="0.25">
      <c r="A1025" t="s">
        <v>869</v>
      </c>
      <c r="B1025" t="s">
        <v>26</v>
      </c>
      <c r="C1025" t="s">
        <v>27</v>
      </c>
      <c r="H1025" s="2">
        <v>45656.561805555553</v>
      </c>
      <c r="I1025" t="s">
        <v>29</v>
      </c>
      <c r="Z1025">
        <v>95252</v>
      </c>
    </row>
    <row r="1026" spans="1:26" x14ac:dyDescent="0.25">
      <c r="A1026" t="s">
        <v>1644</v>
      </c>
      <c r="B1026" t="s">
        <v>26</v>
      </c>
      <c r="C1026" t="s">
        <v>27</v>
      </c>
      <c r="H1026" s="2">
        <v>45655.4</v>
      </c>
      <c r="I1026" t="s">
        <v>95</v>
      </c>
      <c r="Z1026">
        <v>95218</v>
      </c>
    </row>
    <row r="1027" spans="1:26" x14ac:dyDescent="0.25">
      <c r="A1027" t="s">
        <v>1645</v>
      </c>
      <c r="B1027" t="s">
        <v>26</v>
      </c>
      <c r="C1027" t="s">
        <v>27</v>
      </c>
      <c r="H1027" s="2">
        <v>45655.399305555555</v>
      </c>
      <c r="I1027" t="s">
        <v>95</v>
      </c>
      <c r="Z1027">
        <v>95217</v>
      </c>
    </row>
    <row r="1028" spans="1:26" x14ac:dyDescent="0.25">
      <c r="A1028" t="s">
        <v>1646</v>
      </c>
      <c r="B1028" t="s">
        <v>26</v>
      </c>
      <c r="C1028" t="s">
        <v>27</v>
      </c>
      <c r="H1028" s="2">
        <v>45654.675694444442</v>
      </c>
      <c r="I1028" t="s">
        <v>95</v>
      </c>
      <c r="Z1028">
        <v>95209</v>
      </c>
    </row>
    <row r="1029" spans="1:26" x14ac:dyDescent="0.25">
      <c r="A1029" t="s">
        <v>1647</v>
      </c>
      <c r="B1029" t="s">
        <v>26</v>
      </c>
      <c r="C1029" t="s">
        <v>27</v>
      </c>
      <c r="H1029" s="2">
        <v>45654.655555555553</v>
      </c>
      <c r="I1029" t="s">
        <v>95</v>
      </c>
      <c r="Z1029">
        <v>95208</v>
      </c>
    </row>
    <row r="1030" spans="1:26" x14ac:dyDescent="0.25">
      <c r="A1030" t="s">
        <v>1648</v>
      </c>
      <c r="B1030" t="s">
        <v>164</v>
      </c>
      <c r="C1030" t="s">
        <v>27</v>
      </c>
      <c r="E1030" t="s">
        <v>1649</v>
      </c>
      <c r="H1030" s="2">
        <v>45653.609722222223</v>
      </c>
      <c r="I1030" t="s">
        <v>194</v>
      </c>
      <c r="Z1030">
        <v>95167</v>
      </c>
    </row>
    <row r="1031" spans="1:26" x14ac:dyDescent="0.25">
      <c r="A1031" t="s">
        <v>1650</v>
      </c>
      <c r="B1031" t="s">
        <v>26</v>
      </c>
      <c r="C1031" t="s">
        <v>27</v>
      </c>
      <c r="H1031" s="2">
        <v>45653.521527777775</v>
      </c>
      <c r="I1031" t="s">
        <v>40</v>
      </c>
      <c r="Z1031">
        <v>95160</v>
      </c>
    </row>
    <row r="1032" spans="1:26" x14ac:dyDescent="0.25">
      <c r="A1032" t="s">
        <v>1651</v>
      </c>
      <c r="B1032" t="s">
        <v>150</v>
      </c>
      <c r="C1032" t="s">
        <v>27</v>
      </c>
      <c r="E1032" t="s">
        <v>233</v>
      </c>
      <c r="G1032" t="s">
        <v>208</v>
      </c>
      <c r="H1032" s="2">
        <v>45652.884722222225</v>
      </c>
      <c r="I1032" t="s">
        <v>40</v>
      </c>
      <c r="Z1032">
        <v>95144</v>
      </c>
    </row>
    <row r="1033" spans="1:26" x14ac:dyDescent="0.25">
      <c r="A1033" t="s">
        <v>92</v>
      </c>
      <c r="B1033" t="s">
        <v>26</v>
      </c>
      <c r="C1033" t="s">
        <v>27</v>
      </c>
      <c r="H1033" s="2">
        <v>45652.65347222222</v>
      </c>
      <c r="I1033" t="s">
        <v>29</v>
      </c>
      <c r="Z1033">
        <v>95132</v>
      </c>
    </row>
    <row r="1034" spans="1:26" x14ac:dyDescent="0.25">
      <c r="A1034" t="s">
        <v>1652</v>
      </c>
      <c r="B1034" t="s">
        <v>150</v>
      </c>
      <c r="C1034" t="s">
        <v>27</v>
      </c>
      <c r="E1034" t="s">
        <v>247</v>
      </c>
      <c r="G1034" t="s">
        <v>1653</v>
      </c>
      <c r="H1034" s="2">
        <v>45652.624305555553</v>
      </c>
      <c r="I1034" t="s">
        <v>40</v>
      </c>
      <c r="Z1034">
        <v>95129</v>
      </c>
    </row>
    <row r="1035" spans="1:26" x14ac:dyDescent="0.25">
      <c r="A1035" t="s">
        <v>1654</v>
      </c>
      <c r="B1035" t="s">
        <v>26</v>
      </c>
      <c r="C1035" t="s">
        <v>64</v>
      </c>
      <c r="H1035" s="2">
        <v>45652.621527777781</v>
      </c>
      <c r="I1035" t="s">
        <v>40</v>
      </c>
      <c r="Z1035">
        <v>95128</v>
      </c>
    </row>
    <row r="1036" spans="1:26" x14ac:dyDescent="0.25">
      <c r="A1036" t="s">
        <v>92</v>
      </c>
      <c r="B1036" t="s">
        <v>26</v>
      </c>
      <c r="C1036" t="s">
        <v>27</v>
      </c>
      <c r="H1036" s="2">
        <v>45652.568749999999</v>
      </c>
      <c r="I1036" t="s">
        <v>29</v>
      </c>
      <c r="Z1036">
        <v>95121</v>
      </c>
    </row>
    <row r="1037" spans="1:26" x14ac:dyDescent="0.25">
      <c r="A1037" t="s">
        <v>1655</v>
      </c>
      <c r="B1037" t="s">
        <v>26</v>
      </c>
      <c r="C1037" t="s">
        <v>27</v>
      </c>
      <c r="H1037" s="2">
        <v>45651.673611111109</v>
      </c>
      <c r="I1037" t="s">
        <v>40</v>
      </c>
      <c r="Z1037">
        <v>95096</v>
      </c>
    </row>
    <row r="1038" spans="1:26" x14ac:dyDescent="0.25">
      <c r="A1038" t="s">
        <v>1656</v>
      </c>
      <c r="B1038" t="s">
        <v>26</v>
      </c>
      <c r="C1038" t="s">
        <v>27</v>
      </c>
      <c r="E1038" t="s">
        <v>1621</v>
      </c>
      <c r="H1038" s="2">
        <v>45651.381944444445</v>
      </c>
      <c r="I1038" t="s">
        <v>40</v>
      </c>
      <c r="Z1038">
        <v>95080</v>
      </c>
    </row>
    <row r="1039" spans="1:26" x14ac:dyDescent="0.25">
      <c r="A1039" t="s">
        <v>1657</v>
      </c>
      <c r="B1039" t="s">
        <v>26</v>
      </c>
      <c r="C1039" t="s">
        <v>27</v>
      </c>
      <c r="H1039" s="2">
        <v>45650.45208333333</v>
      </c>
      <c r="I1039" t="s">
        <v>40</v>
      </c>
      <c r="Z1039">
        <v>95047</v>
      </c>
    </row>
    <row r="1040" spans="1:26" x14ac:dyDescent="0.25">
      <c r="A1040" t="s">
        <v>184</v>
      </c>
      <c r="B1040" t="s">
        <v>164</v>
      </c>
      <c r="C1040" t="s">
        <v>27</v>
      </c>
      <c r="E1040" t="s">
        <v>84</v>
      </c>
      <c r="H1040" s="2">
        <v>45649.503472222219</v>
      </c>
      <c r="I1040" t="s">
        <v>95</v>
      </c>
      <c r="Z1040">
        <v>95008</v>
      </c>
    </row>
    <row r="1041" spans="1:26" x14ac:dyDescent="0.25">
      <c r="A1041" t="s">
        <v>1658</v>
      </c>
      <c r="B1041" t="s">
        <v>46</v>
      </c>
      <c r="C1041" t="s">
        <v>27</v>
      </c>
      <c r="E1041" t="s">
        <v>58</v>
      </c>
      <c r="G1041" t="s">
        <v>1659</v>
      </c>
      <c r="H1041" s="2">
        <v>45648.12222222222</v>
      </c>
      <c r="I1041" t="s">
        <v>95</v>
      </c>
      <c r="Z1041">
        <v>94979</v>
      </c>
    </row>
    <row r="1042" spans="1:26" x14ac:dyDescent="0.25">
      <c r="A1042" t="s">
        <v>92</v>
      </c>
      <c r="B1042" t="s">
        <v>164</v>
      </c>
      <c r="C1042" t="s">
        <v>27</v>
      </c>
      <c r="E1042" t="s">
        <v>214</v>
      </c>
      <c r="H1042" s="2">
        <v>45647.568055555559</v>
      </c>
      <c r="I1042" t="s">
        <v>29</v>
      </c>
      <c r="Z1042">
        <v>94964</v>
      </c>
    </row>
    <row r="1043" spans="1:26" x14ac:dyDescent="0.25">
      <c r="A1043" t="s">
        <v>92</v>
      </c>
      <c r="B1043" t="s">
        <v>26</v>
      </c>
      <c r="C1043" t="s">
        <v>27</v>
      </c>
      <c r="H1043" s="2">
        <v>45647.550694444442</v>
      </c>
      <c r="I1043" t="s">
        <v>29</v>
      </c>
      <c r="Z1043">
        <v>94963</v>
      </c>
    </row>
    <row r="1044" spans="1:26" x14ac:dyDescent="0.25">
      <c r="A1044" t="s">
        <v>1660</v>
      </c>
      <c r="B1044" t="s">
        <v>26</v>
      </c>
      <c r="C1044" t="s">
        <v>27</v>
      </c>
      <c r="H1044" s="2">
        <v>45647.481249999997</v>
      </c>
      <c r="I1044" t="s">
        <v>40</v>
      </c>
      <c r="Z1044">
        <v>94959</v>
      </c>
    </row>
    <row r="1045" spans="1:26" x14ac:dyDescent="0.25">
      <c r="A1045" t="s">
        <v>1661</v>
      </c>
      <c r="B1045" t="s">
        <v>150</v>
      </c>
      <c r="C1045" t="s">
        <v>27</v>
      </c>
      <c r="E1045" t="s">
        <v>1662</v>
      </c>
      <c r="G1045" t="s">
        <v>1663</v>
      </c>
      <c r="H1045" s="2">
        <v>45645.506249999999</v>
      </c>
      <c r="I1045" t="s">
        <v>40</v>
      </c>
      <c r="Z1045">
        <v>94887</v>
      </c>
    </row>
    <row r="1046" spans="1:26" x14ac:dyDescent="0.25">
      <c r="A1046" t="s">
        <v>1664</v>
      </c>
      <c r="B1046" t="s">
        <v>26</v>
      </c>
      <c r="C1046" t="s">
        <v>27</v>
      </c>
      <c r="H1046" s="2">
        <v>45644.65347222222</v>
      </c>
      <c r="I1046" t="s">
        <v>95</v>
      </c>
      <c r="Z1046">
        <v>94872</v>
      </c>
    </row>
    <row r="1047" spans="1:26" x14ac:dyDescent="0.25">
      <c r="A1047" t="s">
        <v>1665</v>
      </c>
      <c r="B1047" t="s">
        <v>185</v>
      </c>
      <c r="C1047" t="s">
        <v>27</v>
      </c>
      <c r="E1047" t="s">
        <v>67</v>
      </c>
      <c r="H1047" s="2">
        <v>45644.647916666669</v>
      </c>
      <c r="I1047" t="s">
        <v>153</v>
      </c>
      <c r="Z1047">
        <v>94870</v>
      </c>
    </row>
    <row r="1048" spans="1:26" x14ac:dyDescent="0.25">
      <c r="A1048" t="s">
        <v>1666</v>
      </c>
      <c r="B1048" t="s">
        <v>26</v>
      </c>
      <c r="C1048" t="s">
        <v>27</v>
      </c>
      <c r="H1048" s="2">
        <v>45644.638888888891</v>
      </c>
      <c r="I1048" t="s">
        <v>95</v>
      </c>
      <c r="Z1048">
        <v>94868</v>
      </c>
    </row>
    <row r="1049" spans="1:26" x14ac:dyDescent="0.25">
      <c r="A1049" t="s">
        <v>1667</v>
      </c>
      <c r="B1049" t="s">
        <v>26</v>
      </c>
      <c r="C1049" t="s">
        <v>27</v>
      </c>
      <c r="H1049" s="2">
        <v>45644.57916666667</v>
      </c>
      <c r="I1049" t="s">
        <v>95</v>
      </c>
      <c r="Z1049">
        <v>94862</v>
      </c>
    </row>
    <row r="1050" spans="1:26" x14ac:dyDescent="0.25">
      <c r="A1050" t="s">
        <v>1668</v>
      </c>
      <c r="B1050" t="s">
        <v>26</v>
      </c>
      <c r="C1050" t="s">
        <v>27</v>
      </c>
      <c r="H1050" s="2">
        <v>45644.39166666667</v>
      </c>
      <c r="I1050" t="s">
        <v>153</v>
      </c>
      <c r="Z1050">
        <v>94852</v>
      </c>
    </row>
    <row r="1051" spans="1:26" x14ac:dyDescent="0.25">
      <c r="A1051" t="s">
        <v>1669</v>
      </c>
      <c r="C1051" t="s">
        <v>59</v>
      </c>
      <c r="E1051" t="s">
        <v>120</v>
      </c>
      <c r="H1051" s="2">
        <v>45642.842361111114</v>
      </c>
      <c r="I1051" t="s">
        <v>95</v>
      </c>
      <c r="Z1051">
        <v>94828</v>
      </c>
    </row>
    <row r="1052" spans="1:26" x14ac:dyDescent="0.25">
      <c r="A1052" t="s">
        <v>1670</v>
      </c>
      <c r="B1052" t="s">
        <v>46</v>
      </c>
      <c r="C1052" t="s">
        <v>27</v>
      </c>
      <c r="E1052" t="s">
        <v>203</v>
      </c>
      <c r="G1052" t="s">
        <v>1671</v>
      </c>
      <c r="H1052" s="2">
        <v>45642.611111111109</v>
      </c>
      <c r="I1052" t="s">
        <v>29</v>
      </c>
      <c r="K1052" t="s">
        <v>30</v>
      </c>
      <c r="L1052" t="s">
        <v>31</v>
      </c>
      <c r="M1052">
        <v>55887024</v>
      </c>
      <c r="N1052">
        <v>9754613615</v>
      </c>
      <c r="O1052" t="s">
        <v>1672</v>
      </c>
      <c r="Z1052">
        <v>94816</v>
      </c>
    </row>
    <row r="1053" spans="1:26" x14ac:dyDescent="0.25">
      <c r="A1053" t="s">
        <v>92</v>
      </c>
      <c r="B1053" t="s">
        <v>46</v>
      </c>
      <c r="C1053" t="s">
        <v>27</v>
      </c>
      <c r="E1053" t="s">
        <v>84</v>
      </c>
      <c r="G1053" t="s">
        <v>1673</v>
      </c>
      <c r="H1053" s="2">
        <v>45641.789583333331</v>
      </c>
      <c r="I1053" t="s">
        <v>29</v>
      </c>
      <c r="Z1053">
        <v>94805</v>
      </c>
    </row>
    <row r="1054" spans="1:26" x14ac:dyDescent="0.25">
      <c r="A1054" t="s">
        <v>1674</v>
      </c>
      <c r="B1054" t="s">
        <v>164</v>
      </c>
      <c r="C1054" t="s">
        <v>27</v>
      </c>
      <c r="E1054" t="s">
        <v>66</v>
      </c>
      <c r="H1054" s="2">
        <v>45641.352083333331</v>
      </c>
      <c r="I1054" t="s">
        <v>40</v>
      </c>
      <c r="Z1054">
        <v>94790</v>
      </c>
    </row>
    <row r="1055" spans="1:26" x14ac:dyDescent="0.25">
      <c r="A1055" t="s">
        <v>1675</v>
      </c>
      <c r="B1055" t="s">
        <v>164</v>
      </c>
      <c r="C1055" t="s">
        <v>27</v>
      </c>
      <c r="E1055" t="s">
        <v>162</v>
      </c>
      <c r="H1055" s="2">
        <v>45640.70208333333</v>
      </c>
      <c r="I1055" t="s">
        <v>40</v>
      </c>
      <c r="Z1055">
        <v>94787</v>
      </c>
    </row>
    <row r="1056" spans="1:26" x14ac:dyDescent="0.25">
      <c r="A1056" t="s">
        <v>1676</v>
      </c>
      <c r="B1056" t="s">
        <v>26</v>
      </c>
      <c r="C1056" t="s">
        <v>27</v>
      </c>
      <c r="H1056" s="2">
        <v>45639.716666666667</v>
      </c>
      <c r="I1056" t="s">
        <v>153</v>
      </c>
      <c r="Z1056">
        <v>94760</v>
      </c>
    </row>
    <row r="1057" spans="1:26" x14ac:dyDescent="0.25">
      <c r="A1057" t="s">
        <v>1677</v>
      </c>
      <c r="B1057" t="s">
        <v>185</v>
      </c>
      <c r="C1057" t="s">
        <v>27</v>
      </c>
      <c r="E1057" t="s">
        <v>1678</v>
      </c>
      <c r="H1057" s="2">
        <v>45638.787499999999</v>
      </c>
      <c r="I1057" t="s">
        <v>95</v>
      </c>
      <c r="Z1057">
        <v>94743</v>
      </c>
    </row>
    <row r="1058" spans="1:26" x14ac:dyDescent="0.25">
      <c r="A1058" t="s">
        <v>1679</v>
      </c>
      <c r="B1058" t="s">
        <v>26</v>
      </c>
      <c r="C1058" t="s">
        <v>27</v>
      </c>
      <c r="H1058" s="2">
        <v>45638.786111111112</v>
      </c>
      <c r="I1058" t="s">
        <v>95</v>
      </c>
      <c r="Z1058">
        <v>94742</v>
      </c>
    </row>
    <row r="1059" spans="1:26" x14ac:dyDescent="0.25">
      <c r="A1059" t="s">
        <v>1071</v>
      </c>
      <c r="B1059" t="s">
        <v>26</v>
      </c>
      <c r="C1059" t="s">
        <v>27</v>
      </c>
      <c r="H1059" s="2">
        <v>45637.589583333334</v>
      </c>
      <c r="I1059" t="s">
        <v>29</v>
      </c>
      <c r="Z1059">
        <v>94718</v>
      </c>
    </row>
    <row r="1060" spans="1:26" x14ac:dyDescent="0.25">
      <c r="A1060" t="s">
        <v>1680</v>
      </c>
      <c r="B1060" t="s">
        <v>26</v>
      </c>
      <c r="C1060" t="s">
        <v>27</v>
      </c>
      <c r="H1060" s="2">
        <v>45637.511111111111</v>
      </c>
      <c r="I1060" t="s">
        <v>29</v>
      </c>
      <c r="Z1060">
        <v>94710</v>
      </c>
    </row>
    <row r="1061" spans="1:26" x14ac:dyDescent="0.25">
      <c r="A1061" t="s">
        <v>1681</v>
      </c>
      <c r="B1061" t="s">
        <v>150</v>
      </c>
      <c r="C1061" t="s">
        <v>27</v>
      </c>
      <c r="E1061" t="s">
        <v>298</v>
      </c>
      <c r="H1061" s="2">
        <v>45636.887499999997</v>
      </c>
      <c r="I1061" t="s">
        <v>95</v>
      </c>
      <c r="K1061" t="s">
        <v>30</v>
      </c>
      <c r="L1061" t="s">
        <v>31</v>
      </c>
      <c r="M1061">
        <v>55887024</v>
      </c>
      <c r="N1061">
        <v>9754613612</v>
      </c>
      <c r="O1061" t="s">
        <v>1682</v>
      </c>
      <c r="Z1061">
        <v>94690</v>
      </c>
    </row>
    <row r="1062" spans="1:26" x14ac:dyDescent="0.25">
      <c r="A1062" t="s">
        <v>92</v>
      </c>
      <c r="B1062" t="s">
        <v>26</v>
      </c>
      <c r="C1062" t="s">
        <v>27</v>
      </c>
      <c r="H1062" s="2">
        <v>45636.559027777781</v>
      </c>
      <c r="I1062" t="s">
        <v>29</v>
      </c>
      <c r="Z1062">
        <v>94672</v>
      </c>
    </row>
    <row r="1063" spans="1:26" x14ac:dyDescent="0.25">
      <c r="A1063" t="s">
        <v>1683</v>
      </c>
      <c r="B1063" t="s">
        <v>26</v>
      </c>
      <c r="C1063" t="s">
        <v>27</v>
      </c>
      <c r="H1063" s="2">
        <v>45635.502083333333</v>
      </c>
      <c r="I1063" t="s">
        <v>40</v>
      </c>
      <c r="Z1063">
        <v>94620</v>
      </c>
    </row>
    <row r="1064" spans="1:26" x14ac:dyDescent="0.25">
      <c r="A1064" t="s">
        <v>1684</v>
      </c>
      <c r="B1064" t="s">
        <v>164</v>
      </c>
      <c r="C1064" t="s">
        <v>27</v>
      </c>
      <c r="E1064" t="s">
        <v>211</v>
      </c>
      <c r="H1064" s="2">
        <v>45635.497916666667</v>
      </c>
      <c r="I1064" t="s">
        <v>29</v>
      </c>
      <c r="Z1064">
        <v>94619</v>
      </c>
    </row>
    <row r="1065" spans="1:26" x14ac:dyDescent="0.25">
      <c r="A1065" t="s">
        <v>1685</v>
      </c>
      <c r="B1065" t="s">
        <v>26</v>
      </c>
      <c r="C1065" t="s">
        <v>27</v>
      </c>
      <c r="H1065" s="2">
        <v>45635.430555555555</v>
      </c>
      <c r="I1065" t="s">
        <v>29</v>
      </c>
      <c r="Z1065">
        <v>94607</v>
      </c>
    </row>
    <row r="1066" spans="1:26" x14ac:dyDescent="0.25">
      <c r="A1066" t="s">
        <v>1686</v>
      </c>
      <c r="B1066" t="s">
        <v>26</v>
      </c>
      <c r="C1066" t="s">
        <v>27</v>
      </c>
      <c r="H1066" s="2">
        <v>45635.418055555558</v>
      </c>
      <c r="I1066" t="s">
        <v>40</v>
      </c>
      <c r="Z1066">
        <v>94606</v>
      </c>
    </row>
    <row r="1067" spans="1:26" x14ac:dyDescent="0.25">
      <c r="A1067" t="s">
        <v>1687</v>
      </c>
      <c r="B1067" t="s">
        <v>26</v>
      </c>
      <c r="C1067" t="s">
        <v>27</v>
      </c>
      <c r="H1067" s="2">
        <v>45634.567361111112</v>
      </c>
      <c r="I1067" t="s">
        <v>40</v>
      </c>
      <c r="Z1067">
        <v>94576</v>
      </c>
    </row>
    <row r="1068" spans="1:26" x14ac:dyDescent="0.25">
      <c r="A1068" t="s">
        <v>1688</v>
      </c>
      <c r="B1068" t="s">
        <v>150</v>
      </c>
      <c r="C1068" t="s">
        <v>27</v>
      </c>
      <c r="E1068" t="s">
        <v>84</v>
      </c>
      <c r="H1068" s="2">
        <v>45633.600694444445</v>
      </c>
      <c r="I1068" t="s">
        <v>40</v>
      </c>
      <c r="Z1068">
        <v>94548</v>
      </c>
    </row>
    <row r="1069" spans="1:26" x14ac:dyDescent="0.25">
      <c r="A1069" t="s">
        <v>1689</v>
      </c>
      <c r="B1069" t="s">
        <v>26</v>
      </c>
      <c r="C1069" t="s">
        <v>27</v>
      </c>
      <c r="E1069" t="s">
        <v>84</v>
      </c>
      <c r="H1069" s="2">
        <v>45633.589583333334</v>
      </c>
      <c r="I1069" t="s">
        <v>153</v>
      </c>
      <c r="Z1069">
        <v>94547</v>
      </c>
    </row>
    <row r="1070" spans="1:26" x14ac:dyDescent="0.25">
      <c r="A1070" t="s">
        <v>1690</v>
      </c>
      <c r="B1070" t="s">
        <v>26</v>
      </c>
      <c r="C1070" t="s">
        <v>27</v>
      </c>
      <c r="H1070" s="2">
        <v>45632.754861111112</v>
      </c>
      <c r="I1070" t="s">
        <v>95</v>
      </c>
      <c r="Z1070">
        <v>94525</v>
      </c>
    </row>
    <row r="1071" spans="1:26" x14ac:dyDescent="0.25">
      <c r="A1071" t="s">
        <v>1691</v>
      </c>
      <c r="B1071" t="s">
        <v>26</v>
      </c>
      <c r="C1071" t="s">
        <v>27</v>
      </c>
      <c r="H1071" s="2">
        <v>45632.72152777778</v>
      </c>
      <c r="I1071" t="s">
        <v>95</v>
      </c>
      <c r="Z1071">
        <v>94522</v>
      </c>
    </row>
    <row r="1072" spans="1:26" x14ac:dyDescent="0.25">
      <c r="A1072" t="s">
        <v>1076</v>
      </c>
      <c r="B1072" t="s">
        <v>26</v>
      </c>
      <c r="C1072" t="s">
        <v>27</v>
      </c>
      <c r="H1072" s="2">
        <v>45631.580555555556</v>
      </c>
      <c r="I1072" t="s">
        <v>29</v>
      </c>
      <c r="Z1072">
        <v>94467</v>
      </c>
    </row>
    <row r="1073" spans="1:26" x14ac:dyDescent="0.25">
      <c r="A1073" t="s">
        <v>1692</v>
      </c>
      <c r="B1073" t="s">
        <v>26</v>
      </c>
      <c r="C1073" t="s">
        <v>27</v>
      </c>
      <c r="H1073" s="2">
        <v>45631.355555555558</v>
      </c>
      <c r="I1073" t="s">
        <v>29</v>
      </c>
      <c r="Z1073">
        <v>94457</v>
      </c>
    </row>
    <row r="1074" spans="1:26" x14ac:dyDescent="0.25">
      <c r="A1074" t="s">
        <v>718</v>
      </c>
      <c r="B1074" t="s">
        <v>26</v>
      </c>
      <c r="C1074" t="s">
        <v>27</v>
      </c>
      <c r="H1074" s="2">
        <v>45630.782638888886</v>
      </c>
      <c r="I1074" t="s">
        <v>29</v>
      </c>
      <c r="Z1074">
        <v>94453</v>
      </c>
    </row>
    <row r="1075" spans="1:26" x14ac:dyDescent="0.25">
      <c r="A1075" t="s">
        <v>718</v>
      </c>
      <c r="B1075" t="s">
        <v>26</v>
      </c>
      <c r="C1075" t="s">
        <v>27</v>
      </c>
      <c r="H1075" s="2">
        <v>45629.850694444445</v>
      </c>
      <c r="I1075" t="s">
        <v>29</v>
      </c>
      <c r="Z1075">
        <v>94417</v>
      </c>
    </row>
    <row r="1076" spans="1:26" x14ac:dyDescent="0.25">
      <c r="A1076" t="s">
        <v>1693</v>
      </c>
      <c r="B1076" t="s">
        <v>26</v>
      </c>
      <c r="C1076" t="s">
        <v>27</v>
      </c>
      <c r="H1076" s="2">
        <v>45629.525000000001</v>
      </c>
      <c r="I1076" t="s">
        <v>40</v>
      </c>
      <c r="Z1076">
        <v>94389</v>
      </c>
    </row>
    <row r="1077" spans="1:26" x14ac:dyDescent="0.25">
      <c r="A1077" t="s">
        <v>102</v>
      </c>
      <c r="B1077" t="s">
        <v>77</v>
      </c>
      <c r="C1077" t="s">
        <v>27</v>
      </c>
      <c r="E1077" t="s">
        <v>250</v>
      </c>
      <c r="H1077" s="2">
        <v>45628.802777777775</v>
      </c>
      <c r="I1077" t="s">
        <v>153</v>
      </c>
      <c r="Z1077">
        <v>94373</v>
      </c>
    </row>
    <row r="1078" spans="1:26" x14ac:dyDescent="0.25">
      <c r="A1078" t="s">
        <v>1694</v>
      </c>
      <c r="B1078" t="s">
        <v>26</v>
      </c>
      <c r="C1078" t="s">
        <v>27</v>
      </c>
      <c r="H1078" s="2">
        <v>45628.706944444442</v>
      </c>
      <c r="I1078" t="s">
        <v>40</v>
      </c>
      <c r="Z1078">
        <v>94365</v>
      </c>
    </row>
    <row r="1079" spans="1:26" x14ac:dyDescent="0.25">
      <c r="A1079" t="s">
        <v>1695</v>
      </c>
      <c r="B1079" t="s">
        <v>26</v>
      </c>
      <c r="C1079" t="s">
        <v>27</v>
      </c>
      <c r="H1079" s="2">
        <v>45627.673611111109</v>
      </c>
      <c r="I1079" t="s">
        <v>40</v>
      </c>
      <c r="Z1079">
        <v>94323</v>
      </c>
    </row>
    <row r="1080" spans="1:26" x14ac:dyDescent="0.25">
      <c r="A1080" t="s">
        <v>1696</v>
      </c>
      <c r="B1080" t="s">
        <v>26</v>
      </c>
      <c r="C1080" t="s">
        <v>27</v>
      </c>
      <c r="H1080" s="2">
        <v>45627.635416666664</v>
      </c>
      <c r="I1080" t="s">
        <v>40</v>
      </c>
      <c r="Z1080">
        <v>94321</v>
      </c>
    </row>
    <row r="1081" spans="1:26" x14ac:dyDescent="0.25">
      <c r="A1081" t="s">
        <v>1697</v>
      </c>
      <c r="B1081" t="s">
        <v>26</v>
      </c>
      <c r="C1081" t="s">
        <v>27</v>
      </c>
      <c r="H1081" s="2">
        <v>45627.624305555553</v>
      </c>
      <c r="I1081" t="s">
        <v>40</v>
      </c>
      <c r="Z1081">
        <v>94320</v>
      </c>
    </row>
    <row r="1082" spans="1:26" x14ac:dyDescent="0.25">
      <c r="A1082" t="s">
        <v>1698</v>
      </c>
      <c r="B1082" t="s">
        <v>26</v>
      </c>
      <c r="C1082" t="s">
        <v>27</v>
      </c>
      <c r="H1082" s="2">
        <v>45627.554861111108</v>
      </c>
      <c r="I1082" t="s">
        <v>40</v>
      </c>
      <c r="Z1082">
        <v>94310</v>
      </c>
    </row>
    <row r="1083" spans="1:26" x14ac:dyDescent="0.25">
      <c r="A1083" t="s">
        <v>1699</v>
      </c>
      <c r="B1083" t="s">
        <v>26</v>
      </c>
      <c r="C1083" t="s">
        <v>27</v>
      </c>
      <c r="H1083" s="2">
        <v>45627.522222222222</v>
      </c>
      <c r="I1083" t="s">
        <v>40</v>
      </c>
      <c r="Z1083">
        <v>94305</v>
      </c>
    </row>
    <row r="1084" spans="1:26" x14ac:dyDescent="0.25">
      <c r="A1084" t="s">
        <v>1700</v>
      </c>
      <c r="B1084" t="s">
        <v>26</v>
      </c>
      <c r="C1084" t="s">
        <v>27</v>
      </c>
      <c r="H1084" s="2">
        <v>45625.661111111112</v>
      </c>
      <c r="I1084" t="s">
        <v>197</v>
      </c>
      <c r="Z1084">
        <v>94260</v>
      </c>
    </row>
    <row r="1085" spans="1:26" x14ac:dyDescent="0.25">
      <c r="A1085" t="s">
        <v>1701</v>
      </c>
      <c r="B1085" t="s">
        <v>26</v>
      </c>
      <c r="C1085" t="s">
        <v>27</v>
      </c>
      <c r="H1085" s="2">
        <v>45625.541666666664</v>
      </c>
      <c r="I1085" t="s">
        <v>29</v>
      </c>
      <c r="Z1085">
        <v>94254</v>
      </c>
    </row>
    <row r="1086" spans="1:26" x14ac:dyDescent="0.25">
      <c r="A1086" t="s">
        <v>1702</v>
      </c>
      <c r="B1086" t="s">
        <v>26</v>
      </c>
      <c r="C1086" t="s">
        <v>27</v>
      </c>
      <c r="H1086" s="2">
        <v>45625.455555555556</v>
      </c>
      <c r="I1086" t="s">
        <v>95</v>
      </c>
      <c r="Z1086">
        <v>94244</v>
      </c>
    </row>
    <row r="1087" spans="1:26" x14ac:dyDescent="0.25">
      <c r="A1087" t="s">
        <v>1703</v>
      </c>
      <c r="B1087" t="s">
        <v>26</v>
      </c>
      <c r="C1087" t="s">
        <v>27</v>
      </c>
      <c r="H1087" s="2">
        <v>45625.415972222225</v>
      </c>
      <c r="I1087" t="s">
        <v>197</v>
      </c>
      <c r="Z1087">
        <v>94238</v>
      </c>
    </row>
    <row r="1088" spans="1:26" x14ac:dyDescent="0.25">
      <c r="A1088" t="s">
        <v>1665</v>
      </c>
      <c r="B1088" t="s">
        <v>164</v>
      </c>
      <c r="C1088" t="s">
        <v>64</v>
      </c>
      <c r="E1088" t="s">
        <v>67</v>
      </c>
      <c r="H1088" s="2">
        <v>45624.762499999997</v>
      </c>
      <c r="I1088" t="s">
        <v>29</v>
      </c>
      <c r="Z1088">
        <v>94224</v>
      </c>
    </row>
    <row r="1089" spans="1:26" x14ac:dyDescent="0.25">
      <c r="A1089" t="s">
        <v>1704</v>
      </c>
      <c r="B1089" t="s">
        <v>26</v>
      </c>
      <c r="C1089" t="s">
        <v>27</v>
      </c>
      <c r="H1089" s="2">
        <v>45624.621527777781</v>
      </c>
      <c r="I1089" t="s">
        <v>95</v>
      </c>
      <c r="Z1089">
        <v>94214</v>
      </c>
    </row>
    <row r="1090" spans="1:26" x14ac:dyDescent="0.25">
      <c r="A1090" t="s">
        <v>1705</v>
      </c>
      <c r="B1090" t="s">
        <v>164</v>
      </c>
      <c r="C1090" t="s">
        <v>27</v>
      </c>
      <c r="E1090" t="s">
        <v>1706</v>
      </c>
      <c r="G1090" t="s">
        <v>1707</v>
      </c>
      <c r="H1090" s="2">
        <v>45624.40347222222</v>
      </c>
      <c r="I1090" t="s">
        <v>153</v>
      </c>
      <c r="K1090" t="s">
        <v>30</v>
      </c>
      <c r="L1090" t="s">
        <v>31</v>
      </c>
      <c r="M1090">
        <v>66964239</v>
      </c>
      <c r="N1090">
        <v>12403661578</v>
      </c>
      <c r="O1090" t="s">
        <v>353</v>
      </c>
      <c r="Z1090">
        <v>94185</v>
      </c>
    </row>
    <row r="1091" spans="1:26" x14ac:dyDescent="0.25">
      <c r="A1091" t="s">
        <v>1708</v>
      </c>
      <c r="B1091" t="s">
        <v>26</v>
      </c>
      <c r="C1091" t="s">
        <v>27</v>
      </c>
      <c r="H1091" s="2">
        <v>45624.402777777781</v>
      </c>
      <c r="I1091" t="s">
        <v>95</v>
      </c>
      <c r="Z1091">
        <v>94184</v>
      </c>
    </row>
    <row r="1092" spans="1:26" x14ac:dyDescent="0.25">
      <c r="A1092" t="s">
        <v>1665</v>
      </c>
      <c r="B1092" t="s">
        <v>164</v>
      </c>
      <c r="C1092" t="s">
        <v>27</v>
      </c>
      <c r="E1092" t="s">
        <v>67</v>
      </c>
      <c r="H1092" s="2">
        <v>45624.369444444441</v>
      </c>
      <c r="I1092" t="s">
        <v>197</v>
      </c>
      <c r="Z1092">
        <v>94178</v>
      </c>
    </row>
    <row r="1093" spans="1:26" x14ac:dyDescent="0.25">
      <c r="A1093" t="s">
        <v>1709</v>
      </c>
      <c r="B1093" t="s">
        <v>26</v>
      </c>
      <c r="C1093" t="s">
        <v>27</v>
      </c>
      <c r="H1093" s="2">
        <v>45622.520138888889</v>
      </c>
      <c r="I1093" t="s">
        <v>40</v>
      </c>
      <c r="Z1093">
        <v>94077</v>
      </c>
    </row>
    <row r="1094" spans="1:26" x14ac:dyDescent="0.25">
      <c r="A1094" t="s">
        <v>1710</v>
      </c>
      <c r="B1094" t="s">
        <v>164</v>
      </c>
      <c r="C1094" t="s">
        <v>27</v>
      </c>
      <c r="E1094" t="s">
        <v>1711</v>
      </c>
      <c r="H1094" s="2">
        <v>45621.777777777781</v>
      </c>
      <c r="I1094" t="s">
        <v>197</v>
      </c>
      <c r="Z1094">
        <v>94051</v>
      </c>
    </row>
    <row r="1095" spans="1:26" x14ac:dyDescent="0.25">
      <c r="A1095" t="s">
        <v>1712</v>
      </c>
      <c r="B1095" t="s">
        <v>164</v>
      </c>
      <c r="C1095" t="s">
        <v>27</v>
      </c>
      <c r="E1095" t="s">
        <v>80</v>
      </c>
      <c r="G1095" t="s">
        <v>1713</v>
      </c>
      <c r="H1095" s="2">
        <v>45621.603472222225</v>
      </c>
      <c r="I1095" t="s">
        <v>197</v>
      </c>
      <c r="Z1095">
        <v>94026</v>
      </c>
    </row>
    <row r="1096" spans="1:26" x14ac:dyDescent="0.25">
      <c r="A1096" t="s">
        <v>1714</v>
      </c>
      <c r="B1096" t="s">
        <v>150</v>
      </c>
      <c r="C1096" t="s">
        <v>27</v>
      </c>
      <c r="E1096" t="s">
        <v>87</v>
      </c>
      <c r="H1096" s="2">
        <v>45621.564583333333</v>
      </c>
      <c r="I1096" t="s">
        <v>197</v>
      </c>
      <c r="Z1096">
        <v>94021</v>
      </c>
    </row>
    <row r="1097" spans="1:26" x14ac:dyDescent="0.25">
      <c r="A1097" t="s">
        <v>1255</v>
      </c>
      <c r="B1097" t="s">
        <v>164</v>
      </c>
      <c r="C1097" t="s">
        <v>27</v>
      </c>
      <c r="E1097" t="s">
        <v>1715</v>
      </c>
      <c r="H1097" s="2">
        <v>45620.697916666664</v>
      </c>
      <c r="I1097" t="s">
        <v>29</v>
      </c>
      <c r="Z1097">
        <v>93987</v>
      </c>
    </row>
    <row r="1098" spans="1:26" x14ac:dyDescent="0.25">
      <c r="A1098" t="s">
        <v>1716</v>
      </c>
      <c r="B1098" t="s">
        <v>26</v>
      </c>
      <c r="C1098" t="s">
        <v>27</v>
      </c>
      <c r="H1098" s="2">
        <v>45618.525000000001</v>
      </c>
      <c r="I1098" t="s">
        <v>197</v>
      </c>
      <c r="Z1098">
        <v>93913</v>
      </c>
    </row>
    <row r="1099" spans="1:26" x14ac:dyDescent="0.25">
      <c r="A1099" t="s">
        <v>1717</v>
      </c>
      <c r="B1099" t="s">
        <v>26</v>
      </c>
      <c r="C1099" t="s">
        <v>27</v>
      </c>
      <c r="H1099" s="2">
        <v>45616.623611111114</v>
      </c>
      <c r="I1099" t="s">
        <v>40</v>
      </c>
      <c r="Z1099">
        <v>93842</v>
      </c>
    </row>
    <row r="1100" spans="1:26" x14ac:dyDescent="0.25">
      <c r="A1100" t="s">
        <v>1718</v>
      </c>
      <c r="B1100" t="s">
        <v>185</v>
      </c>
      <c r="C1100" t="s">
        <v>27</v>
      </c>
      <c r="E1100" t="s">
        <v>1719</v>
      </c>
      <c r="H1100" s="2">
        <v>45615.561111111114</v>
      </c>
      <c r="I1100" t="s">
        <v>29</v>
      </c>
      <c r="Z1100">
        <v>93785</v>
      </c>
    </row>
    <row r="1101" spans="1:26" x14ac:dyDescent="0.25">
      <c r="A1101" t="s">
        <v>1720</v>
      </c>
      <c r="B1101" t="s">
        <v>26</v>
      </c>
      <c r="C1101" t="s">
        <v>27</v>
      </c>
      <c r="H1101" s="2">
        <v>45615.509722222225</v>
      </c>
      <c r="I1101" t="s">
        <v>40</v>
      </c>
      <c r="Z1101">
        <v>93779</v>
      </c>
    </row>
    <row r="1102" spans="1:26" x14ac:dyDescent="0.25">
      <c r="A1102" t="s">
        <v>1721</v>
      </c>
      <c r="B1102" t="s">
        <v>26</v>
      </c>
      <c r="C1102" t="s">
        <v>27</v>
      </c>
      <c r="H1102" s="2">
        <v>45614.780555555553</v>
      </c>
      <c r="I1102" t="s">
        <v>95</v>
      </c>
      <c r="Z1102">
        <v>93763</v>
      </c>
    </row>
    <row r="1103" spans="1:26" x14ac:dyDescent="0.25">
      <c r="A1103" t="s">
        <v>1722</v>
      </c>
      <c r="C1103" t="s">
        <v>27</v>
      </c>
      <c r="E1103" t="s">
        <v>260</v>
      </c>
      <c r="H1103" s="2">
        <v>45613.810416666667</v>
      </c>
      <c r="I1103" t="s">
        <v>29</v>
      </c>
      <c r="Z1103">
        <v>93735</v>
      </c>
    </row>
    <row r="1104" spans="1:26" x14ac:dyDescent="0.25">
      <c r="A1104" t="s">
        <v>1723</v>
      </c>
      <c r="B1104" t="s">
        <v>26</v>
      </c>
      <c r="C1104" t="s">
        <v>27</v>
      </c>
      <c r="H1104" s="2">
        <v>45612.71875</v>
      </c>
      <c r="I1104" t="s">
        <v>95</v>
      </c>
      <c r="Z1104">
        <v>93698</v>
      </c>
    </row>
    <row r="1105" spans="1:26" x14ac:dyDescent="0.25">
      <c r="A1105" t="s">
        <v>1724</v>
      </c>
      <c r="B1105" t="s">
        <v>26</v>
      </c>
      <c r="C1105" t="s">
        <v>27</v>
      </c>
      <c r="H1105" s="2">
        <v>45612.647222222222</v>
      </c>
      <c r="I1105" t="s">
        <v>153</v>
      </c>
      <c r="Z1105">
        <v>93694</v>
      </c>
    </row>
    <row r="1106" spans="1:26" x14ac:dyDescent="0.25">
      <c r="A1106" t="s">
        <v>1725</v>
      </c>
      <c r="B1106" t="s">
        <v>26</v>
      </c>
      <c r="C1106" t="s">
        <v>27</v>
      </c>
      <c r="H1106" s="2">
        <v>45612.559027777781</v>
      </c>
      <c r="I1106" t="s">
        <v>153</v>
      </c>
      <c r="Z1106">
        <v>93690</v>
      </c>
    </row>
    <row r="1107" spans="1:26" x14ac:dyDescent="0.25">
      <c r="A1107" t="s">
        <v>1726</v>
      </c>
      <c r="B1107" t="s">
        <v>26</v>
      </c>
      <c r="C1107" t="s">
        <v>27</v>
      </c>
      <c r="E1107">
        <v>79277647228</v>
      </c>
      <c r="H1107" s="2">
        <v>45611.839583333334</v>
      </c>
      <c r="I1107" t="s">
        <v>153</v>
      </c>
      <c r="Z1107">
        <v>93673</v>
      </c>
    </row>
    <row r="1108" spans="1:26" x14ac:dyDescent="0.25">
      <c r="A1108" t="s">
        <v>1727</v>
      </c>
      <c r="B1108" t="s">
        <v>26</v>
      </c>
      <c r="C1108" t="s">
        <v>27</v>
      </c>
      <c r="H1108" s="2">
        <v>45611.578472222223</v>
      </c>
      <c r="I1108" t="s">
        <v>153</v>
      </c>
      <c r="Z1108">
        <v>93656</v>
      </c>
    </row>
    <row r="1109" spans="1:26" x14ac:dyDescent="0.25">
      <c r="A1109" t="s">
        <v>1728</v>
      </c>
      <c r="B1109" t="s">
        <v>26</v>
      </c>
      <c r="C1109" t="s">
        <v>27</v>
      </c>
      <c r="H1109" s="2">
        <v>45610.606249999997</v>
      </c>
      <c r="I1109" t="s">
        <v>29</v>
      </c>
      <c r="Z1109">
        <v>93624</v>
      </c>
    </row>
    <row r="1110" spans="1:26" x14ac:dyDescent="0.25">
      <c r="A1110" t="s">
        <v>1729</v>
      </c>
      <c r="B1110" t="s">
        <v>26</v>
      </c>
      <c r="C1110" t="s">
        <v>27</v>
      </c>
      <c r="H1110" s="2">
        <v>45610.486111111109</v>
      </c>
      <c r="I1110" t="s">
        <v>29</v>
      </c>
      <c r="Z1110">
        <v>93610</v>
      </c>
    </row>
    <row r="1111" spans="1:26" x14ac:dyDescent="0.25">
      <c r="A1111" t="s">
        <v>1730</v>
      </c>
      <c r="B1111" t="s">
        <v>26</v>
      </c>
      <c r="C1111" t="s">
        <v>27</v>
      </c>
      <c r="H1111" s="2">
        <v>45608.785416666666</v>
      </c>
      <c r="I1111" t="s">
        <v>29</v>
      </c>
      <c r="Z1111">
        <v>93532</v>
      </c>
    </row>
    <row r="1112" spans="1:26" x14ac:dyDescent="0.25">
      <c r="A1112" t="s">
        <v>92</v>
      </c>
      <c r="B1112" t="s">
        <v>26</v>
      </c>
      <c r="C1112" t="s">
        <v>27</v>
      </c>
      <c r="E1112" t="s">
        <v>1731</v>
      </c>
      <c r="H1112" s="2">
        <v>45608.621527777781</v>
      </c>
      <c r="I1112" t="s">
        <v>29</v>
      </c>
      <c r="Z1112">
        <v>93515</v>
      </c>
    </row>
    <row r="1113" spans="1:26" x14ac:dyDescent="0.25">
      <c r="A1113" t="s">
        <v>1732</v>
      </c>
      <c r="B1113" t="s">
        <v>150</v>
      </c>
      <c r="C1113" t="s">
        <v>27</v>
      </c>
      <c r="E1113" t="s">
        <v>210</v>
      </c>
      <c r="G1113" t="s">
        <v>1733</v>
      </c>
      <c r="H1113" s="2">
        <v>45608.504861111112</v>
      </c>
      <c r="I1113" t="s">
        <v>40</v>
      </c>
      <c r="Z1113">
        <v>93494</v>
      </c>
    </row>
    <row r="1114" spans="1:26" x14ac:dyDescent="0.25">
      <c r="A1114" t="s">
        <v>1734</v>
      </c>
      <c r="B1114" t="s">
        <v>26</v>
      </c>
      <c r="C1114" t="s">
        <v>27</v>
      </c>
      <c r="H1114" s="2">
        <v>45608.500694444447</v>
      </c>
      <c r="I1114" t="s">
        <v>40</v>
      </c>
      <c r="Z1114">
        <v>93492</v>
      </c>
    </row>
    <row r="1115" spans="1:26" x14ac:dyDescent="0.25">
      <c r="A1115" t="s">
        <v>1735</v>
      </c>
      <c r="B1115" t="s">
        <v>26</v>
      </c>
      <c r="C1115" t="s">
        <v>27</v>
      </c>
      <c r="H1115" s="2">
        <v>45608.415972222225</v>
      </c>
      <c r="I1115" t="s">
        <v>95</v>
      </c>
      <c r="Z1115">
        <v>93477</v>
      </c>
    </row>
    <row r="1116" spans="1:26" x14ac:dyDescent="0.25">
      <c r="A1116" t="s">
        <v>1736</v>
      </c>
      <c r="B1116" t="s">
        <v>26</v>
      </c>
      <c r="C1116" t="s">
        <v>27</v>
      </c>
      <c r="H1116" s="2">
        <v>45607.675694444442</v>
      </c>
      <c r="I1116" t="s">
        <v>197</v>
      </c>
      <c r="Z1116">
        <v>93448</v>
      </c>
    </row>
    <row r="1117" spans="1:26" x14ac:dyDescent="0.25">
      <c r="A1117" t="s">
        <v>1737</v>
      </c>
      <c r="B1117" t="s">
        <v>46</v>
      </c>
      <c r="C1117" t="s">
        <v>27</v>
      </c>
      <c r="E1117" t="s">
        <v>43</v>
      </c>
      <c r="G1117" t="s">
        <v>1738</v>
      </c>
      <c r="H1117" s="2">
        <v>45607.523611111108</v>
      </c>
      <c r="I1117" t="s">
        <v>197</v>
      </c>
      <c r="Z1117">
        <v>93424</v>
      </c>
    </row>
    <row r="1118" spans="1:26" x14ac:dyDescent="0.25">
      <c r="A1118" t="s">
        <v>1739</v>
      </c>
      <c r="B1118" t="s">
        <v>26</v>
      </c>
      <c r="C1118" t="s">
        <v>64</v>
      </c>
      <c r="H1118" s="2">
        <v>45607.496527777781</v>
      </c>
      <c r="I1118" t="s">
        <v>197</v>
      </c>
      <c r="Z1118">
        <v>93416</v>
      </c>
    </row>
    <row r="1119" spans="1:26" x14ac:dyDescent="0.25">
      <c r="A1119" t="s">
        <v>1740</v>
      </c>
      <c r="B1119" t="s">
        <v>26</v>
      </c>
      <c r="C1119" t="s">
        <v>27</v>
      </c>
      <c r="H1119" s="2">
        <v>45606.601388888892</v>
      </c>
      <c r="I1119" t="s">
        <v>153</v>
      </c>
      <c r="Z1119">
        <v>93375</v>
      </c>
    </row>
    <row r="1120" spans="1:26" x14ac:dyDescent="0.25">
      <c r="A1120" t="s">
        <v>1741</v>
      </c>
      <c r="B1120" t="s">
        <v>26</v>
      </c>
      <c r="C1120" t="s">
        <v>27</v>
      </c>
      <c r="H1120" s="2">
        <v>45605.788194444445</v>
      </c>
      <c r="I1120" t="s">
        <v>40</v>
      </c>
      <c r="Z1120">
        <v>93344</v>
      </c>
    </row>
    <row r="1121" spans="1:26" x14ac:dyDescent="0.25">
      <c r="A1121" t="s">
        <v>1742</v>
      </c>
      <c r="B1121" t="s">
        <v>26</v>
      </c>
      <c r="C1121" t="s">
        <v>27</v>
      </c>
      <c r="H1121" s="2">
        <v>45605.745833333334</v>
      </c>
      <c r="I1121" t="s">
        <v>40</v>
      </c>
      <c r="Z1121">
        <v>93338</v>
      </c>
    </row>
    <row r="1122" spans="1:26" x14ac:dyDescent="0.25">
      <c r="A1122" t="s">
        <v>1743</v>
      </c>
      <c r="B1122" t="s">
        <v>26</v>
      </c>
      <c r="C1122" t="s">
        <v>27</v>
      </c>
      <c r="H1122" s="2">
        <v>45605.633333333331</v>
      </c>
      <c r="I1122" t="s">
        <v>40</v>
      </c>
      <c r="Z1122">
        <v>93331</v>
      </c>
    </row>
    <row r="1123" spans="1:26" x14ac:dyDescent="0.25">
      <c r="A1123" t="s">
        <v>1744</v>
      </c>
      <c r="B1123" t="s">
        <v>46</v>
      </c>
      <c r="C1123" t="s">
        <v>27</v>
      </c>
      <c r="E1123" t="s">
        <v>53</v>
      </c>
      <c r="G1123" t="s">
        <v>1541</v>
      </c>
      <c r="H1123" s="2">
        <v>45605.579861111109</v>
      </c>
      <c r="I1123" t="s">
        <v>153</v>
      </c>
      <c r="Z1123">
        <v>93325</v>
      </c>
    </row>
    <row r="1124" spans="1:26" x14ac:dyDescent="0.25">
      <c r="A1124" t="s">
        <v>1745</v>
      </c>
      <c r="B1124" t="s">
        <v>26</v>
      </c>
      <c r="C1124" t="s">
        <v>27</v>
      </c>
      <c r="H1124" s="2">
        <v>45605.54791666667</v>
      </c>
      <c r="I1124" t="s">
        <v>197</v>
      </c>
      <c r="Z1124">
        <v>93323</v>
      </c>
    </row>
    <row r="1125" spans="1:26" x14ac:dyDescent="0.25">
      <c r="A1125" t="s">
        <v>1746</v>
      </c>
      <c r="B1125" t="s">
        <v>26</v>
      </c>
      <c r="C1125" t="s">
        <v>27</v>
      </c>
      <c r="H1125" s="2">
        <v>45605.503472222219</v>
      </c>
      <c r="I1125" t="s">
        <v>40</v>
      </c>
      <c r="Z1125">
        <v>93316</v>
      </c>
    </row>
    <row r="1126" spans="1:26" x14ac:dyDescent="0.25">
      <c r="A1126" t="s">
        <v>1747</v>
      </c>
      <c r="B1126" t="s">
        <v>26</v>
      </c>
      <c r="C1126" t="s">
        <v>47</v>
      </c>
      <c r="H1126" s="2">
        <v>45605.498611111114</v>
      </c>
      <c r="I1126" t="s">
        <v>40</v>
      </c>
      <c r="Z1126">
        <v>93314</v>
      </c>
    </row>
    <row r="1127" spans="1:26" x14ac:dyDescent="0.25">
      <c r="A1127" t="s">
        <v>1748</v>
      </c>
      <c r="B1127" t="s">
        <v>26</v>
      </c>
      <c r="C1127" t="s">
        <v>27</v>
      </c>
      <c r="E1127" t="s">
        <v>1749</v>
      </c>
      <c r="H1127" s="2">
        <v>45604.636111111111</v>
      </c>
      <c r="I1127" t="s">
        <v>153</v>
      </c>
      <c r="Z1127">
        <v>93296</v>
      </c>
    </row>
    <row r="1128" spans="1:26" x14ac:dyDescent="0.25">
      <c r="A1128" t="s">
        <v>1750</v>
      </c>
      <c r="B1128" t="s">
        <v>26</v>
      </c>
      <c r="C1128" t="s">
        <v>27</v>
      </c>
      <c r="E1128" t="s">
        <v>63</v>
      </c>
      <c r="H1128" s="2">
        <v>45604.40347222222</v>
      </c>
      <c r="I1128" t="s">
        <v>40</v>
      </c>
      <c r="Z1128">
        <v>93273</v>
      </c>
    </row>
    <row r="1129" spans="1:26" x14ac:dyDescent="0.25">
      <c r="A1129" t="s">
        <v>1751</v>
      </c>
      <c r="B1129" t="s">
        <v>164</v>
      </c>
      <c r="C1129" t="s">
        <v>27</v>
      </c>
      <c r="E1129" t="s">
        <v>86</v>
      </c>
      <c r="H1129" s="2">
        <v>45603.63958333333</v>
      </c>
      <c r="I1129" t="s">
        <v>29</v>
      </c>
      <c r="Z1129">
        <v>93248</v>
      </c>
    </row>
    <row r="1130" spans="1:26" x14ac:dyDescent="0.25">
      <c r="A1130" t="s">
        <v>1752</v>
      </c>
      <c r="B1130" t="s">
        <v>26</v>
      </c>
      <c r="C1130" t="s">
        <v>27</v>
      </c>
      <c r="H1130" s="2">
        <v>45603.386111111111</v>
      </c>
      <c r="I1130" t="s">
        <v>95</v>
      </c>
      <c r="Z1130">
        <v>93217</v>
      </c>
    </row>
    <row r="1131" spans="1:26" x14ac:dyDescent="0.25">
      <c r="A1131" t="s">
        <v>1753</v>
      </c>
      <c r="B1131" t="s">
        <v>46</v>
      </c>
      <c r="C1131" t="s">
        <v>27</v>
      </c>
      <c r="E1131" t="s">
        <v>58</v>
      </c>
      <c r="G1131" t="s">
        <v>1754</v>
      </c>
      <c r="H1131" s="2">
        <v>45602.631249999999</v>
      </c>
      <c r="I1131" t="s">
        <v>29</v>
      </c>
      <c r="Z1131">
        <v>93192</v>
      </c>
    </row>
    <row r="1132" spans="1:26" x14ac:dyDescent="0.25">
      <c r="A1132" t="s">
        <v>1755</v>
      </c>
      <c r="B1132" t="s">
        <v>26</v>
      </c>
      <c r="C1132" t="s">
        <v>64</v>
      </c>
      <c r="H1132" s="2">
        <v>45602.62777777778</v>
      </c>
      <c r="I1132" t="s">
        <v>40</v>
      </c>
      <c r="Z1132">
        <v>93190</v>
      </c>
    </row>
    <row r="1133" spans="1:26" x14ac:dyDescent="0.25">
      <c r="A1133" t="s">
        <v>1641</v>
      </c>
      <c r="B1133" t="s">
        <v>26</v>
      </c>
      <c r="C1133" t="s">
        <v>27</v>
      </c>
      <c r="H1133" s="2">
        <v>45602.583333333336</v>
      </c>
      <c r="I1133" t="s">
        <v>29</v>
      </c>
      <c r="Z1133">
        <v>93185</v>
      </c>
    </row>
    <row r="1134" spans="1:26" x14ac:dyDescent="0.25">
      <c r="A1134" t="s">
        <v>1756</v>
      </c>
      <c r="B1134" t="s">
        <v>26</v>
      </c>
      <c r="C1134" t="s">
        <v>27</v>
      </c>
      <c r="H1134" s="2">
        <v>45602.519444444442</v>
      </c>
      <c r="I1134" t="s">
        <v>197</v>
      </c>
      <c r="Z1134">
        <v>93173</v>
      </c>
    </row>
    <row r="1135" spans="1:26" x14ac:dyDescent="0.25">
      <c r="A1135" t="s">
        <v>1757</v>
      </c>
      <c r="B1135" t="s">
        <v>46</v>
      </c>
      <c r="C1135" t="s">
        <v>27</v>
      </c>
      <c r="E1135" t="s">
        <v>84</v>
      </c>
      <c r="G1135" t="s">
        <v>1758</v>
      </c>
      <c r="H1135" s="2">
        <v>45601.784722222219</v>
      </c>
      <c r="I1135" t="s">
        <v>29</v>
      </c>
      <c r="Z1135">
        <v>93134</v>
      </c>
    </row>
    <row r="1136" spans="1:26" x14ac:dyDescent="0.25">
      <c r="A1136" t="s">
        <v>1759</v>
      </c>
      <c r="B1136" t="s">
        <v>164</v>
      </c>
      <c r="C1136" t="s">
        <v>27</v>
      </c>
      <c r="E1136" t="s">
        <v>1760</v>
      </c>
      <c r="G1136" t="s">
        <v>1761</v>
      </c>
      <c r="H1136" s="2">
        <v>45599.822222222225</v>
      </c>
      <c r="I1136" t="s">
        <v>153</v>
      </c>
      <c r="Z1136">
        <v>92939</v>
      </c>
    </row>
    <row r="1137" spans="1:26" x14ac:dyDescent="0.25">
      <c r="A1137" t="s">
        <v>1762</v>
      </c>
      <c r="B1137" t="s">
        <v>26</v>
      </c>
      <c r="C1137" t="s">
        <v>27</v>
      </c>
      <c r="H1137" s="2">
        <v>45599.820138888892</v>
      </c>
      <c r="I1137" t="s">
        <v>153</v>
      </c>
      <c r="Z1137">
        <v>92938</v>
      </c>
    </row>
    <row r="1138" spans="1:26" x14ac:dyDescent="0.25">
      <c r="A1138" t="s">
        <v>1256</v>
      </c>
      <c r="B1138" t="s">
        <v>26</v>
      </c>
      <c r="C1138" t="s">
        <v>27</v>
      </c>
      <c r="H1138" s="2">
        <v>45599.674305555556</v>
      </c>
      <c r="I1138" t="s">
        <v>29</v>
      </c>
      <c r="Z1138">
        <v>92922</v>
      </c>
    </row>
    <row r="1139" spans="1:26" x14ac:dyDescent="0.25">
      <c r="A1139" t="s">
        <v>1763</v>
      </c>
      <c r="C1139" t="s">
        <v>27</v>
      </c>
      <c r="E1139" t="s">
        <v>60</v>
      </c>
      <c r="H1139" s="2">
        <v>45599.588194444441</v>
      </c>
      <c r="I1139" t="s">
        <v>197</v>
      </c>
      <c r="Z1139">
        <v>92901</v>
      </c>
    </row>
    <row r="1140" spans="1:26" x14ac:dyDescent="0.25">
      <c r="A1140" t="s">
        <v>92</v>
      </c>
      <c r="B1140" t="s">
        <v>26</v>
      </c>
      <c r="C1140" t="s">
        <v>27</v>
      </c>
      <c r="H1140" s="2">
        <v>45599.484722222223</v>
      </c>
      <c r="I1140" t="s">
        <v>29</v>
      </c>
      <c r="Z1140">
        <v>92882</v>
      </c>
    </row>
    <row r="1141" spans="1:26" x14ac:dyDescent="0.25">
      <c r="A1141" t="s">
        <v>1764</v>
      </c>
      <c r="B1141" t="s">
        <v>26</v>
      </c>
      <c r="C1141" t="s">
        <v>27</v>
      </c>
      <c r="H1141" s="2">
        <v>45598.813888888886</v>
      </c>
      <c r="I1141" t="s">
        <v>40</v>
      </c>
      <c r="Z1141">
        <v>92854</v>
      </c>
    </row>
    <row r="1142" spans="1:26" x14ac:dyDescent="0.25">
      <c r="A1142" t="s">
        <v>1765</v>
      </c>
      <c r="B1142" t="s">
        <v>26</v>
      </c>
      <c r="C1142" t="s">
        <v>27</v>
      </c>
      <c r="H1142" s="2">
        <v>45598.777083333334</v>
      </c>
      <c r="I1142" t="s">
        <v>153</v>
      </c>
      <c r="Z1142">
        <v>92850</v>
      </c>
    </row>
    <row r="1143" spans="1:26" x14ac:dyDescent="0.25">
      <c r="A1143" t="s">
        <v>1766</v>
      </c>
      <c r="B1143" t="s">
        <v>150</v>
      </c>
      <c r="C1143" t="s">
        <v>27</v>
      </c>
      <c r="E1143" t="s">
        <v>335</v>
      </c>
      <c r="G1143" t="s">
        <v>1767</v>
      </c>
      <c r="H1143" s="2">
        <v>45598.693749999999</v>
      </c>
      <c r="I1143" t="s">
        <v>29</v>
      </c>
      <c r="Z1143">
        <v>92838</v>
      </c>
    </row>
    <row r="1144" spans="1:26" x14ac:dyDescent="0.25">
      <c r="A1144" t="s">
        <v>1768</v>
      </c>
      <c r="B1144" t="s">
        <v>26</v>
      </c>
      <c r="C1144" t="s">
        <v>27</v>
      </c>
      <c r="H1144" s="2">
        <v>45598.461805555555</v>
      </c>
      <c r="I1144" t="s">
        <v>153</v>
      </c>
      <c r="Z1144">
        <v>92798</v>
      </c>
    </row>
    <row r="1145" spans="1:26" x14ac:dyDescent="0.25">
      <c r="A1145" t="s">
        <v>1769</v>
      </c>
      <c r="B1145" t="s">
        <v>26</v>
      </c>
      <c r="C1145" t="s">
        <v>27</v>
      </c>
      <c r="H1145" s="2">
        <v>45597.438888888886</v>
      </c>
      <c r="I1145" t="s">
        <v>29</v>
      </c>
      <c r="Z1145">
        <v>92712</v>
      </c>
    </row>
    <row r="1146" spans="1:26" x14ac:dyDescent="0.25">
      <c r="A1146" t="s">
        <v>92</v>
      </c>
      <c r="B1146" t="s">
        <v>26</v>
      </c>
      <c r="C1146" t="s">
        <v>27</v>
      </c>
      <c r="H1146" s="2">
        <v>45596.675000000003</v>
      </c>
      <c r="I1146" t="s">
        <v>29</v>
      </c>
      <c r="Z1146">
        <v>92681</v>
      </c>
    </row>
    <row r="1147" spans="1:26" x14ac:dyDescent="0.25">
      <c r="A1147" t="s">
        <v>1770</v>
      </c>
      <c r="B1147" t="s">
        <v>26</v>
      </c>
      <c r="C1147" t="s">
        <v>27</v>
      </c>
      <c r="H1147" s="2">
        <v>45596.573611111111</v>
      </c>
      <c r="I1147" t="s">
        <v>95</v>
      </c>
      <c r="Z1147">
        <v>92668</v>
      </c>
    </row>
    <row r="1148" spans="1:26" x14ac:dyDescent="0.25">
      <c r="A1148" t="s">
        <v>1771</v>
      </c>
      <c r="B1148" t="s">
        <v>26</v>
      </c>
      <c r="C1148" t="s">
        <v>27</v>
      </c>
      <c r="H1148" s="2">
        <v>45594.60833333333</v>
      </c>
      <c r="I1148" t="s">
        <v>95</v>
      </c>
      <c r="Z1148">
        <v>92570</v>
      </c>
    </row>
    <row r="1149" spans="1:26" x14ac:dyDescent="0.25">
      <c r="A1149" t="s">
        <v>1772</v>
      </c>
      <c r="B1149" t="s">
        <v>77</v>
      </c>
      <c r="C1149" t="s">
        <v>27</v>
      </c>
      <c r="E1149" t="s">
        <v>218</v>
      </c>
      <c r="H1149" s="2">
        <v>45594.489583333336</v>
      </c>
      <c r="I1149" t="s">
        <v>197</v>
      </c>
      <c r="Z1149">
        <v>92545</v>
      </c>
    </row>
    <row r="1150" spans="1:26" x14ac:dyDescent="0.25">
      <c r="A1150" t="s">
        <v>1773</v>
      </c>
      <c r="B1150" t="s">
        <v>26</v>
      </c>
      <c r="C1150" t="s">
        <v>27</v>
      </c>
      <c r="H1150" s="2">
        <v>45593.665972222225</v>
      </c>
      <c r="I1150" t="s">
        <v>197</v>
      </c>
      <c r="Z1150">
        <v>92505</v>
      </c>
    </row>
    <row r="1151" spans="1:26" x14ac:dyDescent="0.25">
      <c r="A1151" t="s">
        <v>1774</v>
      </c>
      <c r="B1151" t="s">
        <v>26</v>
      </c>
      <c r="C1151" t="s">
        <v>27</v>
      </c>
      <c r="E1151" t="s">
        <v>329</v>
      </c>
      <c r="H1151" s="2">
        <v>45593.578472222223</v>
      </c>
      <c r="I1151" t="s">
        <v>153</v>
      </c>
      <c r="Z1151">
        <v>92491</v>
      </c>
    </row>
    <row r="1152" spans="1:26" x14ac:dyDescent="0.25">
      <c r="A1152" t="s">
        <v>1775</v>
      </c>
      <c r="B1152" t="s">
        <v>150</v>
      </c>
      <c r="C1152" t="s">
        <v>27</v>
      </c>
      <c r="E1152" t="s">
        <v>84</v>
      </c>
      <c r="H1152" s="2">
        <v>45592.57916666667</v>
      </c>
      <c r="I1152" t="s">
        <v>29</v>
      </c>
      <c r="Z1152">
        <v>92437</v>
      </c>
    </row>
    <row r="1153" spans="1:26" x14ac:dyDescent="0.25">
      <c r="A1153" t="s">
        <v>1776</v>
      </c>
      <c r="B1153" t="s">
        <v>26</v>
      </c>
      <c r="C1153" t="s">
        <v>27</v>
      </c>
      <c r="H1153" s="2">
        <v>45592.573611111111</v>
      </c>
      <c r="I1153" t="s">
        <v>40</v>
      </c>
      <c r="Z1153">
        <v>92436</v>
      </c>
    </row>
    <row r="1154" spans="1:26" x14ac:dyDescent="0.25">
      <c r="A1154" t="s">
        <v>92</v>
      </c>
      <c r="B1154" t="s">
        <v>164</v>
      </c>
      <c r="C1154" t="s">
        <v>27</v>
      </c>
      <c r="E1154" t="s">
        <v>1777</v>
      </c>
      <c r="G1154" t="s">
        <v>1778</v>
      </c>
      <c r="H1154" s="2">
        <v>45592.569444444445</v>
      </c>
      <c r="I1154" t="s">
        <v>29</v>
      </c>
      <c r="Z1154">
        <v>92435</v>
      </c>
    </row>
    <row r="1155" spans="1:26" x14ac:dyDescent="0.25">
      <c r="A1155" t="s">
        <v>1779</v>
      </c>
      <c r="B1155" t="s">
        <v>26</v>
      </c>
      <c r="C1155" t="s">
        <v>47</v>
      </c>
      <c r="H1155" s="2">
        <v>45589.813194444447</v>
      </c>
      <c r="I1155" t="s">
        <v>197</v>
      </c>
      <c r="Z1155">
        <v>92343</v>
      </c>
    </row>
    <row r="1156" spans="1:26" x14ac:dyDescent="0.25">
      <c r="A1156" t="s">
        <v>1780</v>
      </c>
      <c r="B1156" t="s">
        <v>26</v>
      </c>
      <c r="C1156" t="s">
        <v>27</v>
      </c>
      <c r="H1156" s="2">
        <v>45589.669444444444</v>
      </c>
      <c r="I1156" t="s">
        <v>95</v>
      </c>
      <c r="Z1156">
        <v>92334</v>
      </c>
    </row>
    <row r="1157" spans="1:26" x14ac:dyDescent="0.25">
      <c r="A1157" t="s">
        <v>1781</v>
      </c>
      <c r="B1157" t="s">
        <v>26</v>
      </c>
      <c r="C1157" t="s">
        <v>27</v>
      </c>
      <c r="H1157" s="2">
        <v>45589.617361111108</v>
      </c>
      <c r="I1157" t="s">
        <v>197</v>
      </c>
      <c r="Z1157">
        <v>92325</v>
      </c>
    </row>
    <row r="1158" spans="1:26" x14ac:dyDescent="0.25">
      <c r="A1158" t="s">
        <v>1782</v>
      </c>
      <c r="B1158" t="s">
        <v>26</v>
      </c>
      <c r="C1158" t="s">
        <v>27</v>
      </c>
      <c r="H1158" s="2">
        <v>45588.762499999997</v>
      </c>
      <c r="I1158" t="s">
        <v>197</v>
      </c>
      <c r="Z1158">
        <v>92297</v>
      </c>
    </row>
    <row r="1159" spans="1:26" x14ac:dyDescent="0.25">
      <c r="A1159" t="s">
        <v>1418</v>
      </c>
      <c r="B1159" t="s">
        <v>26</v>
      </c>
      <c r="C1159" t="s">
        <v>27</v>
      </c>
      <c r="H1159" s="2">
        <v>45588.581944444442</v>
      </c>
      <c r="I1159" t="s">
        <v>153</v>
      </c>
      <c r="Z1159">
        <v>92274</v>
      </c>
    </row>
    <row r="1160" spans="1:26" x14ac:dyDescent="0.25">
      <c r="A1160" t="s">
        <v>1783</v>
      </c>
      <c r="B1160" t="s">
        <v>26</v>
      </c>
      <c r="C1160" t="s">
        <v>27</v>
      </c>
      <c r="H1160" s="2">
        <v>45588.474999999999</v>
      </c>
      <c r="I1160" t="s">
        <v>95</v>
      </c>
      <c r="Z1160">
        <v>92263</v>
      </c>
    </row>
    <row r="1161" spans="1:26" x14ac:dyDescent="0.25">
      <c r="A1161" t="s">
        <v>1784</v>
      </c>
      <c r="B1161" t="s">
        <v>26</v>
      </c>
      <c r="C1161" t="s">
        <v>27</v>
      </c>
      <c r="E1161" t="s">
        <v>1785</v>
      </c>
      <c r="G1161" t="s">
        <v>1786</v>
      </c>
      <c r="H1161" s="2">
        <v>45588.454861111109</v>
      </c>
      <c r="I1161" t="s">
        <v>197</v>
      </c>
      <c r="Z1161">
        <v>92255</v>
      </c>
    </row>
    <row r="1162" spans="1:26" x14ac:dyDescent="0.25">
      <c r="A1162" t="s">
        <v>1787</v>
      </c>
      <c r="B1162" t="s">
        <v>26</v>
      </c>
      <c r="C1162" t="s">
        <v>27</v>
      </c>
      <c r="H1162" s="2">
        <v>45588.381944444445</v>
      </c>
      <c r="I1162" t="s">
        <v>186</v>
      </c>
      <c r="Z1162">
        <v>92244</v>
      </c>
    </row>
    <row r="1163" spans="1:26" x14ac:dyDescent="0.25">
      <c r="A1163" t="s">
        <v>1788</v>
      </c>
      <c r="B1163" t="s">
        <v>26</v>
      </c>
      <c r="C1163" t="s">
        <v>27</v>
      </c>
      <c r="H1163" s="2">
        <v>45587.727083333331</v>
      </c>
      <c r="I1163" t="s">
        <v>197</v>
      </c>
      <c r="Z1163">
        <v>92236</v>
      </c>
    </row>
    <row r="1164" spans="1:26" x14ac:dyDescent="0.25">
      <c r="A1164" t="s">
        <v>1789</v>
      </c>
      <c r="B1164" t="s">
        <v>164</v>
      </c>
      <c r="C1164" t="s">
        <v>27</v>
      </c>
      <c r="E1164" t="s">
        <v>1790</v>
      </c>
      <c r="H1164" s="2">
        <v>45587.488194444442</v>
      </c>
      <c r="I1164" t="s">
        <v>40</v>
      </c>
      <c r="Z1164">
        <v>92204</v>
      </c>
    </row>
    <row r="1165" spans="1:26" x14ac:dyDescent="0.25">
      <c r="A1165" t="s">
        <v>1791</v>
      </c>
      <c r="B1165" t="s">
        <v>26</v>
      </c>
      <c r="C1165" t="s">
        <v>27</v>
      </c>
      <c r="H1165" s="2">
        <v>45587.486111111109</v>
      </c>
      <c r="I1165" t="s">
        <v>40</v>
      </c>
      <c r="Z1165">
        <v>92203</v>
      </c>
    </row>
    <row r="1166" spans="1:26" x14ac:dyDescent="0.25">
      <c r="A1166" t="s">
        <v>1792</v>
      </c>
      <c r="B1166" t="s">
        <v>26</v>
      </c>
      <c r="C1166" t="s">
        <v>27</v>
      </c>
      <c r="H1166" s="2">
        <v>45586.65</v>
      </c>
      <c r="I1166" t="s">
        <v>29</v>
      </c>
      <c r="Z1166">
        <v>92176</v>
      </c>
    </row>
    <row r="1167" spans="1:26" x14ac:dyDescent="0.25">
      <c r="A1167" t="s">
        <v>1793</v>
      </c>
      <c r="B1167" t="s">
        <v>26</v>
      </c>
      <c r="C1167" t="s">
        <v>27</v>
      </c>
      <c r="H1167" s="2">
        <v>45586.618055555555</v>
      </c>
      <c r="I1167" t="s">
        <v>197</v>
      </c>
      <c r="Z1167">
        <v>92170</v>
      </c>
    </row>
    <row r="1168" spans="1:26" x14ac:dyDescent="0.25">
      <c r="A1168" t="s">
        <v>1255</v>
      </c>
      <c r="C1168" t="s">
        <v>27</v>
      </c>
      <c r="E1168" t="s">
        <v>203</v>
      </c>
      <c r="H1168" s="2">
        <v>45586.477083333331</v>
      </c>
      <c r="I1168" t="s">
        <v>197</v>
      </c>
      <c r="Z1168">
        <v>92137</v>
      </c>
    </row>
    <row r="1169" spans="1:26" x14ac:dyDescent="0.25">
      <c r="A1169" t="s">
        <v>1794</v>
      </c>
      <c r="B1169" t="s">
        <v>150</v>
      </c>
      <c r="C1169" t="s">
        <v>27</v>
      </c>
      <c r="E1169" t="s">
        <v>1706</v>
      </c>
      <c r="H1169" s="2">
        <v>45584.775694444441</v>
      </c>
      <c r="I1169" t="s">
        <v>40</v>
      </c>
      <c r="Z1169">
        <v>92097</v>
      </c>
    </row>
    <row r="1170" spans="1:26" x14ac:dyDescent="0.25">
      <c r="A1170" t="s">
        <v>1775</v>
      </c>
      <c r="B1170" t="s">
        <v>198</v>
      </c>
      <c r="C1170" t="s">
        <v>27</v>
      </c>
      <c r="E1170" t="s">
        <v>195</v>
      </c>
      <c r="H1170" s="2">
        <v>45583.789583333331</v>
      </c>
      <c r="I1170" t="s">
        <v>29</v>
      </c>
      <c r="Z1170">
        <v>92087</v>
      </c>
    </row>
    <row r="1171" spans="1:26" x14ac:dyDescent="0.25">
      <c r="A1171" t="s">
        <v>1113</v>
      </c>
      <c r="B1171" t="s">
        <v>26</v>
      </c>
      <c r="C1171" t="s">
        <v>27</v>
      </c>
      <c r="H1171" s="2">
        <v>45583.680555555555</v>
      </c>
      <c r="I1171" t="s">
        <v>29</v>
      </c>
      <c r="Z1171">
        <v>92071</v>
      </c>
    </row>
    <row r="1172" spans="1:26" x14ac:dyDescent="0.25">
      <c r="A1172" t="s">
        <v>1795</v>
      </c>
      <c r="B1172" t="s">
        <v>26</v>
      </c>
      <c r="C1172" t="s">
        <v>27</v>
      </c>
      <c r="H1172" s="2">
        <v>45583.603472222225</v>
      </c>
      <c r="I1172" t="s">
        <v>197</v>
      </c>
      <c r="Z1172">
        <v>92061</v>
      </c>
    </row>
    <row r="1173" spans="1:26" x14ac:dyDescent="0.25">
      <c r="A1173" t="s">
        <v>1796</v>
      </c>
      <c r="B1173" t="s">
        <v>26</v>
      </c>
      <c r="C1173" t="s">
        <v>27</v>
      </c>
      <c r="H1173" s="2">
        <v>45583.568055555559</v>
      </c>
      <c r="I1173" t="s">
        <v>95</v>
      </c>
      <c r="Z1173">
        <v>92058</v>
      </c>
    </row>
    <row r="1174" spans="1:26" x14ac:dyDescent="0.25">
      <c r="A1174" t="s">
        <v>1797</v>
      </c>
      <c r="B1174" t="s">
        <v>26</v>
      </c>
      <c r="C1174" t="s">
        <v>27</v>
      </c>
      <c r="H1174" s="2">
        <v>45582.677083333336</v>
      </c>
      <c r="I1174" t="s">
        <v>197</v>
      </c>
      <c r="Z1174">
        <v>92031</v>
      </c>
    </row>
    <row r="1175" spans="1:26" x14ac:dyDescent="0.25">
      <c r="A1175" t="s">
        <v>1798</v>
      </c>
      <c r="B1175" t="s">
        <v>26</v>
      </c>
      <c r="C1175" t="s">
        <v>27</v>
      </c>
      <c r="H1175" s="2">
        <v>45582.61041666667</v>
      </c>
      <c r="I1175" t="s">
        <v>197</v>
      </c>
      <c r="Z1175">
        <v>92025</v>
      </c>
    </row>
    <row r="1176" spans="1:26" x14ac:dyDescent="0.25">
      <c r="A1176" t="s">
        <v>1799</v>
      </c>
      <c r="B1176" t="s">
        <v>26</v>
      </c>
      <c r="C1176" t="s">
        <v>27</v>
      </c>
      <c r="H1176" s="2">
        <v>45582.592361111114</v>
      </c>
      <c r="I1176" t="s">
        <v>29</v>
      </c>
      <c r="Z1176">
        <v>92023</v>
      </c>
    </row>
    <row r="1177" spans="1:26" x14ac:dyDescent="0.25">
      <c r="A1177" t="s">
        <v>1800</v>
      </c>
      <c r="B1177" t="s">
        <v>26</v>
      </c>
      <c r="C1177" t="s">
        <v>27</v>
      </c>
      <c r="H1177" s="2">
        <v>45580.793055555558</v>
      </c>
      <c r="I1177" t="s">
        <v>153</v>
      </c>
      <c r="Z1177">
        <v>91945</v>
      </c>
    </row>
    <row r="1178" spans="1:26" x14ac:dyDescent="0.25">
      <c r="A1178" t="s">
        <v>1801</v>
      </c>
      <c r="B1178" t="s">
        <v>26</v>
      </c>
      <c r="C1178" t="s">
        <v>27</v>
      </c>
      <c r="H1178" s="2">
        <v>45580.664583333331</v>
      </c>
      <c r="I1178" t="s">
        <v>40</v>
      </c>
      <c r="Z1178">
        <v>91922</v>
      </c>
    </row>
    <row r="1179" spans="1:26" x14ac:dyDescent="0.25">
      <c r="A1179" t="s">
        <v>92</v>
      </c>
      <c r="B1179" t="s">
        <v>26</v>
      </c>
      <c r="C1179" t="s">
        <v>27</v>
      </c>
      <c r="H1179" s="2">
        <v>45580.661111111112</v>
      </c>
      <c r="I1179" t="s">
        <v>29</v>
      </c>
      <c r="Z1179">
        <v>91920</v>
      </c>
    </row>
    <row r="1180" spans="1:26" x14ac:dyDescent="0.25">
      <c r="A1180" t="s">
        <v>1802</v>
      </c>
      <c r="B1180" t="s">
        <v>26</v>
      </c>
      <c r="C1180" t="s">
        <v>27</v>
      </c>
      <c r="H1180" s="2">
        <v>45580.651388888888</v>
      </c>
      <c r="I1180" t="s">
        <v>197</v>
      </c>
      <c r="Z1180">
        <v>91918</v>
      </c>
    </row>
    <row r="1181" spans="1:26" x14ac:dyDescent="0.25">
      <c r="A1181" t="s">
        <v>232</v>
      </c>
      <c r="B1181" t="s">
        <v>26</v>
      </c>
      <c r="C1181" t="s">
        <v>27</v>
      </c>
      <c r="H1181" s="2">
        <v>45580.408333333333</v>
      </c>
      <c r="I1181" t="s">
        <v>153</v>
      </c>
      <c r="Z1181">
        <v>91888</v>
      </c>
    </row>
    <row r="1182" spans="1:26" x14ac:dyDescent="0.25">
      <c r="A1182" t="s">
        <v>1803</v>
      </c>
      <c r="B1182" t="s">
        <v>26</v>
      </c>
      <c r="C1182" t="s">
        <v>59</v>
      </c>
      <c r="H1182" s="2">
        <v>45580.402777777781</v>
      </c>
      <c r="I1182" t="s">
        <v>197</v>
      </c>
      <c r="Z1182">
        <v>91887</v>
      </c>
    </row>
    <row r="1183" spans="1:26" x14ac:dyDescent="0.25">
      <c r="A1183" t="s">
        <v>1804</v>
      </c>
      <c r="B1183" t="s">
        <v>26</v>
      </c>
      <c r="C1183" t="s">
        <v>27</v>
      </c>
      <c r="H1183" s="2">
        <v>45580.35</v>
      </c>
      <c r="I1183" t="s">
        <v>29</v>
      </c>
      <c r="Z1183">
        <v>91883</v>
      </c>
    </row>
    <row r="1184" spans="1:26" x14ac:dyDescent="0.25">
      <c r="A1184" t="s">
        <v>1805</v>
      </c>
      <c r="B1184" t="s">
        <v>46</v>
      </c>
      <c r="C1184" t="s">
        <v>27</v>
      </c>
      <c r="E1184" t="s">
        <v>74</v>
      </c>
      <c r="G1184" t="s">
        <v>1806</v>
      </c>
      <c r="H1184" s="2">
        <v>45579.773611111108</v>
      </c>
      <c r="I1184" t="s">
        <v>197</v>
      </c>
      <c r="Z1184">
        <v>91875</v>
      </c>
    </row>
    <row r="1185" spans="1:26" x14ac:dyDescent="0.25">
      <c r="A1185" t="s">
        <v>1807</v>
      </c>
      <c r="B1185" t="s">
        <v>150</v>
      </c>
      <c r="C1185" t="s">
        <v>64</v>
      </c>
      <c r="E1185" t="s">
        <v>72</v>
      </c>
      <c r="G1185" t="s">
        <v>1806</v>
      </c>
      <c r="H1185" s="2">
        <v>45579.772916666669</v>
      </c>
      <c r="I1185" t="s">
        <v>197</v>
      </c>
      <c r="Z1185">
        <v>91874</v>
      </c>
    </row>
    <row r="1186" spans="1:26" x14ac:dyDescent="0.25">
      <c r="A1186" t="s">
        <v>1808</v>
      </c>
      <c r="B1186" t="s">
        <v>26</v>
      </c>
      <c r="C1186" t="s">
        <v>27</v>
      </c>
      <c r="H1186" s="2">
        <v>45579.73541666667</v>
      </c>
      <c r="I1186" t="s">
        <v>40</v>
      </c>
      <c r="Z1186">
        <v>91866</v>
      </c>
    </row>
    <row r="1187" spans="1:26" x14ac:dyDescent="0.25">
      <c r="A1187" t="s">
        <v>1809</v>
      </c>
      <c r="B1187" t="s">
        <v>26</v>
      </c>
      <c r="C1187" t="s">
        <v>27</v>
      </c>
      <c r="H1187" s="2">
        <v>45579.668055555558</v>
      </c>
      <c r="I1187" t="s">
        <v>197</v>
      </c>
      <c r="Z1187">
        <v>91857</v>
      </c>
    </row>
    <row r="1188" spans="1:26" x14ac:dyDescent="0.25">
      <c r="A1188" t="s">
        <v>1810</v>
      </c>
      <c r="B1188" t="s">
        <v>77</v>
      </c>
      <c r="C1188" t="s">
        <v>27</v>
      </c>
      <c r="E1188" t="s">
        <v>45</v>
      </c>
      <c r="H1188" s="2">
        <v>45579.654861111114</v>
      </c>
      <c r="I1188" t="s">
        <v>197</v>
      </c>
      <c r="K1188" t="s">
        <v>30</v>
      </c>
      <c r="L1188" t="s">
        <v>31</v>
      </c>
      <c r="M1188">
        <v>67130164</v>
      </c>
      <c r="N1188">
        <v>12403825971</v>
      </c>
      <c r="O1188" t="s">
        <v>682</v>
      </c>
      <c r="Z1188">
        <v>91855</v>
      </c>
    </row>
    <row r="1189" spans="1:26" x14ac:dyDescent="0.25">
      <c r="A1189" t="s">
        <v>1811</v>
      </c>
      <c r="B1189" t="s">
        <v>26</v>
      </c>
      <c r="C1189" t="s">
        <v>27</v>
      </c>
      <c r="H1189" s="2">
        <v>45579.634027777778</v>
      </c>
      <c r="I1189" t="s">
        <v>197</v>
      </c>
      <c r="Z1189">
        <v>91852</v>
      </c>
    </row>
    <row r="1190" spans="1:26" x14ac:dyDescent="0.25">
      <c r="A1190" t="s">
        <v>1812</v>
      </c>
      <c r="B1190" t="s">
        <v>26</v>
      </c>
      <c r="C1190" t="s">
        <v>27</v>
      </c>
      <c r="H1190" s="2">
        <v>45579.464583333334</v>
      </c>
      <c r="I1190" t="s">
        <v>40</v>
      </c>
      <c r="Z1190">
        <v>91818</v>
      </c>
    </row>
    <row r="1191" spans="1:26" x14ac:dyDescent="0.25">
      <c r="A1191" t="s">
        <v>1813</v>
      </c>
      <c r="B1191" t="s">
        <v>164</v>
      </c>
      <c r="C1191" t="s">
        <v>27</v>
      </c>
      <c r="E1191" t="s">
        <v>1814</v>
      </c>
      <c r="H1191" s="2">
        <v>45578.611111111109</v>
      </c>
      <c r="I1191" t="s">
        <v>29</v>
      </c>
      <c r="Z1191">
        <v>91789</v>
      </c>
    </row>
    <row r="1192" spans="1:26" x14ac:dyDescent="0.25">
      <c r="A1192" t="s">
        <v>1815</v>
      </c>
      <c r="B1192" t="s">
        <v>164</v>
      </c>
      <c r="C1192" t="s">
        <v>27</v>
      </c>
      <c r="E1192" t="s">
        <v>1816</v>
      </c>
      <c r="H1192" s="2">
        <v>45578.495138888888</v>
      </c>
      <c r="I1192" t="s">
        <v>40</v>
      </c>
      <c r="K1192" t="s">
        <v>30</v>
      </c>
      <c r="L1192" t="s">
        <v>31</v>
      </c>
      <c r="M1192">
        <v>55887024</v>
      </c>
      <c r="N1192">
        <v>9754613602</v>
      </c>
      <c r="O1192" t="s">
        <v>1559</v>
      </c>
      <c r="Z1192">
        <v>91782</v>
      </c>
    </row>
    <row r="1193" spans="1:26" x14ac:dyDescent="0.25">
      <c r="A1193" t="s">
        <v>1817</v>
      </c>
      <c r="B1193" t="s">
        <v>26</v>
      </c>
      <c r="C1193" t="s">
        <v>27</v>
      </c>
      <c r="E1193" t="s">
        <v>1818</v>
      </c>
      <c r="H1193" s="2">
        <v>45578.236805555556</v>
      </c>
      <c r="I1193" t="s">
        <v>197</v>
      </c>
      <c r="Z1193">
        <v>91777</v>
      </c>
    </row>
    <row r="1194" spans="1:26" x14ac:dyDescent="0.25">
      <c r="A1194" t="s">
        <v>1819</v>
      </c>
      <c r="B1194" t="s">
        <v>164</v>
      </c>
      <c r="C1194" t="s">
        <v>27</v>
      </c>
      <c r="E1194" t="s">
        <v>106</v>
      </c>
      <c r="G1194" t="s">
        <v>1820</v>
      </c>
      <c r="H1194" s="2">
        <v>45577.393055555556</v>
      </c>
      <c r="I1194" t="s">
        <v>197</v>
      </c>
      <c r="K1194" t="s">
        <v>30</v>
      </c>
      <c r="L1194" t="s">
        <v>31</v>
      </c>
      <c r="M1194">
        <v>55887024</v>
      </c>
      <c r="N1194">
        <v>9754613602</v>
      </c>
      <c r="O1194" t="s">
        <v>1559</v>
      </c>
      <c r="Z1194">
        <v>91759</v>
      </c>
    </row>
    <row r="1195" spans="1:26" x14ac:dyDescent="0.25">
      <c r="A1195" t="s">
        <v>1821</v>
      </c>
      <c r="B1195" t="s">
        <v>26</v>
      </c>
      <c r="C1195" t="s">
        <v>27</v>
      </c>
      <c r="H1195" s="2">
        <v>45576.394444444442</v>
      </c>
      <c r="I1195" t="s">
        <v>95</v>
      </c>
      <c r="Z1195">
        <v>91706</v>
      </c>
    </row>
    <row r="1196" spans="1:26" x14ac:dyDescent="0.25">
      <c r="A1196" t="s">
        <v>1822</v>
      </c>
      <c r="B1196" t="s">
        <v>164</v>
      </c>
      <c r="C1196" t="s">
        <v>27</v>
      </c>
      <c r="E1196">
        <v>79277377009</v>
      </c>
      <c r="H1196" s="2">
        <v>45576.356249999997</v>
      </c>
      <c r="I1196" t="s">
        <v>197</v>
      </c>
      <c r="Z1196">
        <v>91698</v>
      </c>
    </row>
    <row r="1197" spans="1:26" x14ac:dyDescent="0.25">
      <c r="A1197" t="s">
        <v>92</v>
      </c>
      <c r="B1197" t="s">
        <v>26</v>
      </c>
      <c r="C1197" t="s">
        <v>27</v>
      </c>
      <c r="H1197" s="2">
        <v>45575.466666666667</v>
      </c>
      <c r="I1197" t="s">
        <v>29</v>
      </c>
      <c r="Z1197">
        <v>91659</v>
      </c>
    </row>
    <row r="1198" spans="1:26" x14ac:dyDescent="0.25">
      <c r="A1198" t="s">
        <v>1823</v>
      </c>
      <c r="B1198" t="s">
        <v>26</v>
      </c>
      <c r="C1198" t="s">
        <v>27</v>
      </c>
      <c r="H1198" s="2">
        <v>45575.458333333336</v>
      </c>
      <c r="I1198" t="s">
        <v>197</v>
      </c>
      <c r="Z1198">
        <v>91657</v>
      </c>
    </row>
    <row r="1199" spans="1:26" x14ac:dyDescent="0.25">
      <c r="A1199" t="s">
        <v>1824</v>
      </c>
      <c r="C1199" t="s">
        <v>27</v>
      </c>
      <c r="E1199" t="s">
        <v>173</v>
      </c>
      <c r="H1199" s="2">
        <v>45574.877083333333</v>
      </c>
      <c r="I1199" t="s">
        <v>197</v>
      </c>
      <c r="Z1199">
        <v>91645</v>
      </c>
    </row>
    <row r="1200" spans="1:26" x14ac:dyDescent="0.25">
      <c r="A1200" t="s">
        <v>1825</v>
      </c>
      <c r="B1200" t="s">
        <v>26</v>
      </c>
      <c r="C1200" t="s">
        <v>27</v>
      </c>
      <c r="H1200" s="2">
        <v>45574.655555555553</v>
      </c>
      <c r="I1200" t="s">
        <v>40</v>
      </c>
      <c r="Z1200">
        <v>91632</v>
      </c>
    </row>
    <row r="1201" spans="1:26" x14ac:dyDescent="0.25">
      <c r="A1201" t="s">
        <v>92</v>
      </c>
      <c r="B1201" t="s">
        <v>26</v>
      </c>
      <c r="C1201" t="s">
        <v>27</v>
      </c>
      <c r="H1201" s="2">
        <v>45574.409722222219</v>
      </c>
      <c r="I1201" t="s">
        <v>29</v>
      </c>
      <c r="Z1201">
        <v>91598</v>
      </c>
    </row>
    <row r="1202" spans="1:26" x14ac:dyDescent="0.25">
      <c r="A1202" t="s">
        <v>1826</v>
      </c>
      <c r="B1202" t="s">
        <v>26</v>
      </c>
      <c r="C1202" t="s">
        <v>27</v>
      </c>
      <c r="H1202" s="2">
        <v>45573.690972222219</v>
      </c>
      <c r="I1202" t="s">
        <v>29</v>
      </c>
      <c r="Z1202">
        <v>91582</v>
      </c>
    </row>
    <row r="1203" spans="1:26" x14ac:dyDescent="0.25">
      <c r="A1203" t="s">
        <v>1827</v>
      </c>
      <c r="B1203" t="s">
        <v>26</v>
      </c>
      <c r="C1203" t="s">
        <v>27</v>
      </c>
      <c r="H1203" s="2">
        <v>45573.663888888892</v>
      </c>
      <c r="I1203" t="s">
        <v>29</v>
      </c>
      <c r="Z1203">
        <v>91577</v>
      </c>
    </row>
    <row r="1204" spans="1:26" x14ac:dyDescent="0.25">
      <c r="A1204" t="s">
        <v>1828</v>
      </c>
      <c r="B1204" t="s">
        <v>26</v>
      </c>
      <c r="C1204" t="s">
        <v>27</v>
      </c>
      <c r="H1204" s="2">
        <v>45573.497916666667</v>
      </c>
      <c r="I1204" t="s">
        <v>197</v>
      </c>
      <c r="Z1204">
        <v>91554</v>
      </c>
    </row>
    <row r="1205" spans="1:26" x14ac:dyDescent="0.25">
      <c r="A1205" t="s">
        <v>92</v>
      </c>
      <c r="C1205" t="s">
        <v>27</v>
      </c>
      <c r="E1205" t="s">
        <v>163</v>
      </c>
      <c r="H1205" s="2">
        <v>45572.444444444445</v>
      </c>
      <c r="I1205" t="s">
        <v>29</v>
      </c>
      <c r="Z1205">
        <v>91503</v>
      </c>
    </row>
    <row r="1206" spans="1:26" x14ac:dyDescent="0.25">
      <c r="A1206" t="s">
        <v>1829</v>
      </c>
      <c r="B1206" t="s">
        <v>26</v>
      </c>
      <c r="C1206" t="s">
        <v>27</v>
      </c>
      <c r="H1206" s="2">
        <v>45572.430555555555</v>
      </c>
      <c r="I1206" t="s">
        <v>40</v>
      </c>
      <c r="Z1206">
        <v>91501</v>
      </c>
    </row>
    <row r="1207" spans="1:26" x14ac:dyDescent="0.25">
      <c r="A1207" t="s">
        <v>1830</v>
      </c>
      <c r="B1207" t="s">
        <v>26</v>
      </c>
      <c r="C1207" t="s">
        <v>27</v>
      </c>
      <c r="H1207" s="2">
        <v>45572.421527777777</v>
      </c>
      <c r="I1207" t="s">
        <v>40</v>
      </c>
      <c r="Z1207">
        <v>91499</v>
      </c>
    </row>
    <row r="1208" spans="1:26" x14ac:dyDescent="0.25">
      <c r="A1208" t="s">
        <v>1831</v>
      </c>
      <c r="B1208" t="s">
        <v>185</v>
      </c>
      <c r="C1208" t="s">
        <v>27</v>
      </c>
      <c r="E1208" t="s">
        <v>44</v>
      </c>
      <c r="H1208" s="2">
        <v>45571.40625</v>
      </c>
      <c r="I1208" t="s">
        <v>29</v>
      </c>
      <c r="Z1208">
        <v>91476</v>
      </c>
    </row>
    <row r="1209" spans="1:26" x14ac:dyDescent="0.25">
      <c r="A1209" t="s">
        <v>1832</v>
      </c>
      <c r="B1209" t="s">
        <v>26</v>
      </c>
      <c r="C1209" t="s">
        <v>27</v>
      </c>
      <c r="H1209" s="2">
        <v>45571.23541666667</v>
      </c>
      <c r="I1209" t="s">
        <v>197</v>
      </c>
      <c r="Z1209">
        <v>91474</v>
      </c>
    </row>
    <row r="1210" spans="1:26" x14ac:dyDescent="0.25">
      <c r="A1210" t="s">
        <v>1833</v>
      </c>
      <c r="B1210" t="s">
        <v>26</v>
      </c>
      <c r="C1210" t="s">
        <v>27</v>
      </c>
      <c r="H1210" s="2">
        <v>45569.568749999999</v>
      </c>
      <c r="I1210" t="s">
        <v>95</v>
      </c>
      <c r="Z1210">
        <v>91435</v>
      </c>
    </row>
    <row r="1211" spans="1:26" x14ac:dyDescent="0.25">
      <c r="A1211" t="s">
        <v>1834</v>
      </c>
      <c r="B1211" t="s">
        <v>26</v>
      </c>
      <c r="C1211" t="s">
        <v>64</v>
      </c>
      <c r="H1211" s="2">
        <v>45569.484722222223</v>
      </c>
      <c r="I1211" t="s">
        <v>29</v>
      </c>
      <c r="Z1211">
        <v>91426</v>
      </c>
    </row>
    <row r="1212" spans="1:26" x14ac:dyDescent="0.25">
      <c r="A1212" t="s">
        <v>1835</v>
      </c>
      <c r="C1212" t="s">
        <v>27</v>
      </c>
      <c r="E1212" t="s">
        <v>254</v>
      </c>
      <c r="H1212" s="2">
        <v>45568.909722222219</v>
      </c>
      <c r="I1212" t="s">
        <v>197</v>
      </c>
      <c r="Z1212">
        <v>91410</v>
      </c>
    </row>
    <row r="1213" spans="1:26" x14ac:dyDescent="0.25">
      <c r="A1213" t="s">
        <v>1836</v>
      </c>
      <c r="B1213" t="s">
        <v>26</v>
      </c>
      <c r="C1213" t="s">
        <v>27</v>
      </c>
      <c r="H1213" s="2">
        <v>45568.584027777775</v>
      </c>
      <c r="I1213" t="s">
        <v>197</v>
      </c>
      <c r="Z1213">
        <v>91385</v>
      </c>
    </row>
    <row r="1214" spans="1:26" x14ac:dyDescent="0.25">
      <c r="A1214" t="s">
        <v>1837</v>
      </c>
      <c r="B1214" t="s">
        <v>26</v>
      </c>
      <c r="C1214" t="s">
        <v>27</v>
      </c>
      <c r="H1214" s="2">
        <v>45567.786111111112</v>
      </c>
      <c r="I1214" t="s">
        <v>186</v>
      </c>
      <c r="Z1214">
        <v>91356</v>
      </c>
    </row>
    <row r="1215" spans="1:26" x14ac:dyDescent="0.25">
      <c r="A1215" t="s">
        <v>1838</v>
      </c>
      <c r="C1215" t="s">
        <v>27</v>
      </c>
      <c r="E1215" t="s">
        <v>66</v>
      </c>
      <c r="H1215" s="2">
        <v>45567.561805555553</v>
      </c>
      <c r="I1215" t="s">
        <v>197</v>
      </c>
      <c r="Z1215">
        <v>91334</v>
      </c>
    </row>
    <row r="1216" spans="1:26" x14ac:dyDescent="0.25">
      <c r="A1216" t="s">
        <v>1839</v>
      </c>
      <c r="B1216" t="s">
        <v>26</v>
      </c>
      <c r="C1216" t="s">
        <v>27</v>
      </c>
      <c r="H1216" s="2">
        <v>45567.47152777778</v>
      </c>
      <c r="I1216" t="s">
        <v>197</v>
      </c>
      <c r="Z1216">
        <v>91324</v>
      </c>
    </row>
    <row r="1217" spans="1:26" x14ac:dyDescent="0.25">
      <c r="A1217" t="s">
        <v>92</v>
      </c>
      <c r="B1217" t="s">
        <v>26</v>
      </c>
      <c r="C1217" t="s">
        <v>27</v>
      </c>
      <c r="H1217" s="2">
        <v>45567.409722222219</v>
      </c>
      <c r="I1217" t="s">
        <v>29</v>
      </c>
      <c r="Z1217">
        <v>91316</v>
      </c>
    </row>
    <row r="1218" spans="1:26" x14ac:dyDescent="0.25">
      <c r="A1218" t="s">
        <v>1840</v>
      </c>
      <c r="B1218" t="s">
        <v>26</v>
      </c>
      <c r="C1218" t="s">
        <v>27</v>
      </c>
      <c r="H1218" s="2">
        <v>45566.681944444441</v>
      </c>
      <c r="I1218" t="s">
        <v>194</v>
      </c>
      <c r="Z1218">
        <v>91292</v>
      </c>
    </row>
    <row r="1219" spans="1:26" x14ac:dyDescent="0.25">
      <c r="A1219" t="s">
        <v>1841</v>
      </c>
      <c r="B1219" t="s">
        <v>26</v>
      </c>
      <c r="C1219" t="s">
        <v>82</v>
      </c>
      <c r="H1219" s="2">
        <v>45566.660416666666</v>
      </c>
      <c r="I1219" t="s">
        <v>197</v>
      </c>
      <c r="Z1219">
        <v>91285</v>
      </c>
    </row>
    <row r="1220" spans="1:26" x14ac:dyDescent="0.25">
      <c r="A1220" t="s">
        <v>1842</v>
      </c>
      <c r="B1220" t="s">
        <v>26</v>
      </c>
      <c r="C1220" t="s">
        <v>27</v>
      </c>
      <c r="H1220" s="2">
        <v>45566.587500000001</v>
      </c>
      <c r="I1220" t="s">
        <v>186</v>
      </c>
      <c r="Z1220">
        <v>91273</v>
      </c>
    </row>
    <row r="1221" spans="1:26" x14ac:dyDescent="0.25">
      <c r="A1221" t="s">
        <v>1843</v>
      </c>
      <c r="B1221" t="s">
        <v>26</v>
      </c>
      <c r="C1221" t="s">
        <v>27</v>
      </c>
      <c r="H1221" s="2">
        <v>45566.494444444441</v>
      </c>
      <c r="I1221" t="s">
        <v>186</v>
      </c>
      <c r="Z1221">
        <v>91259</v>
      </c>
    </row>
    <row r="1222" spans="1:26" x14ac:dyDescent="0.25">
      <c r="A1222" t="s">
        <v>1844</v>
      </c>
      <c r="B1222" t="s">
        <v>26</v>
      </c>
      <c r="C1222" t="s">
        <v>27</v>
      </c>
      <c r="H1222" s="2">
        <v>45566.472916666666</v>
      </c>
      <c r="I1222" t="s">
        <v>197</v>
      </c>
      <c r="Z1222">
        <v>91255</v>
      </c>
    </row>
    <row r="1223" spans="1:26" x14ac:dyDescent="0.25">
      <c r="A1223" t="s">
        <v>1845</v>
      </c>
      <c r="B1223" t="s">
        <v>26</v>
      </c>
      <c r="C1223" t="s">
        <v>27</v>
      </c>
      <c r="H1223" s="2">
        <v>45566.406944444447</v>
      </c>
      <c r="I1223" t="s">
        <v>194</v>
      </c>
      <c r="Z1223">
        <v>91248</v>
      </c>
    </row>
    <row r="1224" spans="1:26" x14ac:dyDescent="0.25">
      <c r="A1224" t="s">
        <v>1846</v>
      </c>
      <c r="B1224" t="s">
        <v>26</v>
      </c>
      <c r="C1224" t="s">
        <v>64</v>
      </c>
      <c r="H1224" s="2">
        <v>45565.644444444442</v>
      </c>
      <c r="I1224" t="s">
        <v>197</v>
      </c>
      <c r="Z1224">
        <v>91223</v>
      </c>
    </row>
    <row r="1225" spans="1:26" x14ac:dyDescent="0.25">
      <c r="A1225" t="s">
        <v>1847</v>
      </c>
      <c r="B1225" t="s">
        <v>26</v>
      </c>
      <c r="C1225" t="s">
        <v>27</v>
      </c>
      <c r="H1225" s="2">
        <v>45565.39166666667</v>
      </c>
      <c r="I1225" t="s">
        <v>29</v>
      </c>
      <c r="Z1225">
        <v>91180</v>
      </c>
    </row>
    <row r="1226" spans="1:26" x14ac:dyDescent="0.25">
      <c r="A1226" t="s">
        <v>1848</v>
      </c>
      <c r="B1226" t="s">
        <v>26</v>
      </c>
      <c r="C1226" t="s">
        <v>27</v>
      </c>
      <c r="H1226" s="2">
        <v>45565.238194444442</v>
      </c>
      <c r="I1226" t="s">
        <v>197</v>
      </c>
      <c r="Z1226">
        <v>91171</v>
      </c>
    </row>
    <row r="1227" spans="1:26" x14ac:dyDescent="0.25">
      <c r="A1227" t="s">
        <v>1849</v>
      </c>
      <c r="B1227" t="s">
        <v>77</v>
      </c>
      <c r="C1227" t="s">
        <v>27</v>
      </c>
      <c r="E1227" t="s">
        <v>1850</v>
      </c>
      <c r="H1227" s="2">
        <v>45564.816666666666</v>
      </c>
      <c r="I1227" t="s">
        <v>197</v>
      </c>
      <c r="Z1227">
        <v>91169</v>
      </c>
    </row>
    <row r="1228" spans="1:26" x14ac:dyDescent="0.25">
      <c r="A1228" t="s">
        <v>1851</v>
      </c>
      <c r="B1228" t="s">
        <v>198</v>
      </c>
      <c r="C1228" t="s">
        <v>27</v>
      </c>
      <c r="E1228" t="s">
        <v>80</v>
      </c>
      <c r="G1228" t="s">
        <v>1852</v>
      </c>
      <c r="H1228" s="2">
        <v>45564.302777777775</v>
      </c>
      <c r="I1228" t="s">
        <v>194</v>
      </c>
      <c r="Z1228">
        <v>91155</v>
      </c>
    </row>
    <row r="1229" spans="1:26" x14ac:dyDescent="0.25">
      <c r="A1229" t="s">
        <v>1853</v>
      </c>
      <c r="B1229" t="s">
        <v>164</v>
      </c>
      <c r="C1229" t="s">
        <v>27</v>
      </c>
      <c r="E1229" t="s">
        <v>1854</v>
      </c>
      <c r="G1229" t="s">
        <v>90</v>
      </c>
      <c r="H1229" s="2">
        <v>45563.598611111112</v>
      </c>
      <c r="I1229" t="s">
        <v>194</v>
      </c>
      <c r="Z1229">
        <v>91142</v>
      </c>
    </row>
    <row r="1230" spans="1:26" x14ac:dyDescent="0.25">
      <c r="A1230" t="s">
        <v>1855</v>
      </c>
      <c r="B1230" t="s">
        <v>26</v>
      </c>
      <c r="C1230" t="s">
        <v>27</v>
      </c>
      <c r="H1230" s="2">
        <v>45562.666666666664</v>
      </c>
      <c r="I1230" t="s">
        <v>153</v>
      </c>
      <c r="Z1230">
        <v>91122</v>
      </c>
    </row>
    <row r="1231" spans="1:26" x14ac:dyDescent="0.25">
      <c r="A1231" t="s">
        <v>1856</v>
      </c>
      <c r="B1231" t="s">
        <v>150</v>
      </c>
      <c r="C1231" t="s">
        <v>27</v>
      </c>
      <c r="E1231" t="s">
        <v>210</v>
      </c>
      <c r="G1231" t="s">
        <v>1857</v>
      </c>
      <c r="H1231" s="2">
        <v>45561.354861111111</v>
      </c>
      <c r="I1231" t="s">
        <v>40</v>
      </c>
      <c r="Z1231">
        <v>91029</v>
      </c>
    </row>
    <row r="1232" spans="1:26" x14ac:dyDescent="0.25">
      <c r="A1232" t="s">
        <v>1858</v>
      </c>
      <c r="B1232" t="s">
        <v>26</v>
      </c>
      <c r="C1232" t="s">
        <v>27</v>
      </c>
      <c r="H1232" s="2">
        <v>45560.774305555555</v>
      </c>
      <c r="I1232" t="s">
        <v>40</v>
      </c>
      <c r="Z1232">
        <v>91023</v>
      </c>
    </row>
    <row r="1233" spans="1:26" x14ac:dyDescent="0.25">
      <c r="A1233" t="s">
        <v>1859</v>
      </c>
      <c r="B1233" t="s">
        <v>26</v>
      </c>
      <c r="C1233" t="s">
        <v>27</v>
      </c>
      <c r="H1233" s="2">
        <v>45560.729861111111</v>
      </c>
      <c r="I1233" t="s">
        <v>197</v>
      </c>
      <c r="Z1233">
        <v>91014</v>
      </c>
    </row>
    <row r="1234" spans="1:26" x14ac:dyDescent="0.25">
      <c r="A1234" t="s">
        <v>1860</v>
      </c>
      <c r="B1234" t="s">
        <v>46</v>
      </c>
      <c r="C1234" t="s">
        <v>27</v>
      </c>
      <c r="E1234" t="s">
        <v>106</v>
      </c>
      <c r="G1234" t="s">
        <v>336</v>
      </c>
      <c r="H1234" s="2">
        <v>45560.715277777781</v>
      </c>
      <c r="I1234" t="s">
        <v>40</v>
      </c>
      <c r="Z1234">
        <v>91012</v>
      </c>
    </row>
    <row r="1235" spans="1:26" x14ac:dyDescent="0.25">
      <c r="A1235" t="s">
        <v>1861</v>
      </c>
      <c r="C1235" t="s">
        <v>27</v>
      </c>
      <c r="E1235" t="s">
        <v>48</v>
      </c>
      <c r="H1235" s="2">
        <v>45560.574305555558</v>
      </c>
      <c r="I1235" t="s">
        <v>197</v>
      </c>
      <c r="Z1235">
        <v>90990</v>
      </c>
    </row>
    <row r="1236" spans="1:26" x14ac:dyDescent="0.25">
      <c r="A1236" t="s">
        <v>1862</v>
      </c>
      <c r="B1236" t="s">
        <v>26</v>
      </c>
      <c r="C1236" t="s">
        <v>27</v>
      </c>
      <c r="H1236" s="2">
        <v>45560.502083333333</v>
      </c>
      <c r="I1236" t="s">
        <v>40</v>
      </c>
      <c r="Z1236">
        <v>90978</v>
      </c>
    </row>
    <row r="1237" spans="1:26" x14ac:dyDescent="0.25">
      <c r="A1237" t="s">
        <v>1863</v>
      </c>
      <c r="B1237" t="s">
        <v>164</v>
      </c>
      <c r="C1237" t="s">
        <v>59</v>
      </c>
      <c r="E1237" t="s">
        <v>1864</v>
      </c>
      <c r="H1237" s="2">
        <v>45560.44027777778</v>
      </c>
      <c r="I1237" t="s">
        <v>40</v>
      </c>
      <c r="Z1237">
        <v>90968</v>
      </c>
    </row>
    <row r="1238" spans="1:26" x14ac:dyDescent="0.25">
      <c r="A1238" t="s">
        <v>304</v>
      </c>
      <c r="B1238" t="s">
        <v>164</v>
      </c>
      <c r="C1238" t="s">
        <v>27</v>
      </c>
      <c r="E1238" t="s">
        <v>44</v>
      </c>
      <c r="H1238" s="2">
        <v>45560.367361111108</v>
      </c>
      <c r="I1238" t="s">
        <v>40</v>
      </c>
      <c r="K1238" t="s">
        <v>30</v>
      </c>
      <c r="L1238" t="s">
        <v>31</v>
      </c>
      <c r="M1238">
        <v>67130164</v>
      </c>
      <c r="N1238">
        <v>12403825935</v>
      </c>
      <c r="O1238" t="s">
        <v>682</v>
      </c>
      <c r="Z1238">
        <v>90958</v>
      </c>
    </row>
    <row r="1239" spans="1:26" x14ac:dyDescent="0.25">
      <c r="A1239" t="s">
        <v>1865</v>
      </c>
      <c r="B1239" t="s">
        <v>26</v>
      </c>
      <c r="C1239" t="s">
        <v>27</v>
      </c>
      <c r="H1239" s="2">
        <v>45559.745833333334</v>
      </c>
      <c r="I1239" t="s">
        <v>40</v>
      </c>
      <c r="Z1239">
        <v>90949</v>
      </c>
    </row>
    <row r="1240" spans="1:26" x14ac:dyDescent="0.25">
      <c r="A1240" t="s">
        <v>1866</v>
      </c>
      <c r="C1240" t="s">
        <v>27</v>
      </c>
      <c r="E1240" t="s">
        <v>73</v>
      </c>
      <c r="H1240" s="2">
        <v>45559.493750000001</v>
      </c>
      <c r="I1240" t="s">
        <v>197</v>
      </c>
      <c r="Z1240">
        <v>90920</v>
      </c>
    </row>
    <row r="1241" spans="1:26" x14ac:dyDescent="0.25">
      <c r="A1241" t="s">
        <v>1867</v>
      </c>
      <c r="B1241" t="s">
        <v>46</v>
      </c>
      <c r="C1241" t="s">
        <v>59</v>
      </c>
      <c r="E1241" t="s">
        <v>53</v>
      </c>
      <c r="G1241" t="s">
        <v>242</v>
      </c>
      <c r="H1241" s="2">
        <v>45558.936111111114</v>
      </c>
      <c r="I1241" t="s">
        <v>40</v>
      </c>
      <c r="Z1241">
        <v>90902</v>
      </c>
    </row>
    <row r="1242" spans="1:26" x14ac:dyDescent="0.25">
      <c r="A1242" t="s">
        <v>1868</v>
      </c>
      <c r="B1242" t="s">
        <v>26</v>
      </c>
      <c r="C1242" t="s">
        <v>27</v>
      </c>
      <c r="H1242" s="2">
        <v>45558.623611111114</v>
      </c>
      <c r="I1242" t="s">
        <v>197</v>
      </c>
      <c r="Z1242">
        <v>90877</v>
      </c>
    </row>
    <row r="1243" spans="1:26" x14ac:dyDescent="0.25">
      <c r="A1243" t="s">
        <v>1869</v>
      </c>
      <c r="B1243" t="s">
        <v>26</v>
      </c>
      <c r="C1243" t="s">
        <v>27</v>
      </c>
      <c r="H1243" s="2">
        <v>45558.433333333334</v>
      </c>
      <c r="I1243" t="s">
        <v>40</v>
      </c>
      <c r="Z1243">
        <v>90837</v>
      </c>
    </row>
    <row r="1244" spans="1:26" x14ac:dyDescent="0.25">
      <c r="A1244" t="s">
        <v>1870</v>
      </c>
      <c r="B1244" t="s">
        <v>26</v>
      </c>
      <c r="C1244" t="s">
        <v>27</v>
      </c>
      <c r="H1244" s="2">
        <v>45556.688194444447</v>
      </c>
      <c r="I1244" t="s">
        <v>197</v>
      </c>
      <c r="Z1244">
        <v>90803</v>
      </c>
    </row>
    <row r="1245" spans="1:26" x14ac:dyDescent="0.25">
      <c r="A1245" t="s">
        <v>1871</v>
      </c>
      <c r="C1245" t="s">
        <v>27</v>
      </c>
      <c r="E1245" t="s">
        <v>72</v>
      </c>
      <c r="H1245" s="2">
        <v>45555.71597222222</v>
      </c>
      <c r="I1245" t="s">
        <v>40</v>
      </c>
      <c r="Z1245">
        <v>90784</v>
      </c>
    </row>
    <row r="1246" spans="1:26" x14ac:dyDescent="0.25">
      <c r="A1246" t="s">
        <v>1872</v>
      </c>
      <c r="C1246" t="s">
        <v>27</v>
      </c>
      <c r="E1246" t="s">
        <v>53</v>
      </c>
      <c r="H1246" s="2">
        <v>45555.564583333333</v>
      </c>
      <c r="I1246" t="s">
        <v>197</v>
      </c>
      <c r="Z1246">
        <v>90767</v>
      </c>
    </row>
    <row r="1247" spans="1:26" x14ac:dyDescent="0.25">
      <c r="A1247" t="s">
        <v>1873</v>
      </c>
      <c r="B1247" t="s">
        <v>26</v>
      </c>
      <c r="C1247" t="s">
        <v>27</v>
      </c>
      <c r="H1247" s="2">
        <v>45555.435416666667</v>
      </c>
      <c r="I1247" t="s">
        <v>197</v>
      </c>
      <c r="Z1247">
        <v>90748</v>
      </c>
    </row>
    <row r="1248" spans="1:26" x14ac:dyDescent="0.25">
      <c r="A1248" t="s">
        <v>1874</v>
      </c>
      <c r="B1248" t="s">
        <v>26</v>
      </c>
      <c r="C1248" t="s">
        <v>27</v>
      </c>
      <c r="H1248" s="2">
        <v>45554.67291666667</v>
      </c>
      <c r="I1248" t="s">
        <v>40</v>
      </c>
      <c r="Z1248">
        <v>90722</v>
      </c>
    </row>
    <row r="1249" spans="1:26" x14ac:dyDescent="0.25">
      <c r="A1249" t="s">
        <v>253</v>
      </c>
      <c r="B1249" t="s">
        <v>26</v>
      </c>
      <c r="C1249" t="s">
        <v>27</v>
      </c>
      <c r="H1249" s="2">
        <v>45554.602777777778</v>
      </c>
      <c r="I1249" t="s">
        <v>186</v>
      </c>
      <c r="Z1249">
        <v>90713</v>
      </c>
    </row>
    <row r="1250" spans="1:26" x14ac:dyDescent="0.25">
      <c r="A1250" t="s">
        <v>1875</v>
      </c>
      <c r="B1250" t="s">
        <v>26</v>
      </c>
      <c r="C1250" t="s">
        <v>27</v>
      </c>
      <c r="H1250" s="2">
        <v>45554.5</v>
      </c>
      <c r="I1250" t="s">
        <v>40</v>
      </c>
      <c r="Z1250">
        <v>90706</v>
      </c>
    </row>
    <row r="1251" spans="1:26" x14ac:dyDescent="0.25">
      <c r="A1251" t="s">
        <v>1876</v>
      </c>
      <c r="B1251" t="s">
        <v>26</v>
      </c>
      <c r="C1251" t="s">
        <v>27</v>
      </c>
      <c r="H1251" s="2">
        <v>45554.445138888892</v>
      </c>
      <c r="I1251" t="s">
        <v>40</v>
      </c>
      <c r="Z1251">
        <v>90698</v>
      </c>
    </row>
    <row r="1252" spans="1:26" x14ac:dyDescent="0.25">
      <c r="A1252" t="s">
        <v>1877</v>
      </c>
      <c r="B1252" t="s">
        <v>185</v>
      </c>
      <c r="C1252" t="s">
        <v>258</v>
      </c>
      <c r="E1252" t="s">
        <v>1878</v>
      </c>
      <c r="G1252" t="s">
        <v>1879</v>
      </c>
      <c r="H1252" s="2">
        <v>45554.409722222219</v>
      </c>
      <c r="I1252" t="s">
        <v>95</v>
      </c>
      <c r="Z1252">
        <v>90694</v>
      </c>
    </row>
    <row r="1253" spans="1:26" x14ac:dyDescent="0.25">
      <c r="A1253" t="s">
        <v>1880</v>
      </c>
      <c r="B1253" t="s">
        <v>26</v>
      </c>
      <c r="C1253" t="s">
        <v>27</v>
      </c>
      <c r="H1253" s="2">
        <v>45553.722916666666</v>
      </c>
      <c r="I1253" t="s">
        <v>186</v>
      </c>
      <c r="Z1253">
        <v>90687</v>
      </c>
    </row>
    <row r="1254" spans="1:26" x14ac:dyDescent="0.25">
      <c r="A1254" t="s">
        <v>1881</v>
      </c>
      <c r="B1254" t="s">
        <v>164</v>
      </c>
      <c r="C1254" t="s">
        <v>27</v>
      </c>
      <c r="E1254" t="s">
        <v>53</v>
      </c>
      <c r="H1254" s="2">
        <v>45553.685416666667</v>
      </c>
      <c r="I1254" t="s">
        <v>40</v>
      </c>
      <c r="Z1254">
        <v>90684</v>
      </c>
    </row>
    <row r="1255" spans="1:26" x14ac:dyDescent="0.25">
      <c r="A1255" t="s">
        <v>1882</v>
      </c>
      <c r="B1255" t="s">
        <v>26</v>
      </c>
      <c r="C1255" t="s">
        <v>27</v>
      </c>
      <c r="H1255" s="2">
        <v>45553.65</v>
      </c>
      <c r="I1255" t="s">
        <v>153</v>
      </c>
      <c r="Z1255">
        <v>90680</v>
      </c>
    </row>
    <row r="1256" spans="1:26" x14ac:dyDescent="0.25">
      <c r="A1256" t="s">
        <v>1883</v>
      </c>
      <c r="B1256" t="s">
        <v>26</v>
      </c>
      <c r="C1256" t="s">
        <v>27</v>
      </c>
      <c r="H1256" s="2">
        <v>45553.567361111112</v>
      </c>
      <c r="I1256" t="s">
        <v>194</v>
      </c>
      <c r="Z1256">
        <v>90666</v>
      </c>
    </row>
    <row r="1257" spans="1:26" x14ac:dyDescent="0.25">
      <c r="A1257" t="s">
        <v>1884</v>
      </c>
      <c r="B1257" t="s">
        <v>26</v>
      </c>
      <c r="C1257" t="s">
        <v>27</v>
      </c>
      <c r="H1257" s="2">
        <v>45553.484027777777</v>
      </c>
      <c r="I1257" t="s">
        <v>40</v>
      </c>
      <c r="Z1257">
        <v>90648</v>
      </c>
    </row>
    <row r="1258" spans="1:26" x14ac:dyDescent="0.25">
      <c r="A1258" t="s">
        <v>1885</v>
      </c>
      <c r="B1258" t="s">
        <v>26</v>
      </c>
      <c r="C1258" t="s">
        <v>27</v>
      </c>
      <c r="H1258" s="2">
        <v>45552.55972222222</v>
      </c>
      <c r="I1258" t="s">
        <v>40</v>
      </c>
      <c r="Z1258">
        <v>90614</v>
      </c>
    </row>
    <row r="1259" spans="1:26" x14ac:dyDescent="0.25">
      <c r="A1259" t="s">
        <v>1886</v>
      </c>
      <c r="B1259" t="s">
        <v>26</v>
      </c>
      <c r="C1259" t="s">
        <v>27</v>
      </c>
      <c r="H1259" s="2">
        <v>45552.531944444447</v>
      </c>
      <c r="I1259" t="s">
        <v>40</v>
      </c>
      <c r="Z1259">
        <v>90610</v>
      </c>
    </row>
    <row r="1260" spans="1:26" x14ac:dyDescent="0.25">
      <c r="A1260" t="s">
        <v>1887</v>
      </c>
      <c r="B1260" t="s">
        <v>26</v>
      </c>
      <c r="C1260" t="s">
        <v>27</v>
      </c>
      <c r="H1260" s="2">
        <v>45551.622916666667</v>
      </c>
      <c r="I1260" t="s">
        <v>194</v>
      </c>
      <c r="Z1260">
        <v>90575</v>
      </c>
    </row>
    <row r="1261" spans="1:26" x14ac:dyDescent="0.25">
      <c r="A1261" t="s">
        <v>1888</v>
      </c>
      <c r="B1261" t="s">
        <v>26</v>
      </c>
      <c r="C1261" t="s">
        <v>27</v>
      </c>
      <c r="H1261" s="2">
        <v>45551.570833333331</v>
      </c>
      <c r="I1261" t="s">
        <v>29</v>
      </c>
      <c r="Z1261">
        <v>90565</v>
      </c>
    </row>
    <row r="1262" spans="1:26" x14ac:dyDescent="0.25">
      <c r="A1262" t="s">
        <v>1889</v>
      </c>
      <c r="B1262" t="s">
        <v>26</v>
      </c>
      <c r="C1262" t="s">
        <v>27</v>
      </c>
      <c r="H1262" s="2">
        <v>45551.420138888891</v>
      </c>
      <c r="I1262" t="s">
        <v>186</v>
      </c>
      <c r="Z1262">
        <v>90542</v>
      </c>
    </row>
    <row r="1263" spans="1:26" x14ac:dyDescent="0.25">
      <c r="A1263" t="s">
        <v>1890</v>
      </c>
      <c r="B1263" t="s">
        <v>26</v>
      </c>
      <c r="C1263" t="s">
        <v>27</v>
      </c>
      <c r="H1263" s="2">
        <v>45548.686805555553</v>
      </c>
      <c r="I1263" t="s">
        <v>40</v>
      </c>
      <c r="Z1263">
        <v>90482</v>
      </c>
    </row>
    <row r="1264" spans="1:26" x14ac:dyDescent="0.25">
      <c r="A1264" t="s">
        <v>1891</v>
      </c>
      <c r="B1264" t="s">
        <v>164</v>
      </c>
      <c r="C1264" t="s">
        <v>27</v>
      </c>
      <c r="E1264" t="s">
        <v>269</v>
      </c>
      <c r="H1264" s="2">
        <v>45548.620833333334</v>
      </c>
      <c r="I1264" t="s">
        <v>29</v>
      </c>
      <c r="Z1264">
        <v>90478</v>
      </c>
    </row>
    <row r="1265" spans="1:26" x14ac:dyDescent="0.25">
      <c r="A1265" t="s">
        <v>1892</v>
      </c>
      <c r="B1265" t="s">
        <v>26</v>
      </c>
      <c r="C1265" t="s">
        <v>27</v>
      </c>
      <c r="H1265" s="2">
        <v>45548.597916666666</v>
      </c>
      <c r="I1265" t="s">
        <v>153</v>
      </c>
      <c r="Z1265">
        <v>90476</v>
      </c>
    </row>
    <row r="1266" spans="1:26" x14ac:dyDescent="0.25">
      <c r="A1266" t="s">
        <v>1893</v>
      </c>
      <c r="B1266" t="s">
        <v>26</v>
      </c>
      <c r="C1266" t="s">
        <v>27</v>
      </c>
      <c r="H1266" s="2">
        <v>45548.533333333333</v>
      </c>
      <c r="I1266" t="s">
        <v>40</v>
      </c>
      <c r="Z1266">
        <v>90469</v>
      </c>
    </row>
    <row r="1267" spans="1:26" x14ac:dyDescent="0.25">
      <c r="A1267" t="s">
        <v>1894</v>
      </c>
      <c r="B1267" t="s">
        <v>26</v>
      </c>
      <c r="C1267" t="s">
        <v>27</v>
      </c>
      <c r="H1267" s="2">
        <v>45548.424305555556</v>
      </c>
      <c r="I1267" t="s">
        <v>40</v>
      </c>
      <c r="Z1267">
        <v>90446</v>
      </c>
    </row>
    <row r="1268" spans="1:26" x14ac:dyDescent="0.25">
      <c r="A1268" t="s">
        <v>1895</v>
      </c>
      <c r="B1268" t="s">
        <v>164</v>
      </c>
      <c r="C1268" t="s">
        <v>27</v>
      </c>
      <c r="E1268" t="s">
        <v>84</v>
      </c>
      <c r="H1268" s="2">
        <v>45547.864583333336</v>
      </c>
      <c r="I1268" t="s">
        <v>29</v>
      </c>
      <c r="Z1268">
        <v>90433</v>
      </c>
    </row>
    <row r="1269" spans="1:26" x14ac:dyDescent="0.25">
      <c r="A1269" t="s">
        <v>1896</v>
      </c>
      <c r="B1269" t="s">
        <v>26</v>
      </c>
      <c r="C1269" t="s">
        <v>27</v>
      </c>
      <c r="H1269" s="2">
        <v>45547.603472222225</v>
      </c>
      <c r="I1269" t="s">
        <v>29</v>
      </c>
      <c r="Z1269">
        <v>90409</v>
      </c>
    </row>
    <row r="1270" spans="1:26" x14ac:dyDescent="0.25">
      <c r="A1270" t="s">
        <v>1897</v>
      </c>
      <c r="B1270" t="s">
        <v>164</v>
      </c>
      <c r="C1270" t="s">
        <v>27</v>
      </c>
      <c r="E1270" t="s">
        <v>139</v>
      </c>
      <c r="H1270" s="2">
        <v>45547.593055555553</v>
      </c>
      <c r="I1270" t="s">
        <v>29</v>
      </c>
      <c r="Z1270">
        <v>90407</v>
      </c>
    </row>
    <row r="1271" spans="1:26" x14ac:dyDescent="0.25">
      <c r="A1271" t="s">
        <v>1898</v>
      </c>
      <c r="B1271" t="s">
        <v>26</v>
      </c>
      <c r="C1271" t="s">
        <v>27</v>
      </c>
      <c r="H1271" s="2">
        <v>45547.568055555559</v>
      </c>
      <c r="I1271" t="s">
        <v>40</v>
      </c>
      <c r="Z1271">
        <v>90401</v>
      </c>
    </row>
    <row r="1272" spans="1:26" x14ac:dyDescent="0.25">
      <c r="A1272" t="s">
        <v>1899</v>
      </c>
      <c r="B1272" t="s">
        <v>26</v>
      </c>
      <c r="C1272" t="s">
        <v>27</v>
      </c>
      <c r="H1272" s="2">
        <v>45547.365277777775</v>
      </c>
      <c r="I1272" t="s">
        <v>29</v>
      </c>
      <c r="Z1272">
        <v>90372</v>
      </c>
    </row>
    <row r="1273" spans="1:26" x14ac:dyDescent="0.25">
      <c r="A1273" t="s">
        <v>1900</v>
      </c>
      <c r="B1273" t="s">
        <v>26</v>
      </c>
      <c r="C1273" t="s">
        <v>27</v>
      </c>
      <c r="H1273" s="2">
        <v>45546.620833333334</v>
      </c>
      <c r="I1273" t="s">
        <v>186</v>
      </c>
      <c r="Z1273">
        <v>90352</v>
      </c>
    </row>
    <row r="1274" spans="1:26" x14ac:dyDescent="0.25">
      <c r="A1274" t="s">
        <v>1901</v>
      </c>
      <c r="B1274" t="s">
        <v>26</v>
      </c>
      <c r="C1274" t="s">
        <v>27</v>
      </c>
      <c r="H1274" s="2">
        <v>45545.70208333333</v>
      </c>
      <c r="I1274" t="s">
        <v>29</v>
      </c>
      <c r="Z1274">
        <v>90308</v>
      </c>
    </row>
    <row r="1275" spans="1:26" x14ac:dyDescent="0.25">
      <c r="A1275" t="s">
        <v>1902</v>
      </c>
      <c r="B1275" t="s">
        <v>26</v>
      </c>
      <c r="C1275" t="s">
        <v>27</v>
      </c>
      <c r="H1275" s="2">
        <v>45544.612500000003</v>
      </c>
      <c r="I1275" t="s">
        <v>29</v>
      </c>
      <c r="Z1275">
        <v>90236</v>
      </c>
    </row>
    <row r="1276" spans="1:26" x14ac:dyDescent="0.25">
      <c r="A1276" t="s">
        <v>1054</v>
      </c>
      <c r="B1276" t="s">
        <v>26</v>
      </c>
      <c r="C1276" t="s">
        <v>27</v>
      </c>
      <c r="H1276" s="2">
        <v>45544.604166666664</v>
      </c>
      <c r="I1276" t="s">
        <v>29</v>
      </c>
      <c r="Z1276">
        <v>90232</v>
      </c>
    </row>
    <row r="1277" spans="1:26" x14ac:dyDescent="0.25">
      <c r="A1277" t="s">
        <v>92</v>
      </c>
      <c r="B1277" t="s">
        <v>26</v>
      </c>
      <c r="C1277" t="s">
        <v>27</v>
      </c>
      <c r="H1277" s="2">
        <v>45544.603472222225</v>
      </c>
      <c r="I1277" t="s">
        <v>29</v>
      </c>
      <c r="Z1277">
        <v>90230</v>
      </c>
    </row>
    <row r="1278" spans="1:26" x14ac:dyDescent="0.25">
      <c r="A1278" t="s">
        <v>1903</v>
      </c>
      <c r="B1278" t="s">
        <v>26</v>
      </c>
      <c r="C1278" t="s">
        <v>27</v>
      </c>
      <c r="H1278" s="2">
        <v>45544.597222222219</v>
      </c>
      <c r="I1278" t="s">
        <v>40</v>
      </c>
      <c r="Z1278">
        <v>90228</v>
      </c>
    </row>
    <row r="1279" spans="1:26" x14ac:dyDescent="0.25">
      <c r="A1279" t="s">
        <v>1904</v>
      </c>
      <c r="B1279" t="s">
        <v>26</v>
      </c>
      <c r="C1279" t="s">
        <v>27</v>
      </c>
      <c r="H1279" s="2">
        <v>45544.572222222225</v>
      </c>
      <c r="I1279" t="s">
        <v>40</v>
      </c>
      <c r="Z1279">
        <v>90224</v>
      </c>
    </row>
    <row r="1280" spans="1:26" x14ac:dyDescent="0.25">
      <c r="A1280" t="s">
        <v>1905</v>
      </c>
      <c r="B1280" t="s">
        <v>26</v>
      </c>
      <c r="C1280" t="s">
        <v>27</v>
      </c>
      <c r="H1280" s="2">
        <v>45541.613194444442</v>
      </c>
      <c r="I1280" t="s">
        <v>29</v>
      </c>
      <c r="Z1280">
        <v>90146</v>
      </c>
    </row>
    <row r="1281" spans="1:26" x14ac:dyDescent="0.25">
      <c r="A1281" t="s">
        <v>1906</v>
      </c>
      <c r="B1281" t="s">
        <v>26</v>
      </c>
      <c r="C1281" t="s">
        <v>27</v>
      </c>
      <c r="H1281" s="2">
        <v>45541.604166666664</v>
      </c>
      <c r="I1281" t="s">
        <v>186</v>
      </c>
      <c r="Z1281">
        <v>90144</v>
      </c>
    </row>
    <row r="1282" spans="1:26" x14ac:dyDescent="0.25">
      <c r="A1282" t="s">
        <v>1907</v>
      </c>
      <c r="B1282" t="s">
        <v>26</v>
      </c>
      <c r="C1282" t="s">
        <v>27</v>
      </c>
      <c r="H1282" s="2">
        <v>45541.587500000001</v>
      </c>
      <c r="I1282" t="s">
        <v>40</v>
      </c>
      <c r="Z1282">
        <v>90141</v>
      </c>
    </row>
    <row r="1283" spans="1:26" x14ac:dyDescent="0.25">
      <c r="A1283" t="s">
        <v>1908</v>
      </c>
      <c r="B1283" t="s">
        <v>26</v>
      </c>
      <c r="C1283" t="s">
        <v>27</v>
      </c>
      <c r="H1283" s="2">
        <v>45541.450694444444</v>
      </c>
      <c r="I1283" t="s">
        <v>153</v>
      </c>
      <c r="Z1283">
        <v>90126</v>
      </c>
    </row>
    <row r="1284" spans="1:26" x14ac:dyDescent="0.25">
      <c r="A1284" t="s">
        <v>1909</v>
      </c>
      <c r="B1284" t="s">
        <v>26</v>
      </c>
      <c r="C1284" t="s">
        <v>27</v>
      </c>
      <c r="H1284" s="2">
        <v>45540.759722222225</v>
      </c>
      <c r="I1284" t="s">
        <v>153</v>
      </c>
      <c r="Z1284">
        <v>90109</v>
      </c>
    </row>
    <row r="1285" spans="1:26" x14ac:dyDescent="0.25">
      <c r="A1285" t="s">
        <v>1910</v>
      </c>
      <c r="B1285" t="s">
        <v>26</v>
      </c>
      <c r="C1285" t="s">
        <v>27</v>
      </c>
      <c r="E1285" t="s">
        <v>66</v>
      </c>
      <c r="H1285" s="2">
        <v>45540.65625</v>
      </c>
      <c r="I1285" t="s">
        <v>40</v>
      </c>
      <c r="Z1285">
        <v>90092</v>
      </c>
    </row>
    <row r="1286" spans="1:26" x14ac:dyDescent="0.25">
      <c r="A1286" t="s">
        <v>1911</v>
      </c>
      <c r="B1286" t="s">
        <v>150</v>
      </c>
      <c r="C1286" t="s">
        <v>27</v>
      </c>
      <c r="E1286" t="s">
        <v>141</v>
      </c>
      <c r="H1286" s="2">
        <v>45540.636111111111</v>
      </c>
      <c r="I1286" t="s">
        <v>40</v>
      </c>
      <c r="Z1286">
        <v>90087</v>
      </c>
    </row>
    <row r="1287" spans="1:26" x14ac:dyDescent="0.25">
      <c r="A1287" t="s">
        <v>1912</v>
      </c>
      <c r="B1287" t="s">
        <v>164</v>
      </c>
      <c r="C1287" t="s">
        <v>27</v>
      </c>
      <c r="E1287" t="s">
        <v>44</v>
      </c>
      <c r="G1287" t="s">
        <v>1486</v>
      </c>
      <c r="H1287" s="2">
        <v>45540.541666666664</v>
      </c>
      <c r="I1287" t="s">
        <v>29</v>
      </c>
      <c r="Z1287">
        <v>90076</v>
      </c>
    </row>
    <row r="1288" spans="1:26" x14ac:dyDescent="0.25">
      <c r="A1288" t="s">
        <v>1255</v>
      </c>
      <c r="B1288" t="s">
        <v>198</v>
      </c>
      <c r="C1288" t="s">
        <v>27</v>
      </c>
      <c r="E1288" t="s">
        <v>45</v>
      </c>
      <c r="H1288" s="2">
        <v>45540.538888888892</v>
      </c>
      <c r="I1288" t="s">
        <v>29</v>
      </c>
      <c r="K1288" t="s">
        <v>30</v>
      </c>
      <c r="L1288" t="s">
        <v>31</v>
      </c>
      <c r="M1288">
        <v>67130164</v>
      </c>
      <c r="N1288">
        <v>12403825924</v>
      </c>
      <c r="O1288" t="s">
        <v>682</v>
      </c>
      <c r="Z1288">
        <v>90075</v>
      </c>
    </row>
    <row r="1289" spans="1:26" x14ac:dyDescent="0.25">
      <c r="A1289" t="s">
        <v>1913</v>
      </c>
      <c r="B1289" t="s">
        <v>150</v>
      </c>
      <c r="C1289" t="s">
        <v>27</v>
      </c>
      <c r="E1289" t="s">
        <v>53</v>
      </c>
      <c r="G1289" t="s">
        <v>1914</v>
      </c>
      <c r="H1289" s="2">
        <v>45540.50277777778</v>
      </c>
      <c r="I1289" t="s">
        <v>40</v>
      </c>
      <c r="Z1289">
        <v>90065</v>
      </c>
    </row>
    <row r="1290" spans="1:26" x14ac:dyDescent="0.25">
      <c r="A1290" t="s">
        <v>1915</v>
      </c>
      <c r="C1290" t="s">
        <v>59</v>
      </c>
      <c r="E1290" t="s">
        <v>128</v>
      </c>
      <c r="H1290" s="2">
        <v>45540.388194444444</v>
      </c>
      <c r="I1290" t="s">
        <v>40</v>
      </c>
      <c r="Z1290">
        <v>90038</v>
      </c>
    </row>
    <row r="1291" spans="1:26" x14ac:dyDescent="0.25">
      <c r="A1291" t="s">
        <v>1916</v>
      </c>
      <c r="B1291" t="s">
        <v>150</v>
      </c>
      <c r="C1291" t="s">
        <v>27</v>
      </c>
      <c r="E1291" t="s">
        <v>1488</v>
      </c>
      <c r="G1291" t="s">
        <v>1488</v>
      </c>
      <c r="H1291" s="2">
        <v>45539.920138888891</v>
      </c>
      <c r="I1291" t="s">
        <v>29</v>
      </c>
      <c r="Z1291">
        <v>90036</v>
      </c>
    </row>
    <row r="1292" spans="1:26" x14ac:dyDescent="0.25">
      <c r="A1292" t="s">
        <v>1917</v>
      </c>
      <c r="B1292" t="s">
        <v>26</v>
      </c>
      <c r="C1292" t="s">
        <v>27</v>
      </c>
      <c r="H1292" s="2">
        <v>45539.788194444445</v>
      </c>
      <c r="I1292" t="s">
        <v>95</v>
      </c>
      <c r="Z1292">
        <v>90034</v>
      </c>
    </row>
    <row r="1293" spans="1:26" x14ac:dyDescent="0.25">
      <c r="A1293" t="s">
        <v>1918</v>
      </c>
      <c r="C1293" t="s">
        <v>27</v>
      </c>
      <c r="E1293" t="s">
        <v>1919</v>
      </c>
      <c r="H1293" s="2">
        <v>45539.752083333333</v>
      </c>
      <c r="I1293" t="s">
        <v>29</v>
      </c>
      <c r="Z1293">
        <v>90030</v>
      </c>
    </row>
    <row r="1294" spans="1:26" x14ac:dyDescent="0.25">
      <c r="A1294" t="s">
        <v>1255</v>
      </c>
      <c r="B1294" t="s">
        <v>164</v>
      </c>
      <c r="C1294" t="s">
        <v>27</v>
      </c>
      <c r="E1294" t="s">
        <v>58</v>
      </c>
      <c r="H1294" s="2">
        <v>45539.694444444445</v>
      </c>
      <c r="I1294" t="s">
        <v>29</v>
      </c>
      <c r="K1294" t="s">
        <v>30</v>
      </c>
      <c r="L1294" t="s">
        <v>31</v>
      </c>
      <c r="M1294">
        <v>67130164</v>
      </c>
      <c r="N1294">
        <v>12403825936</v>
      </c>
      <c r="O1294" t="s">
        <v>1920</v>
      </c>
      <c r="Z1294">
        <v>90023</v>
      </c>
    </row>
    <row r="1295" spans="1:26" x14ac:dyDescent="0.25">
      <c r="A1295" t="s">
        <v>1921</v>
      </c>
      <c r="B1295" t="s">
        <v>26</v>
      </c>
      <c r="C1295" t="s">
        <v>27</v>
      </c>
      <c r="H1295" s="2">
        <v>45539.549305555556</v>
      </c>
      <c r="I1295" t="s">
        <v>40</v>
      </c>
      <c r="Z1295">
        <v>90002</v>
      </c>
    </row>
    <row r="1296" spans="1:26" x14ac:dyDescent="0.25">
      <c r="A1296" t="s">
        <v>1922</v>
      </c>
      <c r="B1296" t="s">
        <v>26</v>
      </c>
      <c r="C1296" t="s">
        <v>27</v>
      </c>
      <c r="H1296" s="2">
        <v>45538.736111111109</v>
      </c>
      <c r="I1296" t="s">
        <v>153</v>
      </c>
      <c r="Z1296">
        <v>89975</v>
      </c>
    </row>
    <row r="1297" spans="1:26" x14ac:dyDescent="0.25">
      <c r="A1297" t="s">
        <v>1923</v>
      </c>
      <c r="B1297" t="s">
        <v>26</v>
      </c>
      <c r="C1297" t="s">
        <v>27</v>
      </c>
      <c r="H1297" s="2">
        <v>45538.736111111109</v>
      </c>
      <c r="I1297" t="s">
        <v>40</v>
      </c>
      <c r="Z1297">
        <v>89974</v>
      </c>
    </row>
    <row r="1298" spans="1:26" x14ac:dyDescent="0.25">
      <c r="A1298" t="s">
        <v>1924</v>
      </c>
      <c r="B1298" t="s">
        <v>26</v>
      </c>
      <c r="C1298" t="s">
        <v>27</v>
      </c>
      <c r="H1298" s="2">
        <v>45538.644444444442</v>
      </c>
      <c r="I1298" t="s">
        <v>95</v>
      </c>
      <c r="Z1298">
        <v>89962</v>
      </c>
    </row>
    <row r="1299" spans="1:26" x14ac:dyDescent="0.25">
      <c r="A1299" t="s">
        <v>1925</v>
      </c>
      <c r="B1299" t="s">
        <v>26</v>
      </c>
      <c r="C1299" t="s">
        <v>27</v>
      </c>
      <c r="H1299" s="2">
        <v>45538.634722222225</v>
      </c>
      <c r="I1299" t="s">
        <v>29</v>
      </c>
      <c r="Z1299">
        <v>89961</v>
      </c>
    </row>
    <row r="1300" spans="1:26" x14ac:dyDescent="0.25">
      <c r="A1300" t="s">
        <v>1926</v>
      </c>
      <c r="B1300" t="s">
        <v>26</v>
      </c>
      <c r="C1300" t="s">
        <v>27</v>
      </c>
      <c r="H1300" s="2">
        <v>45538.438888888886</v>
      </c>
      <c r="I1300" t="s">
        <v>40</v>
      </c>
      <c r="Z1300">
        <v>89930</v>
      </c>
    </row>
    <row r="1301" spans="1:26" x14ac:dyDescent="0.25">
      <c r="A1301" t="s">
        <v>1927</v>
      </c>
      <c r="B1301" t="s">
        <v>26</v>
      </c>
      <c r="C1301" t="s">
        <v>27</v>
      </c>
      <c r="H1301" s="2">
        <v>45538.379166666666</v>
      </c>
      <c r="I1301" t="s">
        <v>194</v>
      </c>
      <c r="Z1301">
        <v>89919</v>
      </c>
    </row>
    <row r="1302" spans="1:26" x14ac:dyDescent="0.25">
      <c r="A1302" t="s">
        <v>1928</v>
      </c>
      <c r="B1302" t="s">
        <v>26</v>
      </c>
      <c r="C1302" t="s">
        <v>27</v>
      </c>
      <c r="H1302" s="2">
        <v>45537.635416666664</v>
      </c>
      <c r="I1302" t="s">
        <v>29</v>
      </c>
      <c r="Z1302">
        <v>89892</v>
      </c>
    </row>
    <row r="1303" spans="1:26" x14ac:dyDescent="0.25">
      <c r="A1303" t="s">
        <v>1929</v>
      </c>
      <c r="B1303" t="s">
        <v>26</v>
      </c>
      <c r="C1303" t="s">
        <v>27</v>
      </c>
      <c r="H1303" s="2">
        <v>45537.530555555553</v>
      </c>
      <c r="I1303" t="s">
        <v>194</v>
      </c>
      <c r="Z1303">
        <v>89873</v>
      </c>
    </row>
    <row r="1304" spans="1:26" x14ac:dyDescent="0.25">
      <c r="A1304" t="s">
        <v>1930</v>
      </c>
      <c r="C1304" t="s">
        <v>27</v>
      </c>
      <c r="E1304" t="s">
        <v>116</v>
      </c>
      <c r="H1304" s="2">
        <v>45535.475694444445</v>
      </c>
      <c r="I1304" t="s">
        <v>197</v>
      </c>
      <c r="Z1304">
        <v>89804</v>
      </c>
    </row>
    <row r="1305" spans="1:26" x14ac:dyDescent="0.25">
      <c r="A1305" t="s">
        <v>1931</v>
      </c>
      <c r="B1305" t="s">
        <v>26</v>
      </c>
      <c r="C1305" t="s">
        <v>64</v>
      </c>
      <c r="H1305" s="2">
        <v>45534.243055555555</v>
      </c>
      <c r="I1305" t="s">
        <v>29</v>
      </c>
      <c r="Z1305">
        <v>89737</v>
      </c>
    </row>
    <row r="1306" spans="1:26" x14ac:dyDescent="0.25">
      <c r="A1306" t="s">
        <v>1932</v>
      </c>
      <c r="B1306" t="s">
        <v>77</v>
      </c>
      <c r="C1306" t="s">
        <v>47</v>
      </c>
      <c r="E1306" t="s">
        <v>1933</v>
      </c>
      <c r="H1306" s="2">
        <v>45533.749305555553</v>
      </c>
      <c r="I1306" t="s">
        <v>29</v>
      </c>
      <c r="Z1306">
        <v>89727</v>
      </c>
    </row>
    <row r="1307" spans="1:26" x14ac:dyDescent="0.25">
      <c r="A1307" t="s">
        <v>1256</v>
      </c>
      <c r="B1307" t="s">
        <v>26</v>
      </c>
      <c r="C1307" t="s">
        <v>27</v>
      </c>
      <c r="E1307" t="s">
        <v>84</v>
      </c>
      <c r="H1307" s="2">
        <v>45533.59652777778</v>
      </c>
      <c r="I1307" t="s">
        <v>194</v>
      </c>
      <c r="Z1307">
        <v>89710</v>
      </c>
    </row>
    <row r="1308" spans="1:26" x14ac:dyDescent="0.25">
      <c r="A1308" t="s">
        <v>1692</v>
      </c>
      <c r="B1308" t="s">
        <v>26</v>
      </c>
      <c r="C1308" t="s">
        <v>27</v>
      </c>
      <c r="H1308" s="2">
        <v>45533.534722222219</v>
      </c>
      <c r="I1308" t="s">
        <v>29</v>
      </c>
      <c r="Z1308">
        <v>89702</v>
      </c>
    </row>
    <row r="1309" spans="1:26" x14ac:dyDescent="0.25">
      <c r="A1309" t="s">
        <v>1934</v>
      </c>
      <c r="B1309" t="s">
        <v>26</v>
      </c>
      <c r="C1309" t="s">
        <v>27</v>
      </c>
      <c r="E1309" t="s">
        <v>1935</v>
      </c>
      <c r="H1309" s="2">
        <v>45533.397916666669</v>
      </c>
      <c r="I1309" t="s">
        <v>29</v>
      </c>
      <c r="Z1309">
        <v>89676</v>
      </c>
    </row>
    <row r="1310" spans="1:26" x14ac:dyDescent="0.25">
      <c r="A1310" t="s">
        <v>1936</v>
      </c>
      <c r="B1310" t="s">
        <v>26</v>
      </c>
      <c r="C1310" t="s">
        <v>27</v>
      </c>
      <c r="H1310" s="2">
        <v>45532.746527777781</v>
      </c>
      <c r="I1310" t="s">
        <v>197</v>
      </c>
      <c r="Z1310">
        <v>89663</v>
      </c>
    </row>
    <row r="1311" spans="1:26" x14ac:dyDescent="0.25">
      <c r="A1311" t="s">
        <v>1937</v>
      </c>
      <c r="B1311" t="s">
        <v>185</v>
      </c>
      <c r="C1311" t="s">
        <v>27</v>
      </c>
      <c r="H1311" s="2">
        <v>45532.678472222222</v>
      </c>
      <c r="I1311" t="s">
        <v>29</v>
      </c>
      <c r="Z1311">
        <v>89657</v>
      </c>
    </row>
    <row r="1312" spans="1:26" x14ac:dyDescent="0.25">
      <c r="A1312" t="s">
        <v>1938</v>
      </c>
      <c r="B1312" t="s">
        <v>26</v>
      </c>
      <c r="C1312" t="s">
        <v>27</v>
      </c>
      <c r="H1312" s="2">
        <v>45532.652777777781</v>
      </c>
      <c r="I1312" t="s">
        <v>194</v>
      </c>
      <c r="Z1312">
        <v>89653</v>
      </c>
    </row>
    <row r="1313" spans="1:26" x14ac:dyDescent="0.25">
      <c r="A1313" t="s">
        <v>1939</v>
      </c>
      <c r="B1313" t="s">
        <v>46</v>
      </c>
      <c r="C1313" t="s">
        <v>27</v>
      </c>
      <c r="E1313" t="s">
        <v>58</v>
      </c>
      <c r="G1313" t="s">
        <v>1940</v>
      </c>
      <c r="H1313" s="2">
        <v>45532.604166666664</v>
      </c>
      <c r="I1313" t="s">
        <v>29</v>
      </c>
      <c r="Z1313">
        <v>89648</v>
      </c>
    </row>
    <row r="1314" spans="1:26" x14ac:dyDescent="0.25">
      <c r="A1314" t="s">
        <v>1941</v>
      </c>
      <c r="B1314" t="s">
        <v>77</v>
      </c>
      <c r="C1314" t="s">
        <v>27</v>
      </c>
      <c r="E1314" t="s">
        <v>246</v>
      </c>
      <c r="G1314" t="s">
        <v>1942</v>
      </c>
      <c r="H1314" s="2">
        <v>45532.51666666667</v>
      </c>
      <c r="I1314" t="s">
        <v>197</v>
      </c>
      <c r="Z1314">
        <v>89639</v>
      </c>
    </row>
    <row r="1315" spans="1:26" x14ac:dyDescent="0.25">
      <c r="A1315" t="s">
        <v>1943</v>
      </c>
      <c r="B1315" t="s">
        <v>26</v>
      </c>
      <c r="C1315" t="s">
        <v>27</v>
      </c>
      <c r="H1315" s="2">
        <v>45531.661111111112</v>
      </c>
      <c r="I1315" t="s">
        <v>197</v>
      </c>
      <c r="Z1315">
        <v>89590</v>
      </c>
    </row>
    <row r="1316" spans="1:26" x14ac:dyDescent="0.25">
      <c r="A1316" t="s">
        <v>1944</v>
      </c>
      <c r="B1316" t="s">
        <v>26</v>
      </c>
      <c r="C1316" t="s">
        <v>27</v>
      </c>
      <c r="H1316" s="2">
        <v>45531.616666666669</v>
      </c>
      <c r="I1316" t="s">
        <v>197</v>
      </c>
      <c r="Z1316">
        <v>89580</v>
      </c>
    </row>
    <row r="1317" spans="1:26" x14ac:dyDescent="0.25">
      <c r="A1317" t="s">
        <v>1945</v>
      </c>
      <c r="B1317" t="s">
        <v>26</v>
      </c>
      <c r="C1317" t="s">
        <v>27</v>
      </c>
      <c r="H1317" s="2">
        <v>45531.538194444445</v>
      </c>
      <c r="I1317" t="s">
        <v>29</v>
      </c>
      <c r="Z1317">
        <v>89571</v>
      </c>
    </row>
    <row r="1318" spans="1:26" x14ac:dyDescent="0.25">
      <c r="A1318" t="s">
        <v>869</v>
      </c>
      <c r="B1318" t="s">
        <v>26</v>
      </c>
      <c r="C1318" t="s">
        <v>27</v>
      </c>
      <c r="H1318" s="2">
        <v>45531.409722222219</v>
      </c>
      <c r="I1318" t="s">
        <v>29</v>
      </c>
      <c r="Z1318">
        <v>89547</v>
      </c>
    </row>
    <row r="1319" spans="1:26" x14ac:dyDescent="0.25">
      <c r="A1319" t="s">
        <v>712</v>
      </c>
      <c r="C1319" t="s">
        <v>27</v>
      </c>
      <c r="E1319" t="s">
        <v>203</v>
      </c>
      <c r="H1319" s="2">
        <v>45531.401388888888</v>
      </c>
      <c r="I1319" t="s">
        <v>29</v>
      </c>
      <c r="Z1319">
        <v>89542</v>
      </c>
    </row>
    <row r="1320" spans="1:26" x14ac:dyDescent="0.25">
      <c r="A1320" t="s">
        <v>1946</v>
      </c>
      <c r="B1320" t="s">
        <v>46</v>
      </c>
      <c r="C1320" t="s">
        <v>27</v>
      </c>
      <c r="E1320" t="s">
        <v>65</v>
      </c>
      <c r="G1320" t="s">
        <v>1947</v>
      </c>
      <c r="H1320" s="2">
        <v>45530.604861111111</v>
      </c>
      <c r="I1320" t="s">
        <v>29</v>
      </c>
      <c r="K1320" t="s">
        <v>30</v>
      </c>
      <c r="L1320" t="s">
        <v>31</v>
      </c>
      <c r="M1320">
        <v>55887024</v>
      </c>
      <c r="N1320">
        <v>9754613601</v>
      </c>
      <c r="O1320" t="s">
        <v>1948</v>
      </c>
      <c r="Z1320">
        <v>89496</v>
      </c>
    </row>
    <row r="1321" spans="1:26" x14ac:dyDescent="0.25">
      <c r="A1321" t="s">
        <v>1949</v>
      </c>
      <c r="B1321" t="s">
        <v>150</v>
      </c>
      <c r="C1321" t="s">
        <v>59</v>
      </c>
      <c r="E1321" t="s">
        <v>1950</v>
      </c>
      <c r="G1321" t="s">
        <v>1950</v>
      </c>
      <c r="H1321" s="2">
        <v>45530.604166666664</v>
      </c>
      <c r="I1321" t="s">
        <v>194</v>
      </c>
      <c r="K1321" t="s">
        <v>30</v>
      </c>
      <c r="L1321" t="s">
        <v>31</v>
      </c>
      <c r="M1321">
        <v>55887024</v>
      </c>
      <c r="N1321">
        <v>9754613601</v>
      </c>
      <c r="O1321" t="s">
        <v>1948</v>
      </c>
      <c r="Z1321">
        <v>89494</v>
      </c>
    </row>
    <row r="1322" spans="1:26" x14ac:dyDescent="0.25">
      <c r="A1322" t="s">
        <v>1951</v>
      </c>
      <c r="B1322" t="s">
        <v>26</v>
      </c>
      <c r="C1322" t="s">
        <v>27</v>
      </c>
      <c r="H1322" s="2">
        <v>45530.455555555556</v>
      </c>
      <c r="I1322" t="s">
        <v>197</v>
      </c>
      <c r="Z1322">
        <v>89457</v>
      </c>
    </row>
    <row r="1323" spans="1:26" x14ac:dyDescent="0.25">
      <c r="A1323" t="s">
        <v>652</v>
      </c>
      <c r="B1323" t="s">
        <v>164</v>
      </c>
      <c r="C1323" t="s">
        <v>27</v>
      </c>
      <c r="E1323" t="s">
        <v>293</v>
      </c>
      <c r="H1323" s="2">
        <v>45530.432638888888</v>
      </c>
      <c r="I1323" t="s">
        <v>29</v>
      </c>
      <c r="Z1323">
        <v>89453</v>
      </c>
    </row>
    <row r="1324" spans="1:26" x14ac:dyDescent="0.25">
      <c r="A1324" t="s">
        <v>1952</v>
      </c>
      <c r="B1324" t="s">
        <v>164</v>
      </c>
      <c r="C1324" t="s">
        <v>27</v>
      </c>
      <c r="E1324" t="s">
        <v>88</v>
      </c>
      <c r="H1324" s="2">
        <v>45529.949305555558</v>
      </c>
      <c r="I1324" t="s">
        <v>29</v>
      </c>
      <c r="Z1324">
        <v>89428</v>
      </c>
    </row>
    <row r="1325" spans="1:26" x14ac:dyDescent="0.25">
      <c r="A1325" t="s">
        <v>1953</v>
      </c>
      <c r="B1325" t="s">
        <v>150</v>
      </c>
      <c r="C1325" t="s">
        <v>27</v>
      </c>
      <c r="E1325" t="s">
        <v>44</v>
      </c>
      <c r="H1325" s="2">
        <v>45529.816666666666</v>
      </c>
      <c r="I1325" t="s">
        <v>29</v>
      </c>
      <c r="Z1325">
        <v>89425</v>
      </c>
    </row>
    <row r="1326" spans="1:26" x14ac:dyDescent="0.25">
      <c r="A1326" t="s">
        <v>1954</v>
      </c>
      <c r="B1326" t="s">
        <v>164</v>
      </c>
      <c r="C1326" t="s">
        <v>27</v>
      </c>
      <c r="E1326" t="s">
        <v>133</v>
      </c>
      <c r="G1326" t="s">
        <v>1955</v>
      </c>
      <c r="H1326" s="2">
        <v>45529.564583333333</v>
      </c>
      <c r="I1326" t="s">
        <v>29</v>
      </c>
      <c r="Z1326">
        <v>89415</v>
      </c>
    </row>
    <row r="1327" spans="1:26" x14ac:dyDescent="0.25">
      <c r="A1327" t="s">
        <v>1956</v>
      </c>
      <c r="B1327" t="s">
        <v>164</v>
      </c>
      <c r="C1327" t="s">
        <v>27</v>
      </c>
      <c r="E1327" t="s">
        <v>1957</v>
      </c>
      <c r="H1327" s="2">
        <v>45527.40625</v>
      </c>
      <c r="I1327" t="s">
        <v>197</v>
      </c>
      <c r="Z1327">
        <v>89333</v>
      </c>
    </row>
    <row r="1328" spans="1:26" x14ac:dyDescent="0.25">
      <c r="A1328" t="s">
        <v>1958</v>
      </c>
      <c r="B1328" t="s">
        <v>185</v>
      </c>
      <c r="C1328" t="s">
        <v>27</v>
      </c>
      <c r="E1328" t="s">
        <v>143</v>
      </c>
      <c r="H1328" s="2">
        <v>45526.929861111108</v>
      </c>
      <c r="I1328" t="s">
        <v>29</v>
      </c>
      <c r="Z1328">
        <v>89322</v>
      </c>
    </row>
    <row r="1329" spans="1:26" x14ac:dyDescent="0.25">
      <c r="A1329" t="s">
        <v>1959</v>
      </c>
      <c r="B1329" t="s">
        <v>26</v>
      </c>
      <c r="C1329" t="s">
        <v>27</v>
      </c>
      <c r="H1329" s="2">
        <v>45526.724305555559</v>
      </c>
      <c r="I1329" t="s">
        <v>197</v>
      </c>
      <c r="Z1329">
        <v>89317</v>
      </c>
    </row>
    <row r="1330" spans="1:26" x14ac:dyDescent="0.25">
      <c r="A1330" t="s">
        <v>1960</v>
      </c>
      <c r="B1330" t="s">
        <v>164</v>
      </c>
      <c r="C1330" t="s">
        <v>27</v>
      </c>
      <c r="E1330" t="s">
        <v>200</v>
      </c>
      <c r="H1330" s="2">
        <v>45526.695833333331</v>
      </c>
      <c r="I1330" t="s">
        <v>197</v>
      </c>
      <c r="Z1330">
        <v>89310</v>
      </c>
    </row>
    <row r="1331" spans="1:26" x14ac:dyDescent="0.25">
      <c r="A1331" t="s">
        <v>1961</v>
      </c>
      <c r="B1331" t="s">
        <v>185</v>
      </c>
      <c r="C1331" t="s">
        <v>82</v>
      </c>
      <c r="E1331" t="s">
        <v>1962</v>
      </c>
      <c r="H1331" s="2">
        <v>45526.532638888886</v>
      </c>
      <c r="I1331" t="s">
        <v>197</v>
      </c>
      <c r="Z1331">
        <v>89282</v>
      </c>
    </row>
    <row r="1332" spans="1:26" x14ac:dyDescent="0.25">
      <c r="A1332" t="s">
        <v>1963</v>
      </c>
      <c r="B1332" t="s">
        <v>26</v>
      </c>
      <c r="C1332" t="s">
        <v>27</v>
      </c>
      <c r="H1332" s="2">
        <v>45526.512499999997</v>
      </c>
      <c r="I1332" t="s">
        <v>29</v>
      </c>
      <c r="Z1332">
        <v>89275</v>
      </c>
    </row>
    <row r="1333" spans="1:26" x14ac:dyDescent="0.25">
      <c r="A1333" t="s">
        <v>1964</v>
      </c>
      <c r="B1333" t="s">
        <v>164</v>
      </c>
      <c r="C1333" t="s">
        <v>27</v>
      </c>
      <c r="E1333" t="s">
        <v>1965</v>
      </c>
      <c r="G1333" t="s">
        <v>1966</v>
      </c>
      <c r="H1333" s="2">
        <v>45526.351388888892</v>
      </c>
      <c r="I1333" t="s">
        <v>197</v>
      </c>
      <c r="Z1333">
        <v>89248</v>
      </c>
    </row>
    <row r="1334" spans="1:26" x14ac:dyDescent="0.25">
      <c r="A1334" t="s">
        <v>1967</v>
      </c>
      <c r="B1334" t="s">
        <v>164</v>
      </c>
      <c r="C1334" t="s">
        <v>27</v>
      </c>
      <c r="E1334" t="s">
        <v>1968</v>
      </c>
      <c r="G1334" t="s">
        <v>84</v>
      </c>
      <c r="H1334" s="2">
        <v>45525.804166666669</v>
      </c>
      <c r="I1334" t="s">
        <v>29</v>
      </c>
      <c r="Z1334">
        <v>89238</v>
      </c>
    </row>
    <row r="1335" spans="1:26" x14ac:dyDescent="0.25">
      <c r="A1335" t="s">
        <v>1969</v>
      </c>
      <c r="B1335" t="s">
        <v>26</v>
      </c>
      <c r="C1335" t="s">
        <v>27</v>
      </c>
      <c r="H1335" s="2">
        <v>45525.79791666667</v>
      </c>
      <c r="I1335" t="s">
        <v>197</v>
      </c>
      <c r="Z1335">
        <v>89237</v>
      </c>
    </row>
    <row r="1336" spans="1:26" x14ac:dyDescent="0.25">
      <c r="A1336" t="s">
        <v>1970</v>
      </c>
      <c r="B1336" t="s">
        <v>185</v>
      </c>
      <c r="C1336" t="s">
        <v>27</v>
      </c>
      <c r="E1336" t="s">
        <v>65</v>
      </c>
      <c r="H1336" s="2">
        <v>45525.77847222222</v>
      </c>
      <c r="I1336" t="s">
        <v>29</v>
      </c>
      <c r="Z1336">
        <v>89234</v>
      </c>
    </row>
    <row r="1337" spans="1:26" x14ac:dyDescent="0.25">
      <c r="A1337" t="s">
        <v>1971</v>
      </c>
      <c r="B1337" t="s">
        <v>26</v>
      </c>
      <c r="C1337" t="s">
        <v>27</v>
      </c>
      <c r="H1337" s="2">
        <v>45525.55</v>
      </c>
      <c r="I1337" t="s">
        <v>197</v>
      </c>
      <c r="Z1337">
        <v>89212</v>
      </c>
    </row>
    <row r="1338" spans="1:26" x14ac:dyDescent="0.25">
      <c r="A1338" t="s">
        <v>1972</v>
      </c>
      <c r="B1338" t="s">
        <v>26</v>
      </c>
      <c r="C1338" t="s">
        <v>27</v>
      </c>
      <c r="H1338" s="2">
        <v>45524.659722222219</v>
      </c>
      <c r="I1338" t="s">
        <v>29</v>
      </c>
      <c r="Z1338">
        <v>89147</v>
      </c>
    </row>
    <row r="1339" spans="1:26" x14ac:dyDescent="0.25">
      <c r="A1339" t="s">
        <v>1973</v>
      </c>
      <c r="B1339" t="s">
        <v>26</v>
      </c>
      <c r="C1339" t="s">
        <v>27</v>
      </c>
      <c r="H1339" s="2">
        <v>45524.585416666669</v>
      </c>
      <c r="I1339" t="s">
        <v>29</v>
      </c>
      <c r="Z1339">
        <v>89133</v>
      </c>
    </row>
    <row r="1340" spans="1:26" x14ac:dyDescent="0.25">
      <c r="A1340" t="s">
        <v>1974</v>
      </c>
      <c r="B1340" t="s">
        <v>26</v>
      </c>
      <c r="C1340" t="s">
        <v>27</v>
      </c>
      <c r="H1340" s="2">
        <v>45524.486111111109</v>
      </c>
      <c r="I1340" t="s">
        <v>197</v>
      </c>
      <c r="Z1340">
        <v>89104</v>
      </c>
    </row>
    <row r="1341" spans="1:26" x14ac:dyDescent="0.25">
      <c r="A1341" t="s">
        <v>1975</v>
      </c>
      <c r="B1341" t="s">
        <v>26</v>
      </c>
      <c r="C1341" t="s">
        <v>27</v>
      </c>
      <c r="H1341" s="2">
        <v>45523.722222222219</v>
      </c>
      <c r="I1341" t="s">
        <v>95</v>
      </c>
      <c r="Z1341">
        <v>89064</v>
      </c>
    </row>
    <row r="1342" spans="1:26" x14ac:dyDescent="0.25">
      <c r="A1342" t="s">
        <v>1976</v>
      </c>
      <c r="B1342" t="s">
        <v>185</v>
      </c>
      <c r="C1342" t="s">
        <v>59</v>
      </c>
      <c r="E1342" t="s">
        <v>163</v>
      </c>
      <c r="H1342" s="2">
        <v>45523.683333333334</v>
      </c>
      <c r="I1342" t="s">
        <v>29</v>
      </c>
      <c r="Z1342">
        <v>89058</v>
      </c>
    </row>
    <row r="1343" spans="1:26" x14ac:dyDescent="0.25">
      <c r="A1343" t="s">
        <v>1977</v>
      </c>
      <c r="B1343" t="s">
        <v>150</v>
      </c>
      <c r="C1343" t="s">
        <v>27</v>
      </c>
      <c r="E1343" t="s">
        <v>68</v>
      </c>
      <c r="G1343" t="s">
        <v>175</v>
      </c>
      <c r="H1343" s="2">
        <v>45523.571527777778</v>
      </c>
      <c r="I1343" t="s">
        <v>29</v>
      </c>
      <c r="Z1343">
        <v>89044</v>
      </c>
    </row>
    <row r="1344" spans="1:26" x14ac:dyDescent="0.25">
      <c r="A1344" t="s">
        <v>1978</v>
      </c>
      <c r="C1344" t="s">
        <v>27</v>
      </c>
      <c r="E1344" t="s">
        <v>113</v>
      </c>
      <c r="H1344" s="2">
        <v>45523.427777777775</v>
      </c>
      <c r="I1344" t="s">
        <v>194</v>
      </c>
      <c r="Z1344">
        <v>89009</v>
      </c>
    </row>
    <row r="1345" spans="1:26" x14ac:dyDescent="0.25">
      <c r="A1345" t="s">
        <v>1979</v>
      </c>
      <c r="B1345" t="s">
        <v>164</v>
      </c>
      <c r="C1345" t="s">
        <v>27</v>
      </c>
      <c r="E1345" t="s">
        <v>1980</v>
      </c>
      <c r="H1345" s="2">
        <v>45523.185416666667</v>
      </c>
      <c r="I1345" t="s">
        <v>29</v>
      </c>
      <c r="Z1345">
        <v>88996</v>
      </c>
    </row>
    <row r="1346" spans="1:26" x14ac:dyDescent="0.25">
      <c r="A1346" t="s">
        <v>1255</v>
      </c>
      <c r="B1346" t="s">
        <v>185</v>
      </c>
      <c r="C1346" t="s">
        <v>27</v>
      </c>
      <c r="E1346" t="s">
        <v>1981</v>
      </c>
      <c r="G1346" t="s">
        <v>1982</v>
      </c>
      <c r="H1346" s="2">
        <v>45522.377083333333</v>
      </c>
      <c r="I1346" t="s">
        <v>29</v>
      </c>
      <c r="Z1346">
        <v>88974</v>
      </c>
    </row>
    <row r="1347" spans="1:26" x14ac:dyDescent="0.25">
      <c r="A1347" t="s">
        <v>1983</v>
      </c>
      <c r="B1347" t="s">
        <v>185</v>
      </c>
      <c r="C1347" t="s">
        <v>27</v>
      </c>
      <c r="E1347" t="s">
        <v>44</v>
      </c>
      <c r="H1347" s="2">
        <v>45520.649305555555</v>
      </c>
      <c r="I1347" t="s">
        <v>197</v>
      </c>
      <c r="Z1347">
        <v>88931</v>
      </c>
    </row>
    <row r="1348" spans="1:26" x14ac:dyDescent="0.25">
      <c r="A1348" t="s">
        <v>1984</v>
      </c>
      <c r="B1348" t="s">
        <v>26</v>
      </c>
      <c r="C1348" t="s">
        <v>27</v>
      </c>
      <c r="H1348" s="2">
        <v>45520.606249999997</v>
      </c>
      <c r="I1348" t="s">
        <v>29</v>
      </c>
      <c r="Z1348">
        <v>88924</v>
      </c>
    </row>
    <row r="1349" spans="1:26" x14ac:dyDescent="0.25">
      <c r="A1349" t="s">
        <v>1985</v>
      </c>
      <c r="B1349" t="s">
        <v>26</v>
      </c>
      <c r="C1349" t="s">
        <v>27</v>
      </c>
      <c r="H1349" s="2">
        <v>45520.498611111114</v>
      </c>
      <c r="I1349" t="s">
        <v>95</v>
      </c>
      <c r="Z1349">
        <v>88909</v>
      </c>
    </row>
    <row r="1350" spans="1:26" x14ac:dyDescent="0.25">
      <c r="A1350" t="s">
        <v>1986</v>
      </c>
      <c r="B1350" t="s">
        <v>185</v>
      </c>
      <c r="C1350" t="s">
        <v>27</v>
      </c>
      <c r="H1350" s="2">
        <v>45520.45416666667</v>
      </c>
      <c r="I1350" t="s">
        <v>197</v>
      </c>
      <c r="Z1350">
        <v>88904</v>
      </c>
    </row>
    <row r="1351" spans="1:26" x14ac:dyDescent="0.25">
      <c r="A1351" t="s">
        <v>1987</v>
      </c>
      <c r="B1351" t="s">
        <v>26</v>
      </c>
      <c r="C1351" t="s">
        <v>27</v>
      </c>
      <c r="H1351" s="2">
        <v>45519.715277777781</v>
      </c>
      <c r="I1351" t="s">
        <v>29</v>
      </c>
      <c r="Z1351">
        <v>88886</v>
      </c>
    </row>
    <row r="1352" spans="1:26" x14ac:dyDescent="0.25">
      <c r="A1352" t="s">
        <v>1988</v>
      </c>
      <c r="B1352" t="s">
        <v>26</v>
      </c>
      <c r="C1352" t="s">
        <v>27</v>
      </c>
      <c r="H1352" s="2">
        <v>45519.627083333333</v>
      </c>
      <c r="I1352" t="s">
        <v>197</v>
      </c>
      <c r="Z1352">
        <v>88872</v>
      </c>
    </row>
    <row r="1353" spans="1:26" x14ac:dyDescent="0.25">
      <c r="A1353" t="s">
        <v>1989</v>
      </c>
      <c r="B1353" t="s">
        <v>26</v>
      </c>
      <c r="C1353" t="s">
        <v>27</v>
      </c>
      <c r="H1353" s="2">
        <v>45519.527777777781</v>
      </c>
      <c r="I1353" t="s">
        <v>197</v>
      </c>
      <c r="Z1353">
        <v>88863</v>
      </c>
    </row>
    <row r="1354" spans="1:26" x14ac:dyDescent="0.25">
      <c r="A1354" t="s">
        <v>1990</v>
      </c>
      <c r="B1354" t="s">
        <v>26</v>
      </c>
      <c r="C1354" t="s">
        <v>27</v>
      </c>
      <c r="H1354" s="2">
        <v>45519.45416666667</v>
      </c>
      <c r="I1354" t="s">
        <v>186</v>
      </c>
      <c r="Z1354">
        <v>88850</v>
      </c>
    </row>
    <row r="1355" spans="1:26" x14ac:dyDescent="0.25">
      <c r="A1355" t="s">
        <v>1991</v>
      </c>
      <c r="B1355" t="s">
        <v>26</v>
      </c>
      <c r="C1355" t="s">
        <v>27</v>
      </c>
      <c r="H1355" s="2">
        <v>45519.377083333333</v>
      </c>
      <c r="I1355" t="s">
        <v>186</v>
      </c>
      <c r="Z1355">
        <v>88837</v>
      </c>
    </row>
    <row r="1356" spans="1:26" x14ac:dyDescent="0.25">
      <c r="A1356" t="s">
        <v>1992</v>
      </c>
      <c r="B1356" t="s">
        <v>164</v>
      </c>
      <c r="C1356" t="s">
        <v>27</v>
      </c>
      <c r="E1356" t="s">
        <v>249</v>
      </c>
      <c r="G1356" t="s">
        <v>84</v>
      </c>
      <c r="H1356" s="2">
        <v>45519.248611111114</v>
      </c>
      <c r="I1356" t="s">
        <v>29</v>
      </c>
      <c r="K1356" t="s">
        <v>30</v>
      </c>
      <c r="L1356" t="s">
        <v>31</v>
      </c>
      <c r="M1356">
        <v>67130164</v>
      </c>
      <c r="N1356">
        <v>12403825944</v>
      </c>
      <c r="O1356" t="s">
        <v>682</v>
      </c>
      <c r="Z1356">
        <v>88836</v>
      </c>
    </row>
    <row r="1357" spans="1:26" x14ac:dyDescent="0.25">
      <c r="A1357" t="s">
        <v>1993</v>
      </c>
      <c r="B1357" t="s">
        <v>26</v>
      </c>
      <c r="C1357" t="s">
        <v>27</v>
      </c>
      <c r="H1357" s="2">
        <v>45518.644444444442</v>
      </c>
      <c r="I1357" t="s">
        <v>95</v>
      </c>
      <c r="Z1357">
        <v>88826</v>
      </c>
    </row>
    <row r="1358" spans="1:26" x14ac:dyDescent="0.25">
      <c r="A1358" t="s">
        <v>1994</v>
      </c>
      <c r="B1358" t="s">
        <v>185</v>
      </c>
      <c r="C1358" t="s">
        <v>27</v>
      </c>
      <c r="E1358" t="s">
        <v>141</v>
      </c>
      <c r="H1358" s="2">
        <v>45518.399305555555</v>
      </c>
      <c r="I1358" t="s">
        <v>29</v>
      </c>
      <c r="Z1358">
        <v>88796</v>
      </c>
    </row>
    <row r="1359" spans="1:26" x14ac:dyDescent="0.25">
      <c r="A1359" t="s">
        <v>253</v>
      </c>
      <c r="B1359" t="s">
        <v>26</v>
      </c>
      <c r="C1359" t="s">
        <v>27</v>
      </c>
      <c r="H1359" s="2">
        <v>45518.39166666667</v>
      </c>
      <c r="I1359" t="s">
        <v>186</v>
      </c>
      <c r="Z1359">
        <v>88794</v>
      </c>
    </row>
    <row r="1360" spans="1:26" x14ac:dyDescent="0.25">
      <c r="A1360" t="s">
        <v>1995</v>
      </c>
      <c r="B1360" t="s">
        <v>185</v>
      </c>
      <c r="C1360" t="s">
        <v>27</v>
      </c>
      <c r="E1360" t="s">
        <v>1996</v>
      </c>
      <c r="H1360" s="2">
        <v>45517.761805555558</v>
      </c>
      <c r="I1360" t="s">
        <v>29</v>
      </c>
      <c r="Z1360">
        <v>88788</v>
      </c>
    </row>
    <row r="1361" spans="1:26" x14ac:dyDescent="0.25">
      <c r="A1361" t="s">
        <v>1997</v>
      </c>
      <c r="B1361" t="s">
        <v>26</v>
      </c>
      <c r="C1361" t="s">
        <v>27</v>
      </c>
      <c r="H1361" s="2">
        <v>45517.48541666667</v>
      </c>
      <c r="I1361" t="s">
        <v>95</v>
      </c>
      <c r="Z1361">
        <v>88754</v>
      </c>
    </row>
    <row r="1362" spans="1:26" x14ac:dyDescent="0.25">
      <c r="A1362" t="s">
        <v>1998</v>
      </c>
      <c r="B1362" t="s">
        <v>150</v>
      </c>
      <c r="C1362" t="s">
        <v>27</v>
      </c>
      <c r="E1362" t="s">
        <v>67</v>
      </c>
      <c r="G1362" t="s">
        <v>1999</v>
      </c>
      <c r="H1362" s="2">
        <v>45516.538888888892</v>
      </c>
      <c r="I1362" t="s">
        <v>29</v>
      </c>
      <c r="Z1362">
        <v>88695</v>
      </c>
    </row>
    <row r="1363" spans="1:26" x14ac:dyDescent="0.25">
      <c r="A1363" t="s">
        <v>2000</v>
      </c>
      <c r="B1363" t="s">
        <v>26</v>
      </c>
      <c r="C1363" t="s">
        <v>27</v>
      </c>
      <c r="H1363" s="2">
        <v>45516.518055555556</v>
      </c>
      <c r="I1363" t="s">
        <v>197</v>
      </c>
      <c r="Z1363">
        <v>88692</v>
      </c>
    </row>
    <row r="1364" spans="1:26" x14ac:dyDescent="0.25">
      <c r="A1364" t="s">
        <v>2001</v>
      </c>
      <c r="B1364" t="s">
        <v>26</v>
      </c>
      <c r="C1364" t="s">
        <v>27</v>
      </c>
      <c r="H1364" s="2">
        <v>45516.453472222223</v>
      </c>
      <c r="I1364" t="s">
        <v>40</v>
      </c>
      <c r="Z1364">
        <v>88677</v>
      </c>
    </row>
    <row r="1365" spans="1:26" x14ac:dyDescent="0.25">
      <c r="A1365" t="s">
        <v>1256</v>
      </c>
      <c r="B1365" t="s">
        <v>46</v>
      </c>
      <c r="C1365" t="s">
        <v>27</v>
      </c>
      <c r="E1365" t="s">
        <v>72</v>
      </c>
      <c r="G1365" t="s">
        <v>2002</v>
      </c>
      <c r="H1365" s="2">
        <v>45514.606944444444</v>
      </c>
      <c r="I1365" t="s">
        <v>29</v>
      </c>
      <c r="Z1365">
        <v>88635</v>
      </c>
    </row>
    <row r="1366" spans="1:26" x14ac:dyDescent="0.25">
      <c r="A1366" t="s">
        <v>869</v>
      </c>
      <c r="B1366" t="s">
        <v>198</v>
      </c>
      <c r="C1366" t="s">
        <v>27</v>
      </c>
      <c r="E1366" t="s">
        <v>277</v>
      </c>
      <c r="H1366" s="2">
        <v>45513.740972222222</v>
      </c>
      <c r="I1366" t="s">
        <v>29</v>
      </c>
      <c r="Z1366">
        <v>88625</v>
      </c>
    </row>
    <row r="1367" spans="1:26" x14ac:dyDescent="0.25">
      <c r="A1367" t="s">
        <v>2003</v>
      </c>
      <c r="B1367" t="s">
        <v>26</v>
      </c>
      <c r="C1367" t="s">
        <v>27</v>
      </c>
      <c r="H1367" s="2">
        <v>45513.613194444442</v>
      </c>
      <c r="I1367" t="s">
        <v>197</v>
      </c>
      <c r="Z1367">
        <v>88611</v>
      </c>
    </row>
    <row r="1368" spans="1:26" x14ac:dyDescent="0.25">
      <c r="A1368" t="s">
        <v>2004</v>
      </c>
      <c r="C1368" t="s">
        <v>27</v>
      </c>
      <c r="E1368" t="s">
        <v>44</v>
      </c>
      <c r="H1368" s="2">
        <v>45513.543055555558</v>
      </c>
      <c r="I1368" t="s">
        <v>197</v>
      </c>
      <c r="Z1368">
        <v>88604</v>
      </c>
    </row>
    <row r="1369" spans="1:26" x14ac:dyDescent="0.25">
      <c r="A1369" t="s">
        <v>92</v>
      </c>
      <c r="B1369" t="s">
        <v>26</v>
      </c>
      <c r="C1369" t="s">
        <v>27</v>
      </c>
      <c r="E1369" t="s">
        <v>2005</v>
      </c>
      <c r="H1369" s="2">
        <v>45513.542361111111</v>
      </c>
      <c r="I1369" t="s">
        <v>29</v>
      </c>
      <c r="Z1369">
        <v>88603</v>
      </c>
    </row>
    <row r="1370" spans="1:26" x14ac:dyDescent="0.25">
      <c r="A1370" t="s">
        <v>2006</v>
      </c>
      <c r="B1370" t="s">
        <v>150</v>
      </c>
      <c r="C1370" t="s">
        <v>27</v>
      </c>
      <c r="E1370" t="s">
        <v>2007</v>
      </c>
      <c r="G1370" t="s">
        <v>2008</v>
      </c>
      <c r="H1370" s="2">
        <v>45512.896527777775</v>
      </c>
      <c r="I1370" t="s">
        <v>29</v>
      </c>
      <c r="Z1370">
        <v>88588</v>
      </c>
    </row>
    <row r="1371" spans="1:26" x14ac:dyDescent="0.25">
      <c r="A1371" t="s">
        <v>2009</v>
      </c>
      <c r="B1371" t="s">
        <v>26</v>
      </c>
      <c r="C1371" t="s">
        <v>64</v>
      </c>
      <c r="H1371" s="2">
        <v>45512.55</v>
      </c>
      <c r="I1371" t="s">
        <v>197</v>
      </c>
      <c r="Z1371">
        <v>88570</v>
      </c>
    </row>
    <row r="1372" spans="1:26" x14ac:dyDescent="0.25">
      <c r="A1372" t="s">
        <v>2010</v>
      </c>
      <c r="C1372" t="s">
        <v>27</v>
      </c>
      <c r="E1372" t="s">
        <v>112</v>
      </c>
      <c r="H1372" s="2">
        <v>45512.404861111114</v>
      </c>
      <c r="I1372" t="s">
        <v>29</v>
      </c>
      <c r="Z1372">
        <v>88548</v>
      </c>
    </row>
    <row r="1373" spans="1:26" x14ac:dyDescent="0.25">
      <c r="A1373" t="s">
        <v>2011</v>
      </c>
      <c r="B1373" t="s">
        <v>26</v>
      </c>
      <c r="C1373" t="s">
        <v>27</v>
      </c>
      <c r="H1373" s="2">
        <v>45511.67291666667</v>
      </c>
      <c r="I1373" t="s">
        <v>29</v>
      </c>
      <c r="Z1373">
        <v>88523</v>
      </c>
    </row>
    <row r="1374" spans="1:26" x14ac:dyDescent="0.25">
      <c r="A1374" t="s">
        <v>2012</v>
      </c>
      <c r="B1374" t="s">
        <v>26</v>
      </c>
      <c r="C1374" t="s">
        <v>27</v>
      </c>
      <c r="H1374" s="2">
        <v>45511.590277777781</v>
      </c>
      <c r="I1374" t="s">
        <v>197</v>
      </c>
      <c r="Z1374">
        <v>88514</v>
      </c>
    </row>
    <row r="1375" spans="1:26" x14ac:dyDescent="0.25">
      <c r="A1375" t="s">
        <v>2013</v>
      </c>
      <c r="B1375" t="s">
        <v>185</v>
      </c>
      <c r="C1375" t="s">
        <v>27</v>
      </c>
      <c r="H1375" s="2">
        <v>45511.554861111108</v>
      </c>
      <c r="I1375" t="s">
        <v>29</v>
      </c>
      <c r="Z1375">
        <v>88510</v>
      </c>
    </row>
    <row r="1376" spans="1:26" x14ac:dyDescent="0.25">
      <c r="A1376" t="s">
        <v>712</v>
      </c>
      <c r="C1376" t="s">
        <v>27</v>
      </c>
      <c r="E1376" t="s">
        <v>93</v>
      </c>
      <c r="H1376" s="2">
        <v>45511.415972222225</v>
      </c>
      <c r="I1376" t="s">
        <v>29</v>
      </c>
      <c r="Z1376">
        <v>88484</v>
      </c>
    </row>
    <row r="1377" spans="1:26" x14ac:dyDescent="0.25">
      <c r="A1377" t="s">
        <v>1255</v>
      </c>
      <c r="B1377" t="s">
        <v>46</v>
      </c>
      <c r="C1377" t="s">
        <v>27</v>
      </c>
      <c r="E1377" t="s">
        <v>2014</v>
      </c>
      <c r="G1377" t="s">
        <v>2015</v>
      </c>
      <c r="H1377" s="2">
        <v>45511.411805555559</v>
      </c>
      <c r="I1377" t="s">
        <v>29</v>
      </c>
      <c r="Z1377">
        <v>88483</v>
      </c>
    </row>
    <row r="1378" spans="1:26" x14ac:dyDescent="0.25">
      <c r="A1378" t="s">
        <v>2016</v>
      </c>
      <c r="B1378" t="s">
        <v>185</v>
      </c>
      <c r="C1378" t="s">
        <v>27</v>
      </c>
      <c r="E1378" t="s">
        <v>259</v>
      </c>
      <c r="G1378" t="s">
        <v>2017</v>
      </c>
      <c r="H1378" s="2">
        <v>45511.055555555555</v>
      </c>
      <c r="I1378" t="s">
        <v>29</v>
      </c>
      <c r="Z1378">
        <v>88470</v>
      </c>
    </row>
    <row r="1379" spans="1:26" x14ac:dyDescent="0.25">
      <c r="A1379" t="s">
        <v>2018</v>
      </c>
      <c r="B1379" t="s">
        <v>26</v>
      </c>
      <c r="C1379" t="s">
        <v>27</v>
      </c>
      <c r="H1379" s="2">
        <v>45510.675694444442</v>
      </c>
      <c r="I1379" t="s">
        <v>29</v>
      </c>
      <c r="Z1379">
        <v>88456</v>
      </c>
    </row>
    <row r="1380" spans="1:26" x14ac:dyDescent="0.25">
      <c r="A1380" t="s">
        <v>92</v>
      </c>
      <c r="B1380" t="s">
        <v>46</v>
      </c>
      <c r="C1380" t="s">
        <v>27</v>
      </c>
      <c r="E1380" t="s">
        <v>134</v>
      </c>
      <c r="G1380" t="s">
        <v>2019</v>
      </c>
      <c r="H1380" s="2">
        <v>45510.554166666669</v>
      </c>
      <c r="I1380" t="s">
        <v>29</v>
      </c>
      <c r="Z1380">
        <v>88441</v>
      </c>
    </row>
    <row r="1381" spans="1:26" x14ac:dyDescent="0.25">
      <c r="A1381" t="s">
        <v>2020</v>
      </c>
      <c r="B1381" t="s">
        <v>26</v>
      </c>
      <c r="C1381" t="s">
        <v>27</v>
      </c>
      <c r="H1381" s="2">
        <v>45510.519444444442</v>
      </c>
      <c r="I1381" t="s">
        <v>197</v>
      </c>
      <c r="Z1381">
        <v>88434</v>
      </c>
    </row>
    <row r="1382" spans="1:26" x14ac:dyDescent="0.25">
      <c r="A1382" t="s">
        <v>2021</v>
      </c>
      <c r="B1382" t="s">
        <v>26</v>
      </c>
      <c r="C1382" t="s">
        <v>27</v>
      </c>
      <c r="H1382" s="2">
        <v>45510.379166666666</v>
      </c>
      <c r="I1382" t="s">
        <v>95</v>
      </c>
      <c r="Z1382">
        <v>88413</v>
      </c>
    </row>
    <row r="1383" spans="1:26" x14ac:dyDescent="0.25">
      <c r="A1383" t="s">
        <v>2022</v>
      </c>
      <c r="B1383" t="s">
        <v>26</v>
      </c>
      <c r="C1383" t="s">
        <v>27</v>
      </c>
      <c r="H1383" s="2">
        <v>45510.245138888888</v>
      </c>
      <c r="I1383" t="s">
        <v>153</v>
      </c>
      <c r="Z1383">
        <v>88408</v>
      </c>
    </row>
    <row r="1384" spans="1:26" x14ac:dyDescent="0.25">
      <c r="A1384" t="s">
        <v>2023</v>
      </c>
      <c r="B1384" t="s">
        <v>26</v>
      </c>
      <c r="C1384" t="s">
        <v>27</v>
      </c>
      <c r="H1384" s="2">
        <v>45509.71597222222</v>
      </c>
      <c r="I1384" t="s">
        <v>197</v>
      </c>
      <c r="Z1384">
        <v>88397</v>
      </c>
    </row>
    <row r="1385" spans="1:26" x14ac:dyDescent="0.25">
      <c r="A1385" t="s">
        <v>2024</v>
      </c>
      <c r="B1385" t="s">
        <v>26</v>
      </c>
      <c r="C1385" t="s">
        <v>27</v>
      </c>
      <c r="H1385" s="2">
        <v>45509.668055555558</v>
      </c>
      <c r="I1385" t="s">
        <v>29</v>
      </c>
      <c r="Z1385">
        <v>88389</v>
      </c>
    </row>
    <row r="1386" spans="1:26" x14ac:dyDescent="0.25">
      <c r="A1386" t="s">
        <v>2025</v>
      </c>
      <c r="C1386" t="s">
        <v>27</v>
      </c>
      <c r="E1386" t="s">
        <v>53</v>
      </c>
      <c r="H1386" s="2">
        <v>45509.554861111108</v>
      </c>
      <c r="I1386" t="s">
        <v>29</v>
      </c>
      <c r="Z1386">
        <v>88369</v>
      </c>
    </row>
    <row r="1387" spans="1:26" x14ac:dyDescent="0.25">
      <c r="A1387" t="s">
        <v>2026</v>
      </c>
      <c r="B1387" t="s">
        <v>26</v>
      </c>
      <c r="C1387" t="s">
        <v>27</v>
      </c>
      <c r="H1387" s="2">
        <v>45507.59652777778</v>
      </c>
      <c r="I1387" t="s">
        <v>95</v>
      </c>
      <c r="Z1387">
        <v>88315</v>
      </c>
    </row>
    <row r="1388" spans="1:26" x14ac:dyDescent="0.25">
      <c r="A1388" t="s">
        <v>2027</v>
      </c>
      <c r="B1388" t="s">
        <v>77</v>
      </c>
      <c r="C1388" t="s">
        <v>59</v>
      </c>
      <c r="E1388" t="s">
        <v>84</v>
      </c>
      <c r="H1388" s="2">
        <v>45507.505555555559</v>
      </c>
      <c r="I1388" t="s">
        <v>197</v>
      </c>
      <c r="K1388" t="s">
        <v>30</v>
      </c>
      <c r="L1388" t="s">
        <v>31</v>
      </c>
      <c r="M1388">
        <v>67130164</v>
      </c>
      <c r="N1388">
        <v>12403825975</v>
      </c>
      <c r="O1388" t="s">
        <v>682</v>
      </c>
      <c r="Z1388">
        <v>88308</v>
      </c>
    </row>
    <row r="1389" spans="1:26" x14ac:dyDescent="0.25">
      <c r="A1389" t="s">
        <v>2028</v>
      </c>
      <c r="B1389" t="s">
        <v>46</v>
      </c>
      <c r="C1389" t="s">
        <v>27</v>
      </c>
      <c r="E1389" t="s">
        <v>110</v>
      </c>
      <c r="G1389" t="s">
        <v>2029</v>
      </c>
      <c r="H1389" s="2">
        <v>45507.460416666669</v>
      </c>
      <c r="I1389" t="s">
        <v>197</v>
      </c>
      <c r="Z1389">
        <v>88304</v>
      </c>
    </row>
    <row r="1390" spans="1:26" x14ac:dyDescent="0.25">
      <c r="A1390" t="s">
        <v>2030</v>
      </c>
      <c r="B1390" t="s">
        <v>164</v>
      </c>
      <c r="C1390" t="s">
        <v>27</v>
      </c>
      <c r="E1390" t="s">
        <v>2031</v>
      </c>
      <c r="H1390" s="2">
        <v>45506.865277777775</v>
      </c>
      <c r="I1390" t="s">
        <v>29</v>
      </c>
      <c r="K1390" t="s">
        <v>30</v>
      </c>
      <c r="L1390" t="s">
        <v>31</v>
      </c>
      <c r="M1390">
        <v>55887024</v>
      </c>
      <c r="N1390">
        <v>9754613603</v>
      </c>
      <c r="O1390" t="s">
        <v>1559</v>
      </c>
      <c r="Z1390">
        <v>88299</v>
      </c>
    </row>
    <row r="1391" spans="1:26" x14ac:dyDescent="0.25">
      <c r="A1391" t="s">
        <v>2032</v>
      </c>
      <c r="B1391" t="s">
        <v>185</v>
      </c>
      <c r="C1391" t="s">
        <v>47</v>
      </c>
      <c r="E1391" t="s">
        <v>139</v>
      </c>
      <c r="H1391" s="2">
        <v>45506.607638888891</v>
      </c>
      <c r="I1391" t="s">
        <v>29</v>
      </c>
      <c r="Z1391">
        <v>88281</v>
      </c>
    </row>
    <row r="1392" spans="1:26" x14ac:dyDescent="0.25">
      <c r="A1392" t="s">
        <v>714</v>
      </c>
      <c r="B1392" t="s">
        <v>26</v>
      </c>
      <c r="C1392" t="s">
        <v>27</v>
      </c>
      <c r="H1392" s="2">
        <v>45506.592361111114</v>
      </c>
      <c r="I1392" t="s">
        <v>29</v>
      </c>
      <c r="Z1392">
        <v>88279</v>
      </c>
    </row>
    <row r="1393" spans="1:26" x14ac:dyDescent="0.25">
      <c r="A1393" t="s">
        <v>2033</v>
      </c>
      <c r="B1393" t="s">
        <v>150</v>
      </c>
      <c r="C1393" t="s">
        <v>27</v>
      </c>
      <c r="E1393" t="s">
        <v>2034</v>
      </c>
      <c r="H1393" s="2">
        <v>45506.467361111114</v>
      </c>
      <c r="I1393" t="s">
        <v>95</v>
      </c>
      <c r="Z1393">
        <v>88258</v>
      </c>
    </row>
    <row r="1394" spans="1:26" x14ac:dyDescent="0.25">
      <c r="A1394" t="s">
        <v>2035</v>
      </c>
      <c r="B1394" t="s">
        <v>26</v>
      </c>
      <c r="C1394" t="s">
        <v>27</v>
      </c>
      <c r="H1394" s="2">
        <v>45506.395833333336</v>
      </c>
      <c r="I1394" t="s">
        <v>40</v>
      </c>
      <c r="Z1394">
        <v>88244</v>
      </c>
    </row>
    <row r="1395" spans="1:26" x14ac:dyDescent="0.25">
      <c r="A1395" t="s">
        <v>2036</v>
      </c>
      <c r="B1395" t="s">
        <v>26</v>
      </c>
      <c r="C1395" t="s">
        <v>27</v>
      </c>
      <c r="H1395" s="2">
        <v>45505.817361111112</v>
      </c>
      <c r="I1395" t="s">
        <v>40</v>
      </c>
      <c r="Z1395">
        <v>88241</v>
      </c>
    </row>
    <row r="1396" spans="1:26" x14ac:dyDescent="0.25">
      <c r="A1396" t="s">
        <v>2037</v>
      </c>
      <c r="B1396" t="s">
        <v>26</v>
      </c>
      <c r="C1396" t="s">
        <v>27</v>
      </c>
      <c r="H1396" s="2">
        <v>45505.677777777775</v>
      </c>
      <c r="I1396" t="s">
        <v>197</v>
      </c>
      <c r="Z1396">
        <v>88230</v>
      </c>
    </row>
    <row r="1397" spans="1:26" x14ac:dyDescent="0.25">
      <c r="A1397" t="s">
        <v>2038</v>
      </c>
      <c r="B1397" t="s">
        <v>77</v>
      </c>
      <c r="C1397" t="s">
        <v>27</v>
      </c>
      <c r="E1397" t="s">
        <v>53</v>
      </c>
      <c r="H1397" s="2">
        <v>45505.59652777778</v>
      </c>
      <c r="I1397" t="s">
        <v>29</v>
      </c>
      <c r="K1397" t="s">
        <v>30</v>
      </c>
      <c r="L1397" t="s">
        <v>31</v>
      </c>
      <c r="M1397">
        <v>55887024</v>
      </c>
      <c r="N1397">
        <v>9754613601</v>
      </c>
      <c r="O1397" t="s">
        <v>2039</v>
      </c>
      <c r="Z1397">
        <v>88216</v>
      </c>
    </row>
    <row r="1398" spans="1:26" x14ac:dyDescent="0.25">
      <c r="A1398" t="s">
        <v>2040</v>
      </c>
      <c r="B1398" t="s">
        <v>26</v>
      </c>
      <c r="C1398" t="s">
        <v>27</v>
      </c>
      <c r="H1398" s="2">
        <v>45505.456944444442</v>
      </c>
      <c r="I1398" t="s">
        <v>153</v>
      </c>
      <c r="Z1398">
        <v>88189</v>
      </c>
    </row>
    <row r="1399" spans="1:26" x14ac:dyDescent="0.25">
      <c r="A1399" t="s">
        <v>1757</v>
      </c>
      <c r="B1399" t="s">
        <v>46</v>
      </c>
      <c r="C1399" t="s">
        <v>27</v>
      </c>
      <c r="E1399" t="s">
        <v>45</v>
      </c>
      <c r="G1399" t="s">
        <v>2041</v>
      </c>
      <c r="H1399" s="2">
        <v>45505.397222222222</v>
      </c>
      <c r="I1399" t="s">
        <v>29</v>
      </c>
      <c r="Z1399">
        <v>88181</v>
      </c>
    </row>
    <row r="1400" spans="1:26" x14ac:dyDescent="0.25">
      <c r="A1400" t="s">
        <v>2042</v>
      </c>
      <c r="B1400" t="s">
        <v>26</v>
      </c>
      <c r="C1400" t="s">
        <v>27</v>
      </c>
      <c r="H1400" s="2">
        <v>45504.802083333336</v>
      </c>
      <c r="I1400" t="s">
        <v>197</v>
      </c>
      <c r="Z1400">
        <v>88175</v>
      </c>
    </row>
    <row r="1401" spans="1:26" x14ac:dyDescent="0.25">
      <c r="A1401" t="s">
        <v>2043</v>
      </c>
      <c r="B1401" t="s">
        <v>26</v>
      </c>
      <c r="C1401" t="s">
        <v>27</v>
      </c>
      <c r="H1401" s="2">
        <v>45504.742361111108</v>
      </c>
      <c r="I1401" t="s">
        <v>29</v>
      </c>
      <c r="Z1401">
        <v>88163</v>
      </c>
    </row>
    <row r="1402" spans="1:26" x14ac:dyDescent="0.25">
      <c r="A1402" t="s">
        <v>2044</v>
      </c>
      <c r="B1402" t="s">
        <v>26</v>
      </c>
      <c r="C1402" t="s">
        <v>27</v>
      </c>
      <c r="H1402" s="2">
        <v>45504.729861111111</v>
      </c>
      <c r="I1402" t="s">
        <v>29</v>
      </c>
      <c r="Z1402">
        <v>88161</v>
      </c>
    </row>
    <row r="1403" spans="1:26" x14ac:dyDescent="0.25">
      <c r="A1403" t="s">
        <v>2045</v>
      </c>
      <c r="B1403" t="s">
        <v>26</v>
      </c>
      <c r="C1403" t="s">
        <v>47</v>
      </c>
      <c r="H1403" s="2">
        <v>45504.689583333333</v>
      </c>
      <c r="I1403" t="s">
        <v>197</v>
      </c>
      <c r="Z1403">
        <v>88154</v>
      </c>
    </row>
    <row r="1404" spans="1:26" x14ac:dyDescent="0.25">
      <c r="A1404" t="s">
        <v>92</v>
      </c>
      <c r="B1404" t="s">
        <v>26</v>
      </c>
      <c r="C1404" t="s">
        <v>27</v>
      </c>
      <c r="H1404" s="2">
        <v>45504.486805555556</v>
      </c>
      <c r="I1404" t="s">
        <v>29</v>
      </c>
      <c r="Z1404">
        <v>88125</v>
      </c>
    </row>
    <row r="1405" spans="1:26" x14ac:dyDescent="0.25">
      <c r="A1405" t="s">
        <v>2046</v>
      </c>
      <c r="B1405" t="s">
        <v>26</v>
      </c>
      <c r="C1405" t="s">
        <v>27</v>
      </c>
      <c r="H1405" s="2">
        <v>45504.425000000003</v>
      </c>
      <c r="I1405" t="s">
        <v>197</v>
      </c>
      <c r="Z1405">
        <v>88119</v>
      </c>
    </row>
    <row r="1406" spans="1:26" x14ac:dyDescent="0.25">
      <c r="A1406" t="s">
        <v>2047</v>
      </c>
      <c r="B1406" t="s">
        <v>26</v>
      </c>
      <c r="C1406" t="s">
        <v>27</v>
      </c>
      <c r="H1406" s="2">
        <v>45503.704861111109</v>
      </c>
      <c r="I1406" t="s">
        <v>40</v>
      </c>
      <c r="Z1406">
        <v>88099</v>
      </c>
    </row>
    <row r="1407" spans="1:26" x14ac:dyDescent="0.25">
      <c r="A1407" t="s">
        <v>2048</v>
      </c>
      <c r="B1407" t="s">
        <v>26</v>
      </c>
      <c r="C1407" t="s">
        <v>27</v>
      </c>
      <c r="H1407" s="2">
        <v>45503.545138888891</v>
      </c>
      <c r="I1407" t="s">
        <v>29</v>
      </c>
      <c r="Z1407">
        <v>88071</v>
      </c>
    </row>
    <row r="1408" spans="1:26" x14ac:dyDescent="0.25">
      <c r="A1408" t="s">
        <v>92</v>
      </c>
      <c r="B1408" t="s">
        <v>26</v>
      </c>
      <c r="C1408" t="s">
        <v>27</v>
      </c>
      <c r="H1408" s="2">
        <v>45503.532638888886</v>
      </c>
      <c r="I1408" t="s">
        <v>29</v>
      </c>
      <c r="Z1408">
        <v>88069</v>
      </c>
    </row>
    <row r="1409" spans="1:26" x14ac:dyDescent="0.25">
      <c r="A1409" t="s">
        <v>2049</v>
      </c>
      <c r="B1409" t="s">
        <v>26</v>
      </c>
      <c r="C1409" t="s">
        <v>27</v>
      </c>
      <c r="H1409" s="2">
        <v>45503.525694444441</v>
      </c>
      <c r="I1409" t="s">
        <v>29</v>
      </c>
      <c r="Z1409">
        <v>88068</v>
      </c>
    </row>
    <row r="1410" spans="1:26" x14ac:dyDescent="0.25">
      <c r="A1410" t="s">
        <v>2050</v>
      </c>
      <c r="B1410" t="s">
        <v>26</v>
      </c>
      <c r="C1410" t="s">
        <v>27</v>
      </c>
      <c r="H1410" s="2">
        <v>45503.411805555559</v>
      </c>
      <c r="I1410" t="s">
        <v>197</v>
      </c>
      <c r="Z1410">
        <v>88051</v>
      </c>
    </row>
    <row r="1411" spans="1:26" x14ac:dyDescent="0.25">
      <c r="A1411" t="s">
        <v>2051</v>
      </c>
      <c r="B1411" t="s">
        <v>150</v>
      </c>
      <c r="C1411" t="s">
        <v>27</v>
      </c>
      <c r="E1411" t="s">
        <v>292</v>
      </c>
      <c r="G1411" t="s">
        <v>2052</v>
      </c>
      <c r="H1411" s="2">
        <v>45502.840277777781</v>
      </c>
      <c r="I1411" t="s">
        <v>29</v>
      </c>
      <c r="Z1411">
        <v>88041</v>
      </c>
    </row>
    <row r="1412" spans="1:26" x14ac:dyDescent="0.25">
      <c r="A1412" t="s">
        <v>92</v>
      </c>
      <c r="B1412" t="s">
        <v>26</v>
      </c>
      <c r="C1412" t="s">
        <v>27</v>
      </c>
      <c r="H1412" s="2">
        <v>45502.609722222223</v>
      </c>
      <c r="I1412" t="s">
        <v>29</v>
      </c>
      <c r="Z1412">
        <v>88016</v>
      </c>
    </row>
    <row r="1413" spans="1:26" x14ac:dyDescent="0.25">
      <c r="A1413" t="s">
        <v>869</v>
      </c>
      <c r="B1413" t="s">
        <v>164</v>
      </c>
      <c r="C1413" t="s">
        <v>27</v>
      </c>
      <c r="E1413" t="s">
        <v>1957</v>
      </c>
      <c r="H1413" s="2">
        <v>45502.591666666667</v>
      </c>
      <c r="I1413" t="s">
        <v>29</v>
      </c>
      <c r="Z1413">
        <v>88014</v>
      </c>
    </row>
    <row r="1414" spans="1:26" x14ac:dyDescent="0.25">
      <c r="A1414" t="s">
        <v>2053</v>
      </c>
      <c r="B1414" t="s">
        <v>26</v>
      </c>
      <c r="C1414" t="s">
        <v>27</v>
      </c>
      <c r="H1414" s="2">
        <v>45502.579861111109</v>
      </c>
      <c r="I1414" t="s">
        <v>29</v>
      </c>
      <c r="Z1414">
        <v>88009</v>
      </c>
    </row>
    <row r="1415" spans="1:26" x14ac:dyDescent="0.25">
      <c r="A1415" t="s">
        <v>243</v>
      </c>
      <c r="B1415" t="s">
        <v>26</v>
      </c>
      <c r="C1415" t="s">
        <v>27</v>
      </c>
      <c r="H1415" s="2">
        <v>45502.518750000003</v>
      </c>
      <c r="I1415" t="s">
        <v>153</v>
      </c>
      <c r="Z1415">
        <v>88003</v>
      </c>
    </row>
    <row r="1416" spans="1:26" x14ac:dyDescent="0.25">
      <c r="A1416" t="s">
        <v>1182</v>
      </c>
      <c r="B1416" t="s">
        <v>150</v>
      </c>
      <c r="C1416" t="s">
        <v>27</v>
      </c>
      <c r="E1416" t="s">
        <v>292</v>
      </c>
      <c r="G1416" t="s">
        <v>2052</v>
      </c>
      <c r="H1416" s="2">
        <v>45501.96597222222</v>
      </c>
      <c r="I1416" t="s">
        <v>29</v>
      </c>
      <c r="Z1416">
        <v>87972</v>
      </c>
    </row>
    <row r="1417" spans="1:26" x14ac:dyDescent="0.25">
      <c r="A1417" t="s">
        <v>2054</v>
      </c>
      <c r="B1417" t="s">
        <v>185</v>
      </c>
      <c r="C1417" t="s">
        <v>27</v>
      </c>
      <c r="E1417" t="s">
        <v>105</v>
      </c>
      <c r="H1417" s="2">
        <v>45500.69027777778</v>
      </c>
      <c r="I1417" t="s">
        <v>29</v>
      </c>
      <c r="Z1417">
        <v>87948</v>
      </c>
    </row>
    <row r="1418" spans="1:26" x14ac:dyDescent="0.25">
      <c r="A1418" t="s">
        <v>2055</v>
      </c>
      <c r="C1418" t="s">
        <v>27</v>
      </c>
      <c r="E1418" t="s">
        <v>72</v>
      </c>
      <c r="H1418" s="2">
        <v>45500.574305555558</v>
      </c>
      <c r="I1418" t="s">
        <v>197</v>
      </c>
      <c r="Z1418">
        <v>87943</v>
      </c>
    </row>
    <row r="1419" spans="1:26" x14ac:dyDescent="0.25">
      <c r="A1419" t="s">
        <v>2056</v>
      </c>
      <c r="B1419" t="s">
        <v>164</v>
      </c>
      <c r="C1419" t="s">
        <v>27</v>
      </c>
      <c r="E1419" t="s">
        <v>2057</v>
      </c>
      <c r="G1419" t="s">
        <v>2058</v>
      </c>
      <c r="H1419" s="2">
        <v>45500.53402777778</v>
      </c>
      <c r="I1419" t="s">
        <v>29</v>
      </c>
      <c r="Z1419">
        <v>87938</v>
      </c>
    </row>
    <row r="1420" spans="1:26" x14ac:dyDescent="0.25">
      <c r="A1420" t="s">
        <v>2059</v>
      </c>
      <c r="B1420" t="s">
        <v>26</v>
      </c>
      <c r="C1420" t="s">
        <v>27</v>
      </c>
      <c r="H1420" s="2">
        <v>45499.760416666664</v>
      </c>
      <c r="I1420" t="s">
        <v>197</v>
      </c>
      <c r="Z1420">
        <v>87916</v>
      </c>
    </row>
    <row r="1421" spans="1:26" x14ac:dyDescent="0.25">
      <c r="A1421" t="s">
        <v>2060</v>
      </c>
      <c r="B1421" t="s">
        <v>185</v>
      </c>
      <c r="C1421" t="s">
        <v>27</v>
      </c>
      <c r="H1421" s="2">
        <v>45498.782638888886</v>
      </c>
      <c r="I1421" t="s">
        <v>197</v>
      </c>
      <c r="Z1421">
        <v>87876</v>
      </c>
    </row>
    <row r="1422" spans="1:26" x14ac:dyDescent="0.25">
      <c r="A1422" t="s">
        <v>2061</v>
      </c>
      <c r="B1422" t="s">
        <v>26</v>
      </c>
      <c r="C1422" t="s">
        <v>27</v>
      </c>
      <c r="H1422" s="2">
        <v>45498.734722222223</v>
      </c>
      <c r="I1422" t="s">
        <v>153</v>
      </c>
      <c r="Z1422">
        <v>87873</v>
      </c>
    </row>
    <row r="1423" spans="1:26" x14ac:dyDescent="0.25">
      <c r="A1423" t="s">
        <v>2062</v>
      </c>
      <c r="B1423" t="s">
        <v>26</v>
      </c>
      <c r="C1423" t="s">
        <v>27</v>
      </c>
      <c r="H1423" s="2">
        <v>45498.70416666667</v>
      </c>
      <c r="I1423" t="s">
        <v>40</v>
      </c>
      <c r="Z1423">
        <v>87872</v>
      </c>
    </row>
    <row r="1424" spans="1:26" x14ac:dyDescent="0.25">
      <c r="A1424" t="s">
        <v>2063</v>
      </c>
      <c r="C1424" t="s">
        <v>27</v>
      </c>
      <c r="E1424" t="s">
        <v>88</v>
      </c>
      <c r="H1424" s="2">
        <v>45498.684027777781</v>
      </c>
      <c r="I1424" t="s">
        <v>197</v>
      </c>
      <c r="Z1424">
        <v>87870</v>
      </c>
    </row>
    <row r="1425" spans="1:26" x14ac:dyDescent="0.25">
      <c r="A1425" t="s">
        <v>2064</v>
      </c>
      <c r="B1425" t="s">
        <v>26</v>
      </c>
      <c r="C1425" t="s">
        <v>27</v>
      </c>
      <c r="H1425" s="2">
        <v>45498.536805555559</v>
      </c>
      <c r="I1425" t="s">
        <v>40</v>
      </c>
      <c r="Z1425">
        <v>87859</v>
      </c>
    </row>
    <row r="1426" spans="1:26" x14ac:dyDescent="0.25">
      <c r="A1426" t="s">
        <v>320</v>
      </c>
      <c r="B1426" t="s">
        <v>150</v>
      </c>
      <c r="C1426" t="s">
        <v>27</v>
      </c>
      <c r="E1426" t="s">
        <v>66</v>
      </c>
      <c r="H1426" s="2">
        <v>45497.767361111109</v>
      </c>
      <c r="I1426" t="s">
        <v>29</v>
      </c>
      <c r="K1426" t="s">
        <v>30</v>
      </c>
      <c r="L1426" t="s">
        <v>31</v>
      </c>
      <c r="M1426">
        <v>55887050</v>
      </c>
      <c r="N1426">
        <v>9754616146</v>
      </c>
      <c r="O1426" t="s">
        <v>682</v>
      </c>
      <c r="Z1426">
        <v>87830</v>
      </c>
    </row>
    <row r="1427" spans="1:26" x14ac:dyDescent="0.25">
      <c r="A1427" t="s">
        <v>2065</v>
      </c>
      <c r="B1427" t="s">
        <v>26</v>
      </c>
      <c r="C1427" t="s">
        <v>27</v>
      </c>
      <c r="H1427" s="2">
        <v>45496.788194444445</v>
      </c>
      <c r="I1427" t="s">
        <v>197</v>
      </c>
      <c r="Z1427">
        <v>87767</v>
      </c>
    </row>
    <row r="1428" spans="1:26" x14ac:dyDescent="0.25">
      <c r="A1428" t="s">
        <v>2066</v>
      </c>
      <c r="B1428" t="s">
        <v>26</v>
      </c>
      <c r="C1428" t="s">
        <v>27</v>
      </c>
      <c r="H1428" s="2">
        <v>45496.729166666664</v>
      </c>
      <c r="I1428" t="s">
        <v>29</v>
      </c>
      <c r="Z1428">
        <v>87761</v>
      </c>
    </row>
    <row r="1429" spans="1:26" x14ac:dyDescent="0.25">
      <c r="A1429" t="s">
        <v>2067</v>
      </c>
      <c r="B1429" t="s">
        <v>26</v>
      </c>
      <c r="C1429" t="s">
        <v>27</v>
      </c>
      <c r="E1429" t="s">
        <v>140</v>
      </c>
      <c r="H1429" s="2">
        <v>45496.690972222219</v>
      </c>
      <c r="I1429" t="s">
        <v>29</v>
      </c>
      <c r="Z1429">
        <v>87756</v>
      </c>
    </row>
    <row r="1430" spans="1:26" x14ac:dyDescent="0.25">
      <c r="A1430" t="s">
        <v>2068</v>
      </c>
      <c r="B1430" t="s">
        <v>26</v>
      </c>
      <c r="C1430" t="s">
        <v>27</v>
      </c>
      <c r="H1430" s="2">
        <v>45496.50277777778</v>
      </c>
      <c r="I1430" t="s">
        <v>40</v>
      </c>
      <c r="Z1430">
        <v>87727</v>
      </c>
    </row>
    <row r="1431" spans="1:26" x14ac:dyDescent="0.25">
      <c r="A1431" t="s">
        <v>2069</v>
      </c>
      <c r="B1431" t="s">
        <v>26</v>
      </c>
      <c r="C1431" t="s">
        <v>27</v>
      </c>
      <c r="H1431" s="2">
        <v>45495.493750000001</v>
      </c>
      <c r="I1431" t="s">
        <v>29</v>
      </c>
      <c r="Z1431">
        <v>87665</v>
      </c>
    </row>
    <row r="1432" spans="1:26" x14ac:dyDescent="0.25">
      <c r="A1432" t="s">
        <v>2070</v>
      </c>
      <c r="B1432" t="s">
        <v>26</v>
      </c>
      <c r="C1432" t="s">
        <v>27</v>
      </c>
      <c r="H1432" s="2">
        <v>45495.395138888889</v>
      </c>
      <c r="I1432" t="s">
        <v>194</v>
      </c>
      <c r="Z1432">
        <v>87649</v>
      </c>
    </row>
    <row r="1433" spans="1:26" x14ac:dyDescent="0.25">
      <c r="A1433" t="s">
        <v>2071</v>
      </c>
      <c r="B1433" t="s">
        <v>26</v>
      </c>
      <c r="C1433" t="s">
        <v>27</v>
      </c>
      <c r="H1433" s="2">
        <v>45495.394444444442</v>
      </c>
      <c r="I1433" t="s">
        <v>29</v>
      </c>
      <c r="Z1433">
        <v>87648</v>
      </c>
    </row>
    <row r="1434" spans="1:26" x14ac:dyDescent="0.25">
      <c r="A1434" t="s">
        <v>2072</v>
      </c>
      <c r="B1434" t="s">
        <v>26</v>
      </c>
      <c r="C1434" t="s">
        <v>206</v>
      </c>
      <c r="H1434" s="2">
        <v>45494.570138888892</v>
      </c>
      <c r="I1434" t="s">
        <v>197</v>
      </c>
      <c r="Z1434">
        <v>87641</v>
      </c>
    </row>
    <row r="1435" spans="1:26" x14ac:dyDescent="0.25">
      <c r="A1435" t="s">
        <v>2073</v>
      </c>
      <c r="B1435" t="s">
        <v>164</v>
      </c>
      <c r="C1435" t="s">
        <v>27</v>
      </c>
      <c r="E1435" t="s">
        <v>70</v>
      </c>
      <c r="H1435" s="2">
        <v>45494.454861111109</v>
      </c>
      <c r="I1435" t="s">
        <v>29</v>
      </c>
      <c r="Z1435">
        <v>87638</v>
      </c>
    </row>
    <row r="1436" spans="1:26" x14ac:dyDescent="0.25">
      <c r="A1436" t="s">
        <v>2074</v>
      </c>
      <c r="B1436" t="s">
        <v>26</v>
      </c>
      <c r="C1436" t="s">
        <v>47</v>
      </c>
      <c r="E1436" t="s">
        <v>85</v>
      </c>
      <c r="G1436" t="s">
        <v>2075</v>
      </c>
      <c r="H1436" s="2">
        <v>45493.47152777778</v>
      </c>
      <c r="I1436" t="s">
        <v>197</v>
      </c>
      <c r="Z1436">
        <v>87625</v>
      </c>
    </row>
    <row r="1437" spans="1:26" x14ac:dyDescent="0.25">
      <c r="A1437" t="s">
        <v>2076</v>
      </c>
      <c r="B1437" t="s">
        <v>26</v>
      </c>
      <c r="C1437" t="s">
        <v>27</v>
      </c>
      <c r="H1437" s="2">
        <v>45493.46875</v>
      </c>
      <c r="I1437" t="s">
        <v>29</v>
      </c>
      <c r="Z1437">
        <v>87624</v>
      </c>
    </row>
    <row r="1438" spans="1:26" x14ac:dyDescent="0.25">
      <c r="A1438" t="s">
        <v>2077</v>
      </c>
      <c r="B1438" t="s">
        <v>164</v>
      </c>
      <c r="C1438" t="s">
        <v>27</v>
      </c>
      <c r="E1438" t="s">
        <v>2078</v>
      </c>
      <c r="H1438" s="2">
        <v>45492.906944444447</v>
      </c>
      <c r="I1438" t="s">
        <v>29</v>
      </c>
      <c r="Z1438">
        <v>87616</v>
      </c>
    </row>
    <row r="1439" spans="1:26" x14ac:dyDescent="0.25">
      <c r="A1439" t="s">
        <v>2079</v>
      </c>
      <c r="B1439" t="s">
        <v>77</v>
      </c>
      <c r="C1439" t="s">
        <v>27</v>
      </c>
      <c r="E1439" t="s">
        <v>214</v>
      </c>
      <c r="H1439" s="2">
        <v>45491.86041666667</v>
      </c>
      <c r="I1439" t="s">
        <v>29</v>
      </c>
      <c r="K1439" t="s">
        <v>30</v>
      </c>
      <c r="L1439" t="s">
        <v>31</v>
      </c>
      <c r="M1439">
        <v>104108031</v>
      </c>
      <c r="N1439">
        <v>15607617915</v>
      </c>
      <c r="O1439" t="s">
        <v>682</v>
      </c>
      <c r="Z1439">
        <v>87560</v>
      </c>
    </row>
    <row r="1440" spans="1:26" x14ac:dyDescent="0.25">
      <c r="A1440" t="s">
        <v>1076</v>
      </c>
      <c r="B1440" t="s">
        <v>26</v>
      </c>
      <c r="C1440" t="s">
        <v>27</v>
      </c>
      <c r="H1440" s="2">
        <v>45491.748611111114</v>
      </c>
      <c r="I1440" t="s">
        <v>29</v>
      </c>
      <c r="Z1440">
        <v>87552</v>
      </c>
    </row>
    <row r="1441" spans="1:26" x14ac:dyDescent="0.25">
      <c r="A1441" t="s">
        <v>2080</v>
      </c>
      <c r="B1441" t="s">
        <v>150</v>
      </c>
      <c r="C1441" t="s">
        <v>27</v>
      </c>
      <c r="E1441" t="s">
        <v>45</v>
      </c>
      <c r="G1441" t="s">
        <v>2081</v>
      </c>
      <c r="H1441" s="2">
        <v>45491.722916666666</v>
      </c>
      <c r="I1441" t="s">
        <v>197</v>
      </c>
      <c r="K1441" t="s">
        <v>30</v>
      </c>
      <c r="L1441" t="s">
        <v>31</v>
      </c>
      <c r="M1441">
        <v>67849537</v>
      </c>
      <c r="N1441">
        <v>11953243869</v>
      </c>
      <c r="O1441" t="s">
        <v>2082</v>
      </c>
      <c r="Z1441">
        <v>87550</v>
      </c>
    </row>
    <row r="1442" spans="1:26" x14ac:dyDescent="0.25">
      <c r="A1442" t="s">
        <v>2083</v>
      </c>
      <c r="B1442" t="s">
        <v>150</v>
      </c>
      <c r="C1442" t="s">
        <v>27</v>
      </c>
      <c r="E1442" t="s">
        <v>166</v>
      </c>
      <c r="H1442" s="2">
        <v>45491.512499999997</v>
      </c>
      <c r="I1442" t="s">
        <v>153</v>
      </c>
      <c r="Z1442">
        <v>87527</v>
      </c>
    </row>
    <row r="1443" spans="1:26" x14ac:dyDescent="0.25">
      <c r="A1443" t="s">
        <v>2084</v>
      </c>
      <c r="B1443" t="s">
        <v>26</v>
      </c>
      <c r="C1443" t="s">
        <v>27</v>
      </c>
      <c r="H1443" s="2">
        <v>45491.499305555553</v>
      </c>
      <c r="I1443" t="s">
        <v>153</v>
      </c>
      <c r="Z1443">
        <v>87524</v>
      </c>
    </row>
    <row r="1444" spans="1:26" x14ac:dyDescent="0.25">
      <c r="A1444" t="s">
        <v>2085</v>
      </c>
      <c r="B1444" t="s">
        <v>26</v>
      </c>
      <c r="C1444" t="s">
        <v>27</v>
      </c>
      <c r="H1444" s="2">
        <v>45490.70416666667</v>
      </c>
      <c r="I1444" t="s">
        <v>197</v>
      </c>
      <c r="Z1444">
        <v>87496</v>
      </c>
    </row>
    <row r="1445" spans="1:26" x14ac:dyDescent="0.25">
      <c r="A1445" t="s">
        <v>2086</v>
      </c>
      <c r="B1445" t="s">
        <v>26</v>
      </c>
      <c r="C1445" t="s">
        <v>27</v>
      </c>
      <c r="H1445" s="2">
        <v>45490.5625</v>
      </c>
      <c r="I1445" t="s">
        <v>197</v>
      </c>
      <c r="Z1445">
        <v>87462</v>
      </c>
    </row>
    <row r="1446" spans="1:26" x14ac:dyDescent="0.25">
      <c r="A1446" t="s">
        <v>2087</v>
      </c>
      <c r="C1446" t="s">
        <v>27</v>
      </c>
      <c r="E1446" t="s">
        <v>2088</v>
      </c>
      <c r="H1446" s="2">
        <v>45489.745138888888</v>
      </c>
      <c r="I1446" t="s">
        <v>197</v>
      </c>
      <c r="Z1446">
        <v>87427</v>
      </c>
    </row>
    <row r="1447" spans="1:26" x14ac:dyDescent="0.25">
      <c r="A1447" t="s">
        <v>2089</v>
      </c>
      <c r="B1447" t="s">
        <v>26</v>
      </c>
      <c r="C1447" t="s">
        <v>27</v>
      </c>
      <c r="H1447" s="2">
        <v>45489.734027777777</v>
      </c>
      <c r="I1447" t="s">
        <v>29</v>
      </c>
      <c r="Z1447">
        <v>87424</v>
      </c>
    </row>
    <row r="1448" spans="1:26" x14ac:dyDescent="0.25">
      <c r="A1448" t="s">
        <v>2090</v>
      </c>
      <c r="B1448" t="s">
        <v>150</v>
      </c>
      <c r="C1448" t="s">
        <v>64</v>
      </c>
      <c r="E1448" t="s">
        <v>2091</v>
      </c>
      <c r="G1448" t="s">
        <v>2092</v>
      </c>
      <c r="H1448" s="2">
        <v>45489.716666666667</v>
      </c>
      <c r="I1448" t="s">
        <v>197</v>
      </c>
      <c r="Z1448">
        <v>87422</v>
      </c>
    </row>
    <row r="1449" spans="1:26" x14ac:dyDescent="0.25">
      <c r="A1449" t="s">
        <v>2093</v>
      </c>
      <c r="B1449" t="s">
        <v>26</v>
      </c>
      <c r="C1449" t="s">
        <v>27</v>
      </c>
      <c r="H1449" s="2">
        <v>45489.715277777781</v>
      </c>
      <c r="I1449" t="s">
        <v>40</v>
      </c>
      <c r="Z1449">
        <v>87421</v>
      </c>
    </row>
    <row r="1450" spans="1:26" x14ac:dyDescent="0.25">
      <c r="A1450" t="s">
        <v>2094</v>
      </c>
      <c r="B1450" t="s">
        <v>26</v>
      </c>
      <c r="C1450" t="s">
        <v>27</v>
      </c>
      <c r="H1450" s="2">
        <v>45489.710416666669</v>
      </c>
      <c r="I1450" t="s">
        <v>153</v>
      </c>
      <c r="Z1450">
        <v>87420</v>
      </c>
    </row>
    <row r="1451" spans="1:26" x14ac:dyDescent="0.25">
      <c r="A1451" t="s">
        <v>2095</v>
      </c>
      <c r="B1451" t="s">
        <v>26</v>
      </c>
      <c r="C1451" t="s">
        <v>27</v>
      </c>
      <c r="H1451" s="2">
        <v>45489.553472222222</v>
      </c>
      <c r="I1451" t="s">
        <v>194</v>
      </c>
      <c r="Z1451">
        <v>87406</v>
      </c>
    </row>
    <row r="1452" spans="1:26" x14ac:dyDescent="0.25">
      <c r="A1452" t="s">
        <v>92</v>
      </c>
      <c r="C1452" t="s">
        <v>27</v>
      </c>
      <c r="E1452" t="s">
        <v>2096</v>
      </c>
      <c r="H1452" s="2">
        <v>45489.472222222219</v>
      </c>
      <c r="I1452" t="s">
        <v>29</v>
      </c>
      <c r="Z1452">
        <v>87386</v>
      </c>
    </row>
    <row r="1453" spans="1:26" x14ac:dyDescent="0.25">
      <c r="A1453" t="s">
        <v>2097</v>
      </c>
      <c r="B1453" t="s">
        <v>150</v>
      </c>
      <c r="C1453" t="s">
        <v>27</v>
      </c>
      <c r="E1453" t="s">
        <v>2091</v>
      </c>
      <c r="G1453" t="s">
        <v>2092</v>
      </c>
      <c r="H1453" s="2">
        <v>45488.938888888886</v>
      </c>
      <c r="I1453" t="s">
        <v>197</v>
      </c>
      <c r="Z1453">
        <v>87370</v>
      </c>
    </row>
    <row r="1454" spans="1:26" x14ac:dyDescent="0.25">
      <c r="A1454" t="s">
        <v>2098</v>
      </c>
      <c r="B1454" t="s">
        <v>164</v>
      </c>
      <c r="C1454" t="s">
        <v>27</v>
      </c>
      <c r="E1454" t="s">
        <v>151</v>
      </c>
      <c r="G1454" t="s">
        <v>2099</v>
      </c>
      <c r="H1454" s="2">
        <v>45488.429166666669</v>
      </c>
      <c r="I1454" t="s">
        <v>29</v>
      </c>
      <c r="K1454" t="s">
        <v>30</v>
      </c>
      <c r="L1454" t="s">
        <v>31</v>
      </c>
      <c r="M1454">
        <v>67130164</v>
      </c>
      <c r="N1454">
        <v>12403825930</v>
      </c>
      <c r="O1454" t="s">
        <v>682</v>
      </c>
      <c r="Z1454">
        <v>87307</v>
      </c>
    </row>
    <row r="1455" spans="1:26" x14ac:dyDescent="0.25">
      <c r="A1455" t="s">
        <v>2100</v>
      </c>
      <c r="C1455" t="s">
        <v>27</v>
      </c>
      <c r="E1455" t="s">
        <v>137</v>
      </c>
      <c r="H1455" s="2">
        <v>45486.482638888891</v>
      </c>
      <c r="I1455" t="s">
        <v>197</v>
      </c>
      <c r="Z1455">
        <v>87258</v>
      </c>
    </row>
    <row r="1456" spans="1:26" x14ac:dyDescent="0.25">
      <c r="A1456" t="s">
        <v>2101</v>
      </c>
      <c r="B1456" t="s">
        <v>150</v>
      </c>
      <c r="C1456" t="s">
        <v>27</v>
      </c>
      <c r="E1456" t="s">
        <v>66</v>
      </c>
      <c r="G1456" t="s">
        <v>2102</v>
      </c>
      <c r="H1456" s="2">
        <v>45485.93472222222</v>
      </c>
      <c r="I1456" t="s">
        <v>29</v>
      </c>
      <c r="Z1456">
        <v>87255</v>
      </c>
    </row>
    <row r="1457" spans="1:26" x14ac:dyDescent="0.25">
      <c r="A1457" t="s">
        <v>92</v>
      </c>
      <c r="B1457" t="s">
        <v>26</v>
      </c>
      <c r="C1457" t="s">
        <v>27</v>
      </c>
      <c r="E1457" t="s">
        <v>103</v>
      </c>
      <c r="H1457" s="2">
        <v>45485.67291666667</v>
      </c>
      <c r="I1457" t="s">
        <v>29</v>
      </c>
      <c r="Z1457">
        <v>87243</v>
      </c>
    </row>
    <row r="1458" spans="1:26" x14ac:dyDescent="0.25">
      <c r="A1458" t="s">
        <v>2103</v>
      </c>
      <c r="B1458" t="s">
        <v>26</v>
      </c>
      <c r="C1458" t="s">
        <v>27</v>
      </c>
      <c r="H1458" s="2">
        <v>45485.441666666666</v>
      </c>
      <c r="I1458" t="s">
        <v>29</v>
      </c>
      <c r="Z1458">
        <v>87214</v>
      </c>
    </row>
    <row r="1459" spans="1:26" x14ac:dyDescent="0.25">
      <c r="A1459" t="s">
        <v>2104</v>
      </c>
      <c r="B1459" t="s">
        <v>26</v>
      </c>
      <c r="C1459" t="s">
        <v>27</v>
      </c>
      <c r="H1459" s="2">
        <v>45485.243055555555</v>
      </c>
      <c r="I1459" t="s">
        <v>153</v>
      </c>
      <c r="Z1459">
        <v>87204</v>
      </c>
    </row>
    <row r="1460" spans="1:26" x14ac:dyDescent="0.25">
      <c r="A1460" t="s">
        <v>2105</v>
      </c>
      <c r="B1460" t="s">
        <v>46</v>
      </c>
      <c r="C1460" t="s">
        <v>27</v>
      </c>
      <c r="E1460" t="s">
        <v>2106</v>
      </c>
      <c r="G1460" t="s">
        <v>2107</v>
      </c>
      <c r="H1460" s="2">
        <v>45484.645833333336</v>
      </c>
      <c r="I1460" t="s">
        <v>29</v>
      </c>
      <c r="Z1460">
        <v>87187</v>
      </c>
    </row>
    <row r="1461" spans="1:26" x14ac:dyDescent="0.25">
      <c r="A1461" t="s">
        <v>2108</v>
      </c>
      <c r="B1461" t="s">
        <v>46</v>
      </c>
      <c r="C1461" t="s">
        <v>27</v>
      </c>
      <c r="E1461" t="s">
        <v>2106</v>
      </c>
      <c r="G1461" t="s">
        <v>2107</v>
      </c>
      <c r="H1461" s="2">
        <v>45484.632638888892</v>
      </c>
      <c r="I1461" t="s">
        <v>29</v>
      </c>
      <c r="K1461" t="s">
        <v>30</v>
      </c>
      <c r="L1461" t="s">
        <v>31</v>
      </c>
      <c r="M1461">
        <v>55887024</v>
      </c>
      <c r="N1461">
        <v>9754613601</v>
      </c>
      <c r="O1461" t="s">
        <v>2039</v>
      </c>
      <c r="Z1461">
        <v>87184</v>
      </c>
    </row>
    <row r="1462" spans="1:26" x14ac:dyDescent="0.25">
      <c r="A1462" t="s">
        <v>2109</v>
      </c>
      <c r="B1462" t="s">
        <v>26</v>
      </c>
      <c r="C1462" t="s">
        <v>27</v>
      </c>
      <c r="H1462" s="2">
        <v>45484.564583333333</v>
      </c>
      <c r="I1462" t="s">
        <v>197</v>
      </c>
      <c r="Z1462">
        <v>87177</v>
      </c>
    </row>
    <row r="1463" spans="1:26" x14ac:dyDescent="0.25">
      <c r="A1463" t="s">
        <v>2110</v>
      </c>
      <c r="C1463" t="s">
        <v>27</v>
      </c>
      <c r="E1463" t="s">
        <v>45</v>
      </c>
      <c r="H1463" s="2">
        <v>45484.083333333336</v>
      </c>
      <c r="I1463" t="s">
        <v>197</v>
      </c>
      <c r="Z1463">
        <v>87152</v>
      </c>
    </row>
    <row r="1464" spans="1:26" x14ac:dyDescent="0.25">
      <c r="A1464" t="s">
        <v>2111</v>
      </c>
      <c r="B1464" t="s">
        <v>150</v>
      </c>
      <c r="C1464" t="s">
        <v>27</v>
      </c>
      <c r="E1464" t="s">
        <v>2112</v>
      </c>
      <c r="H1464" s="2">
        <v>45483.804166666669</v>
      </c>
      <c r="I1464" t="s">
        <v>29</v>
      </c>
      <c r="Z1464">
        <v>87149</v>
      </c>
    </row>
    <row r="1465" spans="1:26" x14ac:dyDescent="0.25">
      <c r="A1465" t="s">
        <v>2113</v>
      </c>
      <c r="B1465" t="s">
        <v>164</v>
      </c>
      <c r="C1465" t="s">
        <v>27</v>
      </c>
      <c r="E1465" t="s">
        <v>96</v>
      </c>
      <c r="H1465" s="2">
        <v>45483.681250000001</v>
      </c>
      <c r="I1465" t="s">
        <v>29</v>
      </c>
      <c r="Z1465">
        <v>87132</v>
      </c>
    </row>
    <row r="1466" spans="1:26" x14ac:dyDescent="0.25">
      <c r="A1466" t="s">
        <v>102</v>
      </c>
      <c r="B1466" t="s">
        <v>77</v>
      </c>
      <c r="C1466" t="s">
        <v>27</v>
      </c>
      <c r="E1466" t="s">
        <v>65</v>
      </c>
      <c r="H1466" s="2">
        <v>45483.613194444442</v>
      </c>
      <c r="I1466" t="s">
        <v>153</v>
      </c>
      <c r="Z1466">
        <v>87125</v>
      </c>
    </row>
    <row r="1467" spans="1:26" x14ac:dyDescent="0.25">
      <c r="A1467" t="s">
        <v>2114</v>
      </c>
      <c r="B1467" t="s">
        <v>26</v>
      </c>
      <c r="C1467" t="s">
        <v>27</v>
      </c>
      <c r="H1467" s="2">
        <v>45483.609027777777</v>
      </c>
      <c r="I1467" t="s">
        <v>29</v>
      </c>
      <c r="Z1467">
        <v>87123</v>
      </c>
    </row>
    <row r="1468" spans="1:26" x14ac:dyDescent="0.25">
      <c r="A1468" t="s">
        <v>2115</v>
      </c>
      <c r="B1468" t="s">
        <v>26</v>
      </c>
      <c r="C1468" t="s">
        <v>27</v>
      </c>
      <c r="H1468" s="2">
        <v>45482.740972222222</v>
      </c>
      <c r="I1468" t="s">
        <v>197</v>
      </c>
      <c r="Z1468">
        <v>87087</v>
      </c>
    </row>
    <row r="1469" spans="1:26" x14ac:dyDescent="0.25">
      <c r="A1469" t="s">
        <v>2116</v>
      </c>
      <c r="B1469" t="s">
        <v>26</v>
      </c>
      <c r="C1469" t="s">
        <v>27</v>
      </c>
      <c r="H1469" s="2">
        <v>45482.611111111109</v>
      </c>
      <c r="I1469" t="s">
        <v>197</v>
      </c>
      <c r="Z1469">
        <v>87065</v>
      </c>
    </row>
    <row r="1470" spans="1:26" x14ac:dyDescent="0.25">
      <c r="A1470" t="s">
        <v>2117</v>
      </c>
      <c r="B1470" t="s">
        <v>26</v>
      </c>
      <c r="C1470" t="s">
        <v>27</v>
      </c>
      <c r="H1470" s="2">
        <v>45482.531944444447</v>
      </c>
      <c r="I1470" t="s">
        <v>153</v>
      </c>
      <c r="Z1470">
        <v>87049</v>
      </c>
    </row>
    <row r="1471" spans="1:26" x14ac:dyDescent="0.25">
      <c r="A1471" t="s">
        <v>2118</v>
      </c>
      <c r="B1471" t="s">
        <v>26</v>
      </c>
      <c r="C1471" t="s">
        <v>27</v>
      </c>
      <c r="H1471" s="2">
        <v>45482.400000000001</v>
      </c>
      <c r="I1471" t="s">
        <v>153</v>
      </c>
      <c r="Z1471">
        <v>87020</v>
      </c>
    </row>
    <row r="1472" spans="1:26" x14ac:dyDescent="0.25">
      <c r="A1472" t="s">
        <v>2119</v>
      </c>
      <c r="B1472" t="s">
        <v>164</v>
      </c>
      <c r="C1472" t="s">
        <v>27</v>
      </c>
      <c r="E1472" t="s">
        <v>2120</v>
      </c>
      <c r="H1472" s="2">
        <v>45482.370833333334</v>
      </c>
      <c r="I1472" t="s">
        <v>29</v>
      </c>
      <c r="Z1472">
        <v>87015</v>
      </c>
    </row>
    <row r="1473" spans="1:26" x14ac:dyDescent="0.25">
      <c r="A1473" t="s">
        <v>2121</v>
      </c>
      <c r="C1473" t="s">
        <v>27</v>
      </c>
      <c r="E1473" t="s">
        <v>45</v>
      </c>
      <c r="H1473" s="2">
        <v>45482.357638888891</v>
      </c>
      <c r="I1473" t="s">
        <v>29</v>
      </c>
      <c r="Z1473">
        <v>87013</v>
      </c>
    </row>
    <row r="1474" spans="1:26" x14ac:dyDescent="0.25">
      <c r="A1474" t="s">
        <v>2122</v>
      </c>
      <c r="B1474" t="s">
        <v>26</v>
      </c>
      <c r="C1474" t="s">
        <v>27</v>
      </c>
      <c r="H1474" s="2">
        <v>45481.797222222223</v>
      </c>
      <c r="I1474" t="s">
        <v>40</v>
      </c>
      <c r="Z1474">
        <v>87000</v>
      </c>
    </row>
    <row r="1475" spans="1:26" x14ac:dyDescent="0.25">
      <c r="A1475" t="s">
        <v>2123</v>
      </c>
      <c r="B1475" t="s">
        <v>150</v>
      </c>
      <c r="C1475" t="s">
        <v>27</v>
      </c>
      <c r="E1475" t="s">
        <v>2112</v>
      </c>
      <c r="H1475" s="2">
        <v>45481.795138888891</v>
      </c>
      <c r="I1475" t="s">
        <v>29</v>
      </c>
      <c r="Z1475">
        <v>86999</v>
      </c>
    </row>
    <row r="1476" spans="1:26" x14ac:dyDescent="0.25">
      <c r="A1476" t="s">
        <v>2124</v>
      </c>
      <c r="B1476" t="s">
        <v>26</v>
      </c>
      <c r="C1476" t="s">
        <v>27</v>
      </c>
      <c r="H1476" s="2">
        <v>45481.761111111111</v>
      </c>
      <c r="I1476" t="s">
        <v>153</v>
      </c>
      <c r="Z1476">
        <v>86994</v>
      </c>
    </row>
    <row r="1477" spans="1:26" x14ac:dyDescent="0.25">
      <c r="A1477" t="s">
        <v>92</v>
      </c>
      <c r="B1477" t="s">
        <v>26</v>
      </c>
      <c r="C1477" t="s">
        <v>27</v>
      </c>
      <c r="H1477" s="2">
        <v>45481.689583333333</v>
      </c>
      <c r="I1477" t="s">
        <v>29</v>
      </c>
      <c r="Z1477">
        <v>86985</v>
      </c>
    </row>
    <row r="1478" spans="1:26" x14ac:dyDescent="0.25">
      <c r="A1478" t="s">
        <v>2125</v>
      </c>
      <c r="B1478" t="s">
        <v>26</v>
      </c>
      <c r="C1478" t="s">
        <v>27</v>
      </c>
      <c r="H1478" s="2">
        <v>45481.665277777778</v>
      </c>
      <c r="I1478" t="s">
        <v>29</v>
      </c>
      <c r="Z1478">
        <v>86983</v>
      </c>
    </row>
    <row r="1479" spans="1:26" x14ac:dyDescent="0.25">
      <c r="A1479" t="s">
        <v>2126</v>
      </c>
      <c r="B1479" t="s">
        <v>26</v>
      </c>
      <c r="C1479" t="s">
        <v>27</v>
      </c>
      <c r="H1479" s="2">
        <v>45481.625</v>
      </c>
      <c r="I1479" t="s">
        <v>197</v>
      </c>
      <c r="Z1479">
        <v>86977</v>
      </c>
    </row>
    <row r="1480" spans="1:26" x14ac:dyDescent="0.25">
      <c r="A1480" t="s">
        <v>2127</v>
      </c>
      <c r="B1480" t="s">
        <v>150</v>
      </c>
      <c r="C1480" t="s">
        <v>27</v>
      </c>
      <c r="E1480" t="s">
        <v>2128</v>
      </c>
      <c r="G1480" t="s">
        <v>2129</v>
      </c>
      <c r="H1480" s="2">
        <v>45481.493750000001</v>
      </c>
      <c r="I1480" t="s">
        <v>29</v>
      </c>
      <c r="Z1480">
        <v>86945</v>
      </c>
    </row>
    <row r="1481" spans="1:26" x14ac:dyDescent="0.25">
      <c r="A1481" t="s">
        <v>2130</v>
      </c>
      <c r="B1481" t="s">
        <v>26</v>
      </c>
      <c r="C1481" t="s">
        <v>27</v>
      </c>
      <c r="H1481" s="2">
        <v>45481.436805555553</v>
      </c>
      <c r="I1481" t="s">
        <v>197</v>
      </c>
      <c r="Z1481">
        <v>86933</v>
      </c>
    </row>
    <row r="1482" spans="1:26" x14ac:dyDescent="0.25">
      <c r="A1482" t="s">
        <v>652</v>
      </c>
      <c r="B1482" t="s">
        <v>150</v>
      </c>
      <c r="C1482" t="s">
        <v>47</v>
      </c>
      <c r="E1482" t="s">
        <v>53</v>
      </c>
      <c r="G1482" t="s">
        <v>2131</v>
      </c>
      <c r="H1482" s="2">
        <v>45481.319444444445</v>
      </c>
      <c r="I1482" t="s">
        <v>40</v>
      </c>
      <c r="Z1482">
        <v>86923</v>
      </c>
    </row>
    <row r="1483" spans="1:26" x14ac:dyDescent="0.25">
      <c r="A1483" t="s">
        <v>1256</v>
      </c>
      <c r="B1483" t="s">
        <v>26</v>
      </c>
      <c r="C1483" t="s">
        <v>27</v>
      </c>
      <c r="H1483" s="2">
        <v>45480.808333333334</v>
      </c>
      <c r="I1483" t="s">
        <v>236</v>
      </c>
      <c r="Z1483">
        <v>86916</v>
      </c>
    </row>
    <row r="1484" spans="1:26" x14ac:dyDescent="0.25">
      <c r="A1484" t="s">
        <v>2132</v>
      </c>
      <c r="B1484" t="s">
        <v>26</v>
      </c>
      <c r="C1484" t="s">
        <v>27</v>
      </c>
      <c r="H1484" s="2">
        <v>45480.710416666669</v>
      </c>
      <c r="I1484" t="s">
        <v>95</v>
      </c>
      <c r="Z1484">
        <v>86900</v>
      </c>
    </row>
    <row r="1485" spans="1:26" x14ac:dyDescent="0.25">
      <c r="A1485" t="s">
        <v>2133</v>
      </c>
      <c r="B1485" t="s">
        <v>26</v>
      </c>
      <c r="C1485" t="s">
        <v>27</v>
      </c>
      <c r="H1485" s="2">
        <v>45479.754166666666</v>
      </c>
      <c r="I1485" t="s">
        <v>227</v>
      </c>
      <c r="Z1485">
        <v>86853</v>
      </c>
    </row>
    <row r="1486" spans="1:26" x14ac:dyDescent="0.25">
      <c r="A1486" t="s">
        <v>2134</v>
      </c>
      <c r="B1486" t="s">
        <v>26</v>
      </c>
      <c r="C1486" t="s">
        <v>27</v>
      </c>
      <c r="H1486" s="2">
        <v>45479.668749999997</v>
      </c>
      <c r="I1486" t="s">
        <v>197</v>
      </c>
      <c r="Z1486">
        <v>86846</v>
      </c>
    </row>
    <row r="1487" spans="1:26" x14ac:dyDescent="0.25">
      <c r="A1487" t="s">
        <v>2135</v>
      </c>
      <c r="B1487" t="s">
        <v>26</v>
      </c>
      <c r="C1487" t="s">
        <v>27</v>
      </c>
      <c r="H1487" s="2">
        <v>45479.394444444442</v>
      </c>
      <c r="I1487" t="s">
        <v>236</v>
      </c>
      <c r="Z1487">
        <v>86821</v>
      </c>
    </row>
    <row r="1488" spans="1:26" x14ac:dyDescent="0.25">
      <c r="A1488" t="s">
        <v>2136</v>
      </c>
      <c r="B1488" t="s">
        <v>26</v>
      </c>
      <c r="C1488" t="s">
        <v>27</v>
      </c>
      <c r="H1488" s="2">
        <v>45478.555555555555</v>
      </c>
      <c r="I1488" t="s">
        <v>236</v>
      </c>
      <c r="Z1488">
        <v>86787</v>
      </c>
    </row>
    <row r="1489" spans="1:26" x14ac:dyDescent="0.25">
      <c r="A1489" t="s">
        <v>2137</v>
      </c>
      <c r="B1489" t="s">
        <v>26</v>
      </c>
      <c r="C1489" t="s">
        <v>27</v>
      </c>
      <c r="H1489" s="2">
        <v>45478.49722222222</v>
      </c>
      <c r="I1489" t="s">
        <v>197</v>
      </c>
      <c r="Z1489">
        <v>86782</v>
      </c>
    </row>
    <row r="1490" spans="1:26" x14ac:dyDescent="0.25">
      <c r="A1490" t="s">
        <v>2138</v>
      </c>
      <c r="B1490" t="s">
        <v>185</v>
      </c>
      <c r="C1490" t="s">
        <v>27</v>
      </c>
      <c r="E1490" t="s">
        <v>203</v>
      </c>
      <c r="H1490" s="2">
        <v>45478.304166666669</v>
      </c>
      <c r="I1490" t="s">
        <v>236</v>
      </c>
      <c r="Z1490">
        <v>86763</v>
      </c>
    </row>
    <row r="1491" spans="1:26" x14ac:dyDescent="0.25">
      <c r="A1491" t="s">
        <v>2139</v>
      </c>
      <c r="B1491" t="s">
        <v>26</v>
      </c>
      <c r="C1491" t="s">
        <v>27</v>
      </c>
      <c r="H1491" s="2">
        <v>45477.752083333333</v>
      </c>
      <c r="I1491" t="s">
        <v>235</v>
      </c>
      <c r="Z1491">
        <v>86745</v>
      </c>
    </row>
    <row r="1492" spans="1:26" x14ac:dyDescent="0.25">
      <c r="A1492" t="s">
        <v>2140</v>
      </c>
      <c r="C1492" t="s">
        <v>27</v>
      </c>
      <c r="E1492" t="s">
        <v>44</v>
      </c>
      <c r="H1492" s="2">
        <v>45477.670138888891</v>
      </c>
      <c r="I1492" t="s">
        <v>235</v>
      </c>
      <c r="Z1492">
        <v>86738</v>
      </c>
    </row>
    <row r="1493" spans="1:26" x14ac:dyDescent="0.25">
      <c r="A1493" t="s">
        <v>2141</v>
      </c>
      <c r="B1493" t="s">
        <v>26</v>
      </c>
      <c r="C1493" t="s">
        <v>27</v>
      </c>
      <c r="H1493" s="2">
        <v>45477.618055555555</v>
      </c>
      <c r="I1493" t="s">
        <v>230</v>
      </c>
      <c r="Z1493">
        <v>86731</v>
      </c>
    </row>
    <row r="1494" spans="1:26" x14ac:dyDescent="0.25">
      <c r="A1494" t="s">
        <v>2142</v>
      </c>
      <c r="B1494" t="s">
        <v>26</v>
      </c>
      <c r="C1494" t="s">
        <v>27</v>
      </c>
      <c r="H1494" s="2">
        <v>45477.546527777777</v>
      </c>
      <c r="I1494" t="s">
        <v>235</v>
      </c>
      <c r="Z1494">
        <v>86723</v>
      </c>
    </row>
    <row r="1495" spans="1:26" x14ac:dyDescent="0.25">
      <c r="A1495" t="s">
        <v>2143</v>
      </c>
      <c r="B1495" t="s">
        <v>77</v>
      </c>
      <c r="C1495" t="s">
        <v>27</v>
      </c>
      <c r="E1495" t="s">
        <v>289</v>
      </c>
      <c r="H1495" s="2">
        <v>45477.534722222219</v>
      </c>
      <c r="I1495" t="s">
        <v>230</v>
      </c>
      <c r="K1495" t="s">
        <v>30</v>
      </c>
      <c r="L1495" t="s">
        <v>31</v>
      </c>
      <c r="M1495">
        <v>55887024</v>
      </c>
      <c r="N1495">
        <v>9754613615</v>
      </c>
      <c r="O1495" t="s">
        <v>2144</v>
      </c>
      <c r="Z1495">
        <v>86719</v>
      </c>
    </row>
    <row r="1496" spans="1:26" x14ac:dyDescent="0.25">
      <c r="A1496" t="s">
        <v>2145</v>
      </c>
      <c r="B1496" t="s">
        <v>26</v>
      </c>
      <c r="C1496" t="s">
        <v>27</v>
      </c>
      <c r="H1496" s="2">
        <v>45477.420138888891</v>
      </c>
      <c r="I1496" t="s">
        <v>230</v>
      </c>
      <c r="Z1496">
        <v>86701</v>
      </c>
    </row>
    <row r="1497" spans="1:26" x14ac:dyDescent="0.25">
      <c r="A1497" t="s">
        <v>2146</v>
      </c>
      <c r="B1497" t="s">
        <v>26</v>
      </c>
      <c r="C1497" t="s">
        <v>27</v>
      </c>
      <c r="H1497" s="2">
        <v>45476.829861111109</v>
      </c>
      <c r="I1497" t="s">
        <v>235</v>
      </c>
      <c r="Z1497">
        <v>86683</v>
      </c>
    </row>
    <row r="1498" spans="1:26" x14ac:dyDescent="0.25">
      <c r="A1498" t="s">
        <v>204</v>
      </c>
      <c r="B1498" t="s">
        <v>185</v>
      </c>
      <c r="C1498" t="s">
        <v>27</v>
      </c>
      <c r="E1498" t="s">
        <v>53</v>
      </c>
      <c r="H1498" s="2">
        <v>45476.629166666666</v>
      </c>
      <c r="I1498" t="s">
        <v>235</v>
      </c>
      <c r="Z1498">
        <v>86663</v>
      </c>
    </row>
    <row r="1499" spans="1:26" x14ac:dyDescent="0.25">
      <c r="A1499" t="s">
        <v>2147</v>
      </c>
      <c r="B1499" t="s">
        <v>150</v>
      </c>
      <c r="C1499" t="s">
        <v>27</v>
      </c>
      <c r="E1499" t="s">
        <v>74</v>
      </c>
      <c r="H1499" s="2">
        <v>45476.519444444442</v>
      </c>
      <c r="I1499" t="s">
        <v>40</v>
      </c>
      <c r="Z1499">
        <v>86648</v>
      </c>
    </row>
    <row r="1500" spans="1:26" x14ac:dyDescent="0.25">
      <c r="A1500" t="s">
        <v>2148</v>
      </c>
      <c r="B1500" t="s">
        <v>26</v>
      </c>
      <c r="C1500" t="s">
        <v>27</v>
      </c>
      <c r="H1500" s="2">
        <v>45476.383333333331</v>
      </c>
      <c r="I1500" t="s">
        <v>40</v>
      </c>
      <c r="Z1500">
        <v>86625</v>
      </c>
    </row>
    <row r="1501" spans="1:26" x14ac:dyDescent="0.25">
      <c r="A1501" t="s">
        <v>2149</v>
      </c>
      <c r="B1501" t="s">
        <v>26</v>
      </c>
      <c r="C1501" t="s">
        <v>27</v>
      </c>
      <c r="H1501" s="2">
        <v>45475.743750000001</v>
      </c>
      <c r="I1501" t="s">
        <v>153</v>
      </c>
      <c r="Z1501">
        <v>86613</v>
      </c>
    </row>
    <row r="1502" spans="1:26" x14ac:dyDescent="0.25">
      <c r="A1502" t="s">
        <v>2150</v>
      </c>
      <c r="B1502" t="s">
        <v>26</v>
      </c>
      <c r="C1502" t="s">
        <v>27</v>
      </c>
      <c r="H1502" s="2">
        <v>45475.440972222219</v>
      </c>
      <c r="I1502" t="s">
        <v>235</v>
      </c>
      <c r="Z1502">
        <v>86579</v>
      </c>
    </row>
    <row r="1503" spans="1:26" x14ac:dyDescent="0.25">
      <c r="A1503" t="s">
        <v>2151</v>
      </c>
      <c r="B1503" t="s">
        <v>26</v>
      </c>
      <c r="C1503" t="s">
        <v>47</v>
      </c>
      <c r="H1503" s="2">
        <v>45475.242361111108</v>
      </c>
      <c r="I1503" t="s">
        <v>40</v>
      </c>
      <c r="Z1503">
        <v>86563</v>
      </c>
    </row>
    <row r="1504" spans="1:26" x14ac:dyDescent="0.25">
      <c r="A1504" t="s">
        <v>2152</v>
      </c>
      <c r="B1504" t="s">
        <v>150</v>
      </c>
      <c r="C1504" t="s">
        <v>27</v>
      </c>
      <c r="E1504" t="s">
        <v>257</v>
      </c>
      <c r="H1504" s="2">
        <v>45474.827777777777</v>
      </c>
      <c r="I1504" t="s">
        <v>40</v>
      </c>
      <c r="Z1504">
        <v>86557</v>
      </c>
    </row>
    <row r="1505" spans="1:26" x14ac:dyDescent="0.25">
      <c r="A1505" t="s">
        <v>1256</v>
      </c>
      <c r="B1505" t="s">
        <v>26</v>
      </c>
      <c r="C1505" t="s">
        <v>27</v>
      </c>
      <c r="E1505" t="s">
        <v>333</v>
      </c>
      <c r="G1505" t="s">
        <v>2153</v>
      </c>
      <c r="H1505" s="2">
        <v>45474.682638888888</v>
      </c>
      <c r="I1505" t="s">
        <v>236</v>
      </c>
      <c r="Z1505">
        <v>86543</v>
      </c>
    </row>
    <row r="1506" spans="1:26" x14ac:dyDescent="0.25">
      <c r="A1506" t="s">
        <v>2154</v>
      </c>
      <c r="B1506" t="s">
        <v>26</v>
      </c>
      <c r="C1506" t="s">
        <v>27</v>
      </c>
      <c r="H1506" s="2">
        <v>45474.665277777778</v>
      </c>
      <c r="I1506" t="s">
        <v>153</v>
      </c>
      <c r="Z1506">
        <v>86537</v>
      </c>
    </row>
    <row r="1507" spans="1:26" x14ac:dyDescent="0.25">
      <c r="A1507" t="s">
        <v>2155</v>
      </c>
      <c r="B1507" t="s">
        <v>164</v>
      </c>
      <c r="C1507" t="s">
        <v>27</v>
      </c>
      <c r="E1507" t="s">
        <v>66</v>
      </c>
      <c r="H1507" s="2">
        <v>45474.524305555555</v>
      </c>
      <c r="I1507" t="s">
        <v>40</v>
      </c>
      <c r="Z1507">
        <v>86514</v>
      </c>
    </row>
    <row r="1508" spans="1:26" x14ac:dyDescent="0.25">
      <c r="A1508" t="s">
        <v>2156</v>
      </c>
      <c r="B1508" t="s">
        <v>26</v>
      </c>
      <c r="C1508" t="s">
        <v>27</v>
      </c>
      <c r="H1508" s="2">
        <v>45474.461111111108</v>
      </c>
      <c r="I1508" t="s">
        <v>236</v>
      </c>
      <c r="Z1508">
        <v>86500</v>
      </c>
    </row>
    <row r="1509" spans="1:26" x14ac:dyDescent="0.25">
      <c r="A1509" t="s">
        <v>2157</v>
      </c>
      <c r="B1509" t="s">
        <v>26</v>
      </c>
      <c r="C1509" t="s">
        <v>27</v>
      </c>
      <c r="H1509" s="2">
        <v>45474.43472222222</v>
      </c>
      <c r="I1509" t="s">
        <v>236</v>
      </c>
      <c r="Z1509">
        <v>86493</v>
      </c>
    </row>
    <row r="1510" spans="1:26" x14ac:dyDescent="0.25">
      <c r="A1510" t="s">
        <v>2158</v>
      </c>
      <c r="C1510" t="s">
        <v>27</v>
      </c>
      <c r="E1510" t="s">
        <v>66</v>
      </c>
      <c r="G1510" t="s">
        <v>2159</v>
      </c>
      <c r="H1510" s="2">
        <v>45473.8</v>
      </c>
      <c r="I1510" t="s">
        <v>40</v>
      </c>
      <c r="Z1510">
        <v>86471</v>
      </c>
    </row>
    <row r="1511" spans="1:26" x14ac:dyDescent="0.25">
      <c r="A1511" t="s">
        <v>2151</v>
      </c>
      <c r="B1511" t="s">
        <v>26</v>
      </c>
      <c r="C1511" t="s">
        <v>27</v>
      </c>
      <c r="H1511" s="2">
        <v>45473.709027777775</v>
      </c>
      <c r="I1511" t="s">
        <v>236</v>
      </c>
      <c r="Z1511">
        <v>86461</v>
      </c>
    </row>
    <row r="1512" spans="1:26" x14ac:dyDescent="0.25">
      <c r="A1512" t="s">
        <v>2160</v>
      </c>
      <c r="B1512" t="s">
        <v>77</v>
      </c>
      <c r="C1512" t="s">
        <v>27</v>
      </c>
      <c r="E1512" t="s">
        <v>90</v>
      </c>
      <c r="H1512" s="2">
        <v>45473.607638888891</v>
      </c>
      <c r="I1512" t="s">
        <v>153</v>
      </c>
      <c r="K1512" t="s">
        <v>30</v>
      </c>
      <c r="L1512" t="s">
        <v>31</v>
      </c>
      <c r="M1512">
        <v>55887024</v>
      </c>
      <c r="N1512">
        <v>9754613601</v>
      </c>
      <c r="O1512" t="s">
        <v>382</v>
      </c>
      <c r="Z1512">
        <v>86450</v>
      </c>
    </row>
    <row r="1513" spans="1:26" x14ac:dyDescent="0.25">
      <c r="A1513" t="s">
        <v>2161</v>
      </c>
      <c r="B1513" t="s">
        <v>198</v>
      </c>
      <c r="C1513" t="s">
        <v>27</v>
      </c>
      <c r="E1513" t="s">
        <v>90</v>
      </c>
      <c r="G1513" t="s">
        <v>2162</v>
      </c>
      <c r="H1513" s="2">
        <v>45473.503472222219</v>
      </c>
      <c r="I1513" t="s">
        <v>236</v>
      </c>
      <c r="K1513" t="s">
        <v>30</v>
      </c>
      <c r="L1513" t="s">
        <v>31</v>
      </c>
      <c r="M1513">
        <v>55887024</v>
      </c>
      <c r="N1513">
        <v>9754613601</v>
      </c>
      <c r="O1513" t="s">
        <v>382</v>
      </c>
      <c r="Z1513">
        <v>86437</v>
      </c>
    </row>
    <row r="1514" spans="1:26" x14ac:dyDescent="0.25">
      <c r="A1514" t="s">
        <v>1256</v>
      </c>
      <c r="B1514" t="s">
        <v>164</v>
      </c>
      <c r="C1514" t="s">
        <v>27</v>
      </c>
      <c r="E1514" t="s">
        <v>76</v>
      </c>
      <c r="G1514" t="s">
        <v>2163</v>
      </c>
      <c r="H1514" s="2">
        <v>45473.497916666667</v>
      </c>
      <c r="I1514" t="s">
        <v>236</v>
      </c>
      <c r="Z1514">
        <v>86436</v>
      </c>
    </row>
    <row r="1515" spans="1:26" x14ac:dyDescent="0.25">
      <c r="A1515" t="s">
        <v>2164</v>
      </c>
      <c r="B1515" t="s">
        <v>26</v>
      </c>
      <c r="C1515" t="s">
        <v>59</v>
      </c>
      <c r="H1515" s="2">
        <v>45472.524305555555</v>
      </c>
      <c r="I1515" t="s">
        <v>236</v>
      </c>
      <c r="Z1515">
        <v>86396</v>
      </c>
    </row>
    <row r="1516" spans="1:26" x14ac:dyDescent="0.25">
      <c r="A1516" t="s">
        <v>2134</v>
      </c>
      <c r="B1516" t="s">
        <v>26</v>
      </c>
      <c r="C1516" t="s">
        <v>27</v>
      </c>
      <c r="H1516" s="2">
        <v>45471.897916666669</v>
      </c>
      <c r="I1516" t="s">
        <v>230</v>
      </c>
      <c r="Z1516">
        <v>86378</v>
      </c>
    </row>
    <row r="1517" spans="1:26" x14ac:dyDescent="0.25">
      <c r="A1517" t="s">
        <v>2165</v>
      </c>
      <c r="C1517" t="s">
        <v>27</v>
      </c>
      <c r="E1517" t="s">
        <v>2166</v>
      </c>
      <c r="H1517" s="2">
        <v>45471.633333333331</v>
      </c>
      <c r="I1517" t="s">
        <v>235</v>
      </c>
      <c r="Z1517">
        <v>86359</v>
      </c>
    </row>
    <row r="1518" spans="1:26" x14ac:dyDescent="0.25">
      <c r="A1518" t="s">
        <v>2167</v>
      </c>
      <c r="B1518" t="s">
        <v>26</v>
      </c>
      <c r="C1518" t="s">
        <v>27</v>
      </c>
      <c r="H1518" s="2">
        <v>45471.623611111114</v>
      </c>
      <c r="I1518" t="s">
        <v>230</v>
      </c>
      <c r="Z1518">
        <v>86358</v>
      </c>
    </row>
    <row r="1519" spans="1:26" x14ac:dyDescent="0.25">
      <c r="A1519" t="s">
        <v>2168</v>
      </c>
      <c r="B1519" t="s">
        <v>26</v>
      </c>
      <c r="C1519" t="s">
        <v>27</v>
      </c>
      <c r="H1519" s="2">
        <v>45471.594444444447</v>
      </c>
      <c r="I1519" t="s">
        <v>235</v>
      </c>
      <c r="Z1519">
        <v>86356</v>
      </c>
    </row>
    <row r="1520" spans="1:26" x14ac:dyDescent="0.25">
      <c r="A1520" t="s">
        <v>2169</v>
      </c>
      <c r="B1520" t="s">
        <v>164</v>
      </c>
      <c r="C1520" t="s">
        <v>27</v>
      </c>
      <c r="E1520" t="s">
        <v>53</v>
      </c>
      <c r="H1520" s="2">
        <v>45471.433333333334</v>
      </c>
      <c r="I1520" t="s">
        <v>236</v>
      </c>
      <c r="Z1520">
        <v>86334</v>
      </c>
    </row>
    <row r="1521" spans="1:26" x14ac:dyDescent="0.25">
      <c r="A1521" t="s">
        <v>652</v>
      </c>
      <c r="B1521" t="s">
        <v>26</v>
      </c>
      <c r="C1521" t="s">
        <v>27</v>
      </c>
      <c r="H1521" s="2">
        <v>45471.419444444444</v>
      </c>
      <c r="I1521" t="s">
        <v>235</v>
      </c>
      <c r="Z1521">
        <v>86332</v>
      </c>
    </row>
    <row r="1522" spans="1:26" x14ac:dyDescent="0.25">
      <c r="A1522" t="s">
        <v>2170</v>
      </c>
      <c r="B1522" t="s">
        <v>46</v>
      </c>
      <c r="C1522" t="s">
        <v>27</v>
      </c>
      <c r="E1522" t="s">
        <v>45</v>
      </c>
      <c r="G1522" t="s">
        <v>2171</v>
      </c>
      <c r="H1522" s="2">
        <v>45470.806250000001</v>
      </c>
      <c r="I1522" t="s">
        <v>230</v>
      </c>
      <c r="Z1522">
        <v>86319</v>
      </c>
    </row>
    <row r="1523" spans="1:26" x14ac:dyDescent="0.25">
      <c r="A1523" t="s">
        <v>2172</v>
      </c>
      <c r="B1523" t="s">
        <v>26</v>
      </c>
      <c r="C1523" t="s">
        <v>27</v>
      </c>
      <c r="H1523" s="2">
        <v>45470.689583333333</v>
      </c>
      <c r="I1523" t="s">
        <v>230</v>
      </c>
      <c r="Z1523">
        <v>86296</v>
      </c>
    </row>
    <row r="1524" spans="1:26" x14ac:dyDescent="0.25">
      <c r="A1524" t="s">
        <v>2173</v>
      </c>
      <c r="B1524" t="s">
        <v>26</v>
      </c>
      <c r="C1524" t="s">
        <v>27</v>
      </c>
      <c r="H1524" s="2">
        <v>45470.577777777777</v>
      </c>
      <c r="I1524" t="s">
        <v>235</v>
      </c>
      <c r="Z1524">
        <v>86280</v>
      </c>
    </row>
    <row r="1525" spans="1:26" x14ac:dyDescent="0.25">
      <c r="A1525" t="s">
        <v>2174</v>
      </c>
      <c r="B1525" t="s">
        <v>26</v>
      </c>
      <c r="C1525" t="s">
        <v>206</v>
      </c>
      <c r="H1525" s="2">
        <v>45470.535416666666</v>
      </c>
      <c r="I1525" t="s">
        <v>230</v>
      </c>
      <c r="Z1525">
        <v>86270</v>
      </c>
    </row>
    <row r="1526" spans="1:26" x14ac:dyDescent="0.25">
      <c r="A1526" t="s">
        <v>2175</v>
      </c>
      <c r="B1526" t="s">
        <v>26</v>
      </c>
      <c r="C1526" t="s">
        <v>27</v>
      </c>
      <c r="H1526" s="2">
        <v>45470.431944444441</v>
      </c>
      <c r="I1526" t="s">
        <v>235</v>
      </c>
      <c r="Z1526">
        <v>86258</v>
      </c>
    </row>
    <row r="1527" spans="1:26" x14ac:dyDescent="0.25">
      <c r="A1527" t="s">
        <v>2176</v>
      </c>
      <c r="B1527" t="s">
        <v>26</v>
      </c>
      <c r="C1527" t="s">
        <v>27</v>
      </c>
      <c r="H1527" s="2">
        <v>45469.495833333334</v>
      </c>
      <c r="I1527" t="s">
        <v>230</v>
      </c>
      <c r="Z1527">
        <v>86205</v>
      </c>
    </row>
    <row r="1528" spans="1:26" x14ac:dyDescent="0.25">
      <c r="A1528" t="s">
        <v>652</v>
      </c>
      <c r="B1528" t="s">
        <v>26</v>
      </c>
      <c r="C1528" t="s">
        <v>27</v>
      </c>
      <c r="H1528" s="2">
        <v>45469.470138888886</v>
      </c>
      <c r="I1528" t="s">
        <v>230</v>
      </c>
      <c r="Z1528">
        <v>86201</v>
      </c>
    </row>
    <row r="1529" spans="1:26" x14ac:dyDescent="0.25">
      <c r="A1529" t="s">
        <v>2177</v>
      </c>
      <c r="B1529" t="s">
        <v>150</v>
      </c>
      <c r="C1529" t="s">
        <v>27</v>
      </c>
      <c r="E1529" t="s">
        <v>2178</v>
      </c>
      <c r="H1529" s="2">
        <v>45469.177083333336</v>
      </c>
      <c r="I1529" t="s">
        <v>29</v>
      </c>
      <c r="Z1529">
        <v>86187</v>
      </c>
    </row>
    <row r="1530" spans="1:26" x14ac:dyDescent="0.25">
      <c r="A1530" t="s">
        <v>1182</v>
      </c>
      <c r="B1530" t="s">
        <v>26</v>
      </c>
      <c r="C1530" t="s">
        <v>27</v>
      </c>
      <c r="H1530" s="2">
        <v>45468.393750000003</v>
      </c>
      <c r="I1530" t="s">
        <v>230</v>
      </c>
      <c r="Z1530">
        <v>86129</v>
      </c>
    </row>
    <row r="1531" spans="1:26" x14ac:dyDescent="0.25">
      <c r="A1531" t="s">
        <v>712</v>
      </c>
      <c r="B1531" t="s">
        <v>164</v>
      </c>
      <c r="C1531" t="s">
        <v>27</v>
      </c>
      <c r="E1531" t="s">
        <v>60</v>
      </c>
      <c r="H1531" s="2">
        <v>45467.672222222223</v>
      </c>
      <c r="I1531" t="s">
        <v>236</v>
      </c>
      <c r="Z1531">
        <v>86105</v>
      </c>
    </row>
    <row r="1532" spans="1:26" x14ac:dyDescent="0.25">
      <c r="A1532" t="s">
        <v>2179</v>
      </c>
      <c r="B1532" t="s">
        <v>26</v>
      </c>
      <c r="C1532" t="s">
        <v>27</v>
      </c>
      <c r="H1532" s="2">
        <v>45467.525000000001</v>
      </c>
      <c r="I1532" t="s">
        <v>236</v>
      </c>
      <c r="Z1532">
        <v>86084</v>
      </c>
    </row>
    <row r="1533" spans="1:26" x14ac:dyDescent="0.25">
      <c r="A1533" t="s">
        <v>2165</v>
      </c>
      <c r="B1533" t="s">
        <v>26</v>
      </c>
      <c r="C1533" t="s">
        <v>27</v>
      </c>
      <c r="H1533" s="2">
        <v>45466.619444444441</v>
      </c>
      <c r="I1533" t="s">
        <v>236</v>
      </c>
      <c r="Z1533">
        <v>86038</v>
      </c>
    </row>
    <row r="1534" spans="1:26" x14ac:dyDescent="0.25">
      <c r="A1534" t="s">
        <v>187</v>
      </c>
      <c r="B1534" t="s">
        <v>150</v>
      </c>
      <c r="C1534" t="s">
        <v>27</v>
      </c>
      <c r="E1534" t="s">
        <v>188</v>
      </c>
      <c r="H1534" s="2">
        <v>45465.59652777778</v>
      </c>
      <c r="I1534" t="s">
        <v>235</v>
      </c>
      <c r="Z1534">
        <v>86004</v>
      </c>
    </row>
    <row r="1535" spans="1:26" x14ac:dyDescent="0.25">
      <c r="A1535" t="s">
        <v>2180</v>
      </c>
      <c r="B1535" t="s">
        <v>26</v>
      </c>
      <c r="C1535" t="s">
        <v>27</v>
      </c>
      <c r="H1535" s="2">
        <v>45465.584722222222</v>
      </c>
      <c r="I1535" t="s">
        <v>235</v>
      </c>
      <c r="Z1535">
        <v>86001</v>
      </c>
    </row>
    <row r="1536" spans="1:26" x14ac:dyDescent="0.25">
      <c r="A1536" t="s">
        <v>2181</v>
      </c>
      <c r="B1536" t="s">
        <v>26</v>
      </c>
      <c r="C1536" t="s">
        <v>27</v>
      </c>
      <c r="H1536" s="2">
        <v>45464.560416666667</v>
      </c>
      <c r="I1536" t="s">
        <v>153</v>
      </c>
      <c r="Z1536">
        <v>85961</v>
      </c>
    </row>
    <row r="1537" spans="1:26" x14ac:dyDescent="0.25">
      <c r="A1537" t="s">
        <v>712</v>
      </c>
      <c r="B1537" t="s">
        <v>77</v>
      </c>
      <c r="C1537" t="s">
        <v>27</v>
      </c>
      <c r="E1537" t="s">
        <v>203</v>
      </c>
      <c r="H1537" s="2">
        <v>45462.788888888892</v>
      </c>
      <c r="I1537" t="s">
        <v>236</v>
      </c>
      <c r="K1537" t="s">
        <v>30</v>
      </c>
      <c r="L1537" t="s">
        <v>31</v>
      </c>
      <c r="M1537">
        <v>104108031</v>
      </c>
      <c r="N1537">
        <v>15719003145</v>
      </c>
      <c r="O1537" t="s">
        <v>213</v>
      </c>
      <c r="Z1537">
        <v>85865</v>
      </c>
    </row>
    <row r="1538" spans="1:26" x14ac:dyDescent="0.25">
      <c r="A1538" t="s">
        <v>2182</v>
      </c>
      <c r="B1538" t="s">
        <v>164</v>
      </c>
      <c r="C1538" t="s">
        <v>27</v>
      </c>
      <c r="E1538" t="s">
        <v>2183</v>
      </c>
      <c r="H1538" s="2">
        <v>45462.35</v>
      </c>
      <c r="I1538" t="s">
        <v>236</v>
      </c>
      <c r="K1538" t="s">
        <v>30</v>
      </c>
      <c r="L1538" t="s">
        <v>31</v>
      </c>
      <c r="M1538">
        <v>67130164</v>
      </c>
      <c r="N1538">
        <v>12403825945</v>
      </c>
      <c r="O1538" t="s">
        <v>682</v>
      </c>
      <c r="Z1538">
        <v>85811</v>
      </c>
    </row>
    <row r="1539" spans="1:26" x14ac:dyDescent="0.25">
      <c r="A1539" t="s">
        <v>2184</v>
      </c>
      <c r="B1539" t="s">
        <v>26</v>
      </c>
      <c r="C1539" t="s">
        <v>27</v>
      </c>
      <c r="H1539" s="2">
        <v>45461.63958333333</v>
      </c>
      <c r="I1539" t="s">
        <v>236</v>
      </c>
      <c r="Z1539">
        <v>85782</v>
      </c>
    </row>
    <row r="1540" spans="1:26" x14ac:dyDescent="0.25">
      <c r="A1540" t="s">
        <v>2165</v>
      </c>
      <c r="B1540" t="s">
        <v>26</v>
      </c>
      <c r="C1540" t="s">
        <v>27</v>
      </c>
      <c r="H1540" s="2">
        <v>45461.399305555555</v>
      </c>
      <c r="I1540" t="s">
        <v>230</v>
      </c>
      <c r="Z1540">
        <v>85751</v>
      </c>
    </row>
    <row r="1541" spans="1:26" x14ac:dyDescent="0.25">
      <c r="A1541" t="s">
        <v>2185</v>
      </c>
      <c r="B1541" t="s">
        <v>164</v>
      </c>
      <c r="C1541" t="s">
        <v>27</v>
      </c>
      <c r="E1541" t="s">
        <v>70</v>
      </c>
      <c r="G1541" t="s">
        <v>380</v>
      </c>
      <c r="H1541" s="2">
        <v>45460.72152777778</v>
      </c>
      <c r="I1541" t="s">
        <v>227</v>
      </c>
      <c r="Z1541">
        <v>85721</v>
      </c>
    </row>
    <row r="1542" spans="1:26" x14ac:dyDescent="0.25">
      <c r="A1542" t="s">
        <v>2186</v>
      </c>
      <c r="B1542" t="s">
        <v>26</v>
      </c>
      <c r="C1542" t="s">
        <v>27</v>
      </c>
      <c r="H1542" s="2">
        <v>45460.703472222223</v>
      </c>
      <c r="I1542" t="s">
        <v>236</v>
      </c>
      <c r="Z1542">
        <v>85715</v>
      </c>
    </row>
    <row r="1543" spans="1:26" x14ac:dyDescent="0.25">
      <c r="A1543" t="s">
        <v>2187</v>
      </c>
      <c r="B1543" t="s">
        <v>26</v>
      </c>
      <c r="C1543" t="s">
        <v>27</v>
      </c>
      <c r="H1543" s="2">
        <v>45459.864583333336</v>
      </c>
      <c r="I1543" t="s">
        <v>235</v>
      </c>
      <c r="Z1543">
        <v>85655</v>
      </c>
    </row>
    <row r="1544" spans="1:26" x14ac:dyDescent="0.25">
      <c r="A1544" t="s">
        <v>2188</v>
      </c>
      <c r="B1544" t="s">
        <v>26</v>
      </c>
      <c r="C1544" t="s">
        <v>27</v>
      </c>
      <c r="H1544" s="2">
        <v>45459.673611111109</v>
      </c>
      <c r="I1544" t="s">
        <v>227</v>
      </c>
      <c r="Z1544">
        <v>85632</v>
      </c>
    </row>
    <row r="1545" spans="1:26" x14ac:dyDescent="0.25">
      <c r="A1545" t="s">
        <v>2189</v>
      </c>
      <c r="C1545" t="s">
        <v>27</v>
      </c>
      <c r="E1545" t="s">
        <v>2190</v>
      </c>
      <c r="H1545" s="2">
        <v>45459.496527777781</v>
      </c>
      <c r="I1545" t="s">
        <v>235</v>
      </c>
      <c r="Z1545">
        <v>85607</v>
      </c>
    </row>
    <row r="1546" spans="1:26" x14ac:dyDescent="0.25">
      <c r="A1546" t="s">
        <v>109</v>
      </c>
      <c r="C1546" t="s">
        <v>27</v>
      </c>
      <c r="E1546" t="s">
        <v>94</v>
      </c>
      <c r="H1546" s="2">
        <v>45457.851388888892</v>
      </c>
      <c r="I1546" t="s">
        <v>235</v>
      </c>
      <c r="Z1546">
        <v>85535</v>
      </c>
    </row>
    <row r="1547" spans="1:26" x14ac:dyDescent="0.25">
      <c r="A1547" t="s">
        <v>712</v>
      </c>
      <c r="B1547" t="s">
        <v>164</v>
      </c>
      <c r="C1547" t="s">
        <v>27</v>
      </c>
      <c r="E1547" t="s">
        <v>2191</v>
      </c>
      <c r="H1547" s="2">
        <v>45457.819444444445</v>
      </c>
      <c r="I1547" t="s">
        <v>235</v>
      </c>
      <c r="Z1547">
        <v>85533</v>
      </c>
    </row>
    <row r="1548" spans="1:26" x14ac:dyDescent="0.25">
      <c r="A1548" t="s">
        <v>2192</v>
      </c>
      <c r="B1548" t="s">
        <v>26</v>
      </c>
      <c r="C1548" t="s">
        <v>27</v>
      </c>
      <c r="H1548" s="2">
        <v>45457.710416666669</v>
      </c>
      <c r="I1548" t="s">
        <v>235</v>
      </c>
      <c r="Z1548">
        <v>85517</v>
      </c>
    </row>
    <row r="1549" spans="1:26" x14ac:dyDescent="0.25">
      <c r="A1549" t="s">
        <v>2193</v>
      </c>
      <c r="B1549" t="s">
        <v>26</v>
      </c>
      <c r="C1549" t="s">
        <v>27</v>
      </c>
      <c r="H1549" s="2">
        <v>45457.695833333331</v>
      </c>
      <c r="I1549" t="s">
        <v>235</v>
      </c>
      <c r="Z1549">
        <v>85515</v>
      </c>
    </row>
    <row r="1550" spans="1:26" x14ac:dyDescent="0.25">
      <c r="A1550" t="s">
        <v>2194</v>
      </c>
      <c r="B1550" t="s">
        <v>26</v>
      </c>
      <c r="C1550" t="s">
        <v>27</v>
      </c>
      <c r="H1550" s="2">
        <v>45457.478472222225</v>
      </c>
      <c r="I1550" t="s">
        <v>235</v>
      </c>
      <c r="Z1550">
        <v>85490</v>
      </c>
    </row>
    <row r="1551" spans="1:26" x14ac:dyDescent="0.25">
      <c r="A1551" t="s">
        <v>1054</v>
      </c>
      <c r="B1551" t="s">
        <v>26</v>
      </c>
      <c r="C1551" t="s">
        <v>27</v>
      </c>
      <c r="H1551" s="2">
        <v>45456.895138888889</v>
      </c>
      <c r="I1551" t="s">
        <v>236</v>
      </c>
      <c r="Z1551">
        <v>85476</v>
      </c>
    </row>
    <row r="1552" spans="1:26" x14ac:dyDescent="0.25">
      <c r="A1552" t="s">
        <v>2195</v>
      </c>
      <c r="B1552" t="s">
        <v>26</v>
      </c>
      <c r="C1552" t="s">
        <v>27</v>
      </c>
      <c r="H1552" s="2">
        <v>45456.540277777778</v>
      </c>
      <c r="I1552" t="s">
        <v>95</v>
      </c>
      <c r="Z1552">
        <v>85428</v>
      </c>
    </row>
    <row r="1553" spans="1:26" x14ac:dyDescent="0.25">
      <c r="A1553" t="s">
        <v>2196</v>
      </c>
      <c r="B1553" t="s">
        <v>150</v>
      </c>
      <c r="C1553" t="s">
        <v>27</v>
      </c>
      <c r="E1553" t="s">
        <v>2197</v>
      </c>
      <c r="H1553" s="2">
        <v>45456.527083333334</v>
      </c>
      <c r="I1553" t="s">
        <v>236</v>
      </c>
      <c r="Z1553">
        <v>85426</v>
      </c>
    </row>
    <row r="1554" spans="1:26" x14ac:dyDescent="0.25">
      <c r="A1554" t="s">
        <v>2198</v>
      </c>
      <c r="B1554" t="s">
        <v>26</v>
      </c>
      <c r="C1554" t="s">
        <v>206</v>
      </c>
      <c r="H1554" s="2">
        <v>45456.475694444445</v>
      </c>
      <c r="I1554" t="s">
        <v>95</v>
      </c>
      <c r="Z1554">
        <v>85415</v>
      </c>
    </row>
    <row r="1555" spans="1:26" x14ac:dyDescent="0.25">
      <c r="A1555" t="s">
        <v>2199</v>
      </c>
      <c r="B1555" t="s">
        <v>26</v>
      </c>
      <c r="C1555" t="s">
        <v>27</v>
      </c>
      <c r="H1555" s="2">
        <v>45456.453472222223</v>
      </c>
      <c r="I1555" t="s">
        <v>230</v>
      </c>
      <c r="Z1555">
        <v>85409</v>
      </c>
    </row>
    <row r="1556" spans="1:26" x14ac:dyDescent="0.25">
      <c r="A1556" t="s">
        <v>2200</v>
      </c>
      <c r="B1556" t="s">
        <v>26</v>
      </c>
      <c r="C1556" t="s">
        <v>27</v>
      </c>
      <c r="H1556" s="2">
        <v>45456.386111111111</v>
      </c>
      <c r="I1556" t="s">
        <v>230</v>
      </c>
      <c r="Z1556">
        <v>85401</v>
      </c>
    </row>
    <row r="1557" spans="1:26" x14ac:dyDescent="0.25">
      <c r="A1557" t="s">
        <v>2201</v>
      </c>
      <c r="B1557" t="s">
        <v>26</v>
      </c>
      <c r="C1557" t="s">
        <v>27</v>
      </c>
      <c r="H1557" s="2">
        <v>45455.611111111109</v>
      </c>
      <c r="I1557" t="s">
        <v>236</v>
      </c>
      <c r="Z1557">
        <v>85382</v>
      </c>
    </row>
    <row r="1558" spans="1:26" x14ac:dyDescent="0.25">
      <c r="A1558" t="s">
        <v>2202</v>
      </c>
      <c r="B1558" t="s">
        <v>164</v>
      </c>
      <c r="C1558" t="s">
        <v>27</v>
      </c>
      <c r="E1558" t="s">
        <v>2203</v>
      </c>
      <c r="G1558" t="s">
        <v>2204</v>
      </c>
      <c r="H1558" s="2">
        <v>45455.495138888888</v>
      </c>
      <c r="I1558" t="s">
        <v>236</v>
      </c>
      <c r="Z1558">
        <v>85368</v>
      </c>
    </row>
    <row r="1559" spans="1:26" x14ac:dyDescent="0.25">
      <c r="A1559" t="s">
        <v>109</v>
      </c>
      <c r="C1559" t="s">
        <v>27</v>
      </c>
      <c r="E1559" t="s">
        <v>163</v>
      </c>
      <c r="H1559" s="2">
        <v>45454.935416666667</v>
      </c>
      <c r="I1559" t="s">
        <v>236</v>
      </c>
      <c r="Z1559">
        <v>85347</v>
      </c>
    </row>
    <row r="1560" spans="1:26" x14ac:dyDescent="0.25">
      <c r="A1560" t="s">
        <v>2205</v>
      </c>
      <c r="B1560" t="s">
        <v>26</v>
      </c>
      <c r="C1560" t="s">
        <v>27</v>
      </c>
      <c r="E1560" t="s">
        <v>2206</v>
      </c>
      <c r="H1560" s="2">
        <v>45454.862500000003</v>
      </c>
      <c r="I1560" t="s">
        <v>230</v>
      </c>
      <c r="Z1560">
        <v>85343</v>
      </c>
    </row>
    <row r="1561" spans="1:26" x14ac:dyDescent="0.25">
      <c r="A1561" t="s">
        <v>2207</v>
      </c>
      <c r="B1561" t="s">
        <v>26</v>
      </c>
      <c r="C1561" t="s">
        <v>27</v>
      </c>
      <c r="H1561" s="2">
        <v>45454.53402777778</v>
      </c>
      <c r="I1561" t="s">
        <v>226</v>
      </c>
      <c r="Z1561">
        <v>85290</v>
      </c>
    </row>
    <row r="1562" spans="1:26" x14ac:dyDescent="0.25">
      <c r="A1562" t="s">
        <v>2208</v>
      </c>
      <c r="B1562" t="s">
        <v>26</v>
      </c>
      <c r="C1562" t="s">
        <v>59</v>
      </c>
      <c r="H1562" s="2">
        <v>45454.456944444442</v>
      </c>
      <c r="I1562" t="s">
        <v>230</v>
      </c>
      <c r="Z1562">
        <v>85280</v>
      </c>
    </row>
    <row r="1563" spans="1:26" x14ac:dyDescent="0.25">
      <c r="A1563" t="s">
        <v>2209</v>
      </c>
      <c r="B1563" t="s">
        <v>26</v>
      </c>
      <c r="C1563" t="s">
        <v>27</v>
      </c>
      <c r="H1563" s="2">
        <v>45454.425000000003</v>
      </c>
      <c r="I1563" t="s">
        <v>230</v>
      </c>
      <c r="Z1563">
        <v>85277</v>
      </c>
    </row>
    <row r="1564" spans="1:26" x14ac:dyDescent="0.25">
      <c r="A1564" t="s">
        <v>2210</v>
      </c>
      <c r="B1564" t="s">
        <v>26</v>
      </c>
      <c r="C1564" t="s">
        <v>59</v>
      </c>
      <c r="H1564" s="2">
        <v>45454.415972222225</v>
      </c>
      <c r="I1564" t="s">
        <v>230</v>
      </c>
      <c r="Z1564">
        <v>85275</v>
      </c>
    </row>
    <row r="1565" spans="1:26" x14ac:dyDescent="0.25">
      <c r="A1565" t="s">
        <v>2211</v>
      </c>
      <c r="B1565" t="s">
        <v>26</v>
      </c>
      <c r="C1565" t="s">
        <v>27</v>
      </c>
      <c r="H1565" s="2">
        <v>45453.879166666666</v>
      </c>
      <c r="I1565" t="s">
        <v>235</v>
      </c>
      <c r="Z1565">
        <v>85259</v>
      </c>
    </row>
    <row r="1566" spans="1:26" x14ac:dyDescent="0.25">
      <c r="A1566" t="s">
        <v>2212</v>
      </c>
      <c r="B1566" t="s">
        <v>26</v>
      </c>
      <c r="C1566" t="s">
        <v>27</v>
      </c>
      <c r="H1566" s="2">
        <v>45453.587500000001</v>
      </c>
      <c r="I1566" t="s">
        <v>235</v>
      </c>
      <c r="Z1566">
        <v>85221</v>
      </c>
    </row>
    <row r="1567" spans="1:26" x14ac:dyDescent="0.25">
      <c r="A1567" t="s">
        <v>2213</v>
      </c>
      <c r="B1567" t="s">
        <v>26</v>
      </c>
      <c r="C1567" t="s">
        <v>27</v>
      </c>
      <c r="H1567" s="2">
        <v>45453.53125</v>
      </c>
      <c r="I1567" t="s">
        <v>153</v>
      </c>
      <c r="Z1567">
        <v>85209</v>
      </c>
    </row>
    <row r="1568" spans="1:26" x14ac:dyDescent="0.25">
      <c r="A1568" t="s">
        <v>2214</v>
      </c>
      <c r="C1568" t="s">
        <v>27</v>
      </c>
      <c r="E1568" t="s">
        <v>1458</v>
      </c>
      <c r="H1568" s="2">
        <v>45453.386111111111</v>
      </c>
      <c r="I1568" t="s">
        <v>235</v>
      </c>
      <c r="Z1568">
        <v>85182</v>
      </c>
    </row>
    <row r="1569" spans="1:26" x14ac:dyDescent="0.25">
      <c r="A1569" t="s">
        <v>2215</v>
      </c>
      <c r="B1569" t="s">
        <v>26</v>
      </c>
      <c r="C1569" t="s">
        <v>27</v>
      </c>
      <c r="H1569" s="2">
        <v>45453.379861111112</v>
      </c>
      <c r="I1569" t="s">
        <v>235</v>
      </c>
      <c r="Z1569">
        <v>85180</v>
      </c>
    </row>
    <row r="1570" spans="1:26" x14ac:dyDescent="0.25">
      <c r="A1570" t="s">
        <v>2216</v>
      </c>
      <c r="B1570" t="s">
        <v>26</v>
      </c>
      <c r="C1570" t="s">
        <v>27</v>
      </c>
      <c r="H1570" s="2">
        <v>45452.865972222222</v>
      </c>
      <c r="I1570" t="s">
        <v>153</v>
      </c>
      <c r="Z1570">
        <v>85174</v>
      </c>
    </row>
    <row r="1571" spans="1:26" x14ac:dyDescent="0.25">
      <c r="A1571" t="s">
        <v>2217</v>
      </c>
      <c r="B1571" t="s">
        <v>26</v>
      </c>
      <c r="C1571" t="s">
        <v>27</v>
      </c>
      <c r="H1571" s="2">
        <v>45452.609027777777</v>
      </c>
      <c r="I1571" t="s">
        <v>235</v>
      </c>
      <c r="Z1571">
        <v>85149</v>
      </c>
    </row>
    <row r="1572" spans="1:26" x14ac:dyDescent="0.25">
      <c r="A1572" t="s">
        <v>2218</v>
      </c>
      <c r="B1572" t="s">
        <v>26</v>
      </c>
      <c r="C1572" t="s">
        <v>27</v>
      </c>
      <c r="H1572" s="2">
        <v>45452.45</v>
      </c>
      <c r="I1572" t="s">
        <v>235</v>
      </c>
      <c r="Z1572">
        <v>85136</v>
      </c>
    </row>
    <row r="1573" spans="1:26" x14ac:dyDescent="0.25">
      <c r="A1573" t="s">
        <v>2219</v>
      </c>
      <c r="B1573" t="s">
        <v>164</v>
      </c>
      <c r="C1573" t="s">
        <v>27</v>
      </c>
      <c r="E1573" t="s">
        <v>2220</v>
      </c>
      <c r="G1573" t="s">
        <v>2221</v>
      </c>
      <c r="H1573" s="2">
        <v>45451.517361111109</v>
      </c>
      <c r="I1573" t="s">
        <v>153</v>
      </c>
      <c r="K1573" t="s">
        <v>30</v>
      </c>
      <c r="L1573" t="s">
        <v>31</v>
      </c>
      <c r="M1573">
        <v>55887024</v>
      </c>
      <c r="N1573">
        <v>9754613612</v>
      </c>
      <c r="O1573" t="s">
        <v>2222</v>
      </c>
      <c r="Z1573">
        <v>85106</v>
      </c>
    </row>
    <row r="1574" spans="1:26" x14ac:dyDescent="0.25">
      <c r="A1574" t="s">
        <v>2223</v>
      </c>
      <c r="B1574" t="s">
        <v>164</v>
      </c>
      <c r="C1574" t="s">
        <v>27</v>
      </c>
      <c r="E1574" t="s">
        <v>279</v>
      </c>
      <c r="H1574" s="2">
        <v>45451.45</v>
      </c>
      <c r="I1574" t="s">
        <v>235</v>
      </c>
      <c r="Z1574">
        <v>85097</v>
      </c>
    </row>
    <row r="1575" spans="1:26" x14ac:dyDescent="0.25">
      <c r="A1575" t="s">
        <v>2224</v>
      </c>
      <c r="B1575" t="s">
        <v>26</v>
      </c>
      <c r="C1575" t="s">
        <v>27</v>
      </c>
      <c r="H1575" s="2">
        <v>45450.870833333334</v>
      </c>
      <c r="I1575" t="s">
        <v>235</v>
      </c>
      <c r="Z1575">
        <v>85080</v>
      </c>
    </row>
    <row r="1576" spans="1:26" x14ac:dyDescent="0.25">
      <c r="A1576" t="s">
        <v>2225</v>
      </c>
      <c r="B1576" t="s">
        <v>26</v>
      </c>
      <c r="C1576" t="s">
        <v>27</v>
      </c>
      <c r="H1576" s="2">
        <v>45450.713888888888</v>
      </c>
      <c r="I1576" t="s">
        <v>236</v>
      </c>
      <c r="Z1576">
        <v>85071</v>
      </c>
    </row>
    <row r="1577" spans="1:26" x14ac:dyDescent="0.25">
      <c r="A1577" t="s">
        <v>2226</v>
      </c>
      <c r="B1577" t="s">
        <v>26</v>
      </c>
      <c r="C1577" t="s">
        <v>27</v>
      </c>
      <c r="H1577" s="2">
        <v>45449.777777777781</v>
      </c>
      <c r="I1577" t="s">
        <v>236</v>
      </c>
      <c r="Z1577">
        <v>85012</v>
      </c>
    </row>
    <row r="1578" spans="1:26" x14ac:dyDescent="0.25">
      <c r="A1578" t="s">
        <v>2227</v>
      </c>
      <c r="B1578" t="s">
        <v>150</v>
      </c>
      <c r="C1578" t="s">
        <v>27</v>
      </c>
      <c r="E1578" t="s">
        <v>44</v>
      </c>
      <c r="G1578" t="s">
        <v>2228</v>
      </c>
      <c r="H1578" s="2">
        <v>45449.334722222222</v>
      </c>
      <c r="I1578" t="s">
        <v>197</v>
      </c>
      <c r="Z1578">
        <v>84960</v>
      </c>
    </row>
    <row r="1579" spans="1:26" x14ac:dyDescent="0.25">
      <c r="A1579" t="s">
        <v>2229</v>
      </c>
      <c r="B1579" t="s">
        <v>26</v>
      </c>
      <c r="C1579" t="s">
        <v>47</v>
      </c>
      <c r="H1579" s="2">
        <v>45448.461111111108</v>
      </c>
      <c r="I1579" t="s">
        <v>230</v>
      </c>
      <c r="Z1579">
        <v>84903</v>
      </c>
    </row>
    <row r="1580" spans="1:26" x14ac:dyDescent="0.25">
      <c r="A1580" t="s">
        <v>2230</v>
      </c>
      <c r="B1580" t="s">
        <v>164</v>
      </c>
      <c r="C1580" t="s">
        <v>27</v>
      </c>
      <c r="E1580" t="s">
        <v>2231</v>
      </c>
      <c r="H1580" s="2">
        <v>45448.421527777777</v>
      </c>
      <c r="I1580" t="s">
        <v>236</v>
      </c>
      <c r="Z1580">
        <v>84899</v>
      </c>
    </row>
    <row r="1581" spans="1:26" x14ac:dyDescent="0.25">
      <c r="A1581" t="s">
        <v>652</v>
      </c>
      <c r="B1581" t="s">
        <v>26</v>
      </c>
      <c r="C1581" t="s">
        <v>27</v>
      </c>
      <c r="H1581" s="2">
        <v>45448.373611111114</v>
      </c>
      <c r="I1581" t="s">
        <v>236</v>
      </c>
      <c r="Z1581">
        <v>84886</v>
      </c>
    </row>
    <row r="1582" spans="1:26" x14ac:dyDescent="0.25">
      <c r="A1582" t="s">
        <v>2232</v>
      </c>
      <c r="B1582" t="s">
        <v>150</v>
      </c>
      <c r="C1582" t="s">
        <v>59</v>
      </c>
      <c r="E1582" t="s">
        <v>84</v>
      </c>
      <c r="G1582" t="s">
        <v>2233</v>
      </c>
      <c r="H1582" s="2">
        <v>45448.137499999997</v>
      </c>
      <c r="I1582" t="s">
        <v>230</v>
      </c>
      <c r="Z1582">
        <v>84883</v>
      </c>
    </row>
    <row r="1583" spans="1:26" x14ac:dyDescent="0.25">
      <c r="A1583" t="s">
        <v>2234</v>
      </c>
      <c r="B1583" t="s">
        <v>164</v>
      </c>
      <c r="C1583" t="s">
        <v>27</v>
      </c>
      <c r="E1583" t="s">
        <v>2235</v>
      </c>
      <c r="H1583" s="2">
        <v>45447.709722222222</v>
      </c>
      <c r="I1583" t="s">
        <v>230</v>
      </c>
      <c r="Z1583">
        <v>84866</v>
      </c>
    </row>
    <row r="1584" spans="1:26" x14ac:dyDescent="0.25">
      <c r="A1584" t="s">
        <v>2236</v>
      </c>
      <c r="B1584" t="s">
        <v>77</v>
      </c>
      <c r="C1584" t="s">
        <v>27</v>
      </c>
      <c r="E1584" t="s">
        <v>98</v>
      </c>
      <c r="H1584" s="2">
        <v>45447.675694444442</v>
      </c>
      <c r="I1584" t="s">
        <v>230</v>
      </c>
      <c r="Z1584">
        <v>84859</v>
      </c>
    </row>
    <row r="1585" spans="1:26" x14ac:dyDescent="0.25">
      <c r="A1585" t="s">
        <v>2237</v>
      </c>
      <c r="B1585" t="s">
        <v>26</v>
      </c>
      <c r="C1585" t="s">
        <v>47</v>
      </c>
      <c r="H1585" s="2">
        <v>45447.621527777781</v>
      </c>
      <c r="I1585" t="s">
        <v>230</v>
      </c>
      <c r="Z1585">
        <v>84842</v>
      </c>
    </row>
    <row r="1586" spans="1:26" x14ac:dyDescent="0.25">
      <c r="A1586" t="s">
        <v>2238</v>
      </c>
      <c r="B1586" t="s">
        <v>26</v>
      </c>
      <c r="C1586" t="s">
        <v>27</v>
      </c>
      <c r="H1586" s="2">
        <v>45447.55</v>
      </c>
      <c r="I1586" t="s">
        <v>153</v>
      </c>
      <c r="Z1586">
        <v>84828</v>
      </c>
    </row>
    <row r="1587" spans="1:26" x14ac:dyDescent="0.25">
      <c r="A1587" t="s">
        <v>1093</v>
      </c>
      <c r="B1587" t="s">
        <v>26</v>
      </c>
      <c r="C1587" t="s">
        <v>27</v>
      </c>
      <c r="H1587" s="2">
        <v>45447.51666666667</v>
      </c>
      <c r="I1587" t="s">
        <v>230</v>
      </c>
      <c r="Z1587">
        <v>84825</v>
      </c>
    </row>
    <row r="1588" spans="1:26" x14ac:dyDescent="0.25">
      <c r="A1588" t="s">
        <v>2239</v>
      </c>
      <c r="B1588" t="s">
        <v>26</v>
      </c>
      <c r="C1588" t="s">
        <v>27</v>
      </c>
      <c r="H1588" s="2">
        <v>45447.511805555558</v>
      </c>
      <c r="I1588" t="s">
        <v>153</v>
      </c>
      <c r="Z1588">
        <v>84824</v>
      </c>
    </row>
    <row r="1589" spans="1:26" x14ac:dyDescent="0.25">
      <c r="A1589" t="s">
        <v>2240</v>
      </c>
      <c r="B1589" t="s">
        <v>26</v>
      </c>
      <c r="C1589" t="s">
        <v>27</v>
      </c>
      <c r="H1589" s="2">
        <v>45447.404166666667</v>
      </c>
      <c r="I1589" t="s">
        <v>230</v>
      </c>
      <c r="Z1589">
        <v>84809</v>
      </c>
    </row>
    <row r="1590" spans="1:26" x14ac:dyDescent="0.25">
      <c r="A1590" t="s">
        <v>2241</v>
      </c>
      <c r="B1590" t="s">
        <v>26</v>
      </c>
      <c r="C1590" t="s">
        <v>27</v>
      </c>
      <c r="H1590" s="2">
        <v>45446.761111111111</v>
      </c>
      <c r="I1590" t="s">
        <v>235</v>
      </c>
      <c r="Z1590">
        <v>84786</v>
      </c>
    </row>
    <row r="1591" spans="1:26" x14ac:dyDescent="0.25">
      <c r="A1591" t="s">
        <v>2242</v>
      </c>
      <c r="B1591" t="s">
        <v>26</v>
      </c>
      <c r="C1591" t="s">
        <v>27</v>
      </c>
      <c r="H1591" s="2">
        <v>45446.676388888889</v>
      </c>
      <c r="I1591" t="s">
        <v>235</v>
      </c>
      <c r="Z1591">
        <v>84771</v>
      </c>
    </row>
    <row r="1592" spans="1:26" x14ac:dyDescent="0.25">
      <c r="A1592" t="s">
        <v>2212</v>
      </c>
      <c r="B1592" t="s">
        <v>26</v>
      </c>
      <c r="C1592" t="s">
        <v>27</v>
      </c>
      <c r="H1592" s="2">
        <v>45446.636805555558</v>
      </c>
      <c r="I1592" t="s">
        <v>235</v>
      </c>
      <c r="Z1592">
        <v>84761</v>
      </c>
    </row>
    <row r="1593" spans="1:26" x14ac:dyDescent="0.25">
      <c r="A1593" t="s">
        <v>2243</v>
      </c>
      <c r="B1593" t="s">
        <v>26</v>
      </c>
      <c r="C1593" t="s">
        <v>27</v>
      </c>
      <c r="H1593" s="2">
        <v>45446.491666666669</v>
      </c>
      <c r="I1593" t="s">
        <v>230</v>
      </c>
      <c r="Z1593">
        <v>84736</v>
      </c>
    </row>
    <row r="1594" spans="1:26" x14ac:dyDescent="0.25">
      <c r="A1594" t="s">
        <v>2244</v>
      </c>
      <c r="B1594" t="s">
        <v>26</v>
      </c>
      <c r="C1594" t="s">
        <v>27</v>
      </c>
      <c r="E1594" t="s">
        <v>173</v>
      </c>
      <c r="H1594" s="2">
        <v>45446.377083333333</v>
      </c>
      <c r="I1594" t="s">
        <v>235</v>
      </c>
      <c r="Z1594">
        <v>84714</v>
      </c>
    </row>
    <row r="1595" spans="1:26" x14ac:dyDescent="0.25">
      <c r="A1595" t="s">
        <v>2245</v>
      </c>
      <c r="B1595" t="s">
        <v>26</v>
      </c>
      <c r="C1595" t="s">
        <v>64</v>
      </c>
      <c r="H1595" s="2">
        <v>45444.518055555556</v>
      </c>
      <c r="I1595" t="s">
        <v>236</v>
      </c>
      <c r="Z1595">
        <v>84623</v>
      </c>
    </row>
    <row r="1596" spans="1:26" x14ac:dyDescent="0.25">
      <c r="A1596" t="s">
        <v>652</v>
      </c>
      <c r="B1596" t="s">
        <v>164</v>
      </c>
      <c r="C1596" t="s">
        <v>27</v>
      </c>
      <c r="E1596" t="s">
        <v>2246</v>
      </c>
      <c r="H1596" s="2">
        <v>45443.861805555556</v>
      </c>
      <c r="I1596" t="s">
        <v>236</v>
      </c>
      <c r="Z1596">
        <v>84603</v>
      </c>
    </row>
    <row r="1597" spans="1:26" x14ac:dyDescent="0.25">
      <c r="A1597" t="s">
        <v>652</v>
      </c>
      <c r="B1597" t="s">
        <v>26</v>
      </c>
      <c r="C1597" t="s">
        <v>27</v>
      </c>
      <c r="H1597" s="2">
        <v>45443.574999999997</v>
      </c>
      <c r="I1597" t="s">
        <v>236</v>
      </c>
      <c r="Z1597">
        <v>84570</v>
      </c>
    </row>
    <row r="1598" spans="1:26" x14ac:dyDescent="0.25">
      <c r="A1598" t="s">
        <v>2247</v>
      </c>
      <c r="B1598" t="s">
        <v>26</v>
      </c>
      <c r="C1598" t="s">
        <v>27</v>
      </c>
      <c r="H1598" s="2">
        <v>45443.527083333334</v>
      </c>
      <c r="I1598" t="s">
        <v>236</v>
      </c>
      <c r="Z1598">
        <v>84564</v>
      </c>
    </row>
    <row r="1599" spans="1:26" x14ac:dyDescent="0.25">
      <c r="A1599" t="s">
        <v>2248</v>
      </c>
      <c r="B1599" t="s">
        <v>26</v>
      </c>
      <c r="C1599" t="s">
        <v>27</v>
      </c>
      <c r="H1599" s="2">
        <v>45443.396527777775</v>
      </c>
      <c r="I1599" t="s">
        <v>230</v>
      </c>
      <c r="Z1599">
        <v>84537</v>
      </c>
    </row>
    <row r="1600" spans="1:26" x14ac:dyDescent="0.25">
      <c r="A1600" t="s">
        <v>2249</v>
      </c>
      <c r="B1600" t="s">
        <v>26</v>
      </c>
      <c r="C1600" t="s">
        <v>27</v>
      </c>
      <c r="H1600" s="2">
        <v>45442.8125</v>
      </c>
      <c r="I1600" t="s">
        <v>236</v>
      </c>
      <c r="Z1600">
        <v>84527</v>
      </c>
    </row>
    <row r="1601" spans="1:26" x14ac:dyDescent="0.25">
      <c r="A1601" t="s">
        <v>2250</v>
      </c>
      <c r="B1601" t="s">
        <v>26</v>
      </c>
      <c r="C1601" t="s">
        <v>27</v>
      </c>
      <c r="H1601" s="2">
        <v>45442.633333333331</v>
      </c>
      <c r="I1601" t="s">
        <v>230</v>
      </c>
      <c r="Z1601">
        <v>84505</v>
      </c>
    </row>
    <row r="1602" spans="1:26" x14ac:dyDescent="0.25">
      <c r="A1602" t="s">
        <v>2251</v>
      </c>
      <c r="B1602" t="s">
        <v>26</v>
      </c>
      <c r="C1602" t="s">
        <v>27</v>
      </c>
      <c r="H1602" s="2">
        <v>45441.876388888886</v>
      </c>
      <c r="I1602" t="s">
        <v>235</v>
      </c>
      <c r="Z1602">
        <v>84477</v>
      </c>
    </row>
    <row r="1603" spans="1:26" x14ac:dyDescent="0.25">
      <c r="A1603" t="s">
        <v>2252</v>
      </c>
      <c r="B1603" t="s">
        <v>26</v>
      </c>
      <c r="C1603" t="s">
        <v>27</v>
      </c>
      <c r="H1603" s="2">
        <v>45441.599305555559</v>
      </c>
      <c r="I1603" t="s">
        <v>230</v>
      </c>
      <c r="Z1603">
        <v>84440</v>
      </c>
    </row>
    <row r="1604" spans="1:26" x14ac:dyDescent="0.25">
      <c r="A1604" t="s">
        <v>2253</v>
      </c>
      <c r="B1604" t="s">
        <v>26</v>
      </c>
      <c r="C1604" t="s">
        <v>27</v>
      </c>
      <c r="H1604" s="2">
        <v>45440.744444444441</v>
      </c>
      <c r="I1604" t="s">
        <v>95</v>
      </c>
      <c r="Z1604">
        <v>84387</v>
      </c>
    </row>
    <row r="1605" spans="1:26" x14ac:dyDescent="0.25">
      <c r="A1605" t="s">
        <v>2254</v>
      </c>
      <c r="B1605" t="s">
        <v>26</v>
      </c>
      <c r="C1605" t="s">
        <v>27</v>
      </c>
      <c r="H1605" s="2">
        <v>45440.728472222225</v>
      </c>
      <c r="I1605" t="s">
        <v>235</v>
      </c>
      <c r="Z1605">
        <v>84384</v>
      </c>
    </row>
    <row r="1606" spans="1:26" x14ac:dyDescent="0.25">
      <c r="A1606" t="s">
        <v>2255</v>
      </c>
      <c r="B1606" t="s">
        <v>150</v>
      </c>
      <c r="C1606" t="s">
        <v>27</v>
      </c>
      <c r="E1606" t="s">
        <v>66</v>
      </c>
      <c r="G1606" t="s">
        <v>2256</v>
      </c>
      <c r="H1606" s="2">
        <v>45440.693749999999</v>
      </c>
      <c r="I1606" t="s">
        <v>235</v>
      </c>
      <c r="Z1606">
        <v>84377</v>
      </c>
    </row>
    <row r="1607" spans="1:26" x14ac:dyDescent="0.25">
      <c r="A1607" t="s">
        <v>245</v>
      </c>
      <c r="B1607" t="s">
        <v>26</v>
      </c>
      <c r="C1607" t="s">
        <v>27</v>
      </c>
      <c r="H1607" s="2">
        <v>45440.664583333331</v>
      </c>
      <c r="I1607" t="s">
        <v>95</v>
      </c>
      <c r="Z1607">
        <v>84373</v>
      </c>
    </row>
    <row r="1608" spans="1:26" x14ac:dyDescent="0.25">
      <c r="A1608" t="s">
        <v>2257</v>
      </c>
      <c r="B1608" t="s">
        <v>26</v>
      </c>
      <c r="C1608" t="s">
        <v>27</v>
      </c>
      <c r="H1608" s="2">
        <v>45440.636111111111</v>
      </c>
      <c r="I1608" t="s">
        <v>153</v>
      </c>
      <c r="Z1608">
        <v>84369</v>
      </c>
    </row>
    <row r="1609" spans="1:26" x14ac:dyDescent="0.25">
      <c r="A1609" t="s">
        <v>2258</v>
      </c>
      <c r="C1609" t="s">
        <v>27</v>
      </c>
      <c r="E1609" t="s">
        <v>53</v>
      </c>
      <c r="H1609" s="2">
        <v>45440.432638888888</v>
      </c>
      <c r="I1609" t="s">
        <v>235</v>
      </c>
      <c r="Z1609">
        <v>84335</v>
      </c>
    </row>
    <row r="1610" spans="1:26" x14ac:dyDescent="0.25">
      <c r="A1610" t="s">
        <v>2259</v>
      </c>
      <c r="B1610" t="s">
        <v>150</v>
      </c>
      <c r="C1610" t="s">
        <v>27</v>
      </c>
      <c r="E1610" t="s">
        <v>44</v>
      </c>
      <c r="G1610" t="s">
        <v>2260</v>
      </c>
      <c r="H1610" s="2">
        <v>45439.831250000003</v>
      </c>
      <c r="I1610" t="s">
        <v>235</v>
      </c>
      <c r="Z1610">
        <v>84322</v>
      </c>
    </row>
    <row r="1611" spans="1:26" x14ac:dyDescent="0.25">
      <c r="A1611" t="s">
        <v>2261</v>
      </c>
      <c r="B1611" t="s">
        <v>26</v>
      </c>
      <c r="C1611" t="s">
        <v>64</v>
      </c>
      <c r="H1611" s="2">
        <v>45439.552083333336</v>
      </c>
      <c r="I1611" t="s">
        <v>235</v>
      </c>
      <c r="Z1611">
        <v>84280</v>
      </c>
    </row>
    <row r="1612" spans="1:26" x14ac:dyDescent="0.25">
      <c r="A1612" t="s">
        <v>2262</v>
      </c>
      <c r="B1612" t="s">
        <v>150</v>
      </c>
      <c r="C1612" t="s">
        <v>27</v>
      </c>
      <c r="E1612" t="s">
        <v>106</v>
      </c>
      <c r="H1612" s="2">
        <v>45439.546527777777</v>
      </c>
      <c r="I1612" t="s">
        <v>235</v>
      </c>
      <c r="Z1612">
        <v>84279</v>
      </c>
    </row>
    <row r="1613" spans="1:26" x14ac:dyDescent="0.25">
      <c r="A1613" t="s">
        <v>2263</v>
      </c>
      <c r="B1613" t="s">
        <v>198</v>
      </c>
      <c r="C1613" t="s">
        <v>27</v>
      </c>
      <c r="E1613" t="s">
        <v>66</v>
      </c>
      <c r="G1613" t="s">
        <v>2264</v>
      </c>
      <c r="H1613" s="2">
        <v>45439.425000000003</v>
      </c>
      <c r="I1613" t="s">
        <v>197</v>
      </c>
      <c r="Z1613">
        <v>84258</v>
      </c>
    </row>
    <row r="1614" spans="1:26" x14ac:dyDescent="0.25">
      <c r="A1614" t="s">
        <v>224</v>
      </c>
      <c r="B1614" t="s">
        <v>26</v>
      </c>
      <c r="C1614" t="s">
        <v>64</v>
      </c>
      <c r="H1614" s="2">
        <v>45437.4375</v>
      </c>
      <c r="I1614" t="s">
        <v>236</v>
      </c>
      <c r="Z1614">
        <v>84138</v>
      </c>
    </row>
    <row r="1615" spans="1:26" x14ac:dyDescent="0.25">
      <c r="A1615" t="s">
        <v>2265</v>
      </c>
      <c r="C1615" t="s">
        <v>27</v>
      </c>
      <c r="E1615" t="s">
        <v>53</v>
      </c>
      <c r="H1615" s="2">
        <v>45437.431250000001</v>
      </c>
      <c r="I1615" t="s">
        <v>236</v>
      </c>
      <c r="Z1615">
        <v>84136</v>
      </c>
    </row>
    <row r="1616" spans="1:26" x14ac:dyDescent="0.25">
      <c r="A1616" t="s">
        <v>2266</v>
      </c>
      <c r="B1616" t="s">
        <v>164</v>
      </c>
      <c r="C1616" t="s">
        <v>27</v>
      </c>
      <c r="E1616" t="s">
        <v>2267</v>
      </c>
      <c r="H1616" s="2">
        <v>45436.924305555556</v>
      </c>
      <c r="I1616" t="s">
        <v>236</v>
      </c>
      <c r="Z1616">
        <v>84130</v>
      </c>
    </row>
    <row r="1617" spans="1:26" x14ac:dyDescent="0.25">
      <c r="A1617" t="s">
        <v>2268</v>
      </c>
      <c r="B1617" t="s">
        <v>26</v>
      </c>
      <c r="C1617" t="s">
        <v>27</v>
      </c>
      <c r="H1617" s="2">
        <v>45436.834722222222</v>
      </c>
      <c r="I1617" t="s">
        <v>230</v>
      </c>
      <c r="Z1617">
        <v>84123</v>
      </c>
    </row>
    <row r="1618" spans="1:26" x14ac:dyDescent="0.25">
      <c r="A1618" t="s">
        <v>2269</v>
      </c>
      <c r="B1618" t="s">
        <v>164</v>
      </c>
      <c r="C1618" t="s">
        <v>27</v>
      </c>
      <c r="E1618" t="s">
        <v>319</v>
      </c>
      <c r="H1618" s="2">
        <v>45436.706250000003</v>
      </c>
      <c r="I1618" t="s">
        <v>236</v>
      </c>
      <c r="K1618" t="s">
        <v>30</v>
      </c>
      <c r="L1618" t="s">
        <v>31</v>
      </c>
      <c r="M1618">
        <v>67130164</v>
      </c>
      <c r="N1618">
        <v>12403825953</v>
      </c>
      <c r="O1618" t="s">
        <v>682</v>
      </c>
      <c r="Z1618">
        <v>84110</v>
      </c>
    </row>
    <row r="1619" spans="1:26" x14ac:dyDescent="0.25">
      <c r="A1619" t="s">
        <v>2270</v>
      </c>
      <c r="B1619" t="s">
        <v>26</v>
      </c>
      <c r="C1619" t="s">
        <v>27</v>
      </c>
      <c r="H1619" s="2">
        <v>45436.668055555558</v>
      </c>
      <c r="I1619" t="s">
        <v>236</v>
      </c>
      <c r="Z1619">
        <v>84097</v>
      </c>
    </row>
    <row r="1620" spans="1:26" x14ac:dyDescent="0.25">
      <c r="A1620" t="s">
        <v>2271</v>
      </c>
      <c r="B1620" t="s">
        <v>26</v>
      </c>
      <c r="C1620" t="s">
        <v>27</v>
      </c>
      <c r="H1620" s="2">
        <v>45436.456944444442</v>
      </c>
      <c r="I1620" t="s">
        <v>236</v>
      </c>
      <c r="Z1620">
        <v>84057</v>
      </c>
    </row>
    <row r="1621" spans="1:26" x14ac:dyDescent="0.25">
      <c r="A1621" t="s">
        <v>652</v>
      </c>
      <c r="B1621" t="s">
        <v>46</v>
      </c>
      <c r="C1621" t="s">
        <v>27</v>
      </c>
      <c r="E1621" t="s">
        <v>209</v>
      </c>
      <c r="G1621" t="s">
        <v>2272</v>
      </c>
      <c r="H1621" s="2">
        <v>45436.361111111109</v>
      </c>
      <c r="I1621" t="s">
        <v>236</v>
      </c>
      <c r="Z1621">
        <v>84043</v>
      </c>
    </row>
    <row r="1622" spans="1:26" x14ac:dyDescent="0.25">
      <c r="A1622" t="s">
        <v>2273</v>
      </c>
      <c r="B1622" t="s">
        <v>164</v>
      </c>
      <c r="C1622" t="s">
        <v>27</v>
      </c>
      <c r="E1622" t="s">
        <v>2274</v>
      </c>
      <c r="H1622" s="2">
        <v>45435.944444444445</v>
      </c>
      <c r="I1622" t="s">
        <v>236</v>
      </c>
      <c r="Z1622">
        <v>84037</v>
      </c>
    </row>
    <row r="1623" spans="1:26" x14ac:dyDescent="0.25">
      <c r="A1623" t="s">
        <v>2275</v>
      </c>
      <c r="B1623" t="s">
        <v>46</v>
      </c>
      <c r="C1623" t="s">
        <v>27</v>
      </c>
      <c r="E1623" t="s">
        <v>209</v>
      </c>
      <c r="G1623" t="s">
        <v>2272</v>
      </c>
      <c r="H1623" s="2">
        <v>45435.725694444445</v>
      </c>
      <c r="I1623" t="s">
        <v>29</v>
      </c>
      <c r="Z1623">
        <v>84015</v>
      </c>
    </row>
    <row r="1624" spans="1:26" x14ac:dyDescent="0.25">
      <c r="A1624" t="s">
        <v>2276</v>
      </c>
      <c r="B1624" t="s">
        <v>26</v>
      </c>
      <c r="C1624" t="s">
        <v>27</v>
      </c>
      <c r="H1624" s="2">
        <v>45435.697222222225</v>
      </c>
      <c r="I1624" t="s">
        <v>230</v>
      </c>
      <c r="Z1624">
        <v>84008</v>
      </c>
    </row>
    <row r="1625" spans="1:26" x14ac:dyDescent="0.25">
      <c r="A1625" t="s">
        <v>2277</v>
      </c>
      <c r="B1625" t="s">
        <v>26</v>
      </c>
      <c r="C1625" t="s">
        <v>27</v>
      </c>
      <c r="H1625" s="2">
        <v>45435.540972222225</v>
      </c>
      <c r="I1625" t="s">
        <v>197</v>
      </c>
      <c r="Z1625">
        <v>83987</v>
      </c>
    </row>
    <row r="1626" spans="1:26" x14ac:dyDescent="0.25">
      <c r="A1626" t="s">
        <v>2278</v>
      </c>
      <c r="B1626" t="s">
        <v>26</v>
      </c>
      <c r="C1626" t="s">
        <v>27</v>
      </c>
      <c r="H1626" s="2">
        <v>45435.379166666666</v>
      </c>
      <c r="I1626" t="s">
        <v>197</v>
      </c>
      <c r="Z1626">
        <v>83970</v>
      </c>
    </row>
    <row r="1627" spans="1:26" x14ac:dyDescent="0.25">
      <c r="A1627" t="s">
        <v>2279</v>
      </c>
      <c r="B1627" t="s">
        <v>164</v>
      </c>
      <c r="C1627" t="s">
        <v>27</v>
      </c>
      <c r="E1627" t="s">
        <v>58</v>
      </c>
      <c r="H1627" s="2">
        <v>45434.917361111111</v>
      </c>
      <c r="I1627" t="s">
        <v>29</v>
      </c>
      <c r="K1627" t="s">
        <v>30</v>
      </c>
      <c r="L1627" t="s">
        <v>31</v>
      </c>
      <c r="M1627">
        <v>55887024</v>
      </c>
      <c r="N1627">
        <v>9754613619</v>
      </c>
      <c r="O1627" t="s">
        <v>2280</v>
      </c>
      <c r="Z1627">
        <v>83967</v>
      </c>
    </row>
    <row r="1628" spans="1:26" x14ac:dyDescent="0.25">
      <c r="A1628" t="s">
        <v>2281</v>
      </c>
      <c r="C1628" t="s">
        <v>27</v>
      </c>
      <c r="E1628" t="s">
        <v>128</v>
      </c>
      <c r="H1628" s="2">
        <v>45434.84097222222</v>
      </c>
      <c r="I1628" t="s">
        <v>29</v>
      </c>
      <c r="Z1628">
        <v>83962</v>
      </c>
    </row>
    <row r="1629" spans="1:26" x14ac:dyDescent="0.25">
      <c r="A1629" t="s">
        <v>2282</v>
      </c>
      <c r="B1629" t="s">
        <v>26</v>
      </c>
      <c r="C1629" t="s">
        <v>27</v>
      </c>
      <c r="H1629" s="2">
        <v>45434.784722222219</v>
      </c>
      <c r="I1629" t="s">
        <v>153</v>
      </c>
      <c r="Z1629">
        <v>83956</v>
      </c>
    </row>
    <row r="1630" spans="1:26" x14ac:dyDescent="0.25">
      <c r="A1630" t="s">
        <v>2283</v>
      </c>
      <c r="B1630" t="s">
        <v>26</v>
      </c>
      <c r="C1630" t="s">
        <v>27</v>
      </c>
      <c r="H1630" s="2">
        <v>45434.78125</v>
      </c>
      <c r="I1630" t="s">
        <v>153</v>
      </c>
      <c r="Z1630">
        <v>83955</v>
      </c>
    </row>
    <row r="1631" spans="1:26" x14ac:dyDescent="0.25">
      <c r="A1631" t="s">
        <v>2284</v>
      </c>
      <c r="B1631" t="s">
        <v>26</v>
      </c>
      <c r="C1631" t="s">
        <v>27</v>
      </c>
      <c r="H1631" s="2">
        <v>45434.780555555553</v>
      </c>
      <c r="I1631" t="s">
        <v>153</v>
      </c>
      <c r="Z1631">
        <v>83954</v>
      </c>
    </row>
    <row r="1632" spans="1:26" x14ac:dyDescent="0.25">
      <c r="A1632" t="s">
        <v>2285</v>
      </c>
      <c r="B1632" t="s">
        <v>26</v>
      </c>
      <c r="C1632" t="s">
        <v>27</v>
      </c>
      <c r="H1632" s="2">
        <v>45434.643750000003</v>
      </c>
      <c r="I1632" t="s">
        <v>153</v>
      </c>
      <c r="Z1632">
        <v>83934</v>
      </c>
    </row>
    <row r="1633" spans="1:26" x14ac:dyDescent="0.25">
      <c r="A1633" t="s">
        <v>2286</v>
      </c>
      <c r="B1633" t="s">
        <v>198</v>
      </c>
      <c r="C1633" t="s">
        <v>27</v>
      </c>
      <c r="E1633" t="s">
        <v>70</v>
      </c>
      <c r="G1633" t="s">
        <v>2287</v>
      </c>
      <c r="H1633" s="2">
        <v>45434.52847222222</v>
      </c>
      <c r="I1633" t="s">
        <v>29</v>
      </c>
      <c r="K1633" t="s">
        <v>30</v>
      </c>
      <c r="L1633" t="s">
        <v>31</v>
      </c>
      <c r="M1633">
        <v>55887024</v>
      </c>
      <c r="N1633">
        <v>9754613615</v>
      </c>
      <c r="O1633" t="s">
        <v>2144</v>
      </c>
      <c r="Z1633">
        <v>83915</v>
      </c>
    </row>
    <row r="1634" spans="1:26" x14ac:dyDescent="0.25">
      <c r="A1634" t="s">
        <v>2288</v>
      </c>
      <c r="B1634" t="s">
        <v>150</v>
      </c>
      <c r="C1634" t="s">
        <v>27</v>
      </c>
      <c r="E1634" t="s">
        <v>2289</v>
      </c>
      <c r="H1634" s="2">
        <v>45434.493750000001</v>
      </c>
      <c r="I1634" t="s">
        <v>236</v>
      </c>
      <c r="Z1634">
        <v>83908</v>
      </c>
    </row>
    <row r="1635" spans="1:26" x14ac:dyDescent="0.25">
      <c r="A1635" t="s">
        <v>2290</v>
      </c>
      <c r="B1635" t="s">
        <v>26</v>
      </c>
      <c r="C1635" t="s">
        <v>27</v>
      </c>
      <c r="H1635" s="2">
        <v>45433.775000000001</v>
      </c>
      <c r="I1635" t="s">
        <v>235</v>
      </c>
      <c r="Z1635">
        <v>83874</v>
      </c>
    </row>
    <row r="1636" spans="1:26" x14ac:dyDescent="0.25">
      <c r="A1636" t="s">
        <v>2291</v>
      </c>
      <c r="B1636" t="s">
        <v>164</v>
      </c>
      <c r="C1636" t="s">
        <v>27</v>
      </c>
      <c r="E1636" t="s">
        <v>131</v>
      </c>
      <c r="H1636" s="2">
        <v>45433.643055555556</v>
      </c>
      <c r="I1636" t="s">
        <v>236</v>
      </c>
      <c r="Z1636">
        <v>83855</v>
      </c>
    </row>
    <row r="1637" spans="1:26" x14ac:dyDescent="0.25">
      <c r="A1637" t="s">
        <v>2292</v>
      </c>
      <c r="C1637" t="s">
        <v>27</v>
      </c>
      <c r="E1637" t="s">
        <v>45</v>
      </c>
      <c r="H1637" s="2">
        <v>45433.629166666666</v>
      </c>
      <c r="I1637" t="s">
        <v>95</v>
      </c>
      <c r="Z1637">
        <v>83848</v>
      </c>
    </row>
    <row r="1638" spans="1:26" x14ac:dyDescent="0.25">
      <c r="A1638" t="s">
        <v>2293</v>
      </c>
      <c r="B1638" t="s">
        <v>26</v>
      </c>
      <c r="C1638" t="s">
        <v>27</v>
      </c>
      <c r="H1638" s="2">
        <v>45433.625</v>
      </c>
      <c r="I1638" t="s">
        <v>235</v>
      </c>
      <c r="Z1638">
        <v>83847</v>
      </c>
    </row>
    <row r="1639" spans="1:26" x14ac:dyDescent="0.25">
      <c r="A1639" t="s">
        <v>109</v>
      </c>
      <c r="C1639" t="s">
        <v>27</v>
      </c>
      <c r="E1639" t="s">
        <v>45</v>
      </c>
      <c r="H1639" s="2">
        <v>45433.572222222225</v>
      </c>
      <c r="I1639" t="s">
        <v>95</v>
      </c>
      <c r="Z1639">
        <v>83838</v>
      </c>
    </row>
    <row r="1640" spans="1:26" x14ac:dyDescent="0.25">
      <c r="A1640" t="s">
        <v>2294</v>
      </c>
      <c r="B1640" t="s">
        <v>26</v>
      </c>
      <c r="C1640" t="s">
        <v>27</v>
      </c>
      <c r="H1640" s="2">
        <v>45433.492361111108</v>
      </c>
      <c r="I1640" t="s">
        <v>235</v>
      </c>
      <c r="Z1640">
        <v>83819</v>
      </c>
    </row>
    <row r="1641" spans="1:26" x14ac:dyDescent="0.25">
      <c r="A1641" t="s">
        <v>1256</v>
      </c>
      <c r="B1641" t="s">
        <v>26</v>
      </c>
      <c r="C1641" t="s">
        <v>27</v>
      </c>
      <c r="H1641" s="2">
        <v>45432.813888888886</v>
      </c>
      <c r="I1641" t="s">
        <v>236</v>
      </c>
      <c r="Z1641">
        <v>83781</v>
      </c>
    </row>
    <row r="1642" spans="1:26" x14ac:dyDescent="0.25">
      <c r="A1642" t="s">
        <v>2295</v>
      </c>
      <c r="B1642" t="s">
        <v>26</v>
      </c>
      <c r="C1642" t="s">
        <v>27</v>
      </c>
      <c r="H1642" s="2">
        <v>45432.772222222222</v>
      </c>
      <c r="I1642" t="s">
        <v>236</v>
      </c>
      <c r="Z1642">
        <v>83772</v>
      </c>
    </row>
    <row r="1643" spans="1:26" x14ac:dyDescent="0.25">
      <c r="A1643" t="s">
        <v>2296</v>
      </c>
      <c r="B1643" t="s">
        <v>26</v>
      </c>
      <c r="C1643" t="s">
        <v>27</v>
      </c>
      <c r="H1643" s="2">
        <v>45432.636805555558</v>
      </c>
      <c r="I1643" t="s">
        <v>236</v>
      </c>
      <c r="Z1643">
        <v>83757</v>
      </c>
    </row>
    <row r="1644" spans="1:26" x14ac:dyDescent="0.25">
      <c r="A1644" t="s">
        <v>2297</v>
      </c>
      <c r="B1644" t="s">
        <v>26</v>
      </c>
      <c r="C1644" t="s">
        <v>27</v>
      </c>
      <c r="H1644" s="2">
        <v>45432.552777777775</v>
      </c>
      <c r="I1644" t="s">
        <v>235</v>
      </c>
      <c r="Z1644">
        <v>83738</v>
      </c>
    </row>
    <row r="1645" spans="1:26" x14ac:dyDescent="0.25">
      <c r="A1645" t="s">
        <v>2298</v>
      </c>
      <c r="B1645" t="s">
        <v>26</v>
      </c>
      <c r="C1645" t="s">
        <v>27</v>
      </c>
      <c r="H1645" s="2">
        <v>45432.513888888891</v>
      </c>
      <c r="I1645" t="s">
        <v>236</v>
      </c>
      <c r="Z1645">
        <v>83725</v>
      </c>
    </row>
    <row r="1646" spans="1:26" x14ac:dyDescent="0.25">
      <c r="A1646" t="s">
        <v>2299</v>
      </c>
      <c r="B1646" t="s">
        <v>26</v>
      </c>
      <c r="C1646" t="s">
        <v>27</v>
      </c>
      <c r="H1646" s="2">
        <v>45432.388194444444</v>
      </c>
      <c r="I1646" t="s">
        <v>236</v>
      </c>
      <c r="Z1646">
        <v>83704</v>
      </c>
    </row>
    <row r="1647" spans="1:26" x14ac:dyDescent="0.25">
      <c r="A1647" t="s">
        <v>2300</v>
      </c>
      <c r="B1647" t="s">
        <v>26</v>
      </c>
      <c r="C1647" t="s">
        <v>27</v>
      </c>
      <c r="H1647" s="2">
        <v>45431.71875</v>
      </c>
      <c r="I1647" t="s">
        <v>197</v>
      </c>
      <c r="Z1647">
        <v>83686</v>
      </c>
    </row>
    <row r="1648" spans="1:26" x14ac:dyDescent="0.25">
      <c r="A1648" t="s">
        <v>2301</v>
      </c>
      <c r="B1648" t="s">
        <v>26</v>
      </c>
      <c r="C1648" t="s">
        <v>27</v>
      </c>
      <c r="H1648" s="2">
        <v>45431.709027777775</v>
      </c>
      <c r="I1648" t="s">
        <v>197</v>
      </c>
      <c r="Z1648">
        <v>83685</v>
      </c>
    </row>
    <row r="1649" spans="1:26" x14ac:dyDescent="0.25">
      <c r="A1649" t="s">
        <v>2165</v>
      </c>
      <c r="B1649" t="s">
        <v>26</v>
      </c>
      <c r="C1649" t="s">
        <v>27</v>
      </c>
      <c r="H1649" s="2">
        <v>45430.506249999999</v>
      </c>
      <c r="I1649" t="s">
        <v>197</v>
      </c>
      <c r="Z1649">
        <v>83589</v>
      </c>
    </row>
    <row r="1650" spans="1:26" x14ac:dyDescent="0.25">
      <c r="A1650" t="s">
        <v>712</v>
      </c>
      <c r="B1650" t="s">
        <v>26</v>
      </c>
      <c r="C1650" t="s">
        <v>27</v>
      </c>
      <c r="H1650" s="2">
        <v>45430.37222222222</v>
      </c>
      <c r="I1650" t="s">
        <v>197</v>
      </c>
      <c r="Z1650">
        <v>83568</v>
      </c>
    </row>
    <row r="1651" spans="1:26" x14ac:dyDescent="0.25">
      <c r="A1651" t="s">
        <v>2302</v>
      </c>
      <c r="B1651" t="s">
        <v>26</v>
      </c>
      <c r="C1651" t="s">
        <v>27</v>
      </c>
      <c r="H1651" s="2">
        <v>45429.806250000001</v>
      </c>
      <c r="I1651" t="s">
        <v>197</v>
      </c>
      <c r="Z1651">
        <v>83550</v>
      </c>
    </row>
    <row r="1652" spans="1:26" x14ac:dyDescent="0.25">
      <c r="A1652" t="s">
        <v>2303</v>
      </c>
      <c r="B1652" t="s">
        <v>150</v>
      </c>
      <c r="C1652" t="s">
        <v>27</v>
      </c>
      <c r="E1652" t="s">
        <v>72</v>
      </c>
      <c r="H1652" s="2">
        <v>45428.893750000003</v>
      </c>
      <c r="I1652" t="s">
        <v>235</v>
      </c>
      <c r="K1652" t="s">
        <v>30</v>
      </c>
      <c r="L1652" t="s">
        <v>31</v>
      </c>
      <c r="M1652">
        <v>55887024</v>
      </c>
      <c r="N1652">
        <v>9754613610</v>
      </c>
      <c r="O1652" t="s">
        <v>2304</v>
      </c>
      <c r="Z1652">
        <v>83472</v>
      </c>
    </row>
    <row r="1653" spans="1:26" x14ac:dyDescent="0.25">
      <c r="A1653" t="s">
        <v>2305</v>
      </c>
      <c r="B1653" t="s">
        <v>26</v>
      </c>
      <c r="C1653" t="s">
        <v>27</v>
      </c>
      <c r="H1653" s="2">
        <v>45428.71597222222</v>
      </c>
      <c r="I1653" t="s">
        <v>236</v>
      </c>
      <c r="Z1653">
        <v>83446</v>
      </c>
    </row>
    <row r="1654" spans="1:26" x14ac:dyDescent="0.25">
      <c r="A1654" t="s">
        <v>1256</v>
      </c>
      <c r="B1654" t="s">
        <v>26</v>
      </c>
      <c r="C1654" t="s">
        <v>27</v>
      </c>
      <c r="H1654" s="2">
        <v>45427.532638888886</v>
      </c>
      <c r="I1654" t="s">
        <v>236</v>
      </c>
      <c r="Z1654">
        <v>83325</v>
      </c>
    </row>
    <row r="1655" spans="1:26" x14ac:dyDescent="0.25">
      <c r="A1655" t="s">
        <v>2306</v>
      </c>
      <c r="B1655" t="s">
        <v>164</v>
      </c>
      <c r="C1655" t="s">
        <v>27</v>
      </c>
      <c r="E1655" t="s">
        <v>84</v>
      </c>
      <c r="H1655" s="2">
        <v>45427.458333333336</v>
      </c>
      <c r="I1655" t="s">
        <v>29</v>
      </c>
      <c r="K1655" t="s">
        <v>30</v>
      </c>
      <c r="L1655" t="s">
        <v>31</v>
      </c>
      <c r="M1655">
        <v>55887050</v>
      </c>
      <c r="N1655">
        <v>9754616088</v>
      </c>
      <c r="O1655" t="s">
        <v>682</v>
      </c>
      <c r="Z1655">
        <v>83316</v>
      </c>
    </row>
    <row r="1656" spans="1:26" x14ac:dyDescent="0.25">
      <c r="A1656" t="s">
        <v>2307</v>
      </c>
      <c r="B1656" t="s">
        <v>26</v>
      </c>
      <c r="C1656" t="s">
        <v>27</v>
      </c>
      <c r="H1656" s="2">
        <v>45426.786111111112</v>
      </c>
      <c r="I1656" t="s">
        <v>235</v>
      </c>
      <c r="Z1656">
        <v>83286</v>
      </c>
    </row>
    <row r="1657" spans="1:26" x14ac:dyDescent="0.25">
      <c r="A1657" t="s">
        <v>1054</v>
      </c>
      <c r="B1657" t="s">
        <v>26</v>
      </c>
      <c r="C1657" t="s">
        <v>27</v>
      </c>
      <c r="H1657" s="2">
        <v>45426.71875</v>
      </c>
      <c r="I1657" t="s">
        <v>236</v>
      </c>
      <c r="Z1657">
        <v>83267</v>
      </c>
    </row>
    <row r="1658" spans="1:26" x14ac:dyDescent="0.25">
      <c r="A1658" t="s">
        <v>2308</v>
      </c>
      <c r="B1658" t="s">
        <v>198</v>
      </c>
      <c r="C1658" t="s">
        <v>27</v>
      </c>
      <c r="E1658" t="s">
        <v>193</v>
      </c>
      <c r="H1658" s="2">
        <v>45426.585416666669</v>
      </c>
      <c r="I1658" t="s">
        <v>236</v>
      </c>
      <c r="K1658" t="s">
        <v>30</v>
      </c>
      <c r="L1658" t="s">
        <v>31</v>
      </c>
      <c r="M1658">
        <v>55887024</v>
      </c>
      <c r="N1658" t="s">
        <v>2309</v>
      </c>
      <c r="O1658" t="s">
        <v>2310</v>
      </c>
      <c r="Z1658">
        <v>83252</v>
      </c>
    </row>
    <row r="1659" spans="1:26" x14ac:dyDescent="0.25">
      <c r="A1659" t="s">
        <v>2311</v>
      </c>
      <c r="B1659" t="s">
        <v>26</v>
      </c>
      <c r="C1659" t="s">
        <v>27</v>
      </c>
      <c r="H1659" s="2">
        <v>45426.580555555556</v>
      </c>
      <c r="I1659" t="s">
        <v>236</v>
      </c>
      <c r="Z1659">
        <v>83251</v>
      </c>
    </row>
    <row r="1660" spans="1:26" x14ac:dyDescent="0.25">
      <c r="A1660" t="s">
        <v>652</v>
      </c>
      <c r="B1660" t="s">
        <v>26</v>
      </c>
      <c r="C1660" t="s">
        <v>27</v>
      </c>
      <c r="H1660" s="2">
        <v>45426.545138888891</v>
      </c>
      <c r="I1660" t="s">
        <v>236</v>
      </c>
      <c r="Z1660">
        <v>83240</v>
      </c>
    </row>
    <row r="1661" spans="1:26" x14ac:dyDescent="0.25">
      <c r="A1661" t="s">
        <v>2312</v>
      </c>
      <c r="B1661" t="s">
        <v>26</v>
      </c>
      <c r="C1661" t="s">
        <v>27</v>
      </c>
      <c r="H1661" s="2">
        <v>45426.523611111108</v>
      </c>
      <c r="I1661" t="s">
        <v>236</v>
      </c>
      <c r="Z1661">
        <v>83236</v>
      </c>
    </row>
    <row r="1662" spans="1:26" x14ac:dyDescent="0.25">
      <c r="A1662" t="s">
        <v>2313</v>
      </c>
      <c r="B1662" t="s">
        <v>46</v>
      </c>
      <c r="C1662" t="s">
        <v>27</v>
      </c>
      <c r="E1662" t="s">
        <v>84</v>
      </c>
      <c r="G1662" t="s">
        <v>2314</v>
      </c>
      <c r="H1662" s="2">
        <v>45426.478472222225</v>
      </c>
      <c r="I1662" t="s">
        <v>29</v>
      </c>
      <c r="Z1662">
        <v>83228</v>
      </c>
    </row>
    <row r="1663" spans="1:26" x14ac:dyDescent="0.25">
      <c r="A1663" t="s">
        <v>2151</v>
      </c>
      <c r="B1663" t="s">
        <v>150</v>
      </c>
      <c r="C1663" t="s">
        <v>64</v>
      </c>
      <c r="E1663" t="s">
        <v>247</v>
      </c>
      <c r="H1663" s="2">
        <v>45426.477777777778</v>
      </c>
      <c r="I1663" t="s">
        <v>236</v>
      </c>
      <c r="Z1663">
        <v>83227</v>
      </c>
    </row>
    <row r="1664" spans="1:26" x14ac:dyDescent="0.25">
      <c r="A1664" t="s">
        <v>2315</v>
      </c>
      <c r="B1664" t="s">
        <v>26</v>
      </c>
      <c r="C1664" t="s">
        <v>27</v>
      </c>
      <c r="H1664" s="2">
        <v>45426.381249999999</v>
      </c>
      <c r="I1664" t="s">
        <v>236</v>
      </c>
      <c r="Z1664">
        <v>83212</v>
      </c>
    </row>
    <row r="1665" spans="1:26" x14ac:dyDescent="0.25">
      <c r="A1665" t="s">
        <v>102</v>
      </c>
      <c r="B1665" t="s">
        <v>77</v>
      </c>
      <c r="C1665" t="s">
        <v>27</v>
      </c>
      <c r="E1665" t="s">
        <v>43</v>
      </c>
      <c r="H1665" s="2">
        <v>45425.990277777775</v>
      </c>
      <c r="I1665" t="s">
        <v>95</v>
      </c>
      <c r="Z1665">
        <v>83210</v>
      </c>
    </row>
    <row r="1666" spans="1:26" x14ac:dyDescent="0.25">
      <c r="A1666" t="s">
        <v>2316</v>
      </c>
      <c r="B1666" t="s">
        <v>26</v>
      </c>
      <c r="C1666" t="s">
        <v>27</v>
      </c>
      <c r="H1666" s="2">
        <v>45425.769444444442</v>
      </c>
      <c r="I1666" t="s">
        <v>197</v>
      </c>
      <c r="Z1666">
        <v>83196</v>
      </c>
    </row>
    <row r="1667" spans="1:26" x14ac:dyDescent="0.25">
      <c r="A1667" t="s">
        <v>2317</v>
      </c>
      <c r="B1667" t="s">
        <v>46</v>
      </c>
      <c r="C1667" t="s">
        <v>27</v>
      </c>
      <c r="E1667" t="s">
        <v>84</v>
      </c>
      <c r="G1667" t="s">
        <v>2318</v>
      </c>
      <c r="H1667" s="2">
        <v>45425.580555555556</v>
      </c>
      <c r="I1667" t="s">
        <v>197</v>
      </c>
      <c r="Z1667">
        <v>83165</v>
      </c>
    </row>
    <row r="1668" spans="1:26" x14ac:dyDescent="0.25">
      <c r="A1668" t="s">
        <v>2319</v>
      </c>
      <c r="B1668" t="s">
        <v>77</v>
      </c>
      <c r="C1668" t="s">
        <v>27</v>
      </c>
      <c r="E1668" t="s">
        <v>73</v>
      </c>
      <c r="H1668" s="2">
        <v>45425.460416666669</v>
      </c>
      <c r="I1668" t="s">
        <v>197</v>
      </c>
      <c r="Z1668">
        <v>83142</v>
      </c>
    </row>
    <row r="1669" spans="1:26" x14ac:dyDescent="0.25">
      <c r="A1669" t="s">
        <v>2320</v>
      </c>
      <c r="B1669" t="s">
        <v>26</v>
      </c>
      <c r="C1669" t="s">
        <v>27</v>
      </c>
      <c r="H1669" s="2">
        <v>45424.731249999997</v>
      </c>
      <c r="I1669" t="s">
        <v>197</v>
      </c>
      <c r="Z1669">
        <v>83100</v>
      </c>
    </row>
    <row r="1670" spans="1:26" x14ac:dyDescent="0.25">
      <c r="A1670" t="s">
        <v>2321</v>
      </c>
      <c r="B1670" t="s">
        <v>26</v>
      </c>
      <c r="C1670" t="s">
        <v>27</v>
      </c>
      <c r="H1670" s="2">
        <v>45424.584027777775</v>
      </c>
      <c r="I1670" t="s">
        <v>197</v>
      </c>
      <c r="Z1670">
        <v>83083</v>
      </c>
    </row>
    <row r="1671" spans="1:26" x14ac:dyDescent="0.25">
      <c r="A1671" t="s">
        <v>1256</v>
      </c>
      <c r="B1671" t="s">
        <v>26</v>
      </c>
      <c r="C1671" t="s">
        <v>27</v>
      </c>
      <c r="H1671" s="2">
        <v>45423.754861111112</v>
      </c>
      <c r="I1671" t="s">
        <v>197</v>
      </c>
      <c r="Z1671">
        <v>83057</v>
      </c>
    </row>
    <row r="1672" spans="1:26" x14ac:dyDescent="0.25">
      <c r="A1672" t="s">
        <v>2322</v>
      </c>
      <c r="B1672" t="s">
        <v>26</v>
      </c>
      <c r="C1672" t="s">
        <v>27</v>
      </c>
      <c r="H1672" s="2">
        <v>45423.489583333336</v>
      </c>
      <c r="I1672" t="s">
        <v>197</v>
      </c>
      <c r="Z1672">
        <v>83035</v>
      </c>
    </row>
    <row r="1673" spans="1:26" x14ac:dyDescent="0.25">
      <c r="A1673" t="s">
        <v>2323</v>
      </c>
      <c r="B1673" t="s">
        <v>26</v>
      </c>
      <c r="C1673" t="s">
        <v>27</v>
      </c>
      <c r="H1673" s="2">
        <v>45422.674305555556</v>
      </c>
      <c r="I1673" t="s">
        <v>235</v>
      </c>
      <c r="Z1673">
        <v>83004</v>
      </c>
    </row>
    <row r="1674" spans="1:26" x14ac:dyDescent="0.25">
      <c r="A1674" t="s">
        <v>2324</v>
      </c>
      <c r="B1674" t="s">
        <v>26</v>
      </c>
      <c r="C1674" t="s">
        <v>27</v>
      </c>
      <c r="H1674" s="2">
        <v>45422.656944444447</v>
      </c>
      <c r="I1674" t="s">
        <v>236</v>
      </c>
      <c r="Z1674">
        <v>83003</v>
      </c>
    </row>
    <row r="1675" spans="1:26" x14ac:dyDescent="0.25">
      <c r="A1675" t="s">
        <v>2325</v>
      </c>
      <c r="B1675" t="s">
        <v>26</v>
      </c>
      <c r="C1675" t="s">
        <v>27</v>
      </c>
      <c r="H1675" s="2">
        <v>45422.580555555556</v>
      </c>
      <c r="I1675" t="s">
        <v>235</v>
      </c>
      <c r="Z1675">
        <v>82990</v>
      </c>
    </row>
    <row r="1676" spans="1:26" x14ac:dyDescent="0.25">
      <c r="A1676" t="s">
        <v>2326</v>
      </c>
      <c r="B1676" t="s">
        <v>26</v>
      </c>
      <c r="C1676" t="s">
        <v>27</v>
      </c>
      <c r="H1676" s="2">
        <v>45422.494444444441</v>
      </c>
      <c r="I1676" t="s">
        <v>95</v>
      </c>
      <c r="Z1676">
        <v>82982</v>
      </c>
    </row>
    <row r="1677" spans="1:26" x14ac:dyDescent="0.25">
      <c r="A1677" t="s">
        <v>2327</v>
      </c>
      <c r="B1677" t="s">
        <v>26</v>
      </c>
      <c r="C1677" t="s">
        <v>27</v>
      </c>
      <c r="H1677" s="2">
        <v>45420.722916666666</v>
      </c>
      <c r="I1677" t="s">
        <v>236</v>
      </c>
      <c r="Z1677">
        <v>82901</v>
      </c>
    </row>
    <row r="1678" spans="1:26" x14ac:dyDescent="0.25">
      <c r="A1678" t="s">
        <v>1054</v>
      </c>
      <c r="B1678" t="s">
        <v>26</v>
      </c>
      <c r="C1678" t="s">
        <v>27</v>
      </c>
      <c r="H1678" s="2">
        <v>45420.599305555559</v>
      </c>
      <c r="I1678" t="s">
        <v>236</v>
      </c>
      <c r="Z1678">
        <v>82882</v>
      </c>
    </row>
    <row r="1679" spans="1:26" x14ac:dyDescent="0.25">
      <c r="A1679" t="s">
        <v>712</v>
      </c>
      <c r="B1679" t="s">
        <v>150</v>
      </c>
      <c r="C1679" t="s">
        <v>27</v>
      </c>
      <c r="E1679" t="s">
        <v>195</v>
      </c>
      <c r="H1679" s="2">
        <v>45420.598611111112</v>
      </c>
      <c r="I1679" t="s">
        <v>236</v>
      </c>
      <c r="K1679" t="s">
        <v>30</v>
      </c>
      <c r="L1679" t="s">
        <v>31</v>
      </c>
      <c r="M1679">
        <v>67130164</v>
      </c>
      <c r="N1679">
        <v>12403825923</v>
      </c>
      <c r="O1679" t="s">
        <v>682</v>
      </c>
      <c r="Z1679">
        <v>82881</v>
      </c>
    </row>
    <row r="1680" spans="1:26" x14ac:dyDescent="0.25">
      <c r="A1680" t="s">
        <v>2328</v>
      </c>
      <c r="B1680" t="s">
        <v>26</v>
      </c>
      <c r="C1680" t="s">
        <v>27</v>
      </c>
      <c r="H1680" s="2">
        <v>45420.5625</v>
      </c>
      <c r="I1680" t="s">
        <v>236</v>
      </c>
      <c r="Z1680">
        <v>82874</v>
      </c>
    </row>
    <row r="1681" spans="1:26" x14ac:dyDescent="0.25">
      <c r="A1681" t="s">
        <v>2329</v>
      </c>
      <c r="B1681" t="s">
        <v>26</v>
      </c>
      <c r="C1681" t="s">
        <v>27</v>
      </c>
      <c r="H1681" s="2">
        <v>45420.539583333331</v>
      </c>
      <c r="I1681" t="s">
        <v>236</v>
      </c>
      <c r="Z1681">
        <v>82869</v>
      </c>
    </row>
    <row r="1682" spans="1:26" x14ac:dyDescent="0.25">
      <c r="A1682" t="s">
        <v>891</v>
      </c>
      <c r="C1682" t="s">
        <v>27</v>
      </c>
      <c r="E1682" t="s">
        <v>45</v>
      </c>
      <c r="H1682" s="2">
        <v>45419.647916666669</v>
      </c>
      <c r="I1682" t="s">
        <v>236</v>
      </c>
      <c r="Z1682">
        <v>82835</v>
      </c>
    </row>
    <row r="1683" spans="1:26" x14ac:dyDescent="0.25">
      <c r="A1683" t="s">
        <v>891</v>
      </c>
      <c r="C1683" t="s">
        <v>27</v>
      </c>
      <c r="E1683" t="s">
        <v>173</v>
      </c>
      <c r="H1683" s="2">
        <v>45419.629861111112</v>
      </c>
      <c r="I1683" t="s">
        <v>236</v>
      </c>
      <c r="Z1683">
        <v>82834</v>
      </c>
    </row>
    <row r="1684" spans="1:26" x14ac:dyDescent="0.25">
      <c r="A1684" t="s">
        <v>2330</v>
      </c>
      <c r="B1684" t="s">
        <v>26</v>
      </c>
      <c r="C1684" t="s">
        <v>27</v>
      </c>
      <c r="H1684" s="2">
        <v>45418.797222222223</v>
      </c>
      <c r="I1684" t="s">
        <v>197</v>
      </c>
      <c r="Z1684">
        <v>82798</v>
      </c>
    </row>
    <row r="1685" spans="1:26" x14ac:dyDescent="0.25">
      <c r="A1685" t="s">
        <v>1054</v>
      </c>
      <c r="B1685" t="s">
        <v>26</v>
      </c>
      <c r="C1685" t="s">
        <v>27</v>
      </c>
      <c r="H1685" s="2">
        <v>45418.746527777781</v>
      </c>
      <c r="I1685" t="s">
        <v>236</v>
      </c>
      <c r="Z1685">
        <v>82794</v>
      </c>
    </row>
    <row r="1686" spans="1:26" x14ac:dyDescent="0.25">
      <c r="A1686" t="s">
        <v>2331</v>
      </c>
      <c r="B1686" t="s">
        <v>26</v>
      </c>
      <c r="C1686" t="s">
        <v>27</v>
      </c>
      <c r="H1686" s="2">
        <v>45418.526388888888</v>
      </c>
      <c r="I1686" t="s">
        <v>236</v>
      </c>
      <c r="Z1686">
        <v>82760</v>
      </c>
    </row>
    <row r="1687" spans="1:26" x14ac:dyDescent="0.25">
      <c r="A1687" t="s">
        <v>2332</v>
      </c>
      <c r="B1687" t="s">
        <v>26</v>
      </c>
      <c r="C1687" t="s">
        <v>27</v>
      </c>
      <c r="E1687" t="s">
        <v>114</v>
      </c>
      <c r="H1687" s="2">
        <v>45418.498611111114</v>
      </c>
      <c r="I1687" t="s">
        <v>29</v>
      </c>
      <c r="Z1687">
        <v>82753</v>
      </c>
    </row>
    <row r="1688" spans="1:26" x14ac:dyDescent="0.25">
      <c r="A1688" t="s">
        <v>2333</v>
      </c>
      <c r="B1688" t="s">
        <v>26</v>
      </c>
      <c r="C1688" t="s">
        <v>27</v>
      </c>
      <c r="H1688" s="2">
        <v>45418.477083333331</v>
      </c>
      <c r="I1688" t="s">
        <v>197</v>
      </c>
      <c r="Z1688">
        <v>82748</v>
      </c>
    </row>
    <row r="1689" spans="1:26" x14ac:dyDescent="0.25">
      <c r="A1689" t="s">
        <v>2334</v>
      </c>
      <c r="B1689" t="s">
        <v>150</v>
      </c>
      <c r="C1689" t="s">
        <v>27</v>
      </c>
      <c r="E1689" t="s">
        <v>2335</v>
      </c>
      <c r="H1689" s="2">
        <v>45418.384027777778</v>
      </c>
      <c r="I1689" t="s">
        <v>197</v>
      </c>
      <c r="K1689" t="s">
        <v>30</v>
      </c>
      <c r="L1689" t="s">
        <v>31</v>
      </c>
      <c r="M1689">
        <v>104108031</v>
      </c>
      <c r="N1689">
        <v>15719003151</v>
      </c>
      <c r="O1689" t="s">
        <v>213</v>
      </c>
      <c r="Z1689">
        <v>82711</v>
      </c>
    </row>
    <row r="1690" spans="1:26" x14ac:dyDescent="0.25">
      <c r="A1690" t="s">
        <v>2336</v>
      </c>
      <c r="C1690" t="s">
        <v>27</v>
      </c>
      <c r="E1690" t="s">
        <v>2337</v>
      </c>
      <c r="H1690" s="2">
        <v>45418.298611111109</v>
      </c>
      <c r="I1690" t="s">
        <v>197</v>
      </c>
      <c r="Z1690">
        <v>82708</v>
      </c>
    </row>
    <row r="1691" spans="1:26" x14ac:dyDescent="0.25">
      <c r="A1691" t="s">
        <v>2338</v>
      </c>
      <c r="B1691" t="s">
        <v>26</v>
      </c>
      <c r="C1691" t="s">
        <v>27</v>
      </c>
      <c r="H1691" s="2">
        <v>45416.647222222222</v>
      </c>
      <c r="I1691" t="s">
        <v>235</v>
      </c>
      <c r="Z1691">
        <v>82646</v>
      </c>
    </row>
    <row r="1692" spans="1:26" x14ac:dyDescent="0.25">
      <c r="A1692" t="s">
        <v>2339</v>
      </c>
      <c r="B1692" t="s">
        <v>26</v>
      </c>
      <c r="C1692" t="s">
        <v>27</v>
      </c>
      <c r="H1692" s="2">
        <v>45416.644444444442</v>
      </c>
      <c r="I1692" t="s">
        <v>235</v>
      </c>
      <c r="Z1692">
        <v>82645</v>
      </c>
    </row>
    <row r="1693" spans="1:26" x14ac:dyDescent="0.25">
      <c r="A1693" t="s">
        <v>712</v>
      </c>
      <c r="B1693" t="s">
        <v>26</v>
      </c>
      <c r="C1693" t="s">
        <v>27</v>
      </c>
      <c r="H1693" s="2">
        <v>45416.460416666669</v>
      </c>
      <c r="I1693" t="s">
        <v>235</v>
      </c>
      <c r="Z1693">
        <v>82616</v>
      </c>
    </row>
    <row r="1694" spans="1:26" x14ac:dyDescent="0.25">
      <c r="A1694" t="s">
        <v>2340</v>
      </c>
      <c r="B1694" t="s">
        <v>26</v>
      </c>
      <c r="C1694" t="s">
        <v>27</v>
      </c>
      <c r="H1694" s="2">
        <v>45415.613888888889</v>
      </c>
      <c r="I1694" t="s">
        <v>95</v>
      </c>
      <c r="Z1694">
        <v>82589</v>
      </c>
    </row>
    <row r="1695" spans="1:26" x14ac:dyDescent="0.25">
      <c r="A1695" t="s">
        <v>2341</v>
      </c>
      <c r="B1695" t="s">
        <v>26</v>
      </c>
      <c r="C1695" t="s">
        <v>27</v>
      </c>
      <c r="H1695" s="2">
        <v>45415.60833333333</v>
      </c>
      <c r="I1695" t="s">
        <v>235</v>
      </c>
      <c r="Z1695">
        <v>82587</v>
      </c>
    </row>
    <row r="1696" spans="1:26" x14ac:dyDescent="0.25">
      <c r="A1696" t="s">
        <v>1256</v>
      </c>
      <c r="B1696" t="s">
        <v>26</v>
      </c>
      <c r="C1696" t="s">
        <v>27</v>
      </c>
      <c r="H1696" s="2">
        <v>45414.633333333331</v>
      </c>
      <c r="I1696" t="s">
        <v>236</v>
      </c>
      <c r="Z1696">
        <v>82516</v>
      </c>
    </row>
    <row r="1697" spans="1:26" x14ac:dyDescent="0.25">
      <c r="A1697" t="s">
        <v>2342</v>
      </c>
      <c r="B1697" t="s">
        <v>26</v>
      </c>
      <c r="C1697" t="s">
        <v>27</v>
      </c>
      <c r="H1697" s="2">
        <v>45414.607638888891</v>
      </c>
      <c r="I1697" t="s">
        <v>235</v>
      </c>
      <c r="Z1697">
        <v>82507</v>
      </c>
    </row>
    <row r="1698" spans="1:26" x14ac:dyDescent="0.25">
      <c r="A1698" t="s">
        <v>2343</v>
      </c>
      <c r="B1698" t="s">
        <v>26</v>
      </c>
      <c r="C1698" t="s">
        <v>27</v>
      </c>
      <c r="H1698" s="2">
        <v>45414.520833333336</v>
      </c>
      <c r="I1698" t="s">
        <v>235</v>
      </c>
      <c r="Z1698">
        <v>82490</v>
      </c>
    </row>
    <row r="1699" spans="1:26" x14ac:dyDescent="0.25">
      <c r="A1699" t="s">
        <v>2344</v>
      </c>
      <c r="B1699" t="s">
        <v>198</v>
      </c>
      <c r="C1699" t="s">
        <v>27</v>
      </c>
      <c r="E1699" t="s">
        <v>84</v>
      </c>
      <c r="H1699" s="2">
        <v>45414.509722222225</v>
      </c>
      <c r="I1699" t="s">
        <v>236</v>
      </c>
      <c r="K1699" t="s">
        <v>30</v>
      </c>
      <c r="L1699" t="s">
        <v>31</v>
      </c>
      <c r="M1699">
        <v>55887024</v>
      </c>
      <c r="N1699">
        <v>9754613601</v>
      </c>
      <c r="O1699" t="s">
        <v>382</v>
      </c>
      <c r="Z1699">
        <v>82485</v>
      </c>
    </row>
    <row r="1700" spans="1:26" x14ac:dyDescent="0.25">
      <c r="A1700" t="s">
        <v>2345</v>
      </c>
      <c r="B1700" t="s">
        <v>26</v>
      </c>
      <c r="C1700" t="s">
        <v>27</v>
      </c>
      <c r="H1700" s="2">
        <v>45414.474305555559</v>
      </c>
      <c r="I1700" t="s">
        <v>236</v>
      </c>
      <c r="Z1700">
        <v>82479</v>
      </c>
    </row>
    <row r="1701" spans="1:26" x14ac:dyDescent="0.25">
      <c r="A1701" t="s">
        <v>2346</v>
      </c>
      <c r="B1701" t="s">
        <v>26</v>
      </c>
      <c r="C1701" t="s">
        <v>27</v>
      </c>
      <c r="H1701" s="2">
        <v>45414.375694444447</v>
      </c>
      <c r="I1701" t="s">
        <v>236</v>
      </c>
      <c r="Z1701">
        <v>82462</v>
      </c>
    </row>
    <row r="1702" spans="1:26" x14ac:dyDescent="0.25">
      <c r="A1702" t="s">
        <v>2347</v>
      </c>
      <c r="B1702" t="s">
        <v>26</v>
      </c>
      <c r="C1702" t="s">
        <v>27</v>
      </c>
      <c r="H1702" s="2">
        <v>45413.679861111108</v>
      </c>
      <c r="I1702" t="s">
        <v>153</v>
      </c>
      <c r="Z1702">
        <v>82441</v>
      </c>
    </row>
    <row r="1703" spans="1:26" x14ac:dyDescent="0.25">
      <c r="A1703" t="s">
        <v>2348</v>
      </c>
      <c r="B1703" t="s">
        <v>26</v>
      </c>
      <c r="C1703" t="s">
        <v>27</v>
      </c>
      <c r="H1703" s="2">
        <v>45413.567361111112</v>
      </c>
      <c r="I1703" t="s">
        <v>197</v>
      </c>
      <c r="Z1703">
        <v>82425</v>
      </c>
    </row>
    <row r="1704" spans="1:26" x14ac:dyDescent="0.25">
      <c r="A1704" t="s">
        <v>2349</v>
      </c>
      <c r="B1704" t="s">
        <v>26</v>
      </c>
      <c r="C1704" t="s">
        <v>27</v>
      </c>
      <c r="H1704" s="2">
        <v>45413.440972222219</v>
      </c>
      <c r="I1704" t="s">
        <v>197</v>
      </c>
      <c r="Z1704">
        <v>82404</v>
      </c>
    </row>
    <row r="1705" spans="1:26" x14ac:dyDescent="0.25">
      <c r="A1705" t="s">
        <v>2350</v>
      </c>
      <c r="B1705" t="s">
        <v>26</v>
      </c>
      <c r="C1705" t="s">
        <v>27</v>
      </c>
      <c r="H1705" s="2">
        <v>45413.404166666667</v>
      </c>
      <c r="I1705" t="s">
        <v>236</v>
      </c>
      <c r="Z1705">
        <v>82400</v>
      </c>
    </row>
    <row r="1706" spans="1:26" x14ac:dyDescent="0.25">
      <c r="A1706" t="s">
        <v>2351</v>
      </c>
      <c r="B1706" t="s">
        <v>46</v>
      </c>
      <c r="C1706" t="s">
        <v>27</v>
      </c>
      <c r="E1706" t="s">
        <v>2352</v>
      </c>
      <c r="G1706" t="s">
        <v>2353</v>
      </c>
      <c r="H1706" s="2">
        <v>45413.400694444441</v>
      </c>
      <c r="I1706" t="s">
        <v>153</v>
      </c>
      <c r="Z1706">
        <v>82399</v>
      </c>
    </row>
    <row r="1707" spans="1:26" x14ac:dyDescent="0.25">
      <c r="A1707" t="s">
        <v>2354</v>
      </c>
      <c r="C1707" t="s">
        <v>27</v>
      </c>
      <c r="E1707" t="s">
        <v>44</v>
      </c>
      <c r="H1707" s="2">
        <v>45413.018055555556</v>
      </c>
      <c r="I1707" t="s">
        <v>95</v>
      </c>
      <c r="Z1707">
        <v>82391</v>
      </c>
    </row>
    <row r="1708" spans="1:26" x14ac:dyDescent="0.25">
      <c r="A1708" t="s">
        <v>2355</v>
      </c>
      <c r="B1708" t="s">
        <v>26</v>
      </c>
      <c r="C1708" t="s">
        <v>27</v>
      </c>
      <c r="H1708" s="2">
        <v>45412.633333333331</v>
      </c>
      <c r="I1708" t="s">
        <v>197</v>
      </c>
      <c r="Z1708">
        <v>82361</v>
      </c>
    </row>
    <row r="1709" spans="1:26" x14ac:dyDescent="0.25">
      <c r="A1709" t="s">
        <v>142</v>
      </c>
      <c r="B1709" t="s">
        <v>26</v>
      </c>
      <c r="C1709" t="s">
        <v>27</v>
      </c>
      <c r="H1709" s="2">
        <v>45411.578472222223</v>
      </c>
      <c r="I1709" t="s">
        <v>95</v>
      </c>
      <c r="Z1709">
        <v>82305</v>
      </c>
    </row>
    <row r="1710" spans="1:26" x14ac:dyDescent="0.25">
      <c r="A1710" t="s">
        <v>2356</v>
      </c>
      <c r="B1710" t="s">
        <v>26</v>
      </c>
      <c r="C1710" t="s">
        <v>27</v>
      </c>
      <c r="H1710" s="2">
        <v>45411.57708333333</v>
      </c>
      <c r="I1710" t="s">
        <v>197</v>
      </c>
      <c r="Z1710">
        <v>82304</v>
      </c>
    </row>
    <row r="1711" spans="1:26" x14ac:dyDescent="0.25">
      <c r="A1711" t="s">
        <v>2357</v>
      </c>
      <c r="B1711" t="s">
        <v>26</v>
      </c>
      <c r="C1711" t="s">
        <v>27</v>
      </c>
      <c r="H1711" s="2">
        <v>45411.440972222219</v>
      </c>
      <c r="I1711" t="s">
        <v>197</v>
      </c>
      <c r="Z1711">
        <v>82285</v>
      </c>
    </row>
    <row r="1712" spans="1:26" x14ac:dyDescent="0.25">
      <c r="A1712" t="s">
        <v>2358</v>
      </c>
      <c r="B1712" t="s">
        <v>26</v>
      </c>
      <c r="C1712" t="s">
        <v>27</v>
      </c>
      <c r="H1712" s="2">
        <v>45410.618750000001</v>
      </c>
      <c r="I1712" t="s">
        <v>95</v>
      </c>
      <c r="Z1712">
        <v>82244</v>
      </c>
    </row>
    <row r="1713" spans="1:26" x14ac:dyDescent="0.25">
      <c r="A1713" t="s">
        <v>2359</v>
      </c>
      <c r="B1713" t="s">
        <v>26</v>
      </c>
      <c r="C1713" t="s">
        <v>27</v>
      </c>
      <c r="H1713" s="2">
        <v>45410.609722222223</v>
      </c>
      <c r="I1713" t="s">
        <v>235</v>
      </c>
      <c r="Z1713">
        <v>82243</v>
      </c>
    </row>
    <row r="1714" spans="1:26" x14ac:dyDescent="0.25">
      <c r="A1714" t="s">
        <v>2360</v>
      </c>
      <c r="B1714" t="s">
        <v>26</v>
      </c>
      <c r="C1714" t="s">
        <v>27</v>
      </c>
      <c r="H1714" s="2">
        <v>45409.78402777778</v>
      </c>
      <c r="I1714" t="s">
        <v>235</v>
      </c>
      <c r="Z1714">
        <v>82196</v>
      </c>
    </row>
    <row r="1715" spans="1:26" x14ac:dyDescent="0.25">
      <c r="A1715" t="s">
        <v>2361</v>
      </c>
      <c r="B1715" t="s">
        <v>26</v>
      </c>
      <c r="C1715" t="s">
        <v>27</v>
      </c>
      <c r="E1715" t="s">
        <v>101</v>
      </c>
      <c r="H1715" s="2">
        <v>45408.768750000003</v>
      </c>
      <c r="I1715" t="s">
        <v>235</v>
      </c>
      <c r="Z1715">
        <v>82119</v>
      </c>
    </row>
    <row r="1716" spans="1:26" x14ac:dyDescent="0.25">
      <c r="A1716" t="s">
        <v>2362</v>
      </c>
      <c r="B1716" t="s">
        <v>26</v>
      </c>
      <c r="C1716" t="s">
        <v>27</v>
      </c>
      <c r="H1716" s="2">
        <v>45408.597916666666</v>
      </c>
      <c r="I1716" t="s">
        <v>235</v>
      </c>
      <c r="Z1716">
        <v>82086</v>
      </c>
    </row>
    <row r="1717" spans="1:26" x14ac:dyDescent="0.25">
      <c r="A1717" t="s">
        <v>2363</v>
      </c>
      <c r="B1717" t="s">
        <v>26</v>
      </c>
      <c r="C1717" t="s">
        <v>27</v>
      </c>
      <c r="H1717" s="2">
        <v>45408.487500000003</v>
      </c>
      <c r="I1717" t="s">
        <v>236</v>
      </c>
      <c r="Z1717">
        <v>82065</v>
      </c>
    </row>
    <row r="1718" spans="1:26" x14ac:dyDescent="0.25">
      <c r="A1718" t="s">
        <v>712</v>
      </c>
      <c r="B1718" t="s">
        <v>26</v>
      </c>
      <c r="C1718" t="s">
        <v>27</v>
      </c>
      <c r="H1718" s="2">
        <v>45407.782638888886</v>
      </c>
      <c r="I1718" t="s">
        <v>236</v>
      </c>
      <c r="Z1718">
        <v>82024</v>
      </c>
    </row>
    <row r="1719" spans="1:26" x14ac:dyDescent="0.25">
      <c r="A1719" t="s">
        <v>2364</v>
      </c>
      <c r="B1719" t="s">
        <v>26</v>
      </c>
      <c r="C1719" t="s">
        <v>27</v>
      </c>
      <c r="H1719" s="2">
        <v>45406.775694444441</v>
      </c>
      <c r="I1719" t="s">
        <v>236</v>
      </c>
      <c r="Z1719">
        <v>81908</v>
      </c>
    </row>
    <row r="1720" spans="1:26" x14ac:dyDescent="0.25">
      <c r="A1720" t="s">
        <v>2365</v>
      </c>
      <c r="B1720" t="s">
        <v>26</v>
      </c>
      <c r="C1720" t="s">
        <v>47</v>
      </c>
      <c r="H1720" s="2">
        <v>45406.745833333334</v>
      </c>
      <c r="I1720" t="s">
        <v>236</v>
      </c>
      <c r="Z1720">
        <v>81903</v>
      </c>
    </row>
    <row r="1721" spans="1:26" x14ac:dyDescent="0.25">
      <c r="A1721" t="s">
        <v>2366</v>
      </c>
      <c r="B1721" t="s">
        <v>26</v>
      </c>
      <c r="C1721" t="s">
        <v>27</v>
      </c>
      <c r="H1721" s="2">
        <v>45406.617361111108</v>
      </c>
      <c r="I1721" t="s">
        <v>236</v>
      </c>
      <c r="Z1721">
        <v>81864</v>
      </c>
    </row>
    <row r="1722" spans="1:26" x14ac:dyDescent="0.25">
      <c r="A1722" t="s">
        <v>2367</v>
      </c>
      <c r="B1722" t="s">
        <v>164</v>
      </c>
      <c r="C1722" t="s">
        <v>27</v>
      </c>
      <c r="E1722" t="s">
        <v>87</v>
      </c>
      <c r="G1722" t="s">
        <v>2368</v>
      </c>
      <c r="H1722" s="2">
        <v>45405.413888888892</v>
      </c>
      <c r="I1722" t="s">
        <v>236</v>
      </c>
      <c r="Z1722">
        <v>81714</v>
      </c>
    </row>
    <row r="1723" spans="1:26" x14ac:dyDescent="0.25">
      <c r="A1723" t="s">
        <v>2369</v>
      </c>
      <c r="B1723" t="s">
        <v>46</v>
      </c>
      <c r="C1723" t="s">
        <v>27</v>
      </c>
      <c r="E1723" t="s">
        <v>312</v>
      </c>
      <c r="G1723" t="s">
        <v>2370</v>
      </c>
      <c r="H1723" s="2">
        <v>45404.715277777781</v>
      </c>
      <c r="I1723" t="s">
        <v>235</v>
      </c>
      <c r="K1723" t="s">
        <v>30</v>
      </c>
      <c r="L1723" t="s">
        <v>31</v>
      </c>
      <c r="M1723">
        <v>55887024</v>
      </c>
      <c r="N1723">
        <v>9754613607</v>
      </c>
      <c r="O1723" t="s">
        <v>1549</v>
      </c>
      <c r="Z1723">
        <v>81680</v>
      </c>
    </row>
    <row r="1724" spans="1:26" x14ac:dyDescent="0.25">
      <c r="A1724" t="s">
        <v>2371</v>
      </c>
      <c r="B1724" t="s">
        <v>26</v>
      </c>
      <c r="C1724" t="s">
        <v>27</v>
      </c>
      <c r="H1724" s="2">
        <v>45404.705555555556</v>
      </c>
      <c r="I1724" t="s">
        <v>236</v>
      </c>
      <c r="Z1724">
        <v>81677</v>
      </c>
    </row>
    <row r="1725" spans="1:26" x14ac:dyDescent="0.25">
      <c r="A1725" t="s">
        <v>2372</v>
      </c>
      <c r="B1725" t="s">
        <v>26</v>
      </c>
      <c r="C1725" t="s">
        <v>27</v>
      </c>
      <c r="H1725" s="2">
        <v>45404.622916666667</v>
      </c>
      <c r="I1725" t="s">
        <v>153</v>
      </c>
      <c r="Z1725">
        <v>81656</v>
      </c>
    </row>
    <row r="1726" spans="1:26" x14ac:dyDescent="0.25">
      <c r="A1726" t="s">
        <v>1097</v>
      </c>
      <c r="B1726" t="s">
        <v>26</v>
      </c>
      <c r="C1726" t="s">
        <v>27</v>
      </c>
      <c r="H1726" s="2">
        <v>45404.525694444441</v>
      </c>
      <c r="I1726" t="s">
        <v>95</v>
      </c>
      <c r="Z1726">
        <v>81629</v>
      </c>
    </row>
    <row r="1727" spans="1:26" x14ac:dyDescent="0.25">
      <c r="A1727" t="s">
        <v>2373</v>
      </c>
      <c r="B1727" t="s">
        <v>164</v>
      </c>
      <c r="C1727" t="s">
        <v>27</v>
      </c>
      <c r="E1727" t="s">
        <v>125</v>
      </c>
      <c r="H1727" s="2">
        <v>45404.457638888889</v>
      </c>
      <c r="I1727" t="s">
        <v>235</v>
      </c>
      <c r="K1727" t="s">
        <v>30</v>
      </c>
      <c r="L1727" t="s">
        <v>31</v>
      </c>
      <c r="M1727">
        <v>67130164</v>
      </c>
      <c r="N1727">
        <v>12403825947</v>
      </c>
      <c r="O1727" t="s">
        <v>682</v>
      </c>
      <c r="Z1727">
        <v>81604</v>
      </c>
    </row>
    <row r="1728" spans="1:26" x14ac:dyDescent="0.25">
      <c r="A1728" t="s">
        <v>1256</v>
      </c>
      <c r="B1728" t="s">
        <v>26</v>
      </c>
      <c r="C1728" t="s">
        <v>27</v>
      </c>
      <c r="H1728" s="2">
        <v>45403.68472222222</v>
      </c>
      <c r="I1728" t="s">
        <v>235</v>
      </c>
      <c r="Z1728">
        <v>81551</v>
      </c>
    </row>
    <row r="1729" spans="1:26" x14ac:dyDescent="0.25">
      <c r="A1729" t="s">
        <v>2374</v>
      </c>
      <c r="B1729" t="s">
        <v>26</v>
      </c>
      <c r="C1729" t="s">
        <v>27</v>
      </c>
      <c r="H1729" s="2">
        <v>45403.57916666667</v>
      </c>
      <c r="I1729" t="s">
        <v>95</v>
      </c>
      <c r="Z1729">
        <v>81528</v>
      </c>
    </row>
    <row r="1730" spans="1:26" x14ac:dyDescent="0.25">
      <c r="A1730" t="s">
        <v>2375</v>
      </c>
      <c r="B1730" t="s">
        <v>198</v>
      </c>
      <c r="C1730" t="s">
        <v>27</v>
      </c>
      <c r="E1730" t="s">
        <v>2376</v>
      </c>
      <c r="G1730" t="s">
        <v>2377</v>
      </c>
      <c r="H1730" s="2">
        <v>45403.464583333334</v>
      </c>
      <c r="I1730" t="s">
        <v>153</v>
      </c>
      <c r="Z1730">
        <v>81497</v>
      </c>
    </row>
    <row r="1731" spans="1:26" x14ac:dyDescent="0.25">
      <c r="A1731" t="s">
        <v>2378</v>
      </c>
      <c r="B1731" t="s">
        <v>26</v>
      </c>
      <c r="C1731" t="s">
        <v>27</v>
      </c>
      <c r="H1731" s="2">
        <v>45403.418055555558</v>
      </c>
      <c r="I1731" t="s">
        <v>235</v>
      </c>
      <c r="Z1731">
        <v>81486</v>
      </c>
    </row>
    <row r="1732" spans="1:26" x14ac:dyDescent="0.25">
      <c r="A1732" t="s">
        <v>2379</v>
      </c>
      <c r="B1732" t="s">
        <v>26</v>
      </c>
      <c r="C1732" t="s">
        <v>27</v>
      </c>
      <c r="H1732" s="2">
        <v>45402.802083333336</v>
      </c>
      <c r="I1732" t="s">
        <v>235</v>
      </c>
      <c r="Z1732">
        <v>81471</v>
      </c>
    </row>
    <row r="1733" spans="1:26" x14ac:dyDescent="0.25">
      <c r="A1733" t="s">
        <v>652</v>
      </c>
      <c r="C1733" t="s">
        <v>82</v>
      </c>
      <c r="E1733" t="s">
        <v>107</v>
      </c>
      <c r="H1733" s="2">
        <v>45402.763194444444</v>
      </c>
      <c r="I1733" t="s">
        <v>236</v>
      </c>
      <c r="Z1733">
        <v>81469</v>
      </c>
    </row>
    <row r="1734" spans="1:26" x14ac:dyDescent="0.25">
      <c r="A1734" t="s">
        <v>2380</v>
      </c>
      <c r="B1734" t="s">
        <v>26</v>
      </c>
      <c r="C1734" t="s">
        <v>27</v>
      </c>
      <c r="H1734" s="2">
        <v>45402.580555555556</v>
      </c>
      <c r="I1734" t="s">
        <v>29</v>
      </c>
      <c r="Z1734">
        <v>81446</v>
      </c>
    </row>
    <row r="1735" spans="1:26" x14ac:dyDescent="0.25">
      <c r="A1735" t="s">
        <v>2381</v>
      </c>
      <c r="B1735" t="s">
        <v>198</v>
      </c>
      <c r="C1735" t="s">
        <v>27</v>
      </c>
      <c r="E1735" t="s">
        <v>65</v>
      </c>
      <c r="H1735" s="2">
        <v>45402.504861111112</v>
      </c>
      <c r="I1735" t="s">
        <v>29</v>
      </c>
      <c r="Z1735">
        <v>81430</v>
      </c>
    </row>
    <row r="1736" spans="1:26" x14ac:dyDescent="0.25">
      <c r="A1736" t="s">
        <v>92</v>
      </c>
      <c r="B1736" t="s">
        <v>77</v>
      </c>
      <c r="C1736" t="s">
        <v>27</v>
      </c>
      <c r="E1736" t="s">
        <v>104</v>
      </c>
      <c r="H1736" s="2">
        <v>45402.496527777781</v>
      </c>
      <c r="I1736" t="s">
        <v>29</v>
      </c>
      <c r="K1736" t="s">
        <v>30</v>
      </c>
      <c r="L1736" t="s">
        <v>31</v>
      </c>
      <c r="M1736">
        <v>55887024</v>
      </c>
      <c r="N1736">
        <v>9754613619</v>
      </c>
      <c r="O1736" t="s">
        <v>2382</v>
      </c>
      <c r="Z1736">
        <v>81429</v>
      </c>
    </row>
    <row r="1737" spans="1:26" x14ac:dyDescent="0.25">
      <c r="A1737" t="s">
        <v>712</v>
      </c>
      <c r="C1737" t="s">
        <v>27</v>
      </c>
      <c r="E1737" t="s">
        <v>104</v>
      </c>
      <c r="H1737" s="2">
        <v>45401.691666666666</v>
      </c>
      <c r="I1737" t="s">
        <v>197</v>
      </c>
      <c r="Z1737">
        <v>81374</v>
      </c>
    </row>
    <row r="1738" spans="1:26" x14ac:dyDescent="0.25">
      <c r="A1738" t="s">
        <v>2383</v>
      </c>
      <c r="B1738" t="s">
        <v>26</v>
      </c>
      <c r="C1738" t="s">
        <v>27</v>
      </c>
      <c r="H1738" s="2">
        <v>45401.636805555558</v>
      </c>
      <c r="I1738" t="s">
        <v>197</v>
      </c>
      <c r="Z1738">
        <v>81354</v>
      </c>
    </row>
    <row r="1739" spans="1:26" x14ac:dyDescent="0.25">
      <c r="A1739" t="s">
        <v>891</v>
      </c>
      <c r="B1739" t="s">
        <v>150</v>
      </c>
      <c r="C1739" t="s">
        <v>27</v>
      </c>
      <c r="E1739" t="s">
        <v>66</v>
      </c>
      <c r="H1739" s="2">
        <v>45401.553472222222</v>
      </c>
      <c r="I1739" t="s">
        <v>236</v>
      </c>
      <c r="Z1739">
        <v>81337</v>
      </c>
    </row>
    <row r="1740" spans="1:26" x14ac:dyDescent="0.25">
      <c r="A1740" t="s">
        <v>712</v>
      </c>
      <c r="B1740" t="s">
        <v>26</v>
      </c>
      <c r="C1740" t="s">
        <v>27</v>
      </c>
      <c r="H1740" s="2">
        <v>45401.416666666664</v>
      </c>
      <c r="I1740" t="s">
        <v>236</v>
      </c>
      <c r="Z1740">
        <v>81300</v>
      </c>
    </row>
    <row r="1741" spans="1:26" x14ac:dyDescent="0.25">
      <c r="A1741" t="s">
        <v>891</v>
      </c>
      <c r="C1741" t="s">
        <v>27</v>
      </c>
      <c r="E1741" t="s">
        <v>69</v>
      </c>
      <c r="H1741" s="2">
        <v>45401.379166666666</v>
      </c>
      <c r="I1741" t="s">
        <v>236</v>
      </c>
      <c r="Z1741">
        <v>81292</v>
      </c>
    </row>
    <row r="1742" spans="1:26" x14ac:dyDescent="0.25">
      <c r="A1742" t="s">
        <v>2384</v>
      </c>
      <c r="B1742" t="s">
        <v>26</v>
      </c>
      <c r="C1742" t="s">
        <v>27</v>
      </c>
      <c r="H1742" s="2">
        <v>45400.587500000001</v>
      </c>
      <c r="I1742" t="s">
        <v>236</v>
      </c>
      <c r="Z1742">
        <v>81237</v>
      </c>
    </row>
    <row r="1743" spans="1:26" x14ac:dyDescent="0.25">
      <c r="A1743" t="s">
        <v>2385</v>
      </c>
      <c r="B1743" t="s">
        <v>26</v>
      </c>
      <c r="C1743" t="s">
        <v>27</v>
      </c>
      <c r="H1743" s="2">
        <v>45400.473611111112</v>
      </c>
      <c r="I1743" t="s">
        <v>197</v>
      </c>
      <c r="Z1743">
        <v>81208</v>
      </c>
    </row>
    <row r="1744" spans="1:26" x14ac:dyDescent="0.25">
      <c r="A1744" t="s">
        <v>2386</v>
      </c>
      <c r="B1744" t="s">
        <v>150</v>
      </c>
      <c r="C1744" t="s">
        <v>27</v>
      </c>
      <c r="E1744" t="s">
        <v>2387</v>
      </c>
      <c r="H1744" s="2">
        <v>45400.405555555553</v>
      </c>
      <c r="I1744" t="s">
        <v>197</v>
      </c>
      <c r="Z1744">
        <v>81193</v>
      </c>
    </row>
    <row r="1745" spans="1:26" x14ac:dyDescent="0.25">
      <c r="A1745" t="s">
        <v>92</v>
      </c>
      <c r="B1745" t="s">
        <v>46</v>
      </c>
      <c r="C1745" t="s">
        <v>27</v>
      </c>
      <c r="E1745" t="s">
        <v>66</v>
      </c>
      <c r="G1745" t="s">
        <v>2388</v>
      </c>
      <c r="H1745" s="2">
        <v>45399.664583333331</v>
      </c>
      <c r="I1745" t="s">
        <v>29</v>
      </c>
      <c r="Z1745">
        <v>81150</v>
      </c>
    </row>
    <row r="1746" spans="1:26" x14ac:dyDescent="0.25">
      <c r="A1746" t="s">
        <v>712</v>
      </c>
      <c r="B1746" t="s">
        <v>26</v>
      </c>
      <c r="C1746" t="s">
        <v>47</v>
      </c>
      <c r="H1746" s="2">
        <v>45398.572222222225</v>
      </c>
      <c r="I1746" t="s">
        <v>236</v>
      </c>
      <c r="Z1746">
        <v>80976</v>
      </c>
    </row>
    <row r="1747" spans="1:26" x14ac:dyDescent="0.25">
      <c r="A1747" t="s">
        <v>97</v>
      </c>
      <c r="C1747" t="s">
        <v>27</v>
      </c>
      <c r="E1747" t="s">
        <v>84</v>
      </c>
      <c r="H1747" s="2">
        <v>45397.643750000003</v>
      </c>
      <c r="I1747" t="s">
        <v>153</v>
      </c>
      <c r="Z1747">
        <v>80892</v>
      </c>
    </row>
    <row r="1748" spans="1:26" x14ac:dyDescent="0.25">
      <c r="A1748" t="s">
        <v>92</v>
      </c>
      <c r="B1748" t="s">
        <v>26</v>
      </c>
      <c r="C1748" t="s">
        <v>27</v>
      </c>
      <c r="H1748" s="2">
        <v>45397.59375</v>
      </c>
      <c r="I1748" t="s">
        <v>235</v>
      </c>
      <c r="Z1748">
        <v>80886</v>
      </c>
    </row>
    <row r="1749" spans="1:26" x14ac:dyDescent="0.25">
      <c r="A1749" t="s">
        <v>2389</v>
      </c>
      <c r="B1749" t="s">
        <v>26</v>
      </c>
      <c r="C1749" t="s">
        <v>27</v>
      </c>
      <c r="H1749" s="2">
        <v>45397.52847222222</v>
      </c>
      <c r="I1749" t="s">
        <v>235</v>
      </c>
      <c r="Z1749">
        <v>80875</v>
      </c>
    </row>
    <row r="1750" spans="1:26" x14ac:dyDescent="0.25">
      <c r="A1750" t="s">
        <v>2390</v>
      </c>
      <c r="B1750" t="s">
        <v>164</v>
      </c>
      <c r="C1750" t="s">
        <v>27</v>
      </c>
      <c r="E1750" t="s">
        <v>53</v>
      </c>
      <c r="H1750" s="2">
        <v>45397.484027777777</v>
      </c>
      <c r="I1750" t="s">
        <v>236</v>
      </c>
      <c r="Z1750">
        <v>80866</v>
      </c>
    </row>
    <row r="1751" spans="1:26" x14ac:dyDescent="0.25">
      <c r="A1751" t="s">
        <v>2391</v>
      </c>
      <c r="B1751" t="s">
        <v>77</v>
      </c>
      <c r="C1751" t="s">
        <v>27</v>
      </c>
      <c r="E1751" t="s">
        <v>45</v>
      </c>
      <c r="H1751" s="2">
        <v>45396.993750000001</v>
      </c>
      <c r="I1751" t="s">
        <v>153</v>
      </c>
      <c r="Z1751">
        <v>80840</v>
      </c>
    </row>
    <row r="1752" spans="1:26" x14ac:dyDescent="0.25">
      <c r="A1752" t="s">
        <v>2392</v>
      </c>
      <c r="B1752" t="s">
        <v>150</v>
      </c>
      <c r="C1752" t="s">
        <v>27</v>
      </c>
      <c r="E1752" t="s">
        <v>66</v>
      </c>
      <c r="H1752" s="2">
        <v>45396.79583333333</v>
      </c>
      <c r="I1752" t="s">
        <v>235</v>
      </c>
      <c r="K1752" t="s">
        <v>30</v>
      </c>
      <c r="L1752" t="s">
        <v>31</v>
      </c>
      <c r="M1752">
        <v>55887024</v>
      </c>
      <c r="N1752">
        <v>9754613614</v>
      </c>
      <c r="O1752" t="s">
        <v>2393</v>
      </c>
      <c r="Z1752">
        <v>80825</v>
      </c>
    </row>
    <row r="1753" spans="1:26" x14ac:dyDescent="0.25">
      <c r="A1753" t="s">
        <v>2394</v>
      </c>
      <c r="B1753" t="s">
        <v>150</v>
      </c>
      <c r="C1753" t="s">
        <v>82</v>
      </c>
      <c r="E1753" t="s">
        <v>2395</v>
      </c>
      <c r="H1753" s="2">
        <v>45396.597222222219</v>
      </c>
      <c r="I1753" t="s">
        <v>235</v>
      </c>
      <c r="Z1753">
        <v>80791</v>
      </c>
    </row>
    <row r="1754" spans="1:26" x14ac:dyDescent="0.25">
      <c r="A1754" t="s">
        <v>2396</v>
      </c>
      <c r="B1754" t="s">
        <v>26</v>
      </c>
      <c r="C1754" t="s">
        <v>27</v>
      </c>
      <c r="H1754" s="2">
        <v>45395.613194444442</v>
      </c>
      <c r="I1754" t="s">
        <v>29</v>
      </c>
      <c r="Z1754">
        <v>80705</v>
      </c>
    </row>
    <row r="1755" spans="1:26" x14ac:dyDescent="0.25">
      <c r="A1755" t="s">
        <v>2397</v>
      </c>
      <c r="B1755" t="s">
        <v>26</v>
      </c>
      <c r="C1755" t="s">
        <v>27</v>
      </c>
      <c r="H1755" s="2">
        <v>45395.539583333331</v>
      </c>
      <c r="I1755" t="s">
        <v>197</v>
      </c>
      <c r="Z1755">
        <v>80694</v>
      </c>
    </row>
    <row r="1756" spans="1:26" x14ac:dyDescent="0.25">
      <c r="A1756" t="s">
        <v>1977</v>
      </c>
      <c r="B1756" t="s">
        <v>26</v>
      </c>
      <c r="C1756" t="s">
        <v>27</v>
      </c>
      <c r="H1756" s="2">
        <v>45395.399305555555</v>
      </c>
      <c r="I1756" t="s">
        <v>29</v>
      </c>
      <c r="Z1756">
        <v>80665</v>
      </c>
    </row>
    <row r="1757" spans="1:26" x14ac:dyDescent="0.25">
      <c r="A1757" t="s">
        <v>92</v>
      </c>
      <c r="C1757" t="s">
        <v>27</v>
      </c>
      <c r="E1757" t="s">
        <v>196</v>
      </c>
      <c r="H1757" s="2">
        <v>45394.862500000003</v>
      </c>
      <c r="I1757" t="s">
        <v>29</v>
      </c>
      <c r="Z1757">
        <v>80653</v>
      </c>
    </row>
    <row r="1758" spans="1:26" x14ac:dyDescent="0.25">
      <c r="A1758" t="s">
        <v>712</v>
      </c>
      <c r="B1758" t="s">
        <v>150</v>
      </c>
      <c r="C1758" t="s">
        <v>47</v>
      </c>
      <c r="E1758" t="s">
        <v>63</v>
      </c>
      <c r="G1758" t="s">
        <v>2398</v>
      </c>
      <c r="H1758" s="2">
        <v>45394.71597222222</v>
      </c>
      <c r="I1758" t="s">
        <v>236</v>
      </c>
      <c r="Z1758">
        <v>80631</v>
      </c>
    </row>
    <row r="1759" spans="1:26" x14ac:dyDescent="0.25">
      <c r="A1759" t="s">
        <v>2399</v>
      </c>
      <c r="B1759" t="s">
        <v>26</v>
      </c>
      <c r="C1759" t="s">
        <v>27</v>
      </c>
      <c r="H1759" s="2">
        <v>45394.714583333334</v>
      </c>
      <c r="I1759" t="s">
        <v>197</v>
      </c>
      <c r="Z1759">
        <v>80630</v>
      </c>
    </row>
    <row r="1760" spans="1:26" x14ac:dyDescent="0.25">
      <c r="A1760" t="s">
        <v>2400</v>
      </c>
      <c r="B1760" t="s">
        <v>164</v>
      </c>
      <c r="C1760" t="s">
        <v>27</v>
      </c>
      <c r="E1760" t="s">
        <v>163</v>
      </c>
      <c r="H1760" s="2">
        <v>45394.61041666667</v>
      </c>
      <c r="I1760" t="s">
        <v>29</v>
      </c>
      <c r="Z1760">
        <v>80598</v>
      </c>
    </row>
    <row r="1761" spans="1:26" x14ac:dyDescent="0.25">
      <c r="A1761" t="s">
        <v>712</v>
      </c>
      <c r="B1761" t="s">
        <v>164</v>
      </c>
      <c r="C1761" t="s">
        <v>27</v>
      </c>
      <c r="E1761" t="s">
        <v>45</v>
      </c>
      <c r="H1761" s="2">
        <v>45394.473611111112</v>
      </c>
      <c r="I1761" t="s">
        <v>236</v>
      </c>
      <c r="Z1761">
        <v>80557</v>
      </c>
    </row>
    <row r="1762" spans="1:26" x14ac:dyDescent="0.25">
      <c r="A1762" t="s">
        <v>2401</v>
      </c>
      <c r="B1762" t="s">
        <v>164</v>
      </c>
      <c r="C1762" t="s">
        <v>27</v>
      </c>
      <c r="E1762" t="s">
        <v>2402</v>
      </c>
      <c r="H1762" s="2">
        <v>45393.768055555556</v>
      </c>
      <c r="I1762" t="s">
        <v>197</v>
      </c>
      <c r="Z1762">
        <v>80514</v>
      </c>
    </row>
    <row r="1763" spans="1:26" x14ac:dyDescent="0.25">
      <c r="A1763" t="s">
        <v>2403</v>
      </c>
      <c r="B1763" t="s">
        <v>26</v>
      </c>
      <c r="C1763" t="s">
        <v>27</v>
      </c>
      <c r="H1763" s="2">
        <v>45393.756249999999</v>
      </c>
      <c r="I1763" t="s">
        <v>226</v>
      </c>
      <c r="Z1763">
        <v>80507</v>
      </c>
    </row>
    <row r="1764" spans="1:26" x14ac:dyDescent="0.25">
      <c r="A1764" t="s">
        <v>2404</v>
      </c>
      <c r="B1764" t="s">
        <v>26</v>
      </c>
      <c r="C1764" t="s">
        <v>27</v>
      </c>
      <c r="H1764" s="2">
        <v>45393.239583333336</v>
      </c>
      <c r="I1764" t="s">
        <v>235</v>
      </c>
      <c r="Z1764">
        <v>80406</v>
      </c>
    </row>
    <row r="1765" spans="1:26" x14ac:dyDescent="0.25">
      <c r="A1765" t="s">
        <v>2405</v>
      </c>
      <c r="B1765" t="s">
        <v>26</v>
      </c>
      <c r="C1765" t="s">
        <v>27</v>
      </c>
      <c r="H1765" s="2">
        <v>45392.724999999999</v>
      </c>
      <c r="I1765" t="s">
        <v>235</v>
      </c>
      <c r="Z1765">
        <v>80371</v>
      </c>
    </row>
    <row r="1766" spans="1:26" x14ac:dyDescent="0.25">
      <c r="A1766" t="s">
        <v>2406</v>
      </c>
      <c r="B1766" t="s">
        <v>26</v>
      </c>
      <c r="C1766" t="s">
        <v>27</v>
      </c>
      <c r="H1766" s="2">
        <v>45392.645138888889</v>
      </c>
      <c r="I1766" t="s">
        <v>153</v>
      </c>
      <c r="Z1766">
        <v>80342</v>
      </c>
    </row>
    <row r="1767" spans="1:26" x14ac:dyDescent="0.25">
      <c r="A1767" t="s">
        <v>2407</v>
      </c>
      <c r="B1767" t="s">
        <v>164</v>
      </c>
      <c r="C1767" t="s">
        <v>27</v>
      </c>
      <c r="E1767" t="s">
        <v>80</v>
      </c>
      <c r="H1767" s="2">
        <v>45391.805555555555</v>
      </c>
      <c r="I1767" t="s">
        <v>235</v>
      </c>
      <c r="Z1767">
        <v>80281</v>
      </c>
    </row>
    <row r="1768" spans="1:26" x14ac:dyDescent="0.25">
      <c r="A1768" t="s">
        <v>2408</v>
      </c>
      <c r="B1768" t="s">
        <v>26</v>
      </c>
      <c r="C1768" t="s">
        <v>27</v>
      </c>
      <c r="E1768" t="s">
        <v>2408</v>
      </c>
      <c r="H1768" s="2">
        <v>45391.793749999997</v>
      </c>
      <c r="I1768" t="s">
        <v>29</v>
      </c>
      <c r="Z1768">
        <v>80277</v>
      </c>
    </row>
    <row r="1769" spans="1:26" x14ac:dyDescent="0.25">
      <c r="A1769" t="s">
        <v>2409</v>
      </c>
      <c r="B1769" t="s">
        <v>26</v>
      </c>
      <c r="C1769" t="s">
        <v>27</v>
      </c>
      <c r="H1769" s="2">
        <v>45391.731944444444</v>
      </c>
      <c r="I1769" t="s">
        <v>235</v>
      </c>
      <c r="Z1769">
        <v>80263</v>
      </c>
    </row>
    <row r="1770" spans="1:26" x14ac:dyDescent="0.25">
      <c r="A1770" t="s">
        <v>2410</v>
      </c>
      <c r="B1770" t="s">
        <v>26</v>
      </c>
      <c r="C1770" t="s">
        <v>27</v>
      </c>
      <c r="H1770" s="2">
        <v>45391.538888888892</v>
      </c>
      <c r="I1770" t="s">
        <v>153</v>
      </c>
      <c r="Z1770">
        <v>80203</v>
      </c>
    </row>
    <row r="1771" spans="1:26" x14ac:dyDescent="0.25">
      <c r="A1771" t="s">
        <v>2411</v>
      </c>
      <c r="B1771" t="s">
        <v>164</v>
      </c>
      <c r="C1771" t="s">
        <v>27</v>
      </c>
      <c r="E1771" t="s">
        <v>2412</v>
      </c>
      <c r="H1771" s="2">
        <v>45391.445138888892</v>
      </c>
      <c r="I1771" t="s">
        <v>29</v>
      </c>
      <c r="Z1771">
        <v>80176</v>
      </c>
    </row>
    <row r="1772" spans="1:26" x14ac:dyDescent="0.25">
      <c r="A1772" t="s">
        <v>363</v>
      </c>
      <c r="B1772" t="s">
        <v>164</v>
      </c>
      <c r="C1772" t="s">
        <v>27</v>
      </c>
      <c r="E1772" t="s">
        <v>2413</v>
      </c>
      <c r="H1772" s="2">
        <v>45390.699305555558</v>
      </c>
      <c r="I1772" t="s">
        <v>153</v>
      </c>
      <c r="Z1772">
        <v>80111</v>
      </c>
    </row>
    <row r="1773" spans="1:26" x14ac:dyDescent="0.25">
      <c r="A1773" t="s">
        <v>2414</v>
      </c>
      <c r="B1773" t="s">
        <v>26</v>
      </c>
      <c r="C1773" t="s">
        <v>27</v>
      </c>
      <c r="H1773" s="2">
        <v>45390.606249999997</v>
      </c>
      <c r="I1773" t="s">
        <v>235</v>
      </c>
      <c r="Z1773">
        <v>80078</v>
      </c>
    </row>
    <row r="1774" spans="1:26" x14ac:dyDescent="0.25">
      <c r="A1774" t="s">
        <v>2415</v>
      </c>
      <c r="B1774" t="s">
        <v>26</v>
      </c>
      <c r="C1774" t="s">
        <v>27</v>
      </c>
      <c r="H1774" s="2">
        <v>45390.390277777777</v>
      </c>
      <c r="I1774" t="s">
        <v>235</v>
      </c>
      <c r="Z1774">
        <v>79999</v>
      </c>
    </row>
    <row r="1775" spans="1:26" x14ac:dyDescent="0.25">
      <c r="A1775" t="s">
        <v>2416</v>
      </c>
      <c r="B1775" t="s">
        <v>150</v>
      </c>
      <c r="C1775" t="s">
        <v>27</v>
      </c>
      <c r="E1775" t="s">
        <v>113</v>
      </c>
      <c r="G1775" t="s">
        <v>2417</v>
      </c>
      <c r="H1775" s="2">
        <v>45390.365972222222</v>
      </c>
      <c r="I1775" t="s">
        <v>153</v>
      </c>
      <c r="Z1775">
        <v>79989</v>
      </c>
    </row>
    <row r="1776" spans="1:26" x14ac:dyDescent="0.25">
      <c r="A1776" t="s">
        <v>2418</v>
      </c>
      <c r="B1776" t="s">
        <v>46</v>
      </c>
      <c r="C1776" t="s">
        <v>27</v>
      </c>
      <c r="E1776" t="s">
        <v>53</v>
      </c>
      <c r="G1776" t="s">
        <v>2419</v>
      </c>
      <c r="H1776" s="2">
        <v>45389.829861111109</v>
      </c>
      <c r="I1776" t="s">
        <v>29</v>
      </c>
      <c r="Z1776">
        <v>79966</v>
      </c>
    </row>
    <row r="1777" spans="1:26" x14ac:dyDescent="0.25">
      <c r="A1777" t="s">
        <v>2420</v>
      </c>
      <c r="B1777" t="s">
        <v>26</v>
      </c>
      <c r="C1777" t="s">
        <v>27</v>
      </c>
      <c r="H1777" s="2">
        <v>45389.822222222225</v>
      </c>
      <c r="I1777" t="s">
        <v>197</v>
      </c>
      <c r="Z1777">
        <v>79964</v>
      </c>
    </row>
    <row r="1778" spans="1:26" x14ac:dyDescent="0.25">
      <c r="A1778" t="s">
        <v>2421</v>
      </c>
      <c r="B1778" t="s">
        <v>164</v>
      </c>
      <c r="C1778" t="s">
        <v>27</v>
      </c>
      <c r="E1778" t="s">
        <v>2422</v>
      </c>
      <c r="G1778" t="s">
        <v>2423</v>
      </c>
      <c r="H1778" s="2">
        <v>45389.575694444444</v>
      </c>
      <c r="I1778" t="s">
        <v>227</v>
      </c>
      <c r="K1778" t="s">
        <v>30</v>
      </c>
      <c r="L1778" t="s">
        <v>31</v>
      </c>
      <c r="M1778">
        <v>55887024</v>
      </c>
      <c r="N1778">
        <v>9754613615</v>
      </c>
      <c r="O1778" t="s">
        <v>2424</v>
      </c>
      <c r="Z1778">
        <v>79926</v>
      </c>
    </row>
    <row r="1779" spans="1:26" x14ac:dyDescent="0.25">
      <c r="A1779" t="s">
        <v>1054</v>
      </c>
      <c r="B1779" t="s">
        <v>26</v>
      </c>
      <c r="C1779" t="s">
        <v>47</v>
      </c>
      <c r="H1779" s="2">
        <v>45388.673611111109</v>
      </c>
      <c r="I1779" t="s">
        <v>29</v>
      </c>
      <c r="Z1779">
        <v>79875</v>
      </c>
    </row>
    <row r="1780" spans="1:26" x14ac:dyDescent="0.25">
      <c r="A1780" t="s">
        <v>2425</v>
      </c>
      <c r="B1780" t="s">
        <v>26</v>
      </c>
      <c r="C1780" t="s">
        <v>27</v>
      </c>
      <c r="H1780" s="2">
        <v>45388.5625</v>
      </c>
      <c r="I1780" t="s">
        <v>197</v>
      </c>
      <c r="Z1780">
        <v>79856</v>
      </c>
    </row>
    <row r="1781" spans="1:26" x14ac:dyDescent="0.25">
      <c r="A1781" t="s">
        <v>2426</v>
      </c>
      <c r="B1781" t="s">
        <v>26</v>
      </c>
      <c r="C1781" t="s">
        <v>27</v>
      </c>
      <c r="H1781" s="2">
        <v>45388.423611111109</v>
      </c>
      <c r="I1781" t="s">
        <v>197</v>
      </c>
      <c r="Z1781">
        <v>79820</v>
      </c>
    </row>
    <row r="1782" spans="1:26" x14ac:dyDescent="0.25">
      <c r="A1782" t="s">
        <v>2427</v>
      </c>
      <c r="B1782" t="s">
        <v>52</v>
      </c>
      <c r="C1782" t="s">
        <v>27</v>
      </c>
      <c r="H1782" s="2">
        <v>45387.871527777781</v>
      </c>
      <c r="I1782" t="s">
        <v>197</v>
      </c>
      <c r="Z1782">
        <v>79792</v>
      </c>
    </row>
    <row r="1783" spans="1:26" x14ac:dyDescent="0.25">
      <c r="A1783" t="s">
        <v>712</v>
      </c>
      <c r="C1783" t="s">
        <v>27</v>
      </c>
      <c r="E1783" t="s">
        <v>113</v>
      </c>
      <c r="H1783" s="2">
        <v>45387.67291666667</v>
      </c>
      <c r="I1783" t="s">
        <v>226</v>
      </c>
      <c r="Z1783">
        <v>79762</v>
      </c>
    </row>
    <row r="1784" spans="1:26" x14ac:dyDescent="0.25">
      <c r="A1784" t="s">
        <v>2428</v>
      </c>
      <c r="B1784" t="s">
        <v>150</v>
      </c>
      <c r="C1784" t="s">
        <v>27</v>
      </c>
      <c r="E1784" t="s">
        <v>2429</v>
      </c>
      <c r="G1784" t="s">
        <v>2430</v>
      </c>
      <c r="H1784" s="2">
        <v>45387.532638888886</v>
      </c>
      <c r="I1784" t="s">
        <v>235</v>
      </c>
      <c r="Z1784">
        <v>79732</v>
      </c>
    </row>
    <row r="1785" spans="1:26" x14ac:dyDescent="0.25">
      <c r="A1785" t="s">
        <v>2431</v>
      </c>
      <c r="B1785" t="s">
        <v>150</v>
      </c>
      <c r="C1785" t="s">
        <v>82</v>
      </c>
      <c r="E1785" t="s">
        <v>2432</v>
      </c>
      <c r="G1785" t="s">
        <v>2433</v>
      </c>
      <c r="H1785" s="2">
        <v>45387.339583333334</v>
      </c>
      <c r="I1785" t="s">
        <v>153</v>
      </c>
      <c r="Z1785">
        <v>79690</v>
      </c>
    </row>
    <row r="1786" spans="1:26" x14ac:dyDescent="0.25">
      <c r="A1786" t="s">
        <v>2434</v>
      </c>
      <c r="B1786" t="s">
        <v>26</v>
      </c>
      <c r="C1786" t="s">
        <v>27</v>
      </c>
      <c r="H1786" s="2">
        <v>45386.637499999997</v>
      </c>
      <c r="I1786" t="s">
        <v>235</v>
      </c>
      <c r="Z1786">
        <v>79637</v>
      </c>
    </row>
    <row r="1787" spans="1:26" x14ac:dyDescent="0.25">
      <c r="A1787" t="s">
        <v>2435</v>
      </c>
      <c r="B1787" t="s">
        <v>26</v>
      </c>
      <c r="C1787" t="s">
        <v>27</v>
      </c>
      <c r="H1787" s="2">
        <v>45386.580555555556</v>
      </c>
      <c r="I1787" t="s">
        <v>29</v>
      </c>
      <c r="Z1787">
        <v>79620</v>
      </c>
    </row>
    <row r="1788" spans="1:26" x14ac:dyDescent="0.25">
      <c r="A1788" t="s">
        <v>2436</v>
      </c>
      <c r="B1788" t="s">
        <v>26</v>
      </c>
      <c r="C1788" t="s">
        <v>27</v>
      </c>
      <c r="H1788" s="2">
        <v>45386.572222222225</v>
      </c>
      <c r="I1788" t="s">
        <v>235</v>
      </c>
      <c r="Z1788">
        <v>79615</v>
      </c>
    </row>
    <row r="1789" spans="1:26" x14ac:dyDescent="0.25">
      <c r="A1789" t="s">
        <v>712</v>
      </c>
      <c r="B1789" t="s">
        <v>164</v>
      </c>
      <c r="C1789" t="s">
        <v>27</v>
      </c>
      <c r="E1789" t="s">
        <v>2437</v>
      </c>
      <c r="G1789" t="s">
        <v>2438</v>
      </c>
      <c r="H1789" s="2">
        <v>45386.505555555559</v>
      </c>
      <c r="I1789" t="s">
        <v>197</v>
      </c>
      <c r="Z1789">
        <v>79592</v>
      </c>
    </row>
    <row r="1790" spans="1:26" x14ac:dyDescent="0.25">
      <c r="A1790" t="s">
        <v>2439</v>
      </c>
      <c r="B1790" t="s">
        <v>77</v>
      </c>
      <c r="C1790" t="s">
        <v>27</v>
      </c>
      <c r="E1790" t="s">
        <v>170</v>
      </c>
      <c r="H1790" s="2">
        <v>45385.621527777781</v>
      </c>
      <c r="I1790" t="s">
        <v>29</v>
      </c>
      <c r="K1790" t="s">
        <v>30</v>
      </c>
      <c r="L1790" t="s">
        <v>31</v>
      </c>
      <c r="M1790">
        <v>55887024</v>
      </c>
      <c r="N1790">
        <v>9754613616</v>
      </c>
      <c r="O1790" t="s">
        <v>2440</v>
      </c>
      <c r="Z1790">
        <v>79510</v>
      </c>
    </row>
    <row r="1791" spans="1:26" x14ac:dyDescent="0.25">
      <c r="A1791" t="s">
        <v>712</v>
      </c>
      <c r="B1791" t="s">
        <v>26</v>
      </c>
      <c r="C1791" t="s">
        <v>27</v>
      </c>
      <c r="H1791" s="2">
        <v>45385.525694444441</v>
      </c>
      <c r="I1791" t="s">
        <v>235</v>
      </c>
      <c r="Z1791">
        <v>79485</v>
      </c>
    </row>
    <row r="1792" spans="1:26" x14ac:dyDescent="0.25">
      <c r="A1792" t="s">
        <v>2441</v>
      </c>
      <c r="B1792" t="s">
        <v>26</v>
      </c>
      <c r="C1792" t="s">
        <v>27</v>
      </c>
      <c r="E1792" t="s">
        <v>2441</v>
      </c>
      <c r="H1792" s="2">
        <v>45385.422222222223</v>
      </c>
      <c r="I1792" t="s">
        <v>153</v>
      </c>
      <c r="Z1792">
        <v>79453</v>
      </c>
    </row>
    <row r="1793" spans="1:26" x14ac:dyDescent="0.25">
      <c r="A1793" t="s">
        <v>2442</v>
      </c>
      <c r="B1793" t="s">
        <v>26</v>
      </c>
      <c r="C1793" t="s">
        <v>27</v>
      </c>
      <c r="H1793" s="2">
        <v>45385.40347222222</v>
      </c>
      <c r="I1793" t="s">
        <v>29</v>
      </c>
      <c r="Z1793">
        <v>79446</v>
      </c>
    </row>
    <row r="1794" spans="1:26" x14ac:dyDescent="0.25">
      <c r="A1794" t="s">
        <v>1076</v>
      </c>
      <c r="B1794" t="s">
        <v>26</v>
      </c>
      <c r="C1794" t="s">
        <v>27</v>
      </c>
      <c r="H1794" s="2">
        <v>45385.385416666664</v>
      </c>
      <c r="I1794" t="s">
        <v>29</v>
      </c>
      <c r="Z1794">
        <v>79441</v>
      </c>
    </row>
    <row r="1795" spans="1:26" x14ac:dyDescent="0.25">
      <c r="A1795" t="s">
        <v>2443</v>
      </c>
      <c r="B1795" t="s">
        <v>26</v>
      </c>
      <c r="C1795" t="s">
        <v>27</v>
      </c>
      <c r="E1795" t="s">
        <v>238</v>
      </c>
      <c r="G1795" t="s">
        <v>2444</v>
      </c>
      <c r="H1795" s="2">
        <v>45384.82708333333</v>
      </c>
      <c r="I1795" t="s">
        <v>153</v>
      </c>
      <c r="Z1795">
        <v>79429</v>
      </c>
    </row>
    <row r="1796" spans="1:26" x14ac:dyDescent="0.25">
      <c r="A1796" t="s">
        <v>2445</v>
      </c>
      <c r="B1796" t="s">
        <v>26</v>
      </c>
      <c r="C1796" t="s">
        <v>27</v>
      </c>
      <c r="E1796" t="s">
        <v>74</v>
      </c>
      <c r="H1796" s="2">
        <v>45384.74722222222</v>
      </c>
      <c r="I1796" t="s">
        <v>153</v>
      </c>
      <c r="Z1796">
        <v>79421</v>
      </c>
    </row>
    <row r="1797" spans="1:26" x14ac:dyDescent="0.25">
      <c r="A1797" t="s">
        <v>714</v>
      </c>
      <c r="B1797" t="s">
        <v>26</v>
      </c>
      <c r="C1797" t="s">
        <v>27</v>
      </c>
      <c r="H1797" s="2">
        <v>45384.594444444447</v>
      </c>
      <c r="I1797" t="s">
        <v>29</v>
      </c>
      <c r="Z1797">
        <v>79390</v>
      </c>
    </row>
    <row r="1798" spans="1:26" x14ac:dyDescent="0.25">
      <c r="A1798" t="s">
        <v>2446</v>
      </c>
      <c r="B1798" t="s">
        <v>26</v>
      </c>
      <c r="C1798" t="s">
        <v>27</v>
      </c>
      <c r="H1798" s="2">
        <v>45384.53125</v>
      </c>
      <c r="I1798" t="s">
        <v>153</v>
      </c>
      <c r="Z1798">
        <v>79373</v>
      </c>
    </row>
    <row r="1799" spans="1:26" x14ac:dyDescent="0.25">
      <c r="A1799" t="s">
        <v>2447</v>
      </c>
      <c r="B1799" t="s">
        <v>26</v>
      </c>
      <c r="C1799" t="s">
        <v>27</v>
      </c>
      <c r="H1799" s="2">
        <v>45384.377083333333</v>
      </c>
      <c r="I1799" t="s">
        <v>235</v>
      </c>
      <c r="Z1799">
        <v>79342</v>
      </c>
    </row>
    <row r="1800" spans="1:26" x14ac:dyDescent="0.25">
      <c r="A1800" t="s">
        <v>2448</v>
      </c>
      <c r="B1800" t="s">
        <v>26</v>
      </c>
      <c r="C1800" t="s">
        <v>27</v>
      </c>
      <c r="H1800" s="2">
        <v>45383.47152777778</v>
      </c>
      <c r="I1800" t="s">
        <v>29</v>
      </c>
      <c r="Z1800">
        <v>79260</v>
      </c>
    </row>
    <row r="1801" spans="1:26" x14ac:dyDescent="0.25">
      <c r="A1801" t="s">
        <v>2010</v>
      </c>
      <c r="C1801" t="s">
        <v>27</v>
      </c>
      <c r="E1801" t="s">
        <v>67</v>
      </c>
      <c r="H1801" s="2">
        <v>45380.68472222222</v>
      </c>
      <c r="I1801" t="s">
        <v>29</v>
      </c>
      <c r="Z1801">
        <v>79107</v>
      </c>
    </row>
    <row r="1802" spans="1:26" x14ac:dyDescent="0.25">
      <c r="A1802" t="s">
        <v>2449</v>
      </c>
      <c r="B1802" t="s">
        <v>26</v>
      </c>
      <c r="C1802" t="s">
        <v>27</v>
      </c>
      <c r="H1802" s="2">
        <v>45380.657638888886</v>
      </c>
      <c r="I1802" t="s">
        <v>153</v>
      </c>
      <c r="Z1802">
        <v>79102</v>
      </c>
    </row>
    <row r="1803" spans="1:26" x14ac:dyDescent="0.25">
      <c r="A1803" t="s">
        <v>2450</v>
      </c>
      <c r="B1803" t="s">
        <v>26</v>
      </c>
      <c r="C1803" t="s">
        <v>27</v>
      </c>
      <c r="H1803" s="2">
        <v>45380.591666666667</v>
      </c>
      <c r="I1803" t="s">
        <v>29</v>
      </c>
      <c r="Z1803">
        <v>79088</v>
      </c>
    </row>
    <row r="1804" spans="1:26" x14ac:dyDescent="0.25">
      <c r="A1804" t="s">
        <v>2451</v>
      </c>
      <c r="B1804" t="s">
        <v>26</v>
      </c>
      <c r="C1804" t="s">
        <v>27</v>
      </c>
      <c r="H1804" s="2">
        <v>45380.512499999997</v>
      </c>
      <c r="I1804" t="s">
        <v>29</v>
      </c>
      <c r="Z1804">
        <v>79074</v>
      </c>
    </row>
    <row r="1805" spans="1:26" x14ac:dyDescent="0.25">
      <c r="A1805" t="s">
        <v>2452</v>
      </c>
      <c r="B1805" t="s">
        <v>26</v>
      </c>
      <c r="C1805" t="s">
        <v>27</v>
      </c>
      <c r="H1805" s="2">
        <v>45380.456250000003</v>
      </c>
      <c r="I1805" t="s">
        <v>153</v>
      </c>
      <c r="Z1805">
        <v>79065</v>
      </c>
    </row>
    <row r="1806" spans="1:26" x14ac:dyDescent="0.25">
      <c r="A1806" t="s">
        <v>2453</v>
      </c>
      <c r="B1806" t="s">
        <v>164</v>
      </c>
      <c r="C1806" t="s">
        <v>27</v>
      </c>
      <c r="E1806" t="s">
        <v>2454</v>
      </c>
      <c r="H1806" s="2">
        <v>45379.685416666667</v>
      </c>
      <c r="I1806" t="s">
        <v>29</v>
      </c>
      <c r="K1806" t="s">
        <v>30</v>
      </c>
      <c r="L1806" t="s">
        <v>31</v>
      </c>
      <c r="M1806">
        <v>55887024</v>
      </c>
      <c r="N1806">
        <v>9754613616</v>
      </c>
      <c r="O1806" t="s">
        <v>2455</v>
      </c>
      <c r="Z1806">
        <v>79036</v>
      </c>
    </row>
    <row r="1807" spans="1:26" x14ac:dyDescent="0.25">
      <c r="A1807" t="s">
        <v>2456</v>
      </c>
      <c r="C1807" t="s">
        <v>27</v>
      </c>
      <c r="E1807" t="s">
        <v>67</v>
      </c>
      <c r="H1807" s="2">
        <v>45378.481944444444</v>
      </c>
      <c r="I1807" t="s">
        <v>235</v>
      </c>
      <c r="Z1807">
        <v>78970</v>
      </c>
    </row>
    <row r="1808" spans="1:26" x14ac:dyDescent="0.25">
      <c r="A1808" t="s">
        <v>2457</v>
      </c>
      <c r="B1808" t="s">
        <v>164</v>
      </c>
      <c r="C1808" t="s">
        <v>27</v>
      </c>
      <c r="E1808">
        <v>79279094518</v>
      </c>
      <c r="H1808" s="2">
        <v>45377.559027777781</v>
      </c>
      <c r="I1808" t="s">
        <v>29</v>
      </c>
      <c r="Z1808">
        <v>78918</v>
      </c>
    </row>
    <row r="1809" spans="1:26" x14ac:dyDescent="0.25">
      <c r="A1809" t="s">
        <v>2458</v>
      </c>
      <c r="B1809" t="s">
        <v>26</v>
      </c>
      <c r="C1809" t="s">
        <v>27</v>
      </c>
      <c r="H1809" s="2">
        <v>45377.549305555556</v>
      </c>
      <c r="I1809" t="s">
        <v>29</v>
      </c>
      <c r="Z1809">
        <v>78914</v>
      </c>
    </row>
    <row r="1810" spans="1:26" x14ac:dyDescent="0.25">
      <c r="A1810" t="s">
        <v>2459</v>
      </c>
      <c r="B1810" t="s">
        <v>26</v>
      </c>
      <c r="C1810" t="s">
        <v>27</v>
      </c>
      <c r="H1810" s="2">
        <v>45376.661111111112</v>
      </c>
      <c r="I1810" t="s">
        <v>29</v>
      </c>
      <c r="Z1810">
        <v>78881</v>
      </c>
    </row>
    <row r="1811" spans="1:26" x14ac:dyDescent="0.25">
      <c r="A1811" t="s">
        <v>2460</v>
      </c>
      <c r="B1811" t="s">
        <v>77</v>
      </c>
      <c r="C1811" t="s">
        <v>27</v>
      </c>
      <c r="E1811" t="s">
        <v>98</v>
      </c>
      <c r="H1811" s="2">
        <v>45376.654166666667</v>
      </c>
      <c r="I1811" t="s">
        <v>197</v>
      </c>
      <c r="K1811" t="s">
        <v>30</v>
      </c>
      <c r="L1811" t="s">
        <v>31</v>
      </c>
      <c r="M1811">
        <v>67130164</v>
      </c>
      <c r="N1811">
        <v>12403825976</v>
      </c>
      <c r="O1811" t="s">
        <v>682</v>
      </c>
      <c r="Z1811">
        <v>78879</v>
      </c>
    </row>
    <row r="1812" spans="1:26" x14ac:dyDescent="0.25">
      <c r="A1812" t="s">
        <v>2461</v>
      </c>
      <c r="B1812" t="s">
        <v>26</v>
      </c>
      <c r="C1812" t="s">
        <v>27</v>
      </c>
      <c r="H1812" s="2">
        <v>45376.537499999999</v>
      </c>
      <c r="I1812" t="s">
        <v>29</v>
      </c>
      <c r="Z1812">
        <v>78860</v>
      </c>
    </row>
    <row r="1813" spans="1:26" x14ac:dyDescent="0.25">
      <c r="A1813" t="s">
        <v>2462</v>
      </c>
      <c r="B1813" t="s">
        <v>26</v>
      </c>
      <c r="C1813" t="s">
        <v>27</v>
      </c>
      <c r="H1813" s="2">
        <v>45375.524305555555</v>
      </c>
      <c r="I1813" t="s">
        <v>197</v>
      </c>
      <c r="Z1813">
        <v>78804</v>
      </c>
    </row>
    <row r="1814" spans="1:26" x14ac:dyDescent="0.25">
      <c r="A1814" t="s">
        <v>2463</v>
      </c>
      <c r="B1814" t="s">
        <v>26</v>
      </c>
      <c r="C1814" t="s">
        <v>27</v>
      </c>
      <c r="H1814" s="2">
        <v>45374.667361111111</v>
      </c>
      <c r="I1814" t="s">
        <v>153</v>
      </c>
      <c r="Z1814">
        <v>78768</v>
      </c>
    </row>
    <row r="1815" spans="1:26" x14ac:dyDescent="0.25">
      <c r="A1815" t="s">
        <v>2464</v>
      </c>
      <c r="B1815" t="s">
        <v>26</v>
      </c>
      <c r="C1815" t="s">
        <v>27</v>
      </c>
      <c r="H1815" s="2">
        <v>45374.572222222225</v>
      </c>
      <c r="I1815" t="s">
        <v>153</v>
      </c>
      <c r="Z1815">
        <v>78755</v>
      </c>
    </row>
    <row r="1816" spans="1:26" x14ac:dyDescent="0.25">
      <c r="A1816" t="s">
        <v>2465</v>
      </c>
      <c r="B1816" t="s">
        <v>26</v>
      </c>
      <c r="C1816" t="s">
        <v>27</v>
      </c>
      <c r="H1816" s="2">
        <v>45374.519444444442</v>
      </c>
      <c r="I1816" t="s">
        <v>153</v>
      </c>
      <c r="Z1816">
        <v>78747</v>
      </c>
    </row>
    <row r="1817" spans="1:26" x14ac:dyDescent="0.25">
      <c r="A1817" t="s">
        <v>2466</v>
      </c>
      <c r="B1817" t="s">
        <v>26</v>
      </c>
      <c r="C1817" t="s">
        <v>27</v>
      </c>
      <c r="H1817" s="2">
        <v>45374.509722222225</v>
      </c>
      <c r="I1817" t="s">
        <v>153</v>
      </c>
      <c r="Z1817">
        <v>78745</v>
      </c>
    </row>
    <row r="1818" spans="1:26" x14ac:dyDescent="0.25">
      <c r="A1818" t="s">
        <v>2467</v>
      </c>
      <c r="B1818" t="s">
        <v>26</v>
      </c>
      <c r="C1818" t="s">
        <v>27</v>
      </c>
      <c r="H1818" s="2">
        <v>45373.744444444441</v>
      </c>
      <c r="I1818" t="s">
        <v>235</v>
      </c>
      <c r="Z1818">
        <v>78718</v>
      </c>
    </row>
    <row r="1819" spans="1:26" x14ac:dyDescent="0.25">
      <c r="A1819" t="s">
        <v>2468</v>
      </c>
      <c r="B1819" t="s">
        <v>26</v>
      </c>
      <c r="C1819" t="s">
        <v>27</v>
      </c>
      <c r="H1819" s="2">
        <v>45373.675000000003</v>
      </c>
      <c r="I1819" t="s">
        <v>29</v>
      </c>
      <c r="Z1819">
        <v>78706</v>
      </c>
    </row>
    <row r="1820" spans="1:26" x14ac:dyDescent="0.25">
      <c r="A1820" t="s">
        <v>2469</v>
      </c>
      <c r="B1820" t="s">
        <v>26</v>
      </c>
      <c r="C1820" t="s">
        <v>27</v>
      </c>
      <c r="H1820" s="2">
        <v>45373.638194444444</v>
      </c>
      <c r="I1820" t="s">
        <v>235</v>
      </c>
      <c r="Z1820">
        <v>78703</v>
      </c>
    </row>
    <row r="1821" spans="1:26" x14ac:dyDescent="0.25">
      <c r="A1821" t="s">
        <v>2470</v>
      </c>
      <c r="B1821" t="s">
        <v>26</v>
      </c>
      <c r="C1821" t="s">
        <v>27</v>
      </c>
      <c r="H1821" s="2">
        <v>45373.637499999997</v>
      </c>
      <c r="I1821" t="s">
        <v>153</v>
      </c>
      <c r="Z1821">
        <v>78702</v>
      </c>
    </row>
    <row r="1822" spans="1:26" x14ac:dyDescent="0.25">
      <c r="A1822" t="s">
        <v>2471</v>
      </c>
      <c r="B1822" t="s">
        <v>26</v>
      </c>
      <c r="C1822" t="s">
        <v>27</v>
      </c>
      <c r="H1822" s="2">
        <v>45373.390277777777</v>
      </c>
      <c r="I1822" t="s">
        <v>29</v>
      </c>
      <c r="Z1822">
        <v>78664</v>
      </c>
    </row>
    <row r="1823" spans="1:26" x14ac:dyDescent="0.25">
      <c r="A1823" t="s">
        <v>109</v>
      </c>
      <c r="C1823" t="s">
        <v>27</v>
      </c>
      <c r="E1823" t="s">
        <v>53</v>
      </c>
      <c r="H1823" s="2">
        <v>45372.82708333333</v>
      </c>
      <c r="I1823" t="s">
        <v>29</v>
      </c>
      <c r="Z1823">
        <v>78653</v>
      </c>
    </row>
    <row r="1824" spans="1:26" x14ac:dyDescent="0.25">
      <c r="A1824" t="s">
        <v>2472</v>
      </c>
      <c r="B1824" t="s">
        <v>26</v>
      </c>
      <c r="C1824" t="s">
        <v>27</v>
      </c>
      <c r="H1824" s="2">
        <v>45372.530555555553</v>
      </c>
      <c r="I1824" t="s">
        <v>29</v>
      </c>
      <c r="Z1824">
        <v>78617</v>
      </c>
    </row>
    <row r="1825" spans="1:26" x14ac:dyDescent="0.25">
      <c r="A1825" t="s">
        <v>1255</v>
      </c>
      <c r="B1825" t="s">
        <v>26</v>
      </c>
      <c r="C1825" t="s">
        <v>27</v>
      </c>
      <c r="H1825" s="2">
        <v>45372.427777777775</v>
      </c>
      <c r="I1825" t="s">
        <v>29</v>
      </c>
      <c r="Z1825">
        <v>78610</v>
      </c>
    </row>
    <row r="1826" spans="1:26" x14ac:dyDescent="0.25">
      <c r="A1826" t="s">
        <v>2473</v>
      </c>
      <c r="B1826" t="s">
        <v>77</v>
      </c>
      <c r="C1826" t="s">
        <v>27</v>
      </c>
      <c r="E1826" t="s">
        <v>173</v>
      </c>
      <c r="H1826" s="2">
        <v>45371.700694444444</v>
      </c>
      <c r="I1826" t="s">
        <v>197</v>
      </c>
      <c r="Z1826">
        <v>78586</v>
      </c>
    </row>
    <row r="1827" spans="1:26" x14ac:dyDescent="0.25">
      <c r="A1827" t="s">
        <v>2474</v>
      </c>
      <c r="B1827" t="s">
        <v>26</v>
      </c>
      <c r="C1827" t="s">
        <v>27</v>
      </c>
      <c r="H1827" s="2">
        <v>45371.609027777777</v>
      </c>
      <c r="I1827" t="s">
        <v>197</v>
      </c>
      <c r="Z1827">
        <v>78570</v>
      </c>
    </row>
    <row r="1828" spans="1:26" x14ac:dyDescent="0.25">
      <c r="A1828" t="s">
        <v>278</v>
      </c>
      <c r="B1828" t="s">
        <v>26</v>
      </c>
      <c r="C1828" t="s">
        <v>27</v>
      </c>
      <c r="H1828" s="2">
        <v>45371.605555555558</v>
      </c>
      <c r="I1828" t="s">
        <v>29</v>
      </c>
      <c r="Z1828">
        <v>78569</v>
      </c>
    </row>
    <row r="1829" spans="1:26" x14ac:dyDescent="0.25">
      <c r="A1829" t="s">
        <v>2475</v>
      </c>
      <c r="B1829" t="s">
        <v>26</v>
      </c>
      <c r="C1829" t="s">
        <v>27</v>
      </c>
      <c r="H1829" s="2">
        <v>45371.546527777777</v>
      </c>
      <c r="I1829" t="s">
        <v>197</v>
      </c>
      <c r="Z1829">
        <v>78560</v>
      </c>
    </row>
    <row r="1830" spans="1:26" x14ac:dyDescent="0.25">
      <c r="A1830" t="s">
        <v>2476</v>
      </c>
      <c r="B1830" t="s">
        <v>164</v>
      </c>
      <c r="C1830" t="s">
        <v>27</v>
      </c>
      <c r="E1830" t="s">
        <v>195</v>
      </c>
      <c r="H1830" s="2">
        <v>45371.379166666666</v>
      </c>
      <c r="I1830" t="s">
        <v>29</v>
      </c>
      <c r="Z1830">
        <v>78532</v>
      </c>
    </row>
    <row r="1831" spans="1:26" x14ac:dyDescent="0.25">
      <c r="A1831" t="s">
        <v>2477</v>
      </c>
      <c r="B1831" t="s">
        <v>164</v>
      </c>
      <c r="C1831" t="s">
        <v>27</v>
      </c>
      <c r="E1831" t="s">
        <v>2478</v>
      </c>
      <c r="H1831" s="2">
        <v>45371.370833333334</v>
      </c>
      <c r="I1831" t="s">
        <v>29</v>
      </c>
      <c r="Z1831">
        <v>78531</v>
      </c>
    </row>
    <row r="1832" spans="1:26" x14ac:dyDescent="0.25">
      <c r="A1832" t="s">
        <v>2479</v>
      </c>
      <c r="B1832" t="s">
        <v>150</v>
      </c>
      <c r="C1832" t="s">
        <v>27</v>
      </c>
      <c r="E1832" t="s">
        <v>239</v>
      </c>
      <c r="H1832" s="2">
        <v>45370.863194444442</v>
      </c>
      <c r="I1832" t="s">
        <v>29</v>
      </c>
      <c r="Z1832">
        <v>78529</v>
      </c>
    </row>
    <row r="1833" spans="1:26" x14ac:dyDescent="0.25">
      <c r="A1833" t="s">
        <v>2480</v>
      </c>
      <c r="B1833" t="s">
        <v>26</v>
      </c>
      <c r="C1833" t="s">
        <v>27</v>
      </c>
      <c r="E1833" t="s">
        <v>101</v>
      </c>
      <c r="H1833" s="2">
        <v>45370.52847222222</v>
      </c>
      <c r="I1833" t="s">
        <v>29</v>
      </c>
      <c r="Z1833">
        <v>78487</v>
      </c>
    </row>
    <row r="1834" spans="1:26" x14ac:dyDescent="0.25">
      <c r="A1834" t="s">
        <v>2481</v>
      </c>
      <c r="B1834" t="s">
        <v>164</v>
      </c>
      <c r="C1834" t="s">
        <v>27</v>
      </c>
      <c r="E1834" t="s">
        <v>43</v>
      </c>
      <c r="H1834" s="2">
        <v>45369.588888888888</v>
      </c>
      <c r="I1834" t="s">
        <v>197</v>
      </c>
      <c r="K1834" t="s">
        <v>30</v>
      </c>
      <c r="L1834" t="s">
        <v>31</v>
      </c>
      <c r="M1834">
        <v>67006012</v>
      </c>
      <c r="N1834">
        <v>12403441040</v>
      </c>
      <c r="O1834" t="s">
        <v>309</v>
      </c>
      <c r="Z1834">
        <v>78422</v>
      </c>
    </row>
    <row r="1835" spans="1:26" x14ac:dyDescent="0.25">
      <c r="A1835" t="s">
        <v>1256</v>
      </c>
      <c r="B1835" t="s">
        <v>26</v>
      </c>
      <c r="C1835" t="s">
        <v>27</v>
      </c>
      <c r="E1835" t="s">
        <v>44</v>
      </c>
      <c r="H1835" s="2">
        <v>45369.40347222222</v>
      </c>
      <c r="I1835" t="s">
        <v>197</v>
      </c>
      <c r="Z1835">
        <v>78384</v>
      </c>
    </row>
    <row r="1836" spans="1:26" x14ac:dyDescent="0.25">
      <c r="A1836" t="s">
        <v>2482</v>
      </c>
      <c r="B1836" t="s">
        <v>26</v>
      </c>
      <c r="C1836" t="s">
        <v>27</v>
      </c>
      <c r="H1836" s="2">
        <v>45369.372916666667</v>
      </c>
      <c r="I1836" t="s">
        <v>29</v>
      </c>
      <c r="Z1836">
        <v>78376</v>
      </c>
    </row>
    <row r="1837" spans="1:26" x14ac:dyDescent="0.25">
      <c r="A1837" t="s">
        <v>2483</v>
      </c>
      <c r="B1837" t="s">
        <v>26</v>
      </c>
      <c r="C1837" t="s">
        <v>27</v>
      </c>
      <c r="H1837" s="2">
        <v>45368.722916666666</v>
      </c>
      <c r="I1837" t="s">
        <v>235</v>
      </c>
      <c r="Z1837">
        <v>78365</v>
      </c>
    </row>
    <row r="1838" spans="1:26" x14ac:dyDescent="0.25">
      <c r="A1838" t="s">
        <v>2484</v>
      </c>
      <c r="B1838" t="s">
        <v>26</v>
      </c>
      <c r="C1838" t="s">
        <v>27</v>
      </c>
      <c r="H1838" s="2">
        <v>45368.57916666667</v>
      </c>
      <c r="I1838" t="s">
        <v>235</v>
      </c>
      <c r="Z1838">
        <v>78349</v>
      </c>
    </row>
    <row r="1839" spans="1:26" x14ac:dyDescent="0.25">
      <c r="A1839" t="s">
        <v>2485</v>
      </c>
      <c r="B1839" t="s">
        <v>77</v>
      </c>
      <c r="C1839" t="s">
        <v>27</v>
      </c>
      <c r="E1839" t="s">
        <v>79</v>
      </c>
      <c r="H1839" s="2">
        <v>45368.556944444441</v>
      </c>
      <c r="I1839" t="s">
        <v>153</v>
      </c>
      <c r="K1839" t="s">
        <v>30</v>
      </c>
      <c r="L1839" t="s">
        <v>31</v>
      </c>
      <c r="M1839">
        <v>67130164</v>
      </c>
      <c r="N1839">
        <v>12403825953</v>
      </c>
      <c r="O1839" t="s">
        <v>682</v>
      </c>
      <c r="Z1839">
        <v>78347</v>
      </c>
    </row>
    <row r="1840" spans="1:26" x14ac:dyDescent="0.25">
      <c r="A1840" t="s">
        <v>2486</v>
      </c>
      <c r="B1840" t="s">
        <v>26</v>
      </c>
      <c r="C1840" t="s">
        <v>27</v>
      </c>
      <c r="H1840" s="2">
        <v>45367.599305555559</v>
      </c>
      <c r="I1840" t="s">
        <v>235</v>
      </c>
      <c r="Z1840">
        <v>78299</v>
      </c>
    </row>
    <row r="1841" spans="1:26" x14ac:dyDescent="0.25">
      <c r="A1841" t="s">
        <v>2487</v>
      </c>
      <c r="B1841" t="s">
        <v>26</v>
      </c>
      <c r="C1841" t="s">
        <v>27</v>
      </c>
      <c r="H1841" s="2">
        <v>45367.591666666667</v>
      </c>
      <c r="I1841" t="s">
        <v>235</v>
      </c>
      <c r="Z1841">
        <v>78298</v>
      </c>
    </row>
    <row r="1842" spans="1:26" x14ac:dyDescent="0.25">
      <c r="A1842" t="s">
        <v>2488</v>
      </c>
      <c r="B1842" t="s">
        <v>46</v>
      </c>
      <c r="C1842" t="s">
        <v>27</v>
      </c>
      <c r="E1842" t="s">
        <v>84</v>
      </c>
      <c r="G1842" t="s">
        <v>2489</v>
      </c>
      <c r="H1842" s="2">
        <v>45367.501388888886</v>
      </c>
      <c r="I1842" t="s">
        <v>29</v>
      </c>
      <c r="Z1842">
        <v>78288</v>
      </c>
    </row>
    <row r="1843" spans="1:26" x14ac:dyDescent="0.25">
      <c r="A1843" t="s">
        <v>2490</v>
      </c>
      <c r="B1843" t="s">
        <v>150</v>
      </c>
      <c r="C1843" t="s">
        <v>27</v>
      </c>
      <c r="E1843" t="s">
        <v>2429</v>
      </c>
      <c r="G1843" t="s">
        <v>2430</v>
      </c>
      <c r="H1843" s="2">
        <v>45367.498611111114</v>
      </c>
      <c r="I1843" t="s">
        <v>29</v>
      </c>
      <c r="K1843" t="s">
        <v>30</v>
      </c>
      <c r="L1843" t="s">
        <v>31</v>
      </c>
      <c r="M1843">
        <v>67130164</v>
      </c>
      <c r="N1843">
        <v>12403825921</v>
      </c>
      <c r="O1843" t="s">
        <v>682</v>
      </c>
      <c r="Z1843">
        <v>78287</v>
      </c>
    </row>
    <row r="1844" spans="1:26" x14ac:dyDescent="0.25">
      <c r="A1844" t="s">
        <v>2491</v>
      </c>
      <c r="B1844" t="s">
        <v>26</v>
      </c>
      <c r="C1844" t="s">
        <v>27</v>
      </c>
      <c r="H1844" s="2">
        <v>45366.757638888892</v>
      </c>
      <c r="I1844" t="s">
        <v>29</v>
      </c>
      <c r="Z1844">
        <v>78253</v>
      </c>
    </row>
    <row r="1845" spans="1:26" x14ac:dyDescent="0.25">
      <c r="A1845" t="s">
        <v>2492</v>
      </c>
      <c r="B1845" t="s">
        <v>26</v>
      </c>
      <c r="C1845" t="s">
        <v>27</v>
      </c>
      <c r="H1845" s="2">
        <v>45366.665972222225</v>
      </c>
      <c r="I1845" t="s">
        <v>235</v>
      </c>
      <c r="Z1845">
        <v>78240</v>
      </c>
    </row>
    <row r="1846" spans="1:26" x14ac:dyDescent="0.25">
      <c r="A1846" t="s">
        <v>2493</v>
      </c>
      <c r="B1846" t="s">
        <v>26</v>
      </c>
      <c r="C1846" t="s">
        <v>27</v>
      </c>
      <c r="H1846" s="2">
        <v>45365.711111111108</v>
      </c>
      <c r="I1846" t="s">
        <v>153</v>
      </c>
      <c r="Z1846">
        <v>78192</v>
      </c>
    </row>
    <row r="1847" spans="1:26" x14ac:dyDescent="0.25">
      <c r="A1847" t="s">
        <v>2494</v>
      </c>
      <c r="B1847" t="s">
        <v>26</v>
      </c>
      <c r="C1847" t="s">
        <v>27</v>
      </c>
      <c r="H1847" s="2">
        <v>45365.69027777778</v>
      </c>
      <c r="I1847" t="s">
        <v>29</v>
      </c>
      <c r="Z1847">
        <v>78187</v>
      </c>
    </row>
    <row r="1848" spans="1:26" x14ac:dyDescent="0.25">
      <c r="A1848" t="s">
        <v>2495</v>
      </c>
      <c r="B1848" t="s">
        <v>26</v>
      </c>
      <c r="C1848" t="s">
        <v>47</v>
      </c>
      <c r="H1848" s="2">
        <v>45365.617361111108</v>
      </c>
      <c r="I1848" t="s">
        <v>197</v>
      </c>
      <c r="Z1848">
        <v>78175</v>
      </c>
    </row>
    <row r="1849" spans="1:26" x14ac:dyDescent="0.25">
      <c r="A1849" t="s">
        <v>204</v>
      </c>
      <c r="B1849" t="s">
        <v>164</v>
      </c>
      <c r="C1849" t="s">
        <v>27</v>
      </c>
      <c r="E1849" t="s">
        <v>53</v>
      </c>
      <c r="H1849" s="2">
        <v>45365.57916666667</v>
      </c>
      <c r="I1849" t="s">
        <v>227</v>
      </c>
      <c r="Z1849">
        <v>78169</v>
      </c>
    </row>
    <row r="1850" spans="1:26" x14ac:dyDescent="0.25">
      <c r="A1850" t="s">
        <v>2496</v>
      </c>
      <c r="B1850" t="s">
        <v>26</v>
      </c>
      <c r="C1850" t="s">
        <v>27</v>
      </c>
      <c r="H1850" s="2">
        <v>45365.548611111109</v>
      </c>
      <c r="I1850" t="s">
        <v>29</v>
      </c>
      <c r="Z1850">
        <v>78165</v>
      </c>
    </row>
    <row r="1851" spans="1:26" x14ac:dyDescent="0.25">
      <c r="A1851" t="s">
        <v>2497</v>
      </c>
      <c r="B1851" t="s">
        <v>26</v>
      </c>
      <c r="C1851" t="s">
        <v>27</v>
      </c>
      <c r="H1851" s="2">
        <v>45365.393750000003</v>
      </c>
      <c r="I1851" t="s">
        <v>29</v>
      </c>
      <c r="Z1851">
        <v>78141</v>
      </c>
    </row>
    <row r="1852" spans="1:26" x14ac:dyDescent="0.25">
      <c r="A1852" t="s">
        <v>2498</v>
      </c>
      <c r="B1852" t="s">
        <v>26</v>
      </c>
      <c r="C1852" t="s">
        <v>27</v>
      </c>
      <c r="H1852" s="2">
        <v>45364.629861111112</v>
      </c>
      <c r="I1852" t="s">
        <v>29</v>
      </c>
      <c r="Z1852">
        <v>78110</v>
      </c>
    </row>
    <row r="1853" spans="1:26" x14ac:dyDescent="0.25">
      <c r="A1853" t="s">
        <v>2499</v>
      </c>
      <c r="B1853" t="s">
        <v>26</v>
      </c>
      <c r="C1853" t="s">
        <v>27</v>
      </c>
      <c r="H1853" s="2">
        <v>45364.600694444445</v>
      </c>
      <c r="I1853" t="s">
        <v>197</v>
      </c>
      <c r="Z1853">
        <v>78101</v>
      </c>
    </row>
    <row r="1854" spans="1:26" x14ac:dyDescent="0.25">
      <c r="A1854" t="s">
        <v>712</v>
      </c>
      <c r="B1854" t="s">
        <v>26</v>
      </c>
      <c r="C1854" t="s">
        <v>27</v>
      </c>
      <c r="H1854" s="2">
        <v>45362.553472222222</v>
      </c>
      <c r="I1854" t="s">
        <v>29</v>
      </c>
      <c r="Z1854">
        <v>77972</v>
      </c>
    </row>
    <row r="1855" spans="1:26" x14ac:dyDescent="0.25">
      <c r="A1855" t="s">
        <v>2500</v>
      </c>
      <c r="C1855" t="s">
        <v>27</v>
      </c>
      <c r="E1855" t="s">
        <v>137</v>
      </c>
      <c r="H1855" s="2">
        <v>45362.440972222219</v>
      </c>
      <c r="I1855" t="s">
        <v>29</v>
      </c>
      <c r="Z1855">
        <v>77954</v>
      </c>
    </row>
    <row r="1856" spans="1:26" x14ac:dyDescent="0.25">
      <c r="A1856" t="s">
        <v>2501</v>
      </c>
      <c r="B1856" t="s">
        <v>26</v>
      </c>
      <c r="C1856" t="s">
        <v>27</v>
      </c>
      <c r="H1856" s="2">
        <v>45362.381249999999</v>
      </c>
      <c r="I1856" t="s">
        <v>235</v>
      </c>
      <c r="Z1856">
        <v>77944</v>
      </c>
    </row>
    <row r="1857" spans="1:26" x14ac:dyDescent="0.25">
      <c r="A1857" t="s">
        <v>2502</v>
      </c>
      <c r="B1857" t="s">
        <v>26</v>
      </c>
      <c r="C1857" t="s">
        <v>27</v>
      </c>
      <c r="H1857" s="2">
        <v>45361.729861111111</v>
      </c>
      <c r="I1857" t="s">
        <v>95</v>
      </c>
      <c r="Z1857">
        <v>77935</v>
      </c>
    </row>
    <row r="1858" spans="1:26" x14ac:dyDescent="0.25">
      <c r="A1858" t="s">
        <v>2503</v>
      </c>
      <c r="C1858" t="s">
        <v>27</v>
      </c>
      <c r="E1858" t="s">
        <v>326</v>
      </c>
      <c r="H1858" s="2">
        <v>45361.489583333336</v>
      </c>
      <c r="I1858" t="s">
        <v>95</v>
      </c>
      <c r="Z1858">
        <v>77905</v>
      </c>
    </row>
    <row r="1859" spans="1:26" x14ac:dyDescent="0.25">
      <c r="A1859" t="s">
        <v>2504</v>
      </c>
      <c r="B1859" t="s">
        <v>26</v>
      </c>
      <c r="C1859" t="s">
        <v>27</v>
      </c>
      <c r="E1859" t="s">
        <v>2505</v>
      </c>
      <c r="H1859" s="2">
        <v>45360.851388888892</v>
      </c>
      <c r="I1859" t="s">
        <v>153</v>
      </c>
      <c r="Z1859">
        <v>77892</v>
      </c>
    </row>
    <row r="1860" spans="1:26" x14ac:dyDescent="0.25">
      <c r="A1860" t="s">
        <v>2506</v>
      </c>
      <c r="B1860" t="s">
        <v>26</v>
      </c>
      <c r="C1860" t="s">
        <v>27</v>
      </c>
      <c r="E1860" t="s">
        <v>2506</v>
      </c>
      <c r="H1860" s="2">
        <v>45360.688194444447</v>
      </c>
      <c r="I1860" t="s">
        <v>153</v>
      </c>
      <c r="Z1860">
        <v>77880</v>
      </c>
    </row>
    <row r="1861" spans="1:26" x14ac:dyDescent="0.25">
      <c r="A1861" t="s">
        <v>2507</v>
      </c>
      <c r="B1861" t="s">
        <v>26</v>
      </c>
      <c r="C1861" t="s">
        <v>27</v>
      </c>
      <c r="H1861" s="2">
        <v>45359.387499999997</v>
      </c>
      <c r="I1861" t="s">
        <v>197</v>
      </c>
      <c r="Z1861">
        <v>77814</v>
      </c>
    </row>
    <row r="1862" spans="1:26" x14ac:dyDescent="0.25">
      <c r="A1862" t="s">
        <v>2508</v>
      </c>
      <c r="B1862" t="s">
        <v>26</v>
      </c>
      <c r="C1862" t="s">
        <v>27</v>
      </c>
      <c r="H1862" s="2">
        <v>45358.895833333336</v>
      </c>
      <c r="I1862" t="s">
        <v>197</v>
      </c>
      <c r="Z1862">
        <v>77808</v>
      </c>
    </row>
    <row r="1863" spans="1:26" x14ac:dyDescent="0.25">
      <c r="A1863" t="s">
        <v>2509</v>
      </c>
      <c r="B1863" t="s">
        <v>26</v>
      </c>
      <c r="C1863" t="s">
        <v>27</v>
      </c>
      <c r="H1863" s="2">
        <v>45358.530555555553</v>
      </c>
      <c r="I1863" t="s">
        <v>194</v>
      </c>
      <c r="Z1863">
        <v>77770</v>
      </c>
    </row>
    <row r="1864" spans="1:26" x14ac:dyDescent="0.25">
      <c r="A1864" t="s">
        <v>2510</v>
      </c>
      <c r="B1864" t="s">
        <v>26</v>
      </c>
      <c r="C1864" t="s">
        <v>27</v>
      </c>
      <c r="H1864" s="2">
        <v>45358.415972222225</v>
      </c>
      <c r="I1864" t="s">
        <v>197</v>
      </c>
      <c r="Z1864">
        <v>77755</v>
      </c>
    </row>
    <row r="1865" spans="1:26" x14ac:dyDescent="0.25">
      <c r="A1865" t="s">
        <v>2511</v>
      </c>
      <c r="B1865" t="s">
        <v>26</v>
      </c>
      <c r="C1865" t="s">
        <v>27</v>
      </c>
      <c r="H1865" s="2">
        <v>45357.71875</v>
      </c>
      <c r="I1865" t="s">
        <v>197</v>
      </c>
      <c r="Z1865">
        <v>77736</v>
      </c>
    </row>
    <row r="1866" spans="1:26" x14ac:dyDescent="0.25">
      <c r="A1866" t="s">
        <v>2512</v>
      </c>
      <c r="B1866" t="s">
        <v>26</v>
      </c>
      <c r="C1866" t="s">
        <v>27</v>
      </c>
      <c r="H1866" s="2">
        <v>45357.499305555553</v>
      </c>
      <c r="I1866" t="s">
        <v>197</v>
      </c>
      <c r="Z1866">
        <v>77712</v>
      </c>
    </row>
    <row r="1867" spans="1:26" x14ac:dyDescent="0.25">
      <c r="A1867" t="s">
        <v>2513</v>
      </c>
      <c r="B1867" t="s">
        <v>77</v>
      </c>
      <c r="C1867" t="s">
        <v>47</v>
      </c>
      <c r="E1867" t="s">
        <v>2514</v>
      </c>
      <c r="H1867" s="2">
        <v>45357.489583333336</v>
      </c>
      <c r="I1867" t="s">
        <v>197</v>
      </c>
      <c r="K1867" t="s">
        <v>30</v>
      </c>
      <c r="L1867" t="s">
        <v>31</v>
      </c>
      <c r="M1867">
        <v>55887024</v>
      </c>
      <c r="N1867">
        <v>9754613600</v>
      </c>
      <c r="O1867" t="s">
        <v>1948</v>
      </c>
      <c r="Z1867">
        <v>77711</v>
      </c>
    </row>
    <row r="1868" spans="1:26" x14ac:dyDescent="0.25">
      <c r="A1868" t="s">
        <v>2515</v>
      </c>
      <c r="B1868" t="s">
        <v>26</v>
      </c>
      <c r="C1868" t="s">
        <v>27</v>
      </c>
      <c r="H1868" s="2">
        <v>45357.482638888891</v>
      </c>
      <c r="I1868" t="s">
        <v>194</v>
      </c>
      <c r="Z1868">
        <v>77710</v>
      </c>
    </row>
    <row r="1869" spans="1:26" x14ac:dyDescent="0.25">
      <c r="A1869" t="s">
        <v>2516</v>
      </c>
      <c r="B1869" t="s">
        <v>26</v>
      </c>
      <c r="C1869" t="s">
        <v>27</v>
      </c>
      <c r="H1869" s="2">
        <v>45357.436111111114</v>
      </c>
      <c r="I1869" t="s">
        <v>197</v>
      </c>
      <c r="Z1869">
        <v>77696</v>
      </c>
    </row>
    <row r="1870" spans="1:26" x14ac:dyDescent="0.25">
      <c r="A1870" t="s">
        <v>2517</v>
      </c>
      <c r="B1870" t="s">
        <v>46</v>
      </c>
      <c r="C1870" t="s">
        <v>27</v>
      </c>
      <c r="E1870" t="s">
        <v>63</v>
      </c>
      <c r="G1870" t="s">
        <v>2518</v>
      </c>
      <c r="H1870" s="2">
        <v>45356.51666666667</v>
      </c>
      <c r="I1870" t="s">
        <v>29</v>
      </c>
      <c r="Z1870">
        <v>77655</v>
      </c>
    </row>
    <row r="1871" spans="1:26" x14ac:dyDescent="0.25">
      <c r="A1871" t="s">
        <v>2519</v>
      </c>
      <c r="B1871" t="s">
        <v>26</v>
      </c>
      <c r="C1871" t="s">
        <v>27</v>
      </c>
      <c r="H1871" s="2">
        <v>45356.508333333331</v>
      </c>
      <c r="I1871" t="s">
        <v>235</v>
      </c>
      <c r="Z1871">
        <v>77653</v>
      </c>
    </row>
    <row r="1872" spans="1:26" x14ac:dyDescent="0.25">
      <c r="A1872" t="s">
        <v>2520</v>
      </c>
      <c r="B1872" t="s">
        <v>26</v>
      </c>
      <c r="C1872" t="s">
        <v>27</v>
      </c>
      <c r="H1872" s="2">
        <v>45356.495138888888</v>
      </c>
      <c r="I1872" t="s">
        <v>194</v>
      </c>
      <c r="Z1872">
        <v>77648</v>
      </c>
    </row>
    <row r="1873" spans="1:26" x14ac:dyDescent="0.25">
      <c r="A1873" t="s">
        <v>2521</v>
      </c>
      <c r="B1873" t="s">
        <v>26</v>
      </c>
      <c r="C1873" t="s">
        <v>27</v>
      </c>
      <c r="H1873" s="2">
        <v>45355.662499999999</v>
      </c>
      <c r="I1873" t="s">
        <v>235</v>
      </c>
      <c r="Z1873">
        <v>77610</v>
      </c>
    </row>
    <row r="1874" spans="1:26" x14ac:dyDescent="0.25">
      <c r="A1874" t="s">
        <v>2522</v>
      </c>
      <c r="B1874" t="s">
        <v>77</v>
      </c>
      <c r="C1874" t="s">
        <v>27</v>
      </c>
      <c r="E1874" t="s">
        <v>107</v>
      </c>
      <c r="H1874" s="2">
        <v>45355.563194444447</v>
      </c>
      <c r="I1874" t="s">
        <v>153</v>
      </c>
      <c r="Z1874">
        <v>77597</v>
      </c>
    </row>
    <row r="1875" spans="1:26" x14ac:dyDescent="0.25">
      <c r="A1875" t="s">
        <v>2523</v>
      </c>
      <c r="B1875" t="s">
        <v>26</v>
      </c>
      <c r="C1875" t="s">
        <v>27</v>
      </c>
      <c r="H1875" s="2">
        <v>45354.590277777781</v>
      </c>
      <c r="I1875" t="s">
        <v>153</v>
      </c>
      <c r="Z1875">
        <v>77541</v>
      </c>
    </row>
    <row r="1876" spans="1:26" x14ac:dyDescent="0.25">
      <c r="A1876" t="s">
        <v>2524</v>
      </c>
      <c r="B1876" t="s">
        <v>26</v>
      </c>
      <c r="C1876" t="s">
        <v>206</v>
      </c>
      <c r="H1876" s="2">
        <v>45353.734722222223</v>
      </c>
      <c r="I1876" t="s">
        <v>197</v>
      </c>
      <c r="Z1876">
        <v>77507</v>
      </c>
    </row>
    <row r="1877" spans="1:26" x14ac:dyDescent="0.25">
      <c r="A1877" t="s">
        <v>2525</v>
      </c>
      <c r="B1877" t="s">
        <v>26</v>
      </c>
      <c r="C1877" t="s">
        <v>27</v>
      </c>
      <c r="H1877" s="2">
        <v>45353.5</v>
      </c>
      <c r="I1877" t="s">
        <v>197</v>
      </c>
      <c r="Z1877">
        <v>77472</v>
      </c>
    </row>
    <row r="1878" spans="1:26" x14ac:dyDescent="0.25">
      <c r="A1878" t="s">
        <v>2526</v>
      </c>
      <c r="B1878" t="s">
        <v>164</v>
      </c>
      <c r="C1878" t="s">
        <v>27</v>
      </c>
      <c r="E1878" t="s">
        <v>45</v>
      </c>
      <c r="H1878" s="2">
        <v>45353.429166666669</v>
      </c>
      <c r="I1878" t="s">
        <v>29</v>
      </c>
      <c r="K1878" t="s">
        <v>30</v>
      </c>
      <c r="L1878" t="s">
        <v>31</v>
      </c>
      <c r="M1878">
        <v>55887024</v>
      </c>
      <c r="N1878">
        <v>9754613607</v>
      </c>
      <c r="O1878" t="s">
        <v>1549</v>
      </c>
      <c r="Z1878">
        <v>77453</v>
      </c>
    </row>
    <row r="1879" spans="1:26" x14ac:dyDescent="0.25">
      <c r="A1879" t="s">
        <v>2527</v>
      </c>
      <c r="B1879" t="s">
        <v>26</v>
      </c>
      <c r="C1879" t="s">
        <v>27</v>
      </c>
      <c r="H1879" s="2">
        <v>45352.636805555558</v>
      </c>
      <c r="I1879" t="s">
        <v>29</v>
      </c>
      <c r="Z1879">
        <v>77425</v>
      </c>
    </row>
    <row r="1880" spans="1:26" x14ac:dyDescent="0.25">
      <c r="A1880" t="s">
        <v>2528</v>
      </c>
      <c r="B1880" t="s">
        <v>26</v>
      </c>
      <c r="C1880" t="s">
        <v>27</v>
      </c>
      <c r="H1880" s="2">
        <v>45352.479861111111</v>
      </c>
      <c r="I1880" t="s">
        <v>197</v>
      </c>
      <c r="Z1880">
        <v>77400</v>
      </c>
    </row>
    <row r="1881" spans="1:26" x14ac:dyDescent="0.25">
      <c r="A1881" t="s">
        <v>1256</v>
      </c>
      <c r="B1881" t="s">
        <v>26</v>
      </c>
      <c r="C1881" t="s">
        <v>27</v>
      </c>
      <c r="H1881" s="2">
        <v>45352.411805555559</v>
      </c>
      <c r="I1881" t="s">
        <v>194</v>
      </c>
      <c r="Z1881">
        <v>77390</v>
      </c>
    </row>
    <row r="1882" spans="1:26" x14ac:dyDescent="0.25">
      <c r="A1882" t="s">
        <v>2529</v>
      </c>
      <c r="B1882" t="s">
        <v>26</v>
      </c>
      <c r="C1882" t="s">
        <v>27</v>
      </c>
      <c r="E1882" t="s">
        <v>44</v>
      </c>
      <c r="H1882" s="2">
        <v>45352.234722222223</v>
      </c>
      <c r="I1882" t="s">
        <v>197</v>
      </c>
      <c r="Z1882">
        <v>77381</v>
      </c>
    </row>
    <row r="1883" spans="1:26" x14ac:dyDescent="0.25">
      <c r="A1883" t="s">
        <v>2530</v>
      </c>
      <c r="B1883" t="s">
        <v>26</v>
      </c>
      <c r="C1883" t="s">
        <v>27</v>
      </c>
      <c r="H1883" s="2">
        <v>45351.469444444447</v>
      </c>
      <c r="I1883" t="s">
        <v>197</v>
      </c>
      <c r="Z1883">
        <v>77332</v>
      </c>
    </row>
    <row r="1884" spans="1:26" x14ac:dyDescent="0.25">
      <c r="A1884" t="s">
        <v>2165</v>
      </c>
      <c r="B1884" t="s">
        <v>26</v>
      </c>
      <c r="C1884" t="s">
        <v>27</v>
      </c>
      <c r="H1884" s="2">
        <v>45351.45</v>
      </c>
      <c r="I1884" t="s">
        <v>252</v>
      </c>
      <c r="Z1884">
        <v>77330</v>
      </c>
    </row>
    <row r="1885" spans="1:26" x14ac:dyDescent="0.25">
      <c r="A1885" t="s">
        <v>2531</v>
      </c>
      <c r="B1885" t="s">
        <v>198</v>
      </c>
      <c r="C1885" t="s">
        <v>27</v>
      </c>
      <c r="E1885" t="s">
        <v>76</v>
      </c>
      <c r="G1885" t="s">
        <v>2532</v>
      </c>
      <c r="H1885" s="2">
        <v>45351.397222222222</v>
      </c>
      <c r="I1885" t="s">
        <v>197</v>
      </c>
      <c r="K1885" t="s">
        <v>30</v>
      </c>
      <c r="L1885" t="s">
        <v>31</v>
      </c>
      <c r="M1885">
        <v>55887024</v>
      </c>
      <c r="N1885">
        <v>9754613601</v>
      </c>
      <c r="O1885" t="s">
        <v>2039</v>
      </c>
      <c r="Z1885">
        <v>77323</v>
      </c>
    </row>
    <row r="1886" spans="1:26" x14ac:dyDescent="0.25">
      <c r="A1886" t="s">
        <v>92</v>
      </c>
      <c r="B1886" t="s">
        <v>26</v>
      </c>
      <c r="C1886" t="s">
        <v>27</v>
      </c>
      <c r="H1886" s="2">
        <v>45350.765277777777</v>
      </c>
      <c r="I1886" t="s">
        <v>29</v>
      </c>
      <c r="Z1886">
        <v>77310</v>
      </c>
    </row>
    <row r="1887" spans="1:26" x14ac:dyDescent="0.25">
      <c r="A1887" t="s">
        <v>2533</v>
      </c>
      <c r="B1887" t="s">
        <v>26</v>
      </c>
      <c r="C1887" t="s">
        <v>27</v>
      </c>
      <c r="H1887" s="2">
        <v>45350.758333333331</v>
      </c>
      <c r="I1887" t="s">
        <v>235</v>
      </c>
      <c r="Z1887">
        <v>77309</v>
      </c>
    </row>
    <row r="1888" spans="1:26" x14ac:dyDescent="0.25">
      <c r="A1888" t="s">
        <v>2534</v>
      </c>
      <c r="C1888" t="s">
        <v>27</v>
      </c>
      <c r="E1888" t="s">
        <v>106</v>
      </c>
      <c r="H1888" s="2">
        <v>45350.35833333333</v>
      </c>
      <c r="I1888" t="s">
        <v>252</v>
      </c>
      <c r="Z1888">
        <v>77247</v>
      </c>
    </row>
    <row r="1889" spans="1:26" x14ac:dyDescent="0.25">
      <c r="A1889" t="s">
        <v>2535</v>
      </c>
      <c r="B1889" t="s">
        <v>26</v>
      </c>
      <c r="C1889" t="s">
        <v>27</v>
      </c>
      <c r="H1889" s="2">
        <v>45349.620138888888</v>
      </c>
      <c r="I1889" t="s">
        <v>252</v>
      </c>
      <c r="Z1889">
        <v>77211</v>
      </c>
    </row>
    <row r="1890" spans="1:26" x14ac:dyDescent="0.25">
      <c r="A1890" t="s">
        <v>2536</v>
      </c>
      <c r="C1890" t="s">
        <v>27</v>
      </c>
      <c r="E1890" t="s">
        <v>2537</v>
      </c>
      <c r="H1890" s="2">
        <v>45349.597916666666</v>
      </c>
      <c r="I1890" t="s">
        <v>235</v>
      </c>
      <c r="Z1890">
        <v>77204</v>
      </c>
    </row>
    <row r="1891" spans="1:26" x14ac:dyDescent="0.25">
      <c r="A1891" t="s">
        <v>2538</v>
      </c>
      <c r="B1891" t="s">
        <v>26</v>
      </c>
      <c r="C1891" t="s">
        <v>27</v>
      </c>
      <c r="H1891" s="2">
        <v>45348.84375</v>
      </c>
      <c r="I1891" t="s">
        <v>153</v>
      </c>
      <c r="Z1891">
        <v>77165</v>
      </c>
    </row>
    <row r="1892" spans="1:26" x14ac:dyDescent="0.25">
      <c r="A1892" t="s">
        <v>92</v>
      </c>
      <c r="B1892" t="s">
        <v>26</v>
      </c>
      <c r="C1892" t="s">
        <v>27</v>
      </c>
      <c r="H1892" s="2">
        <v>45348.706250000003</v>
      </c>
      <c r="I1892" t="s">
        <v>29</v>
      </c>
      <c r="Z1892">
        <v>77153</v>
      </c>
    </row>
    <row r="1893" spans="1:26" x14ac:dyDescent="0.25">
      <c r="A1893" t="s">
        <v>2539</v>
      </c>
      <c r="B1893" t="s">
        <v>26</v>
      </c>
      <c r="C1893" t="s">
        <v>27</v>
      </c>
      <c r="H1893" s="2">
        <v>45348.65625</v>
      </c>
      <c r="I1893" t="s">
        <v>235</v>
      </c>
      <c r="Z1893">
        <v>77144</v>
      </c>
    </row>
    <row r="1894" spans="1:26" x14ac:dyDescent="0.25">
      <c r="A1894" t="s">
        <v>2540</v>
      </c>
      <c r="B1894" t="s">
        <v>26</v>
      </c>
      <c r="C1894" t="s">
        <v>27</v>
      </c>
      <c r="H1894" s="2">
        <v>45348.560416666667</v>
      </c>
      <c r="I1894" t="s">
        <v>235</v>
      </c>
      <c r="Z1894">
        <v>77131</v>
      </c>
    </row>
    <row r="1895" spans="1:26" x14ac:dyDescent="0.25">
      <c r="A1895" t="s">
        <v>2541</v>
      </c>
      <c r="B1895" t="s">
        <v>164</v>
      </c>
      <c r="C1895" t="s">
        <v>27</v>
      </c>
      <c r="E1895" t="s">
        <v>297</v>
      </c>
      <c r="H1895" s="2">
        <v>45347.847222222219</v>
      </c>
      <c r="I1895" t="s">
        <v>235</v>
      </c>
      <c r="Z1895">
        <v>77093</v>
      </c>
    </row>
    <row r="1896" spans="1:26" x14ac:dyDescent="0.25">
      <c r="A1896" t="s">
        <v>2542</v>
      </c>
      <c r="B1896" t="s">
        <v>26</v>
      </c>
      <c r="C1896" t="s">
        <v>27</v>
      </c>
      <c r="H1896" s="2">
        <v>45347.51458333333</v>
      </c>
      <c r="I1896" t="s">
        <v>197</v>
      </c>
      <c r="Z1896">
        <v>77053</v>
      </c>
    </row>
    <row r="1897" spans="1:26" x14ac:dyDescent="0.25">
      <c r="A1897" t="s">
        <v>2543</v>
      </c>
      <c r="C1897" t="s">
        <v>27</v>
      </c>
      <c r="E1897" t="s">
        <v>80</v>
      </c>
      <c r="H1897" s="2">
        <v>45346.638194444444</v>
      </c>
      <c r="I1897" t="s">
        <v>197</v>
      </c>
      <c r="Z1897">
        <v>77020</v>
      </c>
    </row>
    <row r="1898" spans="1:26" x14ac:dyDescent="0.25">
      <c r="A1898" t="s">
        <v>2544</v>
      </c>
      <c r="B1898" t="s">
        <v>164</v>
      </c>
      <c r="C1898" t="s">
        <v>27</v>
      </c>
      <c r="E1898" t="s">
        <v>120</v>
      </c>
      <c r="G1898" t="s">
        <v>2545</v>
      </c>
      <c r="H1898" s="2">
        <v>45346.461805555555</v>
      </c>
      <c r="I1898" t="s">
        <v>252</v>
      </c>
      <c r="Z1898">
        <v>77004</v>
      </c>
    </row>
    <row r="1899" spans="1:26" x14ac:dyDescent="0.25">
      <c r="A1899" t="s">
        <v>2546</v>
      </c>
      <c r="B1899" t="s">
        <v>26</v>
      </c>
      <c r="C1899" t="s">
        <v>27</v>
      </c>
      <c r="H1899" s="2">
        <v>45345.750694444447</v>
      </c>
      <c r="I1899" t="s">
        <v>197</v>
      </c>
      <c r="Z1899">
        <v>76987</v>
      </c>
    </row>
    <row r="1900" spans="1:26" x14ac:dyDescent="0.25">
      <c r="A1900" t="s">
        <v>2547</v>
      </c>
      <c r="B1900" t="s">
        <v>26</v>
      </c>
      <c r="C1900" t="s">
        <v>27</v>
      </c>
      <c r="H1900" s="2">
        <v>45345.586805555555</v>
      </c>
      <c r="I1900" t="s">
        <v>197</v>
      </c>
      <c r="Z1900">
        <v>76971</v>
      </c>
    </row>
    <row r="1901" spans="1:26" x14ac:dyDescent="0.25">
      <c r="A1901" t="s">
        <v>2548</v>
      </c>
      <c r="B1901" t="s">
        <v>26</v>
      </c>
      <c r="C1901" t="s">
        <v>27</v>
      </c>
      <c r="H1901" s="2">
        <v>45345.55</v>
      </c>
      <c r="I1901" t="s">
        <v>197</v>
      </c>
      <c r="Z1901">
        <v>76963</v>
      </c>
    </row>
    <row r="1902" spans="1:26" x14ac:dyDescent="0.25">
      <c r="A1902" t="s">
        <v>2549</v>
      </c>
      <c r="B1902" t="s">
        <v>26</v>
      </c>
      <c r="C1902" t="s">
        <v>27</v>
      </c>
      <c r="H1902" s="2">
        <v>45345.517361111109</v>
      </c>
      <c r="I1902" t="s">
        <v>197</v>
      </c>
      <c r="Z1902">
        <v>76959</v>
      </c>
    </row>
    <row r="1903" spans="1:26" x14ac:dyDescent="0.25">
      <c r="A1903" t="s">
        <v>2550</v>
      </c>
      <c r="B1903" t="s">
        <v>26</v>
      </c>
      <c r="C1903" t="s">
        <v>27</v>
      </c>
      <c r="H1903" s="2">
        <v>45345.467361111114</v>
      </c>
      <c r="I1903" t="s">
        <v>197</v>
      </c>
      <c r="Z1903">
        <v>76949</v>
      </c>
    </row>
    <row r="1904" spans="1:26" x14ac:dyDescent="0.25">
      <c r="A1904" t="s">
        <v>2551</v>
      </c>
      <c r="B1904" t="s">
        <v>26</v>
      </c>
      <c r="C1904" t="s">
        <v>27</v>
      </c>
      <c r="H1904" s="2">
        <v>45344.568749999999</v>
      </c>
      <c r="I1904" t="s">
        <v>252</v>
      </c>
      <c r="Z1904">
        <v>76906</v>
      </c>
    </row>
    <row r="1905" spans="1:26" x14ac:dyDescent="0.25">
      <c r="A1905" t="s">
        <v>2552</v>
      </c>
      <c r="B1905" t="s">
        <v>26</v>
      </c>
      <c r="C1905" t="s">
        <v>27</v>
      </c>
      <c r="H1905" s="2">
        <v>45344.561805555553</v>
      </c>
      <c r="I1905" t="s">
        <v>252</v>
      </c>
      <c r="Z1905">
        <v>76905</v>
      </c>
    </row>
    <row r="1906" spans="1:26" x14ac:dyDescent="0.25">
      <c r="A1906" t="s">
        <v>2553</v>
      </c>
      <c r="B1906" t="s">
        <v>26</v>
      </c>
      <c r="C1906" t="s">
        <v>27</v>
      </c>
      <c r="H1906" s="2">
        <v>45344.386805555558</v>
      </c>
      <c r="I1906" t="s">
        <v>235</v>
      </c>
      <c r="Z1906">
        <v>76884</v>
      </c>
    </row>
    <row r="1907" spans="1:26" x14ac:dyDescent="0.25">
      <c r="A1907" t="s">
        <v>2554</v>
      </c>
      <c r="B1907" t="s">
        <v>26</v>
      </c>
      <c r="C1907" t="s">
        <v>27</v>
      </c>
      <c r="H1907" s="2">
        <v>45343.717361111114</v>
      </c>
      <c r="I1907" t="s">
        <v>252</v>
      </c>
      <c r="Z1907">
        <v>76868</v>
      </c>
    </row>
    <row r="1908" spans="1:26" x14ac:dyDescent="0.25">
      <c r="A1908" t="s">
        <v>2555</v>
      </c>
      <c r="B1908" t="s">
        <v>26</v>
      </c>
      <c r="C1908" t="s">
        <v>27</v>
      </c>
      <c r="H1908" s="2">
        <v>45343.700694444444</v>
      </c>
      <c r="I1908" t="s">
        <v>235</v>
      </c>
      <c r="Z1908">
        <v>76866</v>
      </c>
    </row>
    <row r="1909" spans="1:26" x14ac:dyDescent="0.25">
      <c r="A1909" t="s">
        <v>2556</v>
      </c>
      <c r="B1909" t="s">
        <v>26</v>
      </c>
      <c r="C1909" t="s">
        <v>27</v>
      </c>
      <c r="H1909" s="2">
        <v>45343.7</v>
      </c>
      <c r="I1909" t="s">
        <v>235</v>
      </c>
      <c r="Z1909">
        <v>76865</v>
      </c>
    </row>
    <row r="1910" spans="1:26" x14ac:dyDescent="0.25">
      <c r="A1910" t="s">
        <v>2557</v>
      </c>
      <c r="B1910" t="s">
        <v>26</v>
      </c>
      <c r="C1910" t="s">
        <v>27</v>
      </c>
      <c r="H1910" s="2">
        <v>45343.592361111114</v>
      </c>
      <c r="I1910" t="s">
        <v>235</v>
      </c>
      <c r="Z1910">
        <v>76846</v>
      </c>
    </row>
    <row r="1911" spans="1:26" x14ac:dyDescent="0.25">
      <c r="A1911" t="s">
        <v>2558</v>
      </c>
      <c r="B1911" t="s">
        <v>26</v>
      </c>
      <c r="C1911" t="s">
        <v>27</v>
      </c>
      <c r="H1911" s="2">
        <v>45343.5</v>
      </c>
      <c r="I1911" t="s">
        <v>235</v>
      </c>
      <c r="Z1911">
        <v>76827</v>
      </c>
    </row>
    <row r="1912" spans="1:26" x14ac:dyDescent="0.25">
      <c r="A1912" t="s">
        <v>2559</v>
      </c>
      <c r="B1912" t="s">
        <v>164</v>
      </c>
      <c r="C1912" t="s">
        <v>27</v>
      </c>
      <c r="E1912" t="s">
        <v>101</v>
      </c>
      <c r="H1912" s="2">
        <v>45343.313194444447</v>
      </c>
      <c r="I1912" t="s">
        <v>235</v>
      </c>
      <c r="K1912" t="s">
        <v>30</v>
      </c>
      <c r="L1912" t="s">
        <v>31</v>
      </c>
      <c r="M1912">
        <v>55887089</v>
      </c>
      <c r="N1912">
        <v>12886156207</v>
      </c>
      <c r="O1912" t="s">
        <v>265</v>
      </c>
      <c r="Z1912">
        <v>76806</v>
      </c>
    </row>
    <row r="1913" spans="1:26" x14ac:dyDescent="0.25">
      <c r="A1913" t="s">
        <v>2560</v>
      </c>
      <c r="B1913" t="s">
        <v>26</v>
      </c>
      <c r="C1913" t="s">
        <v>27</v>
      </c>
      <c r="H1913" s="2">
        <v>45342.586805555555</v>
      </c>
      <c r="I1913" t="s">
        <v>235</v>
      </c>
      <c r="Z1913">
        <v>76771</v>
      </c>
    </row>
    <row r="1914" spans="1:26" x14ac:dyDescent="0.25">
      <c r="A1914" t="s">
        <v>2561</v>
      </c>
      <c r="B1914" t="s">
        <v>26</v>
      </c>
      <c r="C1914" t="s">
        <v>27</v>
      </c>
      <c r="H1914" s="2">
        <v>45342.556250000001</v>
      </c>
      <c r="I1914" t="s">
        <v>153</v>
      </c>
      <c r="Z1914">
        <v>76768</v>
      </c>
    </row>
    <row r="1915" spans="1:26" x14ac:dyDescent="0.25">
      <c r="A1915" t="s">
        <v>2562</v>
      </c>
      <c r="B1915" t="s">
        <v>26</v>
      </c>
      <c r="C1915" t="s">
        <v>27</v>
      </c>
      <c r="H1915" s="2">
        <v>45341.869444444441</v>
      </c>
      <c r="I1915" t="s">
        <v>197</v>
      </c>
      <c r="Z1915">
        <v>76727</v>
      </c>
    </row>
    <row r="1916" spans="1:26" x14ac:dyDescent="0.25">
      <c r="A1916" t="s">
        <v>2563</v>
      </c>
      <c r="B1916" t="s">
        <v>26</v>
      </c>
      <c r="C1916" t="s">
        <v>27</v>
      </c>
      <c r="H1916" s="2">
        <v>45341.39166666667</v>
      </c>
      <c r="I1916" t="s">
        <v>197</v>
      </c>
      <c r="Z1916">
        <v>76681</v>
      </c>
    </row>
    <row r="1917" spans="1:26" x14ac:dyDescent="0.25">
      <c r="A1917" t="s">
        <v>2564</v>
      </c>
      <c r="B1917" t="s">
        <v>46</v>
      </c>
      <c r="C1917" t="s">
        <v>27</v>
      </c>
      <c r="E1917" t="s">
        <v>105</v>
      </c>
      <c r="G1917" t="s">
        <v>2565</v>
      </c>
      <c r="H1917" s="2">
        <v>45340.916666666664</v>
      </c>
      <c r="I1917" t="s">
        <v>29</v>
      </c>
      <c r="Z1917">
        <v>76676</v>
      </c>
    </row>
    <row r="1918" spans="1:26" x14ac:dyDescent="0.25">
      <c r="A1918" t="s">
        <v>2566</v>
      </c>
      <c r="B1918" t="s">
        <v>26</v>
      </c>
      <c r="C1918" t="s">
        <v>27</v>
      </c>
      <c r="H1918" s="2">
        <v>45340.504861111112</v>
      </c>
      <c r="I1918" t="s">
        <v>197</v>
      </c>
      <c r="Z1918">
        <v>76638</v>
      </c>
    </row>
    <row r="1919" spans="1:26" x14ac:dyDescent="0.25">
      <c r="A1919" t="s">
        <v>712</v>
      </c>
      <c r="B1919" t="s">
        <v>26</v>
      </c>
      <c r="C1919" t="s">
        <v>27</v>
      </c>
      <c r="H1919" s="2">
        <v>45339.793055555558</v>
      </c>
      <c r="I1919" t="s">
        <v>252</v>
      </c>
      <c r="Z1919">
        <v>76616</v>
      </c>
    </row>
    <row r="1920" spans="1:26" x14ac:dyDescent="0.25">
      <c r="A1920" t="s">
        <v>2567</v>
      </c>
      <c r="B1920" t="s">
        <v>26</v>
      </c>
      <c r="C1920" t="s">
        <v>27</v>
      </c>
      <c r="H1920" s="2">
        <v>45339.645833333336</v>
      </c>
      <c r="I1920" t="s">
        <v>197</v>
      </c>
      <c r="Z1920">
        <v>76595</v>
      </c>
    </row>
    <row r="1921" spans="1:26" x14ac:dyDescent="0.25">
      <c r="A1921" t="s">
        <v>2568</v>
      </c>
      <c r="B1921" t="s">
        <v>26</v>
      </c>
      <c r="C1921" t="s">
        <v>27</v>
      </c>
      <c r="H1921" s="2">
        <v>45339.548611111109</v>
      </c>
      <c r="I1921" t="s">
        <v>252</v>
      </c>
      <c r="Z1921">
        <v>76580</v>
      </c>
    </row>
    <row r="1922" spans="1:26" x14ac:dyDescent="0.25">
      <c r="A1922" t="s">
        <v>2569</v>
      </c>
      <c r="B1922" t="s">
        <v>26</v>
      </c>
      <c r="C1922" t="s">
        <v>27</v>
      </c>
      <c r="H1922" s="2">
        <v>45339.509027777778</v>
      </c>
      <c r="I1922" t="s">
        <v>252</v>
      </c>
      <c r="Z1922">
        <v>76574</v>
      </c>
    </row>
    <row r="1923" spans="1:26" x14ac:dyDescent="0.25">
      <c r="A1923" t="s">
        <v>2570</v>
      </c>
      <c r="B1923" t="s">
        <v>26</v>
      </c>
      <c r="C1923" t="s">
        <v>27</v>
      </c>
      <c r="H1923" s="2">
        <v>45339.385416666664</v>
      </c>
      <c r="I1923" t="s">
        <v>252</v>
      </c>
      <c r="Z1923">
        <v>76557</v>
      </c>
    </row>
    <row r="1924" spans="1:26" x14ac:dyDescent="0.25">
      <c r="A1924" t="s">
        <v>2571</v>
      </c>
      <c r="C1924" t="s">
        <v>27</v>
      </c>
      <c r="E1924" t="s">
        <v>108</v>
      </c>
      <c r="H1924" s="2">
        <v>45338.842361111114</v>
      </c>
      <c r="I1924" t="s">
        <v>197</v>
      </c>
      <c r="Z1924">
        <v>76550</v>
      </c>
    </row>
    <row r="1925" spans="1:26" x14ac:dyDescent="0.25">
      <c r="A1925" t="s">
        <v>2572</v>
      </c>
      <c r="B1925" t="s">
        <v>26</v>
      </c>
      <c r="C1925" t="s">
        <v>27</v>
      </c>
      <c r="H1925" s="2">
        <v>45338.645833333336</v>
      </c>
      <c r="I1925" t="s">
        <v>252</v>
      </c>
      <c r="Z1925">
        <v>76533</v>
      </c>
    </row>
    <row r="1926" spans="1:26" x14ac:dyDescent="0.25">
      <c r="A1926" t="s">
        <v>2573</v>
      </c>
      <c r="B1926" t="s">
        <v>46</v>
      </c>
      <c r="C1926" t="s">
        <v>27</v>
      </c>
      <c r="E1926" t="s">
        <v>90</v>
      </c>
      <c r="G1926" t="s">
        <v>2574</v>
      </c>
      <c r="H1926" s="2">
        <v>45337.796527777777</v>
      </c>
      <c r="I1926" t="s">
        <v>252</v>
      </c>
      <c r="Z1926">
        <v>76486</v>
      </c>
    </row>
    <row r="1927" spans="1:26" x14ac:dyDescent="0.25">
      <c r="A1927" t="s">
        <v>2575</v>
      </c>
      <c r="B1927" t="s">
        <v>26</v>
      </c>
      <c r="C1927" t="s">
        <v>27</v>
      </c>
      <c r="H1927" s="2">
        <v>45337.677083333336</v>
      </c>
      <c r="I1927" t="s">
        <v>29</v>
      </c>
      <c r="Z1927">
        <v>76473</v>
      </c>
    </row>
    <row r="1928" spans="1:26" x14ac:dyDescent="0.25">
      <c r="A1928" t="s">
        <v>2576</v>
      </c>
      <c r="B1928" t="s">
        <v>26</v>
      </c>
      <c r="C1928" t="s">
        <v>27</v>
      </c>
      <c r="H1928" s="2">
        <v>45337.570833333331</v>
      </c>
      <c r="I1928" t="s">
        <v>252</v>
      </c>
      <c r="Z1928">
        <v>76456</v>
      </c>
    </row>
    <row r="1929" spans="1:26" x14ac:dyDescent="0.25">
      <c r="A1929" t="s">
        <v>2577</v>
      </c>
      <c r="B1929" t="s">
        <v>26</v>
      </c>
      <c r="C1929" t="s">
        <v>27</v>
      </c>
      <c r="H1929" s="2">
        <v>45337.509027777778</v>
      </c>
      <c r="I1929" t="s">
        <v>252</v>
      </c>
      <c r="Z1929">
        <v>76444</v>
      </c>
    </row>
    <row r="1930" spans="1:26" x14ac:dyDescent="0.25">
      <c r="A1930" t="s">
        <v>2578</v>
      </c>
      <c r="B1930" t="s">
        <v>26</v>
      </c>
      <c r="C1930" t="s">
        <v>27</v>
      </c>
      <c r="H1930" s="2">
        <v>45336.668055555558</v>
      </c>
      <c r="I1930" t="s">
        <v>235</v>
      </c>
      <c r="Z1930">
        <v>76403</v>
      </c>
    </row>
    <row r="1931" spans="1:26" x14ac:dyDescent="0.25">
      <c r="A1931" t="s">
        <v>2198</v>
      </c>
      <c r="B1931" t="s">
        <v>26</v>
      </c>
      <c r="C1931" t="s">
        <v>27</v>
      </c>
      <c r="H1931" s="2">
        <v>45336.636805555558</v>
      </c>
      <c r="I1931" t="s">
        <v>252</v>
      </c>
      <c r="Z1931">
        <v>76398</v>
      </c>
    </row>
    <row r="1932" spans="1:26" x14ac:dyDescent="0.25">
      <c r="A1932" t="s">
        <v>2579</v>
      </c>
      <c r="B1932" t="s">
        <v>26</v>
      </c>
      <c r="C1932" t="s">
        <v>27</v>
      </c>
      <c r="H1932" s="2">
        <v>45336.506944444445</v>
      </c>
      <c r="I1932" t="s">
        <v>252</v>
      </c>
      <c r="Z1932">
        <v>76383</v>
      </c>
    </row>
    <row r="1933" spans="1:26" x14ac:dyDescent="0.25">
      <c r="A1933" t="s">
        <v>2580</v>
      </c>
      <c r="B1933" t="s">
        <v>185</v>
      </c>
      <c r="C1933" t="s">
        <v>27</v>
      </c>
      <c r="E1933" t="s">
        <v>44</v>
      </c>
      <c r="H1933" s="2">
        <v>45335.968055555553</v>
      </c>
      <c r="I1933" t="s">
        <v>252</v>
      </c>
      <c r="Z1933">
        <v>76357</v>
      </c>
    </row>
    <row r="1934" spans="1:26" x14ac:dyDescent="0.25">
      <c r="A1934" t="s">
        <v>2581</v>
      </c>
      <c r="B1934" t="s">
        <v>26</v>
      </c>
      <c r="C1934" t="s">
        <v>27</v>
      </c>
      <c r="H1934" s="2">
        <v>45335.711805555555</v>
      </c>
      <c r="I1934" t="s">
        <v>197</v>
      </c>
      <c r="Z1934">
        <v>76341</v>
      </c>
    </row>
    <row r="1935" spans="1:26" x14ac:dyDescent="0.25">
      <c r="A1935" t="s">
        <v>2582</v>
      </c>
      <c r="B1935" t="s">
        <v>26</v>
      </c>
      <c r="C1935" t="s">
        <v>27</v>
      </c>
      <c r="H1935" s="2">
        <v>45335.470138888886</v>
      </c>
      <c r="I1935" t="s">
        <v>252</v>
      </c>
      <c r="Z1935">
        <v>76320</v>
      </c>
    </row>
    <row r="1936" spans="1:26" x14ac:dyDescent="0.25">
      <c r="A1936" t="s">
        <v>2583</v>
      </c>
      <c r="B1936" t="s">
        <v>26</v>
      </c>
      <c r="C1936" t="s">
        <v>27</v>
      </c>
      <c r="H1936" s="2">
        <v>45335.45</v>
      </c>
      <c r="I1936" t="s">
        <v>197</v>
      </c>
      <c r="Z1936">
        <v>76318</v>
      </c>
    </row>
    <row r="1937" spans="1:26" x14ac:dyDescent="0.25">
      <c r="A1937" t="s">
        <v>2584</v>
      </c>
      <c r="B1937" t="s">
        <v>26</v>
      </c>
      <c r="C1937" t="s">
        <v>27</v>
      </c>
      <c r="E1937" t="s">
        <v>2585</v>
      </c>
      <c r="H1937" s="2">
        <v>45334.390277777777</v>
      </c>
      <c r="I1937" t="s">
        <v>197</v>
      </c>
      <c r="Z1937">
        <v>76245</v>
      </c>
    </row>
    <row r="1938" spans="1:26" x14ac:dyDescent="0.25">
      <c r="A1938" t="s">
        <v>652</v>
      </c>
      <c r="B1938" t="s">
        <v>150</v>
      </c>
      <c r="C1938" t="s">
        <v>27</v>
      </c>
      <c r="E1938" t="s">
        <v>53</v>
      </c>
      <c r="H1938" s="2">
        <v>45333.972916666666</v>
      </c>
      <c r="I1938" t="s">
        <v>252</v>
      </c>
      <c r="Z1938">
        <v>76234</v>
      </c>
    </row>
    <row r="1939" spans="1:26" x14ac:dyDescent="0.25">
      <c r="A1939" t="s">
        <v>2586</v>
      </c>
      <c r="B1939" t="s">
        <v>164</v>
      </c>
      <c r="C1939" t="s">
        <v>27</v>
      </c>
      <c r="E1939" t="s">
        <v>105</v>
      </c>
      <c r="G1939" t="s">
        <v>2587</v>
      </c>
      <c r="H1939" s="2">
        <v>45333.739583333336</v>
      </c>
      <c r="I1939" t="s">
        <v>235</v>
      </c>
      <c r="Z1939">
        <v>76225</v>
      </c>
    </row>
    <row r="1940" spans="1:26" x14ac:dyDescent="0.25">
      <c r="A1940" t="s">
        <v>2588</v>
      </c>
      <c r="B1940" t="s">
        <v>26</v>
      </c>
      <c r="C1940" t="s">
        <v>27</v>
      </c>
      <c r="H1940" s="2">
        <v>45333.668749999997</v>
      </c>
      <c r="I1940" t="s">
        <v>197</v>
      </c>
      <c r="Z1940">
        <v>76211</v>
      </c>
    </row>
    <row r="1941" spans="1:26" x14ac:dyDescent="0.25">
      <c r="A1941" t="s">
        <v>2589</v>
      </c>
      <c r="B1941" t="s">
        <v>26</v>
      </c>
      <c r="C1941" t="s">
        <v>27</v>
      </c>
      <c r="H1941" s="2">
        <v>45333.511111111111</v>
      </c>
      <c r="I1941" t="s">
        <v>197</v>
      </c>
      <c r="Z1941">
        <v>76185</v>
      </c>
    </row>
    <row r="1942" spans="1:26" x14ac:dyDescent="0.25">
      <c r="A1942" t="s">
        <v>2590</v>
      </c>
      <c r="B1942" t="s">
        <v>26</v>
      </c>
      <c r="C1942" t="s">
        <v>27</v>
      </c>
      <c r="H1942" s="2">
        <v>45333.498611111114</v>
      </c>
      <c r="I1942" t="s">
        <v>197</v>
      </c>
      <c r="Z1942">
        <v>76182</v>
      </c>
    </row>
    <row r="1943" spans="1:26" x14ac:dyDescent="0.25">
      <c r="A1943" t="s">
        <v>2591</v>
      </c>
      <c r="B1943" t="s">
        <v>26</v>
      </c>
      <c r="C1943" t="s">
        <v>27</v>
      </c>
      <c r="H1943" s="2">
        <v>45332.70416666667</v>
      </c>
      <c r="I1943" t="s">
        <v>235</v>
      </c>
      <c r="Z1943">
        <v>76145</v>
      </c>
    </row>
    <row r="1944" spans="1:26" x14ac:dyDescent="0.25">
      <c r="A1944" t="s">
        <v>2592</v>
      </c>
      <c r="B1944" t="s">
        <v>26</v>
      </c>
      <c r="C1944" t="s">
        <v>27</v>
      </c>
      <c r="H1944" s="2">
        <v>45332.631249999999</v>
      </c>
      <c r="I1944" t="s">
        <v>153</v>
      </c>
      <c r="Z1944">
        <v>76136</v>
      </c>
    </row>
    <row r="1945" spans="1:26" x14ac:dyDescent="0.25">
      <c r="A1945" t="s">
        <v>2593</v>
      </c>
      <c r="B1945" t="s">
        <v>26</v>
      </c>
      <c r="C1945" t="s">
        <v>64</v>
      </c>
      <c r="H1945" s="2">
        <v>45332.506944444445</v>
      </c>
      <c r="I1945" t="s">
        <v>252</v>
      </c>
      <c r="Z1945">
        <v>76113</v>
      </c>
    </row>
    <row r="1946" spans="1:26" x14ac:dyDescent="0.25">
      <c r="A1946" t="s">
        <v>2594</v>
      </c>
      <c r="B1946" t="s">
        <v>26</v>
      </c>
      <c r="C1946" t="s">
        <v>27</v>
      </c>
      <c r="H1946" s="2">
        <v>45332.489583333336</v>
      </c>
      <c r="I1946" t="s">
        <v>252</v>
      </c>
      <c r="Z1946">
        <v>76110</v>
      </c>
    </row>
    <row r="1947" spans="1:26" x14ac:dyDescent="0.25">
      <c r="A1947" t="s">
        <v>2595</v>
      </c>
      <c r="B1947" t="s">
        <v>150</v>
      </c>
      <c r="C1947" t="s">
        <v>27</v>
      </c>
      <c r="E1947" t="s">
        <v>117</v>
      </c>
      <c r="H1947" s="2">
        <v>45332.445833333331</v>
      </c>
      <c r="I1947" t="s">
        <v>153</v>
      </c>
      <c r="Z1947">
        <v>76103</v>
      </c>
    </row>
    <row r="1948" spans="1:26" x14ac:dyDescent="0.25">
      <c r="A1948" t="s">
        <v>2596</v>
      </c>
      <c r="B1948" t="s">
        <v>26</v>
      </c>
      <c r="C1948" t="s">
        <v>27</v>
      </c>
      <c r="H1948" s="2">
        <v>45332.378472222219</v>
      </c>
      <c r="I1948" t="s">
        <v>252</v>
      </c>
      <c r="Z1948">
        <v>76089</v>
      </c>
    </row>
    <row r="1949" spans="1:26" x14ac:dyDescent="0.25">
      <c r="A1949" t="s">
        <v>2597</v>
      </c>
      <c r="B1949" t="s">
        <v>26</v>
      </c>
      <c r="C1949" t="s">
        <v>27</v>
      </c>
      <c r="H1949" s="2">
        <v>45332.167361111111</v>
      </c>
      <c r="I1949" t="s">
        <v>252</v>
      </c>
      <c r="Z1949">
        <v>76070</v>
      </c>
    </row>
    <row r="1950" spans="1:26" x14ac:dyDescent="0.25">
      <c r="A1950" t="s">
        <v>2598</v>
      </c>
      <c r="B1950" t="s">
        <v>164</v>
      </c>
      <c r="C1950" t="s">
        <v>27</v>
      </c>
      <c r="E1950" t="s">
        <v>55</v>
      </c>
      <c r="H1950" s="2">
        <v>45331.815972222219</v>
      </c>
      <c r="I1950" t="s">
        <v>252</v>
      </c>
      <c r="K1950" t="s">
        <v>30</v>
      </c>
      <c r="L1950" t="s">
        <v>31</v>
      </c>
      <c r="M1950">
        <v>55887024</v>
      </c>
      <c r="N1950">
        <v>9754613606</v>
      </c>
      <c r="O1950" t="s">
        <v>2599</v>
      </c>
      <c r="Z1950">
        <v>76067</v>
      </c>
    </row>
    <row r="1951" spans="1:26" x14ac:dyDescent="0.25">
      <c r="A1951" t="s">
        <v>2600</v>
      </c>
      <c r="B1951" t="s">
        <v>26</v>
      </c>
      <c r="C1951" t="s">
        <v>27</v>
      </c>
      <c r="H1951" s="2">
        <v>45331.755555555559</v>
      </c>
      <c r="I1951" t="s">
        <v>252</v>
      </c>
      <c r="Z1951">
        <v>76060</v>
      </c>
    </row>
    <row r="1952" spans="1:26" x14ac:dyDescent="0.25">
      <c r="A1952" t="s">
        <v>2601</v>
      </c>
      <c r="B1952" t="s">
        <v>26</v>
      </c>
      <c r="C1952" t="s">
        <v>27</v>
      </c>
      <c r="H1952" s="2">
        <v>45331.688888888886</v>
      </c>
      <c r="I1952" t="s">
        <v>252</v>
      </c>
      <c r="Z1952">
        <v>76051</v>
      </c>
    </row>
    <row r="1953" spans="1:26" x14ac:dyDescent="0.25">
      <c r="A1953" t="s">
        <v>2602</v>
      </c>
      <c r="B1953" t="s">
        <v>26</v>
      </c>
      <c r="C1953" t="s">
        <v>27</v>
      </c>
      <c r="H1953" s="2">
        <v>45331.619444444441</v>
      </c>
      <c r="I1953" t="s">
        <v>252</v>
      </c>
      <c r="Z1953">
        <v>76036</v>
      </c>
    </row>
    <row r="1954" spans="1:26" x14ac:dyDescent="0.25">
      <c r="A1954" t="s">
        <v>2603</v>
      </c>
      <c r="B1954" t="s">
        <v>164</v>
      </c>
      <c r="C1954" t="s">
        <v>27</v>
      </c>
      <c r="E1954" t="s">
        <v>2604</v>
      </c>
      <c r="H1954" s="2">
        <v>45331.581944444442</v>
      </c>
      <c r="I1954" t="s">
        <v>153</v>
      </c>
      <c r="Z1954">
        <v>76025</v>
      </c>
    </row>
    <row r="1955" spans="1:26" x14ac:dyDescent="0.25">
      <c r="A1955" t="s">
        <v>2605</v>
      </c>
      <c r="B1955" t="s">
        <v>26</v>
      </c>
      <c r="C1955" t="s">
        <v>27</v>
      </c>
      <c r="H1955" s="2">
        <v>45331.554861111108</v>
      </c>
      <c r="I1955" t="s">
        <v>252</v>
      </c>
      <c r="Z1955">
        <v>76017</v>
      </c>
    </row>
    <row r="1956" spans="1:26" x14ac:dyDescent="0.25">
      <c r="A1956" t="s">
        <v>109</v>
      </c>
      <c r="C1956" t="s">
        <v>27</v>
      </c>
      <c r="E1956" t="s">
        <v>104</v>
      </c>
      <c r="H1956" s="2">
        <v>45331.540972222225</v>
      </c>
      <c r="I1956" t="s">
        <v>252</v>
      </c>
      <c r="Z1956">
        <v>76005</v>
      </c>
    </row>
    <row r="1957" spans="1:26" x14ac:dyDescent="0.25">
      <c r="A1957" t="s">
        <v>2606</v>
      </c>
      <c r="B1957" t="s">
        <v>26</v>
      </c>
      <c r="C1957" t="s">
        <v>27</v>
      </c>
      <c r="H1957" s="2">
        <v>45330.781944444447</v>
      </c>
      <c r="I1957" t="s">
        <v>235</v>
      </c>
      <c r="Z1957">
        <v>75996</v>
      </c>
    </row>
    <row r="1958" spans="1:26" x14ac:dyDescent="0.25">
      <c r="A1958" t="s">
        <v>2607</v>
      </c>
      <c r="B1958" t="s">
        <v>26</v>
      </c>
      <c r="C1958" t="s">
        <v>27</v>
      </c>
      <c r="H1958" s="2">
        <v>45330.52847222222</v>
      </c>
      <c r="I1958" t="s">
        <v>252</v>
      </c>
      <c r="Z1958">
        <v>75964</v>
      </c>
    </row>
    <row r="1959" spans="1:26" x14ac:dyDescent="0.25">
      <c r="A1959" t="s">
        <v>2608</v>
      </c>
      <c r="B1959" t="s">
        <v>150</v>
      </c>
      <c r="C1959" t="s">
        <v>27</v>
      </c>
      <c r="E1959" t="s">
        <v>2432</v>
      </c>
      <c r="G1959" t="s">
        <v>2433</v>
      </c>
      <c r="H1959" s="2">
        <v>45329.54583333333</v>
      </c>
      <c r="I1959" t="s">
        <v>252</v>
      </c>
      <c r="Z1959">
        <v>75925</v>
      </c>
    </row>
    <row r="1960" spans="1:26" x14ac:dyDescent="0.25">
      <c r="A1960" t="s">
        <v>2609</v>
      </c>
      <c r="B1960" t="s">
        <v>26</v>
      </c>
      <c r="C1960" t="s">
        <v>27</v>
      </c>
      <c r="H1960" s="2">
        <v>45328.6</v>
      </c>
      <c r="I1960" t="s">
        <v>252</v>
      </c>
      <c r="Z1960">
        <v>75884</v>
      </c>
    </row>
    <row r="1961" spans="1:26" x14ac:dyDescent="0.25">
      <c r="A1961" t="s">
        <v>2610</v>
      </c>
      <c r="B1961" t="s">
        <v>26</v>
      </c>
      <c r="C1961" t="s">
        <v>27</v>
      </c>
      <c r="H1961" s="2">
        <v>45328.513888888891</v>
      </c>
      <c r="I1961" t="s">
        <v>252</v>
      </c>
      <c r="Z1961">
        <v>75878</v>
      </c>
    </row>
    <row r="1962" spans="1:26" x14ac:dyDescent="0.25">
      <c r="A1962" t="s">
        <v>2611</v>
      </c>
      <c r="B1962" t="s">
        <v>164</v>
      </c>
      <c r="C1962" t="s">
        <v>27</v>
      </c>
      <c r="E1962" t="s">
        <v>2612</v>
      </c>
      <c r="G1962" t="s">
        <v>2613</v>
      </c>
      <c r="H1962" s="2">
        <v>45328.438194444447</v>
      </c>
      <c r="I1962" t="s">
        <v>252</v>
      </c>
      <c r="Z1962">
        <v>75864</v>
      </c>
    </row>
    <row r="1963" spans="1:26" x14ac:dyDescent="0.25">
      <c r="A1963" t="s">
        <v>2614</v>
      </c>
      <c r="B1963" t="s">
        <v>26</v>
      </c>
      <c r="C1963" t="s">
        <v>27</v>
      </c>
      <c r="H1963" s="2">
        <v>45327.69027777778</v>
      </c>
      <c r="I1963" t="s">
        <v>226</v>
      </c>
      <c r="Z1963">
        <v>75836</v>
      </c>
    </row>
    <row r="1964" spans="1:26" x14ac:dyDescent="0.25">
      <c r="A1964" t="s">
        <v>2615</v>
      </c>
      <c r="B1964" t="s">
        <v>26</v>
      </c>
      <c r="C1964" t="s">
        <v>27</v>
      </c>
      <c r="H1964" s="2">
        <v>45327.495833333334</v>
      </c>
      <c r="I1964" t="s">
        <v>197</v>
      </c>
      <c r="Z1964">
        <v>75809</v>
      </c>
    </row>
    <row r="1965" spans="1:26" x14ac:dyDescent="0.25">
      <c r="A1965" t="s">
        <v>2616</v>
      </c>
      <c r="B1965" t="s">
        <v>26</v>
      </c>
      <c r="C1965" t="s">
        <v>27</v>
      </c>
      <c r="H1965" s="2">
        <v>45327.448611111111</v>
      </c>
      <c r="I1965" t="s">
        <v>197</v>
      </c>
      <c r="Z1965">
        <v>75803</v>
      </c>
    </row>
    <row r="1966" spans="1:26" x14ac:dyDescent="0.25">
      <c r="A1966" t="s">
        <v>2617</v>
      </c>
      <c r="B1966" t="s">
        <v>26</v>
      </c>
      <c r="C1966" t="s">
        <v>27</v>
      </c>
      <c r="H1966" s="2">
        <v>45327.397916666669</v>
      </c>
      <c r="I1966" t="s">
        <v>197</v>
      </c>
      <c r="Z1966">
        <v>75795</v>
      </c>
    </row>
    <row r="1967" spans="1:26" x14ac:dyDescent="0.25">
      <c r="A1967" t="s">
        <v>2618</v>
      </c>
      <c r="B1967" t="s">
        <v>26</v>
      </c>
      <c r="C1967" t="s">
        <v>27</v>
      </c>
      <c r="H1967" s="2">
        <v>45326.51458333333</v>
      </c>
      <c r="I1967" t="s">
        <v>153</v>
      </c>
      <c r="Z1967">
        <v>75766</v>
      </c>
    </row>
    <row r="1968" spans="1:26" x14ac:dyDescent="0.25">
      <c r="A1968" t="s">
        <v>2619</v>
      </c>
      <c r="B1968" t="s">
        <v>26</v>
      </c>
      <c r="C1968" t="s">
        <v>27</v>
      </c>
      <c r="E1968" t="s">
        <v>295</v>
      </c>
      <c r="H1968" s="2">
        <v>45326.48541666667</v>
      </c>
      <c r="I1968" t="s">
        <v>153</v>
      </c>
      <c r="Z1968">
        <v>75763</v>
      </c>
    </row>
    <row r="1969" spans="1:26" x14ac:dyDescent="0.25">
      <c r="A1969" t="s">
        <v>2620</v>
      </c>
      <c r="B1969" t="s">
        <v>26</v>
      </c>
      <c r="C1969" t="s">
        <v>27</v>
      </c>
      <c r="H1969" s="2">
        <v>45326.379166666666</v>
      </c>
      <c r="I1969" t="s">
        <v>153</v>
      </c>
      <c r="Z1969">
        <v>75756</v>
      </c>
    </row>
    <row r="1970" spans="1:26" x14ac:dyDescent="0.25">
      <c r="A1970" t="s">
        <v>2621</v>
      </c>
      <c r="B1970" t="s">
        <v>26</v>
      </c>
      <c r="C1970" t="s">
        <v>27</v>
      </c>
      <c r="H1970" s="2">
        <v>45325.618055555555</v>
      </c>
      <c r="I1970" t="s">
        <v>95</v>
      </c>
      <c r="Z1970">
        <v>75737</v>
      </c>
    </row>
    <row r="1971" spans="1:26" x14ac:dyDescent="0.25">
      <c r="A1971" t="s">
        <v>2622</v>
      </c>
      <c r="B1971" t="s">
        <v>77</v>
      </c>
      <c r="C1971" t="s">
        <v>27</v>
      </c>
      <c r="E1971" t="s">
        <v>84</v>
      </c>
      <c r="H1971" s="2">
        <v>45324.594444444447</v>
      </c>
      <c r="I1971" t="s">
        <v>227</v>
      </c>
      <c r="K1971" t="s">
        <v>30</v>
      </c>
      <c r="L1971" t="s">
        <v>31</v>
      </c>
      <c r="M1971">
        <v>67130164</v>
      </c>
      <c r="N1971">
        <v>12403825945</v>
      </c>
      <c r="O1971" t="s">
        <v>1920</v>
      </c>
      <c r="Z1971">
        <v>75683</v>
      </c>
    </row>
    <row r="1972" spans="1:26" x14ac:dyDescent="0.25">
      <c r="A1972" t="s">
        <v>2623</v>
      </c>
      <c r="B1972" t="s">
        <v>26</v>
      </c>
      <c r="C1972" t="s">
        <v>27</v>
      </c>
      <c r="H1972" s="2">
        <v>45324.53402777778</v>
      </c>
      <c r="I1972" t="s">
        <v>153</v>
      </c>
      <c r="Z1972">
        <v>75673</v>
      </c>
    </row>
    <row r="1973" spans="1:26" x14ac:dyDescent="0.25">
      <c r="A1973" t="s">
        <v>2624</v>
      </c>
      <c r="B1973" t="s">
        <v>26</v>
      </c>
      <c r="C1973" t="s">
        <v>27</v>
      </c>
      <c r="H1973" s="2">
        <v>45324.407638888886</v>
      </c>
      <c r="I1973" t="s">
        <v>29</v>
      </c>
      <c r="Z1973">
        <v>75663</v>
      </c>
    </row>
    <row r="1974" spans="1:26" x14ac:dyDescent="0.25">
      <c r="A1974" t="s">
        <v>2625</v>
      </c>
      <c r="B1974" t="s">
        <v>26</v>
      </c>
      <c r="C1974" t="s">
        <v>27</v>
      </c>
      <c r="E1974" t="s">
        <v>44</v>
      </c>
      <c r="H1974" s="2">
        <v>45323.831250000003</v>
      </c>
      <c r="I1974" t="s">
        <v>227</v>
      </c>
      <c r="Z1974">
        <v>75656</v>
      </c>
    </row>
    <row r="1975" spans="1:26" x14ac:dyDescent="0.25">
      <c r="A1975" t="s">
        <v>2626</v>
      </c>
      <c r="B1975" t="s">
        <v>46</v>
      </c>
      <c r="C1975" t="s">
        <v>27</v>
      </c>
      <c r="E1975" t="s">
        <v>2627</v>
      </c>
      <c r="G1975" t="s">
        <v>2628</v>
      </c>
      <c r="H1975" s="2">
        <v>45323.76458333333</v>
      </c>
      <c r="I1975" t="s">
        <v>235</v>
      </c>
      <c r="Z1975">
        <v>75653</v>
      </c>
    </row>
    <row r="1976" spans="1:26" x14ac:dyDescent="0.25">
      <c r="A1976" t="s">
        <v>2629</v>
      </c>
      <c r="C1976" t="s">
        <v>27</v>
      </c>
      <c r="E1976" t="s">
        <v>101</v>
      </c>
      <c r="H1976" s="2">
        <v>45323.724305555559</v>
      </c>
      <c r="I1976" t="s">
        <v>29</v>
      </c>
      <c r="Z1976">
        <v>75650</v>
      </c>
    </row>
    <row r="1977" spans="1:26" x14ac:dyDescent="0.25">
      <c r="A1977" t="s">
        <v>2630</v>
      </c>
      <c r="B1977" t="s">
        <v>164</v>
      </c>
      <c r="C1977" t="s">
        <v>27</v>
      </c>
      <c r="E1977" t="s">
        <v>45</v>
      </c>
      <c r="H1977" s="2">
        <v>45323.716666666667</v>
      </c>
      <c r="I1977" t="s">
        <v>252</v>
      </c>
      <c r="K1977" t="s">
        <v>30</v>
      </c>
      <c r="L1977" t="s">
        <v>31</v>
      </c>
      <c r="M1977">
        <v>55887083</v>
      </c>
      <c r="N1977">
        <v>9754618980</v>
      </c>
      <c r="O1977" t="s">
        <v>682</v>
      </c>
      <c r="Z1977">
        <v>75647</v>
      </c>
    </row>
    <row r="1978" spans="1:26" x14ac:dyDescent="0.25">
      <c r="A1978" t="s">
        <v>2631</v>
      </c>
      <c r="B1978" t="s">
        <v>26</v>
      </c>
      <c r="C1978" t="s">
        <v>27</v>
      </c>
      <c r="H1978" s="2">
        <v>45323.427777777775</v>
      </c>
      <c r="I1978" t="s">
        <v>29</v>
      </c>
      <c r="Z1978">
        <v>75623</v>
      </c>
    </row>
    <row r="1979" spans="1:26" x14ac:dyDescent="0.25">
      <c r="A1979" t="s">
        <v>2632</v>
      </c>
      <c r="B1979" t="s">
        <v>164</v>
      </c>
      <c r="C1979" t="s">
        <v>27</v>
      </c>
      <c r="E1979" t="s">
        <v>2633</v>
      </c>
      <c r="H1979" s="2">
        <v>45322.865972222222</v>
      </c>
      <c r="I1979" t="s">
        <v>252</v>
      </c>
      <c r="Z1979">
        <v>75605</v>
      </c>
    </row>
    <row r="1980" spans="1:26" x14ac:dyDescent="0.25">
      <c r="A1980" t="s">
        <v>2634</v>
      </c>
      <c r="B1980" t="s">
        <v>26</v>
      </c>
      <c r="C1980" t="s">
        <v>27</v>
      </c>
      <c r="H1980" s="2">
        <v>45322.777777777781</v>
      </c>
      <c r="I1980" t="s">
        <v>197</v>
      </c>
      <c r="Z1980">
        <v>75595</v>
      </c>
    </row>
    <row r="1981" spans="1:26" x14ac:dyDescent="0.25">
      <c r="A1981" t="s">
        <v>2635</v>
      </c>
      <c r="B1981" t="s">
        <v>26</v>
      </c>
      <c r="C1981" t="s">
        <v>27</v>
      </c>
      <c r="H1981" s="2">
        <v>45321.668749999997</v>
      </c>
      <c r="I1981" t="s">
        <v>95</v>
      </c>
      <c r="Z1981">
        <v>75525</v>
      </c>
    </row>
    <row r="1982" spans="1:26" x14ac:dyDescent="0.25">
      <c r="A1982" t="s">
        <v>2636</v>
      </c>
      <c r="B1982" t="s">
        <v>26</v>
      </c>
      <c r="C1982" t="s">
        <v>27</v>
      </c>
      <c r="H1982" s="2">
        <v>45320.631249999999</v>
      </c>
      <c r="I1982" t="s">
        <v>29</v>
      </c>
      <c r="Z1982">
        <v>75450</v>
      </c>
    </row>
    <row r="1983" spans="1:26" x14ac:dyDescent="0.25">
      <c r="A1983" t="s">
        <v>2637</v>
      </c>
      <c r="B1983" t="s">
        <v>26</v>
      </c>
      <c r="C1983" t="s">
        <v>27</v>
      </c>
      <c r="H1983" s="2">
        <v>45320.422222222223</v>
      </c>
      <c r="I1983" t="s">
        <v>153</v>
      </c>
      <c r="Z1983">
        <v>75402</v>
      </c>
    </row>
    <row r="1984" spans="1:26" x14ac:dyDescent="0.25">
      <c r="A1984" t="s">
        <v>2638</v>
      </c>
      <c r="B1984" t="s">
        <v>26</v>
      </c>
      <c r="C1984" t="s">
        <v>27</v>
      </c>
      <c r="H1984" s="2">
        <v>45319.091666666667</v>
      </c>
      <c r="I1984" t="s">
        <v>235</v>
      </c>
      <c r="Z1984">
        <v>75354</v>
      </c>
    </row>
    <row r="1985" spans="1:26" x14ac:dyDescent="0.25">
      <c r="A1985" t="s">
        <v>2137</v>
      </c>
      <c r="B1985" t="s">
        <v>26</v>
      </c>
      <c r="C1985" t="s">
        <v>27</v>
      </c>
      <c r="H1985" s="2">
        <v>45318.611111111109</v>
      </c>
      <c r="I1985" t="s">
        <v>252</v>
      </c>
      <c r="Z1985">
        <v>75328</v>
      </c>
    </row>
    <row r="1986" spans="1:26" x14ac:dyDescent="0.25">
      <c r="A1986" t="s">
        <v>2639</v>
      </c>
      <c r="B1986" t="s">
        <v>77</v>
      </c>
      <c r="C1986" t="s">
        <v>27</v>
      </c>
      <c r="E1986" t="s">
        <v>137</v>
      </c>
      <c r="H1986" s="2">
        <v>45318.459722222222</v>
      </c>
      <c r="I1986" t="s">
        <v>235</v>
      </c>
      <c r="Z1986">
        <v>75314</v>
      </c>
    </row>
    <row r="1987" spans="1:26" x14ac:dyDescent="0.25">
      <c r="A1987" t="s">
        <v>2640</v>
      </c>
      <c r="B1987" t="s">
        <v>26</v>
      </c>
      <c r="C1987" t="s">
        <v>27</v>
      </c>
      <c r="H1987" s="2">
        <v>45318.45416666667</v>
      </c>
      <c r="I1987" t="s">
        <v>29</v>
      </c>
      <c r="Z1987">
        <v>75312</v>
      </c>
    </row>
    <row r="1988" spans="1:26" x14ac:dyDescent="0.25">
      <c r="A1988" t="s">
        <v>2641</v>
      </c>
      <c r="B1988" t="s">
        <v>26</v>
      </c>
      <c r="C1988" t="s">
        <v>27</v>
      </c>
      <c r="H1988" s="2">
        <v>45317.595833333333</v>
      </c>
      <c r="I1988" t="s">
        <v>153</v>
      </c>
      <c r="Z1988">
        <v>75274</v>
      </c>
    </row>
    <row r="1989" spans="1:26" x14ac:dyDescent="0.25">
      <c r="A1989" t="s">
        <v>2642</v>
      </c>
      <c r="B1989" t="s">
        <v>26</v>
      </c>
      <c r="C1989" t="s">
        <v>27</v>
      </c>
      <c r="E1989" t="s">
        <v>45</v>
      </c>
      <c r="H1989" s="2">
        <v>45317.495833333334</v>
      </c>
      <c r="I1989" t="s">
        <v>153</v>
      </c>
      <c r="Z1989">
        <v>75264</v>
      </c>
    </row>
    <row r="1990" spans="1:26" x14ac:dyDescent="0.25">
      <c r="A1990" t="s">
        <v>204</v>
      </c>
      <c r="B1990" t="s">
        <v>164</v>
      </c>
      <c r="C1990" t="s">
        <v>27</v>
      </c>
      <c r="E1990" t="s">
        <v>53</v>
      </c>
      <c r="H1990" s="2">
        <v>45317.461805555555</v>
      </c>
      <c r="I1990" t="s">
        <v>227</v>
      </c>
      <c r="Z1990">
        <v>75261</v>
      </c>
    </row>
    <row r="1991" spans="1:26" x14ac:dyDescent="0.25">
      <c r="A1991" t="s">
        <v>2643</v>
      </c>
      <c r="B1991" t="s">
        <v>26</v>
      </c>
      <c r="C1991" t="s">
        <v>27</v>
      </c>
      <c r="H1991" s="2">
        <v>45316.726388888892</v>
      </c>
      <c r="I1991" t="s">
        <v>153</v>
      </c>
      <c r="Z1991">
        <v>75236</v>
      </c>
    </row>
    <row r="1992" spans="1:26" x14ac:dyDescent="0.25">
      <c r="A1992" t="s">
        <v>109</v>
      </c>
      <c r="C1992" t="s">
        <v>27</v>
      </c>
      <c r="E1992" t="s">
        <v>326</v>
      </c>
      <c r="H1992" s="2">
        <v>45316.425694444442</v>
      </c>
      <c r="I1992" t="s">
        <v>252</v>
      </c>
      <c r="Z1992">
        <v>75189</v>
      </c>
    </row>
    <row r="1993" spans="1:26" x14ac:dyDescent="0.25">
      <c r="A1993" t="s">
        <v>2644</v>
      </c>
      <c r="B1993" t="s">
        <v>26</v>
      </c>
      <c r="C1993" t="s">
        <v>27</v>
      </c>
      <c r="H1993" s="2">
        <v>45316.414583333331</v>
      </c>
      <c r="I1993" t="s">
        <v>252</v>
      </c>
      <c r="Z1993">
        <v>75185</v>
      </c>
    </row>
    <row r="1994" spans="1:26" x14ac:dyDescent="0.25">
      <c r="A1994" t="s">
        <v>2645</v>
      </c>
      <c r="B1994" t="s">
        <v>26</v>
      </c>
      <c r="C1994" t="s">
        <v>27</v>
      </c>
      <c r="H1994" s="2">
        <v>45315.627083333333</v>
      </c>
      <c r="I1994" t="s">
        <v>252</v>
      </c>
      <c r="Z1994">
        <v>75155</v>
      </c>
    </row>
    <row r="1995" spans="1:26" x14ac:dyDescent="0.25">
      <c r="A1995" t="s">
        <v>339</v>
      </c>
      <c r="B1995" t="s">
        <v>26</v>
      </c>
      <c r="C1995" t="s">
        <v>27</v>
      </c>
      <c r="H1995" s="2">
        <v>45315.584722222222</v>
      </c>
      <c r="I1995" t="s">
        <v>226</v>
      </c>
      <c r="Z1995">
        <v>75147</v>
      </c>
    </row>
    <row r="1996" spans="1:26" x14ac:dyDescent="0.25">
      <c r="A1996" t="s">
        <v>2646</v>
      </c>
      <c r="B1996" t="s">
        <v>26</v>
      </c>
      <c r="C1996" t="s">
        <v>27</v>
      </c>
      <c r="E1996" t="s">
        <v>103</v>
      </c>
      <c r="G1996" t="s">
        <v>219</v>
      </c>
      <c r="H1996" s="2">
        <v>45315.464583333334</v>
      </c>
      <c r="I1996" t="s">
        <v>226</v>
      </c>
      <c r="Z1996">
        <v>75127</v>
      </c>
    </row>
    <row r="1997" spans="1:26" x14ac:dyDescent="0.25">
      <c r="A1997" t="s">
        <v>109</v>
      </c>
      <c r="C1997" t="s">
        <v>27</v>
      </c>
      <c r="E1997" t="s">
        <v>101</v>
      </c>
      <c r="H1997" s="2">
        <v>45315.458333333336</v>
      </c>
      <c r="I1997" t="s">
        <v>95</v>
      </c>
      <c r="Z1997">
        <v>75126</v>
      </c>
    </row>
    <row r="1998" spans="1:26" x14ac:dyDescent="0.25">
      <c r="A1998" t="s">
        <v>2647</v>
      </c>
      <c r="B1998" t="s">
        <v>26</v>
      </c>
      <c r="C1998" t="s">
        <v>27</v>
      </c>
      <c r="H1998" s="2">
        <v>45314.659722222219</v>
      </c>
      <c r="I1998" t="s">
        <v>226</v>
      </c>
      <c r="Z1998">
        <v>75081</v>
      </c>
    </row>
    <row r="1999" spans="1:26" x14ac:dyDescent="0.25">
      <c r="A1999" t="s">
        <v>2648</v>
      </c>
      <c r="B1999" t="s">
        <v>26</v>
      </c>
      <c r="C1999" t="s">
        <v>27</v>
      </c>
      <c r="H1999" s="2">
        <v>45314.635416666664</v>
      </c>
      <c r="I1999" t="s">
        <v>29</v>
      </c>
      <c r="Z1999">
        <v>75077</v>
      </c>
    </row>
    <row r="2000" spans="1:26" x14ac:dyDescent="0.25">
      <c r="A2000" t="s">
        <v>2649</v>
      </c>
      <c r="B2000" t="s">
        <v>26</v>
      </c>
      <c r="C2000" t="s">
        <v>27</v>
      </c>
      <c r="H2000" s="2">
        <v>45314.556250000001</v>
      </c>
      <c r="I2000" t="s">
        <v>29</v>
      </c>
      <c r="Z2000">
        <v>75064</v>
      </c>
    </row>
    <row r="2001" spans="1:26" x14ac:dyDescent="0.25">
      <c r="A2001" t="s">
        <v>2650</v>
      </c>
      <c r="B2001" t="s">
        <v>26</v>
      </c>
      <c r="C2001" t="s">
        <v>27</v>
      </c>
      <c r="H2001" s="2">
        <v>45314.520833333336</v>
      </c>
      <c r="I2001" t="s">
        <v>29</v>
      </c>
      <c r="Z2001">
        <v>75055</v>
      </c>
    </row>
    <row r="2002" spans="1:26" x14ac:dyDescent="0.25">
      <c r="A2002" t="s">
        <v>1432</v>
      </c>
      <c r="B2002" t="s">
        <v>164</v>
      </c>
      <c r="C2002" t="s">
        <v>27</v>
      </c>
      <c r="E2002" t="s">
        <v>2651</v>
      </c>
      <c r="H2002" s="2">
        <v>45314.411111111112</v>
      </c>
      <c r="I2002" t="s">
        <v>29</v>
      </c>
      <c r="Z2002">
        <v>75035</v>
      </c>
    </row>
    <row r="2003" spans="1:26" x14ac:dyDescent="0.25">
      <c r="A2003" t="s">
        <v>234</v>
      </c>
      <c r="B2003" t="s">
        <v>198</v>
      </c>
      <c r="C2003" t="s">
        <v>27</v>
      </c>
      <c r="E2003" t="s">
        <v>45</v>
      </c>
      <c r="H2003" s="2">
        <v>45313.463194444441</v>
      </c>
      <c r="I2003" t="s">
        <v>153</v>
      </c>
      <c r="Z2003">
        <v>74948</v>
      </c>
    </row>
    <row r="2004" spans="1:26" x14ac:dyDescent="0.25">
      <c r="A2004" t="s">
        <v>712</v>
      </c>
      <c r="B2004" t="s">
        <v>150</v>
      </c>
      <c r="C2004" t="s">
        <v>27</v>
      </c>
      <c r="E2004" t="s">
        <v>103</v>
      </c>
      <c r="H2004" s="2">
        <v>45313.415972222225</v>
      </c>
      <c r="I2004" t="s">
        <v>29</v>
      </c>
      <c r="Z2004">
        <v>74933</v>
      </c>
    </row>
    <row r="2005" spans="1:26" x14ac:dyDescent="0.25">
      <c r="A2005" t="s">
        <v>2652</v>
      </c>
      <c r="B2005" t="s">
        <v>150</v>
      </c>
      <c r="C2005" t="s">
        <v>27</v>
      </c>
      <c r="E2005" t="s">
        <v>2653</v>
      </c>
      <c r="H2005" s="2">
        <v>45312.723611111112</v>
      </c>
      <c r="I2005" t="s">
        <v>29</v>
      </c>
      <c r="Z2005">
        <v>74916</v>
      </c>
    </row>
    <row r="2006" spans="1:26" x14ac:dyDescent="0.25">
      <c r="A2006" t="s">
        <v>320</v>
      </c>
      <c r="B2006" t="s">
        <v>150</v>
      </c>
      <c r="C2006" t="s">
        <v>27</v>
      </c>
      <c r="E2006" t="s">
        <v>66</v>
      </c>
      <c r="H2006" s="2">
        <v>45312.520138888889</v>
      </c>
      <c r="I2006" t="s">
        <v>227</v>
      </c>
      <c r="Z2006">
        <v>74893</v>
      </c>
    </row>
    <row r="2007" spans="1:26" x14ac:dyDescent="0.25">
      <c r="A2007" t="s">
        <v>2654</v>
      </c>
      <c r="B2007" t="s">
        <v>26</v>
      </c>
      <c r="C2007" t="s">
        <v>27</v>
      </c>
      <c r="H2007" s="2">
        <v>45312.447222222225</v>
      </c>
      <c r="I2007" t="s">
        <v>29</v>
      </c>
      <c r="Z2007">
        <v>74884</v>
      </c>
    </row>
    <row r="2008" spans="1:26" x14ac:dyDescent="0.25">
      <c r="A2008" t="s">
        <v>2655</v>
      </c>
      <c r="B2008" t="s">
        <v>150</v>
      </c>
      <c r="C2008" t="s">
        <v>27</v>
      </c>
      <c r="E2008" t="s">
        <v>45</v>
      </c>
      <c r="G2008" t="s">
        <v>2656</v>
      </c>
      <c r="H2008" s="2">
        <v>45310.7</v>
      </c>
      <c r="I2008" t="s">
        <v>153</v>
      </c>
      <c r="Z2008">
        <v>74826</v>
      </c>
    </row>
    <row r="2009" spans="1:26" x14ac:dyDescent="0.25">
      <c r="A2009" t="s">
        <v>2657</v>
      </c>
      <c r="B2009" t="s">
        <v>26</v>
      </c>
      <c r="C2009" t="s">
        <v>47</v>
      </c>
      <c r="H2009" s="2">
        <v>45310.65902777778</v>
      </c>
      <c r="I2009" t="s">
        <v>226</v>
      </c>
      <c r="Z2009">
        <v>74820</v>
      </c>
    </row>
    <row r="2010" spans="1:26" x14ac:dyDescent="0.25">
      <c r="A2010" t="s">
        <v>2658</v>
      </c>
      <c r="B2010" t="s">
        <v>26</v>
      </c>
      <c r="C2010" t="s">
        <v>27</v>
      </c>
      <c r="H2010" s="2">
        <v>45310.49722222222</v>
      </c>
      <c r="I2010" t="s">
        <v>153</v>
      </c>
      <c r="Z2010">
        <v>74799</v>
      </c>
    </row>
    <row r="2011" spans="1:26" x14ac:dyDescent="0.25">
      <c r="A2011" t="s">
        <v>97</v>
      </c>
      <c r="C2011" t="s">
        <v>27</v>
      </c>
      <c r="E2011" t="s">
        <v>63</v>
      </c>
      <c r="H2011" s="2">
        <v>45310.495833333334</v>
      </c>
      <c r="I2011" t="s">
        <v>153</v>
      </c>
      <c r="Z2011">
        <v>74798</v>
      </c>
    </row>
    <row r="2012" spans="1:26" x14ac:dyDescent="0.25">
      <c r="A2012" t="s">
        <v>2165</v>
      </c>
      <c r="B2012" t="s">
        <v>26</v>
      </c>
      <c r="C2012" t="s">
        <v>27</v>
      </c>
      <c r="H2012" s="2">
        <v>45309.386805555558</v>
      </c>
      <c r="I2012" t="s">
        <v>95</v>
      </c>
      <c r="Z2012">
        <v>74720</v>
      </c>
    </row>
    <row r="2013" spans="1:26" x14ac:dyDescent="0.25">
      <c r="A2013" t="s">
        <v>272</v>
      </c>
      <c r="B2013" t="s">
        <v>185</v>
      </c>
      <c r="C2013" t="s">
        <v>27</v>
      </c>
      <c r="E2013" t="s">
        <v>141</v>
      </c>
      <c r="H2013" s="2">
        <v>45308.869444444441</v>
      </c>
      <c r="I2013" t="s">
        <v>95</v>
      </c>
      <c r="Z2013">
        <v>74716</v>
      </c>
    </row>
    <row r="2014" spans="1:26" x14ac:dyDescent="0.25">
      <c r="A2014" t="s">
        <v>2659</v>
      </c>
      <c r="B2014" t="s">
        <v>26</v>
      </c>
      <c r="C2014" t="s">
        <v>27</v>
      </c>
      <c r="H2014" s="2">
        <v>45308.69027777778</v>
      </c>
      <c r="I2014" t="s">
        <v>226</v>
      </c>
      <c r="Z2014">
        <v>74703</v>
      </c>
    </row>
    <row r="2015" spans="1:26" x14ac:dyDescent="0.25">
      <c r="A2015" t="s">
        <v>2660</v>
      </c>
      <c r="B2015" t="s">
        <v>26</v>
      </c>
      <c r="C2015" t="s">
        <v>27</v>
      </c>
      <c r="H2015" s="2">
        <v>45308.684027777781</v>
      </c>
      <c r="I2015" t="s">
        <v>252</v>
      </c>
      <c r="Z2015">
        <v>74700</v>
      </c>
    </row>
    <row r="2016" spans="1:26" x14ac:dyDescent="0.25">
      <c r="A2016" t="s">
        <v>2661</v>
      </c>
      <c r="B2016" t="s">
        <v>26</v>
      </c>
      <c r="C2016" t="s">
        <v>27</v>
      </c>
      <c r="H2016" s="2">
        <v>45308.521527777775</v>
      </c>
      <c r="I2016" t="s">
        <v>95</v>
      </c>
      <c r="Z2016">
        <v>74677</v>
      </c>
    </row>
    <row r="2017" spans="1:26" x14ac:dyDescent="0.25">
      <c r="A2017" t="s">
        <v>2662</v>
      </c>
      <c r="B2017" t="s">
        <v>77</v>
      </c>
      <c r="C2017" t="s">
        <v>27</v>
      </c>
      <c r="E2017" t="s">
        <v>214</v>
      </c>
      <c r="H2017" s="2">
        <v>45307.859722222223</v>
      </c>
      <c r="I2017" t="s">
        <v>29</v>
      </c>
      <c r="K2017" t="s">
        <v>30</v>
      </c>
      <c r="L2017" t="s">
        <v>31</v>
      </c>
      <c r="M2017">
        <v>55887024</v>
      </c>
      <c r="N2017">
        <v>9754613601</v>
      </c>
      <c r="O2017" t="s">
        <v>2039</v>
      </c>
      <c r="Z2017">
        <v>74648</v>
      </c>
    </row>
    <row r="2018" spans="1:26" x14ac:dyDescent="0.25">
      <c r="A2018" t="s">
        <v>1054</v>
      </c>
      <c r="B2018" t="s">
        <v>26</v>
      </c>
      <c r="C2018" t="s">
        <v>27</v>
      </c>
      <c r="H2018" s="2">
        <v>45307.418749999997</v>
      </c>
      <c r="I2018" t="s">
        <v>29</v>
      </c>
      <c r="Z2018">
        <v>74590</v>
      </c>
    </row>
    <row r="2019" spans="1:26" x14ac:dyDescent="0.25">
      <c r="A2019" t="s">
        <v>2663</v>
      </c>
      <c r="B2019" t="s">
        <v>46</v>
      </c>
      <c r="C2019" t="s">
        <v>27</v>
      </c>
      <c r="E2019" t="s">
        <v>45</v>
      </c>
      <c r="G2019" t="s">
        <v>2664</v>
      </c>
      <c r="H2019" s="2">
        <v>45307.320138888892</v>
      </c>
      <c r="I2019" t="s">
        <v>29</v>
      </c>
      <c r="Z2019">
        <v>74585</v>
      </c>
    </row>
    <row r="2020" spans="1:26" x14ac:dyDescent="0.25">
      <c r="A2020" t="s">
        <v>92</v>
      </c>
      <c r="B2020" t="s">
        <v>26</v>
      </c>
      <c r="C2020" t="s">
        <v>27</v>
      </c>
      <c r="H2020" s="2">
        <v>45306.627083333333</v>
      </c>
      <c r="I2020" t="s">
        <v>29</v>
      </c>
      <c r="Z2020">
        <v>74556</v>
      </c>
    </row>
    <row r="2021" spans="1:26" x14ac:dyDescent="0.25">
      <c r="A2021" t="s">
        <v>2665</v>
      </c>
      <c r="B2021" t="s">
        <v>26</v>
      </c>
      <c r="C2021" t="s">
        <v>27</v>
      </c>
      <c r="E2021" t="s">
        <v>44</v>
      </c>
      <c r="H2021" s="2">
        <v>45306.57708333333</v>
      </c>
      <c r="I2021" t="s">
        <v>29</v>
      </c>
      <c r="Z2021">
        <v>74549</v>
      </c>
    </row>
    <row r="2022" spans="1:26" x14ac:dyDescent="0.25">
      <c r="A2022" t="s">
        <v>2666</v>
      </c>
      <c r="B2022" t="s">
        <v>26</v>
      </c>
      <c r="C2022" t="s">
        <v>27</v>
      </c>
      <c r="H2022" s="2">
        <v>45305.847222222219</v>
      </c>
      <c r="I2022" t="s">
        <v>197</v>
      </c>
      <c r="Z2022">
        <v>74504</v>
      </c>
    </row>
    <row r="2023" spans="1:26" x14ac:dyDescent="0.25">
      <c r="A2023" t="s">
        <v>2667</v>
      </c>
      <c r="B2023" t="s">
        <v>26</v>
      </c>
      <c r="C2023" t="s">
        <v>27</v>
      </c>
      <c r="H2023" s="2">
        <v>45304.708333333336</v>
      </c>
      <c r="I2023" t="s">
        <v>197</v>
      </c>
      <c r="Z2023">
        <v>74469</v>
      </c>
    </row>
    <row r="2024" spans="1:26" x14ac:dyDescent="0.25">
      <c r="A2024" t="s">
        <v>2668</v>
      </c>
      <c r="B2024" t="s">
        <v>26</v>
      </c>
      <c r="C2024" t="s">
        <v>27</v>
      </c>
      <c r="H2024" s="2">
        <v>45304.542361111111</v>
      </c>
      <c r="I2024" t="s">
        <v>197</v>
      </c>
      <c r="Z2024">
        <v>74453</v>
      </c>
    </row>
    <row r="2025" spans="1:26" x14ac:dyDescent="0.25">
      <c r="A2025" t="s">
        <v>2669</v>
      </c>
      <c r="B2025" t="s">
        <v>26</v>
      </c>
      <c r="C2025" t="s">
        <v>27</v>
      </c>
      <c r="H2025" s="2">
        <v>45304.497916666667</v>
      </c>
      <c r="I2025" t="s">
        <v>197</v>
      </c>
      <c r="Z2025">
        <v>74444</v>
      </c>
    </row>
    <row r="2026" spans="1:26" x14ac:dyDescent="0.25">
      <c r="A2026" t="s">
        <v>184</v>
      </c>
      <c r="B2026" t="s">
        <v>164</v>
      </c>
      <c r="C2026" t="s">
        <v>27</v>
      </c>
      <c r="E2026" t="s">
        <v>84</v>
      </c>
      <c r="H2026" s="2">
        <v>45304.349305555559</v>
      </c>
      <c r="I2026" t="s">
        <v>153</v>
      </c>
      <c r="Z2026">
        <v>74435</v>
      </c>
    </row>
    <row r="2027" spans="1:26" x14ac:dyDescent="0.25">
      <c r="A2027" t="s">
        <v>2670</v>
      </c>
      <c r="B2027" t="s">
        <v>164</v>
      </c>
      <c r="C2027" t="s">
        <v>27</v>
      </c>
      <c r="E2027" t="s">
        <v>44</v>
      </c>
      <c r="H2027" s="2">
        <v>45303.501388888886</v>
      </c>
      <c r="I2027" t="s">
        <v>95</v>
      </c>
      <c r="Z2027">
        <v>74396</v>
      </c>
    </row>
    <row r="2028" spans="1:26" x14ac:dyDescent="0.25">
      <c r="A2028" t="s">
        <v>2671</v>
      </c>
      <c r="B2028" t="s">
        <v>26</v>
      </c>
      <c r="C2028" t="s">
        <v>27</v>
      </c>
      <c r="H2028" s="2">
        <v>45303.45416666667</v>
      </c>
      <c r="I2028" t="s">
        <v>226</v>
      </c>
      <c r="Z2028">
        <v>74382</v>
      </c>
    </row>
    <row r="2029" spans="1:26" x14ac:dyDescent="0.25">
      <c r="A2029" t="s">
        <v>2672</v>
      </c>
      <c r="B2029" t="s">
        <v>26</v>
      </c>
      <c r="C2029" t="s">
        <v>27</v>
      </c>
      <c r="H2029" s="2">
        <v>45303.436111111114</v>
      </c>
      <c r="I2029" t="s">
        <v>197</v>
      </c>
      <c r="Z2029">
        <v>74379</v>
      </c>
    </row>
    <row r="2030" spans="1:26" x14ac:dyDescent="0.25">
      <c r="A2030" t="s">
        <v>2673</v>
      </c>
      <c r="B2030" t="s">
        <v>26</v>
      </c>
      <c r="C2030" t="s">
        <v>27</v>
      </c>
      <c r="H2030" s="2">
        <v>45302.630555555559</v>
      </c>
      <c r="I2030" t="s">
        <v>29</v>
      </c>
      <c r="Z2030">
        <v>74342</v>
      </c>
    </row>
    <row r="2031" spans="1:26" x14ac:dyDescent="0.25">
      <c r="A2031" t="s">
        <v>2674</v>
      </c>
      <c r="B2031" t="s">
        <v>26</v>
      </c>
      <c r="C2031" t="s">
        <v>27</v>
      </c>
      <c r="H2031" s="2">
        <v>45302.543055555558</v>
      </c>
      <c r="I2031" t="s">
        <v>235</v>
      </c>
      <c r="Z2031">
        <v>74327</v>
      </c>
    </row>
    <row r="2032" spans="1:26" x14ac:dyDescent="0.25">
      <c r="A2032" t="s">
        <v>2675</v>
      </c>
      <c r="B2032" t="s">
        <v>26</v>
      </c>
      <c r="C2032" t="s">
        <v>27</v>
      </c>
      <c r="H2032" s="2">
        <v>45301.806944444441</v>
      </c>
      <c r="I2032" t="s">
        <v>95</v>
      </c>
      <c r="Z2032">
        <v>74290</v>
      </c>
    </row>
    <row r="2033" spans="1:26" x14ac:dyDescent="0.25">
      <c r="A2033" t="s">
        <v>2676</v>
      </c>
      <c r="B2033" t="s">
        <v>26</v>
      </c>
      <c r="C2033" t="s">
        <v>27</v>
      </c>
      <c r="H2033" s="2">
        <v>45300.495138888888</v>
      </c>
      <c r="I2033" t="s">
        <v>153</v>
      </c>
      <c r="Z2033">
        <v>74137</v>
      </c>
    </row>
    <row r="2034" spans="1:26" x14ac:dyDescent="0.25">
      <c r="A2034" t="s">
        <v>2677</v>
      </c>
      <c r="B2034" t="s">
        <v>26</v>
      </c>
      <c r="C2034" t="s">
        <v>27</v>
      </c>
      <c r="H2034" s="2">
        <v>45300.474999999999</v>
      </c>
      <c r="I2034" t="s">
        <v>153</v>
      </c>
      <c r="Z2034">
        <v>74133</v>
      </c>
    </row>
    <row r="2035" spans="1:26" x14ac:dyDescent="0.25">
      <c r="A2035" t="s">
        <v>109</v>
      </c>
      <c r="C2035" t="s">
        <v>27</v>
      </c>
      <c r="E2035" t="s">
        <v>128</v>
      </c>
      <c r="H2035" s="2">
        <v>45298.795138888891</v>
      </c>
      <c r="I2035" t="s">
        <v>153</v>
      </c>
      <c r="Z2035">
        <v>74038</v>
      </c>
    </row>
    <row r="2036" spans="1:26" x14ac:dyDescent="0.25">
      <c r="A2036" t="s">
        <v>2678</v>
      </c>
      <c r="B2036" t="s">
        <v>164</v>
      </c>
      <c r="C2036" t="s">
        <v>27</v>
      </c>
      <c r="E2036" t="s">
        <v>2679</v>
      </c>
      <c r="G2036" t="s">
        <v>2680</v>
      </c>
      <c r="H2036" s="2">
        <v>45298.622916666667</v>
      </c>
      <c r="I2036" t="s">
        <v>153</v>
      </c>
      <c r="Z2036">
        <v>74022</v>
      </c>
    </row>
    <row r="2037" spans="1:26" x14ac:dyDescent="0.25">
      <c r="A2037" t="s">
        <v>109</v>
      </c>
      <c r="C2037" t="s">
        <v>82</v>
      </c>
      <c r="E2037" t="s">
        <v>107</v>
      </c>
      <c r="H2037" s="2">
        <v>45298.538888888892</v>
      </c>
      <c r="I2037" t="s">
        <v>29</v>
      </c>
      <c r="Z2037">
        <v>74010</v>
      </c>
    </row>
    <row r="2038" spans="1:26" x14ac:dyDescent="0.25">
      <c r="A2038" t="s">
        <v>109</v>
      </c>
      <c r="C2038" t="s">
        <v>27</v>
      </c>
      <c r="E2038" t="s">
        <v>44</v>
      </c>
      <c r="H2038" s="2">
        <v>45298.477777777778</v>
      </c>
      <c r="I2038" t="s">
        <v>226</v>
      </c>
      <c r="Z2038">
        <v>74000</v>
      </c>
    </row>
    <row r="2039" spans="1:26" x14ac:dyDescent="0.25">
      <c r="A2039" t="s">
        <v>2671</v>
      </c>
      <c r="B2039" t="s">
        <v>26</v>
      </c>
      <c r="C2039" t="s">
        <v>27</v>
      </c>
      <c r="H2039" s="2">
        <v>45298.383333333331</v>
      </c>
      <c r="I2039" t="s">
        <v>153</v>
      </c>
      <c r="Z2039">
        <v>73994</v>
      </c>
    </row>
    <row r="2040" spans="1:26" x14ac:dyDescent="0.25">
      <c r="A2040" t="s">
        <v>2681</v>
      </c>
      <c r="B2040" t="s">
        <v>26</v>
      </c>
      <c r="C2040" t="s">
        <v>27</v>
      </c>
      <c r="H2040" s="2">
        <v>45297.651388888888</v>
      </c>
      <c r="I2040" t="s">
        <v>95</v>
      </c>
      <c r="Z2040">
        <v>73974</v>
      </c>
    </row>
    <row r="2041" spans="1:26" x14ac:dyDescent="0.25">
      <c r="A2041" t="s">
        <v>92</v>
      </c>
      <c r="B2041" t="s">
        <v>26</v>
      </c>
      <c r="C2041" t="s">
        <v>27</v>
      </c>
      <c r="E2041" t="s">
        <v>43</v>
      </c>
      <c r="H2041" s="2">
        <v>45296.775000000001</v>
      </c>
      <c r="I2041" t="s">
        <v>29</v>
      </c>
      <c r="Z2041">
        <v>73924</v>
      </c>
    </row>
    <row r="2042" spans="1:26" x14ac:dyDescent="0.25">
      <c r="A2042" t="s">
        <v>2682</v>
      </c>
      <c r="B2042" t="s">
        <v>26</v>
      </c>
      <c r="C2042" t="s">
        <v>27</v>
      </c>
      <c r="H2042" s="2">
        <v>45296.587500000001</v>
      </c>
      <c r="I2042" t="s">
        <v>95</v>
      </c>
      <c r="Z2042">
        <v>73897</v>
      </c>
    </row>
    <row r="2043" spans="1:26" x14ac:dyDescent="0.25">
      <c r="A2043" t="s">
        <v>718</v>
      </c>
      <c r="B2043" t="s">
        <v>26</v>
      </c>
      <c r="C2043" t="s">
        <v>27</v>
      </c>
      <c r="H2043" s="2">
        <v>45296.472916666666</v>
      </c>
      <c r="I2043" t="s">
        <v>29</v>
      </c>
      <c r="Z2043">
        <v>73860</v>
      </c>
    </row>
    <row r="2044" spans="1:26" x14ac:dyDescent="0.25">
      <c r="A2044" t="s">
        <v>2683</v>
      </c>
      <c r="C2044" t="s">
        <v>27</v>
      </c>
      <c r="E2044" t="s">
        <v>209</v>
      </c>
      <c r="H2044" s="2">
        <v>45295.836111111108</v>
      </c>
      <c r="I2044" t="s">
        <v>29</v>
      </c>
      <c r="Z2044">
        <v>73846</v>
      </c>
    </row>
    <row r="2045" spans="1:26" x14ac:dyDescent="0.25">
      <c r="A2045" t="s">
        <v>891</v>
      </c>
      <c r="B2045" t="s">
        <v>26</v>
      </c>
      <c r="C2045" t="s">
        <v>27</v>
      </c>
      <c r="H2045" s="2">
        <v>45295.634027777778</v>
      </c>
      <c r="I2045" t="s">
        <v>29</v>
      </c>
      <c r="Z2045">
        <v>73819</v>
      </c>
    </row>
    <row r="2046" spans="1:26" x14ac:dyDescent="0.25">
      <c r="A2046" t="s">
        <v>1608</v>
      </c>
      <c r="B2046" t="s">
        <v>26</v>
      </c>
      <c r="C2046" t="s">
        <v>27</v>
      </c>
      <c r="H2046" s="2">
        <v>45295.541666666664</v>
      </c>
      <c r="I2046" t="s">
        <v>29</v>
      </c>
      <c r="Z2046">
        <v>73793</v>
      </c>
    </row>
    <row r="2047" spans="1:26" x14ac:dyDescent="0.25">
      <c r="A2047" t="s">
        <v>2684</v>
      </c>
      <c r="B2047" t="s">
        <v>26</v>
      </c>
      <c r="C2047" t="s">
        <v>27</v>
      </c>
      <c r="H2047" s="2">
        <v>45295.535416666666</v>
      </c>
      <c r="I2047" t="s">
        <v>252</v>
      </c>
      <c r="Z2047">
        <v>73786</v>
      </c>
    </row>
    <row r="2048" spans="1:26" x14ac:dyDescent="0.25">
      <c r="A2048" t="s">
        <v>2685</v>
      </c>
      <c r="B2048" t="s">
        <v>26</v>
      </c>
      <c r="C2048" t="s">
        <v>27</v>
      </c>
      <c r="H2048" s="2">
        <v>45295.45416666667</v>
      </c>
      <c r="I2048" t="s">
        <v>153</v>
      </c>
      <c r="Z2048">
        <v>73761</v>
      </c>
    </row>
    <row r="2049" spans="1:26" x14ac:dyDescent="0.25">
      <c r="A2049" t="s">
        <v>712</v>
      </c>
      <c r="B2049" t="s">
        <v>26</v>
      </c>
      <c r="C2049" t="s">
        <v>27</v>
      </c>
      <c r="H2049" s="2">
        <v>45288.868055555555</v>
      </c>
      <c r="I2049" t="s">
        <v>29</v>
      </c>
      <c r="Z2049">
        <v>72489</v>
      </c>
    </row>
    <row r="2050" spans="1:26" x14ac:dyDescent="0.25">
      <c r="A2050" t="s">
        <v>2686</v>
      </c>
      <c r="B2050" t="s">
        <v>26</v>
      </c>
      <c r="C2050" t="s">
        <v>27</v>
      </c>
      <c r="H2050" s="2">
        <v>45288.736111111109</v>
      </c>
      <c r="I2050" t="s">
        <v>29</v>
      </c>
      <c r="Z2050">
        <v>72482</v>
      </c>
    </row>
    <row r="2051" spans="1:26" x14ac:dyDescent="0.25">
      <c r="A2051" t="s">
        <v>2687</v>
      </c>
      <c r="B2051" t="s">
        <v>26</v>
      </c>
      <c r="C2051" t="s">
        <v>27</v>
      </c>
      <c r="H2051" s="2">
        <v>45288.655555555553</v>
      </c>
      <c r="I2051" t="s">
        <v>29</v>
      </c>
      <c r="Z2051">
        <v>72469</v>
      </c>
    </row>
    <row r="2052" spans="1:26" x14ac:dyDescent="0.25">
      <c r="A2052" t="s">
        <v>217</v>
      </c>
      <c r="B2052" t="s">
        <v>26</v>
      </c>
      <c r="C2052" t="s">
        <v>27</v>
      </c>
      <c r="H2052" s="2">
        <v>45288.633333333331</v>
      </c>
      <c r="I2052" t="s">
        <v>29</v>
      </c>
      <c r="Z2052">
        <v>72466</v>
      </c>
    </row>
    <row r="2053" spans="1:26" x14ac:dyDescent="0.25">
      <c r="A2053" t="s">
        <v>2688</v>
      </c>
      <c r="B2053" t="s">
        <v>26</v>
      </c>
      <c r="C2053" t="s">
        <v>27</v>
      </c>
      <c r="H2053" s="2">
        <v>45288.492361111108</v>
      </c>
      <c r="I2053" t="s">
        <v>29</v>
      </c>
      <c r="Z2053">
        <v>72437</v>
      </c>
    </row>
    <row r="2054" spans="1:26" x14ac:dyDescent="0.25">
      <c r="A2054" t="s">
        <v>2689</v>
      </c>
      <c r="B2054" t="s">
        <v>26</v>
      </c>
      <c r="C2054" t="s">
        <v>27</v>
      </c>
      <c r="H2054" s="2">
        <v>45288.412499999999</v>
      </c>
      <c r="I2054" t="s">
        <v>29</v>
      </c>
      <c r="Z2054">
        <v>72422</v>
      </c>
    </row>
    <row r="2055" spans="1:26" x14ac:dyDescent="0.25">
      <c r="A2055" t="s">
        <v>2690</v>
      </c>
      <c r="B2055" t="s">
        <v>26</v>
      </c>
      <c r="C2055" t="s">
        <v>27</v>
      </c>
      <c r="H2055" s="2">
        <v>45288.408333333333</v>
      </c>
      <c r="I2055" t="s">
        <v>29</v>
      </c>
      <c r="Z2055">
        <v>72420</v>
      </c>
    </row>
    <row r="2056" spans="1:26" x14ac:dyDescent="0.25">
      <c r="A2056" t="s">
        <v>2691</v>
      </c>
      <c r="B2056" t="s">
        <v>26</v>
      </c>
      <c r="C2056" t="s">
        <v>27</v>
      </c>
      <c r="H2056" s="2">
        <v>45287.444444444445</v>
      </c>
      <c r="I2056" t="s">
        <v>235</v>
      </c>
      <c r="Z2056">
        <v>72350</v>
      </c>
    </row>
    <row r="2057" spans="1:26" x14ac:dyDescent="0.25">
      <c r="A2057" t="s">
        <v>712</v>
      </c>
      <c r="B2057" t="s">
        <v>26</v>
      </c>
      <c r="C2057" t="s">
        <v>27</v>
      </c>
      <c r="H2057" s="2">
        <v>45286.700694444444</v>
      </c>
      <c r="I2057" t="s">
        <v>252</v>
      </c>
      <c r="Z2057">
        <v>72340</v>
      </c>
    </row>
    <row r="2058" spans="1:26" x14ac:dyDescent="0.25">
      <c r="A2058" t="s">
        <v>712</v>
      </c>
      <c r="B2058" t="s">
        <v>26</v>
      </c>
      <c r="C2058" t="s">
        <v>27</v>
      </c>
      <c r="H2058" s="2">
        <v>45286.536805555559</v>
      </c>
      <c r="I2058" t="s">
        <v>29</v>
      </c>
      <c r="Z2058">
        <v>72305</v>
      </c>
    </row>
    <row r="2059" spans="1:26" x14ac:dyDescent="0.25">
      <c r="A2059" t="s">
        <v>2692</v>
      </c>
      <c r="B2059" t="s">
        <v>26</v>
      </c>
      <c r="C2059" t="s">
        <v>27</v>
      </c>
      <c r="H2059" s="2">
        <v>45285.804861111108</v>
      </c>
      <c r="I2059" t="s">
        <v>95</v>
      </c>
      <c r="Z2059">
        <v>72270</v>
      </c>
    </row>
    <row r="2060" spans="1:26" x14ac:dyDescent="0.25">
      <c r="A2060" t="s">
        <v>2693</v>
      </c>
      <c r="C2060" t="s">
        <v>27</v>
      </c>
      <c r="E2060" t="s">
        <v>87</v>
      </c>
      <c r="H2060" s="2">
        <v>45284.901388888888</v>
      </c>
      <c r="I2060" t="s">
        <v>95</v>
      </c>
      <c r="Z2060">
        <v>72203</v>
      </c>
    </row>
    <row r="2061" spans="1:26" x14ac:dyDescent="0.25">
      <c r="A2061" t="s">
        <v>2694</v>
      </c>
      <c r="B2061" t="s">
        <v>26</v>
      </c>
      <c r="C2061" t="s">
        <v>27</v>
      </c>
      <c r="H2061" s="2">
        <v>45282.809027777781</v>
      </c>
      <c r="I2061" t="s">
        <v>252</v>
      </c>
      <c r="Z2061">
        <v>72138</v>
      </c>
    </row>
    <row r="2062" spans="1:26" x14ac:dyDescent="0.25">
      <c r="A2062" t="s">
        <v>2695</v>
      </c>
      <c r="B2062" t="s">
        <v>26</v>
      </c>
      <c r="C2062" t="s">
        <v>27</v>
      </c>
      <c r="H2062" s="2">
        <v>45282.675000000003</v>
      </c>
      <c r="I2062" t="s">
        <v>252</v>
      </c>
      <c r="Z2062">
        <v>72128</v>
      </c>
    </row>
    <row r="2063" spans="1:26" x14ac:dyDescent="0.25">
      <c r="A2063" t="s">
        <v>2696</v>
      </c>
      <c r="B2063" t="s">
        <v>26</v>
      </c>
      <c r="C2063" t="s">
        <v>27</v>
      </c>
      <c r="H2063" s="2">
        <v>45282.602777777778</v>
      </c>
      <c r="I2063" t="s">
        <v>235</v>
      </c>
      <c r="Z2063">
        <v>72118</v>
      </c>
    </row>
    <row r="2064" spans="1:26" x14ac:dyDescent="0.25">
      <c r="A2064" t="s">
        <v>2697</v>
      </c>
      <c r="B2064" t="s">
        <v>46</v>
      </c>
      <c r="C2064" t="s">
        <v>27</v>
      </c>
      <c r="E2064" t="s">
        <v>80</v>
      </c>
      <c r="G2064" t="s">
        <v>2698</v>
      </c>
      <c r="H2064" s="2">
        <v>45282.556250000001</v>
      </c>
      <c r="I2064" t="s">
        <v>227</v>
      </c>
      <c r="Z2064">
        <v>72114</v>
      </c>
    </row>
    <row r="2065" spans="1:26" x14ac:dyDescent="0.25">
      <c r="A2065" t="s">
        <v>2699</v>
      </c>
      <c r="B2065" t="s">
        <v>26</v>
      </c>
      <c r="C2065" t="s">
        <v>27</v>
      </c>
      <c r="H2065" s="2">
        <v>45281.397916666669</v>
      </c>
      <c r="I2065" t="s">
        <v>235</v>
      </c>
      <c r="Z2065">
        <v>72012</v>
      </c>
    </row>
    <row r="2066" spans="1:26" x14ac:dyDescent="0.25">
      <c r="A2066" t="s">
        <v>2700</v>
      </c>
      <c r="B2066" t="s">
        <v>26</v>
      </c>
      <c r="C2066" t="s">
        <v>27</v>
      </c>
      <c r="H2066" s="2">
        <v>45279.49722222222</v>
      </c>
      <c r="I2066" t="s">
        <v>197</v>
      </c>
      <c r="Z2066">
        <v>71905</v>
      </c>
    </row>
    <row r="2067" spans="1:26" x14ac:dyDescent="0.25">
      <c r="A2067" t="s">
        <v>712</v>
      </c>
      <c r="B2067" t="s">
        <v>26</v>
      </c>
      <c r="C2067" t="s">
        <v>27</v>
      </c>
      <c r="H2067" s="2">
        <v>45279.42083333333</v>
      </c>
      <c r="I2067" t="s">
        <v>252</v>
      </c>
      <c r="Z2067">
        <v>71892</v>
      </c>
    </row>
    <row r="2068" spans="1:26" x14ac:dyDescent="0.25">
      <c r="A2068" t="s">
        <v>2701</v>
      </c>
      <c r="B2068" t="s">
        <v>26</v>
      </c>
      <c r="C2068" t="s">
        <v>27</v>
      </c>
      <c r="H2068" s="2">
        <v>45278.584027777775</v>
      </c>
      <c r="I2068" t="s">
        <v>29</v>
      </c>
      <c r="Z2068">
        <v>71861</v>
      </c>
    </row>
    <row r="2069" spans="1:26" x14ac:dyDescent="0.25">
      <c r="A2069" t="s">
        <v>2702</v>
      </c>
      <c r="B2069" t="s">
        <v>26</v>
      </c>
      <c r="C2069" t="s">
        <v>27</v>
      </c>
      <c r="H2069" s="2">
        <v>45278.429861111108</v>
      </c>
      <c r="I2069" t="s">
        <v>226</v>
      </c>
      <c r="Z2069">
        <v>71840</v>
      </c>
    </row>
    <row r="2070" spans="1:26" x14ac:dyDescent="0.25">
      <c r="A2070" t="s">
        <v>2703</v>
      </c>
      <c r="B2070" t="s">
        <v>26</v>
      </c>
      <c r="C2070" t="s">
        <v>27</v>
      </c>
      <c r="H2070" s="2">
        <v>45277.729861111111</v>
      </c>
      <c r="I2070" t="s">
        <v>235</v>
      </c>
      <c r="Z2070">
        <v>71819</v>
      </c>
    </row>
    <row r="2071" spans="1:26" x14ac:dyDescent="0.25">
      <c r="A2071" t="s">
        <v>2704</v>
      </c>
      <c r="B2071" t="s">
        <v>26</v>
      </c>
      <c r="C2071" t="s">
        <v>27</v>
      </c>
      <c r="H2071" s="2">
        <v>45277.65625</v>
      </c>
      <c r="I2071" t="s">
        <v>235</v>
      </c>
      <c r="Z2071">
        <v>71813</v>
      </c>
    </row>
    <row r="2072" spans="1:26" x14ac:dyDescent="0.25">
      <c r="A2072" t="s">
        <v>2705</v>
      </c>
      <c r="B2072" t="s">
        <v>26</v>
      </c>
      <c r="C2072" t="s">
        <v>27</v>
      </c>
      <c r="H2072" s="2">
        <v>45277.493750000001</v>
      </c>
      <c r="I2072" t="s">
        <v>235</v>
      </c>
      <c r="Z2072">
        <v>71796</v>
      </c>
    </row>
    <row r="2073" spans="1:26" x14ac:dyDescent="0.25">
      <c r="A2073" t="s">
        <v>712</v>
      </c>
      <c r="B2073" t="s">
        <v>26</v>
      </c>
      <c r="C2073" t="s">
        <v>27</v>
      </c>
      <c r="H2073" s="2">
        <v>45276.530555555553</v>
      </c>
      <c r="I2073" t="s">
        <v>29</v>
      </c>
      <c r="Z2073">
        <v>71764</v>
      </c>
    </row>
    <row r="2074" spans="1:26" x14ac:dyDescent="0.25">
      <c r="A2074" t="s">
        <v>2706</v>
      </c>
      <c r="B2074" t="s">
        <v>26</v>
      </c>
      <c r="C2074" t="s">
        <v>27</v>
      </c>
      <c r="H2074" s="2">
        <v>45275.527083333334</v>
      </c>
      <c r="I2074" t="s">
        <v>252</v>
      </c>
      <c r="Z2074">
        <v>71692</v>
      </c>
    </row>
    <row r="2075" spans="1:26" x14ac:dyDescent="0.25">
      <c r="A2075" t="s">
        <v>2707</v>
      </c>
      <c r="B2075" t="s">
        <v>26</v>
      </c>
      <c r="C2075" t="s">
        <v>27</v>
      </c>
      <c r="H2075" s="2">
        <v>45274.68472222222</v>
      </c>
      <c r="I2075" t="s">
        <v>95</v>
      </c>
      <c r="Z2075">
        <v>71638</v>
      </c>
    </row>
    <row r="2076" spans="1:26" x14ac:dyDescent="0.25">
      <c r="A2076" t="s">
        <v>109</v>
      </c>
      <c r="C2076" t="s">
        <v>82</v>
      </c>
      <c r="E2076" t="s">
        <v>45</v>
      </c>
      <c r="H2076" s="2">
        <v>45273.78125</v>
      </c>
      <c r="I2076" t="s">
        <v>95</v>
      </c>
      <c r="Z2076">
        <v>71565</v>
      </c>
    </row>
    <row r="2077" spans="1:26" x14ac:dyDescent="0.25">
      <c r="A2077" t="s">
        <v>2708</v>
      </c>
      <c r="B2077" t="s">
        <v>26</v>
      </c>
      <c r="C2077" t="s">
        <v>27</v>
      </c>
      <c r="H2077" s="2">
        <v>45271.87222222222</v>
      </c>
      <c r="I2077" t="s">
        <v>227</v>
      </c>
      <c r="Z2077">
        <v>71400</v>
      </c>
    </row>
    <row r="2078" spans="1:26" x14ac:dyDescent="0.25">
      <c r="A2078" t="s">
        <v>2709</v>
      </c>
      <c r="B2078" t="s">
        <v>26</v>
      </c>
      <c r="C2078" t="s">
        <v>27</v>
      </c>
      <c r="H2078" s="2">
        <v>45271.775000000001</v>
      </c>
      <c r="I2078" t="s">
        <v>252</v>
      </c>
      <c r="Z2078">
        <v>71391</v>
      </c>
    </row>
    <row r="2079" spans="1:26" x14ac:dyDescent="0.25">
      <c r="A2079" t="s">
        <v>2710</v>
      </c>
      <c r="B2079" t="s">
        <v>26</v>
      </c>
      <c r="C2079" t="s">
        <v>27</v>
      </c>
      <c r="H2079" s="2">
        <v>45271.479166666664</v>
      </c>
      <c r="I2079" t="s">
        <v>252</v>
      </c>
      <c r="Z2079">
        <v>71333</v>
      </c>
    </row>
    <row r="2080" spans="1:26" x14ac:dyDescent="0.25">
      <c r="A2080" t="s">
        <v>2711</v>
      </c>
      <c r="B2080" t="s">
        <v>26</v>
      </c>
      <c r="C2080" t="s">
        <v>27</v>
      </c>
      <c r="H2080" s="2">
        <v>45270.727777777778</v>
      </c>
      <c r="I2080" t="s">
        <v>235</v>
      </c>
      <c r="Z2080">
        <v>71306</v>
      </c>
    </row>
    <row r="2081" spans="1:26" x14ac:dyDescent="0.25">
      <c r="A2081" t="s">
        <v>712</v>
      </c>
      <c r="B2081" t="s">
        <v>26</v>
      </c>
      <c r="C2081" t="s">
        <v>27</v>
      </c>
      <c r="H2081" s="2">
        <v>45270.620138888888</v>
      </c>
      <c r="I2081" t="s">
        <v>29</v>
      </c>
      <c r="Z2081">
        <v>71296</v>
      </c>
    </row>
    <row r="2082" spans="1:26" x14ac:dyDescent="0.25">
      <c r="A2082" t="s">
        <v>2712</v>
      </c>
      <c r="B2082" t="s">
        <v>164</v>
      </c>
      <c r="C2082" t="s">
        <v>27</v>
      </c>
      <c r="E2082" t="s">
        <v>201</v>
      </c>
      <c r="H2082" s="2">
        <v>45269.863194444442</v>
      </c>
      <c r="I2082" t="s">
        <v>227</v>
      </c>
      <c r="K2082" t="s">
        <v>30</v>
      </c>
      <c r="L2082" t="s">
        <v>31</v>
      </c>
      <c r="M2082">
        <v>55887024</v>
      </c>
      <c r="N2082">
        <v>9754613601</v>
      </c>
      <c r="O2082" t="s">
        <v>2039</v>
      </c>
      <c r="Z2082">
        <v>71256</v>
      </c>
    </row>
    <row r="2083" spans="1:26" x14ac:dyDescent="0.25">
      <c r="A2083" t="s">
        <v>2713</v>
      </c>
      <c r="B2083" t="s">
        <v>26</v>
      </c>
      <c r="C2083" t="s">
        <v>27</v>
      </c>
      <c r="H2083" s="2">
        <v>45268.594444444447</v>
      </c>
      <c r="I2083" t="s">
        <v>197</v>
      </c>
      <c r="Z2083">
        <v>71139</v>
      </c>
    </row>
    <row r="2084" spans="1:26" x14ac:dyDescent="0.25">
      <c r="A2084" t="s">
        <v>2714</v>
      </c>
      <c r="B2084" t="s">
        <v>26</v>
      </c>
      <c r="C2084" t="s">
        <v>206</v>
      </c>
      <c r="H2084" s="2">
        <v>45268.583333333336</v>
      </c>
      <c r="I2084" t="s">
        <v>197</v>
      </c>
      <c r="Z2084">
        <v>71135</v>
      </c>
    </row>
    <row r="2085" spans="1:26" x14ac:dyDescent="0.25">
      <c r="A2085" t="s">
        <v>2715</v>
      </c>
      <c r="C2085" t="s">
        <v>27</v>
      </c>
      <c r="E2085" t="s">
        <v>138</v>
      </c>
      <c r="H2085" s="2">
        <v>45266.848611111112</v>
      </c>
      <c r="I2085" t="s">
        <v>226</v>
      </c>
      <c r="Z2085">
        <v>70983</v>
      </c>
    </row>
    <row r="2086" spans="1:26" x14ac:dyDescent="0.25">
      <c r="A2086" t="s">
        <v>2716</v>
      </c>
      <c r="B2086" t="s">
        <v>26</v>
      </c>
      <c r="C2086" t="s">
        <v>27</v>
      </c>
      <c r="H2086" s="2">
        <v>45266.657638888886</v>
      </c>
      <c r="I2086" t="s">
        <v>197</v>
      </c>
      <c r="Z2086">
        <v>70960</v>
      </c>
    </row>
    <row r="2087" spans="1:26" x14ac:dyDescent="0.25">
      <c r="A2087" t="s">
        <v>2717</v>
      </c>
      <c r="B2087" t="s">
        <v>26</v>
      </c>
      <c r="C2087" t="s">
        <v>27</v>
      </c>
      <c r="H2087" s="2">
        <v>45266.561111111114</v>
      </c>
      <c r="I2087" t="s">
        <v>252</v>
      </c>
      <c r="Z2087">
        <v>70930</v>
      </c>
    </row>
    <row r="2088" spans="1:26" x14ac:dyDescent="0.25">
      <c r="A2088" t="s">
        <v>2718</v>
      </c>
      <c r="B2088" t="s">
        <v>26</v>
      </c>
      <c r="C2088" t="s">
        <v>27</v>
      </c>
      <c r="H2088" s="2">
        <v>45266.482638888891</v>
      </c>
      <c r="I2088" t="s">
        <v>252</v>
      </c>
      <c r="Z2088">
        <v>70913</v>
      </c>
    </row>
    <row r="2089" spans="1:26" x14ac:dyDescent="0.25">
      <c r="A2089" t="s">
        <v>2719</v>
      </c>
      <c r="C2089" t="s">
        <v>27</v>
      </c>
      <c r="E2089" t="s">
        <v>2720</v>
      </c>
      <c r="H2089" s="2">
        <v>45266.366666666669</v>
      </c>
      <c r="I2089" t="s">
        <v>252</v>
      </c>
      <c r="Z2089">
        <v>70888</v>
      </c>
    </row>
    <row r="2090" spans="1:26" x14ac:dyDescent="0.25">
      <c r="A2090" t="s">
        <v>2721</v>
      </c>
      <c r="B2090" t="s">
        <v>26</v>
      </c>
      <c r="C2090" t="s">
        <v>27</v>
      </c>
      <c r="H2090" s="2">
        <v>45265.662499999999</v>
      </c>
      <c r="I2090" t="s">
        <v>252</v>
      </c>
      <c r="Z2090">
        <v>70859</v>
      </c>
    </row>
    <row r="2091" spans="1:26" x14ac:dyDescent="0.25">
      <c r="A2091" t="s">
        <v>2722</v>
      </c>
      <c r="B2091" t="s">
        <v>26</v>
      </c>
      <c r="C2091" t="s">
        <v>27</v>
      </c>
      <c r="H2091" s="2">
        <v>45265.433333333334</v>
      </c>
      <c r="I2091" t="s">
        <v>226</v>
      </c>
      <c r="Z2091">
        <v>70806</v>
      </c>
    </row>
    <row r="2092" spans="1:26" x14ac:dyDescent="0.25">
      <c r="A2092" t="s">
        <v>2723</v>
      </c>
      <c r="B2092" t="s">
        <v>185</v>
      </c>
      <c r="C2092" t="s">
        <v>27</v>
      </c>
      <c r="E2092" t="s">
        <v>88</v>
      </c>
      <c r="H2092" s="2">
        <v>45264.709027777775</v>
      </c>
      <c r="I2092" t="s">
        <v>227</v>
      </c>
      <c r="Z2092">
        <v>70772</v>
      </c>
    </row>
    <row r="2093" spans="1:26" x14ac:dyDescent="0.25">
      <c r="A2093" t="s">
        <v>712</v>
      </c>
      <c r="B2093" t="s">
        <v>26</v>
      </c>
      <c r="C2093" t="s">
        <v>27</v>
      </c>
      <c r="H2093" s="2">
        <v>45264.609027777777</v>
      </c>
      <c r="I2093" t="s">
        <v>29</v>
      </c>
      <c r="Z2093">
        <v>70749</v>
      </c>
    </row>
    <row r="2094" spans="1:26" x14ac:dyDescent="0.25">
      <c r="A2094" t="s">
        <v>712</v>
      </c>
      <c r="B2094" t="s">
        <v>26</v>
      </c>
      <c r="C2094" t="s">
        <v>27</v>
      </c>
      <c r="H2094" s="2">
        <v>45263.459722222222</v>
      </c>
      <c r="I2094" t="s">
        <v>29</v>
      </c>
      <c r="Z2094">
        <v>70645</v>
      </c>
    </row>
    <row r="2095" spans="1:26" x14ac:dyDescent="0.25">
      <c r="A2095" t="s">
        <v>2724</v>
      </c>
      <c r="B2095" t="s">
        <v>26</v>
      </c>
      <c r="C2095" t="s">
        <v>27</v>
      </c>
      <c r="H2095" s="2">
        <v>45262.559027777781</v>
      </c>
      <c r="I2095" t="s">
        <v>235</v>
      </c>
      <c r="Z2095">
        <v>70613</v>
      </c>
    </row>
    <row r="2096" spans="1:26" x14ac:dyDescent="0.25">
      <c r="A2096" t="s">
        <v>2725</v>
      </c>
      <c r="B2096" t="s">
        <v>26</v>
      </c>
      <c r="C2096" t="s">
        <v>206</v>
      </c>
      <c r="H2096" s="2">
        <v>45261.526388888888</v>
      </c>
      <c r="I2096" t="s">
        <v>197</v>
      </c>
      <c r="Z2096">
        <v>70554</v>
      </c>
    </row>
    <row r="2097" spans="1:26" x14ac:dyDescent="0.25">
      <c r="A2097" t="s">
        <v>2726</v>
      </c>
      <c r="B2097" t="s">
        <v>26</v>
      </c>
      <c r="C2097" t="s">
        <v>27</v>
      </c>
      <c r="H2097" s="2">
        <v>45261.474305555559</v>
      </c>
      <c r="I2097" t="s">
        <v>252</v>
      </c>
      <c r="Z2097">
        <v>70548</v>
      </c>
    </row>
    <row r="2098" spans="1:26" x14ac:dyDescent="0.25">
      <c r="A2098" t="s">
        <v>109</v>
      </c>
      <c r="C2098" t="s">
        <v>27</v>
      </c>
      <c r="E2098" t="s">
        <v>195</v>
      </c>
      <c r="H2098" s="2">
        <v>45261.430555555555</v>
      </c>
      <c r="I2098" t="s">
        <v>226</v>
      </c>
      <c r="Z2098">
        <v>70540</v>
      </c>
    </row>
    <row r="2099" spans="1:26" x14ac:dyDescent="0.25">
      <c r="A2099" t="s">
        <v>2727</v>
      </c>
      <c r="B2099" t="s">
        <v>150</v>
      </c>
      <c r="C2099" t="s">
        <v>27</v>
      </c>
      <c r="E2099" t="s">
        <v>136</v>
      </c>
      <c r="H2099" s="2">
        <v>45261.415972222225</v>
      </c>
      <c r="I2099" t="s">
        <v>95</v>
      </c>
      <c r="K2099" t="s">
        <v>30</v>
      </c>
      <c r="L2099" t="s">
        <v>31</v>
      </c>
      <c r="M2099">
        <v>67130164</v>
      </c>
      <c r="N2099">
        <v>12403825921</v>
      </c>
      <c r="O2099" t="s">
        <v>1920</v>
      </c>
      <c r="Z2099">
        <v>70538</v>
      </c>
    </row>
    <row r="2100" spans="1:26" x14ac:dyDescent="0.25">
      <c r="A2100" t="s">
        <v>2728</v>
      </c>
      <c r="B2100" t="s">
        <v>26</v>
      </c>
      <c r="C2100" t="s">
        <v>27</v>
      </c>
      <c r="H2100" s="2">
        <v>45261.205555555556</v>
      </c>
      <c r="I2100" t="s">
        <v>252</v>
      </c>
      <c r="Z2100">
        <v>70530</v>
      </c>
    </row>
    <row r="2101" spans="1:26" x14ac:dyDescent="0.25">
      <c r="A2101" t="s">
        <v>2729</v>
      </c>
      <c r="B2101" t="s">
        <v>26</v>
      </c>
      <c r="C2101" t="s">
        <v>27</v>
      </c>
      <c r="H2101" s="2">
        <v>45260.155555555553</v>
      </c>
      <c r="I2101" t="s">
        <v>197</v>
      </c>
      <c r="Z2101">
        <v>70457</v>
      </c>
    </row>
    <row r="2102" spans="1:26" x14ac:dyDescent="0.25">
      <c r="A2102" t="s">
        <v>2730</v>
      </c>
      <c r="B2102" t="s">
        <v>26</v>
      </c>
      <c r="C2102" t="s">
        <v>27</v>
      </c>
      <c r="H2102" s="2">
        <v>45259.594444444447</v>
      </c>
      <c r="I2102" t="s">
        <v>197</v>
      </c>
      <c r="Z2102">
        <v>70424</v>
      </c>
    </row>
    <row r="2103" spans="1:26" x14ac:dyDescent="0.25">
      <c r="A2103" t="s">
        <v>2731</v>
      </c>
      <c r="B2103" t="s">
        <v>26</v>
      </c>
      <c r="C2103" t="s">
        <v>27</v>
      </c>
      <c r="H2103" s="2">
        <v>45259.399305555555</v>
      </c>
      <c r="I2103" t="s">
        <v>252</v>
      </c>
      <c r="Z2103">
        <v>70385</v>
      </c>
    </row>
    <row r="2104" spans="1:26" x14ac:dyDescent="0.25">
      <c r="A2104" t="s">
        <v>2732</v>
      </c>
      <c r="B2104" t="s">
        <v>26</v>
      </c>
      <c r="C2104" t="s">
        <v>27</v>
      </c>
      <c r="H2104" s="2">
        <v>45258.787499999999</v>
      </c>
      <c r="I2104" t="s">
        <v>95</v>
      </c>
      <c r="Z2104">
        <v>70373</v>
      </c>
    </row>
    <row r="2105" spans="1:26" x14ac:dyDescent="0.25">
      <c r="A2105" t="s">
        <v>317</v>
      </c>
      <c r="B2105" t="s">
        <v>198</v>
      </c>
      <c r="C2105" t="s">
        <v>27</v>
      </c>
      <c r="E2105" t="s">
        <v>69</v>
      </c>
      <c r="H2105" s="2">
        <v>45258.724999999999</v>
      </c>
      <c r="I2105" t="s">
        <v>227</v>
      </c>
      <c r="Z2105">
        <v>70368</v>
      </c>
    </row>
    <row r="2106" spans="1:26" x14ac:dyDescent="0.25">
      <c r="A2106" t="s">
        <v>2733</v>
      </c>
      <c r="B2106" t="s">
        <v>26</v>
      </c>
      <c r="C2106" t="s">
        <v>27</v>
      </c>
      <c r="H2106" s="2">
        <v>45258.436805555553</v>
      </c>
      <c r="I2106" t="s">
        <v>95</v>
      </c>
      <c r="Z2106">
        <v>70327</v>
      </c>
    </row>
    <row r="2107" spans="1:26" x14ac:dyDescent="0.25">
      <c r="A2107" t="s">
        <v>2734</v>
      </c>
      <c r="B2107" t="s">
        <v>26</v>
      </c>
      <c r="C2107" t="s">
        <v>27</v>
      </c>
      <c r="H2107" s="2">
        <v>45257.638194444444</v>
      </c>
      <c r="I2107" t="s">
        <v>95</v>
      </c>
      <c r="Z2107">
        <v>70278</v>
      </c>
    </row>
    <row r="2108" spans="1:26" x14ac:dyDescent="0.25">
      <c r="A2108" t="s">
        <v>2735</v>
      </c>
      <c r="B2108" t="s">
        <v>26</v>
      </c>
      <c r="C2108" t="s">
        <v>27</v>
      </c>
      <c r="H2108" s="2">
        <v>45255.583333333336</v>
      </c>
      <c r="I2108" t="s">
        <v>235</v>
      </c>
      <c r="Z2108">
        <v>70172</v>
      </c>
    </row>
    <row r="2109" spans="1:26" x14ac:dyDescent="0.25">
      <c r="A2109" t="s">
        <v>2736</v>
      </c>
      <c r="B2109" t="s">
        <v>26</v>
      </c>
      <c r="C2109" t="s">
        <v>27</v>
      </c>
      <c r="H2109" s="2">
        <v>45253.665972222225</v>
      </c>
      <c r="I2109" t="s">
        <v>197</v>
      </c>
      <c r="Z2109">
        <v>70087</v>
      </c>
    </row>
    <row r="2110" spans="1:26" x14ac:dyDescent="0.25">
      <c r="A2110" t="s">
        <v>2737</v>
      </c>
      <c r="B2110" t="s">
        <v>26</v>
      </c>
      <c r="C2110" t="s">
        <v>27</v>
      </c>
      <c r="H2110" s="2">
        <v>45253.558333333334</v>
      </c>
      <c r="I2110" t="s">
        <v>226</v>
      </c>
      <c r="Z2110">
        <v>70066</v>
      </c>
    </row>
    <row r="2111" spans="1:26" x14ac:dyDescent="0.25">
      <c r="A2111" t="s">
        <v>2738</v>
      </c>
      <c r="B2111" t="s">
        <v>26</v>
      </c>
      <c r="C2111" t="s">
        <v>27</v>
      </c>
      <c r="H2111" s="2">
        <v>45252.708333333336</v>
      </c>
      <c r="I2111" t="s">
        <v>235</v>
      </c>
      <c r="Z2111">
        <v>70015</v>
      </c>
    </row>
    <row r="2112" spans="1:26" x14ac:dyDescent="0.25">
      <c r="A2112" t="s">
        <v>2739</v>
      </c>
      <c r="B2112" t="s">
        <v>26</v>
      </c>
      <c r="C2112" t="s">
        <v>27</v>
      </c>
      <c r="H2112" s="2">
        <v>45252.686805555553</v>
      </c>
      <c r="I2112" t="s">
        <v>252</v>
      </c>
      <c r="Z2112">
        <v>70013</v>
      </c>
    </row>
    <row r="2113" spans="1:26" x14ac:dyDescent="0.25">
      <c r="A2113" t="s">
        <v>2740</v>
      </c>
      <c r="B2113" t="s">
        <v>26</v>
      </c>
      <c r="C2113" t="s">
        <v>27</v>
      </c>
      <c r="H2113" s="2">
        <v>45251.710416666669</v>
      </c>
      <c r="I2113" t="s">
        <v>235</v>
      </c>
      <c r="Z2113">
        <v>69945</v>
      </c>
    </row>
    <row r="2114" spans="1:26" x14ac:dyDescent="0.25">
      <c r="A2114" t="s">
        <v>2741</v>
      </c>
      <c r="B2114" t="s">
        <v>26</v>
      </c>
      <c r="C2114" t="s">
        <v>27</v>
      </c>
      <c r="H2114" s="2">
        <v>45251.490972222222</v>
      </c>
      <c r="I2114" t="s">
        <v>252</v>
      </c>
      <c r="Z2114">
        <v>69920</v>
      </c>
    </row>
    <row r="2115" spans="1:26" x14ac:dyDescent="0.25">
      <c r="A2115" t="s">
        <v>2137</v>
      </c>
      <c r="B2115" t="s">
        <v>26</v>
      </c>
      <c r="C2115" t="s">
        <v>27</v>
      </c>
      <c r="H2115" s="2">
        <v>45251.440972222219</v>
      </c>
      <c r="I2115" t="s">
        <v>252</v>
      </c>
      <c r="Z2115">
        <v>69908</v>
      </c>
    </row>
    <row r="2116" spans="1:26" x14ac:dyDescent="0.25">
      <c r="A2116" t="s">
        <v>2742</v>
      </c>
      <c r="B2116" t="s">
        <v>150</v>
      </c>
      <c r="C2116" t="s">
        <v>27</v>
      </c>
      <c r="E2116" t="s">
        <v>68</v>
      </c>
      <c r="G2116" t="s">
        <v>2743</v>
      </c>
      <c r="H2116" s="2">
        <v>45250.820138888892</v>
      </c>
      <c r="I2116" t="s">
        <v>29</v>
      </c>
      <c r="K2116" t="s">
        <v>30</v>
      </c>
      <c r="L2116" t="s">
        <v>31</v>
      </c>
      <c r="M2116">
        <v>55887024</v>
      </c>
      <c r="N2116">
        <v>9754613600</v>
      </c>
      <c r="O2116" t="s">
        <v>1948</v>
      </c>
      <c r="Z2116">
        <v>69894</v>
      </c>
    </row>
    <row r="2117" spans="1:26" x14ac:dyDescent="0.25">
      <c r="A2117" t="s">
        <v>2744</v>
      </c>
      <c r="B2117" t="s">
        <v>26</v>
      </c>
      <c r="C2117" t="s">
        <v>27</v>
      </c>
      <c r="H2117" s="2">
        <v>45250.693749999999</v>
      </c>
      <c r="I2117" t="s">
        <v>95</v>
      </c>
      <c r="Z2117">
        <v>69878</v>
      </c>
    </row>
    <row r="2118" spans="1:26" x14ac:dyDescent="0.25">
      <c r="A2118" t="s">
        <v>2745</v>
      </c>
      <c r="B2118" t="s">
        <v>26</v>
      </c>
      <c r="C2118" t="s">
        <v>27</v>
      </c>
      <c r="H2118" s="2">
        <v>45250.606944444444</v>
      </c>
      <c r="I2118" t="s">
        <v>29</v>
      </c>
      <c r="Z2118">
        <v>69865</v>
      </c>
    </row>
    <row r="2119" spans="1:26" x14ac:dyDescent="0.25">
      <c r="A2119" t="s">
        <v>2746</v>
      </c>
      <c r="B2119" t="s">
        <v>26</v>
      </c>
      <c r="C2119" t="s">
        <v>27</v>
      </c>
      <c r="H2119" s="2">
        <v>45250.606249999997</v>
      </c>
      <c r="I2119" t="s">
        <v>235</v>
      </c>
      <c r="Z2119">
        <v>69864</v>
      </c>
    </row>
    <row r="2120" spans="1:26" x14ac:dyDescent="0.25">
      <c r="A2120" t="s">
        <v>2747</v>
      </c>
      <c r="B2120" t="s">
        <v>26</v>
      </c>
      <c r="C2120" t="s">
        <v>27</v>
      </c>
      <c r="H2120" s="2">
        <v>45249.556944444441</v>
      </c>
      <c r="I2120" t="s">
        <v>95</v>
      </c>
      <c r="Z2120">
        <v>69760</v>
      </c>
    </row>
    <row r="2121" spans="1:26" x14ac:dyDescent="0.25">
      <c r="A2121" t="s">
        <v>2748</v>
      </c>
      <c r="B2121" t="s">
        <v>198</v>
      </c>
      <c r="C2121" t="s">
        <v>27</v>
      </c>
      <c r="E2121" t="s">
        <v>151</v>
      </c>
      <c r="G2121" t="s">
        <v>2749</v>
      </c>
      <c r="H2121" s="2">
        <v>45249.480555555558</v>
      </c>
      <c r="I2121" t="s">
        <v>29</v>
      </c>
      <c r="Z2121">
        <v>69737</v>
      </c>
    </row>
    <row r="2122" spans="1:26" x14ac:dyDescent="0.25">
      <c r="A2122" t="s">
        <v>2750</v>
      </c>
      <c r="B2122" t="s">
        <v>185</v>
      </c>
      <c r="C2122" t="s">
        <v>27</v>
      </c>
      <c r="E2122" t="s">
        <v>105</v>
      </c>
      <c r="G2122" t="s">
        <v>264</v>
      </c>
      <c r="H2122" s="2">
        <v>45248.737500000003</v>
      </c>
      <c r="I2122" t="s">
        <v>29</v>
      </c>
      <c r="Z2122">
        <v>69710</v>
      </c>
    </row>
    <row r="2123" spans="1:26" x14ac:dyDescent="0.25">
      <c r="A2123" t="s">
        <v>2751</v>
      </c>
      <c r="B2123" t="s">
        <v>77</v>
      </c>
      <c r="C2123" t="s">
        <v>27</v>
      </c>
      <c r="E2123" t="s">
        <v>66</v>
      </c>
      <c r="H2123" s="2">
        <v>45248.681250000001</v>
      </c>
      <c r="I2123" t="s">
        <v>197</v>
      </c>
      <c r="Z2123">
        <v>69704</v>
      </c>
    </row>
    <row r="2124" spans="1:26" x14ac:dyDescent="0.25">
      <c r="A2124" t="s">
        <v>2752</v>
      </c>
      <c r="B2124" t="s">
        <v>26</v>
      </c>
      <c r="C2124" t="s">
        <v>27</v>
      </c>
      <c r="H2124" s="2">
        <v>45248.428472222222</v>
      </c>
      <c r="I2124" t="s">
        <v>227</v>
      </c>
      <c r="Z2124">
        <v>69652</v>
      </c>
    </row>
    <row r="2125" spans="1:26" x14ac:dyDescent="0.25">
      <c r="A2125" t="s">
        <v>92</v>
      </c>
      <c r="B2125" t="s">
        <v>26</v>
      </c>
      <c r="C2125" t="s">
        <v>27</v>
      </c>
      <c r="H2125" s="2">
        <v>45246.564583333333</v>
      </c>
      <c r="I2125" t="s">
        <v>29</v>
      </c>
      <c r="Z2125">
        <v>69472</v>
      </c>
    </row>
    <row r="2126" spans="1:26" x14ac:dyDescent="0.25">
      <c r="A2126" t="s">
        <v>2753</v>
      </c>
      <c r="B2126" t="s">
        <v>26</v>
      </c>
      <c r="C2126" t="s">
        <v>27</v>
      </c>
      <c r="H2126" s="2">
        <v>45246.423611111109</v>
      </c>
      <c r="I2126" t="s">
        <v>252</v>
      </c>
      <c r="Z2126">
        <v>69440</v>
      </c>
    </row>
    <row r="2127" spans="1:26" x14ac:dyDescent="0.25">
      <c r="A2127" t="s">
        <v>2754</v>
      </c>
      <c r="B2127" t="s">
        <v>26</v>
      </c>
      <c r="C2127" t="s">
        <v>27</v>
      </c>
      <c r="H2127" s="2">
        <v>45245.79791666667</v>
      </c>
      <c r="I2127" t="s">
        <v>252</v>
      </c>
      <c r="Z2127">
        <v>69416</v>
      </c>
    </row>
    <row r="2128" spans="1:26" x14ac:dyDescent="0.25">
      <c r="A2128" t="s">
        <v>2755</v>
      </c>
      <c r="B2128" t="s">
        <v>26</v>
      </c>
      <c r="C2128" t="s">
        <v>27</v>
      </c>
      <c r="H2128" s="2">
        <v>45245.797222222223</v>
      </c>
      <c r="I2128" t="s">
        <v>29</v>
      </c>
      <c r="Z2128">
        <v>69414</v>
      </c>
    </row>
    <row r="2129" spans="1:26" x14ac:dyDescent="0.25">
      <c r="A2129" t="s">
        <v>2756</v>
      </c>
      <c r="B2129" t="s">
        <v>26</v>
      </c>
      <c r="C2129" t="s">
        <v>27</v>
      </c>
      <c r="H2129" s="2">
        <v>45245.730555555558</v>
      </c>
      <c r="I2129" t="s">
        <v>29</v>
      </c>
      <c r="Z2129">
        <v>69401</v>
      </c>
    </row>
    <row r="2130" spans="1:26" x14ac:dyDescent="0.25">
      <c r="A2130" t="s">
        <v>2757</v>
      </c>
      <c r="B2130" t="s">
        <v>26</v>
      </c>
      <c r="C2130" t="s">
        <v>27</v>
      </c>
      <c r="H2130" s="2">
        <v>45244.681250000001</v>
      </c>
      <c r="I2130" t="s">
        <v>29</v>
      </c>
      <c r="Z2130">
        <v>69306</v>
      </c>
    </row>
    <row r="2131" spans="1:26" x14ac:dyDescent="0.25">
      <c r="A2131" t="s">
        <v>2758</v>
      </c>
      <c r="B2131" t="s">
        <v>26</v>
      </c>
      <c r="C2131" t="s">
        <v>27</v>
      </c>
      <c r="H2131" s="2">
        <v>45244.555555555555</v>
      </c>
      <c r="I2131" t="s">
        <v>95</v>
      </c>
      <c r="Z2131">
        <v>69277</v>
      </c>
    </row>
    <row r="2132" spans="1:26" x14ac:dyDescent="0.25">
      <c r="A2132" t="s">
        <v>2759</v>
      </c>
      <c r="B2132" t="s">
        <v>26</v>
      </c>
      <c r="C2132" t="s">
        <v>27</v>
      </c>
      <c r="H2132" s="2">
        <v>45244.474999999999</v>
      </c>
      <c r="I2132" t="s">
        <v>197</v>
      </c>
      <c r="Z2132">
        <v>69264</v>
      </c>
    </row>
    <row r="2133" spans="1:26" x14ac:dyDescent="0.25">
      <c r="A2133" t="s">
        <v>2760</v>
      </c>
      <c r="B2133" t="s">
        <v>26</v>
      </c>
      <c r="C2133" t="s">
        <v>27</v>
      </c>
      <c r="E2133" t="s">
        <v>141</v>
      </c>
      <c r="H2133" s="2">
        <v>45244.404861111114</v>
      </c>
      <c r="I2133" t="s">
        <v>95</v>
      </c>
      <c r="Z2133">
        <v>69247</v>
      </c>
    </row>
    <row r="2134" spans="1:26" x14ac:dyDescent="0.25">
      <c r="A2134" t="s">
        <v>2761</v>
      </c>
      <c r="B2134" t="s">
        <v>185</v>
      </c>
      <c r="C2134" t="s">
        <v>27</v>
      </c>
      <c r="E2134" t="s">
        <v>45</v>
      </c>
      <c r="G2134" t="s">
        <v>2762</v>
      </c>
      <c r="H2134" s="2">
        <v>45243.835416666669</v>
      </c>
      <c r="I2134" t="s">
        <v>95</v>
      </c>
      <c r="Z2134">
        <v>69235</v>
      </c>
    </row>
    <row r="2135" spans="1:26" x14ac:dyDescent="0.25">
      <c r="A2135" t="s">
        <v>2763</v>
      </c>
      <c r="B2135" t="s">
        <v>26</v>
      </c>
      <c r="C2135" t="s">
        <v>27</v>
      </c>
      <c r="H2135" s="2">
        <v>45243.703472222223</v>
      </c>
      <c r="I2135" t="s">
        <v>95</v>
      </c>
      <c r="Z2135">
        <v>69219</v>
      </c>
    </row>
    <row r="2136" spans="1:26" x14ac:dyDescent="0.25">
      <c r="A2136" t="s">
        <v>2764</v>
      </c>
      <c r="B2136" t="s">
        <v>26</v>
      </c>
      <c r="C2136" t="s">
        <v>27</v>
      </c>
      <c r="H2136" s="2">
        <v>45243.666666666664</v>
      </c>
      <c r="I2136" t="s">
        <v>235</v>
      </c>
      <c r="Z2136">
        <v>69213</v>
      </c>
    </row>
    <row r="2137" spans="1:26" x14ac:dyDescent="0.25">
      <c r="A2137" t="s">
        <v>2765</v>
      </c>
      <c r="B2137" t="s">
        <v>26</v>
      </c>
      <c r="C2137" t="s">
        <v>27</v>
      </c>
      <c r="H2137" s="2">
        <v>45243.523611111108</v>
      </c>
      <c r="I2137" t="s">
        <v>235</v>
      </c>
      <c r="Z2137">
        <v>69176</v>
      </c>
    </row>
    <row r="2138" spans="1:26" x14ac:dyDescent="0.25">
      <c r="A2138" t="s">
        <v>2766</v>
      </c>
      <c r="B2138" t="s">
        <v>26</v>
      </c>
      <c r="C2138" t="s">
        <v>27</v>
      </c>
      <c r="H2138" s="2">
        <v>45243.474999999999</v>
      </c>
      <c r="I2138" t="s">
        <v>95</v>
      </c>
      <c r="Z2138">
        <v>69161</v>
      </c>
    </row>
    <row r="2139" spans="1:26" x14ac:dyDescent="0.25">
      <c r="A2139" t="s">
        <v>290</v>
      </c>
      <c r="B2139" t="s">
        <v>26</v>
      </c>
      <c r="C2139" t="s">
        <v>27</v>
      </c>
      <c r="H2139" s="2">
        <v>45241.694444444445</v>
      </c>
      <c r="I2139" t="s">
        <v>226</v>
      </c>
      <c r="Z2139">
        <v>69049</v>
      </c>
    </row>
    <row r="2140" spans="1:26" x14ac:dyDescent="0.25">
      <c r="A2140" t="s">
        <v>2767</v>
      </c>
      <c r="B2140" t="s">
        <v>26</v>
      </c>
      <c r="C2140" t="s">
        <v>27</v>
      </c>
      <c r="H2140" s="2">
        <v>45241.535416666666</v>
      </c>
      <c r="I2140" t="s">
        <v>252</v>
      </c>
      <c r="Z2140">
        <v>69010</v>
      </c>
    </row>
    <row r="2141" spans="1:26" x14ac:dyDescent="0.25">
      <c r="A2141" t="s">
        <v>2165</v>
      </c>
      <c r="B2141" t="s">
        <v>26</v>
      </c>
      <c r="C2141" t="s">
        <v>27</v>
      </c>
      <c r="E2141" t="s">
        <v>2768</v>
      </c>
      <c r="G2141" t="s">
        <v>712</v>
      </c>
      <c r="H2141" s="2">
        <v>45241.500694444447</v>
      </c>
      <c r="I2141" t="s">
        <v>252</v>
      </c>
      <c r="Z2141">
        <v>68997</v>
      </c>
    </row>
    <row r="2142" spans="1:26" x14ac:dyDescent="0.25">
      <c r="A2142" t="s">
        <v>2769</v>
      </c>
      <c r="B2142" t="s">
        <v>26</v>
      </c>
      <c r="C2142" t="s">
        <v>27</v>
      </c>
      <c r="H2142" s="2">
        <v>45241.496527777781</v>
      </c>
      <c r="I2142" t="s">
        <v>252</v>
      </c>
      <c r="Z2142">
        <v>68994</v>
      </c>
    </row>
    <row r="2143" spans="1:26" x14ac:dyDescent="0.25">
      <c r="A2143" t="s">
        <v>2770</v>
      </c>
      <c r="B2143" t="s">
        <v>26</v>
      </c>
      <c r="C2143" t="s">
        <v>27</v>
      </c>
      <c r="E2143" t="s">
        <v>58</v>
      </c>
      <c r="H2143" s="2">
        <v>45241.411805555559</v>
      </c>
      <c r="I2143" t="s">
        <v>226</v>
      </c>
      <c r="Z2143">
        <v>68977</v>
      </c>
    </row>
    <row r="2144" spans="1:26" x14ac:dyDescent="0.25">
      <c r="A2144" t="s">
        <v>2771</v>
      </c>
      <c r="B2144" t="s">
        <v>26</v>
      </c>
      <c r="C2144" t="s">
        <v>27</v>
      </c>
      <c r="H2144" s="2">
        <v>45240.664583333331</v>
      </c>
      <c r="I2144" t="s">
        <v>235</v>
      </c>
      <c r="Z2144">
        <v>68950</v>
      </c>
    </row>
    <row r="2145" spans="1:26" x14ac:dyDescent="0.25">
      <c r="A2145" t="s">
        <v>2772</v>
      </c>
      <c r="B2145" t="s">
        <v>26</v>
      </c>
      <c r="C2145" t="s">
        <v>27</v>
      </c>
      <c r="H2145" s="2">
        <v>45240.651388888888</v>
      </c>
      <c r="I2145" t="s">
        <v>227</v>
      </c>
      <c r="Z2145">
        <v>68948</v>
      </c>
    </row>
    <row r="2146" spans="1:26" x14ac:dyDescent="0.25">
      <c r="A2146" t="s">
        <v>2773</v>
      </c>
      <c r="B2146" t="s">
        <v>26</v>
      </c>
      <c r="C2146" t="s">
        <v>27</v>
      </c>
      <c r="H2146" s="2">
        <v>45240.515277777777</v>
      </c>
      <c r="I2146" t="s">
        <v>227</v>
      </c>
      <c r="Z2146">
        <v>68922</v>
      </c>
    </row>
    <row r="2147" spans="1:26" x14ac:dyDescent="0.25">
      <c r="A2147" t="s">
        <v>2774</v>
      </c>
      <c r="B2147" t="s">
        <v>26</v>
      </c>
      <c r="C2147" t="s">
        <v>27</v>
      </c>
      <c r="H2147" s="2">
        <v>45240.493055555555</v>
      </c>
      <c r="I2147" t="s">
        <v>252</v>
      </c>
      <c r="Z2147">
        <v>68917</v>
      </c>
    </row>
    <row r="2148" spans="1:26" x14ac:dyDescent="0.25">
      <c r="A2148" t="s">
        <v>2775</v>
      </c>
      <c r="B2148" t="s">
        <v>26</v>
      </c>
      <c r="C2148" t="s">
        <v>27</v>
      </c>
      <c r="H2148" s="2">
        <v>45240.438888888886</v>
      </c>
      <c r="I2148" t="s">
        <v>235</v>
      </c>
      <c r="Z2148">
        <v>68909</v>
      </c>
    </row>
    <row r="2149" spans="1:26" x14ac:dyDescent="0.25">
      <c r="A2149" t="s">
        <v>712</v>
      </c>
      <c r="B2149" t="s">
        <v>26</v>
      </c>
      <c r="C2149" t="s">
        <v>27</v>
      </c>
      <c r="H2149" s="2">
        <v>45239.631944444445</v>
      </c>
      <c r="I2149" t="s">
        <v>29</v>
      </c>
      <c r="Z2149">
        <v>68875</v>
      </c>
    </row>
    <row r="2150" spans="1:26" x14ac:dyDescent="0.25">
      <c r="A2150" t="s">
        <v>714</v>
      </c>
      <c r="B2150" t="s">
        <v>26</v>
      </c>
      <c r="C2150" t="s">
        <v>27</v>
      </c>
      <c r="H2150" s="2">
        <v>45239.56527777778</v>
      </c>
      <c r="I2150" t="s">
        <v>29</v>
      </c>
      <c r="Z2150">
        <v>68865</v>
      </c>
    </row>
    <row r="2151" spans="1:26" x14ac:dyDescent="0.25">
      <c r="A2151" t="s">
        <v>2776</v>
      </c>
      <c r="B2151" t="s">
        <v>26</v>
      </c>
      <c r="C2151" t="s">
        <v>27</v>
      </c>
      <c r="H2151" s="2">
        <v>45238.845138888886</v>
      </c>
      <c r="I2151" t="s">
        <v>235</v>
      </c>
      <c r="Z2151">
        <v>68832</v>
      </c>
    </row>
    <row r="2152" spans="1:26" x14ac:dyDescent="0.25">
      <c r="A2152" t="s">
        <v>2777</v>
      </c>
      <c r="B2152" t="s">
        <v>26</v>
      </c>
      <c r="C2152" t="s">
        <v>27</v>
      </c>
      <c r="H2152" s="2">
        <v>45238.578472222223</v>
      </c>
      <c r="I2152" t="s">
        <v>95</v>
      </c>
      <c r="Z2152">
        <v>68792</v>
      </c>
    </row>
    <row r="2153" spans="1:26" x14ac:dyDescent="0.25">
      <c r="A2153" t="s">
        <v>2778</v>
      </c>
      <c r="B2153" t="s">
        <v>164</v>
      </c>
      <c r="C2153" t="s">
        <v>27</v>
      </c>
      <c r="E2153" t="s">
        <v>84</v>
      </c>
      <c r="H2153" s="2">
        <v>45238.499305555553</v>
      </c>
      <c r="I2153" t="s">
        <v>29</v>
      </c>
      <c r="Z2153">
        <v>68771</v>
      </c>
    </row>
    <row r="2154" spans="1:26" x14ac:dyDescent="0.25">
      <c r="A2154" t="s">
        <v>2779</v>
      </c>
      <c r="B2154" t="s">
        <v>26</v>
      </c>
      <c r="C2154" t="s">
        <v>27</v>
      </c>
      <c r="H2154" s="2">
        <v>45238.424305555556</v>
      </c>
      <c r="I2154" t="s">
        <v>95</v>
      </c>
      <c r="Z2154">
        <v>68759</v>
      </c>
    </row>
    <row r="2155" spans="1:26" x14ac:dyDescent="0.25">
      <c r="A2155" t="s">
        <v>184</v>
      </c>
      <c r="B2155" t="s">
        <v>164</v>
      </c>
      <c r="C2155" t="s">
        <v>27</v>
      </c>
      <c r="E2155" t="s">
        <v>84</v>
      </c>
      <c r="H2155" s="2">
        <v>45237.61041666667</v>
      </c>
      <c r="I2155" t="s">
        <v>95</v>
      </c>
      <c r="Z2155">
        <v>68718</v>
      </c>
    </row>
    <row r="2156" spans="1:26" x14ac:dyDescent="0.25">
      <c r="A2156" t="s">
        <v>2780</v>
      </c>
      <c r="B2156" t="s">
        <v>26</v>
      </c>
      <c r="C2156" t="s">
        <v>27</v>
      </c>
      <c r="H2156" s="2">
        <v>45237.553472222222</v>
      </c>
      <c r="I2156" t="s">
        <v>235</v>
      </c>
      <c r="Z2156">
        <v>68703</v>
      </c>
    </row>
    <row r="2157" spans="1:26" x14ac:dyDescent="0.25">
      <c r="A2157" t="s">
        <v>2781</v>
      </c>
      <c r="B2157" t="s">
        <v>26</v>
      </c>
      <c r="C2157" t="s">
        <v>82</v>
      </c>
      <c r="H2157" s="2">
        <v>45237.526388888888</v>
      </c>
      <c r="I2157" t="s">
        <v>197</v>
      </c>
      <c r="Z2157">
        <v>68697</v>
      </c>
    </row>
    <row r="2158" spans="1:26" x14ac:dyDescent="0.25">
      <c r="A2158" t="s">
        <v>2782</v>
      </c>
      <c r="B2158" t="s">
        <v>26</v>
      </c>
      <c r="C2158" t="s">
        <v>27</v>
      </c>
      <c r="H2158" s="2">
        <v>45237.515277777777</v>
      </c>
      <c r="I2158" t="s">
        <v>226</v>
      </c>
      <c r="Z2158">
        <v>68695</v>
      </c>
    </row>
    <row r="2159" spans="1:26" x14ac:dyDescent="0.25">
      <c r="A2159" t="s">
        <v>2783</v>
      </c>
      <c r="B2159" t="s">
        <v>164</v>
      </c>
      <c r="C2159" t="s">
        <v>27</v>
      </c>
      <c r="E2159" t="s">
        <v>73</v>
      </c>
      <c r="H2159" s="2">
        <v>45237.456944444442</v>
      </c>
      <c r="I2159" t="s">
        <v>248</v>
      </c>
      <c r="Z2159">
        <v>68678</v>
      </c>
    </row>
    <row r="2160" spans="1:26" x14ac:dyDescent="0.25">
      <c r="A2160" t="s">
        <v>2784</v>
      </c>
      <c r="B2160" t="s">
        <v>26</v>
      </c>
      <c r="C2160" t="s">
        <v>27</v>
      </c>
      <c r="H2160" s="2">
        <v>45237.454861111109</v>
      </c>
      <c r="I2160" t="s">
        <v>235</v>
      </c>
      <c r="Z2160">
        <v>68677</v>
      </c>
    </row>
    <row r="2161" spans="1:26" x14ac:dyDescent="0.25">
      <c r="A2161" t="s">
        <v>2785</v>
      </c>
      <c r="B2161" t="s">
        <v>26</v>
      </c>
      <c r="C2161" t="s">
        <v>27</v>
      </c>
      <c r="H2161" s="2">
        <v>45236.717361111114</v>
      </c>
      <c r="I2161" t="s">
        <v>226</v>
      </c>
      <c r="Z2161">
        <v>68638</v>
      </c>
    </row>
    <row r="2162" spans="1:26" x14ac:dyDescent="0.25">
      <c r="A2162" t="s">
        <v>2786</v>
      </c>
      <c r="B2162" t="s">
        <v>26</v>
      </c>
      <c r="C2162" t="s">
        <v>27</v>
      </c>
      <c r="H2162" s="2">
        <v>45235.488194444442</v>
      </c>
      <c r="I2162" t="s">
        <v>252</v>
      </c>
      <c r="Z2162">
        <v>68518</v>
      </c>
    </row>
    <row r="2163" spans="1:26" x14ac:dyDescent="0.25">
      <c r="A2163" t="s">
        <v>2787</v>
      </c>
      <c r="B2163" t="s">
        <v>26</v>
      </c>
      <c r="C2163" t="s">
        <v>27</v>
      </c>
      <c r="H2163" s="2">
        <v>45234.544444444444</v>
      </c>
      <c r="I2163" t="s">
        <v>252</v>
      </c>
      <c r="Z2163">
        <v>68467</v>
      </c>
    </row>
    <row r="2164" spans="1:26" x14ac:dyDescent="0.25">
      <c r="A2164" t="s">
        <v>2788</v>
      </c>
      <c r="B2164" t="s">
        <v>26</v>
      </c>
      <c r="C2164" t="s">
        <v>27</v>
      </c>
      <c r="H2164" s="2">
        <v>45234.428472222222</v>
      </c>
      <c r="I2164" t="s">
        <v>227</v>
      </c>
      <c r="Z2164">
        <v>68449</v>
      </c>
    </row>
    <row r="2165" spans="1:26" x14ac:dyDescent="0.25">
      <c r="A2165" t="s">
        <v>2789</v>
      </c>
      <c r="B2165" t="s">
        <v>26</v>
      </c>
      <c r="C2165" t="s">
        <v>27</v>
      </c>
      <c r="H2165" s="2">
        <v>45233.844444444447</v>
      </c>
      <c r="I2165" t="s">
        <v>252</v>
      </c>
      <c r="Z2165">
        <v>68437</v>
      </c>
    </row>
    <row r="2166" spans="1:26" x14ac:dyDescent="0.25">
      <c r="A2166" t="s">
        <v>2790</v>
      </c>
      <c r="B2166" t="s">
        <v>26</v>
      </c>
      <c r="C2166" t="s">
        <v>27</v>
      </c>
      <c r="H2166" s="2">
        <v>45233.807638888888</v>
      </c>
      <c r="I2166" t="s">
        <v>235</v>
      </c>
      <c r="Z2166">
        <v>68434</v>
      </c>
    </row>
    <row r="2167" spans="1:26" x14ac:dyDescent="0.25">
      <c r="A2167" t="s">
        <v>2791</v>
      </c>
      <c r="B2167" t="s">
        <v>26</v>
      </c>
      <c r="C2167" t="s">
        <v>27</v>
      </c>
      <c r="H2167" s="2">
        <v>45233.70208333333</v>
      </c>
      <c r="I2167" t="s">
        <v>29</v>
      </c>
      <c r="Z2167">
        <v>68420</v>
      </c>
    </row>
    <row r="2168" spans="1:26" x14ac:dyDescent="0.25">
      <c r="A2168" t="s">
        <v>2792</v>
      </c>
      <c r="B2168" t="s">
        <v>26</v>
      </c>
      <c r="C2168" t="s">
        <v>27</v>
      </c>
      <c r="H2168" s="2">
        <v>45233.67083333333</v>
      </c>
      <c r="I2168" t="s">
        <v>95</v>
      </c>
      <c r="Z2168">
        <v>68409</v>
      </c>
    </row>
    <row r="2169" spans="1:26" x14ac:dyDescent="0.25">
      <c r="A2169" t="s">
        <v>2596</v>
      </c>
      <c r="B2169" t="s">
        <v>26</v>
      </c>
      <c r="C2169" t="s">
        <v>27</v>
      </c>
      <c r="H2169" s="2">
        <v>45233.670138888891</v>
      </c>
      <c r="I2169" t="s">
        <v>29</v>
      </c>
      <c r="Z2169">
        <v>68408</v>
      </c>
    </row>
    <row r="2170" spans="1:26" x14ac:dyDescent="0.25">
      <c r="A2170" t="s">
        <v>2793</v>
      </c>
      <c r="B2170" t="s">
        <v>26</v>
      </c>
      <c r="C2170" t="s">
        <v>27</v>
      </c>
      <c r="H2170" s="2">
        <v>45233.634722222225</v>
      </c>
      <c r="I2170" t="s">
        <v>235</v>
      </c>
      <c r="Z2170">
        <v>68393</v>
      </c>
    </row>
    <row r="2171" spans="1:26" x14ac:dyDescent="0.25">
      <c r="A2171" t="s">
        <v>2794</v>
      </c>
      <c r="B2171" t="s">
        <v>26</v>
      </c>
      <c r="C2171" t="s">
        <v>27</v>
      </c>
      <c r="H2171" s="2">
        <v>45233.622916666667</v>
      </c>
      <c r="I2171" t="s">
        <v>95</v>
      </c>
      <c r="Z2171">
        <v>68388</v>
      </c>
    </row>
    <row r="2172" spans="1:26" x14ac:dyDescent="0.25">
      <c r="A2172" t="s">
        <v>92</v>
      </c>
      <c r="B2172" t="s">
        <v>26</v>
      </c>
      <c r="C2172" t="s">
        <v>27</v>
      </c>
      <c r="H2172" s="2">
        <v>45233.621527777781</v>
      </c>
      <c r="I2172" t="s">
        <v>95</v>
      </c>
      <c r="Z2172">
        <v>68386</v>
      </c>
    </row>
    <row r="2173" spans="1:26" x14ac:dyDescent="0.25">
      <c r="A2173" t="s">
        <v>2795</v>
      </c>
      <c r="B2173" t="s">
        <v>26</v>
      </c>
      <c r="C2173" t="s">
        <v>27</v>
      </c>
      <c r="H2173" s="2">
        <v>45233.609722222223</v>
      </c>
      <c r="I2173" t="s">
        <v>95</v>
      </c>
      <c r="Z2173">
        <v>68383</v>
      </c>
    </row>
    <row r="2174" spans="1:26" x14ac:dyDescent="0.25">
      <c r="A2174" t="s">
        <v>2796</v>
      </c>
      <c r="B2174" t="s">
        <v>26</v>
      </c>
      <c r="C2174" t="s">
        <v>27</v>
      </c>
      <c r="H2174" s="2">
        <v>45233.599999999999</v>
      </c>
      <c r="I2174" t="s">
        <v>252</v>
      </c>
      <c r="Z2174">
        <v>68379</v>
      </c>
    </row>
    <row r="2175" spans="1:26" x14ac:dyDescent="0.25">
      <c r="A2175" t="s">
        <v>2797</v>
      </c>
      <c r="B2175" t="s">
        <v>164</v>
      </c>
      <c r="C2175" t="s">
        <v>27</v>
      </c>
      <c r="E2175" t="s">
        <v>76</v>
      </c>
      <c r="H2175" s="2">
        <v>45233.551388888889</v>
      </c>
      <c r="I2175" t="s">
        <v>29</v>
      </c>
      <c r="Z2175">
        <v>68364</v>
      </c>
    </row>
    <row r="2176" spans="1:26" x14ac:dyDescent="0.25">
      <c r="A2176" t="s">
        <v>2798</v>
      </c>
      <c r="B2176" t="s">
        <v>26</v>
      </c>
      <c r="C2176" t="s">
        <v>27</v>
      </c>
      <c r="H2176" s="2">
        <v>45233.482638888891</v>
      </c>
      <c r="I2176" t="s">
        <v>235</v>
      </c>
      <c r="Z2176">
        <v>68346</v>
      </c>
    </row>
    <row r="2177" spans="1:26" x14ac:dyDescent="0.25">
      <c r="A2177" t="s">
        <v>2799</v>
      </c>
      <c r="B2177" t="s">
        <v>26</v>
      </c>
      <c r="C2177" t="s">
        <v>27</v>
      </c>
      <c r="H2177" s="2">
        <v>45233.469444444447</v>
      </c>
      <c r="I2177" t="s">
        <v>235</v>
      </c>
      <c r="Z2177">
        <v>68342</v>
      </c>
    </row>
    <row r="2178" spans="1:26" x14ac:dyDescent="0.25">
      <c r="A2178" t="s">
        <v>2800</v>
      </c>
      <c r="B2178" t="s">
        <v>164</v>
      </c>
      <c r="C2178" t="s">
        <v>27</v>
      </c>
      <c r="E2178" t="s">
        <v>2801</v>
      </c>
      <c r="H2178" s="2">
        <v>45233.444444444445</v>
      </c>
      <c r="I2178" t="s">
        <v>29</v>
      </c>
      <c r="Z2178">
        <v>68338</v>
      </c>
    </row>
    <row r="2179" spans="1:26" x14ac:dyDescent="0.25">
      <c r="A2179" t="s">
        <v>2802</v>
      </c>
      <c r="B2179" t="s">
        <v>26</v>
      </c>
      <c r="C2179" t="s">
        <v>27</v>
      </c>
      <c r="H2179" s="2">
        <v>45232.584027777775</v>
      </c>
      <c r="I2179" t="s">
        <v>95</v>
      </c>
      <c r="Z2179">
        <v>68276</v>
      </c>
    </row>
    <row r="2180" spans="1:26" x14ac:dyDescent="0.25">
      <c r="A2180" t="s">
        <v>1255</v>
      </c>
      <c r="B2180" t="s">
        <v>77</v>
      </c>
      <c r="C2180" t="s">
        <v>27</v>
      </c>
      <c r="E2180" t="s">
        <v>116</v>
      </c>
      <c r="H2180" s="2">
        <v>45232.54791666667</v>
      </c>
      <c r="I2180" t="s">
        <v>29</v>
      </c>
      <c r="K2180" t="s">
        <v>30</v>
      </c>
      <c r="L2180" t="s">
        <v>31</v>
      </c>
      <c r="M2180">
        <v>55887024</v>
      </c>
      <c r="N2180">
        <v>9754613614</v>
      </c>
      <c r="O2180" t="s">
        <v>2803</v>
      </c>
      <c r="Z2180">
        <v>68270</v>
      </c>
    </row>
    <row r="2181" spans="1:26" x14ac:dyDescent="0.25">
      <c r="A2181" t="s">
        <v>2804</v>
      </c>
      <c r="B2181" t="s">
        <v>26</v>
      </c>
      <c r="C2181" t="s">
        <v>27</v>
      </c>
      <c r="H2181" s="2">
        <v>45232.477083333331</v>
      </c>
      <c r="I2181" t="s">
        <v>197</v>
      </c>
      <c r="Z2181">
        <v>68260</v>
      </c>
    </row>
    <row r="2182" spans="1:26" x14ac:dyDescent="0.25">
      <c r="A2182" t="s">
        <v>2805</v>
      </c>
      <c r="B2182" t="s">
        <v>26</v>
      </c>
      <c r="C2182" t="s">
        <v>27</v>
      </c>
      <c r="H2182" s="2">
        <v>45232.459027777775</v>
      </c>
      <c r="I2182" t="s">
        <v>235</v>
      </c>
      <c r="Z2182">
        <v>68255</v>
      </c>
    </row>
    <row r="2183" spans="1:26" x14ac:dyDescent="0.25">
      <c r="A2183" t="s">
        <v>2806</v>
      </c>
      <c r="B2183" t="s">
        <v>185</v>
      </c>
      <c r="C2183" t="s">
        <v>27</v>
      </c>
      <c r="H2183" s="2">
        <v>45231.785416666666</v>
      </c>
      <c r="I2183" t="s">
        <v>226</v>
      </c>
      <c r="Z2183">
        <v>68234</v>
      </c>
    </row>
    <row r="2184" spans="1:26" x14ac:dyDescent="0.25">
      <c r="A2184" t="s">
        <v>2807</v>
      </c>
      <c r="B2184" t="s">
        <v>26</v>
      </c>
      <c r="C2184" t="s">
        <v>27</v>
      </c>
      <c r="H2184" s="2">
        <v>45231.644444444442</v>
      </c>
      <c r="I2184" t="s">
        <v>197</v>
      </c>
      <c r="Z2184">
        <v>68220</v>
      </c>
    </row>
    <row r="2185" spans="1:26" x14ac:dyDescent="0.25">
      <c r="A2185" t="s">
        <v>2808</v>
      </c>
      <c r="B2185" t="s">
        <v>26</v>
      </c>
      <c r="C2185" t="s">
        <v>27</v>
      </c>
      <c r="H2185" s="2">
        <v>45230.693749999999</v>
      </c>
      <c r="I2185" t="s">
        <v>252</v>
      </c>
      <c r="Z2185">
        <v>68157</v>
      </c>
    </row>
    <row r="2186" spans="1:26" x14ac:dyDescent="0.25">
      <c r="A2186" t="s">
        <v>204</v>
      </c>
      <c r="B2186" t="s">
        <v>164</v>
      </c>
      <c r="C2186" t="s">
        <v>27</v>
      </c>
      <c r="E2186" t="s">
        <v>53</v>
      </c>
      <c r="H2186" s="2">
        <v>45230.654861111114</v>
      </c>
      <c r="I2186" t="s">
        <v>227</v>
      </c>
      <c r="Z2186">
        <v>68152</v>
      </c>
    </row>
    <row r="2187" spans="1:26" x14ac:dyDescent="0.25">
      <c r="A2187" t="s">
        <v>2809</v>
      </c>
      <c r="B2187" t="s">
        <v>26</v>
      </c>
      <c r="C2187" t="s">
        <v>27</v>
      </c>
      <c r="H2187" s="2">
        <v>45230.477083333331</v>
      </c>
      <c r="I2187" t="s">
        <v>252</v>
      </c>
      <c r="Z2187">
        <v>68117</v>
      </c>
    </row>
    <row r="2188" spans="1:26" x14ac:dyDescent="0.25">
      <c r="A2188" t="s">
        <v>262</v>
      </c>
      <c r="B2188" t="s">
        <v>164</v>
      </c>
      <c r="C2188" t="s">
        <v>27</v>
      </c>
      <c r="E2188" t="s">
        <v>60</v>
      </c>
      <c r="H2188" s="2">
        <v>45229.743750000001</v>
      </c>
      <c r="I2188" t="s">
        <v>227</v>
      </c>
      <c r="Z2188">
        <v>68091</v>
      </c>
    </row>
    <row r="2189" spans="1:26" x14ac:dyDescent="0.25">
      <c r="A2189" t="s">
        <v>92</v>
      </c>
      <c r="B2189" t="s">
        <v>26</v>
      </c>
      <c r="C2189" t="s">
        <v>27</v>
      </c>
      <c r="H2189" s="2">
        <v>45227.4375</v>
      </c>
      <c r="I2189" t="s">
        <v>29</v>
      </c>
      <c r="Z2189">
        <v>67908</v>
      </c>
    </row>
    <row r="2190" spans="1:26" x14ac:dyDescent="0.25">
      <c r="A2190" t="s">
        <v>712</v>
      </c>
      <c r="B2190" t="s">
        <v>26</v>
      </c>
      <c r="C2190" t="s">
        <v>27</v>
      </c>
      <c r="H2190" s="2">
        <v>45226.594444444447</v>
      </c>
      <c r="I2190" t="s">
        <v>29</v>
      </c>
      <c r="Z2190">
        <v>67858</v>
      </c>
    </row>
    <row r="2191" spans="1:26" x14ac:dyDescent="0.25">
      <c r="A2191" t="s">
        <v>2810</v>
      </c>
      <c r="B2191" t="s">
        <v>26</v>
      </c>
      <c r="C2191" t="s">
        <v>27</v>
      </c>
      <c r="H2191" s="2">
        <v>45226.438888888886</v>
      </c>
      <c r="I2191" t="s">
        <v>95</v>
      </c>
      <c r="Z2191">
        <v>67812</v>
      </c>
    </row>
    <row r="2192" spans="1:26" x14ac:dyDescent="0.25">
      <c r="A2192" t="s">
        <v>2811</v>
      </c>
      <c r="B2192" t="s">
        <v>26</v>
      </c>
      <c r="C2192" t="s">
        <v>27</v>
      </c>
      <c r="H2192" s="2">
        <v>45226.4375</v>
      </c>
      <c r="I2192" t="s">
        <v>95</v>
      </c>
      <c r="Z2192">
        <v>67811</v>
      </c>
    </row>
    <row r="2193" spans="1:26" x14ac:dyDescent="0.25">
      <c r="A2193" t="s">
        <v>2812</v>
      </c>
      <c r="B2193" t="s">
        <v>26</v>
      </c>
      <c r="C2193" t="s">
        <v>27</v>
      </c>
      <c r="H2193" s="2">
        <v>45226.404861111114</v>
      </c>
      <c r="I2193" t="s">
        <v>29</v>
      </c>
      <c r="Z2193">
        <v>67803</v>
      </c>
    </row>
    <row r="2194" spans="1:26" x14ac:dyDescent="0.25">
      <c r="A2194" t="s">
        <v>2813</v>
      </c>
      <c r="B2194" t="s">
        <v>26</v>
      </c>
      <c r="C2194" t="s">
        <v>27</v>
      </c>
      <c r="H2194" s="2">
        <v>45225.768055555556</v>
      </c>
      <c r="I2194" t="s">
        <v>226</v>
      </c>
      <c r="Z2194">
        <v>67783</v>
      </c>
    </row>
    <row r="2195" spans="1:26" x14ac:dyDescent="0.25">
      <c r="A2195" t="s">
        <v>2814</v>
      </c>
      <c r="B2195" t="s">
        <v>26</v>
      </c>
      <c r="C2195" t="s">
        <v>27</v>
      </c>
      <c r="H2195" s="2">
        <v>45225.632638888892</v>
      </c>
      <c r="I2195" t="s">
        <v>226</v>
      </c>
      <c r="Z2195">
        <v>67761</v>
      </c>
    </row>
    <row r="2196" spans="1:26" x14ac:dyDescent="0.25">
      <c r="A2196" t="s">
        <v>2815</v>
      </c>
      <c r="B2196" t="s">
        <v>198</v>
      </c>
      <c r="C2196" t="s">
        <v>27</v>
      </c>
      <c r="E2196" t="s">
        <v>280</v>
      </c>
      <c r="G2196" t="s">
        <v>2816</v>
      </c>
      <c r="H2196" s="2">
        <v>45225.62777777778</v>
      </c>
      <c r="I2196" t="s">
        <v>227</v>
      </c>
      <c r="Z2196">
        <v>67759</v>
      </c>
    </row>
    <row r="2197" spans="1:26" x14ac:dyDescent="0.25">
      <c r="A2197" t="s">
        <v>2817</v>
      </c>
      <c r="B2197" t="s">
        <v>26</v>
      </c>
      <c r="C2197" t="s">
        <v>27</v>
      </c>
      <c r="H2197" s="2">
        <v>45225.581944444442</v>
      </c>
      <c r="I2197" t="s">
        <v>226</v>
      </c>
      <c r="Z2197">
        <v>67748</v>
      </c>
    </row>
    <row r="2198" spans="1:26" x14ac:dyDescent="0.25">
      <c r="A2198" t="s">
        <v>2818</v>
      </c>
      <c r="B2198" t="s">
        <v>26</v>
      </c>
      <c r="C2198" t="s">
        <v>206</v>
      </c>
      <c r="H2198" s="2">
        <v>45225.472916666666</v>
      </c>
      <c r="I2198" t="s">
        <v>235</v>
      </c>
      <c r="Z2198">
        <v>67732</v>
      </c>
    </row>
    <row r="2199" spans="1:26" x14ac:dyDescent="0.25">
      <c r="A2199" t="s">
        <v>2819</v>
      </c>
      <c r="B2199" t="s">
        <v>26</v>
      </c>
      <c r="C2199" t="s">
        <v>27</v>
      </c>
      <c r="H2199" s="2">
        <v>45225.45</v>
      </c>
      <c r="I2199" t="s">
        <v>226</v>
      </c>
      <c r="Z2199">
        <v>67726</v>
      </c>
    </row>
    <row r="2200" spans="1:26" x14ac:dyDescent="0.25">
      <c r="A2200" t="s">
        <v>652</v>
      </c>
      <c r="B2200" t="s">
        <v>26</v>
      </c>
      <c r="C2200" t="s">
        <v>27</v>
      </c>
      <c r="H2200" s="2">
        <v>45224.656944444447</v>
      </c>
      <c r="I2200" t="s">
        <v>227</v>
      </c>
      <c r="Z2200">
        <v>67679</v>
      </c>
    </row>
    <row r="2201" spans="1:26" x14ac:dyDescent="0.25">
      <c r="A2201" t="s">
        <v>2820</v>
      </c>
      <c r="B2201" t="s">
        <v>26</v>
      </c>
      <c r="C2201" t="s">
        <v>27</v>
      </c>
      <c r="H2201" s="2">
        <v>45224.536111111112</v>
      </c>
      <c r="I2201" t="s">
        <v>197</v>
      </c>
      <c r="Z2201">
        <v>67652</v>
      </c>
    </row>
    <row r="2202" spans="1:26" x14ac:dyDescent="0.25">
      <c r="A2202" t="s">
        <v>2821</v>
      </c>
      <c r="B2202" t="s">
        <v>26</v>
      </c>
      <c r="C2202" t="s">
        <v>27</v>
      </c>
      <c r="H2202" s="2">
        <v>45224.499305555553</v>
      </c>
      <c r="I2202" t="s">
        <v>197</v>
      </c>
      <c r="Z2202">
        <v>67645</v>
      </c>
    </row>
    <row r="2203" spans="1:26" x14ac:dyDescent="0.25">
      <c r="A2203" t="s">
        <v>2822</v>
      </c>
      <c r="B2203" t="s">
        <v>26</v>
      </c>
      <c r="C2203" t="s">
        <v>27</v>
      </c>
      <c r="H2203" s="2">
        <v>45223.67083333333</v>
      </c>
      <c r="I2203" t="s">
        <v>197</v>
      </c>
      <c r="Z2203">
        <v>67554</v>
      </c>
    </row>
    <row r="2204" spans="1:26" x14ac:dyDescent="0.25">
      <c r="A2204" t="s">
        <v>2823</v>
      </c>
      <c r="B2204" t="s">
        <v>164</v>
      </c>
      <c r="C2204" t="s">
        <v>27</v>
      </c>
      <c r="E2204" t="s">
        <v>238</v>
      </c>
      <c r="H2204" s="2">
        <v>45223.481944444444</v>
      </c>
      <c r="I2204" t="s">
        <v>227</v>
      </c>
      <c r="Z2204">
        <v>67515</v>
      </c>
    </row>
    <row r="2205" spans="1:26" x14ac:dyDescent="0.25">
      <c r="A2205" t="s">
        <v>2824</v>
      </c>
      <c r="B2205" t="s">
        <v>164</v>
      </c>
      <c r="C2205" t="s">
        <v>27</v>
      </c>
      <c r="E2205">
        <v>79277116980</v>
      </c>
      <c r="H2205" s="2">
        <v>45223.459722222222</v>
      </c>
      <c r="I2205" t="s">
        <v>227</v>
      </c>
      <c r="Z2205">
        <v>67509</v>
      </c>
    </row>
    <row r="2206" spans="1:26" x14ac:dyDescent="0.25">
      <c r="A2206" t="s">
        <v>2825</v>
      </c>
      <c r="B2206" t="s">
        <v>164</v>
      </c>
      <c r="C2206" t="s">
        <v>27</v>
      </c>
      <c r="E2206">
        <v>79277249090</v>
      </c>
      <c r="H2206" s="2">
        <v>45223.456944444442</v>
      </c>
      <c r="I2206" t="s">
        <v>227</v>
      </c>
      <c r="Z2206">
        <v>67497</v>
      </c>
    </row>
    <row r="2207" spans="1:26" x14ac:dyDescent="0.25">
      <c r="A2207" t="s">
        <v>2826</v>
      </c>
      <c r="B2207" t="s">
        <v>26</v>
      </c>
      <c r="C2207" t="s">
        <v>27</v>
      </c>
      <c r="H2207" s="2">
        <v>45222.819444444445</v>
      </c>
      <c r="I2207" t="s">
        <v>186</v>
      </c>
      <c r="Z2207">
        <v>67467</v>
      </c>
    </row>
    <row r="2208" spans="1:26" x14ac:dyDescent="0.25">
      <c r="A2208" t="s">
        <v>712</v>
      </c>
      <c r="B2208" t="s">
        <v>26</v>
      </c>
      <c r="C2208" t="s">
        <v>27</v>
      </c>
      <c r="H2208" s="2">
        <v>45222.584027777775</v>
      </c>
      <c r="I2208" t="s">
        <v>29</v>
      </c>
      <c r="Z2208">
        <v>67408</v>
      </c>
    </row>
    <row r="2209" spans="1:26" x14ac:dyDescent="0.25">
      <c r="A2209" t="s">
        <v>2827</v>
      </c>
      <c r="B2209" t="s">
        <v>26</v>
      </c>
      <c r="C2209" t="s">
        <v>27</v>
      </c>
      <c r="H2209" s="2">
        <v>45222.54583333333</v>
      </c>
      <c r="I2209" t="s">
        <v>95</v>
      </c>
      <c r="Z2209">
        <v>67395</v>
      </c>
    </row>
    <row r="2210" spans="1:26" x14ac:dyDescent="0.25">
      <c r="A2210" t="s">
        <v>2828</v>
      </c>
      <c r="B2210" t="s">
        <v>26</v>
      </c>
      <c r="C2210" t="s">
        <v>27</v>
      </c>
      <c r="H2210" s="2">
        <v>45222.472222222219</v>
      </c>
      <c r="I2210" t="s">
        <v>95</v>
      </c>
      <c r="Z2210">
        <v>67369</v>
      </c>
    </row>
    <row r="2211" spans="1:26" x14ac:dyDescent="0.25">
      <c r="A2211" t="s">
        <v>2165</v>
      </c>
      <c r="B2211" t="s">
        <v>26</v>
      </c>
      <c r="C2211" t="s">
        <v>27</v>
      </c>
      <c r="H2211" s="2">
        <v>45222.394444444442</v>
      </c>
      <c r="I2211" t="s">
        <v>252</v>
      </c>
      <c r="Z2211">
        <v>67341</v>
      </c>
    </row>
    <row r="2212" spans="1:26" x14ac:dyDescent="0.25">
      <c r="A2212" t="s">
        <v>2829</v>
      </c>
      <c r="B2212" t="s">
        <v>26</v>
      </c>
      <c r="C2212" t="s">
        <v>27</v>
      </c>
      <c r="H2212" s="2">
        <v>45221.727777777778</v>
      </c>
      <c r="I2212" t="s">
        <v>29</v>
      </c>
      <c r="Z2212">
        <v>67319</v>
      </c>
    </row>
    <row r="2213" spans="1:26" x14ac:dyDescent="0.25">
      <c r="A2213" t="s">
        <v>2830</v>
      </c>
      <c r="B2213" t="s">
        <v>46</v>
      </c>
      <c r="C2213" t="s">
        <v>27</v>
      </c>
      <c r="E2213" t="s">
        <v>66</v>
      </c>
      <c r="G2213" t="s">
        <v>2831</v>
      </c>
      <c r="H2213" s="2">
        <v>45221.663888888892</v>
      </c>
      <c r="I2213" t="s">
        <v>95</v>
      </c>
      <c r="Z2213">
        <v>67313</v>
      </c>
    </row>
    <row r="2214" spans="1:26" x14ac:dyDescent="0.25">
      <c r="A2214" t="s">
        <v>2832</v>
      </c>
      <c r="B2214" t="s">
        <v>26</v>
      </c>
      <c r="C2214" t="s">
        <v>27</v>
      </c>
      <c r="H2214" s="2">
        <v>45221.556944444441</v>
      </c>
      <c r="I2214" t="s">
        <v>95</v>
      </c>
      <c r="Z2214">
        <v>67293</v>
      </c>
    </row>
    <row r="2215" spans="1:26" x14ac:dyDescent="0.25">
      <c r="A2215" t="s">
        <v>712</v>
      </c>
      <c r="B2215" t="s">
        <v>26</v>
      </c>
      <c r="C2215" t="s">
        <v>27</v>
      </c>
      <c r="H2215" s="2">
        <v>45221.554166666669</v>
      </c>
      <c r="I2215" t="s">
        <v>29</v>
      </c>
      <c r="Z2215">
        <v>67291</v>
      </c>
    </row>
    <row r="2216" spans="1:26" x14ac:dyDescent="0.25">
      <c r="A2216" t="s">
        <v>2833</v>
      </c>
      <c r="B2216" t="s">
        <v>26</v>
      </c>
      <c r="C2216" t="s">
        <v>27</v>
      </c>
      <c r="H2216" s="2">
        <v>45221.538888888892</v>
      </c>
      <c r="I2216" t="s">
        <v>226</v>
      </c>
      <c r="Z2216">
        <v>67289</v>
      </c>
    </row>
    <row r="2217" spans="1:26" x14ac:dyDescent="0.25">
      <c r="A2217" t="s">
        <v>2834</v>
      </c>
      <c r="B2217" t="s">
        <v>26</v>
      </c>
      <c r="C2217" t="s">
        <v>27</v>
      </c>
      <c r="H2217" s="2">
        <v>45221.459722222222</v>
      </c>
      <c r="I2217" t="s">
        <v>235</v>
      </c>
      <c r="Z2217">
        <v>67268</v>
      </c>
    </row>
    <row r="2218" spans="1:26" x14ac:dyDescent="0.25">
      <c r="A2218" t="s">
        <v>712</v>
      </c>
      <c r="B2218" t="s">
        <v>198</v>
      </c>
      <c r="C2218" t="s">
        <v>27</v>
      </c>
      <c r="G2218" t="s">
        <v>113</v>
      </c>
      <c r="H2218" s="2">
        <v>45220.695138888892</v>
      </c>
      <c r="I2218" t="s">
        <v>29</v>
      </c>
      <c r="Z2218">
        <v>67244</v>
      </c>
    </row>
    <row r="2219" spans="1:26" x14ac:dyDescent="0.25">
      <c r="A2219" t="s">
        <v>2835</v>
      </c>
      <c r="B2219" t="s">
        <v>150</v>
      </c>
      <c r="C2219" t="s">
        <v>305</v>
      </c>
      <c r="E2219" t="s">
        <v>113</v>
      </c>
      <c r="H2219" s="2">
        <v>45220.693749999999</v>
      </c>
      <c r="I2219" t="s">
        <v>248</v>
      </c>
      <c r="Z2219">
        <v>67243</v>
      </c>
    </row>
    <row r="2220" spans="1:26" x14ac:dyDescent="0.25">
      <c r="A2220" t="s">
        <v>2836</v>
      </c>
      <c r="C2220" t="s">
        <v>27</v>
      </c>
      <c r="E2220" t="s">
        <v>70</v>
      </c>
      <c r="H2220" s="2">
        <v>45220.647916666669</v>
      </c>
      <c r="I2220" t="s">
        <v>29</v>
      </c>
      <c r="Z2220">
        <v>67238</v>
      </c>
    </row>
    <row r="2221" spans="1:26" x14ac:dyDescent="0.25">
      <c r="A2221" t="s">
        <v>869</v>
      </c>
      <c r="B2221" t="s">
        <v>26</v>
      </c>
      <c r="C2221" t="s">
        <v>27</v>
      </c>
      <c r="E2221">
        <v>79272074889</v>
      </c>
      <c r="H2221" s="2">
        <v>45220.604166666664</v>
      </c>
      <c r="I2221" t="s">
        <v>248</v>
      </c>
      <c r="Z2221">
        <v>67234</v>
      </c>
    </row>
    <row r="2222" spans="1:26" x14ac:dyDescent="0.25">
      <c r="A2222" t="s">
        <v>2837</v>
      </c>
      <c r="B2222" t="s">
        <v>26</v>
      </c>
      <c r="C2222" t="s">
        <v>27</v>
      </c>
      <c r="E2222">
        <v>79279008088</v>
      </c>
      <c r="H2222" s="2">
        <v>45219.620138888888</v>
      </c>
      <c r="I2222" t="s">
        <v>248</v>
      </c>
      <c r="Z2222">
        <v>67172</v>
      </c>
    </row>
    <row r="2223" spans="1:26" x14ac:dyDescent="0.25">
      <c r="A2223" t="s">
        <v>2838</v>
      </c>
      <c r="B2223" t="s">
        <v>26</v>
      </c>
      <c r="C2223" t="s">
        <v>27</v>
      </c>
      <c r="H2223" s="2">
        <v>45219.576388888891</v>
      </c>
      <c r="I2223" t="s">
        <v>226</v>
      </c>
      <c r="Z2223">
        <v>67163</v>
      </c>
    </row>
    <row r="2224" spans="1:26" x14ac:dyDescent="0.25">
      <c r="A2224" t="s">
        <v>2839</v>
      </c>
      <c r="B2224" t="s">
        <v>26</v>
      </c>
      <c r="C2224" t="s">
        <v>27</v>
      </c>
      <c r="H2224" s="2">
        <v>45219.431944444441</v>
      </c>
      <c r="I2224" t="s">
        <v>226</v>
      </c>
      <c r="Z2224">
        <v>67139</v>
      </c>
    </row>
    <row r="2225" spans="1:26" x14ac:dyDescent="0.25">
      <c r="A2225" t="s">
        <v>2840</v>
      </c>
      <c r="B2225" t="s">
        <v>150</v>
      </c>
      <c r="C2225" t="s">
        <v>27</v>
      </c>
      <c r="E2225" t="s">
        <v>45</v>
      </c>
      <c r="G2225" t="s">
        <v>2841</v>
      </c>
      <c r="H2225" s="2">
        <v>45218.816666666666</v>
      </c>
      <c r="I2225" t="s">
        <v>226</v>
      </c>
      <c r="Z2225">
        <v>67124</v>
      </c>
    </row>
    <row r="2226" spans="1:26" x14ac:dyDescent="0.25">
      <c r="A2226" t="s">
        <v>2842</v>
      </c>
      <c r="B2226" t="s">
        <v>26</v>
      </c>
      <c r="C2226" t="s">
        <v>27</v>
      </c>
      <c r="E2226">
        <v>79025183546</v>
      </c>
      <c r="H2226" s="2">
        <v>45218.501388888886</v>
      </c>
      <c r="I2226" t="s">
        <v>248</v>
      </c>
      <c r="Z2226">
        <v>67075</v>
      </c>
    </row>
    <row r="2227" spans="1:26" x14ac:dyDescent="0.25">
      <c r="A2227" t="s">
        <v>2843</v>
      </c>
      <c r="B2227" t="s">
        <v>26</v>
      </c>
      <c r="C2227" t="s">
        <v>27</v>
      </c>
      <c r="H2227" s="2">
        <v>45218.463194444441</v>
      </c>
      <c r="I2227" t="s">
        <v>226</v>
      </c>
      <c r="Z2227">
        <v>67068</v>
      </c>
    </row>
    <row r="2228" spans="1:26" x14ac:dyDescent="0.25">
      <c r="A2228" t="s">
        <v>2837</v>
      </c>
      <c r="B2228" t="s">
        <v>26</v>
      </c>
      <c r="C2228" t="s">
        <v>27</v>
      </c>
      <c r="H2228" s="2">
        <v>45218.377083333333</v>
      </c>
      <c r="I2228" t="s">
        <v>226</v>
      </c>
      <c r="Z2228">
        <v>67042</v>
      </c>
    </row>
    <row r="2229" spans="1:26" x14ac:dyDescent="0.25">
      <c r="A2229" t="s">
        <v>234</v>
      </c>
      <c r="B2229" t="s">
        <v>150</v>
      </c>
      <c r="C2229" t="s">
        <v>27</v>
      </c>
      <c r="E2229" t="s">
        <v>45</v>
      </c>
      <c r="H2229" s="2">
        <v>45217.75277777778</v>
      </c>
      <c r="I2229" t="s">
        <v>227</v>
      </c>
      <c r="Z2229">
        <v>67034</v>
      </c>
    </row>
    <row r="2230" spans="1:26" x14ac:dyDescent="0.25">
      <c r="A2230" t="s">
        <v>2844</v>
      </c>
      <c r="B2230" t="s">
        <v>185</v>
      </c>
      <c r="C2230" t="s">
        <v>27</v>
      </c>
      <c r="E2230" t="s">
        <v>2845</v>
      </c>
      <c r="H2230" s="2">
        <v>45217.69027777778</v>
      </c>
      <c r="I2230" t="s">
        <v>227</v>
      </c>
      <c r="Z2230">
        <v>67017</v>
      </c>
    </row>
    <row r="2231" spans="1:26" x14ac:dyDescent="0.25">
      <c r="A2231" t="s">
        <v>2846</v>
      </c>
      <c r="B2231" t="s">
        <v>26</v>
      </c>
      <c r="C2231" t="s">
        <v>27</v>
      </c>
      <c r="H2231" s="2">
        <v>45217.631249999999</v>
      </c>
      <c r="I2231" t="s">
        <v>197</v>
      </c>
      <c r="Z2231">
        <v>67005</v>
      </c>
    </row>
    <row r="2232" spans="1:26" x14ac:dyDescent="0.25">
      <c r="A2232" t="s">
        <v>2847</v>
      </c>
      <c r="B2232" t="s">
        <v>26</v>
      </c>
      <c r="C2232" t="s">
        <v>27</v>
      </c>
      <c r="H2232" s="2">
        <v>45217.533333333333</v>
      </c>
      <c r="I2232" t="s">
        <v>252</v>
      </c>
      <c r="Z2232">
        <v>66990</v>
      </c>
    </row>
    <row r="2233" spans="1:26" x14ac:dyDescent="0.25">
      <c r="A2233" t="s">
        <v>2848</v>
      </c>
      <c r="B2233" t="s">
        <v>26</v>
      </c>
      <c r="C2233" t="s">
        <v>27</v>
      </c>
      <c r="H2233" s="2">
        <v>45216.729166666664</v>
      </c>
      <c r="I2233" t="s">
        <v>95</v>
      </c>
      <c r="Z2233">
        <v>66943</v>
      </c>
    </row>
    <row r="2234" spans="1:26" x14ac:dyDescent="0.25">
      <c r="A2234" t="s">
        <v>100</v>
      </c>
      <c r="B2234" t="s">
        <v>77</v>
      </c>
      <c r="C2234" t="s">
        <v>27</v>
      </c>
      <c r="H2234" s="2">
        <v>45216.681250000001</v>
      </c>
      <c r="I2234" t="s">
        <v>252</v>
      </c>
      <c r="Z2234">
        <v>66937</v>
      </c>
    </row>
    <row r="2235" spans="1:26" x14ac:dyDescent="0.25">
      <c r="A2235" t="s">
        <v>2849</v>
      </c>
      <c r="B2235" t="s">
        <v>150</v>
      </c>
      <c r="C2235" t="s">
        <v>27</v>
      </c>
      <c r="E2235" t="s">
        <v>161</v>
      </c>
      <c r="G2235" t="s">
        <v>2850</v>
      </c>
      <c r="H2235" s="2">
        <v>45216.655555555553</v>
      </c>
      <c r="I2235" t="s">
        <v>227</v>
      </c>
      <c r="Z2235">
        <v>66930</v>
      </c>
    </row>
    <row r="2236" spans="1:26" x14ac:dyDescent="0.25">
      <c r="A2236" t="s">
        <v>2851</v>
      </c>
      <c r="B2236" t="s">
        <v>26</v>
      </c>
      <c r="C2236" t="s">
        <v>27</v>
      </c>
      <c r="H2236" s="2">
        <v>45216.62222222222</v>
      </c>
      <c r="I2236" t="s">
        <v>252</v>
      </c>
      <c r="Z2236">
        <v>66924</v>
      </c>
    </row>
    <row r="2237" spans="1:26" x14ac:dyDescent="0.25">
      <c r="A2237" t="s">
        <v>2852</v>
      </c>
      <c r="B2237" t="s">
        <v>46</v>
      </c>
      <c r="C2237" t="s">
        <v>27</v>
      </c>
      <c r="E2237" t="s">
        <v>90</v>
      </c>
      <c r="G2237" t="s">
        <v>797</v>
      </c>
      <c r="H2237" s="2">
        <v>45216.604861111111</v>
      </c>
      <c r="I2237" t="s">
        <v>95</v>
      </c>
      <c r="Z2237">
        <v>66920</v>
      </c>
    </row>
    <row r="2238" spans="1:26" x14ac:dyDescent="0.25">
      <c r="A2238" t="s">
        <v>2853</v>
      </c>
      <c r="B2238" t="s">
        <v>150</v>
      </c>
      <c r="C2238" t="s">
        <v>27</v>
      </c>
      <c r="E2238" t="s">
        <v>88</v>
      </c>
      <c r="G2238" t="s">
        <v>2854</v>
      </c>
      <c r="H2238" s="2">
        <v>45216.572916666664</v>
      </c>
      <c r="I2238" t="s">
        <v>95</v>
      </c>
      <c r="Z2238">
        <v>66912</v>
      </c>
    </row>
    <row r="2239" spans="1:26" x14ac:dyDescent="0.25">
      <c r="A2239" t="s">
        <v>712</v>
      </c>
      <c r="B2239" t="s">
        <v>26</v>
      </c>
      <c r="C2239" t="s">
        <v>27</v>
      </c>
      <c r="H2239" s="2">
        <v>45216.488194444442</v>
      </c>
      <c r="I2239" t="s">
        <v>29</v>
      </c>
      <c r="Z2239">
        <v>66898</v>
      </c>
    </row>
    <row r="2240" spans="1:26" x14ac:dyDescent="0.25">
      <c r="A2240" t="s">
        <v>2855</v>
      </c>
      <c r="B2240" t="s">
        <v>26</v>
      </c>
      <c r="C2240" t="s">
        <v>27</v>
      </c>
      <c r="H2240" s="2">
        <v>45216.438888888886</v>
      </c>
      <c r="I2240" t="s">
        <v>29</v>
      </c>
      <c r="Z2240">
        <v>66887</v>
      </c>
    </row>
    <row r="2241" spans="1:26" x14ac:dyDescent="0.25">
      <c r="A2241" t="s">
        <v>2856</v>
      </c>
      <c r="B2241" t="s">
        <v>26</v>
      </c>
      <c r="C2241" t="s">
        <v>47</v>
      </c>
      <c r="H2241" s="2">
        <v>45216.40625</v>
      </c>
      <c r="I2241" t="s">
        <v>153</v>
      </c>
      <c r="Z2241">
        <v>66881</v>
      </c>
    </row>
    <row r="2242" spans="1:26" x14ac:dyDescent="0.25">
      <c r="A2242" t="s">
        <v>2857</v>
      </c>
      <c r="B2242" t="s">
        <v>26</v>
      </c>
      <c r="C2242" t="s">
        <v>27</v>
      </c>
      <c r="H2242" s="2">
        <v>45215.6</v>
      </c>
      <c r="I2242" t="s">
        <v>235</v>
      </c>
      <c r="Z2242">
        <v>66845</v>
      </c>
    </row>
    <row r="2243" spans="1:26" x14ac:dyDescent="0.25">
      <c r="A2243" t="s">
        <v>2858</v>
      </c>
      <c r="B2243" t="s">
        <v>26</v>
      </c>
      <c r="C2243" t="s">
        <v>27</v>
      </c>
      <c r="H2243" s="2">
        <v>45215.59652777778</v>
      </c>
      <c r="I2243" t="s">
        <v>95</v>
      </c>
      <c r="Z2243">
        <v>66844</v>
      </c>
    </row>
    <row r="2244" spans="1:26" x14ac:dyDescent="0.25">
      <c r="A2244" t="s">
        <v>2859</v>
      </c>
      <c r="B2244" t="s">
        <v>26</v>
      </c>
      <c r="C2244" t="s">
        <v>27</v>
      </c>
      <c r="H2244" s="2">
        <v>45215.499305555553</v>
      </c>
      <c r="I2244" t="s">
        <v>29</v>
      </c>
      <c r="Z2244">
        <v>66822</v>
      </c>
    </row>
    <row r="2245" spans="1:26" x14ac:dyDescent="0.25">
      <c r="A2245" t="s">
        <v>2860</v>
      </c>
      <c r="B2245" t="s">
        <v>185</v>
      </c>
      <c r="C2245" t="s">
        <v>27</v>
      </c>
      <c r="E2245" t="s">
        <v>44</v>
      </c>
      <c r="H2245" s="2">
        <v>45215.376388888886</v>
      </c>
      <c r="I2245" t="s">
        <v>29</v>
      </c>
      <c r="Z2245">
        <v>66783</v>
      </c>
    </row>
    <row r="2246" spans="1:26" x14ac:dyDescent="0.25">
      <c r="A2246" t="s">
        <v>712</v>
      </c>
      <c r="B2246" t="s">
        <v>26</v>
      </c>
      <c r="C2246" t="s">
        <v>27</v>
      </c>
      <c r="H2246" s="2">
        <v>45214.55972222222</v>
      </c>
      <c r="I2246" t="s">
        <v>29</v>
      </c>
      <c r="Z2246">
        <v>66748</v>
      </c>
    </row>
    <row r="2247" spans="1:26" x14ac:dyDescent="0.25">
      <c r="A2247" t="s">
        <v>2861</v>
      </c>
      <c r="B2247" t="s">
        <v>26</v>
      </c>
      <c r="C2247" t="s">
        <v>27</v>
      </c>
      <c r="H2247" s="2">
        <v>45213.580555555556</v>
      </c>
      <c r="I2247" t="s">
        <v>197</v>
      </c>
      <c r="Z2247">
        <v>66695</v>
      </c>
    </row>
    <row r="2248" spans="1:26" x14ac:dyDescent="0.25">
      <c r="A2248" t="s">
        <v>2862</v>
      </c>
      <c r="B2248" t="s">
        <v>164</v>
      </c>
      <c r="C2248" t="s">
        <v>27</v>
      </c>
      <c r="E2248" t="s">
        <v>190</v>
      </c>
      <c r="H2248" s="2">
        <v>45213.57916666667</v>
      </c>
      <c r="I2248" t="s">
        <v>227</v>
      </c>
      <c r="Z2248">
        <v>66694</v>
      </c>
    </row>
    <row r="2249" spans="1:26" x14ac:dyDescent="0.25">
      <c r="A2249" t="s">
        <v>2863</v>
      </c>
      <c r="B2249" t="s">
        <v>185</v>
      </c>
      <c r="C2249" t="s">
        <v>27</v>
      </c>
      <c r="H2249" s="2">
        <v>45213.458333333336</v>
      </c>
      <c r="I2249" t="s">
        <v>226</v>
      </c>
      <c r="Z2249">
        <v>66676</v>
      </c>
    </row>
    <row r="2250" spans="1:26" x14ac:dyDescent="0.25">
      <c r="A2250" t="s">
        <v>2864</v>
      </c>
      <c r="B2250" t="s">
        <v>26</v>
      </c>
      <c r="C2250" t="s">
        <v>27</v>
      </c>
      <c r="H2250" s="2">
        <v>45213.411805555559</v>
      </c>
      <c r="I2250" t="s">
        <v>227</v>
      </c>
      <c r="Z2250">
        <v>66673</v>
      </c>
    </row>
    <row r="2251" spans="1:26" x14ac:dyDescent="0.25">
      <c r="A2251" t="s">
        <v>2865</v>
      </c>
      <c r="B2251" t="s">
        <v>26</v>
      </c>
      <c r="C2251" t="s">
        <v>27</v>
      </c>
      <c r="H2251" s="2">
        <v>45213.411805555559</v>
      </c>
      <c r="I2251" t="s">
        <v>197</v>
      </c>
      <c r="Z2251">
        <v>66672</v>
      </c>
    </row>
    <row r="2252" spans="1:26" x14ac:dyDescent="0.25">
      <c r="A2252" t="s">
        <v>2866</v>
      </c>
      <c r="B2252" t="s">
        <v>26</v>
      </c>
      <c r="C2252" t="s">
        <v>27</v>
      </c>
      <c r="H2252" s="2">
        <v>45212.769444444442</v>
      </c>
      <c r="I2252" t="s">
        <v>235</v>
      </c>
      <c r="Z2252">
        <v>66662</v>
      </c>
    </row>
    <row r="2253" spans="1:26" x14ac:dyDescent="0.25">
      <c r="A2253" t="s">
        <v>2867</v>
      </c>
      <c r="B2253" t="s">
        <v>185</v>
      </c>
      <c r="C2253" t="s">
        <v>27</v>
      </c>
      <c r="H2253" s="2">
        <v>45212.696527777778</v>
      </c>
      <c r="I2253" t="s">
        <v>235</v>
      </c>
      <c r="Z2253">
        <v>66649</v>
      </c>
    </row>
    <row r="2254" spans="1:26" x14ac:dyDescent="0.25">
      <c r="A2254" t="s">
        <v>2868</v>
      </c>
      <c r="B2254" t="s">
        <v>26</v>
      </c>
      <c r="C2254" t="s">
        <v>27</v>
      </c>
      <c r="H2254" s="2">
        <v>45212.561111111114</v>
      </c>
      <c r="I2254" t="s">
        <v>197</v>
      </c>
      <c r="Z2254">
        <v>66617</v>
      </c>
    </row>
    <row r="2255" spans="1:26" x14ac:dyDescent="0.25">
      <c r="A2255" t="s">
        <v>109</v>
      </c>
      <c r="C2255" t="s">
        <v>27</v>
      </c>
      <c r="E2255" t="s">
        <v>2869</v>
      </c>
      <c r="H2255" s="2">
        <v>45212.543749999997</v>
      </c>
      <c r="I2255" t="s">
        <v>226</v>
      </c>
      <c r="Z2255">
        <v>66614</v>
      </c>
    </row>
    <row r="2256" spans="1:26" x14ac:dyDescent="0.25">
      <c r="A2256" t="s">
        <v>652</v>
      </c>
      <c r="B2256" t="s">
        <v>26</v>
      </c>
      <c r="C2256" t="s">
        <v>27</v>
      </c>
      <c r="H2256" s="2">
        <v>45212.384027777778</v>
      </c>
      <c r="I2256" t="s">
        <v>227</v>
      </c>
      <c r="Z2256">
        <v>66594</v>
      </c>
    </row>
    <row r="2257" spans="1:26" x14ac:dyDescent="0.25">
      <c r="A2257" t="s">
        <v>343</v>
      </c>
      <c r="B2257" t="s">
        <v>26</v>
      </c>
      <c r="C2257" t="s">
        <v>27</v>
      </c>
      <c r="H2257" s="2">
        <v>45211.875</v>
      </c>
      <c r="I2257" t="s">
        <v>226</v>
      </c>
      <c r="Z2257">
        <v>66588</v>
      </c>
    </row>
    <row r="2258" spans="1:26" x14ac:dyDescent="0.25">
      <c r="A2258" t="s">
        <v>2870</v>
      </c>
      <c r="B2258" t="s">
        <v>26</v>
      </c>
      <c r="C2258" t="s">
        <v>27</v>
      </c>
      <c r="H2258" s="2">
        <v>45211.850694444445</v>
      </c>
      <c r="I2258" t="s">
        <v>227</v>
      </c>
      <c r="Z2258">
        <v>66585</v>
      </c>
    </row>
    <row r="2259" spans="1:26" x14ac:dyDescent="0.25">
      <c r="A2259" t="s">
        <v>2870</v>
      </c>
      <c r="B2259" t="s">
        <v>26</v>
      </c>
      <c r="C2259" t="s">
        <v>27</v>
      </c>
      <c r="H2259" s="2">
        <v>45211.661111111112</v>
      </c>
      <c r="I2259" t="s">
        <v>227</v>
      </c>
      <c r="Z2259">
        <v>66565</v>
      </c>
    </row>
    <row r="2260" spans="1:26" x14ac:dyDescent="0.25">
      <c r="A2260" t="s">
        <v>2871</v>
      </c>
      <c r="B2260" t="s">
        <v>26</v>
      </c>
      <c r="C2260" t="s">
        <v>27</v>
      </c>
      <c r="H2260" s="2">
        <v>45211.511805555558</v>
      </c>
      <c r="I2260" t="s">
        <v>227</v>
      </c>
      <c r="Z2260">
        <v>66537</v>
      </c>
    </row>
    <row r="2261" spans="1:26" x14ac:dyDescent="0.25">
      <c r="A2261" t="s">
        <v>2872</v>
      </c>
      <c r="B2261" t="s">
        <v>26</v>
      </c>
      <c r="C2261" t="s">
        <v>27</v>
      </c>
      <c r="H2261" s="2">
        <v>45211.501388888886</v>
      </c>
      <c r="I2261" t="s">
        <v>252</v>
      </c>
      <c r="Z2261">
        <v>66535</v>
      </c>
    </row>
    <row r="2262" spans="1:26" x14ac:dyDescent="0.25">
      <c r="A2262" t="s">
        <v>652</v>
      </c>
      <c r="B2262" t="s">
        <v>26</v>
      </c>
      <c r="C2262" t="s">
        <v>27</v>
      </c>
      <c r="H2262" s="2">
        <v>45211.47152777778</v>
      </c>
      <c r="I2262" t="s">
        <v>227</v>
      </c>
      <c r="Z2262">
        <v>66530</v>
      </c>
    </row>
    <row r="2263" spans="1:26" x14ac:dyDescent="0.25">
      <c r="A2263" t="s">
        <v>2873</v>
      </c>
      <c r="B2263" t="s">
        <v>26</v>
      </c>
      <c r="C2263" t="s">
        <v>27</v>
      </c>
      <c r="H2263" s="2">
        <v>45211.442361111112</v>
      </c>
      <c r="I2263" t="s">
        <v>227</v>
      </c>
      <c r="Z2263">
        <v>66527</v>
      </c>
    </row>
    <row r="2264" spans="1:26" x14ac:dyDescent="0.25">
      <c r="A2264" t="s">
        <v>712</v>
      </c>
      <c r="B2264" t="s">
        <v>26</v>
      </c>
      <c r="C2264" t="s">
        <v>27</v>
      </c>
      <c r="H2264" s="2">
        <v>45211.40625</v>
      </c>
      <c r="I2264" t="s">
        <v>226</v>
      </c>
      <c r="Z2264">
        <v>66520</v>
      </c>
    </row>
    <row r="2265" spans="1:26" x14ac:dyDescent="0.25">
      <c r="A2265" t="s">
        <v>2874</v>
      </c>
      <c r="B2265" t="s">
        <v>26</v>
      </c>
      <c r="C2265" t="s">
        <v>27</v>
      </c>
      <c r="H2265" s="2">
        <v>45210.707638888889</v>
      </c>
      <c r="I2265" t="s">
        <v>153</v>
      </c>
      <c r="Z2265">
        <v>66491</v>
      </c>
    </row>
    <row r="2266" spans="1:26" x14ac:dyDescent="0.25">
      <c r="A2266" t="s">
        <v>2875</v>
      </c>
      <c r="B2266" t="s">
        <v>198</v>
      </c>
      <c r="C2266" t="s">
        <v>27</v>
      </c>
      <c r="E2266" t="s">
        <v>65</v>
      </c>
      <c r="H2266" s="2">
        <v>45210.666666666664</v>
      </c>
      <c r="I2266" t="s">
        <v>29</v>
      </c>
      <c r="Z2266">
        <v>66485</v>
      </c>
    </row>
    <row r="2267" spans="1:26" x14ac:dyDescent="0.25">
      <c r="A2267" t="s">
        <v>285</v>
      </c>
      <c r="B2267" t="s">
        <v>164</v>
      </c>
      <c r="C2267" t="s">
        <v>27</v>
      </c>
      <c r="E2267" t="s">
        <v>179</v>
      </c>
      <c r="H2267" s="2">
        <v>45210.395833333336</v>
      </c>
      <c r="I2267" t="s">
        <v>95</v>
      </c>
      <c r="K2267" t="s">
        <v>30</v>
      </c>
      <c r="L2267" t="s">
        <v>31</v>
      </c>
      <c r="M2267">
        <v>55887024</v>
      </c>
      <c r="N2267">
        <v>9754613607</v>
      </c>
      <c r="O2267" t="s">
        <v>2599</v>
      </c>
      <c r="Z2267">
        <v>66449</v>
      </c>
    </row>
    <row r="2268" spans="1:26" x14ac:dyDescent="0.25">
      <c r="A2268" t="s">
        <v>712</v>
      </c>
      <c r="B2268" t="s">
        <v>26</v>
      </c>
      <c r="C2268" t="s">
        <v>27</v>
      </c>
      <c r="H2268" s="2">
        <v>45209.729166666664</v>
      </c>
      <c r="I2268" t="s">
        <v>29</v>
      </c>
      <c r="Z2268">
        <v>66436</v>
      </c>
    </row>
    <row r="2269" spans="1:26" x14ac:dyDescent="0.25">
      <c r="A2269" t="s">
        <v>2876</v>
      </c>
      <c r="B2269" t="s">
        <v>26</v>
      </c>
      <c r="C2269" t="s">
        <v>27</v>
      </c>
      <c r="H2269" s="2">
        <v>45209.488888888889</v>
      </c>
      <c r="I2269" t="s">
        <v>186</v>
      </c>
      <c r="Z2269">
        <v>66393</v>
      </c>
    </row>
    <row r="2270" spans="1:26" x14ac:dyDescent="0.25">
      <c r="A2270" t="s">
        <v>2877</v>
      </c>
      <c r="B2270" t="s">
        <v>26</v>
      </c>
      <c r="C2270" t="s">
        <v>27</v>
      </c>
      <c r="H2270" s="2">
        <v>45209.408333333333</v>
      </c>
      <c r="I2270" t="s">
        <v>95</v>
      </c>
      <c r="Z2270">
        <v>66385</v>
      </c>
    </row>
    <row r="2271" spans="1:26" x14ac:dyDescent="0.25">
      <c r="A2271" t="s">
        <v>2878</v>
      </c>
      <c r="B2271" t="s">
        <v>164</v>
      </c>
      <c r="C2271" t="s">
        <v>82</v>
      </c>
      <c r="E2271" t="s">
        <v>60</v>
      </c>
      <c r="G2271" t="s">
        <v>2879</v>
      </c>
      <c r="H2271" s="2">
        <v>45208.772222222222</v>
      </c>
      <c r="I2271" t="s">
        <v>95</v>
      </c>
      <c r="Z2271">
        <v>66376</v>
      </c>
    </row>
    <row r="2272" spans="1:26" x14ac:dyDescent="0.25">
      <c r="A2272" t="s">
        <v>2880</v>
      </c>
      <c r="B2272" t="s">
        <v>26</v>
      </c>
      <c r="C2272" t="s">
        <v>27</v>
      </c>
      <c r="H2272" s="2">
        <v>45208.756249999999</v>
      </c>
      <c r="I2272" t="s">
        <v>95</v>
      </c>
      <c r="Z2272">
        <v>66375</v>
      </c>
    </row>
    <row r="2273" spans="1:26" x14ac:dyDescent="0.25">
      <c r="A2273" t="s">
        <v>2881</v>
      </c>
      <c r="B2273" t="s">
        <v>26</v>
      </c>
      <c r="C2273" t="s">
        <v>27</v>
      </c>
      <c r="H2273" s="2">
        <v>45208.740277777775</v>
      </c>
      <c r="I2273" t="s">
        <v>29</v>
      </c>
      <c r="Z2273">
        <v>66373</v>
      </c>
    </row>
    <row r="2274" spans="1:26" x14ac:dyDescent="0.25">
      <c r="A2274" t="s">
        <v>2882</v>
      </c>
      <c r="B2274" t="s">
        <v>26</v>
      </c>
      <c r="C2274" t="s">
        <v>27</v>
      </c>
      <c r="H2274" s="2">
        <v>45208.508333333331</v>
      </c>
      <c r="I2274" t="s">
        <v>197</v>
      </c>
      <c r="Z2274">
        <v>66335</v>
      </c>
    </row>
    <row r="2275" spans="1:26" x14ac:dyDescent="0.25">
      <c r="A2275" t="s">
        <v>2883</v>
      </c>
      <c r="B2275" t="s">
        <v>26</v>
      </c>
      <c r="C2275" t="s">
        <v>27</v>
      </c>
      <c r="H2275" s="2">
        <v>45208.445138888892</v>
      </c>
      <c r="I2275" t="s">
        <v>95</v>
      </c>
      <c r="Z2275">
        <v>66315</v>
      </c>
    </row>
    <row r="2276" spans="1:26" x14ac:dyDescent="0.25">
      <c r="A2276" t="s">
        <v>712</v>
      </c>
      <c r="B2276" t="s">
        <v>26</v>
      </c>
      <c r="C2276" t="s">
        <v>27</v>
      </c>
      <c r="E2276">
        <v>741565</v>
      </c>
      <c r="H2276" s="2">
        <v>45208.429861111108</v>
      </c>
      <c r="I2276" t="s">
        <v>29</v>
      </c>
      <c r="Z2276">
        <v>66311</v>
      </c>
    </row>
    <row r="2277" spans="1:26" x14ac:dyDescent="0.25">
      <c r="A2277" t="s">
        <v>204</v>
      </c>
      <c r="B2277" t="s">
        <v>185</v>
      </c>
      <c r="C2277" t="s">
        <v>27</v>
      </c>
      <c r="E2277" t="s">
        <v>53</v>
      </c>
      <c r="H2277" s="2">
        <v>45207.580555555556</v>
      </c>
      <c r="I2277" t="s">
        <v>227</v>
      </c>
      <c r="Z2277">
        <v>66283</v>
      </c>
    </row>
    <row r="2278" spans="1:26" x14ac:dyDescent="0.25">
      <c r="A2278" t="s">
        <v>2884</v>
      </c>
      <c r="B2278" t="s">
        <v>164</v>
      </c>
      <c r="C2278" t="s">
        <v>27</v>
      </c>
      <c r="E2278" t="s">
        <v>101</v>
      </c>
      <c r="G2278" t="s">
        <v>2885</v>
      </c>
      <c r="H2278" s="2">
        <v>45206.681944444441</v>
      </c>
      <c r="I2278" t="s">
        <v>227</v>
      </c>
      <c r="Z2278">
        <v>66250</v>
      </c>
    </row>
    <row r="2279" spans="1:26" x14ac:dyDescent="0.25">
      <c r="A2279" t="s">
        <v>2886</v>
      </c>
      <c r="B2279" t="s">
        <v>26</v>
      </c>
      <c r="C2279" t="s">
        <v>27</v>
      </c>
      <c r="H2279" s="2">
        <v>45206.422222222223</v>
      </c>
      <c r="I2279" t="s">
        <v>197</v>
      </c>
      <c r="Z2279">
        <v>66220</v>
      </c>
    </row>
    <row r="2280" spans="1:26" x14ac:dyDescent="0.25">
      <c r="A2280" t="s">
        <v>2887</v>
      </c>
      <c r="B2280" t="s">
        <v>26</v>
      </c>
      <c r="C2280" t="s">
        <v>27</v>
      </c>
      <c r="H2280" s="2">
        <v>45205.800694444442</v>
      </c>
      <c r="I2280" t="s">
        <v>252</v>
      </c>
      <c r="Z2280">
        <v>66217</v>
      </c>
    </row>
    <row r="2281" spans="1:26" x14ac:dyDescent="0.25">
      <c r="A2281" t="s">
        <v>2888</v>
      </c>
      <c r="B2281" t="s">
        <v>46</v>
      </c>
      <c r="C2281" t="s">
        <v>27</v>
      </c>
      <c r="E2281" t="s">
        <v>45</v>
      </c>
      <c r="G2281" t="s">
        <v>2889</v>
      </c>
      <c r="H2281" s="2">
        <v>45205.692361111112</v>
      </c>
      <c r="I2281" t="s">
        <v>227</v>
      </c>
      <c r="Z2281">
        <v>66202</v>
      </c>
    </row>
    <row r="2282" spans="1:26" x14ac:dyDescent="0.25">
      <c r="A2282" t="s">
        <v>2890</v>
      </c>
      <c r="B2282" t="s">
        <v>26</v>
      </c>
      <c r="C2282" t="s">
        <v>27</v>
      </c>
      <c r="H2282" s="2">
        <v>45205.688194444447</v>
      </c>
      <c r="I2282" t="s">
        <v>226</v>
      </c>
      <c r="Z2282">
        <v>66201</v>
      </c>
    </row>
    <row r="2283" spans="1:26" x14ac:dyDescent="0.25">
      <c r="A2283" t="s">
        <v>2891</v>
      </c>
      <c r="B2283" t="s">
        <v>150</v>
      </c>
      <c r="C2283" t="s">
        <v>27</v>
      </c>
      <c r="E2283" t="s">
        <v>2892</v>
      </c>
      <c r="G2283" t="s">
        <v>179</v>
      </c>
      <c r="H2283" s="2">
        <v>45205.651388888888</v>
      </c>
      <c r="I2283" t="s">
        <v>153</v>
      </c>
      <c r="K2283" t="s">
        <v>30</v>
      </c>
      <c r="L2283" t="s">
        <v>31</v>
      </c>
      <c r="M2283">
        <v>55887024</v>
      </c>
      <c r="N2283">
        <v>9754613609</v>
      </c>
      <c r="O2283" t="s">
        <v>2893</v>
      </c>
      <c r="Z2283">
        <v>66195</v>
      </c>
    </row>
    <row r="2284" spans="1:26" x14ac:dyDescent="0.25">
      <c r="A2284" t="s">
        <v>2894</v>
      </c>
      <c r="B2284" t="s">
        <v>150</v>
      </c>
      <c r="C2284" t="s">
        <v>27</v>
      </c>
      <c r="E2284" t="s">
        <v>2895</v>
      </c>
      <c r="G2284" t="s">
        <v>2896</v>
      </c>
      <c r="H2284" s="2">
        <v>45205.496527777781</v>
      </c>
      <c r="I2284" t="s">
        <v>227</v>
      </c>
      <c r="K2284" t="s">
        <v>30</v>
      </c>
      <c r="L2284" t="s">
        <v>31</v>
      </c>
      <c r="M2284">
        <v>55887024</v>
      </c>
      <c r="N2284">
        <v>9754613610</v>
      </c>
      <c r="O2284" t="s">
        <v>2897</v>
      </c>
      <c r="Z2284">
        <v>66174</v>
      </c>
    </row>
    <row r="2285" spans="1:26" x14ac:dyDescent="0.25">
      <c r="A2285" t="s">
        <v>2898</v>
      </c>
      <c r="B2285" t="s">
        <v>164</v>
      </c>
      <c r="C2285" t="s">
        <v>27</v>
      </c>
      <c r="E2285" t="s">
        <v>1256</v>
      </c>
      <c r="H2285" s="2">
        <v>45205.43472222222</v>
      </c>
      <c r="I2285" t="s">
        <v>153</v>
      </c>
      <c r="Z2285">
        <v>66165</v>
      </c>
    </row>
    <row r="2286" spans="1:26" x14ac:dyDescent="0.25">
      <c r="A2286" t="s">
        <v>2899</v>
      </c>
      <c r="B2286" t="s">
        <v>26</v>
      </c>
      <c r="C2286" t="s">
        <v>27</v>
      </c>
      <c r="H2286" s="2">
        <v>45205.43472222222</v>
      </c>
      <c r="I2286" t="s">
        <v>252</v>
      </c>
      <c r="Z2286">
        <v>66164</v>
      </c>
    </row>
    <row r="2287" spans="1:26" x14ac:dyDescent="0.25">
      <c r="A2287" t="s">
        <v>2900</v>
      </c>
      <c r="B2287" t="s">
        <v>164</v>
      </c>
      <c r="C2287" t="s">
        <v>27</v>
      </c>
      <c r="E2287" t="s">
        <v>209</v>
      </c>
      <c r="H2287" s="2">
        <v>45205.416666666664</v>
      </c>
      <c r="I2287" t="s">
        <v>227</v>
      </c>
      <c r="Z2287">
        <v>66161</v>
      </c>
    </row>
    <row r="2288" spans="1:26" x14ac:dyDescent="0.25">
      <c r="A2288" t="s">
        <v>652</v>
      </c>
      <c r="B2288" t="s">
        <v>26</v>
      </c>
      <c r="C2288" t="s">
        <v>27</v>
      </c>
      <c r="E2288" t="s">
        <v>2901</v>
      </c>
      <c r="G2288" t="s">
        <v>2902</v>
      </c>
      <c r="H2288" s="2">
        <v>45205.416666666664</v>
      </c>
      <c r="I2288" t="s">
        <v>226</v>
      </c>
      <c r="Z2288">
        <v>66159</v>
      </c>
    </row>
    <row r="2289" spans="1:26" x14ac:dyDescent="0.25">
      <c r="A2289" t="s">
        <v>2903</v>
      </c>
      <c r="B2289" t="s">
        <v>185</v>
      </c>
      <c r="C2289" t="s">
        <v>27</v>
      </c>
      <c r="E2289" t="s">
        <v>60</v>
      </c>
      <c r="G2289" t="s">
        <v>132</v>
      </c>
      <c r="H2289" s="2">
        <v>45205.333333333336</v>
      </c>
      <c r="I2289" t="s">
        <v>227</v>
      </c>
      <c r="Z2289">
        <v>66154</v>
      </c>
    </row>
    <row r="2290" spans="1:26" x14ac:dyDescent="0.25">
      <c r="A2290" t="s">
        <v>2904</v>
      </c>
      <c r="B2290" t="s">
        <v>26</v>
      </c>
      <c r="C2290" t="s">
        <v>27</v>
      </c>
      <c r="H2290" s="2">
        <v>45204.625</v>
      </c>
      <c r="I2290" t="s">
        <v>95</v>
      </c>
      <c r="Z2290">
        <v>66126</v>
      </c>
    </row>
    <row r="2291" spans="1:26" x14ac:dyDescent="0.25">
      <c r="A2291" t="s">
        <v>2905</v>
      </c>
      <c r="B2291" t="s">
        <v>185</v>
      </c>
      <c r="C2291" t="s">
        <v>27</v>
      </c>
      <c r="E2291" t="s">
        <v>53</v>
      </c>
      <c r="H2291" s="2">
        <v>45204.526388888888</v>
      </c>
      <c r="I2291" t="s">
        <v>29</v>
      </c>
      <c r="Z2291">
        <v>66113</v>
      </c>
    </row>
    <row r="2292" spans="1:26" x14ac:dyDescent="0.25">
      <c r="A2292" t="s">
        <v>2906</v>
      </c>
      <c r="B2292" t="s">
        <v>26</v>
      </c>
      <c r="C2292" t="s">
        <v>27</v>
      </c>
      <c r="H2292" s="2">
        <v>45203.629861111112</v>
      </c>
      <c r="I2292" t="s">
        <v>95</v>
      </c>
      <c r="Z2292">
        <v>66070</v>
      </c>
    </row>
    <row r="2293" spans="1:26" x14ac:dyDescent="0.25">
      <c r="A2293" t="s">
        <v>2907</v>
      </c>
      <c r="B2293" t="s">
        <v>26</v>
      </c>
      <c r="C2293" t="s">
        <v>27</v>
      </c>
      <c r="H2293" s="2">
        <v>45203.397222222222</v>
      </c>
      <c r="I2293" t="s">
        <v>197</v>
      </c>
      <c r="Z2293">
        <v>66033</v>
      </c>
    </row>
    <row r="2294" spans="1:26" x14ac:dyDescent="0.25">
      <c r="A2294" t="s">
        <v>2908</v>
      </c>
      <c r="B2294" t="s">
        <v>26</v>
      </c>
      <c r="C2294" t="s">
        <v>27</v>
      </c>
      <c r="H2294" s="2">
        <v>45202.618055555555</v>
      </c>
      <c r="I2294" t="s">
        <v>235</v>
      </c>
      <c r="Z2294">
        <v>66000</v>
      </c>
    </row>
    <row r="2295" spans="1:26" x14ac:dyDescent="0.25">
      <c r="A2295" t="s">
        <v>2909</v>
      </c>
      <c r="B2295" t="s">
        <v>26</v>
      </c>
      <c r="C2295" t="s">
        <v>27</v>
      </c>
      <c r="H2295" s="2">
        <v>45202.606944444444</v>
      </c>
      <c r="I2295" t="s">
        <v>197</v>
      </c>
      <c r="Z2295">
        <v>65997</v>
      </c>
    </row>
    <row r="2296" spans="1:26" x14ac:dyDescent="0.25">
      <c r="A2296" t="s">
        <v>2910</v>
      </c>
      <c r="B2296" t="s">
        <v>26</v>
      </c>
      <c r="C2296" t="s">
        <v>27</v>
      </c>
      <c r="H2296" s="2">
        <v>45202.452777777777</v>
      </c>
      <c r="I2296" t="s">
        <v>95</v>
      </c>
      <c r="Z2296">
        <v>65969</v>
      </c>
    </row>
    <row r="2297" spans="1:26" x14ac:dyDescent="0.25">
      <c r="A2297" t="s">
        <v>2911</v>
      </c>
      <c r="B2297" t="s">
        <v>26</v>
      </c>
      <c r="C2297" t="s">
        <v>27</v>
      </c>
      <c r="H2297" s="2">
        <v>45202.44027777778</v>
      </c>
      <c r="I2297" t="s">
        <v>95</v>
      </c>
      <c r="Z2297">
        <v>65966</v>
      </c>
    </row>
    <row r="2298" spans="1:26" x14ac:dyDescent="0.25">
      <c r="A2298" t="s">
        <v>2912</v>
      </c>
      <c r="B2298" t="s">
        <v>26</v>
      </c>
      <c r="C2298" t="s">
        <v>27</v>
      </c>
      <c r="H2298" s="2">
        <v>45201.782638888886</v>
      </c>
      <c r="I2298" t="s">
        <v>186</v>
      </c>
      <c r="Z2298">
        <v>65949</v>
      </c>
    </row>
    <row r="2299" spans="1:26" x14ac:dyDescent="0.25">
      <c r="A2299" t="s">
        <v>2913</v>
      </c>
      <c r="B2299" t="s">
        <v>26</v>
      </c>
      <c r="C2299" t="s">
        <v>27</v>
      </c>
      <c r="H2299" s="2">
        <v>45201.667361111111</v>
      </c>
      <c r="I2299" t="s">
        <v>227</v>
      </c>
      <c r="Z2299">
        <v>65934</v>
      </c>
    </row>
    <row r="2300" spans="1:26" x14ac:dyDescent="0.25">
      <c r="A2300" t="s">
        <v>2914</v>
      </c>
      <c r="B2300" t="s">
        <v>26</v>
      </c>
      <c r="C2300" t="s">
        <v>27</v>
      </c>
      <c r="H2300" s="2">
        <v>45201.519444444442</v>
      </c>
      <c r="I2300" t="s">
        <v>227</v>
      </c>
      <c r="Z2300">
        <v>65908</v>
      </c>
    </row>
    <row r="2301" spans="1:26" x14ac:dyDescent="0.25">
      <c r="A2301" t="s">
        <v>2915</v>
      </c>
      <c r="B2301" t="s">
        <v>26</v>
      </c>
      <c r="C2301" t="s">
        <v>27</v>
      </c>
      <c r="H2301" s="2">
        <v>45201.456250000003</v>
      </c>
      <c r="I2301" t="s">
        <v>226</v>
      </c>
      <c r="Z2301">
        <v>65892</v>
      </c>
    </row>
    <row r="2302" spans="1:26" x14ac:dyDescent="0.25">
      <c r="A2302" t="s">
        <v>2916</v>
      </c>
      <c r="B2302" t="s">
        <v>26</v>
      </c>
      <c r="C2302" t="s">
        <v>27</v>
      </c>
      <c r="H2302" s="2">
        <v>45201.435416666667</v>
      </c>
      <c r="I2302" t="s">
        <v>197</v>
      </c>
      <c r="Z2302">
        <v>65887</v>
      </c>
    </row>
    <row r="2303" spans="1:26" x14ac:dyDescent="0.25">
      <c r="A2303" t="s">
        <v>109</v>
      </c>
      <c r="C2303" t="s">
        <v>27</v>
      </c>
      <c r="E2303" t="s">
        <v>203</v>
      </c>
      <c r="H2303" s="2">
        <v>45200.576388888891</v>
      </c>
      <c r="I2303" t="s">
        <v>226</v>
      </c>
      <c r="Z2303">
        <v>65850</v>
      </c>
    </row>
    <row r="2304" spans="1:26" x14ac:dyDescent="0.25">
      <c r="A2304" t="s">
        <v>2917</v>
      </c>
      <c r="B2304" t="s">
        <v>26</v>
      </c>
      <c r="C2304" t="s">
        <v>27</v>
      </c>
      <c r="H2304" s="2">
        <v>45200.380555555559</v>
      </c>
      <c r="I2304" t="s">
        <v>197</v>
      </c>
      <c r="Z2304">
        <v>65832</v>
      </c>
    </row>
    <row r="2305" spans="1:26" x14ac:dyDescent="0.25">
      <c r="A2305" t="s">
        <v>2918</v>
      </c>
      <c r="B2305" t="s">
        <v>26</v>
      </c>
      <c r="C2305" t="s">
        <v>27</v>
      </c>
      <c r="H2305" s="2">
        <v>45200.376388888886</v>
      </c>
      <c r="I2305" t="s">
        <v>226</v>
      </c>
      <c r="Z2305">
        <v>65831</v>
      </c>
    </row>
    <row r="2306" spans="1:26" x14ac:dyDescent="0.25">
      <c r="A2306" t="s">
        <v>109</v>
      </c>
      <c r="C2306" t="s">
        <v>27</v>
      </c>
      <c r="E2306" t="s">
        <v>90</v>
      </c>
      <c r="H2306" s="2">
        <v>45200.300694444442</v>
      </c>
      <c r="I2306" t="s">
        <v>226</v>
      </c>
      <c r="Z2306">
        <v>65829</v>
      </c>
    </row>
    <row r="2307" spans="1:26" x14ac:dyDescent="0.25">
      <c r="A2307" t="s">
        <v>2919</v>
      </c>
      <c r="B2307" t="s">
        <v>164</v>
      </c>
      <c r="C2307" t="s">
        <v>27</v>
      </c>
      <c r="E2307" t="s">
        <v>73</v>
      </c>
      <c r="H2307" s="2">
        <v>45199.487500000003</v>
      </c>
      <c r="I2307" t="s">
        <v>227</v>
      </c>
      <c r="Z2307">
        <v>65790</v>
      </c>
    </row>
    <row r="2308" spans="1:26" x14ac:dyDescent="0.25">
      <c r="A2308" t="s">
        <v>2920</v>
      </c>
      <c r="B2308" t="s">
        <v>26</v>
      </c>
      <c r="C2308" t="s">
        <v>27</v>
      </c>
      <c r="H2308" s="2">
        <v>45199.474999999999</v>
      </c>
      <c r="I2308" t="s">
        <v>29</v>
      </c>
      <c r="Z2308">
        <v>65787</v>
      </c>
    </row>
    <row r="2309" spans="1:26" x14ac:dyDescent="0.25">
      <c r="A2309" t="s">
        <v>2921</v>
      </c>
      <c r="B2309" t="s">
        <v>26</v>
      </c>
      <c r="C2309" t="s">
        <v>47</v>
      </c>
      <c r="H2309" s="2">
        <v>45199.443749999999</v>
      </c>
      <c r="I2309" t="s">
        <v>252</v>
      </c>
      <c r="Z2309">
        <v>65785</v>
      </c>
    </row>
    <row r="2310" spans="1:26" x14ac:dyDescent="0.25">
      <c r="A2310" t="s">
        <v>92</v>
      </c>
      <c r="B2310" t="s">
        <v>26</v>
      </c>
      <c r="C2310" t="s">
        <v>27</v>
      </c>
      <c r="E2310" t="s">
        <v>58</v>
      </c>
      <c r="G2310" t="s">
        <v>2922</v>
      </c>
      <c r="H2310" s="2">
        <v>45199.40347222222</v>
      </c>
      <c r="I2310" t="s">
        <v>29</v>
      </c>
      <c r="Z2310">
        <v>65780</v>
      </c>
    </row>
    <row r="2311" spans="1:26" x14ac:dyDescent="0.25">
      <c r="A2311" t="s">
        <v>712</v>
      </c>
      <c r="B2311" t="s">
        <v>164</v>
      </c>
      <c r="C2311" t="s">
        <v>27</v>
      </c>
      <c r="E2311" t="s">
        <v>84</v>
      </c>
      <c r="H2311" s="2">
        <v>45198.853472222225</v>
      </c>
      <c r="I2311" t="s">
        <v>29</v>
      </c>
      <c r="K2311" t="s">
        <v>30</v>
      </c>
      <c r="L2311" t="s">
        <v>31</v>
      </c>
      <c r="M2311">
        <v>55887113</v>
      </c>
      <c r="N2311">
        <v>9754620472</v>
      </c>
      <c r="O2311" t="s">
        <v>2923</v>
      </c>
      <c r="Z2311">
        <v>65776</v>
      </c>
    </row>
    <row r="2312" spans="1:26" x14ac:dyDescent="0.25">
      <c r="A2312" t="s">
        <v>2924</v>
      </c>
      <c r="B2312" t="s">
        <v>26</v>
      </c>
      <c r="C2312" t="s">
        <v>27</v>
      </c>
      <c r="H2312" s="2">
        <v>45198.697222222225</v>
      </c>
      <c r="I2312" t="s">
        <v>95</v>
      </c>
      <c r="Z2312">
        <v>65759</v>
      </c>
    </row>
    <row r="2313" spans="1:26" x14ac:dyDescent="0.25">
      <c r="A2313" t="s">
        <v>1255</v>
      </c>
      <c r="B2313" t="s">
        <v>26</v>
      </c>
      <c r="C2313" t="s">
        <v>27</v>
      </c>
      <c r="E2313" t="s">
        <v>298</v>
      </c>
      <c r="H2313" s="2">
        <v>45198.543749999997</v>
      </c>
      <c r="I2313" t="s">
        <v>29</v>
      </c>
      <c r="Z2313">
        <v>65739</v>
      </c>
    </row>
    <row r="2314" spans="1:26" x14ac:dyDescent="0.25">
      <c r="A2314" t="s">
        <v>1684</v>
      </c>
      <c r="B2314" t="s">
        <v>150</v>
      </c>
      <c r="C2314" t="s">
        <v>27</v>
      </c>
      <c r="E2314" t="s">
        <v>55</v>
      </c>
      <c r="H2314" s="2">
        <v>45198.386805555558</v>
      </c>
      <c r="I2314" t="s">
        <v>29</v>
      </c>
      <c r="Z2314">
        <v>65712</v>
      </c>
    </row>
    <row r="2315" spans="1:26" x14ac:dyDescent="0.25">
      <c r="A2315" t="s">
        <v>2925</v>
      </c>
      <c r="C2315" t="s">
        <v>64</v>
      </c>
      <c r="E2315" t="s">
        <v>58</v>
      </c>
      <c r="H2315" s="2">
        <v>45198.37777777778</v>
      </c>
      <c r="I2315" t="s">
        <v>29</v>
      </c>
      <c r="Z2315">
        <v>65709</v>
      </c>
    </row>
    <row r="2316" spans="1:26" x14ac:dyDescent="0.25">
      <c r="A2316" t="s">
        <v>2926</v>
      </c>
      <c r="B2316" t="s">
        <v>26</v>
      </c>
      <c r="C2316" t="s">
        <v>27</v>
      </c>
      <c r="E2316" t="s">
        <v>105</v>
      </c>
      <c r="H2316" s="2">
        <v>45197.827777777777</v>
      </c>
      <c r="I2316" t="s">
        <v>153</v>
      </c>
      <c r="Z2316">
        <v>65700</v>
      </c>
    </row>
    <row r="2317" spans="1:26" x14ac:dyDescent="0.25">
      <c r="A2317" t="s">
        <v>2927</v>
      </c>
      <c r="B2317" t="s">
        <v>26</v>
      </c>
      <c r="C2317" t="s">
        <v>27</v>
      </c>
      <c r="H2317" s="2">
        <v>45197.780555555553</v>
      </c>
      <c r="I2317" t="s">
        <v>95</v>
      </c>
      <c r="Z2317">
        <v>65697</v>
      </c>
    </row>
    <row r="2318" spans="1:26" x14ac:dyDescent="0.25">
      <c r="A2318" t="s">
        <v>2928</v>
      </c>
      <c r="B2318" t="s">
        <v>26</v>
      </c>
      <c r="C2318" t="s">
        <v>27</v>
      </c>
      <c r="H2318" s="2">
        <v>45197.531944444447</v>
      </c>
      <c r="I2318" t="s">
        <v>235</v>
      </c>
      <c r="Z2318">
        <v>65665</v>
      </c>
    </row>
    <row r="2319" spans="1:26" x14ac:dyDescent="0.25">
      <c r="A2319" t="s">
        <v>2929</v>
      </c>
      <c r="B2319" t="s">
        <v>26</v>
      </c>
      <c r="C2319" t="s">
        <v>27</v>
      </c>
      <c r="H2319" s="2">
        <v>45197.527777777781</v>
      </c>
      <c r="I2319" t="s">
        <v>235</v>
      </c>
      <c r="Z2319">
        <v>65664</v>
      </c>
    </row>
    <row r="2320" spans="1:26" x14ac:dyDescent="0.25">
      <c r="A2320" t="s">
        <v>2919</v>
      </c>
      <c r="B2320" t="s">
        <v>164</v>
      </c>
      <c r="C2320" t="s">
        <v>27</v>
      </c>
      <c r="E2320" t="s">
        <v>73</v>
      </c>
      <c r="H2320" s="2">
        <v>45197.484722222223</v>
      </c>
      <c r="I2320" t="s">
        <v>153</v>
      </c>
      <c r="Z2320">
        <v>65658</v>
      </c>
    </row>
    <row r="2321" spans="1:26" x14ac:dyDescent="0.25">
      <c r="A2321" t="s">
        <v>2930</v>
      </c>
      <c r="B2321" t="s">
        <v>26</v>
      </c>
      <c r="C2321" t="s">
        <v>27</v>
      </c>
      <c r="H2321" s="2">
        <v>45197.472222222219</v>
      </c>
      <c r="I2321" t="s">
        <v>235</v>
      </c>
      <c r="Z2321">
        <v>65655</v>
      </c>
    </row>
    <row r="2322" spans="1:26" x14ac:dyDescent="0.25">
      <c r="A2322" t="s">
        <v>2931</v>
      </c>
      <c r="B2322" t="s">
        <v>26</v>
      </c>
      <c r="C2322" t="s">
        <v>27</v>
      </c>
      <c r="H2322" s="2">
        <v>45197.450694444444</v>
      </c>
      <c r="I2322" t="s">
        <v>29</v>
      </c>
      <c r="Z2322">
        <v>65650</v>
      </c>
    </row>
    <row r="2323" spans="1:26" x14ac:dyDescent="0.25">
      <c r="A2323" t="s">
        <v>2932</v>
      </c>
      <c r="B2323" t="s">
        <v>26</v>
      </c>
      <c r="C2323" t="s">
        <v>27</v>
      </c>
      <c r="E2323" t="s">
        <v>2933</v>
      </c>
      <c r="H2323" s="2">
        <v>45197.438888888886</v>
      </c>
      <c r="I2323" t="s">
        <v>153</v>
      </c>
      <c r="Z2323">
        <v>65644</v>
      </c>
    </row>
    <row r="2324" spans="1:26" x14ac:dyDescent="0.25">
      <c r="A2324" t="s">
        <v>2934</v>
      </c>
      <c r="B2324" t="s">
        <v>185</v>
      </c>
      <c r="C2324" t="s">
        <v>27</v>
      </c>
      <c r="E2324" t="s">
        <v>1266</v>
      </c>
      <c r="G2324" t="s">
        <v>369</v>
      </c>
      <c r="H2324" s="2">
        <v>45197.102083333331</v>
      </c>
      <c r="I2324" t="s">
        <v>95</v>
      </c>
      <c r="Z2324">
        <v>65637</v>
      </c>
    </row>
    <row r="2325" spans="1:26" x14ac:dyDescent="0.25">
      <c r="A2325" t="s">
        <v>2935</v>
      </c>
      <c r="B2325" t="s">
        <v>26</v>
      </c>
      <c r="C2325" t="s">
        <v>27</v>
      </c>
      <c r="H2325" s="2">
        <v>45196.712500000001</v>
      </c>
      <c r="I2325" t="s">
        <v>235</v>
      </c>
      <c r="Z2325">
        <v>65618</v>
      </c>
    </row>
    <row r="2326" spans="1:26" x14ac:dyDescent="0.25">
      <c r="A2326" t="s">
        <v>2936</v>
      </c>
      <c r="B2326" t="s">
        <v>26</v>
      </c>
      <c r="C2326" t="s">
        <v>206</v>
      </c>
      <c r="H2326" s="2">
        <v>45196.557638888888</v>
      </c>
      <c r="I2326" t="s">
        <v>197</v>
      </c>
      <c r="Z2326">
        <v>65594</v>
      </c>
    </row>
    <row r="2327" spans="1:26" x14ac:dyDescent="0.25">
      <c r="A2327" t="s">
        <v>1054</v>
      </c>
      <c r="B2327" t="s">
        <v>26</v>
      </c>
      <c r="C2327" t="s">
        <v>27</v>
      </c>
      <c r="H2327" s="2">
        <v>45196.46597222222</v>
      </c>
      <c r="I2327" t="s">
        <v>235</v>
      </c>
      <c r="Z2327">
        <v>65576</v>
      </c>
    </row>
    <row r="2328" spans="1:26" x14ac:dyDescent="0.25">
      <c r="A2328" t="s">
        <v>2937</v>
      </c>
      <c r="B2328" t="s">
        <v>26</v>
      </c>
      <c r="C2328" t="s">
        <v>27</v>
      </c>
      <c r="H2328" s="2">
        <v>45195.844444444447</v>
      </c>
      <c r="I2328" t="s">
        <v>226</v>
      </c>
      <c r="Z2328">
        <v>65557</v>
      </c>
    </row>
    <row r="2329" spans="1:26" x14ac:dyDescent="0.25">
      <c r="A2329" t="s">
        <v>2938</v>
      </c>
      <c r="B2329" t="s">
        <v>150</v>
      </c>
      <c r="C2329" t="s">
        <v>64</v>
      </c>
      <c r="E2329" t="s">
        <v>44</v>
      </c>
      <c r="G2329" t="s">
        <v>323</v>
      </c>
      <c r="H2329" s="2">
        <v>45195.60833333333</v>
      </c>
      <c r="I2329" t="s">
        <v>227</v>
      </c>
      <c r="Z2329">
        <v>65516</v>
      </c>
    </row>
    <row r="2330" spans="1:26" x14ac:dyDescent="0.25">
      <c r="A2330" t="s">
        <v>2938</v>
      </c>
      <c r="B2330" t="s">
        <v>46</v>
      </c>
      <c r="C2330" t="s">
        <v>27</v>
      </c>
      <c r="E2330" t="s">
        <v>44</v>
      </c>
      <c r="G2330" t="s">
        <v>323</v>
      </c>
      <c r="H2330" s="2">
        <v>45195.605555555558</v>
      </c>
      <c r="I2330" t="s">
        <v>227</v>
      </c>
      <c r="Z2330">
        <v>65515</v>
      </c>
    </row>
    <row r="2331" spans="1:26" x14ac:dyDescent="0.25">
      <c r="A2331" t="s">
        <v>2939</v>
      </c>
      <c r="B2331" t="s">
        <v>26</v>
      </c>
      <c r="C2331" t="s">
        <v>27</v>
      </c>
      <c r="H2331" s="2">
        <v>45195.597222222219</v>
      </c>
      <c r="I2331" t="s">
        <v>226</v>
      </c>
      <c r="Z2331">
        <v>65514</v>
      </c>
    </row>
    <row r="2332" spans="1:26" x14ac:dyDescent="0.25">
      <c r="A2332" t="s">
        <v>2940</v>
      </c>
      <c r="B2332" t="s">
        <v>185</v>
      </c>
      <c r="C2332" t="s">
        <v>27</v>
      </c>
      <c r="E2332" t="s">
        <v>56</v>
      </c>
      <c r="H2332" s="2">
        <v>45195.479861111111</v>
      </c>
      <c r="I2332" t="s">
        <v>227</v>
      </c>
      <c r="Z2332">
        <v>65497</v>
      </c>
    </row>
    <row r="2333" spans="1:26" x14ac:dyDescent="0.25">
      <c r="A2333" t="s">
        <v>2941</v>
      </c>
      <c r="B2333" t="s">
        <v>26</v>
      </c>
      <c r="C2333" t="s">
        <v>27</v>
      </c>
      <c r="H2333" s="2">
        <v>45195.460416666669</v>
      </c>
      <c r="I2333" t="s">
        <v>252</v>
      </c>
      <c r="Z2333">
        <v>65492</v>
      </c>
    </row>
    <row r="2334" spans="1:26" x14ac:dyDescent="0.25">
      <c r="A2334" t="s">
        <v>2837</v>
      </c>
      <c r="B2334" t="s">
        <v>26</v>
      </c>
      <c r="C2334" t="s">
        <v>27</v>
      </c>
      <c r="H2334" s="2">
        <v>45195.43472222222</v>
      </c>
      <c r="I2334" t="s">
        <v>252</v>
      </c>
      <c r="Z2334">
        <v>65488</v>
      </c>
    </row>
    <row r="2335" spans="1:26" x14ac:dyDescent="0.25">
      <c r="A2335" t="s">
        <v>2942</v>
      </c>
      <c r="B2335" t="s">
        <v>26</v>
      </c>
      <c r="C2335" t="s">
        <v>27</v>
      </c>
      <c r="H2335" s="2">
        <v>45195.402777777781</v>
      </c>
      <c r="I2335" t="s">
        <v>252</v>
      </c>
      <c r="Z2335">
        <v>65482</v>
      </c>
    </row>
    <row r="2336" spans="1:26" x14ac:dyDescent="0.25">
      <c r="A2336" t="s">
        <v>652</v>
      </c>
      <c r="B2336" t="s">
        <v>26</v>
      </c>
      <c r="C2336" t="s">
        <v>27</v>
      </c>
      <c r="H2336" s="2">
        <v>45194.807638888888</v>
      </c>
      <c r="I2336" t="s">
        <v>197</v>
      </c>
      <c r="Z2336">
        <v>65468</v>
      </c>
    </row>
    <row r="2337" spans="1:26" x14ac:dyDescent="0.25">
      <c r="A2337" t="s">
        <v>2943</v>
      </c>
      <c r="B2337" t="s">
        <v>185</v>
      </c>
      <c r="C2337" t="s">
        <v>27</v>
      </c>
      <c r="E2337" t="s">
        <v>44</v>
      </c>
      <c r="G2337" t="s">
        <v>2944</v>
      </c>
      <c r="H2337" s="2">
        <v>45194.710416666669</v>
      </c>
      <c r="I2337" t="s">
        <v>227</v>
      </c>
      <c r="Z2337">
        <v>65455</v>
      </c>
    </row>
    <row r="2338" spans="1:26" x14ac:dyDescent="0.25">
      <c r="A2338" t="s">
        <v>2945</v>
      </c>
      <c r="B2338" t="s">
        <v>26</v>
      </c>
      <c r="C2338" t="s">
        <v>27</v>
      </c>
      <c r="H2338" s="2">
        <v>45194.709027777775</v>
      </c>
      <c r="I2338" t="s">
        <v>227</v>
      </c>
      <c r="Z2338">
        <v>65454</v>
      </c>
    </row>
    <row r="2339" spans="1:26" x14ac:dyDescent="0.25">
      <c r="A2339" t="s">
        <v>2801</v>
      </c>
      <c r="B2339" t="s">
        <v>26</v>
      </c>
      <c r="C2339" t="s">
        <v>27</v>
      </c>
      <c r="H2339" s="2">
        <v>45194.602777777778</v>
      </c>
      <c r="I2339" t="s">
        <v>252</v>
      </c>
      <c r="Z2339">
        <v>65430</v>
      </c>
    </row>
    <row r="2340" spans="1:26" x14ac:dyDescent="0.25">
      <c r="A2340" t="s">
        <v>2946</v>
      </c>
      <c r="B2340" t="s">
        <v>26</v>
      </c>
      <c r="C2340" t="s">
        <v>27</v>
      </c>
      <c r="H2340" s="2">
        <v>45194.59375</v>
      </c>
      <c r="I2340" t="s">
        <v>197</v>
      </c>
      <c r="Z2340">
        <v>65428</v>
      </c>
    </row>
    <row r="2341" spans="1:26" x14ac:dyDescent="0.25">
      <c r="A2341" t="s">
        <v>2947</v>
      </c>
      <c r="B2341" t="s">
        <v>26</v>
      </c>
      <c r="C2341" t="s">
        <v>27</v>
      </c>
      <c r="H2341" s="2">
        <v>45194.558333333334</v>
      </c>
      <c r="I2341" t="s">
        <v>252</v>
      </c>
      <c r="Z2341">
        <v>65423</v>
      </c>
    </row>
    <row r="2342" spans="1:26" x14ac:dyDescent="0.25">
      <c r="A2342" t="s">
        <v>109</v>
      </c>
      <c r="C2342" t="s">
        <v>27</v>
      </c>
      <c r="E2342" t="s">
        <v>2948</v>
      </c>
      <c r="H2342" s="2">
        <v>45194.549305555556</v>
      </c>
      <c r="I2342" t="s">
        <v>227</v>
      </c>
      <c r="Z2342">
        <v>65419</v>
      </c>
    </row>
    <row r="2343" spans="1:26" x14ac:dyDescent="0.25">
      <c r="A2343" t="s">
        <v>262</v>
      </c>
      <c r="B2343" t="s">
        <v>164</v>
      </c>
      <c r="C2343" t="s">
        <v>27</v>
      </c>
      <c r="E2343" t="s">
        <v>60</v>
      </c>
      <c r="H2343" s="2">
        <v>45194.477777777778</v>
      </c>
      <c r="I2343" t="s">
        <v>227</v>
      </c>
      <c r="Z2343">
        <v>65400</v>
      </c>
    </row>
    <row r="2344" spans="1:26" x14ac:dyDescent="0.25">
      <c r="A2344" t="s">
        <v>1665</v>
      </c>
      <c r="B2344" t="s">
        <v>164</v>
      </c>
      <c r="C2344" t="s">
        <v>27</v>
      </c>
      <c r="E2344" t="s">
        <v>67</v>
      </c>
      <c r="H2344" s="2">
        <v>45193.684027777781</v>
      </c>
      <c r="I2344" t="s">
        <v>227</v>
      </c>
      <c r="K2344" t="s">
        <v>30</v>
      </c>
      <c r="L2344" t="s">
        <v>31</v>
      </c>
      <c r="M2344">
        <v>55887024</v>
      </c>
      <c r="N2344">
        <v>9754613600</v>
      </c>
      <c r="O2344" t="s">
        <v>2039</v>
      </c>
      <c r="Z2344">
        <v>65377</v>
      </c>
    </row>
    <row r="2345" spans="1:26" x14ac:dyDescent="0.25">
      <c r="A2345" t="s">
        <v>2949</v>
      </c>
      <c r="B2345" t="s">
        <v>26</v>
      </c>
      <c r="C2345" t="s">
        <v>27</v>
      </c>
      <c r="H2345" s="2">
        <v>45193.396527777775</v>
      </c>
      <c r="I2345" t="s">
        <v>227</v>
      </c>
      <c r="Z2345">
        <v>65346</v>
      </c>
    </row>
    <row r="2346" spans="1:26" x14ac:dyDescent="0.25">
      <c r="A2346" t="s">
        <v>2950</v>
      </c>
      <c r="B2346" t="s">
        <v>26</v>
      </c>
      <c r="C2346" t="s">
        <v>27</v>
      </c>
      <c r="H2346" s="2">
        <v>45192.835416666669</v>
      </c>
      <c r="I2346" t="s">
        <v>153</v>
      </c>
      <c r="Z2346">
        <v>65342</v>
      </c>
    </row>
    <row r="2347" spans="1:26" x14ac:dyDescent="0.25">
      <c r="A2347" t="s">
        <v>2951</v>
      </c>
      <c r="B2347" t="s">
        <v>26</v>
      </c>
      <c r="C2347" t="s">
        <v>27</v>
      </c>
      <c r="E2347" t="s">
        <v>55</v>
      </c>
      <c r="H2347" s="2">
        <v>45192.681944444441</v>
      </c>
      <c r="I2347" t="s">
        <v>153</v>
      </c>
      <c r="Z2347">
        <v>65330</v>
      </c>
    </row>
    <row r="2348" spans="1:26" x14ac:dyDescent="0.25">
      <c r="A2348" t="s">
        <v>2952</v>
      </c>
      <c r="B2348" t="s">
        <v>26</v>
      </c>
      <c r="C2348" t="s">
        <v>27</v>
      </c>
      <c r="H2348" s="2">
        <v>45192.555555555555</v>
      </c>
      <c r="I2348" t="s">
        <v>29</v>
      </c>
      <c r="Z2348">
        <v>65312</v>
      </c>
    </row>
    <row r="2349" spans="1:26" x14ac:dyDescent="0.25">
      <c r="A2349" t="s">
        <v>2953</v>
      </c>
      <c r="B2349" t="s">
        <v>150</v>
      </c>
      <c r="C2349" t="s">
        <v>27</v>
      </c>
      <c r="E2349" t="s">
        <v>2954</v>
      </c>
      <c r="H2349" s="2">
        <v>45192.545138888891</v>
      </c>
      <c r="I2349" t="s">
        <v>95</v>
      </c>
      <c r="Z2349">
        <v>65310</v>
      </c>
    </row>
    <row r="2350" spans="1:26" x14ac:dyDescent="0.25">
      <c r="A2350" t="s">
        <v>2955</v>
      </c>
      <c r="B2350" t="s">
        <v>164</v>
      </c>
      <c r="C2350" t="s">
        <v>27</v>
      </c>
      <c r="E2350" t="s">
        <v>89</v>
      </c>
      <c r="G2350" t="s">
        <v>2956</v>
      </c>
      <c r="H2350" s="2">
        <v>45191.917361111111</v>
      </c>
      <c r="I2350" t="s">
        <v>248</v>
      </c>
      <c r="Z2350">
        <v>65284</v>
      </c>
    </row>
    <row r="2351" spans="1:26" x14ac:dyDescent="0.25">
      <c r="A2351" t="s">
        <v>2957</v>
      </c>
      <c r="B2351" t="s">
        <v>26</v>
      </c>
      <c r="C2351" t="s">
        <v>27</v>
      </c>
      <c r="H2351" s="2">
        <v>45191.54583333333</v>
      </c>
      <c r="I2351" t="s">
        <v>153</v>
      </c>
      <c r="Z2351">
        <v>65251</v>
      </c>
    </row>
    <row r="2352" spans="1:26" x14ac:dyDescent="0.25">
      <c r="A2352" t="s">
        <v>2958</v>
      </c>
      <c r="B2352" t="s">
        <v>26</v>
      </c>
      <c r="C2352" t="s">
        <v>27</v>
      </c>
      <c r="H2352" s="2">
        <v>45191.498611111114</v>
      </c>
      <c r="I2352" t="s">
        <v>235</v>
      </c>
      <c r="Z2352">
        <v>65242</v>
      </c>
    </row>
    <row r="2353" spans="1:26" x14ac:dyDescent="0.25">
      <c r="A2353" t="s">
        <v>1256</v>
      </c>
      <c r="B2353" t="s">
        <v>26</v>
      </c>
      <c r="C2353" t="s">
        <v>27</v>
      </c>
      <c r="H2353" s="2">
        <v>45190.578472222223</v>
      </c>
      <c r="I2353" t="s">
        <v>194</v>
      </c>
      <c r="Z2353">
        <v>65174</v>
      </c>
    </row>
    <row r="2354" spans="1:26" x14ac:dyDescent="0.25">
      <c r="A2354" t="s">
        <v>2959</v>
      </c>
      <c r="B2354" t="s">
        <v>26</v>
      </c>
      <c r="C2354" t="s">
        <v>27</v>
      </c>
      <c r="H2354" s="2">
        <v>45190.561805555553</v>
      </c>
      <c r="I2354" t="s">
        <v>95</v>
      </c>
      <c r="Z2354">
        <v>65171</v>
      </c>
    </row>
    <row r="2355" spans="1:26" x14ac:dyDescent="0.25">
      <c r="A2355" t="s">
        <v>2960</v>
      </c>
      <c r="B2355" t="s">
        <v>26</v>
      </c>
      <c r="C2355" t="s">
        <v>27</v>
      </c>
      <c r="H2355" s="2">
        <v>45190.504861111112</v>
      </c>
      <c r="I2355" t="s">
        <v>235</v>
      </c>
      <c r="Z2355">
        <v>65163</v>
      </c>
    </row>
    <row r="2356" spans="1:26" x14ac:dyDescent="0.25">
      <c r="A2356" t="s">
        <v>2961</v>
      </c>
      <c r="B2356" t="s">
        <v>26</v>
      </c>
      <c r="C2356" t="s">
        <v>27</v>
      </c>
      <c r="H2356" s="2">
        <v>45190.386111111111</v>
      </c>
      <c r="I2356" t="s">
        <v>197</v>
      </c>
      <c r="Z2356">
        <v>65137</v>
      </c>
    </row>
    <row r="2357" spans="1:26" x14ac:dyDescent="0.25">
      <c r="A2357" t="s">
        <v>234</v>
      </c>
      <c r="B2357" t="s">
        <v>185</v>
      </c>
      <c r="C2357" t="s">
        <v>27</v>
      </c>
      <c r="E2357" t="s">
        <v>45</v>
      </c>
      <c r="H2357" s="2">
        <v>45189.668055555558</v>
      </c>
      <c r="I2357" t="s">
        <v>227</v>
      </c>
      <c r="Z2357">
        <v>65102</v>
      </c>
    </row>
    <row r="2358" spans="1:26" x14ac:dyDescent="0.25">
      <c r="A2358" t="s">
        <v>2962</v>
      </c>
      <c r="B2358" t="s">
        <v>26</v>
      </c>
      <c r="C2358" t="s">
        <v>27</v>
      </c>
      <c r="H2358" s="2">
        <v>45189.647916666669</v>
      </c>
      <c r="I2358" t="s">
        <v>226</v>
      </c>
      <c r="Z2358">
        <v>65097</v>
      </c>
    </row>
    <row r="2359" spans="1:26" x14ac:dyDescent="0.25">
      <c r="A2359" t="s">
        <v>2963</v>
      </c>
      <c r="B2359" t="s">
        <v>26</v>
      </c>
      <c r="C2359" t="s">
        <v>27</v>
      </c>
      <c r="H2359" s="2">
        <v>45189.645833333336</v>
      </c>
      <c r="I2359" t="s">
        <v>226</v>
      </c>
      <c r="Z2359">
        <v>65096</v>
      </c>
    </row>
    <row r="2360" spans="1:26" x14ac:dyDescent="0.25">
      <c r="A2360" t="s">
        <v>2964</v>
      </c>
      <c r="B2360" t="s">
        <v>26</v>
      </c>
      <c r="C2360" t="s">
        <v>27</v>
      </c>
      <c r="H2360" s="2">
        <v>45189.642361111109</v>
      </c>
      <c r="I2360" t="s">
        <v>226</v>
      </c>
      <c r="Z2360">
        <v>65094</v>
      </c>
    </row>
    <row r="2361" spans="1:26" x14ac:dyDescent="0.25">
      <c r="A2361" t="s">
        <v>2965</v>
      </c>
      <c r="B2361" t="s">
        <v>26</v>
      </c>
      <c r="C2361" t="s">
        <v>82</v>
      </c>
      <c r="H2361" s="2">
        <v>45189.638194444444</v>
      </c>
      <c r="I2361" t="s">
        <v>235</v>
      </c>
      <c r="Z2361">
        <v>65093</v>
      </c>
    </row>
    <row r="2362" spans="1:26" x14ac:dyDescent="0.25">
      <c r="A2362" t="s">
        <v>2966</v>
      </c>
      <c r="B2362" t="s">
        <v>26</v>
      </c>
      <c r="C2362" t="s">
        <v>27</v>
      </c>
      <c r="H2362" s="2">
        <v>45189.637499999997</v>
      </c>
      <c r="I2362" t="s">
        <v>197</v>
      </c>
      <c r="Z2362">
        <v>65092</v>
      </c>
    </row>
    <row r="2363" spans="1:26" x14ac:dyDescent="0.25">
      <c r="A2363" t="s">
        <v>2967</v>
      </c>
      <c r="B2363" t="s">
        <v>185</v>
      </c>
      <c r="C2363" t="s">
        <v>27</v>
      </c>
      <c r="E2363" t="s">
        <v>2968</v>
      </c>
      <c r="G2363" t="s">
        <v>2969</v>
      </c>
      <c r="H2363" s="2">
        <v>45189.632638888892</v>
      </c>
      <c r="I2363" t="s">
        <v>227</v>
      </c>
      <c r="Z2363">
        <v>65087</v>
      </c>
    </row>
    <row r="2364" spans="1:26" x14ac:dyDescent="0.25">
      <c r="A2364" t="s">
        <v>2970</v>
      </c>
      <c r="C2364" t="s">
        <v>27</v>
      </c>
      <c r="E2364" t="s">
        <v>66</v>
      </c>
      <c r="H2364" s="2">
        <v>45189.620138888888</v>
      </c>
      <c r="I2364" t="s">
        <v>197</v>
      </c>
      <c r="Z2364">
        <v>65084</v>
      </c>
    </row>
    <row r="2365" spans="1:26" x14ac:dyDescent="0.25">
      <c r="A2365" t="s">
        <v>2971</v>
      </c>
      <c r="B2365" t="s">
        <v>26</v>
      </c>
      <c r="C2365" t="s">
        <v>27</v>
      </c>
      <c r="H2365" s="2">
        <v>45188.78402777778</v>
      </c>
      <c r="I2365" t="s">
        <v>226</v>
      </c>
      <c r="Z2365">
        <v>65018</v>
      </c>
    </row>
    <row r="2366" spans="1:26" x14ac:dyDescent="0.25">
      <c r="A2366" t="s">
        <v>367</v>
      </c>
      <c r="B2366" t="s">
        <v>26</v>
      </c>
      <c r="C2366" t="s">
        <v>27</v>
      </c>
      <c r="H2366" s="2">
        <v>45188.632638888892</v>
      </c>
      <c r="I2366" t="s">
        <v>197</v>
      </c>
      <c r="Z2366">
        <v>64996</v>
      </c>
    </row>
    <row r="2367" spans="1:26" x14ac:dyDescent="0.25">
      <c r="A2367" t="s">
        <v>1054</v>
      </c>
      <c r="B2367" t="s">
        <v>26</v>
      </c>
      <c r="C2367" t="s">
        <v>27</v>
      </c>
      <c r="H2367" s="2">
        <v>45187.654166666667</v>
      </c>
      <c r="I2367" t="s">
        <v>235</v>
      </c>
      <c r="Z2367">
        <v>64925</v>
      </c>
    </row>
    <row r="2368" spans="1:26" x14ac:dyDescent="0.25">
      <c r="A2368" t="s">
        <v>712</v>
      </c>
      <c r="B2368" t="s">
        <v>26</v>
      </c>
      <c r="C2368" t="s">
        <v>27</v>
      </c>
      <c r="H2368" s="2">
        <v>45187.60833333333</v>
      </c>
      <c r="I2368" t="s">
        <v>29</v>
      </c>
      <c r="Z2368">
        <v>64919</v>
      </c>
    </row>
    <row r="2369" spans="1:26" x14ac:dyDescent="0.25">
      <c r="A2369" t="s">
        <v>712</v>
      </c>
      <c r="B2369" t="s">
        <v>26</v>
      </c>
      <c r="C2369" t="s">
        <v>27</v>
      </c>
      <c r="H2369" s="2">
        <v>45187.518750000003</v>
      </c>
      <c r="I2369" t="s">
        <v>153</v>
      </c>
      <c r="Z2369">
        <v>64895</v>
      </c>
    </row>
    <row r="2370" spans="1:26" x14ac:dyDescent="0.25">
      <c r="A2370" t="s">
        <v>712</v>
      </c>
      <c r="B2370" t="s">
        <v>26</v>
      </c>
      <c r="C2370" t="s">
        <v>27</v>
      </c>
      <c r="H2370" s="2">
        <v>45187.508333333331</v>
      </c>
      <c r="I2370" t="s">
        <v>29</v>
      </c>
      <c r="Z2370">
        <v>64893</v>
      </c>
    </row>
    <row r="2371" spans="1:26" x14ac:dyDescent="0.25">
      <c r="A2371" t="s">
        <v>2972</v>
      </c>
      <c r="B2371" t="s">
        <v>26</v>
      </c>
      <c r="C2371" t="s">
        <v>27</v>
      </c>
      <c r="H2371" s="2">
        <v>45187.474999999999</v>
      </c>
      <c r="I2371" t="s">
        <v>29</v>
      </c>
      <c r="Z2371">
        <v>64889</v>
      </c>
    </row>
    <row r="2372" spans="1:26" x14ac:dyDescent="0.25">
      <c r="A2372" t="s">
        <v>2973</v>
      </c>
      <c r="B2372" t="s">
        <v>164</v>
      </c>
      <c r="C2372" t="s">
        <v>27</v>
      </c>
      <c r="E2372" t="s">
        <v>2974</v>
      </c>
      <c r="H2372" s="2">
        <v>45186.822916666664</v>
      </c>
      <c r="I2372" t="s">
        <v>153</v>
      </c>
      <c r="K2372" t="s">
        <v>30</v>
      </c>
      <c r="L2372" t="s">
        <v>31</v>
      </c>
      <c r="M2372">
        <v>55887119</v>
      </c>
      <c r="N2372">
        <v>9754621014</v>
      </c>
      <c r="O2372" t="s">
        <v>682</v>
      </c>
      <c r="Z2372">
        <v>64862</v>
      </c>
    </row>
    <row r="2373" spans="1:26" x14ac:dyDescent="0.25">
      <c r="A2373" t="s">
        <v>102</v>
      </c>
      <c r="B2373" t="s">
        <v>77</v>
      </c>
      <c r="C2373" t="s">
        <v>27</v>
      </c>
      <c r="E2373" t="s">
        <v>69</v>
      </c>
      <c r="H2373" s="2">
        <v>45186.793055555558</v>
      </c>
      <c r="I2373" t="s">
        <v>252</v>
      </c>
      <c r="Z2373">
        <v>64859</v>
      </c>
    </row>
    <row r="2374" spans="1:26" x14ac:dyDescent="0.25">
      <c r="A2374" t="s">
        <v>2975</v>
      </c>
      <c r="B2374" t="s">
        <v>26</v>
      </c>
      <c r="C2374" t="s">
        <v>64</v>
      </c>
      <c r="H2374" s="2">
        <v>45186.790972222225</v>
      </c>
      <c r="I2374" t="s">
        <v>252</v>
      </c>
      <c r="Z2374">
        <v>64857</v>
      </c>
    </row>
    <row r="2375" spans="1:26" x14ac:dyDescent="0.25">
      <c r="A2375" t="s">
        <v>2976</v>
      </c>
      <c r="B2375" t="s">
        <v>26</v>
      </c>
      <c r="C2375" t="s">
        <v>27</v>
      </c>
      <c r="H2375" s="2">
        <v>45186.760416666664</v>
      </c>
      <c r="I2375" t="s">
        <v>252</v>
      </c>
      <c r="Z2375">
        <v>64853</v>
      </c>
    </row>
    <row r="2376" spans="1:26" x14ac:dyDescent="0.25">
      <c r="A2376" t="s">
        <v>2977</v>
      </c>
      <c r="B2376" t="s">
        <v>26</v>
      </c>
      <c r="C2376" t="s">
        <v>27</v>
      </c>
      <c r="H2376" s="2">
        <v>45186.691666666666</v>
      </c>
      <c r="I2376" t="s">
        <v>95</v>
      </c>
      <c r="Z2376">
        <v>64846</v>
      </c>
    </row>
    <row r="2377" spans="1:26" x14ac:dyDescent="0.25">
      <c r="A2377" t="s">
        <v>2978</v>
      </c>
      <c r="B2377" t="s">
        <v>26</v>
      </c>
      <c r="C2377" t="s">
        <v>27</v>
      </c>
      <c r="H2377" s="2">
        <v>45186.681944444441</v>
      </c>
      <c r="I2377" t="s">
        <v>153</v>
      </c>
      <c r="Z2377">
        <v>64841</v>
      </c>
    </row>
    <row r="2378" spans="1:26" x14ac:dyDescent="0.25">
      <c r="A2378" t="s">
        <v>712</v>
      </c>
      <c r="B2378" t="s">
        <v>26</v>
      </c>
      <c r="C2378" t="s">
        <v>27</v>
      </c>
      <c r="H2378" s="2">
        <v>45186.657638888886</v>
      </c>
      <c r="I2378" t="s">
        <v>29</v>
      </c>
      <c r="Z2378">
        <v>64839</v>
      </c>
    </row>
    <row r="2379" spans="1:26" x14ac:dyDescent="0.25">
      <c r="A2379" t="s">
        <v>712</v>
      </c>
      <c r="B2379" t="s">
        <v>26</v>
      </c>
      <c r="C2379" t="s">
        <v>27</v>
      </c>
      <c r="H2379" s="2">
        <v>45186.511111111111</v>
      </c>
      <c r="I2379" t="s">
        <v>29</v>
      </c>
      <c r="Z2379">
        <v>64820</v>
      </c>
    </row>
    <row r="2380" spans="1:26" x14ac:dyDescent="0.25">
      <c r="A2380" t="s">
        <v>1256</v>
      </c>
      <c r="B2380" t="s">
        <v>26</v>
      </c>
      <c r="C2380" t="s">
        <v>27</v>
      </c>
      <c r="H2380" s="2">
        <v>45185.584722222222</v>
      </c>
      <c r="I2380" t="s">
        <v>153</v>
      </c>
      <c r="Z2380">
        <v>64778</v>
      </c>
    </row>
    <row r="2381" spans="1:26" x14ac:dyDescent="0.25">
      <c r="A2381" t="s">
        <v>2979</v>
      </c>
      <c r="B2381" t="s">
        <v>26</v>
      </c>
      <c r="C2381" t="s">
        <v>27</v>
      </c>
      <c r="H2381" s="2">
        <v>45185.434027777781</v>
      </c>
      <c r="I2381" t="s">
        <v>252</v>
      </c>
      <c r="Z2381">
        <v>64753</v>
      </c>
    </row>
    <row r="2382" spans="1:26" x14ac:dyDescent="0.25">
      <c r="A2382" t="s">
        <v>2980</v>
      </c>
      <c r="B2382" t="s">
        <v>26</v>
      </c>
      <c r="C2382" t="s">
        <v>27</v>
      </c>
      <c r="E2382" t="s">
        <v>139</v>
      </c>
      <c r="H2382" s="2">
        <v>45184.730555555558</v>
      </c>
      <c r="I2382" t="s">
        <v>153</v>
      </c>
      <c r="Z2382">
        <v>64727</v>
      </c>
    </row>
    <row r="2383" spans="1:26" x14ac:dyDescent="0.25">
      <c r="A2383" t="s">
        <v>2981</v>
      </c>
      <c r="B2383" t="s">
        <v>26</v>
      </c>
      <c r="C2383" t="s">
        <v>27</v>
      </c>
      <c r="E2383" t="s">
        <v>2981</v>
      </c>
      <c r="H2383" s="2">
        <v>45184.45208333333</v>
      </c>
      <c r="I2383" t="s">
        <v>227</v>
      </c>
      <c r="Z2383">
        <v>64686</v>
      </c>
    </row>
    <row r="2384" spans="1:26" x14ac:dyDescent="0.25">
      <c r="A2384" t="s">
        <v>712</v>
      </c>
      <c r="B2384" t="s">
        <v>26</v>
      </c>
      <c r="C2384" t="s">
        <v>27</v>
      </c>
      <c r="H2384" s="2">
        <v>45184.45</v>
      </c>
      <c r="I2384" t="s">
        <v>252</v>
      </c>
      <c r="Z2384">
        <v>64684</v>
      </c>
    </row>
    <row r="2385" spans="1:26" x14ac:dyDescent="0.25">
      <c r="A2385" t="s">
        <v>2982</v>
      </c>
      <c r="B2385" t="s">
        <v>26</v>
      </c>
      <c r="C2385" t="s">
        <v>27</v>
      </c>
      <c r="H2385" s="2">
        <v>45183.685416666667</v>
      </c>
      <c r="I2385" t="s">
        <v>227</v>
      </c>
      <c r="Z2385">
        <v>64654</v>
      </c>
    </row>
    <row r="2386" spans="1:26" x14ac:dyDescent="0.25">
      <c r="A2386" t="s">
        <v>2983</v>
      </c>
      <c r="B2386" t="s">
        <v>26</v>
      </c>
      <c r="C2386" t="s">
        <v>27</v>
      </c>
      <c r="H2386" s="2">
        <v>45182.684027777781</v>
      </c>
      <c r="I2386" t="s">
        <v>194</v>
      </c>
      <c r="Z2386">
        <v>64597</v>
      </c>
    </row>
    <row r="2387" spans="1:26" x14ac:dyDescent="0.25">
      <c r="A2387" t="s">
        <v>273</v>
      </c>
      <c r="B2387" t="s">
        <v>26</v>
      </c>
      <c r="C2387" t="s">
        <v>27</v>
      </c>
      <c r="H2387" s="2">
        <v>45182.627083333333</v>
      </c>
      <c r="I2387" t="s">
        <v>252</v>
      </c>
      <c r="Z2387">
        <v>64583</v>
      </c>
    </row>
    <row r="2388" spans="1:26" x14ac:dyDescent="0.25">
      <c r="A2388" t="s">
        <v>2965</v>
      </c>
      <c r="B2388" t="s">
        <v>26</v>
      </c>
      <c r="C2388" t="s">
        <v>27</v>
      </c>
      <c r="H2388" s="2">
        <v>45182.549305555556</v>
      </c>
      <c r="I2388" t="s">
        <v>252</v>
      </c>
      <c r="Z2388">
        <v>64573</v>
      </c>
    </row>
    <row r="2389" spans="1:26" x14ac:dyDescent="0.25">
      <c r="A2389" t="s">
        <v>2984</v>
      </c>
      <c r="B2389" t="s">
        <v>26</v>
      </c>
      <c r="C2389" t="s">
        <v>27</v>
      </c>
      <c r="H2389" s="2">
        <v>45182.526388888888</v>
      </c>
      <c r="I2389" t="s">
        <v>226</v>
      </c>
      <c r="Z2389">
        <v>64567</v>
      </c>
    </row>
    <row r="2390" spans="1:26" x14ac:dyDescent="0.25">
      <c r="A2390" t="s">
        <v>2985</v>
      </c>
      <c r="B2390" t="s">
        <v>26</v>
      </c>
      <c r="C2390" t="s">
        <v>27</v>
      </c>
      <c r="H2390" s="2">
        <v>45182.447916666664</v>
      </c>
      <c r="I2390" t="s">
        <v>226</v>
      </c>
      <c r="Z2390">
        <v>64542</v>
      </c>
    </row>
    <row r="2391" spans="1:26" x14ac:dyDescent="0.25">
      <c r="A2391" t="s">
        <v>2986</v>
      </c>
      <c r="B2391" t="s">
        <v>26</v>
      </c>
      <c r="C2391" t="s">
        <v>27</v>
      </c>
      <c r="H2391" s="2">
        <v>45181.768055555556</v>
      </c>
      <c r="I2391" t="s">
        <v>226</v>
      </c>
      <c r="Z2391">
        <v>64511</v>
      </c>
    </row>
    <row r="2392" spans="1:26" x14ac:dyDescent="0.25">
      <c r="A2392" t="s">
        <v>2965</v>
      </c>
      <c r="B2392" t="s">
        <v>26</v>
      </c>
      <c r="C2392" t="s">
        <v>27</v>
      </c>
      <c r="H2392" s="2">
        <v>45181.677777777775</v>
      </c>
      <c r="I2392" t="s">
        <v>252</v>
      </c>
      <c r="Z2392">
        <v>64495</v>
      </c>
    </row>
    <row r="2393" spans="1:26" x14ac:dyDescent="0.25">
      <c r="A2393" t="s">
        <v>2987</v>
      </c>
      <c r="B2393" t="s">
        <v>26</v>
      </c>
      <c r="C2393" t="s">
        <v>27</v>
      </c>
      <c r="H2393" s="2">
        <v>45181.5625</v>
      </c>
      <c r="I2393" t="s">
        <v>252</v>
      </c>
      <c r="Z2393">
        <v>64479</v>
      </c>
    </row>
    <row r="2394" spans="1:26" x14ac:dyDescent="0.25">
      <c r="A2394" t="s">
        <v>712</v>
      </c>
      <c r="B2394" t="s">
        <v>26</v>
      </c>
      <c r="C2394" t="s">
        <v>27</v>
      </c>
      <c r="H2394" s="2">
        <v>45181.45</v>
      </c>
      <c r="I2394" t="s">
        <v>29</v>
      </c>
      <c r="Z2394">
        <v>64463</v>
      </c>
    </row>
    <row r="2395" spans="1:26" x14ac:dyDescent="0.25">
      <c r="A2395" t="s">
        <v>2988</v>
      </c>
      <c r="B2395" t="s">
        <v>26</v>
      </c>
      <c r="C2395" t="s">
        <v>27</v>
      </c>
      <c r="H2395" s="2">
        <v>45181.384722222225</v>
      </c>
      <c r="I2395" t="s">
        <v>252</v>
      </c>
      <c r="Z2395">
        <v>64453</v>
      </c>
    </row>
    <row r="2396" spans="1:26" x14ac:dyDescent="0.25">
      <c r="A2396" t="s">
        <v>2989</v>
      </c>
      <c r="B2396" t="s">
        <v>26</v>
      </c>
      <c r="C2396" t="s">
        <v>27</v>
      </c>
      <c r="H2396" s="2">
        <v>45180.78402777778</v>
      </c>
      <c r="I2396" t="s">
        <v>252</v>
      </c>
      <c r="Z2396">
        <v>64446</v>
      </c>
    </row>
    <row r="2397" spans="1:26" x14ac:dyDescent="0.25">
      <c r="A2397" t="s">
        <v>2990</v>
      </c>
      <c r="B2397" t="s">
        <v>26</v>
      </c>
      <c r="C2397" t="s">
        <v>27</v>
      </c>
      <c r="H2397" s="2">
        <v>45180.71875</v>
      </c>
      <c r="I2397" t="s">
        <v>252</v>
      </c>
      <c r="Z2397">
        <v>64438</v>
      </c>
    </row>
    <row r="2398" spans="1:26" x14ac:dyDescent="0.25">
      <c r="A2398" t="s">
        <v>2991</v>
      </c>
      <c r="B2398" t="s">
        <v>26</v>
      </c>
      <c r="C2398" t="s">
        <v>27</v>
      </c>
      <c r="H2398" s="2">
        <v>45180.631944444445</v>
      </c>
      <c r="I2398" t="s">
        <v>29</v>
      </c>
      <c r="Z2398">
        <v>64425</v>
      </c>
    </row>
    <row r="2399" spans="1:26" x14ac:dyDescent="0.25">
      <c r="A2399" t="s">
        <v>712</v>
      </c>
      <c r="B2399" t="s">
        <v>46</v>
      </c>
      <c r="C2399" t="s">
        <v>27</v>
      </c>
      <c r="E2399" t="s">
        <v>139</v>
      </c>
      <c r="G2399" t="s">
        <v>2992</v>
      </c>
      <c r="H2399" s="2">
        <v>45180.597222222219</v>
      </c>
      <c r="I2399" t="s">
        <v>29</v>
      </c>
      <c r="Z2399">
        <v>64418</v>
      </c>
    </row>
    <row r="2400" spans="1:26" x14ac:dyDescent="0.25">
      <c r="A2400" t="s">
        <v>2993</v>
      </c>
      <c r="B2400" t="s">
        <v>26</v>
      </c>
      <c r="C2400" t="s">
        <v>27</v>
      </c>
      <c r="H2400" s="2">
        <v>45180.586111111108</v>
      </c>
      <c r="I2400" t="s">
        <v>252</v>
      </c>
      <c r="Z2400">
        <v>64416</v>
      </c>
    </row>
    <row r="2401" spans="1:26" x14ac:dyDescent="0.25">
      <c r="A2401" t="s">
        <v>2994</v>
      </c>
      <c r="B2401" t="s">
        <v>26</v>
      </c>
      <c r="C2401" t="s">
        <v>27</v>
      </c>
      <c r="H2401" s="2">
        <v>45180.525000000001</v>
      </c>
      <c r="I2401" t="s">
        <v>153</v>
      </c>
      <c r="Z2401">
        <v>64411</v>
      </c>
    </row>
    <row r="2402" spans="1:26" x14ac:dyDescent="0.25">
      <c r="A2402" t="s">
        <v>712</v>
      </c>
      <c r="B2402" t="s">
        <v>164</v>
      </c>
      <c r="C2402" t="s">
        <v>27</v>
      </c>
      <c r="E2402" t="s">
        <v>84</v>
      </c>
      <c r="G2402" t="s">
        <v>2995</v>
      </c>
      <c r="H2402" s="2">
        <v>45180.447916666664</v>
      </c>
      <c r="I2402" t="s">
        <v>29</v>
      </c>
      <c r="Z2402">
        <v>64397</v>
      </c>
    </row>
    <row r="2403" spans="1:26" x14ac:dyDescent="0.25">
      <c r="A2403" t="s">
        <v>2996</v>
      </c>
      <c r="B2403" t="s">
        <v>164</v>
      </c>
      <c r="C2403" t="s">
        <v>27</v>
      </c>
      <c r="E2403" t="s">
        <v>229</v>
      </c>
      <c r="H2403" s="2">
        <v>45179.96875</v>
      </c>
      <c r="I2403" t="s">
        <v>153</v>
      </c>
      <c r="K2403" t="s">
        <v>30</v>
      </c>
      <c r="L2403" t="s">
        <v>31</v>
      </c>
      <c r="M2403">
        <v>55887119</v>
      </c>
      <c r="N2403">
        <v>9754621012</v>
      </c>
      <c r="O2403" t="s">
        <v>682</v>
      </c>
      <c r="Z2403">
        <v>64383</v>
      </c>
    </row>
    <row r="2404" spans="1:26" x14ac:dyDescent="0.25">
      <c r="A2404" t="s">
        <v>2997</v>
      </c>
      <c r="B2404" t="s">
        <v>26</v>
      </c>
      <c r="C2404" t="s">
        <v>27</v>
      </c>
      <c r="H2404" s="2">
        <v>45178.772222222222</v>
      </c>
      <c r="I2404" t="s">
        <v>95</v>
      </c>
      <c r="Z2404">
        <v>64325</v>
      </c>
    </row>
    <row r="2405" spans="1:26" x14ac:dyDescent="0.25">
      <c r="A2405" t="s">
        <v>109</v>
      </c>
      <c r="C2405" t="s">
        <v>27</v>
      </c>
      <c r="E2405" t="s">
        <v>55</v>
      </c>
      <c r="H2405" s="2">
        <v>45178.765972222223</v>
      </c>
      <c r="I2405" t="s">
        <v>235</v>
      </c>
      <c r="Z2405">
        <v>64324</v>
      </c>
    </row>
    <row r="2406" spans="1:26" x14ac:dyDescent="0.25">
      <c r="A2406" t="s">
        <v>2998</v>
      </c>
      <c r="C2406" t="s">
        <v>27</v>
      </c>
      <c r="E2406" t="s">
        <v>228</v>
      </c>
      <c r="H2406" s="2">
        <v>45178.018750000003</v>
      </c>
      <c r="I2406" t="s">
        <v>153</v>
      </c>
      <c r="Z2406">
        <v>64295</v>
      </c>
    </row>
    <row r="2407" spans="1:26" x14ac:dyDescent="0.25">
      <c r="A2407" t="s">
        <v>2999</v>
      </c>
      <c r="B2407" t="s">
        <v>26</v>
      </c>
      <c r="C2407" t="s">
        <v>27</v>
      </c>
      <c r="H2407" s="2">
        <v>45177.467361111114</v>
      </c>
      <c r="I2407" t="s">
        <v>194</v>
      </c>
      <c r="Z2407">
        <v>64242</v>
      </c>
    </row>
    <row r="2408" spans="1:26" x14ac:dyDescent="0.25">
      <c r="A2408" t="s">
        <v>3000</v>
      </c>
      <c r="B2408" t="s">
        <v>150</v>
      </c>
      <c r="C2408" t="s">
        <v>27</v>
      </c>
      <c r="E2408" t="s">
        <v>3001</v>
      </c>
      <c r="H2408" s="2">
        <v>45176.761805555558</v>
      </c>
      <c r="I2408" t="s">
        <v>227</v>
      </c>
      <c r="Z2408">
        <v>64213</v>
      </c>
    </row>
    <row r="2409" spans="1:26" x14ac:dyDescent="0.25">
      <c r="A2409" t="s">
        <v>3002</v>
      </c>
      <c r="B2409" t="s">
        <v>150</v>
      </c>
      <c r="C2409" t="s">
        <v>27</v>
      </c>
      <c r="E2409" t="s">
        <v>166</v>
      </c>
      <c r="G2409" t="s">
        <v>3003</v>
      </c>
      <c r="H2409" s="2">
        <v>45176.753472222219</v>
      </c>
      <c r="I2409" t="s">
        <v>194</v>
      </c>
      <c r="Z2409">
        <v>64212</v>
      </c>
    </row>
    <row r="2410" spans="1:26" x14ac:dyDescent="0.25">
      <c r="A2410" t="s">
        <v>3004</v>
      </c>
      <c r="B2410" t="s">
        <v>26</v>
      </c>
      <c r="C2410" t="s">
        <v>27</v>
      </c>
      <c r="H2410" s="2">
        <v>45176.745833333334</v>
      </c>
      <c r="I2410" t="s">
        <v>194</v>
      </c>
      <c r="Z2410">
        <v>64211</v>
      </c>
    </row>
    <row r="2411" spans="1:26" x14ac:dyDescent="0.25">
      <c r="A2411" t="s">
        <v>3005</v>
      </c>
      <c r="B2411" t="s">
        <v>26</v>
      </c>
      <c r="C2411" t="s">
        <v>27</v>
      </c>
      <c r="H2411" s="2">
        <v>45176.718055555553</v>
      </c>
      <c r="I2411" t="s">
        <v>194</v>
      </c>
      <c r="Z2411">
        <v>64206</v>
      </c>
    </row>
    <row r="2412" spans="1:26" x14ac:dyDescent="0.25">
      <c r="A2412" t="s">
        <v>3006</v>
      </c>
      <c r="B2412" t="s">
        <v>26</v>
      </c>
      <c r="C2412" t="s">
        <v>27</v>
      </c>
      <c r="H2412" s="2">
        <v>45176.633333333331</v>
      </c>
      <c r="I2412" t="s">
        <v>226</v>
      </c>
      <c r="Z2412">
        <v>64191</v>
      </c>
    </row>
    <row r="2413" spans="1:26" x14ac:dyDescent="0.25">
      <c r="A2413" t="s">
        <v>3007</v>
      </c>
      <c r="B2413" t="s">
        <v>26</v>
      </c>
      <c r="C2413" t="s">
        <v>27</v>
      </c>
      <c r="H2413" s="2">
        <v>45176.538888888892</v>
      </c>
      <c r="I2413" t="s">
        <v>194</v>
      </c>
      <c r="Z2413">
        <v>64177</v>
      </c>
    </row>
    <row r="2414" spans="1:26" x14ac:dyDescent="0.25">
      <c r="A2414" t="s">
        <v>3008</v>
      </c>
      <c r="B2414" t="s">
        <v>26</v>
      </c>
      <c r="C2414" t="s">
        <v>27</v>
      </c>
      <c r="E2414" t="s">
        <v>53</v>
      </c>
      <c r="G2414" t="s">
        <v>3009</v>
      </c>
      <c r="H2414" s="2">
        <v>45175.56527777778</v>
      </c>
      <c r="I2414" t="s">
        <v>227</v>
      </c>
      <c r="Z2414">
        <v>64118</v>
      </c>
    </row>
    <row r="2415" spans="1:26" x14ac:dyDescent="0.25">
      <c r="A2415" t="s">
        <v>3010</v>
      </c>
      <c r="B2415" t="s">
        <v>26</v>
      </c>
      <c r="C2415" t="s">
        <v>27</v>
      </c>
      <c r="H2415" s="2">
        <v>45175.556250000001</v>
      </c>
      <c r="I2415" t="s">
        <v>29</v>
      </c>
      <c r="Z2415">
        <v>64115</v>
      </c>
    </row>
    <row r="2416" spans="1:26" x14ac:dyDescent="0.25">
      <c r="A2416" t="s">
        <v>3011</v>
      </c>
      <c r="B2416" t="s">
        <v>150</v>
      </c>
      <c r="C2416" t="s">
        <v>27</v>
      </c>
      <c r="E2416" t="s">
        <v>3012</v>
      </c>
      <c r="G2416" t="s">
        <v>3013</v>
      </c>
      <c r="H2416" s="2">
        <v>45175.537499999999</v>
      </c>
      <c r="I2416" t="s">
        <v>227</v>
      </c>
      <c r="K2416" t="s">
        <v>30</v>
      </c>
      <c r="L2416" t="s">
        <v>31</v>
      </c>
      <c r="M2416">
        <v>55887024</v>
      </c>
      <c r="N2416">
        <v>9754613600</v>
      </c>
      <c r="O2416" t="s">
        <v>2039</v>
      </c>
      <c r="Z2416">
        <v>64113</v>
      </c>
    </row>
    <row r="2417" spans="1:26" x14ac:dyDescent="0.25">
      <c r="A2417" t="s">
        <v>3014</v>
      </c>
      <c r="B2417" t="s">
        <v>26</v>
      </c>
      <c r="C2417" t="s">
        <v>27</v>
      </c>
      <c r="H2417" s="2">
        <v>45175.484722222223</v>
      </c>
      <c r="I2417" t="s">
        <v>29</v>
      </c>
      <c r="Z2417">
        <v>64106</v>
      </c>
    </row>
    <row r="2418" spans="1:26" x14ac:dyDescent="0.25">
      <c r="A2418" t="s">
        <v>3015</v>
      </c>
      <c r="B2418" t="s">
        <v>164</v>
      </c>
      <c r="C2418" t="s">
        <v>27</v>
      </c>
      <c r="E2418" t="s">
        <v>3016</v>
      </c>
      <c r="H2418" s="2">
        <v>45175.347916666666</v>
      </c>
      <c r="I2418" t="s">
        <v>227</v>
      </c>
      <c r="Z2418">
        <v>64084</v>
      </c>
    </row>
    <row r="2419" spans="1:26" x14ac:dyDescent="0.25">
      <c r="A2419" t="s">
        <v>712</v>
      </c>
      <c r="B2419" t="s">
        <v>26</v>
      </c>
      <c r="C2419" t="s">
        <v>27</v>
      </c>
      <c r="H2419" s="2">
        <v>45174.79791666667</v>
      </c>
      <c r="I2419" t="s">
        <v>29</v>
      </c>
      <c r="Z2419">
        <v>64079</v>
      </c>
    </row>
    <row r="2420" spans="1:26" x14ac:dyDescent="0.25">
      <c r="A2420" t="s">
        <v>712</v>
      </c>
      <c r="B2420" t="s">
        <v>26</v>
      </c>
      <c r="C2420" t="s">
        <v>27</v>
      </c>
      <c r="H2420" s="2">
        <v>45174.723611111112</v>
      </c>
      <c r="I2420" t="s">
        <v>29</v>
      </c>
      <c r="Z2420">
        <v>64074</v>
      </c>
    </row>
    <row r="2421" spans="1:26" x14ac:dyDescent="0.25">
      <c r="A2421" t="s">
        <v>3017</v>
      </c>
      <c r="B2421" t="s">
        <v>26</v>
      </c>
      <c r="C2421" t="s">
        <v>27</v>
      </c>
      <c r="H2421" s="2">
        <v>45174.7</v>
      </c>
      <c r="I2421" t="s">
        <v>235</v>
      </c>
      <c r="Z2421">
        <v>64070</v>
      </c>
    </row>
    <row r="2422" spans="1:26" x14ac:dyDescent="0.25">
      <c r="A2422" t="s">
        <v>3018</v>
      </c>
      <c r="B2422" t="s">
        <v>26</v>
      </c>
      <c r="C2422" t="s">
        <v>27</v>
      </c>
      <c r="H2422" s="2">
        <v>45174.536111111112</v>
      </c>
      <c r="I2422" t="s">
        <v>29</v>
      </c>
      <c r="Z2422">
        <v>64049</v>
      </c>
    </row>
    <row r="2423" spans="1:26" x14ac:dyDescent="0.25">
      <c r="A2423" t="s">
        <v>3019</v>
      </c>
      <c r="B2423" t="s">
        <v>26</v>
      </c>
      <c r="C2423" t="s">
        <v>27</v>
      </c>
      <c r="H2423" s="2">
        <v>45174.446527777778</v>
      </c>
      <c r="I2423" t="s">
        <v>235</v>
      </c>
      <c r="Z2423">
        <v>64041</v>
      </c>
    </row>
    <row r="2424" spans="1:26" x14ac:dyDescent="0.25">
      <c r="A2424" t="s">
        <v>3020</v>
      </c>
      <c r="B2424" t="s">
        <v>46</v>
      </c>
      <c r="C2424" t="s">
        <v>27</v>
      </c>
      <c r="E2424" t="s">
        <v>84</v>
      </c>
      <c r="G2424" t="s">
        <v>249</v>
      </c>
      <c r="H2424" s="2">
        <v>45174.376388888886</v>
      </c>
      <c r="I2424" t="s">
        <v>29</v>
      </c>
      <c r="Z2424">
        <v>64030</v>
      </c>
    </row>
    <row r="2425" spans="1:26" x14ac:dyDescent="0.25">
      <c r="A2425" t="s">
        <v>1256</v>
      </c>
      <c r="B2425" t="s">
        <v>26</v>
      </c>
      <c r="C2425" t="s">
        <v>27</v>
      </c>
      <c r="H2425" s="2">
        <v>45173.481249999997</v>
      </c>
      <c r="I2425" t="s">
        <v>186</v>
      </c>
      <c r="Z2425">
        <v>63975</v>
      </c>
    </row>
    <row r="2426" spans="1:26" x14ac:dyDescent="0.25">
      <c r="A2426" t="s">
        <v>3021</v>
      </c>
      <c r="B2426" t="s">
        <v>150</v>
      </c>
      <c r="C2426" t="s">
        <v>27</v>
      </c>
      <c r="E2426" t="s">
        <v>44</v>
      </c>
      <c r="H2426" s="2">
        <v>45173.478472222225</v>
      </c>
      <c r="I2426" t="s">
        <v>235</v>
      </c>
      <c r="Z2426">
        <v>63974</v>
      </c>
    </row>
    <row r="2427" spans="1:26" x14ac:dyDescent="0.25">
      <c r="A2427" t="s">
        <v>202</v>
      </c>
      <c r="B2427" t="s">
        <v>164</v>
      </c>
      <c r="C2427" t="s">
        <v>27</v>
      </c>
      <c r="E2427" t="s">
        <v>3022</v>
      </c>
      <c r="H2427" s="2">
        <v>45173.45</v>
      </c>
      <c r="I2427" t="s">
        <v>29</v>
      </c>
      <c r="Z2427">
        <v>63968</v>
      </c>
    </row>
    <row r="2428" spans="1:26" x14ac:dyDescent="0.25">
      <c r="A2428" t="s">
        <v>97</v>
      </c>
      <c r="C2428" t="s">
        <v>27</v>
      </c>
      <c r="E2428" t="s">
        <v>80</v>
      </c>
      <c r="H2428" s="2">
        <v>45172.404166666667</v>
      </c>
      <c r="I2428" t="s">
        <v>95</v>
      </c>
      <c r="Z2428">
        <v>63922</v>
      </c>
    </row>
    <row r="2429" spans="1:26" x14ac:dyDescent="0.25">
      <c r="A2429" t="s">
        <v>3023</v>
      </c>
      <c r="B2429" t="s">
        <v>26</v>
      </c>
      <c r="C2429" t="s">
        <v>27</v>
      </c>
      <c r="E2429" t="s">
        <v>125</v>
      </c>
      <c r="H2429" s="2">
        <v>45171.460416666669</v>
      </c>
      <c r="I2429" t="s">
        <v>252</v>
      </c>
      <c r="Z2429">
        <v>63871</v>
      </c>
    </row>
    <row r="2430" spans="1:26" x14ac:dyDescent="0.25">
      <c r="A2430" t="s">
        <v>3024</v>
      </c>
      <c r="C2430" t="s">
        <v>27</v>
      </c>
      <c r="E2430" t="s">
        <v>125</v>
      </c>
      <c r="H2430" s="2">
        <v>45171.459722222222</v>
      </c>
      <c r="I2430" t="s">
        <v>226</v>
      </c>
      <c r="Z2430">
        <v>63870</v>
      </c>
    </row>
    <row r="2431" spans="1:26" x14ac:dyDescent="0.25">
      <c r="A2431" t="s">
        <v>109</v>
      </c>
      <c r="C2431" t="s">
        <v>27</v>
      </c>
      <c r="E2431" t="s">
        <v>324</v>
      </c>
      <c r="H2431" s="2">
        <v>45170.729861111111</v>
      </c>
      <c r="I2431" t="s">
        <v>227</v>
      </c>
      <c r="Z2431">
        <v>63854</v>
      </c>
    </row>
    <row r="2432" spans="1:26" x14ac:dyDescent="0.25">
      <c r="A2432" t="s">
        <v>3025</v>
      </c>
      <c r="B2432" t="s">
        <v>26</v>
      </c>
      <c r="C2432" t="s">
        <v>27</v>
      </c>
      <c r="H2432" s="2">
        <v>45170.594444444447</v>
      </c>
      <c r="I2432" t="s">
        <v>227</v>
      </c>
      <c r="Z2432">
        <v>63827</v>
      </c>
    </row>
    <row r="2433" spans="1:26" x14ac:dyDescent="0.25">
      <c r="A2433" t="s">
        <v>3026</v>
      </c>
      <c r="B2433" t="s">
        <v>26</v>
      </c>
      <c r="C2433" t="s">
        <v>27</v>
      </c>
      <c r="H2433" s="2">
        <v>45170.520138888889</v>
      </c>
      <c r="I2433" t="s">
        <v>227</v>
      </c>
      <c r="Z2433">
        <v>63814</v>
      </c>
    </row>
    <row r="2434" spans="1:26" x14ac:dyDescent="0.25">
      <c r="A2434" t="s">
        <v>3027</v>
      </c>
      <c r="B2434" t="s">
        <v>26</v>
      </c>
      <c r="C2434" t="s">
        <v>27</v>
      </c>
      <c r="H2434" s="2">
        <v>45170.429861111108</v>
      </c>
      <c r="I2434" t="s">
        <v>227</v>
      </c>
      <c r="Z2434">
        <v>63799</v>
      </c>
    </row>
    <row r="2435" spans="1:26" x14ac:dyDescent="0.25">
      <c r="A2435" t="s">
        <v>3028</v>
      </c>
      <c r="B2435" t="s">
        <v>26</v>
      </c>
      <c r="C2435" t="s">
        <v>27</v>
      </c>
      <c r="H2435" s="2">
        <v>45169.415277777778</v>
      </c>
      <c r="I2435" t="s">
        <v>227</v>
      </c>
      <c r="Z2435">
        <v>63709</v>
      </c>
    </row>
    <row r="2436" spans="1:26" x14ac:dyDescent="0.25">
      <c r="A2436" t="s">
        <v>712</v>
      </c>
      <c r="B2436" t="s">
        <v>26</v>
      </c>
      <c r="C2436" t="s">
        <v>27</v>
      </c>
      <c r="H2436" s="2">
        <v>45167.868750000001</v>
      </c>
      <c r="I2436" t="s">
        <v>29</v>
      </c>
      <c r="Z2436">
        <v>63633</v>
      </c>
    </row>
    <row r="2437" spans="1:26" x14ac:dyDescent="0.25">
      <c r="A2437" t="s">
        <v>3029</v>
      </c>
      <c r="B2437" t="s">
        <v>26</v>
      </c>
      <c r="C2437" t="s">
        <v>27</v>
      </c>
      <c r="H2437" s="2">
        <v>45167.82916666667</v>
      </c>
      <c r="I2437" t="s">
        <v>29</v>
      </c>
      <c r="Z2437">
        <v>63628</v>
      </c>
    </row>
    <row r="2438" spans="1:26" x14ac:dyDescent="0.25">
      <c r="A2438" t="s">
        <v>712</v>
      </c>
      <c r="B2438" t="s">
        <v>26</v>
      </c>
      <c r="C2438" t="s">
        <v>27</v>
      </c>
      <c r="H2438" s="2">
        <v>45167.768750000003</v>
      </c>
      <c r="I2438" t="s">
        <v>29</v>
      </c>
      <c r="Z2438">
        <v>63626</v>
      </c>
    </row>
    <row r="2439" spans="1:26" x14ac:dyDescent="0.25">
      <c r="A2439" t="s">
        <v>3030</v>
      </c>
      <c r="B2439" t="s">
        <v>26</v>
      </c>
      <c r="C2439" t="s">
        <v>27</v>
      </c>
      <c r="E2439" t="s">
        <v>101</v>
      </c>
      <c r="H2439" s="2">
        <v>45167.607638888891</v>
      </c>
      <c r="I2439" t="s">
        <v>29</v>
      </c>
      <c r="Z2439">
        <v>63598</v>
      </c>
    </row>
    <row r="2440" spans="1:26" x14ac:dyDescent="0.25">
      <c r="A2440" t="s">
        <v>3031</v>
      </c>
      <c r="B2440" t="s">
        <v>26</v>
      </c>
      <c r="C2440" t="s">
        <v>27</v>
      </c>
      <c r="H2440" s="2">
        <v>45167.561805555553</v>
      </c>
      <c r="I2440" t="s">
        <v>235</v>
      </c>
      <c r="Z2440">
        <v>63589</v>
      </c>
    </row>
    <row r="2441" spans="1:26" x14ac:dyDescent="0.25">
      <c r="A2441" t="s">
        <v>3032</v>
      </c>
      <c r="B2441" t="s">
        <v>26</v>
      </c>
      <c r="C2441" t="s">
        <v>27</v>
      </c>
      <c r="E2441" t="s">
        <v>45</v>
      </c>
      <c r="H2441" s="2">
        <v>45167.495138888888</v>
      </c>
      <c r="I2441" t="s">
        <v>95</v>
      </c>
      <c r="Z2441">
        <v>63571</v>
      </c>
    </row>
    <row r="2442" spans="1:26" x14ac:dyDescent="0.25">
      <c r="A2442" t="s">
        <v>712</v>
      </c>
      <c r="B2442" t="s">
        <v>150</v>
      </c>
      <c r="C2442" t="s">
        <v>27</v>
      </c>
      <c r="E2442" t="s">
        <v>166</v>
      </c>
      <c r="G2442" t="s">
        <v>3003</v>
      </c>
      <c r="H2442" s="2">
        <v>45167.472222222219</v>
      </c>
      <c r="I2442" t="s">
        <v>29</v>
      </c>
      <c r="Z2442">
        <v>63569</v>
      </c>
    </row>
    <row r="2443" spans="1:26" x14ac:dyDescent="0.25">
      <c r="A2443" t="s">
        <v>102</v>
      </c>
      <c r="B2443" t="s">
        <v>77</v>
      </c>
      <c r="C2443" t="s">
        <v>27</v>
      </c>
      <c r="E2443" t="s">
        <v>53</v>
      </c>
      <c r="H2443" s="2">
        <v>45166.53402777778</v>
      </c>
      <c r="I2443" t="s">
        <v>95</v>
      </c>
      <c r="K2443" t="s">
        <v>30</v>
      </c>
      <c r="L2443" t="s">
        <v>31</v>
      </c>
      <c r="M2443">
        <v>55887024</v>
      </c>
      <c r="N2443">
        <v>9754613614</v>
      </c>
      <c r="O2443" t="s">
        <v>1672</v>
      </c>
      <c r="Z2443">
        <v>63517</v>
      </c>
    </row>
    <row r="2444" spans="1:26" x14ac:dyDescent="0.25">
      <c r="A2444" t="s">
        <v>3033</v>
      </c>
      <c r="B2444" t="s">
        <v>26</v>
      </c>
      <c r="C2444" t="s">
        <v>27</v>
      </c>
      <c r="H2444" s="2">
        <v>45166.368055555555</v>
      </c>
      <c r="I2444" t="s">
        <v>29</v>
      </c>
      <c r="Z2444">
        <v>63501</v>
      </c>
    </row>
    <row r="2445" spans="1:26" x14ac:dyDescent="0.25">
      <c r="A2445" t="s">
        <v>712</v>
      </c>
      <c r="B2445" t="s">
        <v>150</v>
      </c>
      <c r="C2445" t="s">
        <v>27</v>
      </c>
      <c r="E2445" t="s">
        <v>3034</v>
      </c>
      <c r="H2445" s="2">
        <v>45165.834722222222</v>
      </c>
      <c r="I2445" t="s">
        <v>29</v>
      </c>
      <c r="Z2445">
        <v>63500</v>
      </c>
    </row>
    <row r="2446" spans="1:26" x14ac:dyDescent="0.25">
      <c r="A2446" t="s">
        <v>3035</v>
      </c>
      <c r="B2446" t="s">
        <v>26</v>
      </c>
      <c r="C2446" t="s">
        <v>27</v>
      </c>
      <c r="H2446" s="2">
        <v>45165.505555555559</v>
      </c>
      <c r="I2446" t="s">
        <v>252</v>
      </c>
      <c r="Z2446">
        <v>63480</v>
      </c>
    </row>
    <row r="2447" spans="1:26" x14ac:dyDescent="0.25">
      <c r="A2447" t="s">
        <v>1054</v>
      </c>
      <c r="B2447" t="s">
        <v>26</v>
      </c>
      <c r="C2447" t="s">
        <v>27</v>
      </c>
      <c r="H2447" s="2">
        <v>45165.447916666664</v>
      </c>
      <c r="I2447" t="s">
        <v>29</v>
      </c>
      <c r="Z2447">
        <v>63477</v>
      </c>
    </row>
    <row r="2448" spans="1:26" x14ac:dyDescent="0.25">
      <c r="A2448" t="s">
        <v>712</v>
      </c>
      <c r="B2448" t="s">
        <v>26</v>
      </c>
      <c r="C2448" t="s">
        <v>27</v>
      </c>
      <c r="H2448" s="2">
        <v>45165.42083333333</v>
      </c>
      <c r="I2448" t="s">
        <v>29</v>
      </c>
      <c r="Z2448">
        <v>63475</v>
      </c>
    </row>
    <row r="2449" spans="1:26" x14ac:dyDescent="0.25">
      <c r="A2449" t="s">
        <v>3036</v>
      </c>
      <c r="B2449" t="s">
        <v>26</v>
      </c>
      <c r="C2449" t="s">
        <v>27</v>
      </c>
      <c r="H2449" s="2">
        <v>45165.395138888889</v>
      </c>
      <c r="I2449" t="s">
        <v>227</v>
      </c>
      <c r="Z2449">
        <v>63473</v>
      </c>
    </row>
    <row r="2450" spans="1:26" x14ac:dyDescent="0.25">
      <c r="A2450" t="s">
        <v>3037</v>
      </c>
      <c r="B2450" t="s">
        <v>26</v>
      </c>
      <c r="C2450" t="s">
        <v>27</v>
      </c>
      <c r="H2450" s="2">
        <v>45163.586805555555</v>
      </c>
      <c r="I2450" t="s">
        <v>235</v>
      </c>
      <c r="Z2450">
        <v>63382</v>
      </c>
    </row>
    <row r="2451" spans="1:26" x14ac:dyDescent="0.25">
      <c r="A2451" t="s">
        <v>3038</v>
      </c>
      <c r="B2451" t="s">
        <v>26</v>
      </c>
      <c r="C2451" t="s">
        <v>27</v>
      </c>
      <c r="H2451" s="2">
        <v>45162.379166666666</v>
      </c>
      <c r="I2451" t="s">
        <v>226</v>
      </c>
      <c r="Z2451">
        <v>63277</v>
      </c>
    </row>
    <row r="2452" spans="1:26" x14ac:dyDescent="0.25">
      <c r="A2452" t="s">
        <v>372</v>
      </c>
      <c r="B2452" t="s">
        <v>150</v>
      </c>
      <c r="C2452" t="s">
        <v>27</v>
      </c>
      <c r="E2452" t="s">
        <v>195</v>
      </c>
      <c r="H2452" s="2">
        <v>45162.364583333336</v>
      </c>
      <c r="I2452" t="s">
        <v>95</v>
      </c>
      <c r="Z2452">
        <v>63275</v>
      </c>
    </row>
    <row r="2453" spans="1:26" x14ac:dyDescent="0.25">
      <c r="A2453" t="s">
        <v>109</v>
      </c>
      <c r="B2453" t="s">
        <v>164</v>
      </c>
      <c r="C2453" t="s">
        <v>27</v>
      </c>
      <c r="E2453" t="s">
        <v>65</v>
      </c>
      <c r="G2453" t="s">
        <v>3039</v>
      </c>
      <c r="H2453" s="2">
        <v>45161.546527777777</v>
      </c>
      <c r="I2453" t="s">
        <v>95</v>
      </c>
      <c r="Z2453">
        <v>63219</v>
      </c>
    </row>
    <row r="2454" spans="1:26" x14ac:dyDescent="0.25">
      <c r="A2454" t="s">
        <v>3040</v>
      </c>
      <c r="B2454" t="s">
        <v>26</v>
      </c>
      <c r="C2454" t="s">
        <v>27</v>
      </c>
      <c r="H2454" s="2">
        <v>45161.484722222223</v>
      </c>
      <c r="I2454" t="s">
        <v>235</v>
      </c>
      <c r="Z2454">
        <v>63207</v>
      </c>
    </row>
    <row r="2455" spans="1:26" x14ac:dyDescent="0.25">
      <c r="A2455" t="s">
        <v>3041</v>
      </c>
      <c r="B2455" t="s">
        <v>26</v>
      </c>
      <c r="C2455" t="s">
        <v>27</v>
      </c>
      <c r="H2455" s="2">
        <v>45160.685416666667</v>
      </c>
      <c r="I2455" t="s">
        <v>95</v>
      </c>
      <c r="Z2455">
        <v>63165</v>
      </c>
    </row>
    <row r="2456" spans="1:26" x14ac:dyDescent="0.25">
      <c r="A2456" t="s">
        <v>3042</v>
      </c>
      <c r="B2456" t="s">
        <v>26</v>
      </c>
      <c r="C2456" t="s">
        <v>27</v>
      </c>
      <c r="E2456">
        <v>79277073870</v>
      </c>
      <c r="H2456" s="2">
        <v>45160.527083333334</v>
      </c>
      <c r="I2456" t="s">
        <v>226</v>
      </c>
      <c r="Z2456">
        <v>63143</v>
      </c>
    </row>
    <row r="2457" spans="1:26" x14ac:dyDescent="0.25">
      <c r="A2457" t="s">
        <v>3043</v>
      </c>
      <c r="B2457" t="s">
        <v>26</v>
      </c>
      <c r="C2457" t="s">
        <v>27</v>
      </c>
      <c r="H2457" s="2">
        <v>45160.475694444445</v>
      </c>
      <c r="I2457" t="s">
        <v>226</v>
      </c>
      <c r="Z2457">
        <v>63133</v>
      </c>
    </row>
    <row r="2458" spans="1:26" x14ac:dyDescent="0.25">
      <c r="A2458" t="s">
        <v>92</v>
      </c>
      <c r="B2458" t="s">
        <v>26</v>
      </c>
      <c r="C2458" t="s">
        <v>27</v>
      </c>
      <c r="H2458" s="2">
        <v>45159.732638888891</v>
      </c>
      <c r="I2458" t="s">
        <v>29</v>
      </c>
      <c r="Z2458">
        <v>63101</v>
      </c>
    </row>
    <row r="2459" spans="1:26" x14ac:dyDescent="0.25">
      <c r="A2459" t="s">
        <v>3044</v>
      </c>
      <c r="B2459" t="s">
        <v>26</v>
      </c>
      <c r="C2459" t="s">
        <v>27</v>
      </c>
      <c r="H2459" s="2">
        <v>45159.671527777777</v>
      </c>
      <c r="I2459" t="s">
        <v>153</v>
      </c>
      <c r="Z2459">
        <v>63095</v>
      </c>
    </row>
    <row r="2460" spans="1:26" x14ac:dyDescent="0.25">
      <c r="A2460" t="s">
        <v>3045</v>
      </c>
      <c r="B2460" t="s">
        <v>46</v>
      </c>
      <c r="C2460" t="s">
        <v>27</v>
      </c>
      <c r="E2460" t="s">
        <v>3046</v>
      </c>
      <c r="G2460" t="s">
        <v>3047</v>
      </c>
      <c r="H2460" s="2">
        <v>45159.661111111112</v>
      </c>
      <c r="I2460" t="s">
        <v>227</v>
      </c>
      <c r="Z2460">
        <v>63091</v>
      </c>
    </row>
    <row r="2461" spans="1:26" x14ac:dyDescent="0.25">
      <c r="A2461" t="s">
        <v>3048</v>
      </c>
      <c r="B2461" t="s">
        <v>26</v>
      </c>
      <c r="C2461" t="s">
        <v>27</v>
      </c>
      <c r="H2461" s="2">
        <v>45159.591666666667</v>
      </c>
      <c r="I2461" t="s">
        <v>29</v>
      </c>
      <c r="Z2461">
        <v>63082</v>
      </c>
    </row>
    <row r="2462" spans="1:26" x14ac:dyDescent="0.25">
      <c r="A2462" t="s">
        <v>3049</v>
      </c>
      <c r="B2462" t="s">
        <v>26</v>
      </c>
      <c r="C2462" t="s">
        <v>27</v>
      </c>
      <c r="H2462" s="2">
        <v>45159.461805555555</v>
      </c>
      <c r="I2462" t="s">
        <v>29</v>
      </c>
      <c r="Z2462">
        <v>63059</v>
      </c>
    </row>
    <row r="2463" spans="1:26" x14ac:dyDescent="0.25">
      <c r="A2463" t="s">
        <v>3050</v>
      </c>
      <c r="B2463" t="s">
        <v>26</v>
      </c>
      <c r="C2463" t="s">
        <v>27</v>
      </c>
      <c r="H2463" s="2">
        <v>45159.420138888891</v>
      </c>
      <c r="I2463" t="s">
        <v>227</v>
      </c>
      <c r="Z2463">
        <v>63053</v>
      </c>
    </row>
    <row r="2464" spans="1:26" x14ac:dyDescent="0.25">
      <c r="A2464" t="s">
        <v>712</v>
      </c>
      <c r="B2464" t="s">
        <v>26</v>
      </c>
      <c r="C2464" t="s">
        <v>206</v>
      </c>
      <c r="H2464" s="2">
        <v>45159.397916666669</v>
      </c>
      <c r="I2464" t="s">
        <v>29</v>
      </c>
      <c r="Z2464">
        <v>63051</v>
      </c>
    </row>
    <row r="2465" spans="1:26" x14ac:dyDescent="0.25">
      <c r="A2465" t="s">
        <v>3051</v>
      </c>
      <c r="B2465" t="s">
        <v>26</v>
      </c>
      <c r="C2465" t="s">
        <v>27</v>
      </c>
      <c r="E2465" t="s">
        <v>3052</v>
      </c>
      <c r="H2465" s="2">
        <v>45158.71875</v>
      </c>
      <c r="I2465" t="s">
        <v>227</v>
      </c>
      <c r="Z2465">
        <v>63045</v>
      </c>
    </row>
    <row r="2466" spans="1:26" x14ac:dyDescent="0.25">
      <c r="A2466" t="s">
        <v>891</v>
      </c>
      <c r="B2466" t="s">
        <v>26</v>
      </c>
      <c r="C2466" t="s">
        <v>27</v>
      </c>
      <c r="E2466" t="s">
        <v>68</v>
      </c>
      <c r="G2466" t="s">
        <v>132</v>
      </c>
      <c r="H2466" s="2">
        <v>45158.614583333336</v>
      </c>
      <c r="I2466" t="s">
        <v>29</v>
      </c>
      <c r="Z2466">
        <v>63037</v>
      </c>
    </row>
    <row r="2467" spans="1:26" x14ac:dyDescent="0.25">
      <c r="A2467" t="s">
        <v>3053</v>
      </c>
      <c r="B2467" t="s">
        <v>26</v>
      </c>
      <c r="C2467" t="s">
        <v>27</v>
      </c>
      <c r="H2467" s="2">
        <v>45158.520138888889</v>
      </c>
      <c r="I2467" t="s">
        <v>227</v>
      </c>
      <c r="Z2467">
        <v>63019</v>
      </c>
    </row>
    <row r="2468" spans="1:26" x14ac:dyDescent="0.25">
      <c r="A2468" t="s">
        <v>3054</v>
      </c>
      <c r="B2468" t="s">
        <v>46</v>
      </c>
      <c r="C2468" t="s">
        <v>27</v>
      </c>
      <c r="E2468" t="s">
        <v>138</v>
      </c>
      <c r="G2468" t="s">
        <v>3055</v>
      </c>
      <c r="H2468" s="2">
        <v>45158.460416666669</v>
      </c>
      <c r="I2468" t="s">
        <v>227</v>
      </c>
      <c r="Z2468">
        <v>63006</v>
      </c>
    </row>
    <row r="2469" spans="1:26" x14ac:dyDescent="0.25">
      <c r="A2469" t="s">
        <v>3056</v>
      </c>
      <c r="B2469" t="s">
        <v>164</v>
      </c>
      <c r="C2469" t="s">
        <v>27</v>
      </c>
      <c r="E2469" t="s">
        <v>69</v>
      </c>
      <c r="G2469" t="s">
        <v>221</v>
      </c>
      <c r="H2469" s="2">
        <v>45157.472916666666</v>
      </c>
      <c r="I2469" t="s">
        <v>227</v>
      </c>
      <c r="Z2469">
        <v>62965</v>
      </c>
    </row>
    <row r="2470" spans="1:26" x14ac:dyDescent="0.25">
      <c r="A2470" t="s">
        <v>3057</v>
      </c>
      <c r="C2470" t="s">
        <v>27</v>
      </c>
      <c r="E2470" t="s">
        <v>3039</v>
      </c>
      <c r="H2470" s="2">
        <v>45156.901388888888</v>
      </c>
      <c r="I2470" t="s">
        <v>29</v>
      </c>
      <c r="Z2470">
        <v>62953</v>
      </c>
    </row>
    <row r="2471" spans="1:26" x14ac:dyDescent="0.25">
      <c r="A2471" t="s">
        <v>3058</v>
      </c>
      <c r="B2471" t="s">
        <v>77</v>
      </c>
      <c r="C2471" t="s">
        <v>27</v>
      </c>
      <c r="E2471" t="s">
        <v>3059</v>
      </c>
      <c r="H2471" s="2">
        <v>45155.734027777777</v>
      </c>
      <c r="I2471" t="s">
        <v>29</v>
      </c>
      <c r="Z2471">
        <v>62877</v>
      </c>
    </row>
    <row r="2472" spans="1:26" x14ac:dyDescent="0.25">
      <c r="A2472" t="s">
        <v>3060</v>
      </c>
      <c r="B2472" t="s">
        <v>26</v>
      </c>
      <c r="C2472" t="s">
        <v>27</v>
      </c>
      <c r="H2472" s="2">
        <v>45155.535416666666</v>
      </c>
      <c r="I2472" t="s">
        <v>29</v>
      </c>
      <c r="Z2472">
        <v>62843</v>
      </c>
    </row>
    <row r="2473" spans="1:26" x14ac:dyDescent="0.25">
      <c r="A2473" t="s">
        <v>3061</v>
      </c>
      <c r="B2473" t="s">
        <v>26</v>
      </c>
      <c r="C2473" t="s">
        <v>27</v>
      </c>
      <c r="H2473" s="2">
        <v>45155.425694444442</v>
      </c>
      <c r="I2473" t="s">
        <v>95</v>
      </c>
      <c r="Z2473">
        <v>62822</v>
      </c>
    </row>
    <row r="2474" spans="1:26" x14ac:dyDescent="0.25">
      <c r="A2474" t="s">
        <v>3051</v>
      </c>
      <c r="B2474" t="s">
        <v>26</v>
      </c>
      <c r="C2474" t="s">
        <v>27</v>
      </c>
      <c r="H2474" s="2">
        <v>45154.801388888889</v>
      </c>
      <c r="I2474" t="s">
        <v>95</v>
      </c>
      <c r="Z2474">
        <v>62803</v>
      </c>
    </row>
    <row r="2475" spans="1:26" x14ac:dyDescent="0.25">
      <c r="A2475" t="s">
        <v>3062</v>
      </c>
      <c r="B2475" t="s">
        <v>26</v>
      </c>
      <c r="C2475" t="s">
        <v>27</v>
      </c>
      <c r="H2475" s="2">
        <v>45154.496527777781</v>
      </c>
      <c r="I2475" t="s">
        <v>95</v>
      </c>
      <c r="Z2475">
        <v>62753</v>
      </c>
    </row>
    <row r="2476" spans="1:26" x14ac:dyDescent="0.25">
      <c r="A2476" t="s">
        <v>109</v>
      </c>
      <c r="C2476" t="s">
        <v>82</v>
      </c>
      <c r="E2476" t="s">
        <v>65</v>
      </c>
      <c r="H2476" s="2">
        <v>45154.488194444442</v>
      </c>
      <c r="I2476" t="s">
        <v>95</v>
      </c>
      <c r="Z2476">
        <v>62752</v>
      </c>
    </row>
    <row r="2477" spans="1:26" x14ac:dyDescent="0.25">
      <c r="A2477" t="s">
        <v>109</v>
      </c>
      <c r="C2477" t="s">
        <v>27</v>
      </c>
      <c r="E2477" t="s">
        <v>44</v>
      </c>
      <c r="H2477" s="2">
        <v>45153.620833333334</v>
      </c>
      <c r="I2477" t="s">
        <v>226</v>
      </c>
      <c r="Z2477">
        <v>62685</v>
      </c>
    </row>
    <row r="2478" spans="1:26" x14ac:dyDescent="0.25">
      <c r="A2478" t="s">
        <v>3063</v>
      </c>
      <c r="B2478" t="s">
        <v>26</v>
      </c>
      <c r="C2478" t="s">
        <v>27</v>
      </c>
      <c r="H2478" s="2">
        <v>45152.708333333336</v>
      </c>
      <c r="I2478" t="s">
        <v>153</v>
      </c>
      <c r="Z2478">
        <v>62637</v>
      </c>
    </row>
    <row r="2479" spans="1:26" x14ac:dyDescent="0.25">
      <c r="A2479" t="s">
        <v>3064</v>
      </c>
      <c r="B2479" t="s">
        <v>26</v>
      </c>
      <c r="C2479" t="s">
        <v>27</v>
      </c>
      <c r="H2479" s="2">
        <v>45151.620833333334</v>
      </c>
      <c r="I2479" t="s">
        <v>153</v>
      </c>
      <c r="Z2479">
        <v>62556</v>
      </c>
    </row>
    <row r="2480" spans="1:26" x14ac:dyDescent="0.25">
      <c r="A2480" t="s">
        <v>3065</v>
      </c>
      <c r="B2480" t="s">
        <v>26</v>
      </c>
      <c r="C2480" t="s">
        <v>27</v>
      </c>
      <c r="H2480" s="2">
        <v>45151.534722222219</v>
      </c>
      <c r="I2480" t="s">
        <v>227</v>
      </c>
      <c r="Z2480">
        <v>62539</v>
      </c>
    </row>
    <row r="2481" spans="1:26" x14ac:dyDescent="0.25">
      <c r="A2481" t="s">
        <v>3066</v>
      </c>
      <c r="B2481" t="s">
        <v>26</v>
      </c>
      <c r="C2481" t="s">
        <v>27</v>
      </c>
      <c r="H2481" s="2">
        <v>45151.508333333331</v>
      </c>
      <c r="I2481" t="s">
        <v>226</v>
      </c>
      <c r="Z2481">
        <v>62532</v>
      </c>
    </row>
    <row r="2482" spans="1:26" x14ac:dyDescent="0.25">
      <c r="A2482" t="s">
        <v>3067</v>
      </c>
      <c r="B2482" t="s">
        <v>26</v>
      </c>
      <c r="C2482" t="s">
        <v>27</v>
      </c>
      <c r="H2482" s="2">
        <v>45150.669444444444</v>
      </c>
      <c r="I2482" t="s">
        <v>29</v>
      </c>
      <c r="Z2482">
        <v>62512</v>
      </c>
    </row>
    <row r="2483" spans="1:26" x14ac:dyDescent="0.25">
      <c r="A2483" t="s">
        <v>714</v>
      </c>
      <c r="C2483" t="s">
        <v>27</v>
      </c>
      <c r="E2483" t="s">
        <v>76</v>
      </c>
      <c r="H2483" s="2">
        <v>45150.643055555556</v>
      </c>
      <c r="I2483" t="s">
        <v>29</v>
      </c>
      <c r="Z2483">
        <v>62508</v>
      </c>
    </row>
    <row r="2484" spans="1:26" x14ac:dyDescent="0.25">
      <c r="A2484" t="s">
        <v>1054</v>
      </c>
      <c r="B2484" t="s">
        <v>26</v>
      </c>
      <c r="C2484" t="s">
        <v>27</v>
      </c>
      <c r="H2484" s="2">
        <v>45150.642361111109</v>
      </c>
      <c r="I2484" t="s">
        <v>29</v>
      </c>
      <c r="Z2484">
        <v>62507</v>
      </c>
    </row>
    <row r="2485" spans="1:26" x14ac:dyDescent="0.25">
      <c r="A2485" t="s">
        <v>3068</v>
      </c>
      <c r="B2485" t="s">
        <v>26</v>
      </c>
      <c r="C2485" t="s">
        <v>27</v>
      </c>
      <c r="H2485" s="2">
        <v>45150.4375</v>
      </c>
      <c r="I2485" t="s">
        <v>95</v>
      </c>
      <c r="Z2485">
        <v>62485</v>
      </c>
    </row>
    <row r="2486" spans="1:26" x14ac:dyDescent="0.25">
      <c r="A2486" t="s">
        <v>92</v>
      </c>
      <c r="B2486" t="s">
        <v>26</v>
      </c>
      <c r="C2486" t="s">
        <v>27</v>
      </c>
      <c r="H2486" s="2">
        <v>45149.868055555555</v>
      </c>
      <c r="I2486" t="s">
        <v>29</v>
      </c>
      <c r="Z2486">
        <v>62474</v>
      </c>
    </row>
    <row r="2487" spans="1:26" x14ac:dyDescent="0.25">
      <c r="A2487" t="s">
        <v>712</v>
      </c>
      <c r="B2487" t="s">
        <v>26</v>
      </c>
      <c r="C2487" t="s">
        <v>27</v>
      </c>
      <c r="H2487" s="2">
        <v>45149.56527777778</v>
      </c>
      <c r="I2487" t="s">
        <v>29</v>
      </c>
      <c r="Z2487">
        <v>62444</v>
      </c>
    </row>
    <row r="2488" spans="1:26" x14ac:dyDescent="0.25">
      <c r="A2488" t="s">
        <v>712</v>
      </c>
      <c r="B2488" t="s">
        <v>26</v>
      </c>
      <c r="C2488" t="s">
        <v>27</v>
      </c>
      <c r="H2488" s="2">
        <v>45149.496527777781</v>
      </c>
      <c r="I2488" t="s">
        <v>29</v>
      </c>
      <c r="Z2488">
        <v>62432</v>
      </c>
    </row>
    <row r="2489" spans="1:26" x14ac:dyDescent="0.25">
      <c r="A2489" t="s">
        <v>3069</v>
      </c>
      <c r="B2489" t="s">
        <v>26</v>
      </c>
      <c r="C2489" t="s">
        <v>27</v>
      </c>
      <c r="H2489" s="2">
        <v>45149.450694444444</v>
      </c>
      <c r="I2489" t="s">
        <v>95</v>
      </c>
      <c r="Z2489">
        <v>62424</v>
      </c>
    </row>
    <row r="2490" spans="1:26" x14ac:dyDescent="0.25">
      <c r="A2490" t="s">
        <v>3070</v>
      </c>
      <c r="B2490" t="s">
        <v>26</v>
      </c>
      <c r="C2490" t="s">
        <v>27</v>
      </c>
      <c r="H2490" s="2">
        <v>45149.395833333336</v>
      </c>
      <c r="I2490" t="s">
        <v>95</v>
      </c>
      <c r="Z2490">
        <v>62414</v>
      </c>
    </row>
    <row r="2491" spans="1:26" x14ac:dyDescent="0.25">
      <c r="A2491" t="s">
        <v>3071</v>
      </c>
      <c r="B2491" t="s">
        <v>26</v>
      </c>
      <c r="C2491" t="s">
        <v>27</v>
      </c>
      <c r="H2491" s="2">
        <v>45148.743055555555</v>
      </c>
      <c r="I2491" t="s">
        <v>95</v>
      </c>
      <c r="Z2491">
        <v>62397</v>
      </c>
    </row>
    <row r="2492" spans="1:26" x14ac:dyDescent="0.25">
      <c r="A2492" t="s">
        <v>3072</v>
      </c>
      <c r="B2492" t="s">
        <v>26</v>
      </c>
      <c r="C2492" t="s">
        <v>27</v>
      </c>
      <c r="H2492" s="2">
        <v>45148.706944444442</v>
      </c>
      <c r="I2492" t="s">
        <v>29</v>
      </c>
      <c r="Z2492">
        <v>62383</v>
      </c>
    </row>
    <row r="2493" spans="1:26" x14ac:dyDescent="0.25">
      <c r="A2493" t="s">
        <v>3073</v>
      </c>
      <c r="B2493" t="s">
        <v>26</v>
      </c>
      <c r="C2493" t="s">
        <v>27</v>
      </c>
      <c r="H2493" s="2">
        <v>45148.518055555556</v>
      </c>
      <c r="I2493" t="s">
        <v>95</v>
      </c>
      <c r="Z2493">
        <v>62352</v>
      </c>
    </row>
    <row r="2494" spans="1:26" x14ac:dyDescent="0.25">
      <c r="A2494" t="s">
        <v>3074</v>
      </c>
      <c r="B2494" t="s">
        <v>26</v>
      </c>
      <c r="C2494" t="s">
        <v>27</v>
      </c>
      <c r="H2494" s="2">
        <v>45148.481944444444</v>
      </c>
      <c r="I2494" t="s">
        <v>29</v>
      </c>
      <c r="Z2494">
        <v>62347</v>
      </c>
    </row>
    <row r="2495" spans="1:26" x14ac:dyDescent="0.25">
      <c r="A2495" t="s">
        <v>1256</v>
      </c>
      <c r="B2495" t="s">
        <v>26</v>
      </c>
      <c r="C2495" t="s">
        <v>27</v>
      </c>
      <c r="H2495" s="2">
        <v>45148.447916666664</v>
      </c>
      <c r="I2495" t="s">
        <v>95</v>
      </c>
      <c r="Z2495">
        <v>62339</v>
      </c>
    </row>
    <row r="2496" spans="1:26" x14ac:dyDescent="0.25">
      <c r="A2496" t="s">
        <v>3075</v>
      </c>
      <c r="B2496" t="s">
        <v>26</v>
      </c>
      <c r="C2496" t="s">
        <v>27</v>
      </c>
      <c r="H2496" s="2">
        <v>45148.394444444442</v>
      </c>
      <c r="I2496" t="s">
        <v>29</v>
      </c>
      <c r="Z2496">
        <v>62324</v>
      </c>
    </row>
    <row r="2497" spans="1:26" x14ac:dyDescent="0.25">
      <c r="A2497" t="s">
        <v>3076</v>
      </c>
      <c r="B2497" t="s">
        <v>164</v>
      </c>
      <c r="C2497" t="s">
        <v>64</v>
      </c>
      <c r="E2497" t="s">
        <v>57</v>
      </c>
      <c r="H2497" s="2">
        <v>45147.654861111114</v>
      </c>
      <c r="I2497" t="s">
        <v>227</v>
      </c>
      <c r="Z2497">
        <v>62280</v>
      </c>
    </row>
    <row r="2498" spans="1:26" x14ac:dyDescent="0.25">
      <c r="A2498" t="s">
        <v>204</v>
      </c>
      <c r="B2498" t="s">
        <v>164</v>
      </c>
      <c r="C2498" t="s">
        <v>27</v>
      </c>
      <c r="E2498" t="s">
        <v>53</v>
      </c>
      <c r="H2498" s="2">
        <v>45147.606249999997</v>
      </c>
      <c r="I2498" t="s">
        <v>227</v>
      </c>
      <c r="Z2498">
        <v>62266</v>
      </c>
    </row>
    <row r="2499" spans="1:26" x14ac:dyDescent="0.25">
      <c r="A2499" t="s">
        <v>3077</v>
      </c>
      <c r="B2499" t="s">
        <v>26</v>
      </c>
      <c r="C2499" t="s">
        <v>27</v>
      </c>
      <c r="H2499" s="2">
        <v>45147.513888888891</v>
      </c>
      <c r="I2499" t="s">
        <v>227</v>
      </c>
      <c r="Z2499">
        <v>62255</v>
      </c>
    </row>
    <row r="2500" spans="1:26" x14ac:dyDescent="0.25">
      <c r="A2500" t="s">
        <v>3078</v>
      </c>
      <c r="B2500" t="s">
        <v>26</v>
      </c>
      <c r="C2500" t="s">
        <v>47</v>
      </c>
      <c r="H2500" s="2">
        <v>45147.504166666666</v>
      </c>
      <c r="I2500" t="s">
        <v>294</v>
      </c>
      <c r="Z2500">
        <v>62253</v>
      </c>
    </row>
    <row r="2501" spans="1:26" x14ac:dyDescent="0.25">
      <c r="A2501" t="s">
        <v>109</v>
      </c>
      <c r="C2501" t="s">
        <v>27</v>
      </c>
      <c r="E2501" t="s">
        <v>45</v>
      </c>
      <c r="H2501" s="2">
        <v>45147.410416666666</v>
      </c>
      <c r="I2501" t="s">
        <v>227</v>
      </c>
      <c r="Z2501">
        <v>62225</v>
      </c>
    </row>
    <row r="2502" spans="1:26" x14ac:dyDescent="0.25">
      <c r="A2502" t="s">
        <v>3079</v>
      </c>
      <c r="B2502" t="s">
        <v>26</v>
      </c>
      <c r="C2502" t="s">
        <v>27</v>
      </c>
      <c r="H2502" s="2">
        <v>45146.615972222222</v>
      </c>
      <c r="I2502" t="s">
        <v>226</v>
      </c>
      <c r="Z2502">
        <v>62174</v>
      </c>
    </row>
    <row r="2503" spans="1:26" x14ac:dyDescent="0.25">
      <c r="A2503" t="s">
        <v>3080</v>
      </c>
      <c r="C2503" t="s">
        <v>206</v>
      </c>
      <c r="E2503" t="s">
        <v>76</v>
      </c>
      <c r="H2503" s="2">
        <v>45146.46875</v>
      </c>
      <c r="I2503" t="s">
        <v>3081</v>
      </c>
      <c r="Z2503">
        <v>62144</v>
      </c>
    </row>
    <row r="2504" spans="1:26" x14ac:dyDescent="0.25">
      <c r="A2504" t="s">
        <v>3082</v>
      </c>
      <c r="B2504" t="s">
        <v>164</v>
      </c>
      <c r="C2504" t="s">
        <v>27</v>
      </c>
      <c r="E2504" t="s">
        <v>45</v>
      </c>
      <c r="G2504" t="s">
        <v>3083</v>
      </c>
      <c r="H2504" s="2">
        <v>45145.606944444444</v>
      </c>
      <c r="I2504" t="s">
        <v>227</v>
      </c>
      <c r="Z2504">
        <v>62066</v>
      </c>
    </row>
    <row r="2505" spans="1:26" x14ac:dyDescent="0.25">
      <c r="A2505" t="s">
        <v>3084</v>
      </c>
      <c r="B2505" t="s">
        <v>26</v>
      </c>
      <c r="C2505" t="s">
        <v>27</v>
      </c>
      <c r="H2505" s="2">
        <v>45145.579861111109</v>
      </c>
      <c r="I2505" t="s">
        <v>227</v>
      </c>
      <c r="Z2505">
        <v>62054</v>
      </c>
    </row>
    <row r="2506" spans="1:26" x14ac:dyDescent="0.25">
      <c r="A2506" t="s">
        <v>349</v>
      </c>
      <c r="B2506" t="s">
        <v>164</v>
      </c>
      <c r="C2506" t="s">
        <v>27</v>
      </c>
      <c r="E2506" t="s">
        <v>55</v>
      </c>
      <c r="H2506" s="2">
        <v>45145.536111111112</v>
      </c>
      <c r="I2506" t="s">
        <v>248</v>
      </c>
      <c r="Z2506">
        <v>62040</v>
      </c>
    </row>
    <row r="2507" spans="1:26" x14ac:dyDescent="0.25">
      <c r="A2507" t="s">
        <v>3085</v>
      </c>
      <c r="B2507" t="s">
        <v>26</v>
      </c>
      <c r="C2507" t="s">
        <v>27</v>
      </c>
      <c r="H2507" s="2">
        <v>45145.533333333333</v>
      </c>
      <c r="I2507" t="s">
        <v>226</v>
      </c>
      <c r="Z2507">
        <v>62038</v>
      </c>
    </row>
    <row r="2508" spans="1:26" x14ac:dyDescent="0.25">
      <c r="A2508" t="s">
        <v>3086</v>
      </c>
      <c r="B2508" t="s">
        <v>26</v>
      </c>
      <c r="C2508" t="s">
        <v>27</v>
      </c>
      <c r="H2508" s="2">
        <v>45145.479166666664</v>
      </c>
      <c r="I2508" t="s">
        <v>226</v>
      </c>
      <c r="Z2508">
        <v>62030</v>
      </c>
    </row>
    <row r="2509" spans="1:26" x14ac:dyDescent="0.25">
      <c r="A2509" t="s">
        <v>109</v>
      </c>
      <c r="C2509" t="s">
        <v>27</v>
      </c>
      <c r="E2509" t="s">
        <v>60</v>
      </c>
      <c r="H2509" s="2">
        <v>45145.402083333334</v>
      </c>
      <c r="I2509" t="s">
        <v>226</v>
      </c>
      <c r="Z2509">
        <v>62015</v>
      </c>
    </row>
    <row r="2510" spans="1:26" x14ac:dyDescent="0.25">
      <c r="A2510" t="s">
        <v>92</v>
      </c>
      <c r="B2510" t="s">
        <v>150</v>
      </c>
      <c r="C2510" t="s">
        <v>27</v>
      </c>
      <c r="E2510" t="s">
        <v>173</v>
      </c>
      <c r="G2510" t="s">
        <v>3087</v>
      </c>
      <c r="H2510" s="2">
        <v>45144.36041666667</v>
      </c>
      <c r="I2510" t="s">
        <v>29</v>
      </c>
      <c r="Z2510">
        <v>61950</v>
      </c>
    </row>
    <row r="2511" spans="1:26" x14ac:dyDescent="0.25">
      <c r="A2511" t="s">
        <v>3088</v>
      </c>
      <c r="B2511" t="s">
        <v>26</v>
      </c>
      <c r="C2511" t="s">
        <v>27</v>
      </c>
      <c r="H2511" s="2">
        <v>45143.736111111109</v>
      </c>
      <c r="I2511" t="s">
        <v>95</v>
      </c>
      <c r="Z2511">
        <v>61933</v>
      </c>
    </row>
    <row r="2512" spans="1:26" x14ac:dyDescent="0.25">
      <c r="A2512" t="s">
        <v>3089</v>
      </c>
      <c r="B2512" t="s">
        <v>26</v>
      </c>
      <c r="C2512" t="s">
        <v>27</v>
      </c>
      <c r="H2512" s="2">
        <v>45143.489583333336</v>
      </c>
      <c r="I2512" t="s">
        <v>95</v>
      </c>
      <c r="Z2512">
        <v>61892</v>
      </c>
    </row>
    <row r="2513" spans="1:26" x14ac:dyDescent="0.25">
      <c r="A2513" t="s">
        <v>2540</v>
      </c>
      <c r="B2513" t="s">
        <v>26</v>
      </c>
      <c r="C2513" t="s">
        <v>27</v>
      </c>
      <c r="H2513" s="2">
        <v>45142.879166666666</v>
      </c>
      <c r="I2513" t="s">
        <v>29</v>
      </c>
      <c r="Z2513">
        <v>61863</v>
      </c>
    </row>
    <row r="2514" spans="1:26" x14ac:dyDescent="0.25">
      <c r="A2514" t="s">
        <v>3090</v>
      </c>
      <c r="B2514" t="s">
        <v>26</v>
      </c>
      <c r="C2514" t="s">
        <v>27</v>
      </c>
      <c r="H2514" s="2">
        <v>45142.665277777778</v>
      </c>
      <c r="I2514" t="s">
        <v>95</v>
      </c>
      <c r="Z2514">
        <v>61837</v>
      </c>
    </row>
    <row r="2515" spans="1:26" x14ac:dyDescent="0.25">
      <c r="A2515" t="s">
        <v>92</v>
      </c>
      <c r="B2515" t="s">
        <v>26</v>
      </c>
      <c r="C2515" t="s">
        <v>27</v>
      </c>
      <c r="H2515" s="2">
        <v>45142.513888888891</v>
      </c>
      <c r="I2515" t="s">
        <v>29</v>
      </c>
      <c r="Z2515">
        <v>61808</v>
      </c>
    </row>
    <row r="2516" spans="1:26" x14ac:dyDescent="0.25">
      <c r="A2516" t="s">
        <v>3088</v>
      </c>
      <c r="B2516" t="s">
        <v>26</v>
      </c>
      <c r="C2516" t="s">
        <v>27</v>
      </c>
      <c r="H2516" s="2">
        <v>45141.754861111112</v>
      </c>
      <c r="I2516" t="s">
        <v>226</v>
      </c>
      <c r="Z2516">
        <v>61769</v>
      </c>
    </row>
    <row r="2517" spans="1:26" x14ac:dyDescent="0.25">
      <c r="A2517" t="s">
        <v>3091</v>
      </c>
      <c r="B2517" t="s">
        <v>26</v>
      </c>
      <c r="C2517" t="s">
        <v>27</v>
      </c>
      <c r="H2517" s="2">
        <v>45141.754166666666</v>
      </c>
      <c r="I2517" t="s">
        <v>95</v>
      </c>
      <c r="Z2517">
        <v>61768</v>
      </c>
    </row>
    <row r="2518" spans="1:26" x14ac:dyDescent="0.25">
      <c r="A2518" t="s">
        <v>3092</v>
      </c>
      <c r="B2518" t="s">
        <v>26</v>
      </c>
      <c r="C2518" t="s">
        <v>27</v>
      </c>
      <c r="H2518" s="2">
        <v>45141.738194444442</v>
      </c>
      <c r="I2518" t="s">
        <v>95</v>
      </c>
      <c r="Z2518">
        <v>61766</v>
      </c>
    </row>
    <row r="2519" spans="1:26" x14ac:dyDescent="0.25">
      <c r="A2519" t="s">
        <v>3093</v>
      </c>
      <c r="B2519" t="s">
        <v>26</v>
      </c>
      <c r="C2519" t="s">
        <v>27</v>
      </c>
      <c r="H2519" s="2">
        <v>45141.68472222222</v>
      </c>
      <c r="I2519" t="s">
        <v>226</v>
      </c>
      <c r="Z2519">
        <v>61761</v>
      </c>
    </row>
    <row r="2520" spans="1:26" x14ac:dyDescent="0.25">
      <c r="A2520" t="s">
        <v>3094</v>
      </c>
      <c r="B2520" t="s">
        <v>26</v>
      </c>
      <c r="C2520" t="s">
        <v>27</v>
      </c>
      <c r="H2520" s="2">
        <v>45141.532638888886</v>
      </c>
      <c r="I2520" t="s">
        <v>153</v>
      </c>
      <c r="Z2520">
        <v>61732</v>
      </c>
    </row>
    <row r="2521" spans="1:26" x14ac:dyDescent="0.25">
      <c r="A2521" t="s">
        <v>3092</v>
      </c>
      <c r="B2521" t="s">
        <v>26</v>
      </c>
      <c r="C2521" t="s">
        <v>27</v>
      </c>
      <c r="H2521" s="2">
        <v>45141.488888888889</v>
      </c>
      <c r="I2521" t="s">
        <v>226</v>
      </c>
      <c r="Z2521">
        <v>61720</v>
      </c>
    </row>
    <row r="2522" spans="1:26" x14ac:dyDescent="0.25">
      <c r="A2522" t="s">
        <v>3095</v>
      </c>
      <c r="B2522" t="s">
        <v>26</v>
      </c>
      <c r="C2522" t="s">
        <v>27</v>
      </c>
      <c r="H2522" s="2">
        <v>45139.80972222222</v>
      </c>
      <c r="I2522" t="s">
        <v>294</v>
      </c>
      <c r="Z2522">
        <v>61597</v>
      </c>
    </row>
    <row r="2523" spans="1:26" x14ac:dyDescent="0.25">
      <c r="A2523" t="s">
        <v>3096</v>
      </c>
      <c r="B2523" t="s">
        <v>26</v>
      </c>
      <c r="C2523" t="s">
        <v>27</v>
      </c>
      <c r="E2523" t="s">
        <v>53</v>
      </c>
      <c r="H2523" s="2">
        <v>45139.634027777778</v>
      </c>
      <c r="I2523" t="s">
        <v>226</v>
      </c>
      <c r="Z2523">
        <v>61568</v>
      </c>
    </row>
    <row r="2524" spans="1:26" x14ac:dyDescent="0.25">
      <c r="A2524" t="s">
        <v>275</v>
      </c>
      <c r="B2524" t="s">
        <v>164</v>
      </c>
      <c r="C2524" t="s">
        <v>27</v>
      </c>
      <c r="E2524" t="s">
        <v>203</v>
      </c>
      <c r="H2524" s="2">
        <v>45139.634027777778</v>
      </c>
      <c r="I2524" t="s">
        <v>29</v>
      </c>
      <c r="Z2524">
        <v>61567</v>
      </c>
    </row>
    <row r="2525" spans="1:26" x14ac:dyDescent="0.25">
      <c r="A2525" t="s">
        <v>1054</v>
      </c>
      <c r="B2525" t="s">
        <v>26</v>
      </c>
      <c r="C2525" t="s">
        <v>27</v>
      </c>
      <c r="H2525" s="2">
        <v>45139.45</v>
      </c>
      <c r="I2525" t="s">
        <v>29</v>
      </c>
      <c r="Z2525">
        <v>61525</v>
      </c>
    </row>
    <row r="2526" spans="1:26" x14ac:dyDescent="0.25">
      <c r="A2526" t="s">
        <v>3097</v>
      </c>
      <c r="B2526" t="s">
        <v>26</v>
      </c>
      <c r="C2526" t="s">
        <v>27</v>
      </c>
      <c r="H2526" s="2">
        <v>45138.840277777781</v>
      </c>
      <c r="I2526" t="s">
        <v>226</v>
      </c>
      <c r="Z2526">
        <v>61503</v>
      </c>
    </row>
    <row r="2527" spans="1:26" x14ac:dyDescent="0.25">
      <c r="A2527" t="s">
        <v>3098</v>
      </c>
      <c r="B2527" t="s">
        <v>26</v>
      </c>
      <c r="C2527" t="s">
        <v>27</v>
      </c>
      <c r="H2527" s="2">
        <v>45138.763888888891</v>
      </c>
      <c r="I2527" t="s">
        <v>226</v>
      </c>
      <c r="Z2527">
        <v>61493</v>
      </c>
    </row>
    <row r="2528" spans="1:26" x14ac:dyDescent="0.25">
      <c r="A2528" t="s">
        <v>3099</v>
      </c>
      <c r="B2528" t="s">
        <v>26</v>
      </c>
      <c r="C2528" t="s">
        <v>27</v>
      </c>
      <c r="E2528" t="s">
        <v>162</v>
      </c>
      <c r="H2528" s="2">
        <v>45138.745138888888</v>
      </c>
      <c r="I2528" t="s">
        <v>29</v>
      </c>
      <c r="Z2528">
        <v>61489</v>
      </c>
    </row>
    <row r="2529" spans="1:26" x14ac:dyDescent="0.25">
      <c r="A2529" t="s">
        <v>3100</v>
      </c>
      <c r="B2529" t="s">
        <v>26</v>
      </c>
      <c r="C2529" t="s">
        <v>27</v>
      </c>
      <c r="H2529" s="2">
        <v>45138.570138888892</v>
      </c>
      <c r="I2529" t="s">
        <v>226</v>
      </c>
      <c r="Z2529">
        <v>61450</v>
      </c>
    </row>
    <row r="2530" spans="1:26" x14ac:dyDescent="0.25">
      <c r="A2530" t="s">
        <v>3101</v>
      </c>
      <c r="B2530" t="s">
        <v>164</v>
      </c>
      <c r="C2530" t="s">
        <v>27</v>
      </c>
      <c r="E2530" t="s">
        <v>3102</v>
      </c>
      <c r="H2530" s="2">
        <v>45138.55972222222</v>
      </c>
      <c r="I2530" t="s">
        <v>248</v>
      </c>
      <c r="Z2530">
        <v>61446</v>
      </c>
    </row>
    <row r="2531" spans="1:26" x14ac:dyDescent="0.25">
      <c r="A2531" t="s">
        <v>3103</v>
      </c>
      <c r="B2531" t="s">
        <v>26</v>
      </c>
      <c r="C2531" t="s">
        <v>27</v>
      </c>
      <c r="H2531" s="2">
        <v>45138.515972222223</v>
      </c>
      <c r="I2531" t="s">
        <v>226</v>
      </c>
      <c r="Z2531">
        <v>61435</v>
      </c>
    </row>
    <row r="2532" spans="1:26" x14ac:dyDescent="0.25">
      <c r="A2532" t="s">
        <v>92</v>
      </c>
      <c r="B2532" t="s">
        <v>26</v>
      </c>
      <c r="C2532" t="s">
        <v>27</v>
      </c>
      <c r="H2532" s="2">
        <v>45138.421527777777</v>
      </c>
      <c r="I2532" t="s">
        <v>29</v>
      </c>
      <c r="Z2532">
        <v>61408</v>
      </c>
    </row>
    <row r="2533" spans="1:26" x14ac:dyDescent="0.25">
      <c r="A2533" t="s">
        <v>97</v>
      </c>
      <c r="C2533" t="s">
        <v>27</v>
      </c>
      <c r="E2533" t="s">
        <v>58</v>
      </c>
      <c r="H2533" s="2">
        <v>45138.006944444445</v>
      </c>
      <c r="I2533" t="s">
        <v>226</v>
      </c>
      <c r="Z2533">
        <v>61404</v>
      </c>
    </row>
    <row r="2534" spans="1:26" x14ac:dyDescent="0.25">
      <c r="A2534" t="s">
        <v>92</v>
      </c>
      <c r="B2534" t="s">
        <v>26</v>
      </c>
      <c r="C2534" t="s">
        <v>27</v>
      </c>
      <c r="H2534" s="2">
        <v>45137.84097222222</v>
      </c>
      <c r="I2534" t="s">
        <v>29</v>
      </c>
      <c r="Z2534">
        <v>61399</v>
      </c>
    </row>
    <row r="2535" spans="1:26" x14ac:dyDescent="0.25">
      <c r="A2535" t="s">
        <v>3104</v>
      </c>
      <c r="B2535" t="s">
        <v>26</v>
      </c>
      <c r="C2535" t="s">
        <v>27</v>
      </c>
      <c r="H2535" s="2">
        <v>45137.442361111112</v>
      </c>
      <c r="I2535" t="s">
        <v>95</v>
      </c>
      <c r="Z2535">
        <v>61359</v>
      </c>
    </row>
    <row r="2536" spans="1:26" x14ac:dyDescent="0.25">
      <c r="A2536" t="s">
        <v>3105</v>
      </c>
      <c r="B2536" t="s">
        <v>26</v>
      </c>
      <c r="C2536" t="s">
        <v>27</v>
      </c>
      <c r="H2536" s="2">
        <v>45137.380555555559</v>
      </c>
      <c r="I2536" t="s">
        <v>95</v>
      </c>
      <c r="Z2536">
        <v>61353</v>
      </c>
    </row>
    <row r="2537" spans="1:26" x14ac:dyDescent="0.25">
      <c r="A2537" t="s">
        <v>712</v>
      </c>
      <c r="B2537" t="s">
        <v>26</v>
      </c>
      <c r="C2537" t="s">
        <v>27</v>
      </c>
      <c r="H2537" s="2">
        <v>45136.797222222223</v>
      </c>
      <c r="I2537" t="s">
        <v>29</v>
      </c>
      <c r="Z2537">
        <v>61344</v>
      </c>
    </row>
    <row r="2538" spans="1:26" x14ac:dyDescent="0.25">
      <c r="A2538" t="s">
        <v>308</v>
      </c>
      <c r="B2538" t="s">
        <v>26</v>
      </c>
      <c r="C2538" t="s">
        <v>27</v>
      </c>
      <c r="H2538" s="2">
        <v>45136.582638888889</v>
      </c>
      <c r="I2538" t="s">
        <v>95</v>
      </c>
      <c r="Z2538">
        <v>61321</v>
      </c>
    </row>
    <row r="2539" spans="1:26" x14ac:dyDescent="0.25">
      <c r="A2539" t="s">
        <v>3106</v>
      </c>
      <c r="B2539" t="s">
        <v>26</v>
      </c>
      <c r="C2539" t="s">
        <v>27</v>
      </c>
      <c r="H2539" s="2">
        <v>45135.510416666664</v>
      </c>
      <c r="I2539" t="s">
        <v>226</v>
      </c>
      <c r="Z2539">
        <v>61215</v>
      </c>
    </row>
    <row r="2540" spans="1:26" x14ac:dyDescent="0.25">
      <c r="A2540" t="s">
        <v>3107</v>
      </c>
      <c r="B2540" t="s">
        <v>46</v>
      </c>
      <c r="C2540" t="s">
        <v>27</v>
      </c>
      <c r="E2540" t="s">
        <v>55</v>
      </c>
      <c r="G2540" t="s">
        <v>3108</v>
      </c>
      <c r="H2540" s="2">
        <v>45135.508333333331</v>
      </c>
      <c r="I2540" t="s">
        <v>226</v>
      </c>
      <c r="Z2540">
        <v>61214</v>
      </c>
    </row>
    <row r="2541" spans="1:26" x14ac:dyDescent="0.25">
      <c r="A2541" t="s">
        <v>349</v>
      </c>
      <c r="B2541" t="s">
        <v>198</v>
      </c>
      <c r="C2541" t="s">
        <v>27</v>
      </c>
      <c r="E2541" t="s">
        <v>55</v>
      </c>
      <c r="H2541" s="2">
        <v>45135.504166666666</v>
      </c>
      <c r="I2541" t="s">
        <v>248</v>
      </c>
      <c r="Z2541">
        <v>61212</v>
      </c>
    </row>
    <row r="2542" spans="1:26" x14ac:dyDescent="0.25">
      <c r="A2542" t="s">
        <v>102</v>
      </c>
      <c r="B2542" t="s">
        <v>77</v>
      </c>
      <c r="C2542" t="s">
        <v>27</v>
      </c>
      <c r="E2542" t="s">
        <v>148</v>
      </c>
      <c r="H2542" s="2">
        <v>45134.693749999999</v>
      </c>
      <c r="I2542" t="s">
        <v>226</v>
      </c>
      <c r="Z2542">
        <v>61164</v>
      </c>
    </row>
    <row r="2543" spans="1:26" x14ac:dyDescent="0.25">
      <c r="A2543" t="s">
        <v>3109</v>
      </c>
      <c r="B2543" t="s">
        <v>26</v>
      </c>
      <c r="C2543" t="s">
        <v>27</v>
      </c>
      <c r="E2543" t="s">
        <v>112</v>
      </c>
      <c r="H2543" s="2">
        <v>45134.540972222225</v>
      </c>
      <c r="I2543" t="s">
        <v>95</v>
      </c>
      <c r="Z2543">
        <v>61121</v>
      </c>
    </row>
    <row r="2544" spans="1:26" x14ac:dyDescent="0.25">
      <c r="A2544" t="s">
        <v>3110</v>
      </c>
      <c r="B2544" t="s">
        <v>26</v>
      </c>
      <c r="C2544" t="s">
        <v>27</v>
      </c>
      <c r="H2544" s="2">
        <v>45134.481944444444</v>
      </c>
      <c r="I2544" t="s">
        <v>95</v>
      </c>
      <c r="Z2544">
        <v>61110</v>
      </c>
    </row>
    <row r="2545" spans="1:26" x14ac:dyDescent="0.25">
      <c r="A2545" t="s">
        <v>3110</v>
      </c>
      <c r="B2545" t="s">
        <v>26</v>
      </c>
      <c r="C2545" t="s">
        <v>27</v>
      </c>
      <c r="H2545" s="2">
        <v>45134.425000000003</v>
      </c>
      <c r="I2545" t="s">
        <v>95</v>
      </c>
      <c r="Z2545">
        <v>61092</v>
      </c>
    </row>
    <row r="2546" spans="1:26" x14ac:dyDescent="0.25">
      <c r="A2546" t="s">
        <v>1256</v>
      </c>
      <c r="B2546" t="s">
        <v>26</v>
      </c>
      <c r="C2546" t="s">
        <v>27</v>
      </c>
      <c r="H2546" s="2">
        <v>45134.376388888886</v>
      </c>
      <c r="I2546" t="s">
        <v>153</v>
      </c>
      <c r="Z2546">
        <v>61090</v>
      </c>
    </row>
    <row r="2547" spans="1:26" x14ac:dyDescent="0.25">
      <c r="A2547" t="s">
        <v>3111</v>
      </c>
      <c r="B2547" t="s">
        <v>26</v>
      </c>
      <c r="C2547" t="s">
        <v>27</v>
      </c>
      <c r="H2547" s="2">
        <v>45133.854166666664</v>
      </c>
      <c r="I2547" t="s">
        <v>226</v>
      </c>
      <c r="Z2547">
        <v>61087</v>
      </c>
    </row>
    <row r="2548" spans="1:26" x14ac:dyDescent="0.25">
      <c r="A2548" t="s">
        <v>3112</v>
      </c>
      <c r="B2548" t="s">
        <v>26</v>
      </c>
      <c r="C2548" t="s">
        <v>27</v>
      </c>
      <c r="H2548" s="2">
        <v>45133.818749999999</v>
      </c>
      <c r="I2548" t="s">
        <v>226</v>
      </c>
      <c r="Z2548">
        <v>61085</v>
      </c>
    </row>
    <row r="2549" spans="1:26" x14ac:dyDescent="0.25">
      <c r="A2549" t="s">
        <v>109</v>
      </c>
      <c r="C2549" t="s">
        <v>27</v>
      </c>
      <c r="E2549" t="s">
        <v>45</v>
      </c>
      <c r="H2549" s="2">
        <v>45133.805555555555</v>
      </c>
      <c r="I2549" t="s">
        <v>226</v>
      </c>
      <c r="Z2549">
        <v>61083</v>
      </c>
    </row>
    <row r="2550" spans="1:26" x14ac:dyDescent="0.25">
      <c r="A2550" t="s">
        <v>1054</v>
      </c>
      <c r="B2550" t="s">
        <v>26</v>
      </c>
      <c r="C2550" t="s">
        <v>27</v>
      </c>
      <c r="H2550" s="2">
        <v>45133.722916666666</v>
      </c>
      <c r="I2550" t="s">
        <v>29</v>
      </c>
      <c r="Z2550">
        <v>61073</v>
      </c>
    </row>
    <row r="2551" spans="1:26" x14ac:dyDescent="0.25">
      <c r="A2551" t="s">
        <v>3113</v>
      </c>
      <c r="B2551" t="s">
        <v>26</v>
      </c>
      <c r="C2551" t="s">
        <v>27</v>
      </c>
      <c r="H2551" s="2">
        <v>45133.59652777778</v>
      </c>
      <c r="I2551" t="s">
        <v>226</v>
      </c>
      <c r="Z2551">
        <v>61042</v>
      </c>
    </row>
    <row r="2552" spans="1:26" x14ac:dyDescent="0.25">
      <c r="A2552" t="s">
        <v>712</v>
      </c>
      <c r="C2552" t="s">
        <v>27</v>
      </c>
      <c r="E2552" t="s">
        <v>3114</v>
      </c>
      <c r="H2552" s="2">
        <v>45133.593055555553</v>
      </c>
      <c r="I2552" t="s">
        <v>29</v>
      </c>
      <c r="Z2552">
        <v>61041</v>
      </c>
    </row>
    <row r="2553" spans="1:26" x14ac:dyDescent="0.25">
      <c r="A2553" t="s">
        <v>712</v>
      </c>
      <c r="B2553" t="s">
        <v>26</v>
      </c>
      <c r="C2553" t="s">
        <v>27</v>
      </c>
      <c r="H2553" s="2">
        <v>45133.446527777778</v>
      </c>
      <c r="I2553" t="s">
        <v>29</v>
      </c>
      <c r="Z2553">
        <v>61007</v>
      </c>
    </row>
    <row r="2554" spans="1:26" x14ac:dyDescent="0.25">
      <c r="A2554" t="s">
        <v>2804</v>
      </c>
      <c r="B2554" t="s">
        <v>26</v>
      </c>
      <c r="C2554" t="s">
        <v>27</v>
      </c>
      <c r="H2554" s="2">
        <v>45133.445138888892</v>
      </c>
      <c r="I2554" t="s">
        <v>226</v>
      </c>
      <c r="Z2554">
        <v>61006</v>
      </c>
    </row>
    <row r="2555" spans="1:26" x14ac:dyDescent="0.25">
      <c r="A2555" t="s">
        <v>712</v>
      </c>
      <c r="B2555" t="s">
        <v>26</v>
      </c>
      <c r="C2555" t="s">
        <v>27</v>
      </c>
      <c r="H2555" s="2">
        <v>45133.392361111109</v>
      </c>
      <c r="I2555" t="s">
        <v>29</v>
      </c>
      <c r="Z2555">
        <v>60995</v>
      </c>
    </row>
    <row r="2556" spans="1:26" x14ac:dyDescent="0.25">
      <c r="A2556" t="s">
        <v>92</v>
      </c>
      <c r="B2556" t="s">
        <v>26</v>
      </c>
      <c r="C2556" t="s">
        <v>27</v>
      </c>
      <c r="H2556" s="2">
        <v>45133.388194444444</v>
      </c>
      <c r="I2556" t="s">
        <v>29</v>
      </c>
      <c r="Z2556">
        <v>60993</v>
      </c>
    </row>
    <row r="2557" spans="1:26" x14ac:dyDescent="0.25">
      <c r="A2557" t="s">
        <v>109</v>
      </c>
      <c r="C2557" t="s">
        <v>27</v>
      </c>
      <c r="E2557" t="s">
        <v>66</v>
      </c>
      <c r="H2557" s="2">
        <v>45133.145833333336</v>
      </c>
      <c r="I2557" t="s">
        <v>226</v>
      </c>
      <c r="Z2557">
        <v>60987</v>
      </c>
    </row>
    <row r="2558" spans="1:26" x14ac:dyDescent="0.25">
      <c r="A2558" t="s">
        <v>3115</v>
      </c>
      <c r="B2558" t="s">
        <v>26</v>
      </c>
      <c r="C2558" t="s">
        <v>27</v>
      </c>
      <c r="H2558" s="2">
        <v>45132.790972222225</v>
      </c>
      <c r="I2558" t="s">
        <v>226</v>
      </c>
      <c r="Z2558">
        <v>60976</v>
      </c>
    </row>
    <row r="2559" spans="1:26" x14ac:dyDescent="0.25">
      <c r="A2559" t="s">
        <v>3116</v>
      </c>
      <c r="B2559" t="s">
        <v>26</v>
      </c>
      <c r="C2559" t="s">
        <v>27</v>
      </c>
      <c r="H2559" s="2">
        <v>45132.607638888891</v>
      </c>
      <c r="I2559" t="s">
        <v>226</v>
      </c>
      <c r="Z2559">
        <v>60941</v>
      </c>
    </row>
    <row r="2560" spans="1:26" x14ac:dyDescent="0.25">
      <c r="A2560" t="s">
        <v>3117</v>
      </c>
      <c r="B2560" t="s">
        <v>26</v>
      </c>
      <c r="C2560" t="s">
        <v>27</v>
      </c>
      <c r="H2560" s="2">
        <v>45132.586805555555</v>
      </c>
      <c r="I2560" t="s">
        <v>226</v>
      </c>
      <c r="Z2560">
        <v>60938</v>
      </c>
    </row>
    <row r="2561" spans="1:26" x14ac:dyDescent="0.25">
      <c r="A2561" t="s">
        <v>3118</v>
      </c>
      <c r="C2561" t="s">
        <v>27</v>
      </c>
      <c r="E2561" t="s">
        <v>128</v>
      </c>
      <c r="H2561" s="2">
        <v>45131.771527777775</v>
      </c>
      <c r="I2561" t="s">
        <v>29</v>
      </c>
      <c r="Z2561">
        <v>60879</v>
      </c>
    </row>
    <row r="2562" spans="1:26" x14ac:dyDescent="0.25">
      <c r="A2562" t="s">
        <v>2804</v>
      </c>
      <c r="B2562" t="s">
        <v>26</v>
      </c>
      <c r="C2562" t="s">
        <v>27</v>
      </c>
      <c r="E2562" t="s">
        <v>3119</v>
      </c>
      <c r="H2562" s="2">
        <v>45131.620138888888</v>
      </c>
      <c r="I2562" t="s">
        <v>294</v>
      </c>
      <c r="Z2562">
        <v>60848</v>
      </c>
    </row>
    <row r="2563" spans="1:26" x14ac:dyDescent="0.25">
      <c r="A2563" t="s">
        <v>3120</v>
      </c>
      <c r="B2563" t="s">
        <v>26</v>
      </c>
      <c r="C2563" t="s">
        <v>27</v>
      </c>
      <c r="H2563" s="2">
        <v>45131.553472222222</v>
      </c>
      <c r="I2563" t="s">
        <v>95</v>
      </c>
      <c r="Z2563">
        <v>60836</v>
      </c>
    </row>
    <row r="2564" spans="1:26" x14ac:dyDescent="0.25">
      <c r="A2564" t="s">
        <v>3121</v>
      </c>
      <c r="B2564" t="s">
        <v>26</v>
      </c>
      <c r="C2564" t="s">
        <v>27</v>
      </c>
      <c r="H2564" s="2">
        <v>45131.480555555558</v>
      </c>
      <c r="I2564" t="s">
        <v>95</v>
      </c>
      <c r="Z2564">
        <v>60825</v>
      </c>
    </row>
    <row r="2565" spans="1:26" x14ac:dyDescent="0.25">
      <c r="A2565" t="s">
        <v>3041</v>
      </c>
      <c r="B2565" t="s">
        <v>26</v>
      </c>
      <c r="C2565" t="s">
        <v>27</v>
      </c>
      <c r="H2565" s="2">
        <v>45130.622916666667</v>
      </c>
      <c r="I2565" t="s">
        <v>95</v>
      </c>
      <c r="Z2565">
        <v>60780</v>
      </c>
    </row>
    <row r="2566" spans="1:26" x14ac:dyDescent="0.25">
      <c r="A2566" t="s">
        <v>109</v>
      </c>
      <c r="C2566" t="s">
        <v>27</v>
      </c>
      <c r="E2566" t="s">
        <v>55</v>
      </c>
      <c r="H2566" s="2">
        <v>45130.581944444442</v>
      </c>
      <c r="I2566" t="s">
        <v>29</v>
      </c>
      <c r="Z2566">
        <v>60774</v>
      </c>
    </row>
    <row r="2567" spans="1:26" x14ac:dyDescent="0.25">
      <c r="A2567" t="s">
        <v>712</v>
      </c>
      <c r="B2567" t="s">
        <v>26</v>
      </c>
      <c r="C2567" t="s">
        <v>27</v>
      </c>
      <c r="H2567" s="2">
        <v>45130.458333333336</v>
      </c>
      <c r="I2567" t="s">
        <v>29</v>
      </c>
      <c r="Z2567">
        <v>60758</v>
      </c>
    </row>
    <row r="2568" spans="1:26" x14ac:dyDescent="0.25">
      <c r="A2568" t="s">
        <v>3122</v>
      </c>
      <c r="B2568" t="s">
        <v>26</v>
      </c>
      <c r="C2568" t="s">
        <v>27</v>
      </c>
      <c r="H2568" s="2">
        <v>45129.55972222222</v>
      </c>
      <c r="I2568" t="s">
        <v>95</v>
      </c>
      <c r="Z2568">
        <v>60724</v>
      </c>
    </row>
    <row r="2569" spans="1:26" x14ac:dyDescent="0.25">
      <c r="A2569" t="s">
        <v>3123</v>
      </c>
      <c r="B2569" t="s">
        <v>26</v>
      </c>
      <c r="C2569" t="s">
        <v>27</v>
      </c>
      <c r="H2569" s="2">
        <v>45129.48333333333</v>
      </c>
      <c r="I2569" t="s">
        <v>95</v>
      </c>
      <c r="Z2569">
        <v>60713</v>
      </c>
    </row>
    <row r="2570" spans="1:26" x14ac:dyDescent="0.25">
      <c r="A2570" t="s">
        <v>3124</v>
      </c>
      <c r="B2570" t="s">
        <v>26</v>
      </c>
      <c r="C2570" t="s">
        <v>27</v>
      </c>
      <c r="H2570" s="2">
        <v>45129.476388888892</v>
      </c>
      <c r="I2570" t="s">
        <v>95</v>
      </c>
      <c r="Z2570">
        <v>60712</v>
      </c>
    </row>
    <row r="2571" spans="1:26" x14ac:dyDescent="0.25">
      <c r="A2571" t="s">
        <v>3125</v>
      </c>
      <c r="B2571" t="s">
        <v>26</v>
      </c>
      <c r="C2571" t="s">
        <v>27</v>
      </c>
      <c r="H2571" s="2">
        <v>45129.397916666669</v>
      </c>
      <c r="I2571" t="s">
        <v>95</v>
      </c>
      <c r="Z2571">
        <v>60697</v>
      </c>
    </row>
    <row r="2572" spans="1:26" x14ac:dyDescent="0.25">
      <c r="A2572" t="s">
        <v>3126</v>
      </c>
      <c r="B2572" t="s">
        <v>26</v>
      </c>
      <c r="C2572" t="s">
        <v>27</v>
      </c>
      <c r="H2572" s="2">
        <v>45129.384722222225</v>
      </c>
      <c r="I2572" t="s">
        <v>95</v>
      </c>
      <c r="Z2572">
        <v>60694</v>
      </c>
    </row>
    <row r="2573" spans="1:26" x14ac:dyDescent="0.25">
      <c r="A2573" t="s">
        <v>3127</v>
      </c>
      <c r="B2573" t="s">
        <v>198</v>
      </c>
      <c r="C2573" t="s">
        <v>27</v>
      </c>
      <c r="E2573" t="s">
        <v>3128</v>
      </c>
      <c r="H2573" s="2">
        <v>45129.37777777778</v>
      </c>
      <c r="I2573" t="s">
        <v>226</v>
      </c>
      <c r="K2573" t="s">
        <v>30</v>
      </c>
      <c r="L2573" t="s">
        <v>31</v>
      </c>
      <c r="M2573">
        <v>67130164</v>
      </c>
      <c r="N2573">
        <v>12403825943</v>
      </c>
      <c r="O2573" t="s">
        <v>3129</v>
      </c>
      <c r="Z2573">
        <v>60692</v>
      </c>
    </row>
    <row r="2574" spans="1:26" x14ac:dyDescent="0.25">
      <c r="A2574" t="s">
        <v>3130</v>
      </c>
      <c r="B2574" t="s">
        <v>26</v>
      </c>
      <c r="C2574" t="s">
        <v>27</v>
      </c>
      <c r="H2574" s="2">
        <v>45128.657638888886</v>
      </c>
      <c r="I2574" t="s">
        <v>95</v>
      </c>
      <c r="Z2574">
        <v>60664</v>
      </c>
    </row>
    <row r="2575" spans="1:26" x14ac:dyDescent="0.25">
      <c r="A2575" t="s">
        <v>3131</v>
      </c>
      <c r="B2575" t="s">
        <v>26</v>
      </c>
      <c r="C2575" t="s">
        <v>27</v>
      </c>
      <c r="H2575" s="2">
        <v>45128.495138888888</v>
      </c>
      <c r="I2575" t="s">
        <v>95</v>
      </c>
      <c r="Z2575">
        <v>60623</v>
      </c>
    </row>
    <row r="2576" spans="1:26" x14ac:dyDescent="0.25">
      <c r="A2576" t="s">
        <v>3132</v>
      </c>
      <c r="B2576" t="s">
        <v>26</v>
      </c>
      <c r="C2576" t="s">
        <v>27</v>
      </c>
      <c r="H2576" s="2">
        <v>45128.472222222219</v>
      </c>
      <c r="I2576" t="s">
        <v>226</v>
      </c>
      <c r="Z2576">
        <v>60614</v>
      </c>
    </row>
    <row r="2577" spans="1:26" x14ac:dyDescent="0.25">
      <c r="A2577" t="s">
        <v>3133</v>
      </c>
      <c r="B2577" t="s">
        <v>26</v>
      </c>
      <c r="C2577" t="s">
        <v>27</v>
      </c>
      <c r="H2577" s="2">
        <v>45127.816666666666</v>
      </c>
      <c r="I2577" t="s">
        <v>29</v>
      </c>
      <c r="Z2577">
        <v>60587</v>
      </c>
    </row>
    <row r="2578" spans="1:26" x14ac:dyDescent="0.25">
      <c r="A2578" t="s">
        <v>3134</v>
      </c>
      <c r="C2578" t="s">
        <v>27</v>
      </c>
      <c r="E2578" t="s">
        <v>207</v>
      </c>
      <c r="H2578" s="2">
        <v>45127.518750000003</v>
      </c>
      <c r="I2578" t="s">
        <v>29</v>
      </c>
      <c r="Z2578">
        <v>60539</v>
      </c>
    </row>
    <row r="2579" spans="1:26" x14ac:dyDescent="0.25">
      <c r="A2579" t="s">
        <v>3135</v>
      </c>
      <c r="B2579" t="s">
        <v>150</v>
      </c>
      <c r="C2579" t="s">
        <v>27</v>
      </c>
      <c r="E2579" t="s">
        <v>3136</v>
      </c>
      <c r="H2579" s="2">
        <v>45126.793749999997</v>
      </c>
      <c r="I2579" t="s">
        <v>227</v>
      </c>
      <c r="K2579" t="s">
        <v>30</v>
      </c>
      <c r="L2579" t="s">
        <v>31</v>
      </c>
      <c r="M2579">
        <v>55887024</v>
      </c>
      <c r="N2579">
        <v>9754613615</v>
      </c>
      <c r="O2579" t="s">
        <v>3137</v>
      </c>
      <c r="Z2579">
        <v>60500</v>
      </c>
    </row>
    <row r="2580" spans="1:26" x14ac:dyDescent="0.25">
      <c r="A2580" t="s">
        <v>3138</v>
      </c>
      <c r="B2580" t="s">
        <v>26</v>
      </c>
      <c r="C2580" t="s">
        <v>27</v>
      </c>
      <c r="E2580" t="s">
        <v>3139</v>
      </c>
      <c r="H2580" s="2">
        <v>45126.60833333333</v>
      </c>
      <c r="I2580" t="s">
        <v>227</v>
      </c>
      <c r="Z2580">
        <v>60463</v>
      </c>
    </row>
    <row r="2581" spans="1:26" x14ac:dyDescent="0.25">
      <c r="A2581" t="s">
        <v>92</v>
      </c>
      <c r="B2581" t="s">
        <v>26</v>
      </c>
      <c r="C2581" t="s">
        <v>27</v>
      </c>
      <c r="H2581" s="2">
        <v>45126.53125</v>
      </c>
      <c r="I2581" t="s">
        <v>29</v>
      </c>
      <c r="Z2581">
        <v>60450</v>
      </c>
    </row>
    <row r="2582" spans="1:26" x14ac:dyDescent="0.25">
      <c r="A2582" t="s">
        <v>712</v>
      </c>
      <c r="B2582" t="s">
        <v>26</v>
      </c>
      <c r="C2582" t="s">
        <v>27</v>
      </c>
      <c r="H2582" s="2">
        <v>45126.400694444441</v>
      </c>
      <c r="I2582" t="s">
        <v>29</v>
      </c>
      <c r="Z2582">
        <v>60421</v>
      </c>
    </row>
    <row r="2583" spans="1:26" x14ac:dyDescent="0.25">
      <c r="A2583" t="s">
        <v>3140</v>
      </c>
      <c r="B2583" t="s">
        <v>26</v>
      </c>
      <c r="C2583" t="s">
        <v>27</v>
      </c>
      <c r="H2583" s="2">
        <v>45126.377083333333</v>
      </c>
      <c r="I2583" t="s">
        <v>29</v>
      </c>
      <c r="Z2583">
        <v>60416</v>
      </c>
    </row>
    <row r="2584" spans="1:26" x14ac:dyDescent="0.25">
      <c r="A2584" t="s">
        <v>3141</v>
      </c>
      <c r="B2584" t="s">
        <v>46</v>
      </c>
      <c r="C2584" t="s">
        <v>27</v>
      </c>
      <c r="E2584" t="s">
        <v>201</v>
      </c>
      <c r="G2584" t="s">
        <v>3142</v>
      </c>
      <c r="H2584" s="2">
        <v>45125.953472222223</v>
      </c>
      <c r="I2584" t="s">
        <v>227</v>
      </c>
      <c r="Z2584">
        <v>60413</v>
      </c>
    </row>
    <row r="2585" spans="1:26" x14ac:dyDescent="0.25">
      <c r="A2585" t="s">
        <v>3143</v>
      </c>
      <c r="B2585" t="s">
        <v>26</v>
      </c>
      <c r="C2585" t="s">
        <v>27</v>
      </c>
      <c r="H2585" s="2">
        <v>45125.713888888888</v>
      </c>
      <c r="I2585" t="s">
        <v>95</v>
      </c>
      <c r="Z2585">
        <v>60396</v>
      </c>
    </row>
    <row r="2586" spans="1:26" x14ac:dyDescent="0.25">
      <c r="A2586" t="s">
        <v>3144</v>
      </c>
      <c r="B2586" t="s">
        <v>26</v>
      </c>
      <c r="C2586" t="s">
        <v>27</v>
      </c>
      <c r="H2586" s="2">
        <v>45125.640972222223</v>
      </c>
      <c r="I2586" t="s">
        <v>294</v>
      </c>
      <c r="Z2586">
        <v>60378</v>
      </c>
    </row>
    <row r="2587" spans="1:26" x14ac:dyDescent="0.25">
      <c r="A2587" t="s">
        <v>891</v>
      </c>
      <c r="B2587" t="s">
        <v>26</v>
      </c>
      <c r="C2587" t="s">
        <v>27</v>
      </c>
      <c r="H2587" s="2">
        <v>45125.628472222219</v>
      </c>
      <c r="I2587" t="s">
        <v>29</v>
      </c>
      <c r="Z2587">
        <v>60374</v>
      </c>
    </row>
    <row r="2588" spans="1:26" x14ac:dyDescent="0.25">
      <c r="A2588" t="s">
        <v>102</v>
      </c>
      <c r="B2588" t="s">
        <v>77</v>
      </c>
      <c r="C2588" t="s">
        <v>27</v>
      </c>
      <c r="E2588" t="s">
        <v>90</v>
      </c>
      <c r="H2588" s="2">
        <v>45125.556944444441</v>
      </c>
      <c r="I2588" t="s">
        <v>95</v>
      </c>
      <c r="Z2588">
        <v>60361</v>
      </c>
    </row>
    <row r="2589" spans="1:26" x14ac:dyDescent="0.25">
      <c r="A2589" t="s">
        <v>3145</v>
      </c>
      <c r="B2589" t="s">
        <v>26</v>
      </c>
      <c r="C2589" t="s">
        <v>27</v>
      </c>
      <c r="H2589" s="2">
        <v>45125.541666666664</v>
      </c>
      <c r="I2589" t="s">
        <v>29</v>
      </c>
      <c r="Z2589">
        <v>60355</v>
      </c>
    </row>
    <row r="2590" spans="1:26" x14ac:dyDescent="0.25">
      <c r="A2590" t="s">
        <v>712</v>
      </c>
      <c r="B2590" t="s">
        <v>26</v>
      </c>
      <c r="C2590" t="s">
        <v>27</v>
      </c>
      <c r="H2590" s="2">
        <v>45125.411805555559</v>
      </c>
      <c r="I2590" t="s">
        <v>29</v>
      </c>
      <c r="Z2590">
        <v>60319</v>
      </c>
    </row>
    <row r="2591" spans="1:26" x14ac:dyDescent="0.25">
      <c r="A2591" t="s">
        <v>712</v>
      </c>
      <c r="B2591" t="s">
        <v>26</v>
      </c>
      <c r="C2591" t="s">
        <v>27</v>
      </c>
      <c r="H2591" s="2">
        <v>45124.740277777775</v>
      </c>
      <c r="I2591" t="s">
        <v>29</v>
      </c>
      <c r="Z2591">
        <v>60297</v>
      </c>
    </row>
    <row r="2592" spans="1:26" x14ac:dyDescent="0.25">
      <c r="A2592" t="s">
        <v>712</v>
      </c>
      <c r="C2592" t="s">
        <v>27</v>
      </c>
      <c r="E2592" t="s">
        <v>57</v>
      </c>
      <c r="H2592" s="2">
        <v>45124.684027777781</v>
      </c>
      <c r="I2592" t="s">
        <v>29</v>
      </c>
      <c r="Z2592">
        <v>60287</v>
      </c>
    </row>
    <row r="2593" spans="1:26" x14ac:dyDescent="0.25">
      <c r="A2593" t="s">
        <v>3146</v>
      </c>
      <c r="B2593" t="s">
        <v>26</v>
      </c>
      <c r="C2593" t="s">
        <v>27</v>
      </c>
      <c r="H2593" s="2">
        <v>45124.54791666667</v>
      </c>
      <c r="I2593" t="s">
        <v>95</v>
      </c>
      <c r="Z2593">
        <v>60263</v>
      </c>
    </row>
    <row r="2594" spans="1:26" x14ac:dyDescent="0.25">
      <c r="A2594" t="s">
        <v>712</v>
      </c>
      <c r="B2594" t="s">
        <v>26</v>
      </c>
      <c r="C2594" t="s">
        <v>27</v>
      </c>
      <c r="H2594" s="2">
        <v>45124.522222222222</v>
      </c>
      <c r="I2594" t="s">
        <v>29</v>
      </c>
      <c r="Z2594">
        <v>60256</v>
      </c>
    </row>
    <row r="2595" spans="1:26" x14ac:dyDescent="0.25">
      <c r="A2595" t="s">
        <v>3143</v>
      </c>
      <c r="B2595" t="s">
        <v>26</v>
      </c>
      <c r="C2595" t="s">
        <v>27</v>
      </c>
      <c r="H2595" s="2">
        <v>45123.75277777778</v>
      </c>
      <c r="I2595" t="s">
        <v>95</v>
      </c>
      <c r="Z2595">
        <v>60211</v>
      </c>
    </row>
    <row r="2596" spans="1:26" x14ac:dyDescent="0.25">
      <c r="A2596" t="s">
        <v>3147</v>
      </c>
      <c r="B2596" t="s">
        <v>26</v>
      </c>
      <c r="C2596" t="s">
        <v>27</v>
      </c>
      <c r="H2596" s="2">
        <v>45123.430555555555</v>
      </c>
      <c r="I2596" t="s">
        <v>186</v>
      </c>
      <c r="Z2596">
        <v>60183</v>
      </c>
    </row>
    <row r="2597" spans="1:26" x14ac:dyDescent="0.25">
      <c r="A2597" t="s">
        <v>3148</v>
      </c>
      <c r="B2597" t="s">
        <v>26</v>
      </c>
      <c r="C2597" t="s">
        <v>27</v>
      </c>
      <c r="H2597" s="2">
        <v>45123.424305555556</v>
      </c>
      <c r="I2597" t="s">
        <v>95</v>
      </c>
      <c r="Z2597">
        <v>60182</v>
      </c>
    </row>
    <row r="2598" spans="1:26" x14ac:dyDescent="0.25">
      <c r="A2598" t="s">
        <v>3149</v>
      </c>
      <c r="B2598" t="s">
        <v>26</v>
      </c>
      <c r="C2598" t="s">
        <v>27</v>
      </c>
      <c r="H2598" s="2">
        <v>45122.45208333333</v>
      </c>
      <c r="I2598" t="s">
        <v>95</v>
      </c>
      <c r="Z2598">
        <v>60145</v>
      </c>
    </row>
    <row r="2599" spans="1:26" x14ac:dyDescent="0.25">
      <c r="A2599" t="s">
        <v>3150</v>
      </c>
      <c r="B2599" t="s">
        <v>26</v>
      </c>
      <c r="C2599" t="s">
        <v>27</v>
      </c>
      <c r="H2599" s="2">
        <v>45122.422222222223</v>
      </c>
      <c r="I2599" t="s">
        <v>227</v>
      </c>
      <c r="Z2599">
        <v>60139</v>
      </c>
    </row>
    <row r="2600" spans="1:26" x14ac:dyDescent="0.25">
      <c r="A2600" t="s">
        <v>3151</v>
      </c>
      <c r="B2600" t="s">
        <v>26</v>
      </c>
      <c r="C2600" t="s">
        <v>27</v>
      </c>
      <c r="H2600" s="2">
        <v>45121.649305555555</v>
      </c>
      <c r="I2600" t="s">
        <v>29</v>
      </c>
      <c r="Z2600">
        <v>60108</v>
      </c>
    </row>
    <row r="2601" spans="1:26" x14ac:dyDescent="0.25">
      <c r="A2601" t="s">
        <v>3152</v>
      </c>
      <c r="B2601" t="s">
        <v>26</v>
      </c>
      <c r="C2601" t="s">
        <v>27</v>
      </c>
      <c r="H2601" s="2">
        <v>45121.563888888886</v>
      </c>
      <c r="I2601" t="s">
        <v>227</v>
      </c>
      <c r="Z2601">
        <v>60081</v>
      </c>
    </row>
    <row r="2602" spans="1:26" x14ac:dyDescent="0.25">
      <c r="A2602" t="s">
        <v>3153</v>
      </c>
      <c r="B2602" t="s">
        <v>26</v>
      </c>
      <c r="C2602" t="s">
        <v>27</v>
      </c>
      <c r="H2602" s="2">
        <v>45121.545138888891</v>
      </c>
      <c r="I2602" t="s">
        <v>153</v>
      </c>
      <c r="Z2602">
        <v>60076</v>
      </c>
    </row>
    <row r="2603" spans="1:26" x14ac:dyDescent="0.25">
      <c r="A2603" t="s">
        <v>1256</v>
      </c>
      <c r="B2603" t="s">
        <v>26</v>
      </c>
      <c r="C2603" t="s">
        <v>27</v>
      </c>
      <c r="H2603" s="2">
        <v>45121.406944444447</v>
      </c>
      <c r="I2603" t="s">
        <v>153</v>
      </c>
      <c r="Z2603">
        <v>60044</v>
      </c>
    </row>
    <row r="2604" spans="1:26" x14ac:dyDescent="0.25">
      <c r="A2604" t="s">
        <v>3154</v>
      </c>
      <c r="B2604" t="s">
        <v>26</v>
      </c>
      <c r="C2604" t="s">
        <v>27</v>
      </c>
      <c r="H2604" s="2">
        <v>45120.768055555556</v>
      </c>
      <c r="I2604" t="s">
        <v>294</v>
      </c>
      <c r="Z2604">
        <v>60029</v>
      </c>
    </row>
    <row r="2605" spans="1:26" x14ac:dyDescent="0.25">
      <c r="A2605" t="s">
        <v>3155</v>
      </c>
      <c r="B2605" t="s">
        <v>26</v>
      </c>
      <c r="C2605" t="s">
        <v>27</v>
      </c>
      <c r="H2605" s="2">
        <v>45120.613194444442</v>
      </c>
      <c r="I2605" t="s">
        <v>227</v>
      </c>
      <c r="Z2605">
        <v>60003</v>
      </c>
    </row>
    <row r="2606" spans="1:26" x14ac:dyDescent="0.25">
      <c r="A2606" t="s">
        <v>3156</v>
      </c>
      <c r="B2606" t="s">
        <v>26</v>
      </c>
      <c r="C2606" t="s">
        <v>27</v>
      </c>
      <c r="H2606" s="2">
        <v>45120.465277777781</v>
      </c>
      <c r="I2606" t="s">
        <v>294</v>
      </c>
      <c r="Z2606">
        <v>59974</v>
      </c>
    </row>
    <row r="2607" spans="1:26" x14ac:dyDescent="0.25">
      <c r="A2607" t="s">
        <v>712</v>
      </c>
      <c r="B2607" t="s">
        <v>26</v>
      </c>
      <c r="C2607" t="s">
        <v>27</v>
      </c>
      <c r="H2607" s="2">
        <v>45119.815972222219</v>
      </c>
      <c r="I2607" t="s">
        <v>29</v>
      </c>
      <c r="Z2607">
        <v>59951</v>
      </c>
    </row>
    <row r="2608" spans="1:26" x14ac:dyDescent="0.25">
      <c r="A2608" t="s">
        <v>712</v>
      </c>
      <c r="B2608" t="s">
        <v>26</v>
      </c>
      <c r="C2608" t="s">
        <v>27</v>
      </c>
      <c r="H2608" s="2">
        <v>45119.5625</v>
      </c>
      <c r="I2608" t="s">
        <v>29</v>
      </c>
      <c r="Z2608">
        <v>59907</v>
      </c>
    </row>
    <row r="2609" spans="1:26" x14ac:dyDescent="0.25">
      <c r="A2609" t="s">
        <v>712</v>
      </c>
      <c r="B2609" t="s">
        <v>26</v>
      </c>
      <c r="C2609" t="s">
        <v>27</v>
      </c>
      <c r="H2609" s="2">
        <v>45119.393055555556</v>
      </c>
      <c r="I2609" t="s">
        <v>29</v>
      </c>
      <c r="Z2609">
        <v>59881</v>
      </c>
    </row>
    <row r="2610" spans="1:26" x14ac:dyDescent="0.25">
      <c r="A2610" t="s">
        <v>712</v>
      </c>
      <c r="C2610" t="s">
        <v>27</v>
      </c>
      <c r="E2610" t="s">
        <v>58</v>
      </c>
      <c r="H2610" s="2">
        <v>45118.763888888891</v>
      </c>
      <c r="I2610" t="s">
        <v>29</v>
      </c>
      <c r="Z2610">
        <v>59872</v>
      </c>
    </row>
    <row r="2611" spans="1:26" x14ac:dyDescent="0.25">
      <c r="A2611" t="s">
        <v>712</v>
      </c>
      <c r="B2611" t="s">
        <v>77</v>
      </c>
      <c r="C2611" t="s">
        <v>27</v>
      </c>
      <c r="E2611" t="s">
        <v>288</v>
      </c>
      <c r="H2611" s="2">
        <v>45118.418055555558</v>
      </c>
      <c r="I2611" t="s">
        <v>29</v>
      </c>
      <c r="K2611" t="s">
        <v>30</v>
      </c>
      <c r="L2611" t="s">
        <v>31</v>
      </c>
      <c r="M2611">
        <v>67130164</v>
      </c>
      <c r="N2611">
        <v>12403825921</v>
      </c>
      <c r="O2611" t="s">
        <v>682</v>
      </c>
      <c r="Z2611">
        <v>59813</v>
      </c>
    </row>
    <row r="2612" spans="1:26" x14ac:dyDescent="0.25">
      <c r="A2612" t="s">
        <v>3157</v>
      </c>
      <c r="B2612" t="s">
        <v>26</v>
      </c>
      <c r="C2612" t="s">
        <v>27</v>
      </c>
      <c r="H2612" s="2">
        <v>45118.405555555553</v>
      </c>
      <c r="I2612" t="s">
        <v>29</v>
      </c>
      <c r="Z2612">
        <v>59810</v>
      </c>
    </row>
    <row r="2613" spans="1:26" x14ac:dyDescent="0.25">
      <c r="A2613" t="s">
        <v>3158</v>
      </c>
      <c r="B2613" t="s">
        <v>150</v>
      </c>
      <c r="C2613" t="s">
        <v>27</v>
      </c>
      <c r="E2613" t="s">
        <v>3159</v>
      </c>
      <c r="G2613" t="s">
        <v>3160</v>
      </c>
      <c r="H2613" s="2">
        <v>45117.845833333333</v>
      </c>
      <c r="I2613" t="s">
        <v>227</v>
      </c>
      <c r="Z2613">
        <v>59799</v>
      </c>
    </row>
    <row r="2614" spans="1:26" x14ac:dyDescent="0.25">
      <c r="A2614" t="s">
        <v>3161</v>
      </c>
      <c r="B2614" t="s">
        <v>26</v>
      </c>
      <c r="C2614" t="s">
        <v>27</v>
      </c>
      <c r="H2614" s="2">
        <v>45117.76666666667</v>
      </c>
      <c r="I2614" t="s">
        <v>227</v>
      </c>
      <c r="Z2614">
        <v>59790</v>
      </c>
    </row>
    <row r="2615" spans="1:26" x14ac:dyDescent="0.25">
      <c r="A2615" t="s">
        <v>3162</v>
      </c>
      <c r="B2615" t="s">
        <v>26</v>
      </c>
      <c r="C2615" t="s">
        <v>27</v>
      </c>
      <c r="H2615" s="2">
        <v>45117.623611111114</v>
      </c>
      <c r="I2615" t="s">
        <v>153</v>
      </c>
      <c r="Z2615">
        <v>59770</v>
      </c>
    </row>
    <row r="2616" spans="1:26" x14ac:dyDescent="0.25">
      <c r="A2616" t="s">
        <v>3163</v>
      </c>
      <c r="B2616" t="s">
        <v>26</v>
      </c>
      <c r="C2616" t="s">
        <v>27</v>
      </c>
      <c r="H2616" s="2">
        <v>45116.756944444445</v>
      </c>
      <c r="I2616" t="s">
        <v>95</v>
      </c>
      <c r="Z2616">
        <v>59718</v>
      </c>
    </row>
    <row r="2617" spans="1:26" x14ac:dyDescent="0.25">
      <c r="A2617" t="s">
        <v>109</v>
      </c>
      <c r="C2617" t="s">
        <v>27</v>
      </c>
      <c r="E2617" t="s">
        <v>84</v>
      </c>
      <c r="H2617" s="2">
        <v>45116.460416666669</v>
      </c>
      <c r="I2617" t="s">
        <v>153</v>
      </c>
      <c r="Z2617">
        <v>59690</v>
      </c>
    </row>
    <row r="2618" spans="1:26" x14ac:dyDescent="0.25">
      <c r="A2618" t="s">
        <v>3164</v>
      </c>
      <c r="B2618" t="s">
        <v>46</v>
      </c>
      <c r="C2618" t="s">
        <v>27</v>
      </c>
      <c r="E2618" t="s">
        <v>120</v>
      </c>
      <c r="G2618" t="s">
        <v>3165</v>
      </c>
      <c r="H2618" s="2">
        <v>45115.701388888891</v>
      </c>
      <c r="I2618" t="s">
        <v>227</v>
      </c>
      <c r="Z2618">
        <v>59679</v>
      </c>
    </row>
    <row r="2619" spans="1:26" x14ac:dyDescent="0.25">
      <c r="A2619" t="s">
        <v>1432</v>
      </c>
      <c r="B2619" t="s">
        <v>26</v>
      </c>
      <c r="C2619" t="s">
        <v>27</v>
      </c>
      <c r="H2619" s="2">
        <v>45114.686111111114</v>
      </c>
      <c r="I2619" t="s">
        <v>29</v>
      </c>
      <c r="Z2619">
        <v>59610</v>
      </c>
    </row>
    <row r="2620" spans="1:26" x14ac:dyDescent="0.25">
      <c r="A2620" t="s">
        <v>3166</v>
      </c>
      <c r="B2620" t="s">
        <v>26</v>
      </c>
      <c r="C2620" t="s">
        <v>27</v>
      </c>
      <c r="H2620" s="2">
        <v>45114.570833333331</v>
      </c>
      <c r="I2620" t="s">
        <v>294</v>
      </c>
      <c r="Z2620">
        <v>59592</v>
      </c>
    </row>
    <row r="2621" spans="1:26" x14ac:dyDescent="0.25">
      <c r="A2621" t="s">
        <v>3167</v>
      </c>
      <c r="B2621" t="s">
        <v>26</v>
      </c>
      <c r="C2621" t="s">
        <v>27</v>
      </c>
      <c r="H2621" s="2">
        <v>45114.531944444447</v>
      </c>
      <c r="I2621" t="s">
        <v>294</v>
      </c>
      <c r="Z2621">
        <v>59585</v>
      </c>
    </row>
    <row r="2622" spans="1:26" x14ac:dyDescent="0.25">
      <c r="A2622" t="s">
        <v>712</v>
      </c>
      <c r="B2622" t="s">
        <v>26</v>
      </c>
      <c r="C2622" t="s">
        <v>27</v>
      </c>
      <c r="H2622" s="2">
        <v>45113.609027777777</v>
      </c>
      <c r="I2622" t="s">
        <v>29</v>
      </c>
      <c r="Z2622">
        <v>59525</v>
      </c>
    </row>
    <row r="2623" spans="1:26" x14ac:dyDescent="0.25">
      <c r="A2623" t="s">
        <v>3168</v>
      </c>
      <c r="B2623" t="s">
        <v>164</v>
      </c>
      <c r="C2623" t="s">
        <v>27</v>
      </c>
      <c r="E2623" t="s">
        <v>159</v>
      </c>
      <c r="G2623" t="s">
        <v>3169</v>
      </c>
      <c r="H2623" s="2">
        <v>45113.50277777778</v>
      </c>
      <c r="I2623" t="s">
        <v>29</v>
      </c>
      <c r="K2623" t="s">
        <v>30</v>
      </c>
      <c r="L2623" t="s">
        <v>31</v>
      </c>
      <c r="M2623">
        <v>67130164</v>
      </c>
      <c r="N2623">
        <v>12403825922</v>
      </c>
      <c r="O2623" t="s">
        <v>682</v>
      </c>
      <c r="Z2623">
        <v>59502</v>
      </c>
    </row>
    <row r="2624" spans="1:26" x14ac:dyDescent="0.25">
      <c r="A2624" t="s">
        <v>3170</v>
      </c>
      <c r="B2624" t="s">
        <v>26</v>
      </c>
      <c r="C2624" t="s">
        <v>27</v>
      </c>
      <c r="H2624" s="2">
        <v>45113.48541666667</v>
      </c>
      <c r="I2624" t="s">
        <v>29</v>
      </c>
      <c r="Z2624">
        <v>59499</v>
      </c>
    </row>
    <row r="2625" spans="1:26" x14ac:dyDescent="0.25">
      <c r="A2625" t="s">
        <v>3171</v>
      </c>
      <c r="B2625" t="s">
        <v>26</v>
      </c>
      <c r="C2625" t="s">
        <v>27</v>
      </c>
      <c r="H2625" s="2">
        <v>45112.790277777778</v>
      </c>
      <c r="I2625" t="s">
        <v>95</v>
      </c>
      <c r="Z2625">
        <v>59474</v>
      </c>
    </row>
    <row r="2626" spans="1:26" x14ac:dyDescent="0.25">
      <c r="A2626" t="s">
        <v>3172</v>
      </c>
      <c r="B2626" t="s">
        <v>26</v>
      </c>
      <c r="C2626" t="s">
        <v>27</v>
      </c>
      <c r="E2626" t="s">
        <v>80</v>
      </c>
      <c r="H2626" s="2">
        <v>45112.727777777778</v>
      </c>
      <c r="I2626" t="s">
        <v>95</v>
      </c>
      <c r="Z2626">
        <v>59461</v>
      </c>
    </row>
    <row r="2627" spans="1:26" x14ac:dyDescent="0.25">
      <c r="A2627" t="s">
        <v>3173</v>
      </c>
      <c r="B2627" t="s">
        <v>26</v>
      </c>
      <c r="C2627" t="s">
        <v>27</v>
      </c>
      <c r="H2627" s="2">
        <v>45112.533333333333</v>
      </c>
      <c r="I2627" t="s">
        <v>95</v>
      </c>
      <c r="Z2627">
        <v>59432</v>
      </c>
    </row>
    <row r="2628" spans="1:26" x14ac:dyDescent="0.25">
      <c r="A2628" t="s">
        <v>1256</v>
      </c>
      <c r="B2628" t="s">
        <v>26</v>
      </c>
      <c r="C2628" t="s">
        <v>27</v>
      </c>
      <c r="H2628" s="2">
        <v>45112.497916666667</v>
      </c>
      <c r="I2628" t="s">
        <v>294</v>
      </c>
      <c r="Z2628">
        <v>59427</v>
      </c>
    </row>
    <row r="2629" spans="1:26" x14ac:dyDescent="0.25">
      <c r="A2629" t="s">
        <v>3174</v>
      </c>
      <c r="B2629" t="s">
        <v>26</v>
      </c>
      <c r="C2629" t="s">
        <v>27</v>
      </c>
      <c r="H2629" s="2">
        <v>45111.828472222223</v>
      </c>
      <c r="I2629" t="s">
        <v>227</v>
      </c>
      <c r="Z2629">
        <v>59390</v>
      </c>
    </row>
    <row r="2630" spans="1:26" x14ac:dyDescent="0.25">
      <c r="A2630" t="s">
        <v>3175</v>
      </c>
      <c r="B2630" t="s">
        <v>26</v>
      </c>
      <c r="C2630" t="s">
        <v>27</v>
      </c>
      <c r="E2630" t="s">
        <v>1543</v>
      </c>
      <c r="H2630" s="2">
        <v>45111.537499999999</v>
      </c>
      <c r="I2630" t="s">
        <v>227</v>
      </c>
      <c r="Z2630">
        <v>59346</v>
      </c>
    </row>
    <row r="2631" spans="1:26" x14ac:dyDescent="0.25">
      <c r="A2631" t="s">
        <v>3176</v>
      </c>
      <c r="B2631" t="s">
        <v>26</v>
      </c>
      <c r="C2631" t="s">
        <v>27</v>
      </c>
      <c r="H2631" s="2">
        <v>45111.492361111108</v>
      </c>
      <c r="I2631" t="s">
        <v>153</v>
      </c>
      <c r="Z2631">
        <v>59338</v>
      </c>
    </row>
    <row r="2632" spans="1:26" x14ac:dyDescent="0.25">
      <c r="A2632" t="s">
        <v>3177</v>
      </c>
      <c r="B2632" t="s">
        <v>26</v>
      </c>
      <c r="C2632" t="s">
        <v>27</v>
      </c>
      <c r="H2632" s="2">
        <v>45110.863194444442</v>
      </c>
      <c r="I2632" t="s">
        <v>153</v>
      </c>
      <c r="Z2632">
        <v>59322</v>
      </c>
    </row>
    <row r="2633" spans="1:26" x14ac:dyDescent="0.25">
      <c r="A2633" t="s">
        <v>3178</v>
      </c>
      <c r="B2633" t="s">
        <v>26</v>
      </c>
      <c r="C2633" t="s">
        <v>27</v>
      </c>
      <c r="H2633" s="2">
        <v>45110.853472222225</v>
      </c>
      <c r="I2633" t="s">
        <v>153</v>
      </c>
      <c r="Z2633">
        <v>59320</v>
      </c>
    </row>
    <row r="2634" spans="1:26" x14ac:dyDescent="0.25">
      <c r="A2634" t="s">
        <v>270</v>
      </c>
      <c r="B2634" t="s">
        <v>164</v>
      </c>
      <c r="C2634" t="s">
        <v>27</v>
      </c>
      <c r="E2634" t="s">
        <v>112</v>
      </c>
      <c r="H2634" s="2">
        <v>45110.646527777775</v>
      </c>
      <c r="I2634" t="s">
        <v>227</v>
      </c>
      <c r="K2634" t="s">
        <v>30</v>
      </c>
      <c r="L2634" t="s">
        <v>31</v>
      </c>
      <c r="M2634">
        <v>55887024</v>
      </c>
      <c r="N2634">
        <v>9754613607</v>
      </c>
      <c r="O2634" t="s">
        <v>1549</v>
      </c>
      <c r="Z2634">
        <v>59297</v>
      </c>
    </row>
    <row r="2635" spans="1:26" x14ac:dyDescent="0.25">
      <c r="A2635" t="s">
        <v>3179</v>
      </c>
      <c r="B2635" t="s">
        <v>26</v>
      </c>
      <c r="C2635" t="s">
        <v>27</v>
      </c>
      <c r="H2635" s="2">
        <v>45110.536111111112</v>
      </c>
      <c r="I2635" t="s">
        <v>227</v>
      </c>
      <c r="Z2635">
        <v>59270</v>
      </c>
    </row>
    <row r="2636" spans="1:26" x14ac:dyDescent="0.25">
      <c r="A2636" t="s">
        <v>3180</v>
      </c>
      <c r="B2636" t="s">
        <v>26</v>
      </c>
      <c r="C2636" t="s">
        <v>27</v>
      </c>
      <c r="H2636" s="2">
        <v>45110.500694444447</v>
      </c>
      <c r="I2636" t="s">
        <v>227</v>
      </c>
      <c r="Z2636">
        <v>59260</v>
      </c>
    </row>
    <row r="2637" spans="1:26" x14ac:dyDescent="0.25">
      <c r="A2637" t="s">
        <v>3181</v>
      </c>
      <c r="B2637" t="s">
        <v>26</v>
      </c>
      <c r="C2637" t="s">
        <v>27</v>
      </c>
      <c r="H2637" s="2">
        <v>45110.439583333333</v>
      </c>
      <c r="I2637" t="s">
        <v>227</v>
      </c>
      <c r="Z2637">
        <v>59251</v>
      </c>
    </row>
    <row r="2638" spans="1:26" x14ac:dyDescent="0.25">
      <c r="A2638" t="s">
        <v>3182</v>
      </c>
      <c r="B2638" t="s">
        <v>26</v>
      </c>
      <c r="C2638" t="s">
        <v>27</v>
      </c>
      <c r="H2638" s="2">
        <v>45110.402083333334</v>
      </c>
      <c r="I2638" t="s">
        <v>226</v>
      </c>
      <c r="Z2638">
        <v>59247</v>
      </c>
    </row>
    <row r="2639" spans="1:26" x14ac:dyDescent="0.25">
      <c r="A2639" t="s">
        <v>187</v>
      </c>
      <c r="B2639" t="s">
        <v>198</v>
      </c>
      <c r="C2639" t="s">
        <v>27</v>
      </c>
      <c r="E2639" t="s">
        <v>188</v>
      </c>
      <c r="H2639" s="2">
        <v>45110.301388888889</v>
      </c>
      <c r="I2639" t="s">
        <v>227</v>
      </c>
      <c r="Z2639">
        <v>59241</v>
      </c>
    </row>
    <row r="2640" spans="1:26" x14ac:dyDescent="0.25">
      <c r="A2640" t="s">
        <v>1256</v>
      </c>
      <c r="B2640" t="s">
        <v>26</v>
      </c>
      <c r="C2640" t="s">
        <v>27</v>
      </c>
      <c r="H2640" s="2">
        <v>45109.67083333333</v>
      </c>
      <c r="I2640" t="s">
        <v>153</v>
      </c>
      <c r="Z2640">
        <v>59224</v>
      </c>
    </row>
    <row r="2641" spans="1:26" x14ac:dyDescent="0.25">
      <c r="A2641" t="s">
        <v>712</v>
      </c>
      <c r="B2641" t="s">
        <v>164</v>
      </c>
      <c r="C2641" t="s">
        <v>27</v>
      </c>
      <c r="E2641" t="s">
        <v>53</v>
      </c>
      <c r="H2641" s="2">
        <v>45109.519444444442</v>
      </c>
      <c r="I2641" t="s">
        <v>29</v>
      </c>
      <c r="Z2641">
        <v>59205</v>
      </c>
    </row>
    <row r="2642" spans="1:26" x14ac:dyDescent="0.25">
      <c r="A2642" t="s">
        <v>712</v>
      </c>
      <c r="B2642" t="s">
        <v>164</v>
      </c>
      <c r="C2642" t="s">
        <v>27</v>
      </c>
      <c r="E2642" t="s">
        <v>53</v>
      </c>
      <c r="H2642" s="2">
        <v>45109.459722222222</v>
      </c>
      <c r="I2642" t="s">
        <v>29</v>
      </c>
      <c r="K2642" t="s">
        <v>30</v>
      </c>
      <c r="L2642" t="s">
        <v>31</v>
      </c>
      <c r="M2642">
        <v>67130164</v>
      </c>
      <c r="N2642">
        <v>12403825941</v>
      </c>
      <c r="O2642" t="s">
        <v>1054</v>
      </c>
      <c r="Z2642">
        <v>59195</v>
      </c>
    </row>
    <row r="2643" spans="1:26" x14ac:dyDescent="0.25">
      <c r="A2643" t="s">
        <v>712</v>
      </c>
      <c r="B2643" t="s">
        <v>26</v>
      </c>
      <c r="C2643" t="s">
        <v>27</v>
      </c>
      <c r="H2643" s="2">
        <v>45109.425000000003</v>
      </c>
      <c r="I2643" t="s">
        <v>29</v>
      </c>
      <c r="Z2643">
        <v>59186</v>
      </c>
    </row>
    <row r="2644" spans="1:26" x14ac:dyDescent="0.25">
      <c r="A2644" t="s">
        <v>3183</v>
      </c>
      <c r="B2644" t="s">
        <v>26</v>
      </c>
      <c r="C2644" t="s">
        <v>27</v>
      </c>
      <c r="H2644" s="2">
        <v>45108.475694444445</v>
      </c>
      <c r="I2644" t="s">
        <v>95</v>
      </c>
      <c r="Z2644">
        <v>59140</v>
      </c>
    </row>
    <row r="2645" spans="1:26" x14ac:dyDescent="0.25">
      <c r="A2645" t="s">
        <v>92</v>
      </c>
      <c r="B2645" t="s">
        <v>26</v>
      </c>
      <c r="C2645" t="s">
        <v>27</v>
      </c>
      <c r="H2645" s="2">
        <v>45108.474999999999</v>
      </c>
      <c r="I2645" t="s">
        <v>29</v>
      </c>
      <c r="Z2645">
        <v>59139</v>
      </c>
    </row>
    <row r="2646" spans="1:26" x14ac:dyDescent="0.25">
      <c r="A2646" t="s">
        <v>3184</v>
      </c>
      <c r="B2646" t="s">
        <v>46</v>
      </c>
      <c r="C2646" t="s">
        <v>27</v>
      </c>
      <c r="E2646" t="s">
        <v>84</v>
      </c>
      <c r="G2646" t="s">
        <v>249</v>
      </c>
      <c r="H2646" s="2">
        <v>45108.459722222222</v>
      </c>
      <c r="I2646" t="s">
        <v>29</v>
      </c>
      <c r="K2646" t="s">
        <v>30</v>
      </c>
      <c r="L2646" t="s">
        <v>31</v>
      </c>
      <c r="M2646">
        <v>55887024</v>
      </c>
      <c r="N2646">
        <v>9754613619</v>
      </c>
      <c r="O2646" t="s">
        <v>2382</v>
      </c>
      <c r="Z2646">
        <v>59138</v>
      </c>
    </row>
    <row r="2647" spans="1:26" x14ac:dyDescent="0.25">
      <c r="A2647" t="s">
        <v>1625</v>
      </c>
      <c r="B2647" t="s">
        <v>164</v>
      </c>
      <c r="C2647" t="s">
        <v>27</v>
      </c>
      <c r="E2647" t="s">
        <v>84</v>
      </c>
      <c r="H2647" s="2">
        <v>45108.261805555558</v>
      </c>
      <c r="I2647" t="s">
        <v>29</v>
      </c>
      <c r="Z2647">
        <v>59129</v>
      </c>
    </row>
    <row r="2648" spans="1:26" x14ac:dyDescent="0.25">
      <c r="A2648" t="s">
        <v>3185</v>
      </c>
      <c r="B2648" t="s">
        <v>26</v>
      </c>
      <c r="C2648" t="s">
        <v>27</v>
      </c>
      <c r="H2648" s="2">
        <v>45107.711111111108</v>
      </c>
      <c r="I2648" t="s">
        <v>95</v>
      </c>
      <c r="Z2648">
        <v>59115</v>
      </c>
    </row>
    <row r="2649" spans="1:26" x14ac:dyDescent="0.25">
      <c r="A2649" t="s">
        <v>3186</v>
      </c>
      <c r="B2649" t="s">
        <v>26</v>
      </c>
      <c r="C2649" t="s">
        <v>27</v>
      </c>
      <c r="H2649" s="2">
        <v>45107.648611111108</v>
      </c>
      <c r="I2649" t="s">
        <v>95</v>
      </c>
      <c r="Z2649">
        <v>59108</v>
      </c>
    </row>
    <row r="2650" spans="1:26" x14ac:dyDescent="0.25">
      <c r="A2650" t="s">
        <v>3187</v>
      </c>
      <c r="C2650" t="s">
        <v>27</v>
      </c>
      <c r="E2650" t="s">
        <v>90</v>
      </c>
      <c r="H2650" s="2">
        <v>45107.640972222223</v>
      </c>
      <c r="I2650" t="s">
        <v>29</v>
      </c>
      <c r="Z2650">
        <v>59106</v>
      </c>
    </row>
    <row r="2651" spans="1:26" x14ac:dyDescent="0.25">
      <c r="A2651" t="s">
        <v>3188</v>
      </c>
      <c r="B2651" t="s">
        <v>26</v>
      </c>
      <c r="C2651" t="s">
        <v>27</v>
      </c>
      <c r="H2651" s="2">
        <v>45107.568055555559</v>
      </c>
      <c r="I2651" t="s">
        <v>29</v>
      </c>
      <c r="Z2651">
        <v>59095</v>
      </c>
    </row>
    <row r="2652" spans="1:26" x14ac:dyDescent="0.25">
      <c r="A2652" t="s">
        <v>3189</v>
      </c>
      <c r="B2652" t="s">
        <v>26</v>
      </c>
      <c r="C2652" t="s">
        <v>27</v>
      </c>
      <c r="H2652" s="2">
        <v>45106.615972222222</v>
      </c>
      <c r="I2652" t="s">
        <v>95</v>
      </c>
      <c r="Z2652">
        <v>59025</v>
      </c>
    </row>
    <row r="2653" spans="1:26" x14ac:dyDescent="0.25">
      <c r="A2653" t="s">
        <v>3190</v>
      </c>
      <c r="B2653" t="s">
        <v>26</v>
      </c>
      <c r="C2653" t="s">
        <v>27</v>
      </c>
      <c r="H2653" s="2">
        <v>45106.606249999997</v>
      </c>
      <c r="I2653" t="s">
        <v>95</v>
      </c>
      <c r="Z2653">
        <v>59023</v>
      </c>
    </row>
    <row r="2654" spans="1:26" x14ac:dyDescent="0.25">
      <c r="A2654" t="s">
        <v>3191</v>
      </c>
      <c r="B2654" t="s">
        <v>164</v>
      </c>
      <c r="C2654" t="s">
        <v>27</v>
      </c>
      <c r="E2654" t="s">
        <v>172</v>
      </c>
      <c r="G2654" t="s">
        <v>3192</v>
      </c>
      <c r="H2654" s="2">
        <v>45106.477083333331</v>
      </c>
      <c r="I2654" t="s">
        <v>95</v>
      </c>
      <c r="K2654" t="s">
        <v>30</v>
      </c>
      <c r="L2654" t="s">
        <v>31</v>
      </c>
      <c r="M2654">
        <v>55887024</v>
      </c>
      <c r="N2654">
        <v>9754613601</v>
      </c>
      <c r="O2654" t="s">
        <v>1948</v>
      </c>
      <c r="Z2654">
        <v>59002</v>
      </c>
    </row>
    <row r="2655" spans="1:26" x14ac:dyDescent="0.25">
      <c r="A2655" t="s">
        <v>3193</v>
      </c>
      <c r="B2655" t="s">
        <v>26</v>
      </c>
      <c r="C2655" t="s">
        <v>27</v>
      </c>
      <c r="H2655" s="2">
        <v>45106.365277777775</v>
      </c>
      <c r="I2655" t="s">
        <v>95</v>
      </c>
      <c r="Z2655">
        <v>58987</v>
      </c>
    </row>
    <row r="2656" spans="1:26" x14ac:dyDescent="0.25">
      <c r="A2656" t="s">
        <v>3194</v>
      </c>
      <c r="B2656" t="s">
        <v>26</v>
      </c>
      <c r="C2656" t="s">
        <v>27</v>
      </c>
      <c r="E2656" t="s">
        <v>3195</v>
      </c>
      <c r="H2656" s="2">
        <v>45105.835416666669</v>
      </c>
      <c r="I2656" t="s">
        <v>226</v>
      </c>
      <c r="Z2656">
        <v>58982</v>
      </c>
    </row>
    <row r="2657" spans="1:26" x14ac:dyDescent="0.25">
      <c r="A2657" t="s">
        <v>3196</v>
      </c>
      <c r="B2657" t="s">
        <v>26</v>
      </c>
      <c r="C2657" t="s">
        <v>27</v>
      </c>
      <c r="E2657" t="s">
        <v>3196</v>
      </c>
      <c r="H2657" s="2">
        <v>45105.543749999997</v>
      </c>
      <c r="I2657" t="s">
        <v>153</v>
      </c>
      <c r="Z2657">
        <v>58936</v>
      </c>
    </row>
    <row r="2658" spans="1:26" x14ac:dyDescent="0.25">
      <c r="A2658" t="s">
        <v>3197</v>
      </c>
      <c r="B2658" t="s">
        <v>26</v>
      </c>
      <c r="C2658" t="s">
        <v>27</v>
      </c>
      <c r="E2658" t="s">
        <v>3016</v>
      </c>
      <c r="H2658" s="2">
        <v>45105.525000000001</v>
      </c>
      <c r="I2658" t="s">
        <v>153</v>
      </c>
      <c r="Z2658">
        <v>58933</v>
      </c>
    </row>
    <row r="2659" spans="1:26" x14ac:dyDescent="0.25">
      <c r="A2659" t="s">
        <v>3198</v>
      </c>
      <c r="B2659" t="s">
        <v>164</v>
      </c>
      <c r="C2659" t="s">
        <v>27</v>
      </c>
      <c r="E2659" t="s">
        <v>1496</v>
      </c>
      <c r="G2659" t="s">
        <v>1497</v>
      </c>
      <c r="H2659" s="2">
        <v>45105.490277777775</v>
      </c>
      <c r="I2659" t="s">
        <v>153</v>
      </c>
      <c r="Z2659">
        <v>58929</v>
      </c>
    </row>
    <row r="2660" spans="1:26" x14ac:dyDescent="0.25">
      <c r="A2660" t="s">
        <v>3199</v>
      </c>
      <c r="B2660" t="s">
        <v>26</v>
      </c>
      <c r="C2660" t="s">
        <v>27</v>
      </c>
      <c r="H2660" s="2">
        <v>45105.388194444444</v>
      </c>
      <c r="I2660" t="s">
        <v>226</v>
      </c>
      <c r="Z2660">
        <v>58910</v>
      </c>
    </row>
    <row r="2661" spans="1:26" x14ac:dyDescent="0.25">
      <c r="A2661" t="s">
        <v>2914</v>
      </c>
      <c r="B2661" t="s">
        <v>26</v>
      </c>
      <c r="C2661" t="s">
        <v>27</v>
      </c>
      <c r="H2661" s="2">
        <v>45104.484027777777</v>
      </c>
      <c r="I2661" t="s">
        <v>226</v>
      </c>
      <c r="Z2661">
        <v>58865</v>
      </c>
    </row>
    <row r="2662" spans="1:26" x14ac:dyDescent="0.25">
      <c r="A2662" t="s">
        <v>3200</v>
      </c>
      <c r="B2662" t="s">
        <v>164</v>
      </c>
      <c r="C2662" t="s">
        <v>27</v>
      </c>
      <c r="E2662" t="s">
        <v>3201</v>
      </c>
      <c r="H2662" s="2">
        <v>45104.384027777778</v>
      </c>
      <c r="I2662" t="s">
        <v>227</v>
      </c>
      <c r="Z2662">
        <v>58850</v>
      </c>
    </row>
    <row r="2663" spans="1:26" x14ac:dyDescent="0.25">
      <c r="A2663" t="s">
        <v>2983</v>
      </c>
      <c r="B2663" t="s">
        <v>26</v>
      </c>
      <c r="C2663" t="s">
        <v>27</v>
      </c>
      <c r="E2663" t="s">
        <v>3202</v>
      </c>
      <c r="H2663" s="2">
        <v>45103.795138888891</v>
      </c>
      <c r="I2663" t="s">
        <v>153</v>
      </c>
      <c r="Z2663">
        <v>58840</v>
      </c>
    </row>
    <row r="2664" spans="1:26" x14ac:dyDescent="0.25">
      <c r="A2664" t="s">
        <v>3203</v>
      </c>
      <c r="B2664" t="s">
        <v>26</v>
      </c>
      <c r="C2664" t="s">
        <v>27</v>
      </c>
      <c r="E2664" t="s">
        <v>1790</v>
      </c>
      <c r="H2664" s="2">
        <v>45103.552777777775</v>
      </c>
      <c r="I2664" t="s">
        <v>153</v>
      </c>
      <c r="Z2664">
        <v>58800</v>
      </c>
    </row>
    <row r="2665" spans="1:26" x14ac:dyDescent="0.25">
      <c r="A2665" t="s">
        <v>3204</v>
      </c>
      <c r="B2665" t="s">
        <v>26</v>
      </c>
      <c r="C2665" t="s">
        <v>27</v>
      </c>
      <c r="H2665" s="2">
        <v>45103.532638888886</v>
      </c>
      <c r="I2665" t="s">
        <v>226</v>
      </c>
      <c r="Z2665">
        <v>58791</v>
      </c>
    </row>
    <row r="2666" spans="1:26" x14ac:dyDescent="0.25">
      <c r="A2666" t="s">
        <v>712</v>
      </c>
      <c r="B2666" t="s">
        <v>26</v>
      </c>
      <c r="C2666" t="s">
        <v>27</v>
      </c>
      <c r="H2666" s="2">
        <v>45102.896527777775</v>
      </c>
      <c r="I2666" t="s">
        <v>29</v>
      </c>
      <c r="Z2666">
        <v>58765</v>
      </c>
    </row>
    <row r="2667" spans="1:26" x14ac:dyDescent="0.25">
      <c r="A2667" t="s">
        <v>3205</v>
      </c>
      <c r="B2667" t="s">
        <v>26</v>
      </c>
      <c r="C2667" t="s">
        <v>27</v>
      </c>
      <c r="E2667" t="s">
        <v>3016</v>
      </c>
      <c r="H2667" s="2">
        <v>45101.647916666669</v>
      </c>
      <c r="I2667" t="s">
        <v>95</v>
      </c>
      <c r="Z2667">
        <v>58702</v>
      </c>
    </row>
    <row r="2668" spans="1:26" x14ac:dyDescent="0.25">
      <c r="A2668" t="s">
        <v>3206</v>
      </c>
      <c r="B2668" t="s">
        <v>26</v>
      </c>
      <c r="C2668" t="s">
        <v>27</v>
      </c>
      <c r="H2668" s="2">
        <v>45101.645138888889</v>
      </c>
      <c r="I2668" t="s">
        <v>95</v>
      </c>
      <c r="Z2668">
        <v>58701</v>
      </c>
    </row>
    <row r="2669" spans="1:26" x14ac:dyDescent="0.25">
      <c r="A2669" t="s">
        <v>3207</v>
      </c>
      <c r="B2669" t="s">
        <v>26</v>
      </c>
      <c r="C2669" t="s">
        <v>27</v>
      </c>
      <c r="H2669" s="2">
        <v>45101.63958333333</v>
      </c>
      <c r="I2669" t="s">
        <v>294</v>
      </c>
      <c r="Z2669">
        <v>58700</v>
      </c>
    </row>
    <row r="2670" spans="1:26" x14ac:dyDescent="0.25">
      <c r="A2670" t="s">
        <v>3208</v>
      </c>
      <c r="B2670" t="s">
        <v>26</v>
      </c>
      <c r="C2670" t="s">
        <v>27</v>
      </c>
      <c r="H2670" s="2">
        <v>45101.564583333333</v>
      </c>
      <c r="I2670" t="s">
        <v>95</v>
      </c>
      <c r="Z2670">
        <v>58690</v>
      </c>
    </row>
    <row r="2671" spans="1:26" x14ac:dyDescent="0.25">
      <c r="A2671" t="s">
        <v>3209</v>
      </c>
      <c r="B2671" t="s">
        <v>26</v>
      </c>
      <c r="C2671" t="s">
        <v>27</v>
      </c>
      <c r="H2671" s="2">
        <v>45101.482638888891</v>
      </c>
      <c r="I2671" t="s">
        <v>294</v>
      </c>
      <c r="Z2671">
        <v>58682</v>
      </c>
    </row>
    <row r="2672" spans="1:26" x14ac:dyDescent="0.25">
      <c r="A2672" t="s">
        <v>3210</v>
      </c>
      <c r="B2672" t="s">
        <v>185</v>
      </c>
      <c r="C2672" t="s">
        <v>27</v>
      </c>
      <c r="E2672" t="s">
        <v>231</v>
      </c>
      <c r="H2672" s="2">
        <v>45101.474305555559</v>
      </c>
      <c r="I2672" t="s">
        <v>29</v>
      </c>
      <c r="Z2672">
        <v>58678</v>
      </c>
    </row>
    <row r="2673" spans="1:26" x14ac:dyDescent="0.25">
      <c r="A2673" t="s">
        <v>3211</v>
      </c>
      <c r="B2673" t="s">
        <v>26</v>
      </c>
      <c r="C2673" t="s">
        <v>27</v>
      </c>
      <c r="H2673" s="2">
        <v>45100.723611111112</v>
      </c>
      <c r="I2673" t="s">
        <v>95</v>
      </c>
      <c r="Z2673">
        <v>58649</v>
      </c>
    </row>
    <row r="2674" spans="1:26" x14ac:dyDescent="0.25">
      <c r="A2674" t="s">
        <v>891</v>
      </c>
      <c r="B2674" t="s">
        <v>26</v>
      </c>
      <c r="C2674" t="s">
        <v>27</v>
      </c>
      <c r="H2674" s="2">
        <v>45100.554861111108</v>
      </c>
      <c r="I2674" t="s">
        <v>29</v>
      </c>
      <c r="Z2674">
        <v>58628</v>
      </c>
    </row>
    <row r="2675" spans="1:26" x14ac:dyDescent="0.25">
      <c r="A2675" t="s">
        <v>712</v>
      </c>
      <c r="B2675" t="s">
        <v>77</v>
      </c>
      <c r="C2675" t="s">
        <v>27</v>
      </c>
      <c r="E2675" t="s">
        <v>76</v>
      </c>
      <c r="H2675" s="2">
        <v>45100.40625</v>
      </c>
      <c r="I2675" t="s">
        <v>29</v>
      </c>
      <c r="K2675" t="s">
        <v>30</v>
      </c>
      <c r="L2675" t="s">
        <v>31</v>
      </c>
      <c r="M2675">
        <v>55887024</v>
      </c>
      <c r="N2675">
        <v>9754613610</v>
      </c>
      <c r="O2675" t="s">
        <v>2897</v>
      </c>
      <c r="Z2675">
        <v>58609</v>
      </c>
    </row>
    <row r="2676" spans="1:26" x14ac:dyDescent="0.25">
      <c r="A2676" t="s">
        <v>3212</v>
      </c>
      <c r="B2676" t="s">
        <v>26</v>
      </c>
      <c r="C2676" t="s">
        <v>27</v>
      </c>
      <c r="H2676" s="2">
        <v>45099.522916666669</v>
      </c>
      <c r="I2676" t="s">
        <v>153</v>
      </c>
      <c r="Z2676">
        <v>58559</v>
      </c>
    </row>
    <row r="2677" spans="1:26" x14ac:dyDescent="0.25">
      <c r="A2677" t="s">
        <v>3213</v>
      </c>
      <c r="B2677" t="s">
        <v>26</v>
      </c>
      <c r="C2677" t="s">
        <v>27</v>
      </c>
      <c r="H2677" s="2">
        <v>45099.412499999999</v>
      </c>
      <c r="I2677" t="s">
        <v>153</v>
      </c>
      <c r="Z2677">
        <v>58546</v>
      </c>
    </row>
    <row r="2678" spans="1:26" x14ac:dyDescent="0.25">
      <c r="A2678" t="s">
        <v>3214</v>
      </c>
      <c r="B2678" t="s">
        <v>46</v>
      </c>
      <c r="C2678" t="s">
        <v>27</v>
      </c>
      <c r="E2678" t="s">
        <v>53</v>
      </c>
      <c r="G2678" t="s">
        <v>3215</v>
      </c>
      <c r="H2678" s="2">
        <v>45098.728472222225</v>
      </c>
      <c r="I2678" t="s">
        <v>227</v>
      </c>
      <c r="Z2678">
        <v>58513</v>
      </c>
    </row>
    <row r="2679" spans="1:26" x14ac:dyDescent="0.25">
      <c r="A2679" t="s">
        <v>3216</v>
      </c>
      <c r="B2679" t="s">
        <v>26</v>
      </c>
      <c r="C2679" t="s">
        <v>27</v>
      </c>
      <c r="H2679" s="2">
        <v>45098.582638888889</v>
      </c>
      <c r="I2679" t="s">
        <v>227</v>
      </c>
      <c r="Z2679">
        <v>58487</v>
      </c>
    </row>
    <row r="2680" spans="1:26" x14ac:dyDescent="0.25">
      <c r="A2680" t="s">
        <v>3217</v>
      </c>
      <c r="B2680" t="s">
        <v>26</v>
      </c>
      <c r="C2680" t="s">
        <v>27</v>
      </c>
      <c r="H2680" s="2">
        <v>45098.569444444445</v>
      </c>
      <c r="I2680" t="s">
        <v>226</v>
      </c>
      <c r="Z2680">
        <v>58483</v>
      </c>
    </row>
    <row r="2681" spans="1:26" x14ac:dyDescent="0.25">
      <c r="A2681" t="s">
        <v>3218</v>
      </c>
      <c r="B2681" t="s">
        <v>26</v>
      </c>
      <c r="C2681" t="s">
        <v>27</v>
      </c>
      <c r="H2681" s="2">
        <v>45097.515972222223</v>
      </c>
      <c r="I2681" t="s">
        <v>153</v>
      </c>
      <c r="Z2681">
        <v>58423</v>
      </c>
    </row>
    <row r="2682" spans="1:26" x14ac:dyDescent="0.25">
      <c r="A2682" t="s">
        <v>3219</v>
      </c>
      <c r="B2682" t="s">
        <v>164</v>
      </c>
      <c r="C2682" t="s">
        <v>27</v>
      </c>
      <c r="E2682" t="s">
        <v>2014</v>
      </c>
      <c r="H2682" s="2">
        <v>45097.484722222223</v>
      </c>
      <c r="I2682" t="s">
        <v>227</v>
      </c>
      <c r="Z2682">
        <v>58420</v>
      </c>
    </row>
    <row r="2683" spans="1:26" x14ac:dyDescent="0.25">
      <c r="A2683" t="s">
        <v>3220</v>
      </c>
      <c r="B2683" t="s">
        <v>26</v>
      </c>
      <c r="C2683" t="s">
        <v>27</v>
      </c>
      <c r="H2683" s="2">
        <v>45097.459027777775</v>
      </c>
      <c r="I2683" t="s">
        <v>294</v>
      </c>
      <c r="Z2683">
        <v>58415</v>
      </c>
    </row>
    <row r="2684" spans="1:26" x14ac:dyDescent="0.25">
      <c r="A2684" t="s">
        <v>712</v>
      </c>
      <c r="B2684" t="s">
        <v>26</v>
      </c>
      <c r="C2684" t="s">
        <v>27</v>
      </c>
      <c r="H2684" s="2">
        <v>45096.80972222222</v>
      </c>
      <c r="I2684" t="s">
        <v>29</v>
      </c>
      <c r="Z2684">
        <v>58400</v>
      </c>
    </row>
    <row r="2685" spans="1:26" x14ac:dyDescent="0.25">
      <c r="A2685" t="s">
        <v>712</v>
      </c>
      <c r="B2685" t="s">
        <v>150</v>
      </c>
      <c r="C2685" t="s">
        <v>27</v>
      </c>
      <c r="E2685" t="s">
        <v>160</v>
      </c>
      <c r="H2685" s="2">
        <v>45096.809027777781</v>
      </c>
      <c r="I2685" t="s">
        <v>29</v>
      </c>
      <c r="Z2685">
        <v>58399</v>
      </c>
    </row>
    <row r="2686" spans="1:26" x14ac:dyDescent="0.25">
      <c r="A2686" t="s">
        <v>342</v>
      </c>
      <c r="C2686" t="s">
        <v>27</v>
      </c>
      <c r="E2686" t="s">
        <v>45</v>
      </c>
      <c r="H2686" s="2">
        <v>45096.777777777781</v>
      </c>
      <c r="I2686" t="s">
        <v>95</v>
      </c>
      <c r="Z2686">
        <v>58394</v>
      </c>
    </row>
    <row r="2687" spans="1:26" x14ac:dyDescent="0.25">
      <c r="A2687" t="s">
        <v>712</v>
      </c>
      <c r="B2687" t="s">
        <v>26</v>
      </c>
      <c r="C2687" t="s">
        <v>27</v>
      </c>
      <c r="H2687" s="2">
        <v>45096.64166666667</v>
      </c>
      <c r="I2687" t="s">
        <v>29</v>
      </c>
      <c r="Z2687">
        <v>58375</v>
      </c>
    </row>
    <row r="2688" spans="1:26" x14ac:dyDescent="0.25">
      <c r="A2688" t="s">
        <v>3221</v>
      </c>
      <c r="B2688" t="s">
        <v>26</v>
      </c>
      <c r="C2688" t="s">
        <v>27</v>
      </c>
      <c r="H2688" s="2">
        <v>45096.586111111108</v>
      </c>
      <c r="I2688" t="s">
        <v>95</v>
      </c>
      <c r="Z2688">
        <v>58363</v>
      </c>
    </row>
    <row r="2689" spans="1:26" x14ac:dyDescent="0.25">
      <c r="A2689" t="s">
        <v>3222</v>
      </c>
      <c r="B2689" t="s">
        <v>26</v>
      </c>
      <c r="C2689" t="s">
        <v>27</v>
      </c>
      <c r="H2689" s="2">
        <v>45095.815972222219</v>
      </c>
      <c r="I2689" t="s">
        <v>95</v>
      </c>
      <c r="Z2689">
        <v>58321</v>
      </c>
    </row>
    <row r="2690" spans="1:26" x14ac:dyDescent="0.25">
      <c r="A2690" t="s">
        <v>3223</v>
      </c>
      <c r="B2690" t="s">
        <v>164</v>
      </c>
      <c r="C2690" t="s">
        <v>27</v>
      </c>
      <c r="E2690" t="s">
        <v>176</v>
      </c>
      <c r="H2690" s="2">
        <v>45094.788194444445</v>
      </c>
      <c r="I2690" t="s">
        <v>95</v>
      </c>
      <c r="K2690" t="s">
        <v>30</v>
      </c>
      <c r="L2690" t="s">
        <v>31</v>
      </c>
      <c r="M2690">
        <v>74178615</v>
      </c>
      <c r="N2690">
        <v>13279742815</v>
      </c>
      <c r="O2690" t="s">
        <v>682</v>
      </c>
      <c r="Z2690">
        <v>58253</v>
      </c>
    </row>
    <row r="2691" spans="1:26" x14ac:dyDescent="0.25">
      <c r="A2691" t="s">
        <v>712</v>
      </c>
      <c r="B2691" t="s">
        <v>26</v>
      </c>
      <c r="C2691" t="s">
        <v>27</v>
      </c>
      <c r="H2691" s="2">
        <v>45094.781944444447</v>
      </c>
      <c r="I2691" t="s">
        <v>29</v>
      </c>
      <c r="Z2691">
        <v>58251</v>
      </c>
    </row>
    <row r="2692" spans="1:26" x14ac:dyDescent="0.25">
      <c r="A2692" t="s">
        <v>712</v>
      </c>
      <c r="C2692" t="s">
        <v>27</v>
      </c>
      <c r="E2692" t="s">
        <v>69</v>
      </c>
      <c r="H2692" s="2">
        <v>45094.758333333331</v>
      </c>
      <c r="I2692" t="s">
        <v>29</v>
      </c>
      <c r="Z2692">
        <v>58250</v>
      </c>
    </row>
    <row r="2693" spans="1:26" x14ac:dyDescent="0.25">
      <c r="A2693" t="s">
        <v>320</v>
      </c>
      <c r="B2693" t="s">
        <v>164</v>
      </c>
      <c r="C2693" t="s">
        <v>27</v>
      </c>
      <c r="E2693" t="s">
        <v>3224</v>
      </c>
      <c r="H2693" s="2">
        <v>45094.73333333333</v>
      </c>
      <c r="I2693" t="s">
        <v>95</v>
      </c>
      <c r="Z2693">
        <v>58248</v>
      </c>
    </row>
    <row r="2694" spans="1:26" x14ac:dyDescent="0.25">
      <c r="A2694" t="s">
        <v>1665</v>
      </c>
      <c r="B2694" t="s">
        <v>164</v>
      </c>
      <c r="C2694" t="s">
        <v>27</v>
      </c>
      <c r="E2694" t="s">
        <v>67</v>
      </c>
      <c r="H2694" s="2">
        <v>45094.720833333333</v>
      </c>
      <c r="I2694" t="s">
        <v>95</v>
      </c>
      <c r="Z2694">
        <v>58244</v>
      </c>
    </row>
    <row r="2695" spans="1:26" x14ac:dyDescent="0.25">
      <c r="A2695" t="s">
        <v>712</v>
      </c>
      <c r="B2695" t="s">
        <v>26</v>
      </c>
      <c r="C2695" t="s">
        <v>27</v>
      </c>
      <c r="H2695" s="2">
        <v>45094.617361111108</v>
      </c>
      <c r="I2695" t="s">
        <v>29</v>
      </c>
      <c r="Z2695">
        <v>58225</v>
      </c>
    </row>
    <row r="2696" spans="1:26" x14ac:dyDescent="0.25">
      <c r="A2696" t="s">
        <v>712</v>
      </c>
      <c r="B2696" t="s">
        <v>26</v>
      </c>
      <c r="C2696" t="s">
        <v>27</v>
      </c>
      <c r="H2696" s="2">
        <v>45094.550694444442</v>
      </c>
      <c r="I2696" t="s">
        <v>29</v>
      </c>
      <c r="Z2696">
        <v>58216</v>
      </c>
    </row>
    <row r="2697" spans="1:26" x14ac:dyDescent="0.25">
      <c r="A2697" t="s">
        <v>304</v>
      </c>
      <c r="B2697" t="s">
        <v>164</v>
      </c>
      <c r="C2697" t="s">
        <v>27</v>
      </c>
      <c r="E2697" t="s">
        <v>44</v>
      </c>
      <c r="H2697" s="2">
        <v>45093.362500000003</v>
      </c>
      <c r="I2697" t="s">
        <v>227</v>
      </c>
      <c r="Z2697">
        <v>58108</v>
      </c>
    </row>
    <row r="2698" spans="1:26" x14ac:dyDescent="0.25">
      <c r="A2698" t="s">
        <v>3225</v>
      </c>
      <c r="B2698" t="s">
        <v>26</v>
      </c>
      <c r="C2698" t="s">
        <v>27</v>
      </c>
      <c r="H2698" s="2">
        <v>45092.811805555553</v>
      </c>
      <c r="I2698" t="s">
        <v>153</v>
      </c>
      <c r="Z2698">
        <v>58095</v>
      </c>
    </row>
    <row r="2699" spans="1:26" x14ac:dyDescent="0.25">
      <c r="A2699" t="s">
        <v>3226</v>
      </c>
      <c r="B2699" t="s">
        <v>26</v>
      </c>
      <c r="C2699" t="s">
        <v>27</v>
      </c>
      <c r="H2699" s="2">
        <v>45092.603472222225</v>
      </c>
      <c r="I2699" t="s">
        <v>153</v>
      </c>
      <c r="Z2699">
        <v>58068</v>
      </c>
    </row>
    <row r="2700" spans="1:26" x14ac:dyDescent="0.25">
      <c r="A2700" t="s">
        <v>363</v>
      </c>
      <c r="B2700" t="s">
        <v>164</v>
      </c>
      <c r="C2700" t="s">
        <v>27</v>
      </c>
      <c r="E2700" t="s">
        <v>76</v>
      </c>
      <c r="H2700" s="2">
        <v>45091.902083333334</v>
      </c>
      <c r="I2700" t="s">
        <v>227</v>
      </c>
      <c r="Z2700">
        <v>58032</v>
      </c>
    </row>
    <row r="2701" spans="1:26" x14ac:dyDescent="0.25">
      <c r="A2701" t="s">
        <v>3227</v>
      </c>
      <c r="B2701" t="s">
        <v>46</v>
      </c>
      <c r="C2701" t="s">
        <v>27</v>
      </c>
      <c r="E2701" t="s">
        <v>3228</v>
      </c>
      <c r="G2701" t="s">
        <v>3229</v>
      </c>
      <c r="H2701" s="2">
        <v>45091.820138888892</v>
      </c>
      <c r="I2701" t="s">
        <v>227</v>
      </c>
      <c r="Z2701">
        <v>58029</v>
      </c>
    </row>
    <row r="2702" spans="1:26" x14ac:dyDescent="0.25">
      <c r="A2702" t="s">
        <v>3230</v>
      </c>
      <c r="B2702" t="s">
        <v>150</v>
      </c>
      <c r="C2702" t="s">
        <v>27</v>
      </c>
      <c r="E2702" t="s">
        <v>292</v>
      </c>
      <c r="G2702" t="s">
        <v>3231</v>
      </c>
      <c r="H2702" s="2">
        <v>45091.772222222222</v>
      </c>
      <c r="I2702" t="s">
        <v>227</v>
      </c>
      <c r="Z2702">
        <v>58024</v>
      </c>
    </row>
    <row r="2703" spans="1:26" x14ac:dyDescent="0.25">
      <c r="A2703" t="s">
        <v>3232</v>
      </c>
      <c r="B2703" t="s">
        <v>26</v>
      </c>
      <c r="C2703" t="s">
        <v>27</v>
      </c>
      <c r="H2703" s="2">
        <v>45091.755555555559</v>
      </c>
      <c r="I2703" t="s">
        <v>226</v>
      </c>
      <c r="Z2703">
        <v>58022</v>
      </c>
    </row>
    <row r="2704" spans="1:26" x14ac:dyDescent="0.25">
      <c r="A2704" t="s">
        <v>3233</v>
      </c>
      <c r="B2704" t="s">
        <v>164</v>
      </c>
      <c r="C2704" t="s">
        <v>27</v>
      </c>
      <c r="E2704" t="s">
        <v>53</v>
      </c>
      <c r="G2704" t="s">
        <v>3234</v>
      </c>
      <c r="H2704" s="2">
        <v>45091.548611111109</v>
      </c>
      <c r="I2704" t="s">
        <v>227</v>
      </c>
      <c r="Z2704">
        <v>57996</v>
      </c>
    </row>
    <row r="2705" spans="1:26" x14ac:dyDescent="0.25">
      <c r="A2705" t="s">
        <v>367</v>
      </c>
      <c r="B2705" t="s">
        <v>26</v>
      </c>
      <c r="C2705" t="s">
        <v>27</v>
      </c>
      <c r="H2705" s="2">
        <v>45091.520138888889</v>
      </c>
      <c r="I2705" t="s">
        <v>153</v>
      </c>
      <c r="Z2705">
        <v>57991</v>
      </c>
    </row>
    <row r="2706" spans="1:26" x14ac:dyDescent="0.25">
      <c r="A2706" t="s">
        <v>3235</v>
      </c>
      <c r="B2706" t="s">
        <v>26</v>
      </c>
      <c r="C2706" t="s">
        <v>27</v>
      </c>
      <c r="H2706" s="2">
        <v>45091.410416666666</v>
      </c>
      <c r="I2706" t="s">
        <v>227</v>
      </c>
      <c r="Z2706">
        <v>57979</v>
      </c>
    </row>
    <row r="2707" spans="1:26" x14ac:dyDescent="0.25">
      <c r="A2707" t="s">
        <v>234</v>
      </c>
      <c r="B2707" t="s">
        <v>185</v>
      </c>
      <c r="C2707" t="s">
        <v>82</v>
      </c>
      <c r="E2707" t="s">
        <v>45</v>
      </c>
      <c r="H2707" s="2">
        <v>45090.966666666667</v>
      </c>
      <c r="I2707" t="s">
        <v>227</v>
      </c>
      <c r="Z2707">
        <v>57972</v>
      </c>
    </row>
    <row r="2708" spans="1:26" x14ac:dyDescent="0.25">
      <c r="A2708" t="s">
        <v>234</v>
      </c>
      <c r="B2708" t="s">
        <v>164</v>
      </c>
      <c r="C2708" t="s">
        <v>27</v>
      </c>
      <c r="E2708" t="s">
        <v>45</v>
      </c>
      <c r="H2708" s="2">
        <v>45090.95416666667</v>
      </c>
      <c r="I2708" t="s">
        <v>227</v>
      </c>
      <c r="Z2708">
        <v>57971</v>
      </c>
    </row>
    <row r="2709" spans="1:26" x14ac:dyDescent="0.25">
      <c r="A2709" t="s">
        <v>3236</v>
      </c>
      <c r="B2709" t="s">
        <v>26</v>
      </c>
      <c r="C2709" t="s">
        <v>27</v>
      </c>
      <c r="H2709" s="2">
        <v>45090.748611111114</v>
      </c>
      <c r="I2709" t="s">
        <v>95</v>
      </c>
      <c r="Z2709">
        <v>57963</v>
      </c>
    </row>
    <row r="2710" spans="1:26" x14ac:dyDescent="0.25">
      <c r="A2710" t="s">
        <v>1054</v>
      </c>
      <c r="B2710" t="s">
        <v>26</v>
      </c>
      <c r="C2710" t="s">
        <v>27</v>
      </c>
      <c r="H2710" s="2">
        <v>45090.532638888886</v>
      </c>
      <c r="I2710" t="s">
        <v>95</v>
      </c>
      <c r="Z2710">
        <v>57929</v>
      </c>
    </row>
    <row r="2711" spans="1:26" x14ac:dyDescent="0.25">
      <c r="A2711" t="s">
        <v>97</v>
      </c>
      <c r="C2711" t="s">
        <v>27</v>
      </c>
      <c r="E2711" t="s">
        <v>79</v>
      </c>
      <c r="H2711" s="2">
        <v>45090.48541666667</v>
      </c>
      <c r="I2711" t="s">
        <v>95</v>
      </c>
      <c r="Z2711">
        <v>57922</v>
      </c>
    </row>
    <row r="2712" spans="1:26" x14ac:dyDescent="0.25">
      <c r="A2712" t="s">
        <v>3237</v>
      </c>
      <c r="B2712" t="s">
        <v>26</v>
      </c>
      <c r="C2712" t="s">
        <v>27</v>
      </c>
      <c r="H2712" s="2">
        <v>45090.460416666669</v>
      </c>
      <c r="I2712" t="s">
        <v>95</v>
      </c>
      <c r="Z2712">
        <v>57916</v>
      </c>
    </row>
    <row r="2713" spans="1:26" x14ac:dyDescent="0.25">
      <c r="A2713" t="s">
        <v>2608</v>
      </c>
      <c r="B2713" t="s">
        <v>26</v>
      </c>
      <c r="C2713" t="s">
        <v>64</v>
      </c>
      <c r="H2713" s="2">
        <v>45090.44027777778</v>
      </c>
      <c r="I2713" t="s">
        <v>29</v>
      </c>
      <c r="Z2713">
        <v>57908</v>
      </c>
    </row>
    <row r="2714" spans="1:26" x14ac:dyDescent="0.25">
      <c r="A2714" t="s">
        <v>3238</v>
      </c>
      <c r="B2714" t="s">
        <v>198</v>
      </c>
      <c r="C2714" t="s">
        <v>27</v>
      </c>
      <c r="E2714" t="s">
        <v>44</v>
      </c>
      <c r="G2714" t="s">
        <v>3239</v>
      </c>
      <c r="H2714" s="2">
        <v>45090.413888888892</v>
      </c>
      <c r="I2714" t="s">
        <v>95</v>
      </c>
      <c r="K2714" t="s">
        <v>30</v>
      </c>
      <c r="L2714" t="s">
        <v>31</v>
      </c>
      <c r="M2714">
        <v>67130164</v>
      </c>
      <c r="N2714">
        <v>12403825951</v>
      </c>
      <c r="O2714" t="s">
        <v>682</v>
      </c>
      <c r="Z2714">
        <v>57900</v>
      </c>
    </row>
    <row r="2715" spans="1:26" x14ac:dyDescent="0.25">
      <c r="A2715" t="s">
        <v>102</v>
      </c>
      <c r="B2715" t="s">
        <v>77</v>
      </c>
      <c r="C2715" t="s">
        <v>27</v>
      </c>
      <c r="E2715" t="s">
        <v>120</v>
      </c>
      <c r="H2715" s="2">
        <v>45090.354166666664</v>
      </c>
      <c r="I2715" t="s">
        <v>95</v>
      </c>
      <c r="K2715" t="s">
        <v>30</v>
      </c>
      <c r="L2715" t="s">
        <v>31</v>
      </c>
      <c r="M2715">
        <v>67130164</v>
      </c>
      <c r="N2715">
        <v>12403825933</v>
      </c>
      <c r="O2715" t="s">
        <v>3240</v>
      </c>
      <c r="Z2715">
        <v>57887</v>
      </c>
    </row>
    <row r="2716" spans="1:26" x14ac:dyDescent="0.25">
      <c r="A2716" t="s">
        <v>3241</v>
      </c>
      <c r="B2716" t="s">
        <v>185</v>
      </c>
      <c r="C2716" t="s">
        <v>27</v>
      </c>
      <c r="E2716" t="s">
        <v>3242</v>
      </c>
      <c r="H2716" s="2">
        <v>45089.754861111112</v>
      </c>
      <c r="I2716" t="s">
        <v>95</v>
      </c>
      <c r="Z2716">
        <v>57881</v>
      </c>
    </row>
    <row r="2717" spans="1:26" x14ac:dyDescent="0.25">
      <c r="A2717" t="s">
        <v>712</v>
      </c>
      <c r="C2717" t="s">
        <v>27</v>
      </c>
      <c r="E2717" t="s">
        <v>90</v>
      </c>
      <c r="H2717" s="2">
        <v>45089.731944444444</v>
      </c>
      <c r="I2717" t="s">
        <v>29</v>
      </c>
      <c r="Z2717">
        <v>57879</v>
      </c>
    </row>
    <row r="2718" spans="1:26" x14ac:dyDescent="0.25">
      <c r="A2718" t="s">
        <v>712</v>
      </c>
      <c r="B2718" t="s">
        <v>26</v>
      </c>
      <c r="C2718" t="s">
        <v>27</v>
      </c>
      <c r="H2718" s="2">
        <v>45089.455555555556</v>
      </c>
      <c r="I2718" t="s">
        <v>95</v>
      </c>
      <c r="Z2718">
        <v>57854</v>
      </c>
    </row>
    <row r="2719" spans="1:26" x14ac:dyDescent="0.25">
      <c r="A2719" t="s">
        <v>3243</v>
      </c>
      <c r="B2719" t="s">
        <v>185</v>
      </c>
      <c r="C2719" t="s">
        <v>27</v>
      </c>
      <c r="H2719" s="2">
        <v>45088.838194444441</v>
      </c>
      <c r="I2719" t="s">
        <v>29</v>
      </c>
      <c r="Z2719">
        <v>57845</v>
      </c>
    </row>
    <row r="2720" spans="1:26" x14ac:dyDescent="0.25">
      <c r="A2720" t="s">
        <v>712</v>
      </c>
      <c r="C2720" t="s">
        <v>27</v>
      </c>
      <c r="E2720" t="s">
        <v>74</v>
      </c>
      <c r="H2720" s="2">
        <v>45088.54583333333</v>
      </c>
      <c r="I2720" t="s">
        <v>29</v>
      </c>
      <c r="Z2720">
        <v>57817</v>
      </c>
    </row>
    <row r="2721" spans="1:26" x14ac:dyDescent="0.25">
      <c r="A2721" t="s">
        <v>3244</v>
      </c>
      <c r="B2721" t="s">
        <v>26</v>
      </c>
      <c r="C2721" t="s">
        <v>27</v>
      </c>
      <c r="H2721" s="2">
        <v>45086.869444444441</v>
      </c>
      <c r="I2721" t="s">
        <v>226</v>
      </c>
      <c r="Z2721">
        <v>57748</v>
      </c>
    </row>
    <row r="2722" spans="1:26" x14ac:dyDescent="0.25">
      <c r="A2722" t="s">
        <v>3245</v>
      </c>
      <c r="B2722" t="s">
        <v>26</v>
      </c>
      <c r="C2722" t="s">
        <v>27</v>
      </c>
      <c r="H2722" s="2">
        <v>45086.833333333336</v>
      </c>
      <c r="I2722" t="s">
        <v>306</v>
      </c>
      <c r="Z2722">
        <v>57746</v>
      </c>
    </row>
    <row r="2723" spans="1:26" x14ac:dyDescent="0.25">
      <c r="A2723" t="s">
        <v>3246</v>
      </c>
      <c r="B2723" t="s">
        <v>26</v>
      </c>
      <c r="C2723" t="s">
        <v>27</v>
      </c>
      <c r="H2723" s="2">
        <v>45086.602777777778</v>
      </c>
      <c r="I2723" t="s">
        <v>226</v>
      </c>
      <c r="Z2723">
        <v>57725</v>
      </c>
    </row>
    <row r="2724" spans="1:26" x14ac:dyDescent="0.25">
      <c r="A2724" t="s">
        <v>3247</v>
      </c>
      <c r="B2724" t="s">
        <v>26</v>
      </c>
      <c r="C2724" t="s">
        <v>27</v>
      </c>
      <c r="H2724" s="2">
        <v>45086.599305555559</v>
      </c>
      <c r="I2724" t="s">
        <v>226</v>
      </c>
      <c r="Z2724">
        <v>57723</v>
      </c>
    </row>
    <row r="2725" spans="1:26" x14ac:dyDescent="0.25">
      <c r="A2725" t="s">
        <v>299</v>
      </c>
      <c r="B2725" t="s">
        <v>26</v>
      </c>
      <c r="C2725" t="s">
        <v>27</v>
      </c>
      <c r="H2725" s="2">
        <v>45086.470138888886</v>
      </c>
      <c r="I2725" t="s">
        <v>227</v>
      </c>
      <c r="Z2725">
        <v>57696</v>
      </c>
    </row>
    <row r="2726" spans="1:26" x14ac:dyDescent="0.25">
      <c r="A2726" t="s">
        <v>3248</v>
      </c>
      <c r="B2726" t="s">
        <v>26</v>
      </c>
      <c r="C2726" t="s">
        <v>27</v>
      </c>
      <c r="H2726" s="2">
        <v>45085.837500000001</v>
      </c>
      <c r="I2726" t="s">
        <v>95</v>
      </c>
      <c r="Z2726">
        <v>57674</v>
      </c>
    </row>
    <row r="2727" spans="1:26" x14ac:dyDescent="0.25">
      <c r="A2727" t="s">
        <v>3249</v>
      </c>
      <c r="B2727" t="s">
        <v>26</v>
      </c>
      <c r="C2727" t="s">
        <v>27</v>
      </c>
      <c r="H2727" s="2">
        <v>45085.521527777775</v>
      </c>
      <c r="I2727" t="s">
        <v>153</v>
      </c>
      <c r="Z2727">
        <v>57630</v>
      </c>
    </row>
    <row r="2728" spans="1:26" x14ac:dyDescent="0.25">
      <c r="A2728" t="s">
        <v>712</v>
      </c>
      <c r="B2728" t="s">
        <v>26</v>
      </c>
      <c r="C2728" t="s">
        <v>27</v>
      </c>
      <c r="H2728" s="2">
        <v>45084.854861111111</v>
      </c>
      <c r="I2728" t="s">
        <v>29</v>
      </c>
      <c r="Z2728">
        <v>57593</v>
      </c>
    </row>
    <row r="2729" spans="1:26" x14ac:dyDescent="0.25">
      <c r="A2729" t="s">
        <v>3250</v>
      </c>
      <c r="B2729" t="s">
        <v>26</v>
      </c>
      <c r="C2729" t="s">
        <v>27</v>
      </c>
      <c r="H2729" s="2">
        <v>45084.746527777781</v>
      </c>
      <c r="I2729" t="s">
        <v>29</v>
      </c>
      <c r="Z2729">
        <v>57579</v>
      </c>
    </row>
    <row r="2730" spans="1:26" x14ac:dyDescent="0.25">
      <c r="A2730" t="s">
        <v>3251</v>
      </c>
      <c r="B2730" t="s">
        <v>26</v>
      </c>
      <c r="C2730" t="s">
        <v>27</v>
      </c>
      <c r="H2730" s="2">
        <v>45084.665972222225</v>
      </c>
      <c r="I2730" t="s">
        <v>29</v>
      </c>
      <c r="Z2730">
        <v>57568</v>
      </c>
    </row>
    <row r="2731" spans="1:26" x14ac:dyDescent="0.25">
      <c r="A2731" t="s">
        <v>712</v>
      </c>
      <c r="B2731" t="s">
        <v>26</v>
      </c>
      <c r="C2731" t="s">
        <v>27</v>
      </c>
      <c r="H2731" s="2">
        <v>45084.548611111109</v>
      </c>
      <c r="I2731" t="s">
        <v>29</v>
      </c>
      <c r="Z2731">
        <v>57552</v>
      </c>
    </row>
    <row r="2732" spans="1:26" x14ac:dyDescent="0.25">
      <c r="A2732" t="s">
        <v>712</v>
      </c>
      <c r="B2732" t="s">
        <v>26</v>
      </c>
      <c r="C2732" t="s">
        <v>27</v>
      </c>
      <c r="H2732" s="2">
        <v>45084.503472222219</v>
      </c>
      <c r="I2732" t="s">
        <v>29</v>
      </c>
      <c r="Z2732">
        <v>57547</v>
      </c>
    </row>
    <row r="2733" spans="1:26" x14ac:dyDescent="0.25">
      <c r="A2733" t="s">
        <v>3252</v>
      </c>
      <c r="B2733" t="s">
        <v>46</v>
      </c>
      <c r="C2733" t="s">
        <v>27</v>
      </c>
      <c r="E2733" t="s">
        <v>214</v>
      </c>
      <c r="G2733" t="s">
        <v>3253</v>
      </c>
      <c r="H2733" s="2">
        <v>45084.498611111114</v>
      </c>
      <c r="I2733" t="s">
        <v>227</v>
      </c>
      <c r="Z2733">
        <v>57546</v>
      </c>
    </row>
    <row r="2734" spans="1:26" x14ac:dyDescent="0.25">
      <c r="A2734" t="s">
        <v>3254</v>
      </c>
      <c r="B2734" t="s">
        <v>26</v>
      </c>
      <c r="C2734" t="s">
        <v>27</v>
      </c>
      <c r="H2734" s="2">
        <v>45084.402083333334</v>
      </c>
      <c r="I2734" t="s">
        <v>29</v>
      </c>
      <c r="Z2734">
        <v>57520</v>
      </c>
    </row>
    <row r="2735" spans="1:26" x14ac:dyDescent="0.25">
      <c r="A2735" t="s">
        <v>3255</v>
      </c>
      <c r="B2735" t="s">
        <v>150</v>
      </c>
      <c r="C2735" t="s">
        <v>27</v>
      </c>
      <c r="E2735" t="s">
        <v>160</v>
      </c>
      <c r="H2735" s="2">
        <v>45083.646527777775</v>
      </c>
      <c r="I2735" t="s">
        <v>29</v>
      </c>
      <c r="Z2735">
        <v>57485</v>
      </c>
    </row>
    <row r="2736" spans="1:26" x14ac:dyDescent="0.25">
      <c r="A2736" t="s">
        <v>3256</v>
      </c>
      <c r="B2736" t="s">
        <v>26</v>
      </c>
      <c r="C2736" t="s">
        <v>27</v>
      </c>
      <c r="H2736" s="2">
        <v>45083.447916666664</v>
      </c>
      <c r="I2736" t="s">
        <v>294</v>
      </c>
      <c r="Z2736">
        <v>57457</v>
      </c>
    </row>
    <row r="2737" spans="1:26" x14ac:dyDescent="0.25">
      <c r="A2737" t="s">
        <v>3257</v>
      </c>
      <c r="B2737" t="s">
        <v>26</v>
      </c>
      <c r="C2737" t="s">
        <v>27</v>
      </c>
      <c r="H2737" s="2">
        <v>45083.444444444445</v>
      </c>
      <c r="I2737" t="s">
        <v>310</v>
      </c>
      <c r="Z2737">
        <v>57455</v>
      </c>
    </row>
    <row r="2738" spans="1:26" x14ac:dyDescent="0.25">
      <c r="A2738" t="s">
        <v>3258</v>
      </c>
      <c r="B2738" t="s">
        <v>26</v>
      </c>
      <c r="C2738" t="s">
        <v>27</v>
      </c>
      <c r="H2738" s="2">
        <v>45083.440972222219</v>
      </c>
      <c r="I2738" t="s">
        <v>226</v>
      </c>
      <c r="Z2738">
        <v>57452</v>
      </c>
    </row>
    <row r="2739" spans="1:26" x14ac:dyDescent="0.25">
      <c r="A2739" t="s">
        <v>1054</v>
      </c>
      <c r="B2739" t="s">
        <v>26</v>
      </c>
      <c r="C2739" t="s">
        <v>27</v>
      </c>
      <c r="H2739" s="2">
        <v>45082.78125</v>
      </c>
      <c r="I2739" t="s">
        <v>186</v>
      </c>
      <c r="Z2739">
        <v>57440</v>
      </c>
    </row>
    <row r="2740" spans="1:26" x14ac:dyDescent="0.25">
      <c r="A2740" t="s">
        <v>184</v>
      </c>
      <c r="B2740" t="s">
        <v>164</v>
      </c>
      <c r="C2740" t="s">
        <v>47</v>
      </c>
      <c r="E2740" t="s">
        <v>84</v>
      </c>
      <c r="H2740" s="2">
        <v>45082.774305555555</v>
      </c>
      <c r="I2740" t="s">
        <v>294</v>
      </c>
      <c r="Z2740">
        <v>57439</v>
      </c>
    </row>
    <row r="2741" spans="1:26" x14ac:dyDescent="0.25">
      <c r="A2741" t="s">
        <v>3259</v>
      </c>
      <c r="B2741" t="s">
        <v>164</v>
      </c>
      <c r="C2741" t="s">
        <v>27</v>
      </c>
      <c r="E2741" t="s">
        <v>3260</v>
      </c>
      <c r="H2741" s="2">
        <v>45081.84375</v>
      </c>
      <c r="I2741" t="s">
        <v>226</v>
      </c>
      <c r="Z2741">
        <v>57371</v>
      </c>
    </row>
    <row r="2742" spans="1:26" x14ac:dyDescent="0.25">
      <c r="A2742" t="s">
        <v>3261</v>
      </c>
      <c r="B2742" t="s">
        <v>26</v>
      </c>
      <c r="C2742" t="s">
        <v>27</v>
      </c>
      <c r="H2742" s="2">
        <v>45081.782638888886</v>
      </c>
      <c r="I2742" t="s">
        <v>306</v>
      </c>
      <c r="Z2742">
        <v>57365</v>
      </c>
    </row>
    <row r="2743" spans="1:26" x14ac:dyDescent="0.25">
      <c r="A2743" t="s">
        <v>3262</v>
      </c>
      <c r="B2743" t="s">
        <v>26</v>
      </c>
      <c r="C2743" t="s">
        <v>27</v>
      </c>
      <c r="H2743" s="2">
        <v>45081.756944444445</v>
      </c>
      <c r="I2743" t="s">
        <v>306</v>
      </c>
      <c r="Z2743">
        <v>57360</v>
      </c>
    </row>
    <row r="2744" spans="1:26" x14ac:dyDescent="0.25">
      <c r="A2744" t="s">
        <v>3263</v>
      </c>
      <c r="B2744" t="s">
        <v>26</v>
      </c>
      <c r="C2744" t="s">
        <v>27</v>
      </c>
      <c r="E2744" t="s">
        <v>3264</v>
      </c>
      <c r="H2744" s="2">
        <v>45081.684027777781</v>
      </c>
      <c r="I2744" t="s">
        <v>226</v>
      </c>
      <c r="Z2744">
        <v>57351</v>
      </c>
    </row>
    <row r="2745" spans="1:26" x14ac:dyDescent="0.25">
      <c r="A2745" t="s">
        <v>3265</v>
      </c>
      <c r="B2745" t="s">
        <v>26</v>
      </c>
      <c r="C2745" t="s">
        <v>27</v>
      </c>
      <c r="H2745" s="2">
        <v>45081.547222222223</v>
      </c>
      <c r="I2745" t="s">
        <v>306</v>
      </c>
      <c r="Z2745">
        <v>57338</v>
      </c>
    </row>
    <row r="2746" spans="1:26" x14ac:dyDescent="0.25">
      <c r="A2746" t="s">
        <v>3266</v>
      </c>
      <c r="B2746" t="s">
        <v>164</v>
      </c>
      <c r="C2746" t="s">
        <v>27</v>
      </c>
      <c r="E2746" t="s">
        <v>3267</v>
      </c>
      <c r="H2746" s="2">
        <v>45081.529861111114</v>
      </c>
      <c r="I2746" t="s">
        <v>248</v>
      </c>
      <c r="Z2746">
        <v>57335</v>
      </c>
    </row>
    <row r="2747" spans="1:26" x14ac:dyDescent="0.25">
      <c r="A2747" t="s">
        <v>97</v>
      </c>
      <c r="C2747" t="s">
        <v>64</v>
      </c>
      <c r="E2747" t="s">
        <v>90</v>
      </c>
      <c r="H2747" s="2">
        <v>45081.525694444441</v>
      </c>
      <c r="I2747" t="s">
        <v>226</v>
      </c>
      <c r="Z2747">
        <v>57334</v>
      </c>
    </row>
    <row r="2748" spans="1:26" x14ac:dyDescent="0.25">
      <c r="A2748" t="s">
        <v>109</v>
      </c>
      <c r="C2748" t="s">
        <v>64</v>
      </c>
      <c r="E2748" t="s">
        <v>90</v>
      </c>
      <c r="H2748" s="2">
        <v>45081.494444444441</v>
      </c>
      <c r="I2748" t="s">
        <v>226</v>
      </c>
      <c r="Z2748">
        <v>57330</v>
      </c>
    </row>
    <row r="2749" spans="1:26" x14ac:dyDescent="0.25">
      <c r="A2749" t="s">
        <v>3268</v>
      </c>
      <c r="B2749" t="s">
        <v>26</v>
      </c>
      <c r="C2749" t="s">
        <v>27</v>
      </c>
      <c r="E2749" t="s">
        <v>3269</v>
      </c>
      <c r="H2749" s="2">
        <v>45081.443749999999</v>
      </c>
      <c r="I2749" t="s">
        <v>226</v>
      </c>
      <c r="Z2749">
        <v>57323</v>
      </c>
    </row>
    <row r="2750" spans="1:26" x14ac:dyDescent="0.25">
      <c r="A2750" t="s">
        <v>3270</v>
      </c>
      <c r="B2750" t="s">
        <v>26</v>
      </c>
      <c r="C2750" t="s">
        <v>27</v>
      </c>
      <c r="H2750" s="2">
        <v>45080.584722222222</v>
      </c>
      <c r="I2750" t="s">
        <v>226</v>
      </c>
      <c r="Z2750">
        <v>57274</v>
      </c>
    </row>
    <row r="2751" spans="1:26" x14ac:dyDescent="0.25">
      <c r="A2751" t="s">
        <v>3271</v>
      </c>
      <c r="B2751" t="s">
        <v>164</v>
      </c>
      <c r="C2751" t="s">
        <v>27</v>
      </c>
      <c r="E2751" t="s">
        <v>73</v>
      </c>
      <c r="G2751" t="s">
        <v>155</v>
      </c>
      <c r="H2751" s="2">
        <v>45080.402777777781</v>
      </c>
      <c r="I2751" t="s">
        <v>227</v>
      </c>
      <c r="Z2751">
        <v>57249</v>
      </c>
    </row>
    <row r="2752" spans="1:26" x14ac:dyDescent="0.25">
      <c r="A2752" t="s">
        <v>3258</v>
      </c>
      <c r="B2752" t="s">
        <v>26</v>
      </c>
      <c r="C2752" t="s">
        <v>27</v>
      </c>
      <c r="H2752" s="2">
        <v>45079.545138888891</v>
      </c>
      <c r="I2752" t="s">
        <v>227</v>
      </c>
      <c r="Z2752">
        <v>57208</v>
      </c>
    </row>
    <row r="2753" spans="1:26" x14ac:dyDescent="0.25">
      <c r="A2753" t="s">
        <v>109</v>
      </c>
      <c r="C2753" t="s">
        <v>27</v>
      </c>
      <c r="E2753" t="s">
        <v>3272</v>
      </c>
      <c r="H2753" s="2">
        <v>45077.558333333334</v>
      </c>
      <c r="I2753" t="s">
        <v>186</v>
      </c>
      <c r="Z2753">
        <v>57052</v>
      </c>
    </row>
    <row r="2754" spans="1:26" x14ac:dyDescent="0.25">
      <c r="A2754" t="s">
        <v>3273</v>
      </c>
      <c r="B2754" t="s">
        <v>26</v>
      </c>
      <c r="C2754" t="s">
        <v>27</v>
      </c>
      <c r="E2754" t="s">
        <v>177</v>
      </c>
      <c r="H2754" s="2">
        <v>45077.557638888888</v>
      </c>
      <c r="I2754" t="s">
        <v>226</v>
      </c>
      <c r="Z2754">
        <v>57051</v>
      </c>
    </row>
    <row r="2755" spans="1:26" x14ac:dyDescent="0.25">
      <c r="A2755" t="s">
        <v>3274</v>
      </c>
      <c r="B2755" t="s">
        <v>150</v>
      </c>
      <c r="C2755" t="s">
        <v>64</v>
      </c>
      <c r="E2755" t="s">
        <v>3275</v>
      </c>
      <c r="H2755" s="2">
        <v>45077.547222222223</v>
      </c>
      <c r="I2755" t="s">
        <v>186</v>
      </c>
      <c r="Z2755">
        <v>57049</v>
      </c>
    </row>
    <row r="2756" spans="1:26" x14ac:dyDescent="0.25">
      <c r="A2756" t="s">
        <v>3276</v>
      </c>
      <c r="B2756" t="s">
        <v>26</v>
      </c>
      <c r="C2756" t="s">
        <v>27</v>
      </c>
      <c r="H2756" s="2">
        <v>45077.449305555558</v>
      </c>
      <c r="I2756" t="s">
        <v>226</v>
      </c>
      <c r="Z2756">
        <v>57032</v>
      </c>
    </row>
    <row r="2757" spans="1:26" x14ac:dyDescent="0.25">
      <c r="A2757" t="s">
        <v>3277</v>
      </c>
      <c r="B2757" t="s">
        <v>26</v>
      </c>
      <c r="C2757" t="s">
        <v>27</v>
      </c>
      <c r="H2757" s="2">
        <v>45076.824305555558</v>
      </c>
      <c r="I2757" t="s">
        <v>186</v>
      </c>
      <c r="Z2757">
        <v>57016</v>
      </c>
    </row>
    <row r="2758" spans="1:26" x14ac:dyDescent="0.25">
      <c r="A2758" t="s">
        <v>3278</v>
      </c>
      <c r="B2758" t="s">
        <v>26</v>
      </c>
      <c r="C2758" t="s">
        <v>27</v>
      </c>
      <c r="H2758" s="2">
        <v>45076.719444444447</v>
      </c>
      <c r="I2758" t="s">
        <v>294</v>
      </c>
      <c r="Z2758">
        <v>57007</v>
      </c>
    </row>
    <row r="2759" spans="1:26" x14ac:dyDescent="0.25">
      <c r="A2759" t="s">
        <v>3279</v>
      </c>
      <c r="B2759" t="s">
        <v>26</v>
      </c>
      <c r="C2759" t="s">
        <v>27</v>
      </c>
      <c r="H2759" s="2">
        <v>45076.713888888888</v>
      </c>
      <c r="I2759" t="s">
        <v>226</v>
      </c>
      <c r="Z2759">
        <v>57006</v>
      </c>
    </row>
    <row r="2760" spans="1:26" x14ac:dyDescent="0.25">
      <c r="A2760" t="s">
        <v>3280</v>
      </c>
      <c r="B2760" t="s">
        <v>26</v>
      </c>
      <c r="C2760" t="s">
        <v>27</v>
      </c>
      <c r="H2760" s="2">
        <v>45076.681250000001</v>
      </c>
      <c r="I2760" t="s">
        <v>226</v>
      </c>
      <c r="Z2760">
        <v>57000</v>
      </c>
    </row>
    <row r="2761" spans="1:26" x14ac:dyDescent="0.25">
      <c r="A2761" t="s">
        <v>3281</v>
      </c>
      <c r="B2761" t="s">
        <v>26</v>
      </c>
      <c r="C2761" t="s">
        <v>27</v>
      </c>
      <c r="H2761" s="2">
        <v>45076.420138888891</v>
      </c>
      <c r="I2761" t="s">
        <v>294</v>
      </c>
      <c r="Z2761">
        <v>56953</v>
      </c>
    </row>
    <row r="2762" spans="1:26" x14ac:dyDescent="0.25">
      <c r="A2762" t="s">
        <v>3282</v>
      </c>
      <c r="B2762" t="s">
        <v>164</v>
      </c>
      <c r="C2762" t="s">
        <v>27</v>
      </c>
      <c r="E2762" t="s">
        <v>3283</v>
      </c>
      <c r="H2762" s="2">
        <v>45075.702777777777</v>
      </c>
      <c r="I2762" t="s">
        <v>227</v>
      </c>
      <c r="Z2762">
        <v>56927</v>
      </c>
    </row>
    <row r="2763" spans="1:26" x14ac:dyDescent="0.25">
      <c r="A2763" t="s">
        <v>3284</v>
      </c>
      <c r="B2763" t="s">
        <v>26</v>
      </c>
      <c r="C2763" t="s">
        <v>27</v>
      </c>
      <c r="H2763" s="2">
        <v>45075.697916666664</v>
      </c>
      <c r="I2763" t="s">
        <v>226</v>
      </c>
      <c r="Z2763">
        <v>56926</v>
      </c>
    </row>
    <row r="2764" spans="1:26" x14ac:dyDescent="0.25">
      <c r="A2764" t="s">
        <v>3285</v>
      </c>
      <c r="B2764" t="s">
        <v>26</v>
      </c>
      <c r="C2764" t="s">
        <v>27</v>
      </c>
      <c r="H2764" s="2">
        <v>45075.692361111112</v>
      </c>
      <c r="I2764" t="s">
        <v>310</v>
      </c>
      <c r="Z2764">
        <v>56925</v>
      </c>
    </row>
    <row r="2765" spans="1:26" x14ac:dyDescent="0.25">
      <c r="A2765" t="s">
        <v>234</v>
      </c>
      <c r="B2765" t="s">
        <v>164</v>
      </c>
      <c r="C2765" t="s">
        <v>27</v>
      </c>
      <c r="E2765" t="s">
        <v>45</v>
      </c>
      <c r="H2765" s="2">
        <v>45075.534722222219</v>
      </c>
      <c r="I2765" t="s">
        <v>227</v>
      </c>
      <c r="Z2765">
        <v>56902</v>
      </c>
    </row>
    <row r="2766" spans="1:26" x14ac:dyDescent="0.25">
      <c r="A2766" t="s">
        <v>3286</v>
      </c>
      <c r="B2766" t="s">
        <v>26</v>
      </c>
      <c r="C2766" t="s">
        <v>27</v>
      </c>
      <c r="H2766" s="2">
        <v>45075.52847222222</v>
      </c>
      <c r="I2766" t="s">
        <v>226</v>
      </c>
      <c r="Z2766">
        <v>56901</v>
      </c>
    </row>
    <row r="2767" spans="1:26" x14ac:dyDescent="0.25">
      <c r="A2767" t="s">
        <v>3287</v>
      </c>
      <c r="B2767" t="s">
        <v>26</v>
      </c>
      <c r="C2767" t="s">
        <v>27</v>
      </c>
      <c r="H2767" s="2">
        <v>45075.45</v>
      </c>
      <c r="I2767" t="s">
        <v>226</v>
      </c>
      <c r="Z2767">
        <v>56886</v>
      </c>
    </row>
    <row r="2768" spans="1:26" x14ac:dyDescent="0.25">
      <c r="A2768" t="s">
        <v>3288</v>
      </c>
      <c r="B2768" t="s">
        <v>26</v>
      </c>
      <c r="C2768" t="s">
        <v>27</v>
      </c>
      <c r="E2768" t="s">
        <v>3289</v>
      </c>
      <c r="H2768" s="2">
        <v>45075.4375</v>
      </c>
      <c r="I2768" t="s">
        <v>226</v>
      </c>
      <c r="Z2768">
        <v>56882</v>
      </c>
    </row>
    <row r="2769" spans="1:26" x14ac:dyDescent="0.25">
      <c r="A2769" t="s">
        <v>3290</v>
      </c>
      <c r="B2769" t="s">
        <v>26</v>
      </c>
      <c r="C2769" t="s">
        <v>27</v>
      </c>
      <c r="H2769" s="2">
        <v>45075.425694444442</v>
      </c>
      <c r="I2769" t="s">
        <v>226</v>
      </c>
      <c r="Z2769">
        <v>56877</v>
      </c>
    </row>
    <row r="2770" spans="1:26" x14ac:dyDescent="0.25">
      <c r="A2770" t="s">
        <v>3291</v>
      </c>
      <c r="B2770" t="s">
        <v>26</v>
      </c>
      <c r="C2770" t="s">
        <v>27</v>
      </c>
      <c r="H2770" s="2">
        <v>45074.658333333333</v>
      </c>
      <c r="I2770" t="s">
        <v>227</v>
      </c>
      <c r="Z2770">
        <v>56859</v>
      </c>
    </row>
    <row r="2771" spans="1:26" x14ac:dyDescent="0.25">
      <c r="A2771" t="s">
        <v>3060</v>
      </c>
      <c r="B2771" t="s">
        <v>26</v>
      </c>
      <c r="C2771" t="s">
        <v>27</v>
      </c>
      <c r="E2771" t="s">
        <v>373</v>
      </c>
      <c r="G2771" t="s">
        <v>3292</v>
      </c>
      <c r="H2771" s="2">
        <v>45074.538888888892</v>
      </c>
      <c r="I2771" t="s">
        <v>226</v>
      </c>
      <c r="Z2771">
        <v>56845</v>
      </c>
    </row>
    <row r="2772" spans="1:26" x14ac:dyDescent="0.25">
      <c r="A2772" t="s">
        <v>3293</v>
      </c>
      <c r="B2772" t="s">
        <v>164</v>
      </c>
      <c r="C2772" t="s">
        <v>27</v>
      </c>
      <c r="E2772" t="s">
        <v>3294</v>
      </c>
      <c r="H2772" s="2">
        <v>45073.768750000003</v>
      </c>
      <c r="I2772" t="s">
        <v>227</v>
      </c>
      <c r="K2772" t="s">
        <v>30</v>
      </c>
      <c r="L2772" t="s">
        <v>31</v>
      </c>
      <c r="M2772">
        <v>55887113</v>
      </c>
      <c r="N2772">
        <v>9754620478</v>
      </c>
      <c r="O2772" t="s">
        <v>3295</v>
      </c>
      <c r="Z2772">
        <v>56819</v>
      </c>
    </row>
    <row r="2773" spans="1:26" x14ac:dyDescent="0.25">
      <c r="A2773" t="s">
        <v>3296</v>
      </c>
      <c r="B2773" t="s">
        <v>26</v>
      </c>
      <c r="C2773" t="s">
        <v>27</v>
      </c>
      <c r="H2773" s="2">
        <v>45073.69027777778</v>
      </c>
      <c r="I2773" t="s">
        <v>227</v>
      </c>
      <c r="Z2773">
        <v>56809</v>
      </c>
    </row>
    <row r="2774" spans="1:26" x14ac:dyDescent="0.25">
      <c r="A2774" t="s">
        <v>3297</v>
      </c>
      <c r="B2774" t="s">
        <v>26</v>
      </c>
      <c r="C2774" t="s">
        <v>27</v>
      </c>
      <c r="H2774" s="2">
        <v>45073.602083333331</v>
      </c>
      <c r="I2774" t="s">
        <v>227</v>
      </c>
      <c r="Z2774">
        <v>56800</v>
      </c>
    </row>
    <row r="2775" spans="1:26" x14ac:dyDescent="0.25">
      <c r="A2775" t="s">
        <v>3298</v>
      </c>
      <c r="B2775" t="s">
        <v>26</v>
      </c>
      <c r="C2775" t="s">
        <v>27</v>
      </c>
      <c r="H2775" s="2">
        <v>45073.586805555555</v>
      </c>
      <c r="I2775" t="s">
        <v>227</v>
      </c>
      <c r="Z2775">
        <v>56798</v>
      </c>
    </row>
    <row r="2776" spans="1:26" x14ac:dyDescent="0.25">
      <c r="A2776" t="s">
        <v>3299</v>
      </c>
      <c r="B2776" t="s">
        <v>26</v>
      </c>
      <c r="C2776" t="s">
        <v>27</v>
      </c>
      <c r="H2776" s="2">
        <v>45073.491666666669</v>
      </c>
      <c r="I2776" t="s">
        <v>306</v>
      </c>
      <c r="Z2776">
        <v>56783</v>
      </c>
    </row>
    <row r="2777" spans="1:26" x14ac:dyDescent="0.25">
      <c r="A2777" t="s">
        <v>109</v>
      </c>
      <c r="C2777" t="s">
        <v>27</v>
      </c>
      <c r="E2777" t="s">
        <v>53</v>
      </c>
      <c r="H2777" s="2">
        <v>45073.34375</v>
      </c>
      <c r="I2777" t="s">
        <v>227</v>
      </c>
      <c r="Z2777">
        <v>56774</v>
      </c>
    </row>
    <row r="2778" spans="1:26" x14ac:dyDescent="0.25">
      <c r="A2778" t="s">
        <v>3300</v>
      </c>
      <c r="B2778" t="s">
        <v>26</v>
      </c>
      <c r="C2778" t="s">
        <v>27</v>
      </c>
      <c r="H2778" s="2">
        <v>45072.513194444444</v>
      </c>
      <c r="I2778" t="s">
        <v>227</v>
      </c>
      <c r="Z2778">
        <v>56721</v>
      </c>
    </row>
    <row r="2779" spans="1:26" x14ac:dyDescent="0.25">
      <c r="A2779" t="s">
        <v>3301</v>
      </c>
      <c r="B2779" t="s">
        <v>26</v>
      </c>
      <c r="C2779" t="s">
        <v>27</v>
      </c>
      <c r="H2779" s="2">
        <v>45072.38958333333</v>
      </c>
      <c r="I2779" t="s">
        <v>186</v>
      </c>
      <c r="Z2779">
        <v>56704</v>
      </c>
    </row>
    <row r="2780" spans="1:26" x14ac:dyDescent="0.25">
      <c r="A2780" t="s">
        <v>3302</v>
      </c>
      <c r="B2780" t="s">
        <v>26</v>
      </c>
      <c r="C2780" t="s">
        <v>27</v>
      </c>
      <c r="H2780" s="2">
        <v>45071.805555555555</v>
      </c>
      <c r="I2780" t="s">
        <v>294</v>
      </c>
      <c r="Z2780">
        <v>56692</v>
      </c>
    </row>
    <row r="2781" spans="1:26" x14ac:dyDescent="0.25">
      <c r="A2781" t="s">
        <v>340</v>
      </c>
      <c r="B2781" t="s">
        <v>198</v>
      </c>
      <c r="C2781" t="s">
        <v>27</v>
      </c>
      <c r="E2781" t="s">
        <v>135</v>
      </c>
      <c r="H2781" s="2">
        <v>45071.777083333334</v>
      </c>
      <c r="I2781" t="s">
        <v>227</v>
      </c>
      <c r="K2781" t="s">
        <v>30</v>
      </c>
      <c r="L2781" t="s">
        <v>31</v>
      </c>
      <c r="M2781">
        <v>55887024</v>
      </c>
      <c r="N2781">
        <v>9754613607</v>
      </c>
      <c r="O2781" t="s">
        <v>2599</v>
      </c>
      <c r="Z2781">
        <v>56686</v>
      </c>
    </row>
    <row r="2782" spans="1:26" x14ac:dyDescent="0.25">
      <c r="A2782" t="s">
        <v>3303</v>
      </c>
      <c r="B2782" t="s">
        <v>26</v>
      </c>
      <c r="C2782" t="s">
        <v>27</v>
      </c>
      <c r="H2782" s="2">
        <v>45070.400000000001</v>
      </c>
      <c r="I2782" t="s">
        <v>186</v>
      </c>
      <c r="Z2782">
        <v>56529</v>
      </c>
    </row>
    <row r="2783" spans="1:26" x14ac:dyDescent="0.25">
      <c r="A2783" t="s">
        <v>3304</v>
      </c>
      <c r="B2783" t="s">
        <v>26</v>
      </c>
      <c r="C2783" t="s">
        <v>27</v>
      </c>
      <c r="H2783" s="2">
        <v>45068.634722222225</v>
      </c>
      <c r="I2783" t="s">
        <v>306</v>
      </c>
      <c r="Z2783">
        <v>56427</v>
      </c>
    </row>
    <row r="2784" spans="1:26" x14ac:dyDescent="0.25">
      <c r="A2784" t="s">
        <v>3305</v>
      </c>
      <c r="B2784" t="s">
        <v>26</v>
      </c>
      <c r="C2784" t="s">
        <v>27</v>
      </c>
      <c r="H2784" s="2">
        <v>45067.853472222225</v>
      </c>
      <c r="I2784" t="s">
        <v>306</v>
      </c>
      <c r="Z2784">
        <v>56361</v>
      </c>
    </row>
    <row r="2785" spans="1:26" x14ac:dyDescent="0.25">
      <c r="A2785" t="s">
        <v>234</v>
      </c>
      <c r="B2785" t="s">
        <v>164</v>
      </c>
      <c r="C2785" t="s">
        <v>27</v>
      </c>
      <c r="E2785" t="s">
        <v>45</v>
      </c>
      <c r="H2785" s="2">
        <v>45067.790277777778</v>
      </c>
      <c r="I2785" t="s">
        <v>227</v>
      </c>
      <c r="Z2785">
        <v>56352</v>
      </c>
    </row>
    <row r="2786" spans="1:26" x14ac:dyDescent="0.25">
      <c r="A2786" t="s">
        <v>712</v>
      </c>
      <c r="B2786" t="s">
        <v>26</v>
      </c>
      <c r="C2786" t="s">
        <v>27</v>
      </c>
      <c r="H2786" s="2">
        <v>45067.674305555556</v>
      </c>
      <c r="I2786" t="s">
        <v>29</v>
      </c>
      <c r="Z2786">
        <v>56337</v>
      </c>
    </row>
    <row r="2787" spans="1:26" x14ac:dyDescent="0.25">
      <c r="A2787" t="s">
        <v>92</v>
      </c>
      <c r="B2787" t="s">
        <v>26</v>
      </c>
      <c r="C2787" t="s">
        <v>27</v>
      </c>
      <c r="H2787" s="2">
        <v>45067.627083333333</v>
      </c>
      <c r="I2787" t="s">
        <v>29</v>
      </c>
      <c r="Z2787">
        <v>56330</v>
      </c>
    </row>
    <row r="2788" spans="1:26" x14ac:dyDescent="0.25">
      <c r="A2788" t="s">
        <v>712</v>
      </c>
      <c r="B2788" t="s">
        <v>26</v>
      </c>
      <c r="C2788" t="s">
        <v>27</v>
      </c>
      <c r="H2788" s="2">
        <v>45067.56527777778</v>
      </c>
      <c r="I2788" t="s">
        <v>29</v>
      </c>
      <c r="Z2788">
        <v>56314</v>
      </c>
    </row>
    <row r="2789" spans="1:26" x14ac:dyDescent="0.25">
      <c r="A2789" t="s">
        <v>3306</v>
      </c>
      <c r="B2789" t="s">
        <v>26</v>
      </c>
      <c r="C2789" t="s">
        <v>27</v>
      </c>
      <c r="H2789" s="2">
        <v>45067.397916666669</v>
      </c>
      <c r="I2789" t="s">
        <v>29</v>
      </c>
      <c r="Z2789">
        <v>56295</v>
      </c>
    </row>
    <row r="2790" spans="1:26" x14ac:dyDescent="0.25">
      <c r="A2790" t="s">
        <v>3307</v>
      </c>
      <c r="B2790" t="s">
        <v>26</v>
      </c>
      <c r="C2790" t="s">
        <v>27</v>
      </c>
      <c r="H2790" s="2">
        <v>45066.7</v>
      </c>
      <c r="I2790" t="s">
        <v>29</v>
      </c>
      <c r="Z2790">
        <v>56272</v>
      </c>
    </row>
    <row r="2791" spans="1:26" x14ac:dyDescent="0.25">
      <c r="A2791" t="s">
        <v>2608</v>
      </c>
      <c r="B2791" t="s">
        <v>26</v>
      </c>
      <c r="C2791" t="s">
        <v>27</v>
      </c>
      <c r="H2791" s="2">
        <v>45066.449305555558</v>
      </c>
      <c r="I2791" t="s">
        <v>29</v>
      </c>
      <c r="Z2791">
        <v>56231</v>
      </c>
    </row>
    <row r="2792" spans="1:26" x14ac:dyDescent="0.25">
      <c r="A2792" t="s">
        <v>3308</v>
      </c>
      <c r="B2792" t="s">
        <v>26</v>
      </c>
      <c r="C2792" t="s">
        <v>27</v>
      </c>
      <c r="H2792" s="2">
        <v>45065.877083333333</v>
      </c>
      <c r="I2792" t="s">
        <v>226</v>
      </c>
      <c r="Z2792">
        <v>56222</v>
      </c>
    </row>
    <row r="2793" spans="1:26" x14ac:dyDescent="0.25">
      <c r="A2793" t="s">
        <v>3309</v>
      </c>
      <c r="B2793" t="s">
        <v>26</v>
      </c>
      <c r="C2793" t="s">
        <v>27</v>
      </c>
      <c r="H2793" s="2">
        <v>45065.660416666666</v>
      </c>
      <c r="I2793" t="s">
        <v>226</v>
      </c>
      <c r="Z2793">
        <v>56195</v>
      </c>
    </row>
    <row r="2794" spans="1:26" x14ac:dyDescent="0.25">
      <c r="A2794" t="s">
        <v>3310</v>
      </c>
      <c r="B2794" t="s">
        <v>26</v>
      </c>
      <c r="C2794" t="s">
        <v>27</v>
      </c>
      <c r="H2794" s="2">
        <v>45065.484027777777</v>
      </c>
      <c r="I2794" t="s">
        <v>294</v>
      </c>
      <c r="Z2794">
        <v>56155</v>
      </c>
    </row>
    <row r="2795" spans="1:26" x14ac:dyDescent="0.25">
      <c r="A2795" t="s">
        <v>362</v>
      </c>
      <c r="B2795" t="s">
        <v>26</v>
      </c>
      <c r="C2795" t="s">
        <v>27</v>
      </c>
      <c r="E2795" t="s">
        <v>3311</v>
      </c>
      <c r="H2795" s="2">
        <v>45065.461111111108</v>
      </c>
      <c r="I2795" t="s">
        <v>29</v>
      </c>
      <c r="Z2795">
        <v>56152</v>
      </c>
    </row>
    <row r="2796" spans="1:26" x14ac:dyDescent="0.25">
      <c r="A2796" t="s">
        <v>3312</v>
      </c>
      <c r="B2796" t="s">
        <v>26</v>
      </c>
      <c r="C2796" t="s">
        <v>27</v>
      </c>
      <c r="H2796" s="2">
        <v>45065.375</v>
      </c>
      <c r="I2796" t="s">
        <v>294</v>
      </c>
      <c r="Z2796">
        <v>56135</v>
      </c>
    </row>
    <row r="2797" spans="1:26" x14ac:dyDescent="0.25">
      <c r="A2797" t="s">
        <v>3313</v>
      </c>
      <c r="B2797" t="s">
        <v>26</v>
      </c>
      <c r="C2797" t="s">
        <v>27</v>
      </c>
      <c r="H2797" s="2">
        <v>45064.535416666666</v>
      </c>
      <c r="I2797" t="s">
        <v>153</v>
      </c>
      <c r="Z2797">
        <v>56078</v>
      </c>
    </row>
    <row r="2798" spans="1:26" x14ac:dyDescent="0.25">
      <c r="A2798" t="s">
        <v>712</v>
      </c>
      <c r="B2798" t="s">
        <v>164</v>
      </c>
      <c r="C2798" t="s">
        <v>27</v>
      </c>
      <c r="E2798" t="s">
        <v>3314</v>
      </c>
      <c r="H2798" s="2">
        <v>45063.869444444441</v>
      </c>
      <c r="I2798" t="s">
        <v>248</v>
      </c>
      <c r="Z2798">
        <v>56038</v>
      </c>
    </row>
    <row r="2799" spans="1:26" x14ac:dyDescent="0.25">
      <c r="A2799" t="s">
        <v>3315</v>
      </c>
      <c r="B2799" t="s">
        <v>26</v>
      </c>
      <c r="C2799" t="s">
        <v>27</v>
      </c>
      <c r="H2799" s="2">
        <v>45063.738194444442</v>
      </c>
      <c r="I2799" t="s">
        <v>306</v>
      </c>
      <c r="Z2799">
        <v>56026</v>
      </c>
    </row>
    <row r="2800" spans="1:26" x14ac:dyDescent="0.25">
      <c r="A2800" t="s">
        <v>3316</v>
      </c>
      <c r="B2800" t="s">
        <v>26</v>
      </c>
      <c r="C2800" t="s">
        <v>27</v>
      </c>
      <c r="H2800" s="2">
        <v>45063.627083333333</v>
      </c>
      <c r="I2800" t="s">
        <v>226</v>
      </c>
      <c r="Z2800">
        <v>55999</v>
      </c>
    </row>
    <row r="2801" spans="1:26" x14ac:dyDescent="0.25">
      <c r="A2801" t="s">
        <v>3317</v>
      </c>
      <c r="B2801" t="s">
        <v>26</v>
      </c>
      <c r="C2801" t="s">
        <v>27</v>
      </c>
      <c r="H2801" s="2">
        <v>45063.425000000003</v>
      </c>
      <c r="I2801" t="s">
        <v>226</v>
      </c>
      <c r="Z2801">
        <v>55965</v>
      </c>
    </row>
    <row r="2802" spans="1:26" x14ac:dyDescent="0.25">
      <c r="A2802" t="s">
        <v>109</v>
      </c>
      <c r="C2802" t="s">
        <v>27</v>
      </c>
      <c r="E2802" t="s">
        <v>66</v>
      </c>
      <c r="H2802" s="2">
        <v>45062.76666666667</v>
      </c>
      <c r="I2802" t="s">
        <v>227</v>
      </c>
      <c r="Z2802">
        <v>55928</v>
      </c>
    </row>
    <row r="2803" spans="1:26" x14ac:dyDescent="0.25">
      <c r="A2803" t="s">
        <v>3318</v>
      </c>
      <c r="B2803" t="s">
        <v>150</v>
      </c>
      <c r="C2803" t="s">
        <v>27</v>
      </c>
      <c r="E2803" t="s">
        <v>145</v>
      </c>
      <c r="G2803" t="s">
        <v>3319</v>
      </c>
      <c r="H2803" s="2">
        <v>45062.765972222223</v>
      </c>
      <c r="I2803" t="s">
        <v>227</v>
      </c>
      <c r="Z2803">
        <v>55927</v>
      </c>
    </row>
    <row r="2804" spans="1:26" x14ac:dyDescent="0.25">
      <c r="A2804" t="s">
        <v>3320</v>
      </c>
      <c r="B2804" t="s">
        <v>164</v>
      </c>
      <c r="C2804" t="s">
        <v>27</v>
      </c>
      <c r="E2804" t="s">
        <v>145</v>
      </c>
      <c r="H2804" s="2">
        <v>45062.761805555558</v>
      </c>
      <c r="I2804" t="s">
        <v>227</v>
      </c>
      <c r="Z2804">
        <v>55925</v>
      </c>
    </row>
    <row r="2805" spans="1:26" x14ac:dyDescent="0.25">
      <c r="A2805" t="s">
        <v>3321</v>
      </c>
      <c r="B2805" t="s">
        <v>150</v>
      </c>
      <c r="C2805" t="s">
        <v>27</v>
      </c>
      <c r="E2805" t="s">
        <v>3322</v>
      </c>
      <c r="G2805" t="s">
        <v>3323</v>
      </c>
      <c r="H2805" s="2">
        <v>45062.500694444447</v>
      </c>
      <c r="I2805" t="s">
        <v>227</v>
      </c>
      <c r="K2805" t="s">
        <v>30</v>
      </c>
      <c r="L2805" t="s">
        <v>31</v>
      </c>
      <c r="M2805">
        <v>67006012</v>
      </c>
      <c r="N2805">
        <v>12403441088</v>
      </c>
      <c r="O2805" t="s">
        <v>3324</v>
      </c>
      <c r="Z2805">
        <v>55886</v>
      </c>
    </row>
    <row r="2806" spans="1:26" x14ac:dyDescent="0.25">
      <c r="A2806" t="s">
        <v>3181</v>
      </c>
      <c r="B2806" t="s">
        <v>26</v>
      </c>
      <c r="C2806" t="s">
        <v>27</v>
      </c>
      <c r="H2806" s="2">
        <v>45062.486805555556</v>
      </c>
      <c r="I2806" t="s">
        <v>226</v>
      </c>
      <c r="Z2806">
        <v>55885</v>
      </c>
    </row>
    <row r="2807" spans="1:26" x14ac:dyDescent="0.25">
      <c r="A2807" t="s">
        <v>3325</v>
      </c>
      <c r="B2807" t="s">
        <v>26</v>
      </c>
      <c r="C2807" t="s">
        <v>27</v>
      </c>
      <c r="H2807" s="2">
        <v>45062.404861111114</v>
      </c>
      <c r="I2807" t="s">
        <v>227</v>
      </c>
      <c r="Z2807">
        <v>55870</v>
      </c>
    </row>
    <row r="2808" spans="1:26" x14ac:dyDescent="0.25">
      <c r="A2808" t="s">
        <v>3326</v>
      </c>
      <c r="B2808" t="s">
        <v>185</v>
      </c>
      <c r="C2808" t="s">
        <v>27</v>
      </c>
      <c r="E2808" t="s">
        <v>76</v>
      </c>
      <c r="G2808" t="s">
        <v>3327</v>
      </c>
      <c r="H2808" s="2">
        <v>45061.715277777781</v>
      </c>
      <c r="I2808" t="s">
        <v>227</v>
      </c>
      <c r="Z2808">
        <v>55843</v>
      </c>
    </row>
    <row r="2809" spans="1:26" x14ac:dyDescent="0.25">
      <c r="A2809" t="s">
        <v>3328</v>
      </c>
      <c r="B2809" t="s">
        <v>26</v>
      </c>
      <c r="C2809" t="s">
        <v>27</v>
      </c>
      <c r="H2809" s="2">
        <v>45061.489583333336</v>
      </c>
      <c r="I2809" t="s">
        <v>153</v>
      </c>
      <c r="Z2809">
        <v>55808</v>
      </c>
    </row>
    <row r="2810" spans="1:26" x14ac:dyDescent="0.25">
      <c r="A2810" t="s">
        <v>3329</v>
      </c>
      <c r="B2810" t="s">
        <v>26</v>
      </c>
      <c r="C2810" t="s">
        <v>27</v>
      </c>
      <c r="H2810" s="2">
        <v>45061.443055555559</v>
      </c>
      <c r="I2810" t="s">
        <v>227</v>
      </c>
      <c r="Z2810">
        <v>55797</v>
      </c>
    </row>
    <row r="2811" spans="1:26" x14ac:dyDescent="0.25">
      <c r="A2811" t="s">
        <v>3330</v>
      </c>
      <c r="B2811" t="s">
        <v>26</v>
      </c>
      <c r="C2811" t="s">
        <v>27</v>
      </c>
      <c r="H2811" s="2">
        <v>45060.865277777775</v>
      </c>
      <c r="I2811" t="s">
        <v>227</v>
      </c>
      <c r="Z2811">
        <v>55774</v>
      </c>
    </row>
    <row r="2812" spans="1:26" x14ac:dyDescent="0.25">
      <c r="A2812" t="s">
        <v>3331</v>
      </c>
      <c r="B2812" t="s">
        <v>164</v>
      </c>
      <c r="C2812" t="s">
        <v>27</v>
      </c>
      <c r="E2812" t="s">
        <v>3332</v>
      </c>
      <c r="H2812" s="2">
        <v>45060.724999999999</v>
      </c>
      <c r="I2812" t="s">
        <v>248</v>
      </c>
      <c r="Z2812">
        <v>55754</v>
      </c>
    </row>
    <row r="2813" spans="1:26" x14ac:dyDescent="0.25">
      <c r="A2813" t="s">
        <v>3333</v>
      </c>
      <c r="B2813" t="s">
        <v>26</v>
      </c>
      <c r="C2813" t="s">
        <v>27</v>
      </c>
      <c r="H2813" s="2">
        <v>45060.490972222222</v>
      </c>
      <c r="I2813" t="s">
        <v>294</v>
      </c>
      <c r="Z2813">
        <v>55719</v>
      </c>
    </row>
    <row r="2814" spans="1:26" x14ac:dyDescent="0.25">
      <c r="A2814" t="s">
        <v>3334</v>
      </c>
      <c r="B2814" t="s">
        <v>185</v>
      </c>
      <c r="C2814" t="s">
        <v>27</v>
      </c>
      <c r="E2814" t="s">
        <v>53</v>
      </c>
      <c r="H2814" s="2">
        <v>45059.981249999997</v>
      </c>
      <c r="I2814" t="s">
        <v>29</v>
      </c>
      <c r="Z2814">
        <v>55706</v>
      </c>
    </row>
    <row r="2815" spans="1:26" x14ac:dyDescent="0.25">
      <c r="A2815" t="s">
        <v>712</v>
      </c>
      <c r="B2815" t="s">
        <v>26</v>
      </c>
      <c r="C2815" t="s">
        <v>27</v>
      </c>
      <c r="E2815" t="s">
        <v>84</v>
      </c>
      <c r="G2815" t="s">
        <v>3335</v>
      </c>
      <c r="H2815" s="2">
        <v>45059.657638888886</v>
      </c>
      <c r="I2815" t="s">
        <v>29</v>
      </c>
      <c r="Z2815">
        <v>55676</v>
      </c>
    </row>
    <row r="2816" spans="1:26" x14ac:dyDescent="0.25">
      <c r="A2816" t="s">
        <v>3336</v>
      </c>
      <c r="B2816" t="s">
        <v>26</v>
      </c>
      <c r="C2816" t="s">
        <v>27</v>
      </c>
      <c r="H2816" s="2">
        <v>45059.614583333336</v>
      </c>
      <c r="I2816" t="s">
        <v>29</v>
      </c>
      <c r="Z2816">
        <v>55670</v>
      </c>
    </row>
    <row r="2817" spans="1:26" x14ac:dyDescent="0.25">
      <c r="A2817" t="s">
        <v>712</v>
      </c>
      <c r="B2817" t="s">
        <v>185</v>
      </c>
      <c r="C2817" t="s">
        <v>27</v>
      </c>
      <c r="E2817" t="s">
        <v>66</v>
      </c>
      <c r="G2817" t="s">
        <v>3337</v>
      </c>
      <c r="H2817" s="2">
        <v>45058.711111111108</v>
      </c>
      <c r="I2817" t="s">
        <v>29</v>
      </c>
      <c r="Z2817">
        <v>55614</v>
      </c>
    </row>
    <row r="2818" spans="1:26" x14ac:dyDescent="0.25">
      <c r="A2818" t="s">
        <v>3338</v>
      </c>
      <c r="B2818" t="s">
        <v>26</v>
      </c>
      <c r="C2818" t="s">
        <v>27</v>
      </c>
      <c r="H2818" s="2">
        <v>45058.657638888886</v>
      </c>
      <c r="I2818" t="s">
        <v>226</v>
      </c>
      <c r="Z2818">
        <v>55608</v>
      </c>
    </row>
    <row r="2819" spans="1:26" x14ac:dyDescent="0.25">
      <c r="A2819" t="s">
        <v>3339</v>
      </c>
      <c r="B2819" t="s">
        <v>26</v>
      </c>
      <c r="C2819" t="s">
        <v>27</v>
      </c>
      <c r="H2819" s="2">
        <v>45058.504861111112</v>
      </c>
      <c r="I2819" t="s">
        <v>226</v>
      </c>
      <c r="Z2819">
        <v>55590</v>
      </c>
    </row>
    <row r="2820" spans="1:26" x14ac:dyDescent="0.25">
      <c r="A2820" t="s">
        <v>3340</v>
      </c>
      <c r="B2820" t="s">
        <v>26</v>
      </c>
      <c r="C2820" t="s">
        <v>27</v>
      </c>
      <c r="H2820" s="2">
        <v>45057.67083333333</v>
      </c>
      <c r="I2820" t="s">
        <v>227</v>
      </c>
      <c r="Z2820">
        <v>55556</v>
      </c>
    </row>
    <row r="2821" spans="1:26" x14ac:dyDescent="0.25">
      <c r="A2821" t="s">
        <v>3341</v>
      </c>
      <c r="B2821" t="s">
        <v>46</v>
      </c>
      <c r="C2821" t="s">
        <v>27</v>
      </c>
      <c r="E2821" t="s">
        <v>201</v>
      </c>
      <c r="G2821" t="s">
        <v>3342</v>
      </c>
      <c r="H2821" s="2">
        <v>45057.564583333333</v>
      </c>
      <c r="I2821" t="s">
        <v>227</v>
      </c>
      <c r="Z2821">
        <v>55532</v>
      </c>
    </row>
    <row r="2822" spans="1:26" x14ac:dyDescent="0.25">
      <c r="A2822" t="s">
        <v>3343</v>
      </c>
      <c r="B2822" t="s">
        <v>26</v>
      </c>
      <c r="C2822" t="s">
        <v>27</v>
      </c>
      <c r="H2822" s="2">
        <v>45056.722222222219</v>
      </c>
      <c r="I2822" t="s">
        <v>226</v>
      </c>
      <c r="Z2822">
        <v>55480</v>
      </c>
    </row>
    <row r="2823" spans="1:26" x14ac:dyDescent="0.25">
      <c r="A2823" t="s">
        <v>3344</v>
      </c>
      <c r="B2823" t="s">
        <v>26</v>
      </c>
      <c r="C2823" t="s">
        <v>27</v>
      </c>
      <c r="E2823" t="s">
        <v>3345</v>
      </c>
      <c r="H2823" s="2">
        <v>45056.688194444447</v>
      </c>
      <c r="I2823" t="s">
        <v>226</v>
      </c>
      <c r="Z2823">
        <v>55475</v>
      </c>
    </row>
    <row r="2824" spans="1:26" x14ac:dyDescent="0.25">
      <c r="A2824" t="s">
        <v>3346</v>
      </c>
      <c r="B2824" t="s">
        <v>26</v>
      </c>
      <c r="C2824" t="s">
        <v>27</v>
      </c>
      <c r="H2824" s="2">
        <v>45056.665972222225</v>
      </c>
      <c r="I2824" t="s">
        <v>227</v>
      </c>
      <c r="Z2824">
        <v>55470</v>
      </c>
    </row>
    <row r="2825" spans="1:26" x14ac:dyDescent="0.25">
      <c r="A2825" t="s">
        <v>3347</v>
      </c>
      <c r="B2825" t="s">
        <v>26</v>
      </c>
      <c r="C2825" t="s">
        <v>27</v>
      </c>
      <c r="H2825" s="2">
        <v>45056.618750000001</v>
      </c>
      <c r="I2825" t="s">
        <v>306</v>
      </c>
      <c r="Z2825">
        <v>55460</v>
      </c>
    </row>
    <row r="2826" spans="1:26" x14ac:dyDescent="0.25">
      <c r="A2826" t="s">
        <v>3348</v>
      </c>
      <c r="B2826" t="s">
        <v>26</v>
      </c>
      <c r="C2826" t="s">
        <v>27</v>
      </c>
      <c r="H2826" s="2">
        <v>45056.593055555553</v>
      </c>
      <c r="I2826" t="s">
        <v>227</v>
      </c>
      <c r="Z2826">
        <v>55459</v>
      </c>
    </row>
    <row r="2827" spans="1:26" x14ac:dyDescent="0.25">
      <c r="A2827" t="s">
        <v>3349</v>
      </c>
      <c r="B2827" t="s">
        <v>26</v>
      </c>
      <c r="C2827" t="s">
        <v>27</v>
      </c>
      <c r="H2827" s="2">
        <v>45056.409722222219</v>
      </c>
      <c r="I2827" t="s">
        <v>226</v>
      </c>
      <c r="Z2827">
        <v>55424</v>
      </c>
    </row>
    <row r="2828" spans="1:26" x14ac:dyDescent="0.25">
      <c r="A2828" t="s">
        <v>3350</v>
      </c>
      <c r="B2828" t="s">
        <v>26</v>
      </c>
      <c r="C2828" t="s">
        <v>27</v>
      </c>
      <c r="H2828" s="2">
        <v>45056.40347222222</v>
      </c>
      <c r="I2828" t="s">
        <v>226</v>
      </c>
      <c r="Z2828">
        <v>55423</v>
      </c>
    </row>
    <row r="2829" spans="1:26" x14ac:dyDescent="0.25">
      <c r="A2829" t="s">
        <v>109</v>
      </c>
      <c r="C2829" t="s">
        <v>27</v>
      </c>
      <c r="E2829" t="s">
        <v>70</v>
      </c>
      <c r="H2829" s="2">
        <v>45056.047222222223</v>
      </c>
      <c r="I2829" t="s">
        <v>153</v>
      </c>
      <c r="Z2829">
        <v>55411</v>
      </c>
    </row>
    <row r="2830" spans="1:26" x14ac:dyDescent="0.25">
      <c r="A2830" t="s">
        <v>3349</v>
      </c>
      <c r="B2830" t="s">
        <v>26</v>
      </c>
      <c r="C2830" t="s">
        <v>27</v>
      </c>
      <c r="H2830" s="2">
        <v>45055.806250000001</v>
      </c>
      <c r="I2830" t="s">
        <v>29</v>
      </c>
      <c r="Z2830">
        <v>55403</v>
      </c>
    </row>
    <row r="2831" spans="1:26" x14ac:dyDescent="0.25">
      <c r="A2831" t="s">
        <v>712</v>
      </c>
      <c r="B2831" t="s">
        <v>26</v>
      </c>
      <c r="C2831" t="s">
        <v>27</v>
      </c>
      <c r="H2831" s="2">
        <v>45054.736805555556</v>
      </c>
      <c r="I2831" t="s">
        <v>29</v>
      </c>
      <c r="Z2831">
        <v>55348</v>
      </c>
    </row>
    <row r="2832" spans="1:26" x14ac:dyDescent="0.25">
      <c r="A2832" t="s">
        <v>204</v>
      </c>
      <c r="B2832" t="s">
        <v>164</v>
      </c>
      <c r="C2832" t="s">
        <v>27</v>
      </c>
      <c r="E2832" t="s">
        <v>53</v>
      </c>
      <c r="H2832" s="2">
        <v>45054.715277777781</v>
      </c>
      <c r="I2832" t="s">
        <v>248</v>
      </c>
      <c r="Z2832">
        <v>55347</v>
      </c>
    </row>
    <row r="2833" spans="1:26" x14ac:dyDescent="0.25">
      <c r="A2833" t="s">
        <v>712</v>
      </c>
      <c r="B2833" t="s">
        <v>26</v>
      </c>
      <c r="C2833" t="s">
        <v>27</v>
      </c>
      <c r="H2833" s="2">
        <v>45054.711805555555</v>
      </c>
      <c r="I2833" t="s">
        <v>29</v>
      </c>
      <c r="Z2833">
        <v>55346</v>
      </c>
    </row>
    <row r="2834" spans="1:26" x14ac:dyDescent="0.25">
      <c r="A2834" t="s">
        <v>712</v>
      </c>
      <c r="B2834" t="s">
        <v>26</v>
      </c>
      <c r="C2834" t="s">
        <v>27</v>
      </c>
      <c r="H2834" s="2">
        <v>45053.716666666667</v>
      </c>
      <c r="I2834" t="s">
        <v>29</v>
      </c>
      <c r="Z2834">
        <v>55289</v>
      </c>
    </row>
    <row r="2835" spans="1:26" x14ac:dyDescent="0.25">
      <c r="A2835" t="s">
        <v>3351</v>
      </c>
      <c r="B2835" t="s">
        <v>46</v>
      </c>
      <c r="C2835" t="s">
        <v>27</v>
      </c>
      <c r="E2835" t="s">
        <v>99</v>
      </c>
      <c r="G2835" t="s">
        <v>3352</v>
      </c>
      <c r="H2835" s="2">
        <v>45053.644444444442</v>
      </c>
      <c r="I2835" t="s">
        <v>29</v>
      </c>
      <c r="Z2835">
        <v>55281</v>
      </c>
    </row>
    <row r="2836" spans="1:26" x14ac:dyDescent="0.25">
      <c r="A2836" t="s">
        <v>3353</v>
      </c>
      <c r="B2836" t="s">
        <v>26</v>
      </c>
      <c r="C2836" t="s">
        <v>27</v>
      </c>
      <c r="H2836" s="2">
        <v>45053.550694444442</v>
      </c>
      <c r="I2836" t="s">
        <v>29</v>
      </c>
      <c r="Z2836">
        <v>55269</v>
      </c>
    </row>
    <row r="2837" spans="1:26" x14ac:dyDescent="0.25">
      <c r="A2837" t="s">
        <v>3354</v>
      </c>
      <c r="B2837" t="s">
        <v>26</v>
      </c>
      <c r="C2837" t="s">
        <v>27</v>
      </c>
      <c r="H2837" s="2">
        <v>45053.461805555555</v>
      </c>
      <c r="I2837" t="s">
        <v>226</v>
      </c>
      <c r="Z2837">
        <v>55252</v>
      </c>
    </row>
    <row r="2838" spans="1:26" x14ac:dyDescent="0.25">
      <c r="A2838" t="s">
        <v>3355</v>
      </c>
      <c r="B2838" t="s">
        <v>26</v>
      </c>
      <c r="C2838" t="s">
        <v>27</v>
      </c>
      <c r="H2838" s="2">
        <v>45052.808333333334</v>
      </c>
      <c r="I2838" t="s">
        <v>29</v>
      </c>
      <c r="Z2838">
        <v>55234</v>
      </c>
    </row>
    <row r="2839" spans="1:26" x14ac:dyDescent="0.25">
      <c r="A2839" t="s">
        <v>1256</v>
      </c>
      <c r="B2839" t="s">
        <v>26</v>
      </c>
      <c r="C2839" t="s">
        <v>27</v>
      </c>
      <c r="H2839" s="2">
        <v>45052.748611111114</v>
      </c>
      <c r="I2839" t="s">
        <v>294</v>
      </c>
      <c r="Z2839">
        <v>55229</v>
      </c>
    </row>
    <row r="2840" spans="1:26" x14ac:dyDescent="0.25">
      <c r="A2840" t="s">
        <v>712</v>
      </c>
      <c r="B2840" t="s">
        <v>26</v>
      </c>
      <c r="C2840" t="s">
        <v>27</v>
      </c>
      <c r="H2840" s="2">
        <v>45052.537499999999</v>
      </c>
      <c r="I2840" t="s">
        <v>29</v>
      </c>
      <c r="Z2840">
        <v>55200</v>
      </c>
    </row>
    <row r="2841" spans="1:26" x14ac:dyDescent="0.25">
      <c r="A2841" t="s">
        <v>3356</v>
      </c>
      <c r="B2841" t="s">
        <v>26</v>
      </c>
      <c r="C2841" t="s">
        <v>27</v>
      </c>
      <c r="H2841" s="2">
        <v>45052.517361111109</v>
      </c>
      <c r="I2841" t="s">
        <v>226</v>
      </c>
      <c r="Z2841">
        <v>55196</v>
      </c>
    </row>
    <row r="2842" spans="1:26" x14ac:dyDescent="0.25">
      <c r="A2842" t="s">
        <v>3357</v>
      </c>
      <c r="B2842" t="s">
        <v>26</v>
      </c>
      <c r="C2842" t="s">
        <v>27</v>
      </c>
      <c r="H2842" s="2">
        <v>45052.465277777781</v>
      </c>
      <c r="I2842" t="s">
        <v>294</v>
      </c>
      <c r="Z2842">
        <v>55188</v>
      </c>
    </row>
    <row r="2843" spans="1:26" x14ac:dyDescent="0.25">
      <c r="A2843" t="s">
        <v>3358</v>
      </c>
      <c r="B2843" t="s">
        <v>26</v>
      </c>
      <c r="C2843" t="s">
        <v>27</v>
      </c>
      <c r="H2843" s="2">
        <v>45051.586805555555</v>
      </c>
      <c r="I2843" t="s">
        <v>294</v>
      </c>
      <c r="Z2843">
        <v>55137</v>
      </c>
    </row>
    <row r="2844" spans="1:26" x14ac:dyDescent="0.25">
      <c r="A2844" t="s">
        <v>712</v>
      </c>
      <c r="B2844" t="s">
        <v>26</v>
      </c>
      <c r="C2844" t="s">
        <v>27</v>
      </c>
      <c r="H2844" s="2">
        <v>45051.486805555556</v>
      </c>
      <c r="I2844" t="s">
        <v>226</v>
      </c>
      <c r="Z2844">
        <v>55119</v>
      </c>
    </row>
    <row r="2845" spans="1:26" x14ac:dyDescent="0.25">
      <c r="A2845" t="s">
        <v>3359</v>
      </c>
      <c r="B2845" t="s">
        <v>26</v>
      </c>
      <c r="C2845" t="s">
        <v>27</v>
      </c>
      <c r="H2845" s="2">
        <v>45051.38958333333</v>
      </c>
      <c r="I2845" t="s">
        <v>226</v>
      </c>
      <c r="Z2845">
        <v>55101</v>
      </c>
    </row>
    <row r="2846" spans="1:26" x14ac:dyDescent="0.25">
      <c r="A2846" t="s">
        <v>3360</v>
      </c>
      <c r="B2846" t="s">
        <v>26</v>
      </c>
      <c r="C2846" t="s">
        <v>27</v>
      </c>
      <c r="H2846" s="2">
        <v>45050.511805555558</v>
      </c>
      <c r="I2846" t="s">
        <v>227</v>
      </c>
      <c r="Z2846">
        <v>55047</v>
      </c>
    </row>
    <row r="2847" spans="1:26" x14ac:dyDescent="0.25">
      <c r="A2847" t="s">
        <v>3361</v>
      </c>
      <c r="B2847" t="s">
        <v>26</v>
      </c>
      <c r="C2847" t="s">
        <v>27</v>
      </c>
      <c r="H2847" s="2">
        <v>45050.416666666664</v>
      </c>
      <c r="I2847" t="s">
        <v>310</v>
      </c>
      <c r="Z2847">
        <v>55028</v>
      </c>
    </row>
    <row r="2848" spans="1:26" x14ac:dyDescent="0.25">
      <c r="A2848" t="s">
        <v>3362</v>
      </c>
      <c r="B2848" t="s">
        <v>46</v>
      </c>
      <c r="C2848" t="s">
        <v>27</v>
      </c>
      <c r="E2848" t="s">
        <v>3363</v>
      </c>
      <c r="G2848" t="s">
        <v>3364</v>
      </c>
      <c r="H2848" s="2">
        <v>45050.40902777778</v>
      </c>
      <c r="I2848" t="s">
        <v>227</v>
      </c>
      <c r="K2848" t="s">
        <v>30</v>
      </c>
      <c r="L2848" t="s">
        <v>31</v>
      </c>
      <c r="M2848">
        <v>67130164</v>
      </c>
      <c r="N2848">
        <v>12403825921</v>
      </c>
      <c r="O2848" t="s">
        <v>2599</v>
      </c>
      <c r="Z2848">
        <v>55025</v>
      </c>
    </row>
    <row r="2849" spans="1:26" x14ac:dyDescent="0.25">
      <c r="A2849" t="s">
        <v>3365</v>
      </c>
      <c r="B2849" t="s">
        <v>26</v>
      </c>
      <c r="C2849" t="s">
        <v>27</v>
      </c>
      <c r="H2849" s="2">
        <v>45050.394444444442</v>
      </c>
      <c r="I2849" t="s">
        <v>227</v>
      </c>
      <c r="Z2849">
        <v>55022</v>
      </c>
    </row>
    <row r="2850" spans="1:26" x14ac:dyDescent="0.25">
      <c r="A2850" t="s">
        <v>3350</v>
      </c>
      <c r="B2850" t="s">
        <v>26</v>
      </c>
      <c r="C2850" t="s">
        <v>27</v>
      </c>
      <c r="H2850" s="2">
        <v>45050.382638888892</v>
      </c>
      <c r="I2850" t="s">
        <v>226</v>
      </c>
      <c r="Z2850">
        <v>55018</v>
      </c>
    </row>
    <row r="2851" spans="1:26" x14ac:dyDescent="0.25">
      <c r="A2851" t="s">
        <v>3366</v>
      </c>
      <c r="B2851" t="s">
        <v>26</v>
      </c>
      <c r="C2851" t="s">
        <v>27</v>
      </c>
      <c r="H2851" s="2">
        <v>45050.377083333333</v>
      </c>
      <c r="I2851" t="s">
        <v>227</v>
      </c>
      <c r="Z2851">
        <v>55016</v>
      </c>
    </row>
    <row r="2852" spans="1:26" x14ac:dyDescent="0.25">
      <c r="A2852" t="s">
        <v>102</v>
      </c>
      <c r="B2852" t="s">
        <v>77</v>
      </c>
      <c r="C2852" t="s">
        <v>27</v>
      </c>
      <c r="E2852" t="s">
        <v>3367</v>
      </c>
      <c r="H2852" s="2">
        <v>45050.354861111111</v>
      </c>
      <c r="I2852" t="s">
        <v>226</v>
      </c>
      <c r="K2852" t="s">
        <v>30</v>
      </c>
      <c r="L2852" t="s">
        <v>31</v>
      </c>
      <c r="M2852">
        <v>55887024</v>
      </c>
      <c r="N2852">
        <v>9754613603</v>
      </c>
      <c r="O2852" t="s">
        <v>3368</v>
      </c>
      <c r="Z2852">
        <v>55012</v>
      </c>
    </row>
    <row r="2853" spans="1:26" x14ac:dyDescent="0.25">
      <c r="A2853" t="s">
        <v>712</v>
      </c>
      <c r="B2853" t="s">
        <v>26</v>
      </c>
      <c r="C2853" t="s">
        <v>27</v>
      </c>
      <c r="H2853" s="2">
        <v>45049.654166666667</v>
      </c>
      <c r="I2853" t="s">
        <v>29</v>
      </c>
      <c r="Z2853">
        <v>54991</v>
      </c>
    </row>
    <row r="2854" spans="1:26" x14ac:dyDescent="0.25">
      <c r="A2854" t="s">
        <v>712</v>
      </c>
      <c r="B2854" t="s">
        <v>26</v>
      </c>
      <c r="C2854" t="s">
        <v>27</v>
      </c>
      <c r="H2854" s="2">
        <v>45049.584027777775</v>
      </c>
      <c r="I2854" t="s">
        <v>29</v>
      </c>
      <c r="Z2854">
        <v>54971</v>
      </c>
    </row>
    <row r="2855" spans="1:26" x14ac:dyDescent="0.25">
      <c r="A2855" t="s">
        <v>3369</v>
      </c>
      <c r="B2855" t="s">
        <v>26</v>
      </c>
      <c r="C2855" t="s">
        <v>27</v>
      </c>
      <c r="H2855" s="2">
        <v>45049.522916666669</v>
      </c>
      <c r="I2855" t="s">
        <v>306</v>
      </c>
      <c r="Z2855">
        <v>54963</v>
      </c>
    </row>
    <row r="2856" spans="1:26" x14ac:dyDescent="0.25">
      <c r="A2856" t="s">
        <v>712</v>
      </c>
      <c r="B2856" t="s">
        <v>26</v>
      </c>
      <c r="C2856" t="s">
        <v>27</v>
      </c>
      <c r="H2856" s="2">
        <v>45049.472222222219</v>
      </c>
      <c r="I2856" t="s">
        <v>29</v>
      </c>
      <c r="Z2856">
        <v>54952</v>
      </c>
    </row>
    <row r="2857" spans="1:26" x14ac:dyDescent="0.25">
      <c r="A2857" t="s">
        <v>3370</v>
      </c>
      <c r="B2857" t="s">
        <v>26</v>
      </c>
      <c r="C2857" t="s">
        <v>27</v>
      </c>
      <c r="H2857" s="2">
        <v>45049.46597222222</v>
      </c>
      <c r="I2857" t="s">
        <v>29</v>
      </c>
      <c r="Z2857">
        <v>54951</v>
      </c>
    </row>
    <row r="2858" spans="1:26" x14ac:dyDescent="0.25">
      <c r="A2858" t="s">
        <v>712</v>
      </c>
      <c r="B2858" t="s">
        <v>26</v>
      </c>
      <c r="C2858" t="s">
        <v>27</v>
      </c>
      <c r="H2858" s="2">
        <v>45049.457638888889</v>
      </c>
      <c r="I2858" t="s">
        <v>29</v>
      </c>
      <c r="Z2858">
        <v>54949</v>
      </c>
    </row>
    <row r="2859" spans="1:26" x14ac:dyDescent="0.25">
      <c r="A2859" t="s">
        <v>712</v>
      </c>
      <c r="B2859" t="s">
        <v>26</v>
      </c>
      <c r="C2859" t="s">
        <v>27</v>
      </c>
      <c r="E2859" t="s">
        <v>3371</v>
      </c>
      <c r="H2859" s="2">
        <v>45048.714583333334</v>
      </c>
      <c r="I2859" t="s">
        <v>29</v>
      </c>
      <c r="Z2859">
        <v>54925</v>
      </c>
    </row>
    <row r="2860" spans="1:26" x14ac:dyDescent="0.25">
      <c r="A2860" t="s">
        <v>3372</v>
      </c>
      <c r="B2860" t="s">
        <v>26</v>
      </c>
      <c r="C2860" t="s">
        <v>27</v>
      </c>
      <c r="H2860" s="2">
        <v>45048.674305555556</v>
      </c>
      <c r="I2860" t="s">
        <v>294</v>
      </c>
      <c r="Z2860">
        <v>54918</v>
      </c>
    </row>
    <row r="2861" spans="1:26" x14ac:dyDescent="0.25">
      <c r="A2861" t="s">
        <v>3373</v>
      </c>
      <c r="B2861" t="s">
        <v>26</v>
      </c>
      <c r="C2861" t="s">
        <v>27</v>
      </c>
      <c r="H2861" s="2">
        <v>45048.546527777777</v>
      </c>
      <c r="I2861" t="s">
        <v>294</v>
      </c>
      <c r="Z2861">
        <v>54891</v>
      </c>
    </row>
    <row r="2862" spans="1:26" x14ac:dyDescent="0.25">
      <c r="A2862" t="s">
        <v>3374</v>
      </c>
      <c r="B2862" t="s">
        <v>26</v>
      </c>
      <c r="C2862" t="s">
        <v>27</v>
      </c>
      <c r="H2862" s="2">
        <v>45048.492361111108</v>
      </c>
      <c r="I2862" t="s">
        <v>310</v>
      </c>
      <c r="Z2862">
        <v>54883</v>
      </c>
    </row>
    <row r="2863" spans="1:26" x14ac:dyDescent="0.25">
      <c r="A2863" t="s">
        <v>3375</v>
      </c>
      <c r="B2863" t="s">
        <v>26</v>
      </c>
      <c r="C2863" t="s">
        <v>27</v>
      </c>
      <c r="H2863" s="2">
        <v>45048.488888888889</v>
      </c>
      <c r="I2863" t="s">
        <v>29</v>
      </c>
      <c r="Z2863">
        <v>54880</v>
      </c>
    </row>
    <row r="2864" spans="1:26" x14ac:dyDescent="0.25">
      <c r="A2864" t="s">
        <v>3376</v>
      </c>
      <c r="B2864" t="s">
        <v>26</v>
      </c>
      <c r="C2864" t="s">
        <v>27</v>
      </c>
      <c r="H2864" s="2">
        <v>45048.476388888892</v>
      </c>
      <c r="I2864" t="s">
        <v>29</v>
      </c>
      <c r="Z2864">
        <v>54877</v>
      </c>
    </row>
    <row r="2865" spans="1:26" x14ac:dyDescent="0.25">
      <c r="A2865" t="s">
        <v>712</v>
      </c>
      <c r="B2865" t="s">
        <v>26</v>
      </c>
      <c r="C2865" t="s">
        <v>27</v>
      </c>
      <c r="H2865" s="2">
        <v>45047.498611111114</v>
      </c>
      <c r="I2865" t="s">
        <v>29</v>
      </c>
      <c r="Z2865">
        <v>54813</v>
      </c>
    </row>
    <row r="2866" spans="1:26" x14ac:dyDescent="0.25">
      <c r="A2866" t="s">
        <v>3377</v>
      </c>
      <c r="B2866" t="s">
        <v>164</v>
      </c>
      <c r="C2866" t="s">
        <v>27</v>
      </c>
      <c r="E2866" t="s">
        <v>165</v>
      </c>
      <c r="H2866" s="2">
        <v>45047.488194444442</v>
      </c>
      <c r="I2866" t="s">
        <v>29</v>
      </c>
      <c r="Z2866">
        <v>54809</v>
      </c>
    </row>
    <row r="2867" spans="1:26" x14ac:dyDescent="0.25">
      <c r="A2867" t="s">
        <v>92</v>
      </c>
      <c r="B2867" t="s">
        <v>26</v>
      </c>
      <c r="C2867" t="s">
        <v>27</v>
      </c>
      <c r="H2867" s="2">
        <v>45046.445833333331</v>
      </c>
      <c r="I2867" t="s">
        <v>29</v>
      </c>
      <c r="Z2867">
        <v>54730</v>
      </c>
    </row>
    <row r="2868" spans="1:26" x14ac:dyDescent="0.25">
      <c r="A2868" t="s">
        <v>361</v>
      </c>
      <c r="B2868" t="s">
        <v>26</v>
      </c>
      <c r="C2868" t="s">
        <v>27</v>
      </c>
      <c r="H2868" s="2">
        <v>45044.693055555559</v>
      </c>
      <c r="I2868" t="s">
        <v>227</v>
      </c>
      <c r="Z2868">
        <v>54607</v>
      </c>
    </row>
    <row r="2869" spans="1:26" x14ac:dyDescent="0.25">
      <c r="A2869" t="s">
        <v>3378</v>
      </c>
      <c r="B2869" t="s">
        <v>26</v>
      </c>
      <c r="C2869" t="s">
        <v>27</v>
      </c>
      <c r="H2869" s="2">
        <v>45044.554166666669</v>
      </c>
      <c r="I2869" t="s">
        <v>226</v>
      </c>
      <c r="Z2869">
        <v>54582</v>
      </c>
    </row>
    <row r="2870" spans="1:26" x14ac:dyDescent="0.25">
      <c r="A2870" t="s">
        <v>3379</v>
      </c>
      <c r="B2870" t="s">
        <v>26</v>
      </c>
      <c r="C2870" t="s">
        <v>27</v>
      </c>
      <c r="H2870" s="2">
        <v>45044.529166666667</v>
      </c>
      <c r="I2870" t="s">
        <v>226</v>
      </c>
      <c r="Z2870">
        <v>54575</v>
      </c>
    </row>
    <row r="2871" spans="1:26" x14ac:dyDescent="0.25">
      <c r="A2871" t="s">
        <v>3380</v>
      </c>
      <c r="B2871" t="s">
        <v>26</v>
      </c>
      <c r="C2871" t="s">
        <v>27</v>
      </c>
      <c r="H2871" s="2">
        <v>45044.395833333336</v>
      </c>
      <c r="I2871" t="s">
        <v>226</v>
      </c>
      <c r="Z2871">
        <v>54543</v>
      </c>
    </row>
    <row r="2872" spans="1:26" x14ac:dyDescent="0.25">
      <c r="A2872" t="s">
        <v>3381</v>
      </c>
      <c r="B2872" t="s">
        <v>26</v>
      </c>
      <c r="C2872" t="s">
        <v>27</v>
      </c>
      <c r="H2872" s="2">
        <v>45043.646527777775</v>
      </c>
      <c r="I2872" t="s">
        <v>227</v>
      </c>
      <c r="Z2872">
        <v>54492</v>
      </c>
    </row>
    <row r="2873" spans="1:26" x14ac:dyDescent="0.25">
      <c r="A2873" t="s">
        <v>712</v>
      </c>
      <c r="B2873" t="s">
        <v>26</v>
      </c>
      <c r="C2873" t="s">
        <v>27</v>
      </c>
      <c r="H2873" s="2">
        <v>45043.6</v>
      </c>
      <c r="I2873" t="s">
        <v>29</v>
      </c>
      <c r="Z2873">
        <v>54482</v>
      </c>
    </row>
    <row r="2874" spans="1:26" x14ac:dyDescent="0.25">
      <c r="A2874" t="s">
        <v>3382</v>
      </c>
      <c r="B2874" t="s">
        <v>26</v>
      </c>
      <c r="C2874" t="s">
        <v>27</v>
      </c>
      <c r="H2874" s="2">
        <v>45043.552083333336</v>
      </c>
      <c r="I2874" t="s">
        <v>227</v>
      </c>
      <c r="Z2874">
        <v>54467</v>
      </c>
    </row>
    <row r="2875" spans="1:26" x14ac:dyDescent="0.25">
      <c r="A2875" t="s">
        <v>3383</v>
      </c>
      <c r="B2875" t="s">
        <v>77</v>
      </c>
      <c r="C2875" t="s">
        <v>27</v>
      </c>
      <c r="E2875" t="s">
        <v>3384</v>
      </c>
      <c r="H2875" s="2">
        <v>45042.754166666666</v>
      </c>
      <c r="I2875" t="s">
        <v>29</v>
      </c>
      <c r="K2875" t="s">
        <v>30</v>
      </c>
      <c r="L2875" t="s">
        <v>31</v>
      </c>
      <c r="M2875">
        <v>67130164</v>
      </c>
      <c r="N2875">
        <v>12403825922</v>
      </c>
      <c r="O2875" t="s">
        <v>1054</v>
      </c>
      <c r="Z2875">
        <v>54409</v>
      </c>
    </row>
    <row r="2876" spans="1:26" x14ac:dyDescent="0.25">
      <c r="A2876" t="s">
        <v>3385</v>
      </c>
      <c r="B2876" t="s">
        <v>26</v>
      </c>
      <c r="C2876" t="s">
        <v>27</v>
      </c>
      <c r="H2876" s="2">
        <v>45042.65902777778</v>
      </c>
      <c r="I2876" t="s">
        <v>29</v>
      </c>
      <c r="Z2876">
        <v>54396</v>
      </c>
    </row>
    <row r="2877" spans="1:26" x14ac:dyDescent="0.25">
      <c r="A2877" t="s">
        <v>3386</v>
      </c>
      <c r="B2877" t="s">
        <v>46</v>
      </c>
      <c r="C2877" t="s">
        <v>27</v>
      </c>
      <c r="E2877" t="s">
        <v>76</v>
      </c>
      <c r="G2877" t="s">
        <v>3387</v>
      </c>
      <c r="H2877" s="2">
        <v>45042.504166666666</v>
      </c>
      <c r="I2877" t="s">
        <v>227</v>
      </c>
      <c r="Z2877">
        <v>54369</v>
      </c>
    </row>
    <row r="2878" spans="1:26" x14ac:dyDescent="0.25">
      <c r="A2878" t="s">
        <v>204</v>
      </c>
      <c r="B2878" t="s">
        <v>164</v>
      </c>
      <c r="C2878" t="s">
        <v>27</v>
      </c>
      <c r="E2878" t="s">
        <v>53</v>
      </c>
      <c r="H2878" s="2">
        <v>45042.422222222223</v>
      </c>
      <c r="I2878" t="s">
        <v>227</v>
      </c>
      <c r="Z2878">
        <v>54352</v>
      </c>
    </row>
    <row r="2879" spans="1:26" x14ac:dyDescent="0.25">
      <c r="A2879" t="s">
        <v>712</v>
      </c>
      <c r="B2879" t="s">
        <v>26</v>
      </c>
      <c r="C2879" t="s">
        <v>27</v>
      </c>
      <c r="H2879" s="2">
        <v>45042.394444444442</v>
      </c>
      <c r="I2879" t="s">
        <v>29</v>
      </c>
      <c r="Z2879">
        <v>54348</v>
      </c>
    </row>
    <row r="2880" spans="1:26" x14ac:dyDescent="0.25">
      <c r="A2880" t="s">
        <v>3388</v>
      </c>
      <c r="B2880" t="s">
        <v>26</v>
      </c>
      <c r="C2880" t="s">
        <v>27</v>
      </c>
      <c r="H2880" s="2">
        <v>45041.773611111108</v>
      </c>
      <c r="I2880" t="s">
        <v>29</v>
      </c>
      <c r="Z2880">
        <v>54334</v>
      </c>
    </row>
    <row r="2881" spans="1:26" x14ac:dyDescent="0.25">
      <c r="A2881" t="s">
        <v>3389</v>
      </c>
      <c r="B2881" t="s">
        <v>26</v>
      </c>
      <c r="C2881" t="s">
        <v>27</v>
      </c>
      <c r="H2881" s="2">
        <v>45041.741666666669</v>
      </c>
      <c r="I2881" t="s">
        <v>294</v>
      </c>
      <c r="Z2881">
        <v>54330</v>
      </c>
    </row>
    <row r="2882" spans="1:26" x14ac:dyDescent="0.25">
      <c r="A2882" t="s">
        <v>3390</v>
      </c>
      <c r="B2882" t="s">
        <v>26</v>
      </c>
      <c r="C2882" t="s">
        <v>27</v>
      </c>
      <c r="H2882" s="2">
        <v>45041.709027777775</v>
      </c>
      <c r="I2882" t="s">
        <v>226</v>
      </c>
      <c r="Z2882">
        <v>54324</v>
      </c>
    </row>
    <row r="2883" spans="1:26" x14ac:dyDescent="0.25">
      <c r="A2883" t="s">
        <v>3391</v>
      </c>
      <c r="B2883" t="s">
        <v>26</v>
      </c>
      <c r="C2883" t="s">
        <v>27</v>
      </c>
      <c r="H2883" s="2">
        <v>45041.661805555559</v>
      </c>
      <c r="I2883" t="s">
        <v>226</v>
      </c>
      <c r="Z2883">
        <v>54315</v>
      </c>
    </row>
    <row r="2884" spans="1:26" x14ac:dyDescent="0.25">
      <c r="A2884" t="s">
        <v>3338</v>
      </c>
      <c r="B2884" t="s">
        <v>26</v>
      </c>
      <c r="C2884" t="s">
        <v>27</v>
      </c>
      <c r="H2884" s="2">
        <v>45041.395833333336</v>
      </c>
      <c r="I2884" t="s">
        <v>226</v>
      </c>
      <c r="Z2884">
        <v>54267</v>
      </c>
    </row>
    <row r="2885" spans="1:26" x14ac:dyDescent="0.25">
      <c r="A2885" t="s">
        <v>3392</v>
      </c>
      <c r="B2885" t="s">
        <v>185</v>
      </c>
      <c r="C2885" t="s">
        <v>27</v>
      </c>
      <c r="E2885" t="s">
        <v>84</v>
      </c>
      <c r="G2885" t="s">
        <v>171</v>
      </c>
      <c r="H2885" s="2">
        <v>45040.945138888892</v>
      </c>
      <c r="I2885" t="s">
        <v>29</v>
      </c>
      <c r="Z2885">
        <v>54262</v>
      </c>
    </row>
    <row r="2886" spans="1:26" x14ac:dyDescent="0.25">
      <c r="A2886" t="s">
        <v>3393</v>
      </c>
      <c r="B2886" t="s">
        <v>164</v>
      </c>
      <c r="C2886" t="s">
        <v>27</v>
      </c>
      <c r="E2886" t="s">
        <v>45</v>
      </c>
      <c r="H2886" s="2">
        <v>45040.84097222222</v>
      </c>
      <c r="I2886" t="s">
        <v>29</v>
      </c>
      <c r="Z2886">
        <v>54260</v>
      </c>
    </row>
    <row r="2887" spans="1:26" x14ac:dyDescent="0.25">
      <c r="A2887" t="s">
        <v>712</v>
      </c>
      <c r="B2887" t="s">
        <v>26</v>
      </c>
      <c r="C2887" t="s">
        <v>27</v>
      </c>
      <c r="H2887" s="2">
        <v>45040.759027777778</v>
      </c>
      <c r="I2887" t="s">
        <v>29</v>
      </c>
      <c r="Z2887">
        <v>54249</v>
      </c>
    </row>
    <row r="2888" spans="1:26" x14ac:dyDescent="0.25">
      <c r="A2888" t="s">
        <v>3394</v>
      </c>
      <c r="B2888" t="s">
        <v>26</v>
      </c>
      <c r="C2888" t="s">
        <v>27</v>
      </c>
      <c r="H2888" s="2">
        <v>45040.754861111112</v>
      </c>
      <c r="I2888" t="s">
        <v>29</v>
      </c>
      <c r="Z2888">
        <v>54248</v>
      </c>
    </row>
    <row r="2889" spans="1:26" x14ac:dyDescent="0.25">
      <c r="A2889" t="s">
        <v>2043</v>
      </c>
      <c r="B2889" t="s">
        <v>46</v>
      </c>
      <c r="C2889" t="s">
        <v>27</v>
      </c>
      <c r="E2889" t="s">
        <v>3395</v>
      </c>
      <c r="G2889" t="s">
        <v>3396</v>
      </c>
      <c r="H2889" s="2">
        <v>45040.668749999997</v>
      </c>
      <c r="I2889" t="s">
        <v>29</v>
      </c>
      <c r="Z2889">
        <v>54233</v>
      </c>
    </row>
    <row r="2890" spans="1:26" x14ac:dyDescent="0.25">
      <c r="A2890" t="s">
        <v>109</v>
      </c>
      <c r="C2890" t="s">
        <v>27</v>
      </c>
      <c r="E2890" t="s">
        <v>3228</v>
      </c>
      <c r="H2890" s="2">
        <v>45039.679861111108</v>
      </c>
      <c r="I2890" t="s">
        <v>226</v>
      </c>
      <c r="Z2890">
        <v>54155</v>
      </c>
    </row>
    <row r="2891" spans="1:26" x14ac:dyDescent="0.25">
      <c r="A2891" t="s">
        <v>3397</v>
      </c>
      <c r="B2891" t="s">
        <v>26</v>
      </c>
      <c r="C2891" t="s">
        <v>27</v>
      </c>
      <c r="E2891" t="s">
        <v>203</v>
      </c>
      <c r="G2891" t="s">
        <v>3398</v>
      </c>
      <c r="H2891" s="2">
        <v>45038.814583333333</v>
      </c>
      <c r="I2891" t="s">
        <v>226</v>
      </c>
      <c r="Z2891">
        <v>54108</v>
      </c>
    </row>
    <row r="2892" spans="1:26" x14ac:dyDescent="0.25">
      <c r="A2892" t="s">
        <v>3399</v>
      </c>
      <c r="B2892" t="s">
        <v>26</v>
      </c>
      <c r="C2892" t="s">
        <v>27</v>
      </c>
      <c r="H2892" s="2">
        <v>45038.69027777778</v>
      </c>
      <c r="I2892" t="s">
        <v>227</v>
      </c>
      <c r="Z2892">
        <v>54101</v>
      </c>
    </row>
    <row r="2893" spans="1:26" x14ac:dyDescent="0.25">
      <c r="A2893" t="s">
        <v>97</v>
      </c>
      <c r="C2893" t="s">
        <v>27</v>
      </c>
      <c r="E2893" t="s">
        <v>218</v>
      </c>
      <c r="H2893" s="2">
        <v>45038.65902777778</v>
      </c>
      <c r="I2893" t="s">
        <v>226</v>
      </c>
      <c r="Z2893">
        <v>54097</v>
      </c>
    </row>
    <row r="2894" spans="1:26" x14ac:dyDescent="0.25">
      <c r="A2894" t="s">
        <v>3400</v>
      </c>
      <c r="B2894" t="s">
        <v>26</v>
      </c>
      <c r="C2894" t="s">
        <v>27</v>
      </c>
      <c r="H2894" s="2">
        <v>45038.566666666666</v>
      </c>
      <c r="I2894" t="s">
        <v>227</v>
      </c>
      <c r="Z2894">
        <v>54082</v>
      </c>
    </row>
    <row r="2895" spans="1:26" x14ac:dyDescent="0.25">
      <c r="A2895" t="s">
        <v>3401</v>
      </c>
      <c r="B2895" t="s">
        <v>26</v>
      </c>
      <c r="C2895" t="s">
        <v>27</v>
      </c>
      <c r="H2895" s="2">
        <v>45038.392361111109</v>
      </c>
      <c r="I2895" t="s">
        <v>226</v>
      </c>
      <c r="Z2895">
        <v>54060</v>
      </c>
    </row>
    <row r="2896" spans="1:26" x14ac:dyDescent="0.25">
      <c r="A2896" t="s">
        <v>3402</v>
      </c>
      <c r="B2896" t="s">
        <v>26</v>
      </c>
      <c r="C2896" t="s">
        <v>27</v>
      </c>
      <c r="H2896" s="2">
        <v>45037.804166666669</v>
      </c>
      <c r="I2896" t="s">
        <v>306</v>
      </c>
      <c r="Z2896">
        <v>54045</v>
      </c>
    </row>
    <row r="2897" spans="1:26" x14ac:dyDescent="0.25">
      <c r="A2897" t="s">
        <v>3356</v>
      </c>
      <c r="B2897" t="s">
        <v>26</v>
      </c>
      <c r="C2897" t="s">
        <v>27</v>
      </c>
      <c r="H2897" s="2">
        <v>45037.678472222222</v>
      </c>
      <c r="I2897" t="s">
        <v>227</v>
      </c>
      <c r="Z2897">
        <v>54033</v>
      </c>
    </row>
    <row r="2898" spans="1:26" x14ac:dyDescent="0.25">
      <c r="A2898" t="s">
        <v>3403</v>
      </c>
      <c r="B2898" t="s">
        <v>150</v>
      </c>
      <c r="C2898" t="s">
        <v>27</v>
      </c>
      <c r="E2898" t="s">
        <v>3404</v>
      </c>
      <c r="G2898" t="s">
        <v>3405</v>
      </c>
      <c r="H2898" s="2">
        <v>45037.647916666669</v>
      </c>
      <c r="I2898" t="s">
        <v>227</v>
      </c>
      <c r="Z2898">
        <v>54028</v>
      </c>
    </row>
    <row r="2899" spans="1:26" x14ac:dyDescent="0.25">
      <c r="A2899" t="s">
        <v>3406</v>
      </c>
      <c r="B2899" t="s">
        <v>26</v>
      </c>
      <c r="C2899" t="s">
        <v>27</v>
      </c>
      <c r="H2899" s="2">
        <v>45037.637499999997</v>
      </c>
      <c r="I2899" t="s">
        <v>153</v>
      </c>
      <c r="Z2899">
        <v>54026</v>
      </c>
    </row>
    <row r="2900" spans="1:26" x14ac:dyDescent="0.25">
      <c r="A2900" t="s">
        <v>3360</v>
      </c>
      <c r="B2900" t="s">
        <v>26</v>
      </c>
      <c r="C2900" t="s">
        <v>27</v>
      </c>
      <c r="H2900" s="2">
        <v>45036.893750000003</v>
      </c>
      <c r="I2900" t="s">
        <v>29</v>
      </c>
      <c r="Z2900">
        <v>53980</v>
      </c>
    </row>
    <row r="2901" spans="1:26" x14ac:dyDescent="0.25">
      <c r="A2901" t="s">
        <v>712</v>
      </c>
      <c r="B2901" t="s">
        <v>26</v>
      </c>
      <c r="C2901" t="s">
        <v>27</v>
      </c>
      <c r="H2901" s="2">
        <v>45036.743750000001</v>
      </c>
      <c r="I2901" t="s">
        <v>29</v>
      </c>
      <c r="Z2901">
        <v>53964</v>
      </c>
    </row>
    <row r="2902" spans="1:26" x14ac:dyDescent="0.25">
      <c r="A2902" t="s">
        <v>320</v>
      </c>
      <c r="B2902" t="s">
        <v>164</v>
      </c>
      <c r="C2902" t="s">
        <v>27</v>
      </c>
      <c r="E2902" t="s">
        <v>3224</v>
      </c>
      <c r="H2902" s="2">
        <v>45036.563194444447</v>
      </c>
      <c r="I2902" t="s">
        <v>227</v>
      </c>
      <c r="Z2902">
        <v>53944</v>
      </c>
    </row>
    <row r="2903" spans="1:26" x14ac:dyDescent="0.25">
      <c r="A2903" t="s">
        <v>3407</v>
      </c>
      <c r="B2903" t="s">
        <v>26</v>
      </c>
      <c r="C2903" t="s">
        <v>27</v>
      </c>
      <c r="H2903" s="2">
        <v>45036.470138888886</v>
      </c>
      <c r="I2903" t="s">
        <v>294</v>
      </c>
      <c r="Z2903">
        <v>53924</v>
      </c>
    </row>
    <row r="2904" spans="1:26" x14ac:dyDescent="0.25">
      <c r="A2904" t="s">
        <v>3408</v>
      </c>
      <c r="B2904" t="s">
        <v>77</v>
      </c>
      <c r="C2904" t="s">
        <v>27</v>
      </c>
      <c r="E2904" t="s">
        <v>3228</v>
      </c>
      <c r="H2904" s="2">
        <v>45036.40625</v>
      </c>
      <c r="I2904" t="s">
        <v>294</v>
      </c>
      <c r="Z2904">
        <v>53909</v>
      </c>
    </row>
    <row r="2905" spans="1:26" x14ac:dyDescent="0.25">
      <c r="A2905" t="s">
        <v>712</v>
      </c>
      <c r="C2905" t="s">
        <v>27</v>
      </c>
      <c r="E2905" t="s">
        <v>70</v>
      </c>
      <c r="H2905" s="2">
        <v>45035.75</v>
      </c>
      <c r="I2905" t="s">
        <v>29</v>
      </c>
      <c r="Z2905">
        <v>53880</v>
      </c>
    </row>
    <row r="2906" spans="1:26" x14ac:dyDescent="0.25">
      <c r="A2906" t="s">
        <v>712</v>
      </c>
      <c r="C2906" t="s">
        <v>27</v>
      </c>
      <c r="E2906" t="s">
        <v>128</v>
      </c>
      <c r="H2906" s="2">
        <v>45035.431250000001</v>
      </c>
      <c r="I2906" t="s">
        <v>29</v>
      </c>
      <c r="Z2906">
        <v>53838</v>
      </c>
    </row>
    <row r="2907" spans="1:26" x14ac:dyDescent="0.25">
      <c r="A2907" t="s">
        <v>3409</v>
      </c>
      <c r="B2907" t="s">
        <v>26</v>
      </c>
      <c r="C2907" t="s">
        <v>27</v>
      </c>
      <c r="H2907" s="2">
        <v>45034.71875</v>
      </c>
      <c r="I2907" t="s">
        <v>29</v>
      </c>
      <c r="Z2907">
        <v>53813</v>
      </c>
    </row>
    <row r="2908" spans="1:26" x14ac:dyDescent="0.25">
      <c r="A2908" t="s">
        <v>3410</v>
      </c>
      <c r="B2908" t="s">
        <v>26</v>
      </c>
      <c r="C2908" t="s">
        <v>27</v>
      </c>
      <c r="H2908" s="2">
        <v>45034.605555555558</v>
      </c>
      <c r="I2908" t="s">
        <v>153</v>
      </c>
      <c r="Z2908">
        <v>53790</v>
      </c>
    </row>
    <row r="2909" spans="1:26" x14ac:dyDescent="0.25">
      <c r="A2909" t="s">
        <v>3411</v>
      </c>
      <c r="B2909" t="s">
        <v>164</v>
      </c>
      <c r="C2909" t="s">
        <v>27</v>
      </c>
      <c r="E2909" t="s">
        <v>80</v>
      </c>
      <c r="H2909" s="2">
        <v>45034.568749999999</v>
      </c>
      <c r="I2909" t="s">
        <v>248</v>
      </c>
      <c r="Z2909">
        <v>53786</v>
      </c>
    </row>
    <row r="2910" spans="1:26" x14ac:dyDescent="0.25">
      <c r="A2910" t="s">
        <v>712</v>
      </c>
      <c r="B2910" t="s">
        <v>26</v>
      </c>
      <c r="C2910" t="s">
        <v>27</v>
      </c>
      <c r="H2910" s="2">
        <v>45034.567361111112</v>
      </c>
      <c r="I2910" t="s">
        <v>29</v>
      </c>
      <c r="Z2910">
        <v>53785</v>
      </c>
    </row>
    <row r="2911" spans="1:26" x14ac:dyDescent="0.25">
      <c r="A2911" t="s">
        <v>3412</v>
      </c>
      <c r="B2911" t="s">
        <v>26</v>
      </c>
      <c r="C2911" t="s">
        <v>27</v>
      </c>
      <c r="H2911" s="2">
        <v>45034.565972222219</v>
      </c>
      <c r="I2911" t="s">
        <v>153</v>
      </c>
      <c r="Z2911">
        <v>53784</v>
      </c>
    </row>
    <row r="2912" spans="1:26" x14ac:dyDescent="0.25">
      <c r="A2912" t="s">
        <v>3413</v>
      </c>
      <c r="B2912" t="s">
        <v>26</v>
      </c>
      <c r="C2912" t="s">
        <v>27</v>
      </c>
      <c r="H2912" s="2">
        <v>45034.513194444444</v>
      </c>
      <c r="I2912" t="s">
        <v>29</v>
      </c>
      <c r="Z2912">
        <v>53777</v>
      </c>
    </row>
    <row r="2913" spans="1:26" x14ac:dyDescent="0.25">
      <c r="A2913" t="s">
        <v>3414</v>
      </c>
      <c r="C2913" t="s">
        <v>27</v>
      </c>
      <c r="E2913" t="s">
        <v>45</v>
      </c>
      <c r="H2913" s="2">
        <v>45034.456250000003</v>
      </c>
      <c r="I2913" t="s">
        <v>29</v>
      </c>
      <c r="Z2913">
        <v>53766</v>
      </c>
    </row>
    <row r="2914" spans="1:26" x14ac:dyDescent="0.25">
      <c r="A2914" t="s">
        <v>3415</v>
      </c>
      <c r="B2914" t="s">
        <v>26</v>
      </c>
      <c r="C2914" t="s">
        <v>27</v>
      </c>
      <c r="H2914" s="2">
        <v>45034.438888888886</v>
      </c>
      <c r="I2914" t="s">
        <v>29</v>
      </c>
      <c r="Z2914">
        <v>53760</v>
      </c>
    </row>
    <row r="2915" spans="1:26" x14ac:dyDescent="0.25">
      <c r="A2915" t="s">
        <v>3416</v>
      </c>
      <c r="B2915" t="s">
        <v>26</v>
      </c>
      <c r="C2915" t="s">
        <v>27</v>
      </c>
      <c r="H2915" s="2">
        <v>45033.369444444441</v>
      </c>
      <c r="I2915" t="s">
        <v>306</v>
      </c>
      <c r="Z2915">
        <v>53651</v>
      </c>
    </row>
    <row r="2916" spans="1:26" x14ac:dyDescent="0.25">
      <c r="A2916" t="s">
        <v>3417</v>
      </c>
      <c r="B2916" t="s">
        <v>164</v>
      </c>
      <c r="C2916" t="s">
        <v>27</v>
      </c>
      <c r="E2916" t="s">
        <v>3418</v>
      </c>
      <c r="H2916" s="2">
        <v>45032.720138888886</v>
      </c>
      <c r="I2916" t="s">
        <v>227</v>
      </c>
      <c r="Z2916">
        <v>53640</v>
      </c>
    </row>
    <row r="2917" spans="1:26" x14ac:dyDescent="0.25">
      <c r="A2917" t="s">
        <v>3419</v>
      </c>
      <c r="B2917" t="s">
        <v>26</v>
      </c>
      <c r="C2917" t="s">
        <v>27</v>
      </c>
      <c r="H2917" s="2">
        <v>45032.718055555553</v>
      </c>
      <c r="I2917" t="s">
        <v>226</v>
      </c>
      <c r="Z2917">
        <v>53639</v>
      </c>
    </row>
    <row r="2918" spans="1:26" x14ac:dyDescent="0.25">
      <c r="A2918" t="s">
        <v>3403</v>
      </c>
      <c r="B2918" t="s">
        <v>150</v>
      </c>
      <c r="C2918" t="s">
        <v>27</v>
      </c>
      <c r="E2918" t="s">
        <v>3404</v>
      </c>
      <c r="G2918" t="s">
        <v>3405</v>
      </c>
      <c r="H2918" s="2">
        <v>45032.6875</v>
      </c>
      <c r="I2918" t="s">
        <v>227</v>
      </c>
      <c r="Z2918">
        <v>53637</v>
      </c>
    </row>
    <row r="2919" spans="1:26" x14ac:dyDescent="0.25">
      <c r="A2919" t="s">
        <v>109</v>
      </c>
      <c r="C2919" t="s">
        <v>27</v>
      </c>
      <c r="E2919" t="s">
        <v>80</v>
      </c>
      <c r="H2919" s="2">
        <v>45032.683333333334</v>
      </c>
      <c r="I2919" t="s">
        <v>227</v>
      </c>
      <c r="Z2919">
        <v>53636</v>
      </c>
    </row>
    <row r="2920" spans="1:26" x14ac:dyDescent="0.25">
      <c r="A2920" t="s">
        <v>3420</v>
      </c>
      <c r="B2920" t="s">
        <v>26</v>
      </c>
      <c r="C2920" t="s">
        <v>27</v>
      </c>
      <c r="H2920" s="2">
        <v>45032.455555555556</v>
      </c>
      <c r="I2920" t="s">
        <v>226</v>
      </c>
      <c r="Z2920">
        <v>53607</v>
      </c>
    </row>
    <row r="2921" spans="1:26" x14ac:dyDescent="0.25">
      <c r="A2921" t="s">
        <v>3421</v>
      </c>
      <c r="B2921" t="s">
        <v>26</v>
      </c>
      <c r="C2921" t="s">
        <v>27</v>
      </c>
      <c r="H2921" s="2">
        <v>45031.577777777777</v>
      </c>
      <c r="I2921" t="s">
        <v>306</v>
      </c>
      <c r="Z2921">
        <v>53567</v>
      </c>
    </row>
    <row r="2922" spans="1:26" x14ac:dyDescent="0.25">
      <c r="A2922" t="s">
        <v>92</v>
      </c>
      <c r="B2922" t="s">
        <v>26</v>
      </c>
      <c r="C2922" t="s">
        <v>27</v>
      </c>
      <c r="H2922" s="2">
        <v>45031.531944444447</v>
      </c>
      <c r="I2922" t="s">
        <v>29</v>
      </c>
      <c r="Z2922">
        <v>53561</v>
      </c>
    </row>
    <row r="2923" spans="1:26" x14ac:dyDescent="0.25">
      <c r="A2923" t="s">
        <v>368</v>
      </c>
      <c r="B2923" t="s">
        <v>26</v>
      </c>
      <c r="C2923" t="s">
        <v>27</v>
      </c>
      <c r="H2923" s="2">
        <v>45030.740972222222</v>
      </c>
      <c r="I2923" t="s">
        <v>29</v>
      </c>
      <c r="Z2923">
        <v>53528</v>
      </c>
    </row>
    <row r="2924" spans="1:26" x14ac:dyDescent="0.25">
      <c r="A2924" t="s">
        <v>3422</v>
      </c>
      <c r="B2924" t="s">
        <v>26</v>
      </c>
      <c r="C2924" t="s">
        <v>27</v>
      </c>
      <c r="E2924" t="s">
        <v>189</v>
      </c>
      <c r="G2924" t="s">
        <v>3423</v>
      </c>
      <c r="H2924" s="2">
        <v>45030.544444444444</v>
      </c>
      <c r="I2924" t="s">
        <v>227</v>
      </c>
      <c r="Z2924">
        <v>53504</v>
      </c>
    </row>
    <row r="2925" spans="1:26" x14ac:dyDescent="0.25">
      <c r="A2925" t="s">
        <v>712</v>
      </c>
      <c r="B2925" t="s">
        <v>26</v>
      </c>
      <c r="C2925" t="s">
        <v>27</v>
      </c>
      <c r="H2925" s="2">
        <v>45030.481249999997</v>
      </c>
      <c r="I2925" t="s">
        <v>29</v>
      </c>
      <c r="Z2925">
        <v>53493</v>
      </c>
    </row>
    <row r="2926" spans="1:26" x14ac:dyDescent="0.25">
      <c r="A2926" t="s">
        <v>3424</v>
      </c>
      <c r="B2926" t="s">
        <v>164</v>
      </c>
      <c r="C2926" t="s">
        <v>27</v>
      </c>
      <c r="E2926" t="s">
        <v>71</v>
      </c>
      <c r="G2926" t="s">
        <v>3425</v>
      </c>
      <c r="H2926" s="2">
        <v>45030.461111111108</v>
      </c>
      <c r="I2926" t="s">
        <v>227</v>
      </c>
      <c r="K2926" t="s">
        <v>30</v>
      </c>
      <c r="L2926" t="s">
        <v>31</v>
      </c>
      <c r="M2926">
        <v>67130164</v>
      </c>
      <c r="N2926">
        <v>12403825921</v>
      </c>
      <c r="O2926" t="s">
        <v>1672</v>
      </c>
      <c r="Z2926">
        <v>53489</v>
      </c>
    </row>
    <row r="2927" spans="1:26" x14ac:dyDescent="0.25">
      <c r="A2927" t="s">
        <v>348</v>
      </c>
      <c r="B2927" t="s">
        <v>26</v>
      </c>
      <c r="C2927" t="s">
        <v>27</v>
      </c>
      <c r="H2927" s="2">
        <v>45030.460416666669</v>
      </c>
      <c r="I2927" t="s">
        <v>186</v>
      </c>
      <c r="Z2927">
        <v>53488</v>
      </c>
    </row>
    <row r="2928" spans="1:26" x14ac:dyDescent="0.25">
      <c r="A2928" t="s">
        <v>712</v>
      </c>
      <c r="B2928" t="s">
        <v>26</v>
      </c>
      <c r="C2928" t="s">
        <v>27</v>
      </c>
      <c r="H2928" s="2">
        <v>45029.828472222223</v>
      </c>
      <c r="I2928" t="s">
        <v>29</v>
      </c>
      <c r="Z2928">
        <v>53466</v>
      </c>
    </row>
    <row r="2929" spans="1:26" x14ac:dyDescent="0.25">
      <c r="A2929" t="s">
        <v>3426</v>
      </c>
      <c r="B2929" t="s">
        <v>26</v>
      </c>
      <c r="C2929" t="s">
        <v>27</v>
      </c>
      <c r="H2929" s="2">
        <v>45029.75277777778</v>
      </c>
      <c r="I2929" t="s">
        <v>226</v>
      </c>
      <c r="Z2929">
        <v>53451</v>
      </c>
    </row>
    <row r="2930" spans="1:26" x14ac:dyDescent="0.25">
      <c r="A2930" t="s">
        <v>3427</v>
      </c>
      <c r="B2930" t="s">
        <v>26</v>
      </c>
      <c r="C2930" t="s">
        <v>27</v>
      </c>
      <c r="H2930" s="2">
        <v>45029.644444444442</v>
      </c>
      <c r="I2930" t="s">
        <v>226</v>
      </c>
      <c r="Z2930">
        <v>53435</v>
      </c>
    </row>
    <row r="2931" spans="1:26" x14ac:dyDescent="0.25">
      <c r="A2931" t="s">
        <v>3428</v>
      </c>
      <c r="B2931" t="s">
        <v>198</v>
      </c>
      <c r="C2931" t="s">
        <v>27</v>
      </c>
      <c r="E2931" t="s">
        <v>277</v>
      </c>
      <c r="H2931" s="2">
        <v>45029.460416666669</v>
      </c>
      <c r="I2931" t="s">
        <v>29</v>
      </c>
      <c r="K2931" t="s">
        <v>30</v>
      </c>
      <c r="L2931" t="s">
        <v>31</v>
      </c>
      <c r="M2931">
        <v>55887024</v>
      </c>
      <c r="N2931">
        <v>9754613612</v>
      </c>
      <c r="O2931" t="s">
        <v>3429</v>
      </c>
      <c r="Z2931">
        <v>53396</v>
      </c>
    </row>
    <row r="2932" spans="1:26" x14ac:dyDescent="0.25">
      <c r="A2932" t="s">
        <v>3430</v>
      </c>
      <c r="B2932" t="s">
        <v>26</v>
      </c>
      <c r="C2932" t="s">
        <v>27</v>
      </c>
      <c r="H2932" s="2">
        <v>45029.450694444444</v>
      </c>
      <c r="I2932" t="s">
        <v>153</v>
      </c>
      <c r="Z2932">
        <v>53392</v>
      </c>
    </row>
    <row r="2933" spans="1:26" x14ac:dyDescent="0.25">
      <c r="A2933" t="s">
        <v>3431</v>
      </c>
      <c r="B2933" t="s">
        <v>164</v>
      </c>
      <c r="C2933" t="s">
        <v>27</v>
      </c>
      <c r="E2933" t="s">
        <v>88</v>
      </c>
      <c r="H2933" s="2">
        <v>45029.429861111108</v>
      </c>
      <c r="I2933" t="s">
        <v>29</v>
      </c>
      <c r="Z2933">
        <v>53389</v>
      </c>
    </row>
    <row r="2934" spans="1:26" x14ac:dyDescent="0.25">
      <c r="A2934" t="s">
        <v>712</v>
      </c>
      <c r="B2934" t="s">
        <v>164</v>
      </c>
      <c r="C2934" t="s">
        <v>27</v>
      </c>
      <c r="E2934" t="s">
        <v>165</v>
      </c>
      <c r="G2934" t="s">
        <v>3432</v>
      </c>
      <c r="H2934" s="2">
        <v>45029.412499999999</v>
      </c>
      <c r="I2934" t="s">
        <v>29</v>
      </c>
      <c r="Z2934">
        <v>53382</v>
      </c>
    </row>
    <row r="2935" spans="1:26" x14ac:dyDescent="0.25">
      <c r="A2935" t="s">
        <v>2787</v>
      </c>
      <c r="B2935" t="s">
        <v>26</v>
      </c>
      <c r="C2935" t="s">
        <v>27</v>
      </c>
      <c r="H2935" s="2">
        <v>45029.39166666667</v>
      </c>
      <c r="I2935" t="s">
        <v>29</v>
      </c>
      <c r="Z2935">
        <v>53376</v>
      </c>
    </row>
    <row r="2936" spans="1:26" x14ac:dyDescent="0.25">
      <c r="A2936" t="s">
        <v>3433</v>
      </c>
      <c r="B2936" t="s">
        <v>26</v>
      </c>
      <c r="C2936" t="s">
        <v>27</v>
      </c>
      <c r="H2936" s="2">
        <v>45028.679166666669</v>
      </c>
      <c r="I2936" t="s">
        <v>306</v>
      </c>
      <c r="Z2936">
        <v>53352</v>
      </c>
    </row>
    <row r="2937" spans="1:26" x14ac:dyDescent="0.25">
      <c r="A2937" t="s">
        <v>3434</v>
      </c>
      <c r="B2937" t="s">
        <v>26</v>
      </c>
      <c r="C2937" t="s">
        <v>27</v>
      </c>
      <c r="H2937" s="2">
        <v>45028.59097222222</v>
      </c>
      <c r="I2937" t="s">
        <v>29</v>
      </c>
      <c r="Z2937">
        <v>53327</v>
      </c>
    </row>
    <row r="2938" spans="1:26" x14ac:dyDescent="0.25">
      <c r="A2938" t="s">
        <v>712</v>
      </c>
      <c r="B2938" t="s">
        <v>198</v>
      </c>
      <c r="C2938" t="s">
        <v>27</v>
      </c>
      <c r="E2938" t="s">
        <v>3435</v>
      </c>
      <c r="H2938" s="2">
        <v>45028.444444444445</v>
      </c>
      <c r="I2938" t="s">
        <v>29</v>
      </c>
      <c r="Z2938">
        <v>53301</v>
      </c>
    </row>
    <row r="2939" spans="1:26" x14ac:dyDescent="0.25">
      <c r="A2939" t="s">
        <v>3436</v>
      </c>
      <c r="B2939" t="s">
        <v>26</v>
      </c>
      <c r="C2939" t="s">
        <v>27</v>
      </c>
      <c r="H2939" s="2">
        <v>45028.393055555556</v>
      </c>
      <c r="I2939" t="s">
        <v>29</v>
      </c>
      <c r="Z2939">
        <v>53291</v>
      </c>
    </row>
    <row r="2940" spans="1:26" x14ac:dyDescent="0.25">
      <c r="A2940" t="s">
        <v>3437</v>
      </c>
      <c r="B2940" t="s">
        <v>26</v>
      </c>
      <c r="C2940" t="s">
        <v>305</v>
      </c>
      <c r="H2940" s="2">
        <v>45027.515972222223</v>
      </c>
      <c r="I2940" t="s">
        <v>153</v>
      </c>
      <c r="Z2940">
        <v>53222</v>
      </c>
    </row>
    <row r="2941" spans="1:26" x14ac:dyDescent="0.25">
      <c r="A2941" t="s">
        <v>3438</v>
      </c>
      <c r="B2941" t="s">
        <v>26</v>
      </c>
      <c r="C2941" t="s">
        <v>27</v>
      </c>
      <c r="H2941" s="2">
        <v>45027.4375</v>
      </c>
      <c r="I2941" t="s">
        <v>227</v>
      </c>
      <c r="Z2941">
        <v>53201</v>
      </c>
    </row>
    <row r="2942" spans="1:26" x14ac:dyDescent="0.25">
      <c r="A2942" t="s">
        <v>372</v>
      </c>
      <c r="B2942" t="s">
        <v>164</v>
      </c>
      <c r="C2942" t="s">
        <v>27</v>
      </c>
      <c r="E2942" t="s">
        <v>195</v>
      </c>
      <c r="H2942" s="2">
        <v>45027.429166666669</v>
      </c>
      <c r="I2942" t="s">
        <v>227</v>
      </c>
      <c r="K2942" t="s">
        <v>30</v>
      </c>
      <c r="L2942" t="s">
        <v>31</v>
      </c>
      <c r="M2942">
        <v>55887083</v>
      </c>
      <c r="N2942">
        <v>9754618982</v>
      </c>
      <c r="O2942" t="s">
        <v>302</v>
      </c>
      <c r="Z2942">
        <v>53200</v>
      </c>
    </row>
    <row r="2943" spans="1:26" x14ac:dyDescent="0.25">
      <c r="A2943" t="s">
        <v>3439</v>
      </c>
      <c r="B2943" t="s">
        <v>26</v>
      </c>
      <c r="C2943" t="s">
        <v>27</v>
      </c>
      <c r="H2943" s="2">
        <v>45027.40625</v>
      </c>
      <c r="I2943" t="s">
        <v>226</v>
      </c>
      <c r="Z2943">
        <v>53193</v>
      </c>
    </row>
    <row r="2944" spans="1:26" x14ac:dyDescent="0.25">
      <c r="A2944" t="s">
        <v>3440</v>
      </c>
      <c r="B2944" t="s">
        <v>164</v>
      </c>
      <c r="C2944" t="s">
        <v>27</v>
      </c>
      <c r="E2944" t="s">
        <v>3441</v>
      </c>
      <c r="H2944" s="2">
        <v>45027.295138888891</v>
      </c>
      <c r="I2944" t="s">
        <v>227</v>
      </c>
      <c r="Z2944">
        <v>53182</v>
      </c>
    </row>
    <row r="2945" spans="1:26" x14ac:dyDescent="0.25">
      <c r="A2945" t="s">
        <v>3442</v>
      </c>
      <c r="B2945" t="s">
        <v>26</v>
      </c>
      <c r="C2945" t="s">
        <v>27</v>
      </c>
      <c r="H2945" s="2">
        <v>45026.503472222219</v>
      </c>
      <c r="I2945" t="s">
        <v>226</v>
      </c>
      <c r="Z2945">
        <v>53111</v>
      </c>
    </row>
    <row r="2946" spans="1:26" x14ac:dyDescent="0.25">
      <c r="A2946" t="s">
        <v>3443</v>
      </c>
      <c r="B2946" t="s">
        <v>26</v>
      </c>
      <c r="C2946" t="s">
        <v>27</v>
      </c>
      <c r="H2946" s="2">
        <v>45025.894444444442</v>
      </c>
      <c r="I2946" t="s">
        <v>29</v>
      </c>
      <c r="Z2946">
        <v>53080</v>
      </c>
    </row>
    <row r="2947" spans="1:26" x14ac:dyDescent="0.25">
      <c r="A2947" t="s">
        <v>712</v>
      </c>
      <c r="B2947" t="s">
        <v>26</v>
      </c>
      <c r="C2947" t="s">
        <v>27</v>
      </c>
      <c r="H2947" s="2">
        <v>45025.816666666666</v>
      </c>
      <c r="I2947" t="s">
        <v>29</v>
      </c>
      <c r="Z2947">
        <v>53074</v>
      </c>
    </row>
    <row r="2948" spans="1:26" x14ac:dyDescent="0.25">
      <c r="A2948" t="s">
        <v>712</v>
      </c>
      <c r="B2948" t="s">
        <v>26</v>
      </c>
      <c r="C2948" t="s">
        <v>27</v>
      </c>
      <c r="H2948" s="2">
        <v>45025.457638888889</v>
      </c>
      <c r="I2948" t="s">
        <v>29</v>
      </c>
      <c r="Z2948">
        <v>53022</v>
      </c>
    </row>
    <row r="2949" spans="1:26" x14ac:dyDescent="0.25">
      <c r="A2949" t="s">
        <v>712</v>
      </c>
      <c r="B2949" t="s">
        <v>26</v>
      </c>
      <c r="C2949" t="s">
        <v>27</v>
      </c>
      <c r="H2949" s="2">
        <v>45025.379861111112</v>
      </c>
      <c r="I2949" t="s">
        <v>29</v>
      </c>
      <c r="Z2949">
        <v>53012</v>
      </c>
    </row>
    <row r="2950" spans="1:26" x14ac:dyDescent="0.25">
      <c r="A2950" t="s">
        <v>3444</v>
      </c>
      <c r="B2950" t="s">
        <v>26</v>
      </c>
      <c r="C2950" t="s">
        <v>27</v>
      </c>
      <c r="E2950" t="s">
        <v>3260</v>
      </c>
      <c r="H2950" s="2">
        <v>45024.850694444445</v>
      </c>
      <c r="I2950" t="s">
        <v>227</v>
      </c>
      <c r="Z2950">
        <v>53010</v>
      </c>
    </row>
    <row r="2951" spans="1:26" x14ac:dyDescent="0.25">
      <c r="A2951" t="s">
        <v>3445</v>
      </c>
      <c r="B2951" t="s">
        <v>26</v>
      </c>
      <c r="C2951" t="s">
        <v>27</v>
      </c>
      <c r="H2951" s="2">
        <v>45024.629861111112</v>
      </c>
      <c r="I2951" t="s">
        <v>315</v>
      </c>
      <c r="Z2951">
        <v>52975</v>
      </c>
    </row>
    <row r="2952" spans="1:26" x14ac:dyDescent="0.25">
      <c r="A2952" t="s">
        <v>1536</v>
      </c>
      <c r="B2952" t="s">
        <v>164</v>
      </c>
      <c r="C2952" t="s">
        <v>27</v>
      </c>
      <c r="E2952" t="s">
        <v>66</v>
      </c>
      <c r="H2952" s="2">
        <v>45023.272222222222</v>
      </c>
      <c r="I2952" t="s">
        <v>226</v>
      </c>
      <c r="K2952" t="s">
        <v>30</v>
      </c>
      <c r="L2952" t="s">
        <v>31</v>
      </c>
      <c r="M2952">
        <v>67130164</v>
      </c>
      <c r="N2952">
        <v>12403825920</v>
      </c>
      <c r="O2952" t="s">
        <v>382</v>
      </c>
      <c r="Z2952">
        <v>52803</v>
      </c>
    </row>
    <row r="2953" spans="1:26" x14ac:dyDescent="0.25">
      <c r="A2953" t="s">
        <v>3446</v>
      </c>
      <c r="B2953" t="s">
        <v>164</v>
      </c>
      <c r="C2953" t="s">
        <v>27</v>
      </c>
      <c r="E2953" t="s">
        <v>3447</v>
      </c>
      <c r="G2953" t="s">
        <v>3448</v>
      </c>
      <c r="H2953" s="2">
        <v>45022.601388888892</v>
      </c>
      <c r="I2953" t="s">
        <v>29</v>
      </c>
      <c r="K2953" t="s">
        <v>115</v>
      </c>
      <c r="L2953" t="s">
        <v>313</v>
      </c>
      <c r="M2953" t="s">
        <v>3449</v>
      </c>
      <c r="Z2953">
        <v>52753</v>
      </c>
    </row>
    <row r="2954" spans="1:26" x14ac:dyDescent="0.25">
      <c r="A2954" t="s">
        <v>3450</v>
      </c>
      <c r="C2954" t="s">
        <v>27</v>
      </c>
      <c r="E2954" t="s">
        <v>3451</v>
      </c>
      <c r="H2954" s="2">
        <v>45022.570833333331</v>
      </c>
      <c r="I2954" t="s">
        <v>29</v>
      </c>
      <c r="Z2954">
        <v>52745</v>
      </c>
    </row>
    <row r="2955" spans="1:26" x14ac:dyDescent="0.25">
      <c r="A2955" t="s">
        <v>712</v>
      </c>
      <c r="B2955" t="s">
        <v>26</v>
      </c>
      <c r="C2955" t="s">
        <v>27</v>
      </c>
      <c r="H2955" s="2">
        <v>45022.50277777778</v>
      </c>
      <c r="I2955" t="s">
        <v>29</v>
      </c>
      <c r="Z2955">
        <v>52728</v>
      </c>
    </row>
    <row r="2956" spans="1:26" x14ac:dyDescent="0.25">
      <c r="A2956" t="s">
        <v>202</v>
      </c>
      <c r="B2956" t="s">
        <v>185</v>
      </c>
      <c r="C2956" t="s">
        <v>27</v>
      </c>
      <c r="E2956" t="s">
        <v>88</v>
      </c>
      <c r="H2956" s="2">
        <v>45022.375</v>
      </c>
      <c r="I2956" t="s">
        <v>29</v>
      </c>
      <c r="Z2956">
        <v>52695</v>
      </c>
    </row>
    <row r="2957" spans="1:26" x14ac:dyDescent="0.25">
      <c r="A2957" t="s">
        <v>3452</v>
      </c>
      <c r="B2957" t="s">
        <v>26</v>
      </c>
      <c r="C2957" t="s">
        <v>27</v>
      </c>
      <c r="H2957" s="2">
        <v>45021.677777777775</v>
      </c>
      <c r="I2957" t="s">
        <v>226</v>
      </c>
      <c r="Z2957">
        <v>52656</v>
      </c>
    </row>
    <row r="2958" spans="1:26" x14ac:dyDescent="0.25">
      <c r="A2958" t="s">
        <v>3453</v>
      </c>
      <c r="B2958" t="s">
        <v>26</v>
      </c>
      <c r="C2958" t="s">
        <v>27</v>
      </c>
      <c r="H2958" s="2">
        <v>45021.39166666667</v>
      </c>
      <c r="I2958" t="s">
        <v>226</v>
      </c>
      <c r="Z2958">
        <v>52557</v>
      </c>
    </row>
    <row r="2959" spans="1:26" x14ac:dyDescent="0.25">
      <c r="A2959" t="s">
        <v>3454</v>
      </c>
      <c r="B2959" t="s">
        <v>26</v>
      </c>
      <c r="C2959" t="s">
        <v>27</v>
      </c>
      <c r="H2959" s="2">
        <v>45020.756249999999</v>
      </c>
      <c r="I2959" t="s">
        <v>226</v>
      </c>
      <c r="Z2959">
        <v>52528</v>
      </c>
    </row>
    <row r="2960" spans="1:26" x14ac:dyDescent="0.25">
      <c r="A2960" t="s">
        <v>3455</v>
      </c>
      <c r="B2960" t="s">
        <v>26</v>
      </c>
      <c r="C2960" t="s">
        <v>27</v>
      </c>
      <c r="H2960" s="2">
        <v>45020.65</v>
      </c>
      <c r="I2960" t="s">
        <v>226</v>
      </c>
      <c r="Z2960">
        <v>52499</v>
      </c>
    </row>
    <row r="2961" spans="1:26" x14ac:dyDescent="0.25">
      <c r="A2961" t="s">
        <v>3456</v>
      </c>
      <c r="B2961" t="s">
        <v>26</v>
      </c>
      <c r="C2961" t="s">
        <v>27</v>
      </c>
      <c r="H2961" s="2">
        <v>45020.62222222222</v>
      </c>
      <c r="I2961" t="s">
        <v>226</v>
      </c>
      <c r="Z2961">
        <v>52484</v>
      </c>
    </row>
    <row r="2962" spans="1:26" x14ac:dyDescent="0.25">
      <c r="A2962" t="s">
        <v>3457</v>
      </c>
      <c r="B2962" t="s">
        <v>26</v>
      </c>
      <c r="C2962" t="s">
        <v>27</v>
      </c>
      <c r="H2962" s="2">
        <v>45019.704861111109</v>
      </c>
      <c r="I2962" t="s">
        <v>226</v>
      </c>
      <c r="Z2962">
        <v>52355</v>
      </c>
    </row>
    <row r="2963" spans="1:26" x14ac:dyDescent="0.25">
      <c r="A2963" t="s">
        <v>3458</v>
      </c>
      <c r="B2963" t="s">
        <v>150</v>
      </c>
      <c r="C2963" t="s">
        <v>27</v>
      </c>
      <c r="E2963" t="s">
        <v>174</v>
      </c>
      <c r="G2963" t="s">
        <v>3459</v>
      </c>
      <c r="H2963" s="2">
        <v>45019.520138888889</v>
      </c>
      <c r="I2963" t="s">
        <v>227</v>
      </c>
      <c r="Z2963">
        <v>52282</v>
      </c>
    </row>
    <row r="2964" spans="1:26" x14ac:dyDescent="0.25">
      <c r="A2964" t="s">
        <v>3460</v>
      </c>
      <c r="B2964" t="s">
        <v>26</v>
      </c>
      <c r="C2964" t="s">
        <v>27</v>
      </c>
      <c r="H2964" s="2">
        <v>45019.395833333336</v>
      </c>
      <c r="I2964" t="s">
        <v>29</v>
      </c>
      <c r="Z2964">
        <v>52235</v>
      </c>
    </row>
    <row r="2965" spans="1:26" x14ac:dyDescent="0.25">
      <c r="A2965" t="s">
        <v>3461</v>
      </c>
      <c r="B2965" t="s">
        <v>26</v>
      </c>
      <c r="C2965" t="s">
        <v>27</v>
      </c>
      <c r="H2965" s="2">
        <v>45018.427777777775</v>
      </c>
      <c r="I2965" t="s">
        <v>29</v>
      </c>
      <c r="Z2965">
        <v>52107</v>
      </c>
    </row>
    <row r="2966" spans="1:26" x14ac:dyDescent="0.25">
      <c r="A2966" t="s">
        <v>712</v>
      </c>
      <c r="B2966" t="s">
        <v>77</v>
      </c>
      <c r="C2966" t="s">
        <v>27</v>
      </c>
      <c r="E2966" t="s">
        <v>90</v>
      </c>
      <c r="H2966" s="2">
        <v>45017.844444444447</v>
      </c>
      <c r="I2966" t="s">
        <v>29</v>
      </c>
      <c r="K2966" t="s">
        <v>30</v>
      </c>
      <c r="L2966" t="s">
        <v>31</v>
      </c>
      <c r="M2966">
        <v>55887024</v>
      </c>
      <c r="N2966">
        <v>9754613601</v>
      </c>
      <c r="O2966" t="s">
        <v>2039</v>
      </c>
      <c r="Z2966">
        <v>52090</v>
      </c>
    </row>
    <row r="2967" spans="1:26" x14ac:dyDescent="0.25">
      <c r="A2967" t="s">
        <v>3462</v>
      </c>
      <c r="B2967" t="s">
        <v>26</v>
      </c>
      <c r="C2967" t="s">
        <v>27</v>
      </c>
      <c r="H2967" s="2">
        <v>45017.665972222225</v>
      </c>
      <c r="I2967" t="s">
        <v>226</v>
      </c>
      <c r="Z2967">
        <v>52061</v>
      </c>
    </row>
    <row r="2968" spans="1:26" x14ac:dyDescent="0.25">
      <c r="A2968" t="s">
        <v>787</v>
      </c>
      <c r="B2968" t="s">
        <v>46</v>
      </c>
      <c r="C2968" t="s">
        <v>27</v>
      </c>
      <c r="E2968" t="s">
        <v>58</v>
      </c>
      <c r="G2968" t="s">
        <v>3463</v>
      </c>
      <c r="H2968" s="2">
        <v>45016.588194444441</v>
      </c>
      <c r="I2968" t="s">
        <v>29</v>
      </c>
      <c r="Z2968">
        <v>51933</v>
      </c>
    </row>
    <row r="2969" spans="1:26" x14ac:dyDescent="0.25">
      <c r="A2969" t="s">
        <v>3464</v>
      </c>
      <c r="B2969" t="s">
        <v>26</v>
      </c>
      <c r="C2969" t="s">
        <v>27</v>
      </c>
      <c r="H2969" s="2">
        <v>45015.828472222223</v>
      </c>
      <c r="I2969" t="s">
        <v>227</v>
      </c>
      <c r="Z2969">
        <v>51888</v>
      </c>
    </row>
    <row r="2970" spans="1:26" x14ac:dyDescent="0.25">
      <c r="A2970" t="s">
        <v>3465</v>
      </c>
      <c r="B2970" t="s">
        <v>26</v>
      </c>
      <c r="C2970" t="s">
        <v>27</v>
      </c>
      <c r="H2970" s="2">
        <v>45015.658333333333</v>
      </c>
      <c r="I2970" t="s">
        <v>227</v>
      </c>
      <c r="Z2970">
        <v>51846</v>
      </c>
    </row>
    <row r="2971" spans="1:26" x14ac:dyDescent="0.25">
      <c r="A2971" t="s">
        <v>3466</v>
      </c>
      <c r="B2971" t="s">
        <v>26</v>
      </c>
      <c r="C2971" t="s">
        <v>27</v>
      </c>
      <c r="H2971" s="2">
        <v>45013.820138888892</v>
      </c>
      <c r="I2971" t="s">
        <v>227</v>
      </c>
      <c r="Z2971">
        <v>51646</v>
      </c>
    </row>
    <row r="2972" spans="1:26" x14ac:dyDescent="0.25">
      <c r="A2972" t="s">
        <v>3467</v>
      </c>
      <c r="B2972" t="s">
        <v>26</v>
      </c>
      <c r="C2972" t="s">
        <v>27</v>
      </c>
      <c r="H2972" s="2">
        <v>45013.585416666669</v>
      </c>
      <c r="I2972" t="s">
        <v>227</v>
      </c>
      <c r="Z2972">
        <v>51606</v>
      </c>
    </row>
    <row r="2973" spans="1:26" x14ac:dyDescent="0.25">
      <c r="A2973" t="s">
        <v>3468</v>
      </c>
      <c r="B2973" t="s">
        <v>46</v>
      </c>
      <c r="C2973" t="s">
        <v>27</v>
      </c>
      <c r="E2973" t="s">
        <v>112</v>
      </c>
      <c r="G2973" t="s">
        <v>3469</v>
      </c>
      <c r="H2973" s="2">
        <v>45013.40625</v>
      </c>
      <c r="I2973" t="s">
        <v>227</v>
      </c>
      <c r="Z2973">
        <v>51563</v>
      </c>
    </row>
    <row r="2974" spans="1:26" x14ac:dyDescent="0.25">
      <c r="A2974" t="s">
        <v>3470</v>
      </c>
      <c r="B2974" t="s">
        <v>150</v>
      </c>
      <c r="C2974" t="s">
        <v>27</v>
      </c>
      <c r="E2974" t="s">
        <v>117</v>
      </c>
      <c r="G2974" t="s">
        <v>3471</v>
      </c>
      <c r="H2974" s="2">
        <v>45012.643055555556</v>
      </c>
      <c r="I2974" t="s">
        <v>227</v>
      </c>
      <c r="Z2974">
        <v>51500</v>
      </c>
    </row>
    <row r="2975" spans="1:26" x14ac:dyDescent="0.25">
      <c r="A2975" t="s">
        <v>3472</v>
      </c>
      <c r="B2975" t="s">
        <v>26</v>
      </c>
      <c r="C2975" t="s">
        <v>27</v>
      </c>
      <c r="H2975" s="2">
        <v>45012.616666666669</v>
      </c>
      <c r="I2975" t="s">
        <v>315</v>
      </c>
      <c r="Z2975">
        <v>51491</v>
      </c>
    </row>
    <row r="2976" spans="1:26" x14ac:dyDescent="0.25">
      <c r="A2976" t="s">
        <v>3473</v>
      </c>
      <c r="B2976" t="s">
        <v>26</v>
      </c>
      <c r="C2976" t="s">
        <v>27</v>
      </c>
      <c r="H2976" s="2">
        <v>45012.564583333333</v>
      </c>
      <c r="I2976" t="s">
        <v>294</v>
      </c>
      <c r="Z2976">
        <v>51473</v>
      </c>
    </row>
    <row r="2977" spans="1:26" x14ac:dyDescent="0.25">
      <c r="A2977" t="s">
        <v>712</v>
      </c>
      <c r="B2977" t="s">
        <v>164</v>
      </c>
      <c r="C2977" t="s">
        <v>27</v>
      </c>
      <c r="E2977" t="s">
        <v>267</v>
      </c>
      <c r="G2977" t="s">
        <v>3474</v>
      </c>
      <c r="H2977" s="2">
        <v>45012.556944444441</v>
      </c>
      <c r="I2977" t="s">
        <v>248</v>
      </c>
      <c r="Z2977">
        <v>51468</v>
      </c>
    </row>
    <row r="2978" spans="1:26" x14ac:dyDescent="0.25">
      <c r="A2978" t="s">
        <v>109</v>
      </c>
      <c r="C2978" t="s">
        <v>27</v>
      </c>
      <c r="E2978" t="s">
        <v>63</v>
      </c>
      <c r="H2978" s="2">
        <v>45012.548611111109</v>
      </c>
      <c r="I2978" t="s">
        <v>227</v>
      </c>
      <c r="Z2978">
        <v>51463</v>
      </c>
    </row>
    <row r="2979" spans="1:26" x14ac:dyDescent="0.25">
      <c r="A2979" t="s">
        <v>3475</v>
      </c>
      <c r="B2979" t="s">
        <v>26</v>
      </c>
      <c r="C2979" t="s">
        <v>27</v>
      </c>
      <c r="H2979" s="2">
        <v>45011.814583333333</v>
      </c>
      <c r="I2979" t="s">
        <v>29</v>
      </c>
      <c r="Z2979">
        <v>51392</v>
      </c>
    </row>
    <row r="2980" spans="1:26" x14ac:dyDescent="0.25">
      <c r="A2980" t="s">
        <v>3476</v>
      </c>
      <c r="B2980" t="s">
        <v>26</v>
      </c>
      <c r="C2980" t="s">
        <v>27</v>
      </c>
      <c r="H2980" s="2">
        <v>45011.587500000001</v>
      </c>
      <c r="I2980" t="s">
        <v>29</v>
      </c>
      <c r="Z2980">
        <v>51332</v>
      </c>
    </row>
    <row r="2981" spans="1:26" x14ac:dyDescent="0.25">
      <c r="A2981" t="s">
        <v>3477</v>
      </c>
      <c r="B2981" t="s">
        <v>26</v>
      </c>
      <c r="C2981" t="s">
        <v>27</v>
      </c>
      <c r="H2981" s="2">
        <v>45011.556944444441</v>
      </c>
      <c r="I2981" t="s">
        <v>226</v>
      </c>
      <c r="Z2981">
        <v>51324</v>
      </c>
    </row>
    <row r="2982" spans="1:26" x14ac:dyDescent="0.25">
      <c r="A2982" t="s">
        <v>712</v>
      </c>
      <c r="C2982" t="s">
        <v>27</v>
      </c>
      <c r="E2982" t="s">
        <v>101</v>
      </c>
      <c r="H2982" s="2">
        <v>45011.54583333333</v>
      </c>
      <c r="I2982" t="s">
        <v>29</v>
      </c>
      <c r="Z2982">
        <v>51321</v>
      </c>
    </row>
    <row r="2983" spans="1:26" x14ac:dyDescent="0.25">
      <c r="A2983" t="s">
        <v>3478</v>
      </c>
      <c r="B2983" t="s">
        <v>164</v>
      </c>
      <c r="C2983" t="s">
        <v>27</v>
      </c>
      <c r="E2983" t="s">
        <v>43</v>
      </c>
      <c r="H2983" s="2">
        <v>45011.395138888889</v>
      </c>
      <c r="I2983" t="s">
        <v>248</v>
      </c>
      <c r="K2983" t="s">
        <v>30</v>
      </c>
      <c r="L2983" t="s">
        <v>31</v>
      </c>
      <c r="M2983">
        <v>67849537</v>
      </c>
      <c r="N2983">
        <v>11953243925</v>
      </c>
      <c r="O2983" t="s">
        <v>3479</v>
      </c>
      <c r="Z2983">
        <v>51268</v>
      </c>
    </row>
    <row r="2984" spans="1:26" x14ac:dyDescent="0.25">
      <c r="A2984" t="s">
        <v>109</v>
      </c>
      <c r="C2984" t="s">
        <v>27</v>
      </c>
      <c r="E2984" t="s">
        <v>3480</v>
      </c>
      <c r="H2984" s="2">
        <v>45010.834027777775</v>
      </c>
      <c r="I2984" t="s">
        <v>226</v>
      </c>
      <c r="Z2984">
        <v>51255</v>
      </c>
    </row>
    <row r="2985" spans="1:26" x14ac:dyDescent="0.25">
      <c r="A2985" t="s">
        <v>3481</v>
      </c>
      <c r="B2985" t="s">
        <v>26</v>
      </c>
      <c r="C2985" t="s">
        <v>27</v>
      </c>
      <c r="H2985" s="2">
        <v>45010.598611111112</v>
      </c>
      <c r="I2985" t="s">
        <v>29</v>
      </c>
      <c r="Z2985">
        <v>51200</v>
      </c>
    </row>
    <row r="2986" spans="1:26" x14ac:dyDescent="0.25">
      <c r="A2986" t="s">
        <v>3482</v>
      </c>
      <c r="B2986" t="s">
        <v>26</v>
      </c>
      <c r="C2986" t="s">
        <v>27</v>
      </c>
      <c r="H2986" s="2">
        <v>45010.520833333336</v>
      </c>
      <c r="I2986" t="s">
        <v>29</v>
      </c>
      <c r="Z2986">
        <v>51177</v>
      </c>
    </row>
    <row r="2987" spans="1:26" x14ac:dyDescent="0.25">
      <c r="A2987" t="s">
        <v>3483</v>
      </c>
      <c r="B2987" t="s">
        <v>26</v>
      </c>
      <c r="C2987" t="s">
        <v>27</v>
      </c>
      <c r="H2987" s="2">
        <v>45010.47152777778</v>
      </c>
      <c r="I2987" t="s">
        <v>226</v>
      </c>
      <c r="Z2987">
        <v>51163</v>
      </c>
    </row>
    <row r="2988" spans="1:26" x14ac:dyDescent="0.25">
      <c r="A2988" t="s">
        <v>3484</v>
      </c>
      <c r="B2988" t="s">
        <v>26</v>
      </c>
      <c r="C2988" t="s">
        <v>27</v>
      </c>
      <c r="H2988" s="2">
        <v>45009.488194444442</v>
      </c>
      <c r="I2988" t="s">
        <v>227</v>
      </c>
      <c r="Z2988">
        <v>51027</v>
      </c>
    </row>
    <row r="2989" spans="1:26" x14ac:dyDescent="0.25">
      <c r="A2989" t="s">
        <v>3485</v>
      </c>
      <c r="B2989" t="s">
        <v>26</v>
      </c>
      <c r="C2989" t="s">
        <v>27</v>
      </c>
      <c r="H2989" s="2">
        <v>45009.411111111112</v>
      </c>
      <c r="I2989" t="s">
        <v>227</v>
      </c>
      <c r="Z2989">
        <v>50991</v>
      </c>
    </row>
    <row r="2990" spans="1:26" x14ac:dyDescent="0.25">
      <c r="A2990" t="s">
        <v>359</v>
      </c>
      <c r="B2990" t="s">
        <v>164</v>
      </c>
      <c r="C2990" t="s">
        <v>27</v>
      </c>
      <c r="E2990" t="s">
        <v>106</v>
      </c>
      <c r="H2990" s="2">
        <v>45009.410416666666</v>
      </c>
      <c r="I2990" t="s">
        <v>248</v>
      </c>
      <c r="Z2990">
        <v>50990</v>
      </c>
    </row>
    <row r="2991" spans="1:26" x14ac:dyDescent="0.25">
      <c r="A2991" t="s">
        <v>3486</v>
      </c>
      <c r="B2991" t="s">
        <v>26</v>
      </c>
      <c r="C2991" t="s">
        <v>27</v>
      </c>
      <c r="H2991" s="2">
        <v>45009.404861111114</v>
      </c>
      <c r="I2991" t="s">
        <v>226</v>
      </c>
      <c r="Z2991">
        <v>50989</v>
      </c>
    </row>
    <row r="2992" spans="1:26" x14ac:dyDescent="0.25">
      <c r="A2992" t="s">
        <v>3487</v>
      </c>
      <c r="B2992" t="s">
        <v>46</v>
      </c>
      <c r="C2992" t="s">
        <v>27</v>
      </c>
      <c r="E2992" t="s">
        <v>45</v>
      </c>
      <c r="G2992" t="s">
        <v>3488</v>
      </c>
      <c r="H2992" s="2">
        <v>45009.375694444447</v>
      </c>
      <c r="I2992" t="s">
        <v>227</v>
      </c>
      <c r="Z2992">
        <v>50981</v>
      </c>
    </row>
    <row r="2993" spans="1:26" x14ac:dyDescent="0.25">
      <c r="A2993" t="s">
        <v>3489</v>
      </c>
      <c r="B2993" t="s">
        <v>26</v>
      </c>
      <c r="C2993" t="s">
        <v>27</v>
      </c>
      <c r="H2993" s="2">
        <v>45008.772222222222</v>
      </c>
      <c r="I2993" t="s">
        <v>226</v>
      </c>
      <c r="Z2993">
        <v>50960</v>
      </c>
    </row>
    <row r="2994" spans="1:26" x14ac:dyDescent="0.25">
      <c r="A2994" t="s">
        <v>3490</v>
      </c>
      <c r="B2994" t="s">
        <v>26</v>
      </c>
      <c r="C2994" t="s">
        <v>27</v>
      </c>
      <c r="H2994" s="2">
        <v>45008.643055555556</v>
      </c>
      <c r="I2994" t="s">
        <v>226</v>
      </c>
      <c r="Z2994">
        <v>50920</v>
      </c>
    </row>
    <row r="2995" spans="1:26" x14ac:dyDescent="0.25">
      <c r="A2995" t="s">
        <v>3491</v>
      </c>
      <c r="B2995" t="s">
        <v>26</v>
      </c>
      <c r="C2995" t="s">
        <v>27</v>
      </c>
      <c r="H2995" s="2">
        <v>45007.679166666669</v>
      </c>
      <c r="I2995" t="s">
        <v>306</v>
      </c>
      <c r="Z2995">
        <v>50816</v>
      </c>
    </row>
    <row r="2996" spans="1:26" x14ac:dyDescent="0.25">
      <c r="A2996" t="s">
        <v>712</v>
      </c>
      <c r="B2996" t="s">
        <v>26</v>
      </c>
      <c r="C2996" t="s">
        <v>27</v>
      </c>
      <c r="H2996" s="2">
        <v>45007.645138888889</v>
      </c>
      <c r="I2996" t="s">
        <v>29</v>
      </c>
      <c r="Z2996">
        <v>50810</v>
      </c>
    </row>
    <row r="2997" spans="1:26" x14ac:dyDescent="0.25">
      <c r="A2997" t="s">
        <v>3492</v>
      </c>
      <c r="B2997" t="s">
        <v>26</v>
      </c>
      <c r="C2997" t="s">
        <v>27</v>
      </c>
      <c r="H2997" s="2">
        <v>45006.749305555553</v>
      </c>
      <c r="I2997" t="s">
        <v>227</v>
      </c>
      <c r="Z2997">
        <v>50730</v>
      </c>
    </row>
    <row r="2998" spans="1:26" x14ac:dyDescent="0.25">
      <c r="A2998" t="s">
        <v>3493</v>
      </c>
      <c r="B2998" t="s">
        <v>26</v>
      </c>
      <c r="C2998" t="s">
        <v>27</v>
      </c>
      <c r="H2998" s="2">
        <v>45006.734027777777</v>
      </c>
      <c r="I2998" t="s">
        <v>315</v>
      </c>
      <c r="Z2998">
        <v>50724</v>
      </c>
    </row>
    <row r="2999" spans="1:26" x14ac:dyDescent="0.25">
      <c r="A2999" t="s">
        <v>3494</v>
      </c>
      <c r="B2999" t="s">
        <v>26</v>
      </c>
      <c r="C2999" t="s">
        <v>27</v>
      </c>
      <c r="H2999" s="2">
        <v>45006.730555555558</v>
      </c>
      <c r="I2999" t="s">
        <v>315</v>
      </c>
      <c r="Z2999">
        <v>50722</v>
      </c>
    </row>
    <row r="3000" spans="1:26" x14ac:dyDescent="0.25">
      <c r="A3000" t="s">
        <v>3495</v>
      </c>
      <c r="B3000" t="s">
        <v>198</v>
      </c>
      <c r="C3000" t="s">
        <v>27</v>
      </c>
      <c r="E3000" t="s">
        <v>83</v>
      </c>
      <c r="H3000" s="2">
        <v>45006.725694444445</v>
      </c>
      <c r="I3000" t="s">
        <v>227</v>
      </c>
      <c r="K3000" t="s">
        <v>30</v>
      </c>
      <c r="L3000" t="s">
        <v>31</v>
      </c>
      <c r="M3000">
        <v>55887024</v>
      </c>
      <c r="N3000">
        <v>9754613614</v>
      </c>
      <c r="O3000" t="s">
        <v>3496</v>
      </c>
      <c r="Z3000">
        <v>50721</v>
      </c>
    </row>
    <row r="3001" spans="1:26" x14ac:dyDescent="0.25">
      <c r="A3001" t="s">
        <v>364</v>
      </c>
      <c r="B3001" t="s">
        <v>26</v>
      </c>
      <c r="C3001" t="s">
        <v>27</v>
      </c>
      <c r="H3001" s="2">
        <v>45006.513194444444</v>
      </c>
      <c r="I3001" t="s">
        <v>29</v>
      </c>
      <c r="Z3001">
        <v>50665</v>
      </c>
    </row>
    <row r="3002" spans="1:26" x14ac:dyDescent="0.25">
      <c r="A3002" t="s">
        <v>3497</v>
      </c>
      <c r="B3002" t="s">
        <v>26</v>
      </c>
      <c r="C3002" t="s">
        <v>27</v>
      </c>
      <c r="H3002" s="2">
        <v>45006.489583333336</v>
      </c>
      <c r="I3002" t="s">
        <v>227</v>
      </c>
      <c r="Z3002">
        <v>50657</v>
      </c>
    </row>
    <row r="3003" spans="1:26" x14ac:dyDescent="0.25">
      <c r="A3003" t="s">
        <v>3498</v>
      </c>
      <c r="B3003" t="s">
        <v>26</v>
      </c>
      <c r="C3003" t="s">
        <v>27</v>
      </c>
      <c r="H3003" s="2">
        <v>45005.644444444442</v>
      </c>
      <c r="I3003" t="s">
        <v>29</v>
      </c>
      <c r="Z3003">
        <v>50608</v>
      </c>
    </row>
    <row r="3004" spans="1:26" x14ac:dyDescent="0.25">
      <c r="A3004" t="s">
        <v>3499</v>
      </c>
      <c r="B3004" t="s">
        <v>26</v>
      </c>
      <c r="C3004" t="s">
        <v>27</v>
      </c>
      <c r="H3004" s="2">
        <v>45005.614583333336</v>
      </c>
      <c r="I3004" t="s">
        <v>226</v>
      </c>
      <c r="Z3004">
        <v>50602</v>
      </c>
    </row>
    <row r="3005" spans="1:26" x14ac:dyDescent="0.25">
      <c r="A3005" t="s">
        <v>712</v>
      </c>
      <c r="B3005" t="s">
        <v>77</v>
      </c>
      <c r="C3005" t="s">
        <v>27</v>
      </c>
      <c r="E3005" t="s">
        <v>195</v>
      </c>
      <c r="H3005" s="2">
        <v>45005.526388888888</v>
      </c>
      <c r="I3005" t="s">
        <v>29</v>
      </c>
      <c r="K3005" t="s">
        <v>30</v>
      </c>
      <c r="L3005" t="s">
        <v>31</v>
      </c>
      <c r="M3005">
        <v>55887083</v>
      </c>
      <c r="N3005">
        <v>9754618980</v>
      </c>
      <c r="O3005" t="s">
        <v>3500</v>
      </c>
      <c r="Z3005">
        <v>50582</v>
      </c>
    </row>
    <row r="3006" spans="1:26" x14ac:dyDescent="0.25">
      <c r="A3006" t="s">
        <v>3501</v>
      </c>
      <c r="B3006" t="s">
        <v>26</v>
      </c>
      <c r="C3006" t="s">
        <v>27</v>
      </c>
      <c r="H3006" s="2">
        <v>45005.459722222222</v>
      </c>
      <c r="I3006" t="s">
        <v>153</v>
      </c>
      <c r="Z3006">
        <v>50573</v>
      </c>
    </row>
    <row r="3007" spans="1:26" x14ac:dyDescent="0.25">
      <c r="A3007" t="s">
        <v>3502</v>
      </c>
      <c r="B3007" t="s">
        <v>26</v>
      </c>
      <c r="C3007" t="s">
        <v>27</v>
      </c>
      <c r="H3007" s="2">
        <v>45004.443055555559</v>
      </c>
      <c r="I3007" t="s">
        <v>29</v>
      </c>
      <c r="Z3007">
        <v>50524</v>
      </c>
    </row>
    <row r="3008" spans="1:26" x14ac:dyDescent="0.25">
      <c r="A3008" t="s">
        <v>3503</v>
      </c>
      <c r="B3008" t="s">
        <v>26</v>
      </c>
      <c r="C3008" t="s">
        <v>64</v>
      </c>
      <c r="H3008" s="2">
        <v>45004.431250000001</v>
      </c>
      <c r="I3008" t="s">
        <v>153</v>
      </c>
      <c r="Z3008">
        <v>50522</v>
      </c>
    </row>
    <row r="3009" spans="1:26" x14ac:dyDescent="0.25">
      <c r="A3009" t="s">
        <v>3504</v>
      </c>
      <c r="B3009" t="s">
        <v>26</v>
      </c>
      <c r="C3009" t="s">
        <v>27</v>
      </c>
      <c r="H3009" s="2">
        <v>45003.598611111112</v>
      </c>
      <c r="I3009" t="s">
        <v>226</v>
      </c>
      <c r="Z3009">
        <v>50494</v>
      </c>
    </row>
    <row r="3010" spans="1:26" x14ac:dyDescent="0.25">
      <c r="A3010" t="s">
        <v>3505</v>
      </c>
      <c r="B3010" t="s">
        <v>26</v>
      </c>
      <c r="C3010" t="s">
        <v>27</v>
      </c>
      <c r="H3010" s="2">
        <v>45003.582638888889</v>
      </c>
      <c r="I3010" t="s">
        <v>226</v>
      </c>
      <c r="Z3010">
        <v>50489</v>
      </c>
    </row>
    <row r="3011" spans="1:26" x14ac:dyDescent="0.25">
      <c r="A3011" t="s">
        <v>3506</v>
      </c>
      <c r="B3011" t="s">
        <v>26</v>
      </c>
      <c r="C3011" t="s">
        <v>27</v>
      </c>
      <c r="H3011" s="2">
        <v>45003.465277777781</v>
      </c>
      <c r="I3011" t="s">
        <v>226</v>
      </c>
      <c r="Z3011">
        <v>50474</v>
      </c>
    </row>
    <row r="3012" spans="1:26" x14ac:dyDescent="0.25">
      <c r="A3012" t="s">
        <v>3507</v>
      </c>
      <c r="B3012" t="s">
        <v>26</v>
      </c>
      <c r="C3012" t="s">
        <v>27</v>
      </c>
      <c r="H3012" s="2">
        <v>45002.84097222222</v>
      </c>
      <c r="I3012" t="s">
        <v>226</v>
      </c>
      <c r="Z3012">
        <v>50464</v>
      </c>
    </row>
    <row r="3013" spans="1:26" x14ac:dyDescent="0.25">
      <c r="A3013" t="s">
        <v>3485</v>
      </c>
      <c r="B3013" t="s">
        <v>26</v>
      </c>
      <c r="C3013" t="s">
        <v>27</v>
      </c>
      <c r="H3013" s="2">
        <v>45002.696527777778</v>
      </c>
      <c r="I3013" t="s">
        <v>227</v>
      </c>
      <c r="Z3013">
        <v>50432</v>
      </c>
    </row>
    <row r="3014" spans="1:26" x14ac:dyDescent="0.25">
      <c r="A3014" t="s">
        <v>3508</v>
      </c>
      <c r="B3014" t="s">
        <v>26</v>
      </c>
      <c r="C3014" t="s">
        <v>27</v>
      </c>
      <c r="E3014" t="s">
        <v>88</v>
      </c>
      <c r="H3014" s="2">
        <v>45002.519444444442</v>
      </c>
      <c r="I3014" t="s">
        <v>226</v>
      </c>
      <c r="Z3014">
        <v>50409</v>
      </c>
    </row>
    <row r="3015" spans="1:26" x14ac:dyDescent="0.25">
      <c r="A3015" t="s">
        <v>3509</v>
      </c>
      <c r="B3015" t="s">
        <v>26</v>
      </c>
      <c r="C3015" t="s">
        <v>27</v>
      </c>
      <c r="H3015" s="2">
        <v>45001.633333333331</v>
      </c>
      <c r="I3015" t="s">
        <v>227</v>
      </c>
      <c r="Z3015">
        <v>50364</v>
      </c>
    </row>
    <row r="3016" spans="1:26" x14ac:dyDescent="0.25">
      <c r="A3016" t="s">
        <v>3510</v>
      </c>
      <c r="B3016" t="s">
        <v>26</v>
      </c>
      <c r="C3016" t="s">
        <v>27</v>
      </c>
      <c r="H3016" s="2">
        <v>45001.517361111109</v>
      </c>
      <c r="I3016" t="s">
        <v>227</v>
      </c>
      <c r="Z3016">
        <v>50341</v>
      </c>
    </row>
    <row r="3017" spans="1:26" x14ac:dyDescent="0.25">
      <c r="A3017" t="s">
        <v>3511</v>
      </c>
      <c r="B3017" t="s">
        <v>26</v>
      </c>
      <c r="C3017" t="s">
        <v>258</v>
      </c>
      <c r="H3017" s="2">
        <v>45001.51666666667</v>
      </c>
      <c r="I3017" t="s">
        <v>227</v>
      </c>
      <c r="Z3017">
        <v>50340</v>
      </c>
    </row>
    <row r="3018" spans="1:26" x14ac:dyDescent="0.25">
      <c r="A3018" t="s">
        <v>712</v>
      </c>
      <c r="B3018" t="s">
        <v>26</v>
      </c>
      <c r="C3018" t="s">
        <v>27</v>
      </c>
      <c r="H3018" s="2">
        <v>45001.413194444445</v>
      </c>
      <c r="I3018" t="s">
        <v>29</v>
      </c>
      <c r="Z3018">
        <v>50317</v>
      </c>
    </row>
    <row r="3019" spans="1:26" x14ac:dyDescent="0.25">
      <c r="A3019" t="s">
        <v>3512</v>
      </c>
      <c r="B3019" t="s">
        <v>26</v>
      </c>
      <c r="C3019" t="s">
        <v>27</v>
      </c>
      <c r="H3019" s="2">
        <v>45000.633333333331</v>
      </c>
      <c r="I3019" t="s">
        <v>29</v>
      </c>
      <c r="Z3019">
        <v>50288</v>
      </c>
    </row>
    <row r="3020" spans="1:26" x14ac:dyDescent="0.25">
      <c r="A3020" t="s">
        <v>712</v>
      </c>
      <c r="B3020" t="s">
        <v>26</v>
      </c>
      <c r="C3020" t="s">
        <v>27</v>
      </c>
      <c r="H3020" s="2">
        <v>45000.45416666667</v>
      </c>
      <c r="I3020" t="s">
        <v>29</v>
      </c>
      <c r="Z3020">
        <v>50264</v>
      </c>
    </row>
    <row r="3021" spans="1:26" x14ac:dyDescent="0.25">
      <c r="A3021" t="s">
        <v>3513</v>
      </c>
      <c r="B3021" t="s">
        <v>164</v>
      </c>
      <c r="C3021" t="s">
        <v>27</v>
      </c>
      <c r="E3021" t="s">
        <v>3514</v>
      </c>
      <c r="H3021" s="2">
        <v>44999.647222222222</v>
      </c>
      <c r="I3021" t="s">
        <v>29</v>
      </c>
      <c r="Z3021">
        <v>50235</v>
      </c>
    </row>
    <row r="3022" spans="1:26" x14ac:dyDescent="0.25">
      <c r="A3022" t="s">
        <v>3515</v>
      </c>
      <c r="B3022" t="s">
        <v>26</v>
      </c>
      <c r="C3022" t="s">
        <v>27</v>
      </c>
      <c r="H3022" s="2">
        <v>44999.5</v>
      </c>
      <c r="I3022" t="s">
        <v>315</v>
      </c>
      <c r="Z3022">
        <v>50214</v>
      </c>
    </row>
    <row r="3023" spans="1:26" x14ac:dyDescent="0.25">
      <c r="A3023" t="s">
        <v>3516</v>
      </c>
      <c r="B3023" t="s">
        <v>26</v>
      </c>
      <c r="C3023" t="s">
        <v>27</v>
      </c>
      <c r="H3023" s="2">
        <v>44999.397916666669</v>
      </c>
      <c r="I3023" t="s">
        <v>226</v>
      </c>
      <c r="Z3023">
        <v>50200</v>
      </c>
    </row>
    <row r="3024" spans="1:26" x14ac:dyDescent="0.25">
      <c r="A3024" t="s">
        <v>712</v>
      </c>
      <c r="B3024" t="s">
        <v>26</v>
      </c>
      <c r="C3024" t="s">
        <v>27</v>
      </c>
      <c r="H3024" s="2">
        <v>44998.673611111109</v>
      </c>
      <c r="I3024" t="s">
        <v>29</v>
      </c>
      <c r="Z3024">
        <v>50178</v>
      </c>
    </row>
    <row r="3025" spans="1:26" x14ac:dyDescent="0.25">
      <c r="A3025" t="s">
        <v>3517</v>
      </c>
      <c r="B3025" t="s">
        <v>26</v>
      </c>
      <c r="C3025" t="s">
        <v>27</v>
      </c>
      <c r="H3025" s="2">
        <v>44997.804166666669</v>
      </c>
      <c r="I3025" t="s">
        <v>227</v>
      </c>
      <c r="Z3025">
        <v>50139</v>
      </c>
    </row>
    <row r="3026" spans="1:26" x14ac:dyDescent="0.25">
      <c r="A3026" t="s">
        <v>3518</v>
      </c>
      <c r="B3026" t="s">
        <v>26</v>
      </c>
      <c r="C3026" t="s">
        <v>27</v>
      </c>
      <c r="H3026" s="2">
        <v>44997.732638888891</v>
      </c>
      <c r="I3026" t="s">
        <v>226</v>
      </c>
      <c r="Z3026">
        <v>50131</v>
      </c>
    </row>
    <row r="3027" spans="1:26" x14ac:dyDescent="0.25">
      <c r="A3027" t="s">
        <v>3519</v>
      </c>
      <c r="B3027" t="s">
        <v>26</v>
      </c>
      <c r="C3027" t="s">
        <v>27</v>
      </c>
      <c r="H3027" s="2">
        <v>44996.665972222225</v>
      </c>
      <c r="I3027" t="s">
        <v>226</v>
      </c>
      <c r="Z3027">
        <v>50098</v>
      </c>
    </row>
    <row r="3028" spans="1:26" x14ac:dyDescent="0.25">
      <c r="A3028" t="s">
        <v>2919</v>
      </c>
      <c r="B3028" t="s">
        <v>198</v>
      </c>
      <c r="C3028" t="s">
        <v>27</v>
      </c>
      <c r="E3028" t="s">
        <v>73</v>
      </c>
      <c r="H3028" s="2">
        <v>44996.628472222219</v>
      </c>
      <c r="I3028" t="s">
        <v>227</v>
      </c>
      <c r="Z3028">
        <v>50093</v>
      </c>
    </row>
    <row r="3029" spans="1:26" x14ac:dyDescent="0.25">
      <c r="A3029" t="s">
        <v>2919</v>
      </c>
      <c r="B3029" t="s">
        <v>198</v>
      </c>
      <c r="C3029" t="s">
        <v>27</v>
      </c>
      <c r="E3029" t="s">
        <v>73</v>
      </c>
      <c r="H3029" s="2">
        <v>44996.62777777778</v>
      </c>
      <c r="I3029" t="s">
        <v>29</v>
      </c>
      <c r="K3029" t="s">
        <v>30</v>
      </c>
      <c r="L3029" t="s">
        <v>31</v>
      </c>
      <c r="M3029">
        <v>55887024</v>
      </c>
      <c r="N3029">
        <v>9754613603</v>
      </c>
      <c r="O3029" t="s">
        <v>1559</v>
      </c>
      <c r="Z3029">
        <v>50092</v>
      </c>
    </row>
    <row r="3030" spans="1:26" x14ac:dyDescent="0.25">
      <c r="A3030" t="s">
        <v>3520</v>
      </c>
      <c r="B3030" t="s">
        <v>150</v>
      </c>
      <c r="C3030" t="s">
        <v>27</v>
      </c>
      <c r="E3030" t="s">
        <v>3521</v>
      </c>
      <c r="H3030" s="2">
        <v>44996.626388888886</v>
      </c>
      <c r="I3030" t="s">
        <v>248</v>
      </c>
      <c r="K3030" t="s">
        <v>30</v>
      </c>
      <c r="L3030" t="s">
        <v>31</v>
      </c>
      <c r="M3030">
        <v>55887024</v>
      </c>
      <c r="N3030">
        <v>9754613603</v>
      </c>
      <c r="O3030" t="s">
        <v>1559</v>
      </c>
      <c r="Z3030">
        <v>50091</v>
      </c>
    </row>
    <row r="3031" spans="1:26" x14ac:dyDescent="0.25">
      <c r="A3031" t="s">
        <v>320</v>
      </c>
      <c r="B3031" t="s">
        <v>185</v>
      </c>
      <c r="C3031" t="s">
        <v>27</v>
      </c>
      <c r="E3031" t="s">
        <v>66</v>
      </c>
      <c r="H3031" s="2">
        <v>44996.522916666669</v>
      </c>
      <c r="I3031" t="s">
        <v>227</v>
      </c>
      <c r="Z3031">
        <v>50077</v>
      </c>
    </row>
    <row r="3032" spans="1:26" x14ac:dyDescent="0.25">
      <c r="A3032" t="s">
        <v>3522</v>
      </c>
      <c r="B3032" t="s">
        <v>26</v>
      </c>
      <c r="C3032" t="s">
        <v>27</v>
      </c>
      <c r="H3032" s="2">
        <v>44996.495138888888</v>
      </c>
      <c r="I3032" t="s">
        <v>227</v>
      </c>
      <c r="Z3032">
        <v>50073</v>
      </c>
    </row>
    <row r="3033" spans="1:26" x14ac:dyDescent="0.25">
      <c r="A3033" t="s">
        <v>3523</v>
      </c>
      <c r="B3033" t="s">
        <v>26</v>
      </c>
      <c r="C3033" t="s">
        <v>27</v>
      </c>
      <c r="H3033" s="2">
        <v>44996.45416666667</v>
      </c>
      <c r="I3033" t="s">
        <v>226</v>
      </c>
      <c r="Z3033">
        <v>50066</v>
      </c>
    </row>
    <row r="3034" spans="1:26" x14ac:dyDescent="0.25">
      <c r="A3034" t="s">
        <v>3524</v>
      </c>
      <c r="B3034" t="s">
        <v>26</v>
      </c>
      <c r="C3034" t="s">
        <v>27</v>
      </c>
      <c r="H3034" s="2">
        <v>44996.446527777778</v>
      </c>
      <c r="I3034" t="s">
        <v>227</v>
      </c>
      <c r="Z3034">
        <v>50065</v>
      </c>
    </row>
    <row r="3035" spans="1:26" x14ac:dyDescent="0.25">
      <c r="A3035" t="s">
        <v>713</v>
      </c>
      <c r="B3035" t="s">
        <v>26</v>
      </c>
      <c r="C3035" t="s">
        <v>27</v>
      </c>
      <c r="H3035" s="2">
        <v>44995.900694444441</v>
      </c>
      <c r="I3035" t="s">
        <v>294</v>
      </c>
      <c r="Z3035">
        <v>50059</v>
      </c>
    </row>
    <row r="3036" spans="1:26" x14ac:dyDescent="0.25">
      <c r="A3036" t="s">
        <v>3525</v>
      </c>
      <c r="B3036" t="s">
        <v>26</v>
      </c>
      <c r="C3036" t="s">
        <v>27</v>
      </c>
      <c r="H3036" s="2">
        <v>44995.802777777775</v>
      </c>
      <c r="I3036" t="s">
        <v>227</v>
      </c>
      <c r="Z3036">
        <v>50056</v>
      </c>
    </row>
    <row r="3037" spans="1:26" x14ac:dyDescent="0.25">
      <c r="A3037" t="s">
        <v>3526</v>
      </c>
      <c r="B3037" t="s">
        <v>26</v>
      </c>
      <c r="C3037" t="s">
        <v>27</v>
      </c>
      <c r="H3037" s="2">
        <v>44995.572222222225</v>
      </c>
      <c r="I3037" t="s">
        <v>306</v>
      </c>
      <c r="Z3037">
        <v>50036</v>
      </c>
    </row>
    <row r="3038" spans="1:26" x14ac:dyDescent="0.25">
      <c r="A3038" t="s">
        <v>3527</v>
      </c>
      <c r="B3038" t="s">
        <v>26</v>
      </c>
      <c r="C3038" t="s">
        <v>27</v>
      </c>
      <c r="H3038" s="2">
        <v>44995.390277777777</v>
      </c>
      <c r="I3038" t="s">
        <v>29</v>
      </c>
      <c r="Z3038">
        <v>50022</v>
      </c>
    </row>
    <row r="3039" spans="1:26" x14ac:dyDescent="0.25">
      <c r="A3039" t="s">
        <v>712</v>
      </c>
      <c r="B3039" t="s">
        <v>164</v>
      </c>
      <c r="C3039" t="s">
        <v>27</v>
      </c>
      <c r="E3039" t="s">
        <v>69</v>
      </c>
      <c r="H3039" s="2">
        <v>44995.348611111112</v>
      </c>
      <c r="I3039" t="s">
        <v>29</v>
      </c>
      <c r="Z3039">
        <v>50020</v>
      </c>
    </row>
    <row r="3040" spans="1:26" x14ac:dyDescent="0.25">
      <c r="A3040" t="s">
        <v>712</v>
      </c>
      <c r="B3040" t="s">
        <v>26</v>
      </c>
      <c r="C3040" t="s">
        <v>27</v>
      </c>
      <c r="H3040" s="2">
        <v>44994.909722222219</v>
      </c>
      <c r="I3040" t="s">
        <v>29</v>
      </c>
      <c r="Z3040">
        <v>50019</v>
      </c>
    </row>
    <row r="3041" spans="1:26" x14ac:dyDescent="0.25">
      <c r="A3041" t="s">
        <v>3528</v>
      </c>
      <c r="B3041" t="s">
        <v>26</v>
      </c>
      <c r="C3041" t="s">
        <v>27</v>
      </c>
      <c r="H3041" s="2">
        <v>44994.78402777778</v>
      </c>
      <c r="I3041" t="s">
        <v>29</v>
      </c>
      <c r="Z3041">
        <v>50017</v>
      </c>
    </row>
    <row r="3042" spans="1:26" x14ac:dyDescent="0.25">
      <c r="A3042" t="s">
        <v>3529</v>
      </c>
      <c r="B3042" t="s">
        <v>46</v>
      </c>
      <c r="C3042" t="s">
        <v>27</v>
      </c>
      <c r="E3042" t="s">
        <v>138</v>
      </c>
      <c r="G3042" t="s">
        <v>3530</v>
      </c>
      <c r="H3042" s="2">
        <v>44994.730555555558</v>
      </c>
      <c r="I3042" t="s">
        <v>29</v>
      </c>
      <c r="Z3042">
        <v>50015</v>
      </c>
    </row>
    <row r="3043" spans="1:26" x14ac:dyDescent="0.25">
      <c r="A3043" t="s">
        <v>3531</v>
      </c>
      <c r="B3043" t="s">
        <v>26</v>
      </c>
      <c r="C3043" t="s">
        <v>27</v>
      </c>
      <c r="H3043" s="2">
        <v>44994.614583333336</v>
      </c>
      <c r="I3043" t="s">
        <v>306</v>
      </c>
      <c r="Z3043">
        <v>50009</v>
      </c>
    </row>
    <row r="3044" spans="1:26" x14ac:dyDescent="0.25">
      <c r="A3044" t="s">
        <v>2251</v>
      </c>
      <c r="B3044" t="s">
        <v>26</v>
      </c>
      <c r="C3044" t="s">
        <v>27</v>
      </c>
      <c r="H3044" s="2">
        <v>44994.499305555553</v>
      </c>
      <c r="I3044" t="s">
        <v>29</v>
      </c>
      <c r="Z3044">
        <v>49999</v>
      </c>
    </row>
    <row r="3045" spans="1:26" x14ac:dyDescent="0.25">
      <c r="A3045" t="s">
        <v>3532</v>
      </c>
      <c r="B3045" t="s">
        <v>26</v>
      </c>
      <c r="C3045" t="s">
        <v>27</v>
      </c>
      <c r="H3045" s="2">
        <v>44993.765277777777</v>
      </c>
      <c r="I3045" t="s">
        <v>226</v>
      </c>
      <c r="Z3045">
        <v>49983</v>
      </c>
    </row>
    <row r="3046" spans="1:26" x14ac:dyDescent="0.25">
      <c r="A3046" t="s">
        <v>109</v>
      </c>
      <c r="C3046" t="s">
        <v>27</v>
      </c>
      <c r="E3046" t="s">
        <v>163</v>
      </c>
      <c r="H3046" s="2">
        <v>44993.709027777775</v>
      </c>
      <c r="I3046" t="s">
        <v>29</v>
      </c>
      <c r="Z3046">
        <v>49981</v>
      </c>
    </row>
    <row r="3047" spans="1:26" x14ac:dyDescent="0.25">
      <c r="A3047" t="s">
        <v>3533</v>
      </c>
      <c r="B3047" t="s">
        <v>26</v>
      </c>
      <c r="C3047" t="s">
        <v>27</v>
      </c>
      <c r="H3047" s="2">
        <v>44993.504166666666</v>
      </c>
      <c r="I3047" t="s">
        <v>226</v>
      </c>
      <c r="Z3047">
        <v>49976</v>
      </c>
    </row>
    <row r="3048" spans="1:26" x14ac:dyDescent="0.25">
      <c r="A3048" t="s">
        <v>3534</v>
      </c>
      <c r="B3048" t="s">
        <v>26</v>
      </c>
      <c r="C3048" t="s">
        <v>27</v>
      </c>
      <c r="H3048" s="2">
        <v>44992.786111111112</v>
      </c>
      <c r="I3048" t="s">
        <v>29</v>
      </c>
      <c r="Z3048">
        <v>49966</v>
      </c>
    </row>
    <row r="3049" spans="1:26" x14ac:dyDescent="0.25">
      <c r="A3049" t="s">
        <v>3535</v>
      </c>
      <c r="B3049" t="s">
        <v>26</v>
      </c>
      <c r="C3049" t="s">
        <v>27</v>
      </c>
      <c r="H3049" s="2">
        <v>44992.424305555556</v>
      </c>
      <c r="I3049" t="s">
        <v>226</v>
      </c>
      <c r="Z3049">
        <v>49921</v>
      </c>
    </row>
    <row r="3050" spans="1:26" x14ac:dyDescent="0.25">
      <c r="A3050" t="s">
        <v>3536</v>
      </c>
      <c r="B3050" t="s">
        <v>26</v>
      </c>
      <c r="C3050" t="s">
        <v>27</v>
      </c>
      <c r="H3050" s="2">
        <v>44991.838888888888</v>
      </c>
      <c r="I3050" t="s">
        <v>226</v>
      </c>
      <c r="Z3050">
        <v>49913</v>
      </c>
    </row>
    <row r="3051" spans="1:26" x14ac:dyDescent="0.25">
      <c r="A3051" t="s">
        <v>3537</v>
      </c>
      <c r="B3051" t="s">
        <v>26</v>
      </c>
      <c r="C3051" t="s">
        <v>27</v>
      </c>
      <c r="H3051" s="2">
        <v>44991.799305555556</v>
      </c>
      <c r="I3051" t="s">
        <v>315</v>
      </c>
      <c r="Z3051">
        <v>49911</v>
      </c>
    </row>
    <row r="3052" spans="1:26" x14ac:dyDescent="0.25">
      <c r="A3052" t="s">
        <v>3538</v>
      </c>
      <c r="B3052" t="s">
        <v>26</v>
      </c>
      <c r="C3052" t="s">
        <v>27</v>
      </c>
      <c r="H3052" s="2">
        <v>44991.790972222225</v>
      </c>
      <c r="I3052" t="s">
        <v>315</v>
      </c>
      <c r="Z3052">
        <v>49910</v>
      </c>
    </row>
    <row r="3053" spans="1:26" x14ac:dyDescent="0.25">
      <c r="A3053" t="s">
        <v>3539</v>
      </c>
      <c r="B3053" t="s">
        <v>26</v>
      </c>
      <c r="C3053" t="s">
        <v>27</v>
      </c>
      <c r="H3053" s="2">
        <v>44991.670138888891</v>
      </c>
      <c r="I3053" t="s">
        <v>153</v>
      </c>
      <c r="Z3053">
        <v>49901</v>
      </c>
    </row>
    <row r="3054" spans="1:26" x14ac:dyDescent="0.25">
      <c r="A3054" t="s">
        <v>3540</v>
      </c>
      <c r="B3054" t="s">
        <v>26</v>
      </c>
      <c r="C3054" t="s">
        <v>27</v>
      </c>
      <c r="E3054" t="s">
        <v>53</v>
      </c>
      <c r="H3054" s="2">
        <v>44990.65347222222</v>
      </c>
      <c r="I3054" t="s">
        <v>227</v>
      </c>
      <c r="Z3054">
        <v>49863</v>
      </c>
    </row>
    <row r="3055" spans="1:26" x14ac:dyDescent="0.25">
      <c r="A3055" t="s">
        <v>3541</v>
      </c>
      <c r="B3055" t="s">
        <v>26</v>
      </c>
      <c r="C3055" t="s">
        <v>27</v>
      </c>
      <c r="H3055" s="2">
        <v>44990.55</v>
      </c>
      <c r="I3055" t="s">
        <v>226</v>
      </c>
      <c r="Z3055">
        <v>49857</v>
      </c>
    </row>
    <row r="3056" spans="1:26" x14ac:dyDescent="0.25">
      <c r="A3056" t="s">
        <v>652</v>
      </c>
      <c r="B3056" t="s">
        <v>26</v>
      </c>
      <c r="C3056" t="s">
        <v>27</v>
      </c>
      <c r="H3056" s="2">
        <v>44989.690972222219</v>
      </c>
      <c r="I3056" t="s">
        <v>29</v>
      </c>
      <c r="Z3056">
        <v>49840</v>
      </c>
    </row>
    <row r="3057" spans="1:26" x14ac:dyDescent="0.25">
      <c r="A3057" t="s">
        <v>3542</v>
      </c>
      <c r="B3057" t="s">
        <v>26</v>
      </c>
      <c r="C3057" t="s">
        <v>27</v>
      </c>
      <c r="H3057" s="2">
        <v>44989.623611111114</v>
      </c>
      <c r="I3057" t="s">
        <v>306</v>
      </c>
      <c r="Z3057">
        <v>49839</v>
      </c>
    </row>
    <row r="3058" spans="1:26" x14ac:dyDescent="0.25">
      <c r="A3058" t="s">
        <v>1256</v>
      </c>
      <c r="B3058" t="s">
        <v>26</v>
      </c>
      <c r="C3058" t="s">
        <v>27</v>
      </c>
      <c r="H3058" s="2">
        <v>44988.826388888891</v>
      </c>
      <c r="I3058" t="s">
        <v>29</v>
      </c>
      <c r="Z3058">
        <v>49809</v>
      </c>
    </row>
    <row r="3059" spans="1:26" x14ac:dyDescent="0.25">
      <c r="A3059" t="s">
        <v>3543</v>
      </c>
      <c r="B3059" t="s">
        <v>26</v>
      </c>
      <c r="C3059" t="s">
        <v>27</v>
      </c>
      <c r="H3059" s="2">
        <v>44988.518055555556</v>
      </c>
      <c r="I3059" t="s">
        <v>227</v>
      </c>
      <c r="Z3059">
        <v>49776</v>
      </c>
    </row>
    <row r="3060" spans="1:26" x14ac:dyDescent="0.25">
      <c r="A3060" t="s">
        <v>3544</v>
      </c>
      <c r="B3060" t="s">
        <v>164</v>
      </c>
      <c r="C3060" t="s">
        <v>27</v>
      </c>
      <c r="E3060" t="s">
        <v>3545</v>
      </c>
      <c r="H3060" s="2">
        <v>44987.630555555559</v>
      </c>
      <c r="I3060" t="s">
        <v>194</v>
      </c>
      <c r="Z3060">
        <v>49736</v>
      </c>
    </row>
    <row r="3061" spans="1:26" x14ac:dyDescent="0.25">
      <c r="A3061" t="s">
        <v>3546</v>
      </c>
      <c r="B3061" t="s">
        <v>26</v>
      </c>
      <c r="C3061" t="s">
        <v>27</v>
      </c>
      <c r="H3061" s="2">
        <v>44987.526388888888</v>
      </c>
      <c r="I3061" t="s">
        <v>194</v>
      </c>
      <c r="Z3061">
        <v>49725</v>
      </c>
    </row>
    <row r="3062" spans="1:26" x14ac:dyDescent="0.25">
      <c r="A3062" t="s">
        <v>3547</v>
      </c>
      <c r="B3062" t="s">
        <v>26</v>
      </c>
      <c r="C3062" t="s">
        <v>27</v>
      </c>
      <c r="H3062" s="2">
        <v>44987.436805555553</v>
      </c>
      <c r="I3062" t="s">
        <v>194</v>
      </c>
      <c r="Z3062">
        <v>49712</v>
      </c>
    </row>
    <row r="3063" spans="1:26" x14ac:dyDescent="0.25">
      <c r="A3063" t="s">
        <v>2596</v>
      </c>
      <c r="B3063" t="s">
        <v>26</v>
      </c>
      <c r="C3063" t="s">
        <v>27</v>
      </c>
      <c r="H3063" s="2">
        <v>44987.429166666669</v>
      </c>
      <c r="I3063" t="s">
        <v>29</v>
      </c>
      <c r="Z3063">
        <v>49709</v>
      </c>
    </row>
    <row r="3064" spans="1:26" x14ac:dyDescent="0.25">
      <c r="A3064" t="s">
        <v>1054</v>
      </c>
      <c r="B3064" t="s">
        <v>26</v>
      </c>
      <c r="C3064" t="s">
        <v>27</v>
      </c>
      <c r="H3064" s="2">
        <v>44986.834722222222</v>
      </c>
      <c r="I3064" t="s">
        <v>29</v>
      </c>
      <c r="Z3064">
        <v>49697</v>
      </c>
    </row>
    <row r="3065" spans="1:26" x14ac:dyDescent="0.25">
      <c r="A3065" t="s">
        <v>3548</v>
      </c>
      <c r="B3065" t="s">
        <v>164</v>
      </c>
      <c r="C3065" t="s">
        <v>27</v>
      </c>
      <c r="E3065" t="s">
        <v>210</v>
      </c>
      <c r="H3065" s="2">
        <v>44986.784722222219</v>
      </c>
      <c r="I3065" t="s">
        <v>248</v>
      </c>
      <c r="Z3065">
        <v>49695</v>
      </c>
    </row>
    <row r="3066" spans="1:26" x14ac:dyDescent="0.25">
      <c r="A3066" t="s">
        <v>3549</v>
      </c>
      <c r="B3066" t="s">
        <v>26</v>
      </c>
      <c r="C3066" t="s">
        <v>27</v>
      </c>
      <c r="H3066" s="2">
        <v>44986.78125</v>
      </c>
      <c r="I3066" t="s">
        <v>226</v>
      </c>
      <c r="Z3066">
        <v>49694</v>
      </c>
    </row>
    <row r="3067" spans="1:26" x14ac:dyDescent="0.25">
      <c r="A3067" t="s">
        <v>3550</v>
      </c>
      <c r="B3067" t="s">
        <v>46</v>
      </c>
      <c r="C3067" t="s">
        <v>27</v>
      </c>
      <c r="E3067" t="s">
        <v>103</v>
      </c>
      <c r="G3067" t="s">
        <v>3551</v>
      </c>
      <c r="H3067" s="2">
        <v>44986.496527777781</v>
      </c>
      <c r="I3067" t="s">
        <v>29</v>
      </c>
      <c r="Z3067">
        <v>49678</v>
      </c>
    </row>
    <row r="3068" spans="1:26" x14ac:dyDescent="0.25">
      <c r="A3068" t="s">
        <v>3552</v>
      </c>
      <c r="B3068" t="s">
        <v>26</v>
      </c>
      <c r="C3068" t="s">
        <v>27</v>
      </c>
      <c r="H3068" s="2">
        <v>44986.419444444444</v>
      </c>
      <c r="I3068" t="s">
        <v>29</v>
      </c>
      <c r="Z3068">
        <v>49669</v>
      </c>
    </row>
    <row r="3069" spans="1:26" x14ac:dyDescent="0.25">
      <c r="A3069" t="s">
        <v>3553</v>
      </c>
      <c r="B3069" t="s">
        <v>26</v>
      </c>
      <c r="C3069" t="s">
        <v>27</v>
      </c>
      <c r="H3069" s="2">
        <v>44985.908333333333</v>
      </c>
      <c r="I3069" t="s">
        <v>226</v>
      </c>
      <c r="Z3069">
        <v>49665</v>
      </c>
    </row>
    <row r="3070" spans="1:26" x14ac:dyDescent="0.25">
      <c r="A3070" t="s">
        <v>3554</v>
      </c>
      <c r="B3070" t="s">
        <v>26</v>
      </c>
      <c r="C3070" t="s">
        <v>27</v>
      </c>
      <c r="H3070" s="2">
        <v>44985.841666666667</v>
      </c>
      <c r="I3070" t="s">
        <v>227</v>
      </c>
      <c r="Z3070">
        <v>49662</v>
      </c>
    </row>
    <row r="3071" spans="1:26" x14ac:dyDescent="0.25">
      <c r="A3071" t="s">
        <v>3555</v>
      </c>
      <c r="B3071" t="s">
        <v>26</v>
      </c>
      <c r="C3071" t="s">
        <v>27</v>
      </c>
      <c r="H3071" s="2">
        <v>44985.652083333334</v>
      </c>
      <c r="I3071" t="s">
        <v>227</v>
      </c>
      <c r="Z3071">
        <v>49654</v>
      </c>
    </row>
    <row r="3072" spans="1:26" x14ac:dyDescent="0.25">
      <c r="A3072" t="s">
        <v>3556</v>
      </c>
      <c r="B3072" t="s">
        <v>26</v>
      </c>
      <c r="C3072" t="s">
        <v>27</v>
      </c>
      <c r="H3072" s="2">
        <v>44985.447222222225</v>
      </c>
      <c r="I3072" t="s">
        <v>315</v>
      </c>
      <c r="Z3072">
        <v>49641</v>
      </c>
    </row>
    <row r="3073" spans="1:26" x14ac:dyDescent="0.25">
      <c r="A3073" t="s">
        <v>3523</v>
      </c>
      <c r="B3073" t="s">
        <v>26</v>
      </c>
      <c r="C3073" t="s">
        <v>27</v>
      </c>
      <c r="E3073" t="s">
        <v>3557</v>
      </c>
      <c r="H3073" s="2">
        <v>44985.435416666667</v>
      </c>
      <c r="I3073" t="s">
        <v>227</v>
      </c>
      <c r="Z3073">
        <v>49639</v>
      </c>
    </row>
    <row r="3074" spans="1:26" x14ac:dyDescent="0.25">
      <c r="A3074" t="s">
        <v>3558</v>
      </c>
      <c r="B3074" t="s">
        <v>26</v>
      </c>
      <c r="C3074" t="s">
        <v>27</v>
      </c>
      <c r="H3074" s="2">
        <v>44985.40347222222</v>
      </c>
      <c r="I3074" t="s">
        <v>315</v>
      </c>
      <c r="Z3074">
        <v>49636</v>
      </c>
    </row>
    <row r="3075" spans="1:26" x14ac:dyDescent="0.25">
      <c r="A3075" t="s">
        <v>3559</v>
      </c>
      <c r="B3075" t="s">
        <v>26</v>
      </c>
      <c r="C3075" t="s">
        <v>27</v>
      </c>
      <c r="H3075" s="2">
        <v>44984.800694444442</v>
      </c>
      <c r="I3075" t="s">
        <v>227</v>
      </c>
      <c r="Z3075">
        <v>49630</v>
      </c>
    </row>
    <row r="3076" spans="1:26" x14ac:dyDescent="0.25">
      <c r="A3076" t="s">
        <v>301</v>
      </c>
      <c r="B3076" t="s">
        <v>164</v>
      </c>
      <c r="C3076" t="s">
        <v>27</v>
      </c>
      <c r="E3076" t="s">
        <v>156</v>
      </c>
      <c r="H3076" s="2">
        <v>44984.581250000003</v>
      </c>
      <c r="I3076" t="s">
        <v>226</v>
      </c>
      <c r="Z3076">
        <v>49611</v>
      </c>
    </row>
    <row r="3077" spans="1:26" x14ac:dyDescent="0.25">
      <c r="A3077" t="s">
        <v>3560</v>
      </c>
      <c r="B3077" t="s">
        <v>26</v>
      </c>
      <c r="C3077" t="s">
        <v>27</v>
      </c>
      <c r="H3077" s="2">
        <v>44984.57708333333</v>
      </c>
      <c r="I3077" t="s">
        <v>226</v>
      </c>
      <c r="Z3077">
        <v>49610</v>
      </c>
    </row>
    <row r="3078" spans="1:26" x14ac:dyDescent="0.25">
      <c r="A3078" t="s">
        <v>3561</v>
      </c>
      <c r="B3078" t="s">
        <v>150</v>
      </c>
      <c r="C3078" t="s">
        <v>27</v>
      </c>
      <c r="E3078" t="s">
        <v>138</v>
      </c>
      <c r="H3078" s="2">
        <v>44984.513888888891</v>
      </c>
      <c r="I3078" t="s">
        <v>227</v>
      </c>
      <c r="Z3078">
        <v>49603</v>
      </c>
    </row>
    <row r="3079" spans="1:26" x14ac:dyDescent="0.25">
      <c r="A3079" t="s">
        <v>3562</v>
      </c>
      <c r="B3079" t="s">
        <v>26</v>
      </c>
      <c r="C3079" t="s">
        <v>27</v>
      </c>
      <c r="H3079" s="2">
        <v>44984.477777777778</v>
      </c>
      <c r="I3079" t="s">
        <v>226</v>
      </c>
      <c r="Z3079">
        <v>49600</v>
      </c>
    </row>
    <row r="3080" spans="1:26" x14ac:dyDescent="0.25">
      <c r="A3080" t="s">
        <v>3563</v>
      </c>
      <c r="B3080" t="s">
        <v>26</v>
      </c>
      <c r="C3080" t="s">
        <v>27</v>
      </c>
      <c r="H3080" s="2">
        <v>44983.684027777781</v>
      </c>
      <c r="I3080" t="s">
        <v>29</v>
      </c>
      <c r="Z3080">
        <v>49580</v>
      </c>
    </row>
    <row r="3081" spans="1:26" x14ac:dyDescent="0.25">
      <c r="A3081" t="s">
        <v>3564</v>
      </c>
      <c r="B3081" t="s">
        <v>26</v>
      </c>
      <c r="C3081" t="s">
        <v>27</v>
      </c>
      <c r="H3081" s="2">
        <v>44983.493750000001</v>
      </c>
      <c r="I3081" t="s">
        <v>227</v>
      </c>
      <c r="Z3081">
        <v>49564</v>
      </c>
    </row>
    <row r="3082" spans="1:26" x14ac:dyDescent="0.25">
      <c r="A3082" t="s">
        <v>3553</v>
      </c>
      <c r="B3082" t="s">
        <v>26</v>
      </c>
      <c r="C3082" t="s">
        <v>27</v>
      </c>
      <c r="H3082" s="2">
        <v>44982.863888888889</v>
      </c>
      <c r="I3082" t="s">
        <v>227</v>
      </c>
      <c r="Z3082">
        <v>49555</v>
      </c>
    </row>
    <row r="3083" spans="1:26" x14ac:dyDescent="0.25">
      <c r="A3083" t="s">
        <v>3565</v>
      </c>
      <c r="B3083" t="s">
        <v>26</v>
      </c>
      <c r="C3083" t="s">
        <v>27</v>
      </c>
      <c r="H3083" s="2">
        <v>44982.816666666666</v>
      </c>
      <c r="I3083" t="s">
        <v>227</v>
      </c>
      <c r="Z3083">
        <v>49551</v>
      </c>
    </row>
    <row r="3084" spans="1:26" x14ac:dyDescent="0.25">
      <c r="A3084" t="s">
        <v>3566</v>
      </c>
      <c r="B3084" t="s">
        <v>26</v>
      </c>
      <c r="C3084" t="s">
        <v>27</v>
      </c>
      <c r="H3084" s="2">
        <v>44982.713194444441</v>
      </c>
      <c r="I3084" t="s">
        <v>29</v>
      </c>
      <c r="Z3084">
        <v>49546</v>
      </c>
    </row>
    <row r="3085" spans="1:26" x14ac:dyDescent="0.25">
      <c r="A3085" t="s">
        <v>3567</v>
      </c>
      <c r="B3085" t="s">
        <v>26</v>
      </c>
      <c r="C3085" t="s">
        <v>27</v>
      </c>
      <c r="H3085" s="2">
        <v>44982.655555555553</v>
      </c>
      <c r="I3085" t="s">
        <v>29</v>
      </c>
      <c r="Z3085">
        <v>49540</v>
      </c>
    </row>
    <row r="3086" spans="1:26" x14ac:dyDescent="0.25">
      <c r="A3086" t="s">
        <v>3568</v>
      </c>
      <c r="B3086" t="s">
        <v>26</v>
      </c>
      <c r="C3086" t="s">
        <v>27</v>
      </c>
      <c r="H3086" s="2">
        <v>44982.436111111114</v>
      </c>
      <c r="I3086" t="s">
        <v>227</v>
      </c>
      <c r="Z3086">
        <v>49521</v>
      </c>
    </row>
    <row r="3087" spans="1:26" x14ac:dyDescent="0.25">
      <c r="A3087" t="s">
        <v>712</v>
      </c>
      <c r="B3087" t="s">
        <v>52</v>
      </c>
      <c r="C3087" t="s">
        <v>27</v>
      </c>
      <c r="H3087" s="2">
        <v>44980.788888888892</v>
      </c>
      <c r="I3087" t="s">
        <v>306</v>
      </c>
      <c r="Z3087">
        <v>49472</v>
      </c>
    </row>
    <row r="3088" spans="1:26" x14ac:dyDescent="0.25">
      <c r="A3088" t="s">
        <v>3569</v>
      </c>
      <c r="B3088" t="s">
        <v>26</v>
      </c>
      <c r="C3088" t="s">
        <v>27</v>
      </c>
      <c r="H3088" s="2">
        <v>44979.72152777778</v>
      </c>
      <c r="I3088" t="s">
        <v>306</v>
      </c>
      <c r="Z3088">
        <v>49441</v>
      </c>
    </row>
    <row r="3089" spans="1:26" x14ac:dyDescent="0.25">
      <c r="A3089" t="s">
        <v>3570</v>
      </c>
      <c r="B3089" t="s">
        <v>26</v>
      </c>
      <c r="C3089" t="s">
        <v>27</v>
      </c>
      <c r="H3089" s="2">
        <v>44979.588888888888</v>
      </c>
      <c r="I3089" t="s">
        <v>226</v>
      </c>
      <c r="Z3089">
        <v>49427</v>
      </c>
    </row>
    <row r="3090" spans="1:26" x14ac:dyDescent="0.25">
      <c r="A3090" t="s">
        <v>3571</v>
      </c>
      <c r="B3090" t="s">
        <v>26</v>
      </c>
      <c r="C3090" t="s">
        <v>27</v>
      </c>
      <c r="H3090" s="2">
        <v>44979.433333333334</v>
      </c>
      <c r="I3090" t="s">
        <v>226</v>
      </c>
      <c r="Z3090">
        <v>49411</v>
      </c>
    </row>
    <row r="3091" spans="1:26" x14ac:dyDescent="0.25">
      <c r="A3091" t="s">
        <v>97</v>
      </c>
      <c r="C3091" t="s">
        <v>27</v>
      </c>
      <c r="E3091" t="s">
        <v>44</v>
      </c>
      <c r="H3091" s="2">
        <v>44979.351388888892</v>
      </c>
      <c r="I3091" t="s">
        <v>226</v>
      </c>
      <c r="Z3091">
        <v>49399</v>
      </c>
    </row>
    <row r="3092" spans="1:26" x14ac:dyDescent="0.25">
      <c r="A3092" t="s">
        <v>3572</v>
      </c>
      <c r="C3092" t="s">
        <v>27</v>
      </c>
      <c r="E3092" t="s">
        <v>44</v>
      </c>
      <c r="H3092" s="2">
        <v>44978.693749999999</v>
      </c>
      <c r="I3092" t="s">
        <v>226</v>
      </c>
      <c r="Z3092">
        <v>49384</v>
      </c>
    </row>
    <row r="3093" spans="1:26" x14ac:dyDescent="0.25">
      <c r="A3093" t="s">
        <v>3044</v>
      </c>
      <c r="B3093" t="s">
        <v>26</v>
      </c>
      <c r="C3093" t="s">
        <v>27</v>
      </c>
      <c r="H3093" s="2">
        <v>44978.422222222223</v>
      </c>
      <c r="I3093" t="s">
        <v>194</v>
      </c>
      <c r="Z3093">
        <v>49359</v>
      </c>
    </row>
    <row r="3094" spans="1:26" x14ac:dyDescent="0.25">
      <c r="A3094" t="s">
        <v>3573</v>
      </c>
      <c r="B3094" t="s">
        <v>26</v>
      </c>
      <c r="C3094" t="s">
        <v>27</v>
      </c>
      <c r="H3094" s="2">
        <v>44977.681944444441</v>
      </c>
      <c r="I3094" t="s">
        <v>227</v>
      </c>
      <c r="Z3094">
        <v>49337</v>
      </c>
    </row>
    <row r="3095" spans="1:26" x14ac:dyDescent="0.25">
      <c r="A3095" t="s">
        <v>3574</v>
      </c>
      <c r="B3095" t="s">
        <v>26</v>
      </c>
      <c r="C3095" t="s">
        <v>27</v>
      </c>
      <c r="E3095" t="s">
        <v>3575</v>
      </c>
      <c r="H3095" s="2">
        <v>44977.661805555559</v>
      </c>
      <c r="I3095" t="s">
        <v>227</v>
      </c>
      <c r="Z3095">
        <v>49335</v>
      </c>
    </row>
    <row r="3096" spans="1:26" x14ac:dyDescent="0.25">
      <c r="A3096" t="s">
        <v>1256</v>
      </c>
      <c r="B3096" t="s">
        <v>26</v>
      </c>
      <c r="C3096" t="s">
        <v>27</v>
      </c>
      <c r="H3096" s="2">
        <v>44976.675000000003</v>
      </c>
      <c r="I3096" t="s">
        <v>294</v>
      </c>
      <c r="Z3096">
        <v>49255</v>
      </c>
    </row>
    <row r="3097" spans="1:26" x14ac:dyDescent="0.25">
      <c r="A3097" t="s">
        <v>1054</v>
      </c>
      <c r="B3097" t="s">
        <v>26</v>
      </c>
      <c r="C3097" t="s">
        <v>27</v>
      </c>
      <c r="H3097" s="2">
        <v>44976.594444444447</v>
      </c>
      <c r="I3097" t="s">
        <v>29</v>
      </c>
      <c r="Z3097">
        <v>49246</v>
      </c>
    </row>
    <row r="3098" spans="1:26" x14ac:dyDescent="0.25">
      <c r="A3098" t="s">
        <v>712</v>
      </c>
      <c r="B3098" t="s">
        <v>26</v>
      </c>
      <c r="C3098" t="s">
        <v>206</v>
      </c>
      <c r="H3098" s="2">
        <v>44975.643055555556</v>
      </c>
      <c r="I3098" t="s">
        <v>29</v>
      </c>
      <c r="Z3098">
        <v>49204</v>
      </c>
    </row>
    <row r="3099" spans="1:26" x14ac:dyDescent="0.25">
      <c r="A3099" t="s">
        <v>3576</v>
      </c>
      <c r="B3099" t="s">
        <v>26</v>
      </c>
      <c r="C3099" t="s">
        <v>27</v>
      </c>
      <c r="H3099" s="2">
        <v>44974.761805555558</v>
      </c>
      <c r="I3099" t="s">
        <v>226</v>
      </c>
      <c r="Z3099">
        <v>49162</v>
      </c>
    </row>
    <row r="3100" spans="1:26" x14ac:dyDescent="0.25">
      <c r="A3100" t="s">
        <v>3577</v>
      </c>
      <c r="B3100" t="s">
        <v>26</v>
      </c>
      <c r="C3100" t="s">
        <v>27</v>
      </c>
      <c r="H3100" s="2">
        <v>44974.429861111108</v>
      </c>
      <c r="I3100" t="s">
        <v>226</v>
      </c>
      <c r="Z3100">
        <v>49130</v>
      </c>
    </row>
    <row r="3101" spans="1:26" x14ac:dyDescent="0.25">
      <c r="A3101" t="s">
        <v>3578</v>
      </c>
      <c r="B3101" t="s">
        <v>26</v>
      </c>
      <c r="C3101" t="s">
        <v>27</v>
      </c>
      <c r="H3101" s="2">
        <v>44973.704861111109</v>
      </c>
      <c r="I3101" t="s">
        <v>227</v>
      </c>
      <c r="Z3101">
        <v>49113</v>
      </c>
    </row>
    <row r="3102" spans="1:26" x14ac:dyDescent="0.25">
      <c r="A3102" t="s">
        <v>3579</v>
      </c>
      <c r="B3102" t="s">
        <v>26</v>
      </c>
      <c r="C3102" t="s">
        <v>27</v>
      </c>
      <c r="H3102" s="2">
        <v>44973.671527777777</v>
      </c>
      <c r="I3102" t="s">
        <v>315</v>
      </c>
      <c r="Z3102">
        <v>49112</v>
      </c>
    </row>
    <row r="3103" spans="1:26" x14ac:dyDescent="0.25">
      <c r="A3103" t="s">
        <v>3580</v>
      </c>
      <c r="B3103" t="s">
        <v>26</v>
      </c>
      <c r="C3103" t="s">
        <v>27</v>
      </c>
      <c r="H3103" s="2">
        <v>44973.534722222219</v>
      </c>
      <c r="I3103" t="s">
        <v>226</v>
      </c>
      <c r="Z3103">
        <v>49098</v>
      </c>
    </row>
    <row r="3104" spans="1:26" x14ac:dyDescent="0.25">
      <c r="A3104" t="s">
        <v>3581</v>
      </c>
      <c r="B3104" t="s">
        <v>26</v>
      </c>
      <c r="C3104" t="s">
        <v>27</v>
      </c>
      <c r="H3104" s="2">
        <v>44972.755555555559</v>
      </c>
      <c r="I3104" t="s">
        <v>226</v>
      </c>
      <c r="Z3104">
        <v>49069</v>
      </c>
    </row>
    <row r="3105" spans="1:26" x14ac:dyDescent="0.25">
      <c r="A3105" t="s">
        <v>202</v>
      </c>
      <c r="B3105" t="s">
        <v>185</v>
      </c>
      <c r="C3105" t="s">
        <v>27</v>
      </c>
      <c r="E3105" t="s">
        <v>88</v>
      </c>
      <c r="H3105" s="2">
        <v>44971.947222222225</v>
      </c>
      <c r="I3105" t="s">
        <v>227</v>
      </c>
      <c r="Z3105">
        <v>49023</v>
      </c>
    </row>
    <row r="3106" spans="1:26" x14ac:dyDescent="0.25">
      <c r="A3106" t="s">
        <v>1256</v>
      </c>
      <c r="B3106" t="s">
        <v>26</v>
      </c>
      <c r="C3106" t="s">
        <v>27</v>
      </c>
      <c r="H3106" s="2">
        <v>44970.629861111112</v>
      </c>
      <c r="I3106" t="s">
        <v>294</v>
      </c>
      <c r="Z3106">
        <v>48955</v>
      </c>
    </row>
    <row r="3107" spans="1:26" x14ac:dyDescent="0.25">
      <c r="A3107" t="s">
        <v>3582</v>
      </c>
      <c r="B3107" t="s">
        <v>77</v>
      </c>
      <c r="C3107" t="s">
        <v>27</v>
      </c>
      <c r="E3107" t="s">
        <v>44</v>
      </c>
      <c r="H3107" s="2">
        <v>44970.572222222225</v>
      </c>
      <c r="I3107" t="s">
        <v>153</v>
      </c>
      <c r="Z3107">
        <v>48950</v>
      </c>
    </row>
    <row r="3108" spans="1:26" x14ac:dyDescent="0.25">
      <c r="A3108" t="s">
        <v>1054</v>
      </c>
      <c r="B3108" t="s">
        <v>26</v>
      </c>
      <c r="C3108" t="s">
        <v>27</v>
      </c>
      <c r="H3108" s="2">
        <v>44969.65347222222</v>
      </c>
      <c r="I3108" t="s">
        <v>29</v>
      </c>
      <c r="Z3108">
        <v>48904</v>
      </c>
    </row>
    <row r="3109" spans="1:26" x14ac:dyDescent="0.25">
      <c r="A3109" t="s">
        <v>3583</v>
      </c>
      <c r="B3109" t="s">
        <v>26</v>
      </c>
      <c r="C3109" t="s">
        <v>27</v>
      </c>
      <c r="H3109" s="2">
        <v>44968.511805555558</v>
      </c>
      <c r="I3109" t="s">
        <v>306</v>
      </c>
      <c r="Z3109">
        <v>48839</v>
      </c>
    </row>
    <row r="3110" spans="1:26" x14ac:dyDescent="0.25">
      <c r="A3110" t="s">
        <v>325</v>
      </c>
      <c r="B3110" t="s">
        <v>26</v>
      </c>
      <c r="C3110" t="s">
        <v>27</v>
      </c>
      <c r="H3110" s="2">
        <v>44967.709722222222</v>
      </c>
      <c r="I3110" t="s">
        <v>315</v>
      </c>
      <c r="Z3110">
        <v>48809</v>
      </c>
    </row>
    <row r="3111" spans="1:26" x14ac:dyDescent="0.25">
      <c r="A3111" t="s">
        <v>3584</v>
      </c>
      <c r="B3111" t="s">
        <v>164</v>
      </c>
      <c r="C3111" t="s">
        <v>27</v>
      </c>
      <c r="E3111" t="s">
        <v>3585</v>
      </c>
      <c r="H3111" s="2">
        <v>44967.649305555555</v>
      </c>
      <c r="I3111" t="s">
        <v>227</v>
      </c>
      <c r="Z3111">
        <v>48800</v>
      </c>
    </row>
    <row r="3112" spans="1:26" x14ac:dyDescent="0.25">
      <c r="A3112" t="s">
        <v>3586</v>
      </c>
      <c r="B3112" t="s">
        <v>26</v>
      </c>
      <c r="C3112" t="s">
        <v>27</v>
      </c>
      <c r="H3112" s="2">
        <v>44967.478472222225</v>
      </c>
      <c r="I3112" t="s">
        <v>227</v>
      </c>
      <c r="Z3112">
        <v>48781</v>
      </c>
    </row>
    <row r="3113" spans="1:26" x14ac:dyDescent="0.25">
      <c r="A3113" t="s">
        <v>3587</v>
      </c>
      <c r="B3113" t="s">
        <v>26</v>
      </c>
      <c r="C3113" t="s">
        <v>27</v>
      </c>
      <c r="H3113" s="2">
        <v>44967.473611111112</v>
      </c>
      <c r="I3113" t="s">
        <v>306</v>
      </c>
      <c r="Z3113">
        <v>48779</v>
      </c>
    </row>
    <row r="3114" spans="1:26" x14ac:dyDescent="0.25">
      <c r="A3114" t="s">
        <v>109</v>
      </c>
      <c r="C3114" t="s">
        <v>27</v>
      </c>
      <c r="E3114" t="s">
        <v>60</v>
      </c>
      <c r="H3114" s="2">
        <v>44965.620833333334</v>
      </c>
      <c r="I3114" t="s">
        <v>327</v>
      </c>
      <c r="Z3114">
        <v>48685</v>
      </c>
    </row>
    <row r="3115" spans="1:26" x14ac:dyDescent="0.25">
      <c r="A3115" t="s">
        <v>3588</v>
      </c>
      <c r="B3115" t="s">
        <v>26</v>
      </c>
      <c r="C3115" t="s">
        <v>27</v>
      </c>
      <c r="H3115" s="2">
        <v>44964.604166666664</v>
      </c>
      <c r="I3115" t="s">
        <v>315</v>
      </c>
      <c r="Z3115">
        <v>48607</v>
      </c>
    </row>
    <row r="3116" spans="1:26" x14ac:dyDescent="0.25">
      <c r="A3116" t="s">
        <v>3589</v>
      </c>
      <c r="B3116" t="s">
        <v>46</v>
      </c>
      <c r="C3116" t="s">
        <v>27</v>
      </c>
      <c r="E3116" t="s">
        <v>87</v>
      </c>
      <c r="G3116" t="s">
        <v>3590</v>
      </c>
      <c r="H3116" s="2">
        <v>44964.531944444447</v>
      </c>
      <c r="I3116" t="s">
        <v>29</v>
      </c>
      <c r="Z3116">
        <v>48596</v>
      </c>
    </row>
    <row r="3117" spans="1:26" x14ac:dyDescent="0.25">
      <c r="A3117" t="s">
        <v>3591</v>
      </c>
      <c r="B3117" t="s">
        <v>26</v>
      </c>
      <c r="C3117" t="s">
        <v>27</v>
      </c>
      <c r="H3117" s="2">
        <v>44964.5</v>
      </c>
      <c r="I3117" t="s">
        <v>29</v>
      </c>
      <c r="Z3117">
        <v>48591</v>
      </c>
    </row>
    <row r="3118" spans="1:26" x14ac:dyDescent="0.25">
      <c r="A3118" t="s">
        <v>3592</v>
      </c>
      <c r="B3118" t="s">
        <v>26</v>
      </c>
      <c r="C3118" t="s">
        <v>27</v>
      </c>
      <c r="H3118" s="2">
        <v>44963.712500000001</v>
      </c>
      <c r="I3118" t="s">
        <v>315</v>
      </c>
      <c r="Z3118">
        <v>48540</v>
      </c>
    </row>
    <row r="3119" spans="1:26" x14ac:dyDescent="0.25">
      <c r="A3119" t="s">
        <v>3593</v>
      </c>
      <c r="B3119" t="s">
        <v>26</v>
      </c>
      <c r="C3119" t="s">
        <v>27</v>
      </c>
      <c r="H3119" s="2">
        <v>44963.705555555556</v>
      </c>
      <c r="I3119" t="s">
        <v>153</v>
      </c>
      <c r="Z3119">
        <v>48538</v>
      </c>
    </row>
    <row r="3120" spans="1:26" x14ac:dyDescent="0.25">
      <c r="A3120" t="s">
        <v>3594</v>
      </c>
      <c r="B3120" t="s">
        <v>164</v>
      </c>
      <c r="C3120" t="s">
        <v>27</v>
      </c>
      <c r="E3120" t="s">
        <v>1451</v>
      </c>
      <c r="G3120" t="s">
        <v>53</v>
      </c>
      <c r="H3120" s="2">
        <v>44963.487500000003</v>
      </c>
      <c r="I3120" t="s">
        <v>29</v>
      </c>
      <c r="Z3120">
        <v>48500</v>
      </c>
    </row>
    <row r="3121" spans="1:26" x14ac:dyDescent="0.25">
      <c r="A3121" t="s">
        <v>652</v>
      </c>
      <c r="B3121" t="s">
        <v>26</v>
      </c>
      <c r="C3121" t="s">
        <v>27</v>
      </c>
      <c r="H3121" s="2">
        <v>44963.472916666666</v>
      </c>
      <c r="I3121" t="s">
        <v>327</v>
      </c>
      <c r="Z3121">
        <v>48493</v>
      </c>
    </row>
    <row r="3122" spans="1:26" x14ac:dyDescent="0.25">
      <c r="A3122" t="s">
        <v>3595</v>
      </c>
      <c r="B3122" t="s">
        <v>26</v>
      </c>
      <c r="C3122" t="s">
        <v>27</v>
      </c>
      <c r="E3122" t="s">
        <v>244</v>
      </c>
      <c r="G3122" t="s">
        <v>244</v>
      </c>
      <c r="H3122" s="2">
        <v>44963.441666666666</v>
      </c>
      <c r="I3122" t="s">
        <v>29</v>
      </c>
      <c r="Z3122">
        <v>48483</v>
      </c>
    </row>
    <row r="3123" spans="1:26" x14ac:dyDescent="0.25">
      <c r="A3123" t="s">
        <v>97</v>
      </c>
      <c r="C3123" t="s">
        <v>27</v>
      </c>
      <c r="E3123" t="s">
        <v>298</v>
      </c>
      <c r="H3123" s="2">
        <v>44963.409722222219</v>
      </c>
      <c r="I3123" t="s">
        <v>153</v>
      </c>
      <c r="Z3123">
        <v>48475</v>
      </c>
    </row>
    <row r="3124" spans="1:26" x14ac:dyDescent="0.25">
      <c r="A3124" t="s">
        <v>3596</v>
      </c>
      <c r="B3124" t="s">
        <v>26</v>
      </c>
      <c r="C3124" t="s">
        <v>27</v>
      </c>
      <c r="H3124" s="2">
        <v>44962.45208333333</v>
      </c>
      <c r="I3124" t="s">
        <v>315</v>
      </c>
      <c r="Z3124">
        <v>48417</v>
      </c>
    </row>
    <row r="3125" spans="1:26" x14ac:dyDescent="0.25">
      <c r="A3125" t="s">
        <v>3597</v>
      </c>
      <c r="B3125" t="s">
        <v>26</v>
      </c>
      <c r="C3125" t="s">
        <v>27</v>
      </c>
      <c r="H3125" s="2">
        <v>44961.533333333333</v>
      </c>
      <c r="I3125" t="s">
        <v>226</v>
      </c>
      <c r="Z3125">
        <v>48365</v>
      </c>
    </row>
    <row r="3126" spans="1:26" x14ac:dyDescent="0.25">
      <c r="A3126" t="s">
        <v>3598</v>
      </c>
      <c r="B3126" t="s">
        <v>26</v>
      </c>
      <c r="C3126" t="s">
        <v>27</v>
      </c>
      <c r="H3126" s="2">
        <v>44960.472222222219</v>
      </c>
      <c r="I3126" t="s">
        <v>306</v>
      </c>
      <c r="Z3126">
        <v>48300</v>
      </c>
    </row>
    <row r="3127" spans="1:26" x14ac:dyDescent="0.25">
      <c r="A3127" t="s">
        <v>652</v>
      </c>
      <c r="B3127" t="s">
        <v>26</v>
      </c>
      <c r="C3127" t="s">
        <v>27</v>
      </c>
      <c r="H3127" s="2">
        <v>44959.44027777778</v>
      </c>
      <c r="I3127" t="s">
        <v>327</v>
      </c>
      <c r="Z3127">
        <v>48249</v>
      </c>
    </row>
    <row r="3128" spans="1:26" x14ac:dyDescent="0.25">
      <c r="A3128" t="s">
        <v>3599</v>
      </c>
      <c r="B3128" t="s">
        <v>26</v>
      </c>
      <c r="C3128" t="s">
        <v>27</v>
      </c>
      <c r="H3128" s="2">
        <v>44958.619444444441</v>
      </c>
      <c r="I3128" t="s">
        <v>153</v>
      </c>
      <c r="Z3128">
        <v>48210</v>
      </c>
    </row>
    <row r="3129" spans="1:26" x14ac:dyDescent="0.25">
      <c r="A3129" t="s">
        <v>3600</v>
      </c>
      <c r="B3129" t="s">
        <v>26</v>
      </c>
      <c r="C3129" t="s">
        <v>27</v>
      </c>
      <c r="H3129" s="2">
        <v>44958.55972222222</v>
      </c>
      <c r="I3129" t="s">
        <v>306</v>
      </c>
      <c r="Z3129">
        <v>48203</v>
      </c>
    </row>
    <row r="3130" spans="1:26" x14ac:dyDescent="0.25">
      <c r="A3130" t="s">
        <v>3601</v>
      </c>
      <c r="B3130" t="s">
        <v>26</v>
      </c>
      <c r="C3130" t="s">
        <v>27</v>
      </c>
      <c r="H3130" s="2">
        <v>44954.40625</v>
      </c>
      <c r="I3130" t="s">
        <v>227</v>
      </c>
      <c r="Z3130">
        <v>48003</v>
      </c>
    </row>
    <row r="3131" spans="1:26" x14ac:dyDescent="0.25">
      <c r="A3131" t="s">
        <v>1256</v>
      </c>
      <c r="B3131" t="s">
        <v>26</v>
      </c>
      <c r="C3131" t="s">
        <v>27</v>
      </c>
      <c r="H3131" s="2">
        <v>44953.606249999997</v>
      </c>
      <c r="I3131" t="s">
        <v>327</v>
      </c>
      <c r="Z3131">
        <v>47969</v>
      </c>
    </row>
    <row r="3132" spans="1:26" x14ac:dyDescent="0.25">
      <c r="A3132" t="s">
        <v>3602</v>
      </c>
      <c r="B3132" t="s">
        <v>26</v>
      </c>
      <c r="C3132" t="s">
        <v>27</v>
      </c>
      <c r="H3132" s="2">
        <v>44953.543749999997</v>
      </c>
      <c r="I3132" t="s">
        <v>29</v>
      </c>
      <c r="Z3132">
        <v>47957</v>
      </c>
    </row>
    <row r="3133" spans="1:26" x14ac:dyDescent="0.25">
      <c r="A3133" t="s">
        <v>652</v>
      </c>
      <c r="B3133" t="s">
        <v>26</v>
      </c>
      <c r="C3133" t="s">
        <v>27</v>
      </c>
      <c r="H3133" s="2">
        <v>44953.414583333331</v>
      </c>
      <c r="I3133" t="s">
        <v>327</v>
      </c>
      <c r="Z3133">
        <v>47941</v>
      </c>
    </row>
    <row r="3134" spans="1:26" x14ac:dyDescent="0.25">
      <c r="A3134" t="s">
        <v>3603</v>
      </c>
      <c r="B3134" t="s">
        <v>26</v>
      </c>
      <c r="C3134" t="s">
        <v>27</v>
      </c>
      <c r="H3134" s="2">
        <v>44952.522222222222</v>
      </c>
      <c r="I3134" t="s">
        <v>306</v>
      </c>
      <c r="Z3134">
        <v>47899</v>
      </c>
    </row>
    <row r="3135" spans="1:26" x14ac:dyDescent="0.25">
      <c r="A3135" t="s">
        <v>1684</v>
      </c>
      <c r="B3135" t="s">
        <v>46</v>
      </c>
      <c r="C3135" t="s">
        <v>27</v>
      </c>
      <c r="E3135" t="s">
        <v>88</v>
      </c>
      <c r="G3135" t="s">
        <v>3604</v>
      </c>
      <c r="H3135" s="2">
        <v>44951.585416666669</v>
      </c>
      <c r="I3135" t="s">
        <v>248</v>
      </c>
      <c r="Z3135">
        <v>47849</v>
      </c>
    </row>
    <row r="3136" spans="1:26" x14ac:dyDescent="0.25">
      <c r="A3136" t="s">
        <v>3605</v>
      </c>
      <c r="B3136" t="s">
        <v>26</v>
      </c>
      <c r="C3136" t="s">
        <v>27</v>
      </c>
      <c r="H3136" s="2">
        <v>44951.565972222219</v>
      </c>
      <c r="I3136" t="s">
        <v>29</v>
      </c>
      <c r="Z3136">
        <v>47843</v>
      </c>
    </row>
    <row r="3137" spans="1:26" x14ac:dyDescent="0.25">
      <c r="A3137" t="s">
        <v>3606</v>
      </c>
      <c r="B3137" t="s">
        <v>26</v>
      </c>
      <c r="C3137" t="s">
        <v>27</v>
      </c>
      <c r="H3137" s="2">
        <v>44951.536805555559</v>
      </c>
      <c r="I3137" t="s">
        <v>315</v>
      </c>
      <c r="Z3137">
        <v>47839</v>
      </c>
    </row>
    <row r="3138" spans="1:26" x14ac:dyDescent="0.25">
      <c r="A3138" t="s">
        <v>3607</v>
      </c>
      <c r="B3138" t="s">
        <v>26</v>
      </c>
      <c r="C3138" t="s">
        <v>27</v>
      </c>
      <c r="H3138" s="2">
        <v>44951.479166666664</v>
      </c>
      <c r="I3138" t="s">
        <v>29</v>
      </c>
      <c r="Z3138">
        <v>47829</v>
      </c>
    </row>
    <row r="3139" spans="1:26" x14ac:dyDescent="0.25">
      <c r="A3139" t="s">
        <v>97</v>
      </c>
      <c r="C3139" t="s">
        <v>27</v>
      </c>
      <c r="E3139" t="s">
        <v>3608</v>
      </c>
      <c r="H3139" s="2">
        <v>44950.94027777778</v>
      </c>
      <c r="I3139" t="s">
        <v>29</v>
      </c>
      <c r="Z3139">
        <v>47816</v>
      </c>
    </row>
    <row r="3140" spans="1:26" x14ac:dyDescent="0.25">
      <c r="A3140" t="s">
        <v>3609</v>
      </c>
      <c r="B3140" t="s">
        <v>26</v>
      </c>
      <c r="C3140" t="s">
        <v>27</v>
      </c>
      <c r="H3140" s="2">
        <v>44950.775000000001</v>
      </c>
      <c r="I3140" t="s">
        <v>306</v>
      </c>
      <c r="Z3140">
        <v>47807</v>
      </c>
    </row>
    <row r="3141" spans="1:26" x14ac:dyDescent="0.25">
      <c r="A3141" t="s">
        <v>3610</v>
      </c>
      <c r="B3141" t="s">
        <v>26</v>
      </c>
      <c r="C3141" t="s">
        <v>27</v>
      </c>
      <c r="H3141" s="2">
        <v>44950.734027777777</v>
      </c>
      <c r="I3141" t="s">
        <v>153</v>
      </c>
      <c r="Z3141">
        <v>47802</v>
      </c>
    </row>
    <row r="3142" spans="1:26" x14ac:dyDescent="0.25">
      <c r="A3142" t="s">
        <v>3611</v>
      </c>
      <c r="B3142" t="s">
        <v>26</v>
      </c>
      <c r="C3142" t="s">
        <v>27</v>
      </c>
      <c r="H3142" s="2">
        <v>44950.652083333334</v>
      </c>
      <c r="I3142" t="s">
        <v>227</v>
      </c>
      <c r="Z3142">
        <v>47787</v>
      </c>
    </row>
    <row r="3143" spans="1:26" x14ac:dyDescent="0.25">
      <c r="A3143" t="s">
        <v>2198</v>
      </c>
      <c r="B3143" t="s">
        <v>46</v>
      </c>
      <c r="C3143" t="s">
        <v>27</v>
      </c>
      <c r="E3143" t="s">
        <v>3612</v>
      </c>
      <c r="G3143" t="s">
        <v>3613</v>
      </c>
      <c r="H3143" s="2">
        <v>44950.55</v>
      </c>
      <c r="I3143" t="s">
        <v>227</v>
      </c>
      <c r="Z3143">
        <v>47767</v>
      </c>
    </row>
    <row r="3144" spans="1:26" x14ac:dyDescent="0.25">
      <c r="A3144" t="s">
        <v>3614</v>
      </c>
      <c r="B3144" t="s">
        <v>26</v>
      </c>
      <c r="C3144" t="s">
        <v>27</v>
      </c>
      <c r="H3144" s="2">
        <v>44949.615972222222</v>
      </c>
      <c r="I3144" t="s">
        <v>153</v>
      </c>
      <c r="Z3144">
        <v>47718</v>
      </c>
    </row>
    <row r="3145" spans="1:26" x14ac:dyDescent="0.25">
      <c r="A3145" t="s">
        <v>3615</v>
      </c>
      <c r="B3145" t="s">
        <v>26</v>
      </c>
      <c r="C3145" t="s">
        <v>27</v>
      </c>
      <c r="H3145" s="2">
        <v>44949.526388888888</v>
      </c>
      <c r="I3145" t="s">
        <v>153</v>
      </c>
      <c r="Z3145">
        <v>47708</v>
      </c>
    </row>
    <row r="3146" spans="1:26" x14ac:dyDescent="0.25">
      <c r="A3146" t="s">
        <v>3616</v>
      </c>
      <c r="B3146" t="s">
        <v>26</v>
      </c>
      <c r="C3146" t="s">
        <v>27</v>
      </c>
      <c r="H3146" s="2">
        <v>44948.679861111108</v>
      </c>
      <c r="I3146" t="s">
        <v>227</v>
      </c>
      <c r="Z3146">
        <v>47674</v>
      </c>
    </row>
    <row r="3147" spans="1:26" x14ac:dyDescent="0.25">
      <c r="A3147" t="s">
        <v>3617</v>
      </c>
      <c r="B3147" t="s">
        <v>26</v>
      </c>
      <c r="C3147" t="s">
        <v>27</v>
      </c>
      <c r="H3147" s="2">
        <v>44948.430555555555</v>
      </c>
      <c r="I3147" t="s">
        <v>153</v>
      </c>
      <c r="Z3147">
        <v>47642</v>
      </c>
    </row>
    <row r="3148" spans="1:26" x14ac:dyDescent="0.25">
      <c r="A3148" t="s">
        <v>1256</v>
      </c>
      <c r="B3148" t="s">
        <v>26</v>
      </c>
      <c r="C3148" t="s">
        <v>27</v>
      </c>
      <c r="H3148" s="2">
        <v>44946.59097222222</v>
      </c>
      <c r="I3148" t="s">
        <v>315</v>
      </c>
      <c r="Z3148">
        <v>47564</v>
      </c>
    </row>
    <row r="3149" spans="1:26" x14ac:dyDescent="0.25">
      <c r="A3149" t="s">
        <v>3618</v>
      </c>
      <c r="B3149" t="s">
        <v>26</v>
      </c>
      <c r="C3149" t="s">
        <v>27</v>
      </c>
      <c r="H3149" s="2">
        <v>44945.705555555556</v>
      </c>
      <c r="I3149" t="s">
        <v>29</v>
      </c>
      <c r="Z3149">
        <v>47520</v>
      </c>
    </row>
    <row r="3150" spans="1:26" x14ac:dyDescent="0.25">
      <c r="A3150" t="s">
        <v>3619</v>
      </c>
      <c r="B3150" t="s">
        <v>26</v>
      </c>
      <c r="C3150" t="s">
        <v>27</v>
      </c>
      <c r="H3150" s="2">
        <v>44944.665972222225</v>
      </c>
      <c r="I3150" t="s">
        <v>306</v>
      </c>
      <c r="Z3150">
        <v>47469</v>
      </c>
    </row>
    <row r="3151" spans="1:26" x14ac:dyDescent="0.25">
      <c r="A3151" t="s">
        <v>712</v>
      </c>
      <c r="B3151" t="s">
        <v>26</v>
      </c>
      <c r="C3151" t="s">
        <v>27</v>
      </c>
      <c r="H3151" s="2">
        <v>44944.609027777777</v>
      </c>
      <c r="I3151" t="s">
        <v>306</v>
      </c>
      <c r="Z3151">
        <v>47460</v>
      </c>
    </row>
    <row r="3152" spans="1:26" x14ac:dyDescent="0.25">
      <c r="A3152" t="s">
        <v>97</v>
      </c>
      <c r="C3152" t="s">
        <v>27</v>
      </c>
      <c r="E3152" t="s">
        <v>88</v>
      </c>
      <c r="H3152" s="2">
        <v>44944.57708333333</v>
      </c>
      <c r="I3152" t="s">
        <v>327</v>
      </c>
      <c r="Z3152">
        <v>47453</v>
      </c>
    </row>
    <row r="3153" spans="1:26" x14ac:dyDescent="0.25">
      <c r="A3153" t="s">
        <v>342</v>
      </c>
      <c r="C3153" t="s">
        <v>27</v>
      </c>
      <c r="E3153" t="s">
        <v>53</v>
      </c>
      <c r="H3153" s="2">
        <v>44943.30972222222</v>
      </c>
      <c r="I3153" t="s">
        <v>227</v>
      </c>
      <c r="Z3153">
        <v>47368</v>
      </c>
    </row>
    <row r="3154" spans="1:26" x14ac:dyDescent="0.25">
      <c r="A3154" t="s">
        <v>3620</v>
      </c>
      <c r="B3154" t="s">
        <v>26</v>
      </c>
      <c r="C3154" t="s">
        <v>27</v>
      </c>
      <c r="E3154" t="s">
        <v>3621</v>
      </c>
      <c r="H3154" s="2">
        <v>44942.620833333334</v>
      </c>
      <c r="I3154" t="s">
        <v>227</v>
      </c>
      <c r="Z3154">
        <v>47345</v>
      </c>
    </row>
    <row r="3155" spans="1:26" x14ac:dyDescent="0.25">
      <c r="A3155" t="s">
        <v>3622</v>
      </c>
      <c r="B3155" t="s">
        <v>26</v>
      </c>
      <c r="C3155" t="s">
        <v>27</v>
      </c>
      <c r="E3155" t="s">
        <v>3623</v>
      </c>
      <c r="H3155" s="2">
        <v>44941.791666666664</v>
      </c>
      <c r="I3155" t="s">
        <v>227</v>
      </c>
      <c r="Z3155">
        <v>47312</v>
      </c>
    </row>
    <row r="3156" spans="1:26" x14ac:dyDescent="0.25">
      <c r="A3156" t="s">
        <v>712</v>
      </c>
      <c r="B3156" t="s">
        <v>164</v>
      </c>
      <c r="C3156" t="s">
        <v>27</v>
      </c>
      <c r="E3156" t="s">
        <v>80</v>
      </c>
      <c r="H3156" s="2">
        <v>44940.909722222219</v>
      </c>
      <c r="I3156" t="s">
        <v>29</v>
      </c>
      <c r="K3156" t="s">
        <v>30</v>
      </c>
      <c r="L3156" t="s">
        <v>31</v>
      </c>
      <c r="M3156">
        <v>67006012</v>
      </c>
      <c r="N3156">
        <v>12403441023</v>
      </c>
      <c r="Z3156">
        <v>47280</v>
      </c>
    </row>
    <row r="3157" spans="1:26" x14ac:dyDescent="0.25">
      <c r="A3157" t="s">
        <v>3624</v>
      </c>
      <c r="B3157" t="s">
        <v>26</v>
      </c>
      <c r="C3157" t="s">
        <v>27</v>
      </c>
      <c r="H3157" s="2">
        <v>44939.464583333334</v>
      </c>
      <c r="I3157" t="s">
        <v>306</v>
      </c>
      <c r="Z3157">
        <v>47165</v>
      </c>
    </row>
    <row r="3158" spans="1:26" x14ac:dyDescent="0.25">
      <c r="A3158" t="s">
        <v>92</v>
      </c>
      <c r="B3158" t="s">
        <v>26</v>
      </c>
      <c r="C3158" t="s">
        <v>27</v>
      </c>
      <c r="H3158" s="2">
        <v>44939.438888888886</v>
      </c>
      <c r="I3158" t="s">
        <v>29</v>
      </c>
      <c r="Z3158">
        <v>47161</v>
      </c>
    </row>
    <row r="3159" spans="1:26" x14ac:dyDescent="0.25">
      <c r="A3159" t="s">
        <v>3625</v>
      </c>
      <c r="B3159" t="s">
        <v>26</v>
      </c>
      <c r="C3159" t="s">
        <v>27</v>
      </c>
      <c r="H3159" s="2">
        <v>44938.556250000001</v>
      </c>
      <c r="I3159" t="s">
        <v>315</v>
      </c>
      <c r="Z3159">
        <v>47125</v>
      </c>
    </row>
    <row r="3160" spans="1:26" x14ac:dyDescent="0.25">
      <c r="A3160" t="s">
        <v>3626</v>
      </c>
      <c r="B3160" t="s">
        <v>26</v>
      </c>
      <c r="C3160" t="s">
        <v>27</v>
      </c>
      <c r="H3160" s="2">
        <v>44938.395833333336</v>
      </c>
      <c r="I3160" t="s">
        <v>226</v>
      </c>
      <c r="Z3160">
        <v>47103</v>
      </c>
    </row>
    <row r="3161" spans="1:26" x14ac:dyDescent="0.25">
      <c r="A3161" t="s">
        <v>3627</v>
      </c>
      <c r="B3161" t="s">
        <v>26</v>
      </c>
      <c r="C3161" t="s">
        <v>27</v>
      </c>
      <c r="E3161" t="s">
        <v>3628</v>
      </c>
      <c r="H3161" s="2">
        <v>44937.708333333336</v>
      </c>
      <c r="I3161" t="s">
        <v>153</v>
      </c>
      <c r="Z3161">
        <v>47091</v>
      </c>
    </row>
    <row r="3162" spans="1:26" x14ac:dyDescent="0.25">
      <c r="A3162" t="s">
        <v>3629</v>
      </c>
      <c r="B3162" t="s">
        <v>26</v>
      </c>
      <c r="C3162" t="s">
        <v>27</v>
      </c>
      <c r="H3162" s="2">
        <v>44937.60833333333</v>
      </c>
      <c r="I3162" t="s">
        <v>226</v>
      </c>
      <c r="Z3162">
        <v>47080</v>
      </c>
    </row>
    <row r="3163" spans="1:26" x14ac:dyDescent="0.25">
      <c r="A3163" t="s">
        <v>1256</v>
      </c>
      <c r="B3163" t="s">
        <v>26</v>
      </c>
      <c r="C3163" t="s">
        <v>27</v>
      </c>
      <c r="H3163" s="2">
        <v>44936.602083333331</v>
      </c>
      <c r="I3163" t="s">
        <v>294</v>
      </c>
      <c r="Z3163">
        <v>47032</v>
      </c>
    </row>
    <row r="3164" spans="1:26" x14ac:dyDescent="0.25">
      <c r="A3164" t="s">
        <v>712</v>
      </c>
      <c r="B3164" t="s">
        <v>164</v>
      </c>
      <c r="C3164" t="s">
        <v>27</v>
      </c>
      <c r="E3164" t="s">
        <v>88</v>
      </c>
      <c r="G3164" t="s">
        <v>3630</v>
      </c>
      <c r="H3164" s="2">
        <v>44934.782638888886</v>
      </c>
      <c r="I3164" t="s">
        <v>29</v>
      </c>
      <c r="K3164" t="s">
        <v>30</v>
      </c>
      <c r="L3164" t="s">
        <v>31</v>
      </c>
      <c r="M3164">
        <v>55887024</v>
      </c>
      <c r="N3164">
        <v>9754613615</v>
      </c>
      <c r="O3164" t="s">
        <v>1672</v>
      </c>
      <c r="Z3164">
        <v>46919</v>
      </c>
    </row>
    <row r="3165" spans="1:26" x14ac:dyDescent="0.25">
      <c r="A3165" t="s">
        <v>712</v>
      </c>
      <c r="B3165" t="s">
        <v>185</v>
      </c>
      <c r="C3165" t="s">
        <v>27</v>
      </c>
      <c r="E3165" t="s">
        <v>57</v>
      </c>
      <c r="H3165" s="2">
        <v>44934.713194444441</v>
      </c>
      <c r="I3165" t="s">
        <v>29</v>
      </c>
      <c r="Z3165">
        <v>46911</v>
      </c>
    </row>
    <row r="3166" spans="1:26" x14ac:dyDescent="0.25">
      <c r="A3166" t="s">
        <v>3631</v>
      </c>
      <c r="B3166" t="s">
        <v>26</v>
      </c>
      <c r="C3166" t="s">
        <v>27</v>
      </c>
      <c r="E3166" t="s">
        <v>44</v>
      </c>
      <c r="H3166" s="2">
        <v>44932.578472222223</v>
      </c>
      <c r="I3166" t="s">
        <v>226</v>
      </c>
      <c r="Z3166">
        <v>46742</v>
      </c>
    </row>
    <row r="3167" spans="1:26" x14ac:dyDescent="0.25">
      <c r="A3167" t="s">
        <v>3632</v>
      </c>
      <c r="B3167" t="s">
        <v>26</v>
      </c>
      <c r="C3167" t="s">
        <v>27</v>
      </c>
      <c r="H3167" s="2">
        <v>44932.455555555556</v>
      </c>
      <c r="I3167" t="s">
        <v>327</v>
      </c>
      <c r="Z3167">
        <v>46718</v>
      </c>
    </row>
    <row r="3168" spans="1:26" x14ac:dyDescent="0.25">
      <c r="A3168" t="s">
        <v>3633</v>
      </c>
      <c r="B3168" t="s">
        <v>26</v>
      </c>
      <c r="C3168" t="s">
        <v>27</v>
      </c>
      <c r="H3168" s="2">
        <v>44931.550694444442</v>
      </c>
      <c r="I3168" t="s">
        <v>306</v>
      </c>
      <c r="Z3168">
        <v>46665</v>
      </c>
    </row>
    <row r="3169" spans="1:26" x14ac:dyDescent="0.25">
      <c r="A3169" t="s">
        <v>3634</v>
      </c>
      <c r="B3169" t="s">
        <v>26</v>
      </c>
      <c r="C3169" t="s">
        <v>27</v>
      </c>
      <c r="H3169" s="2">
        <v>44931.451388888891</v>
      </c>
      <c r="I3169" t="s">
        <v>226</v>
      </c>
      <c r="Z3169">
        <v>46647</v>
      </c>
    </row>
    <row r="3170" spans="1:26" x14ac:dyDescent="0.25">
      <c r="A3170" t="s">
        <v>262</v>
      </c>
      <c r="B3170" t="s">
        <v>185</v>
      </c>
      <c r="C3170" t="s">
        <v>27</v>
      </c>
      <c r="E3170" t="s">
        <v>60</v>
      </c>
      <c r="H3170" s="2">
        <v>44928.548611111109</v>
      </c>
      <c r="I3170" t="s">
        <v>153</v>
      </c>
      <c r="Z3170">
        <v>46580</v>
      </c>
    </row>
    <row r="3171" spans="1:26" x14ac:dyDescent="0.25">
      <c r="A3171" t="s">
        <v>3635</v>
      </c>
      <c r="B3171" t="s">
        <v>26</v>
      </c>
      <c r="C3171" t="s">
        <v>27</v>
      </c>
      <c r="E3171" t="s">
        <v>3636</v>
      </c>
      <c r="H3171" s="2">
        <v>44925.875694444447</v>
      </c>
      <c r="I3171" t="s">
        <v>29</v>
      </c>
      <c r="Z3171">
        <v>46549</v>
      </c>
    </row>
    <row r="3172" spans="1:26" x14ac:dyDescent="0.25">
      <c r="A3172" t="s">
        <v>652</v>
      </c>
      <c r="B3172" t="s">
        <v>46</v>
      </c>
      <c r="C3172" t="s">
        <v>27</v>
      </c>
      <c r="E3172" t="s">
        <v>70</v>
      </c>
      <c r="G3172" t="s">
        <v>3637</v>
      </c>
      <c r="H3172" s="2">
        <v>44925.498611111114</v>
      </c>
      <c r="I3172" t="s">
        <v>327</v>
      </c>
      <c r="Z3172">
        <v>46508</v>
      </c>
    </row>
    <row r="3173" spans="1:26" x14ac:dyDescent="0.25">
      <c r="A3173" t="s">
        <v>1256</v>
      </c>
      <c r="B3173" t="s">
        <v>46</v>
      </c>
      <c r="C3173" t="s">
        <v>27</v>
      </c>
      <c r="E3173" t="s">
        <v>45</v>
      </c>
      <c r="G3173" t="s">
        <v>3638</v>
      </c>
      <c r="H3173" s="2">
        <v>44924.90902777778</v>
      </c>
      <c r="I3173" t="s">
        <v>327</v>
      </c>
      <c r="K3173" t="s">
        <v>30</v>
      </c>
      <c r="L3173" t="s">
        <v>31</v>
      </c>
      <c r="M3173">
        <v>55887024</v>
      </c>
      <c r="N3173">
        <v>9754613612</v>
      </c>
      <c r="O3173" t="s">
        <v>3639</v>
      </c>
      <c r="Z3173">
        <v>46497</v>
      </c>
    </row>
    <row r="3174" spans="1:26" x14ac:dyDescent="0.25">
      <c r="A3174" t="s">
        <v>3640</v>
      </c>
      <c r="B3174" t="s">
        <v>150</v>
      </c>
      <c r="C3174" t="s">
        <v>27</v>
      </c>
      <c r="E3174" t="s">
        <v>210</v>
      </c>
      <c r="G3174" t="s">
        <v>3641</v>
      </c>
      <c r="H3174" s="2">
        <v>44924.731249999997</v>
      </c>
      <c r="I3174" t="s">
        <v>153</v>
      </c>
      <c r="K3174" t="s">
        <v>30</v>
      </c>
      <c r="L3174" t="s">
        <v>31</v>
      </c>
      <c r="M3174">
        <v>67130164</v>
      </c>
      <c r="N3174">
        <v>12403825921</v>
      </c>
      <c r="O3174" t="s">
        <v>682</v>
      </c>
      <c r="Z3174">
        <v>46487</v>
      </c>
    </row>
    <row r="3175" spans="1:26" x14ac:dyDescent="0.25">
      <c r="A3175" t="s">
        <v>97</v>
      </c>
      <c r="C3175" t="s">
        <v>27</v>
      </c>
      <c r="E3175" t="s">
        <v>116</v>
      </c>
      <c r="H3175" s="2">
        <v>44924.730555555558</v>
      </c>
      <c r="I3175" t="s">
        <v>29</v>
      </c>
      <c r="Z3175">
        <v>46486</v>
      </c>
    </row>
    <row r="3176" spans="1:26" x14ac:dyDescent="0.25">
      <c r="A3176" t="s">
        <v>3642</v>
      </c>
      <c r="B3176" t="s">
        <v>26</v>
      </c>
      <c r="C3176" t="s">
        <v>27</v>
      </c>
      <c r="H3176" s="2">
        <v>44923.570138888892</v>
      </c>
      <c r="I3176" t="s">
        <v>306</v>
      </c>
      <c r="Z3176">
        <v>46397</v>
      </c>
    </row>
    <row r="3177" spans="1:26" x14ac:dyDescent="0.25">
      <c r="A3177" t="s">
        <v>652</v>
      </c>
      <c r="B3177" t="s">
        <v>198</v>
      </c>
      <c r="C3177" t="s">
        <v>27</v>
      </c>
      <c r="E3177" t="s">
        <v>3643</v>
      </c>
      <c r="G3177" t="s">
        <v>3644</v>
      </c>
      <c r="H3177" s="2">
        <v>44922.723611111112</v>
      </c>
      <c r="I3177" t="s">
        <v>327</v>
      </c>
      <c r="K3177" t="s">
        <v>30</v>
      </c>
      <c r="L3177" t="s">
        <v>31</v>
      </c>
      <c r="M3177">
        <v>67130164</v>
      </c>
      <c r="N3177">
        <v>12403825923</v>
      </c>
      <c r="O3177" t="s">
        <v>2393</v>
      </c>
      <c r="Z3177">
        <v>46345</v>
      </c>
    </row>
    <row r="3178" spans="1:26" x14ac:dyDescent="0.25">
      <c r="A3178" t="s">
        <v>3645</v>
      </c>
      <c r="B3178" t="s">
        <v>26</v>
      </c>
      <c r="C3178" t="s">
        <v>27</v>
      </c>
      <c r="H3178" s="2">
        <v>44920.620833333334</v>
      </c>
      <c r="I3178" t="s">
        <v>227</v>
      </c>
      <c r="Z3178">
        <v>46181</v>
      </c>
    </row>
    <row r="3179" spans="1:26" x14ac:dyDescent="0.25">
      <c r="A3179" t="s">
        <v>102</v>
      </c>
      <c r="B3179" t="s">
        <v>77</v>
      </c>
      <c r="C3179" t="s">
        <v>27</v>
      </c>
      <c r="E3179" t="s">
        <v>266</v>
      </c>
      <c r="H3179" s="2">
        <v>44920.345833333333</v>
      </c>
      <c r="I3179" t="s">
        <v>227</v>
      </c>
      <c r="K3179" t="s">
        <v>30</v>
      </c>
      <c r="L3179" t="s">
        <v>31</v>
      </c>
      <c r="M3179">
        <v>67130164</v>
      </c>
      <c r="N3179">
        <v>12403825921</v>
      </c>
      <c r="O3179" t="s">
        <v>382</v>
      </c>
      <c r="Z3179">
        <v>46138</v>
      </c>
    </row>
    <row r="3180" spans="1:26" x14ac:dyDescent="0.25">
      <c r="A3180" t="s">
        <v>3646</v>
      </c>
      <c r="B3180" t="s">
        <v>26</v>
      </c>
      <c r="C3180" t="s">
        <v>27</v>
      </c>
      <c r="H3180" s="2">
        <v>44919.618055555555</v>
      </c>
      <c r="I3180" t="s">
        <v>227</v>
      </c>
      <c r="Z3180">
        <v>46113</v>
      </c>
    </row>
    <row r="3181" spans="1:26" x14ac:dyDescent="0.25">
      <c r="A3181" t="s">
        <v>3647</v>
      </c>
      <c r="B3181" t="s">
        <v>26</v>
      </c>
      <c r="C3181" t="s">
        <v>27</v>
      </c>
      <c r="E3181" t="s">
        <v>45</v>
      </c>
      <c r="H3181" s="2">
        <v>44918.696527777778</v>
      </c>
      <c r="I3181" t="s">
        <v>29</v>
      </c>
      <c r="Z3181">
        <v>46079</v>
      </c>
    </row>
    <row r="3182" spans="1:26" x14ac:dyDescent="0.25">
      <c r="A3182" t="s">
        <v>3648</v>
      </c>
      <c r="B3182" t="s">
        <v>164</v>
      </c>
      <c r="C3182" t="s">
        <v>27</v>
      </c>
      <c r="E3182" t="s">
        <v>3649</v>
      </c>
      <c r="H3182" s="2">
        <v>44917.505555555559</v>
      </c>
      <c r="I3182" t="s">
        <v>29</v>
      </c>
      <c r="Z3182">
        <v>46005</v>
      </c>
    </row>
    <row r="3183" spans="1:26" x14ac:dyDescent="0.25">
      <c r="A3183" t="s">
        <v>3650</v>
      </c>
      <c r="B3183" t="s">
        <v>26</v>
      </c>
      <c r="C3183" t="s">
        <v>27</v>
      </c>
      <c r="H3183" s="2">
        <v>44917.502083333333</v>
      </c>
      <c r="I3183" t="s">
        <v>29</v>
      </c>
      <c r="Z3183">
        <v>46003</v>
      </c>
    </row>
    <row r="3184" spans="1:26" x14ac:dyDescent="0.25">
      <c r="A3184" t="s">
        <v>3651</v>
      </c>
      <c r="B3184" t="s">
        <v>26</v>
      </c>
      <c r="C3184" t="s">
        <v>27</v>
      </c>
      <c r="H3184" s="2">
        <v>44916.69027777778</v>
      </c>
      <c r="I3184" t="s">
        <v>226</v>
      </c>
      <c r="Z3184">
        <v>45980</v>
      </c>
    </row>
    <row r="3185" spans="1:26" x14ac:dyDescent="0.25">
      <c r="A3185" t="s">
        <v>102</v>
      </c>
      <c r="B3185" t="s">
        <v>77</v>
      </c>
      <c r="C3185" t="s">
        <v>27</v>
      </c>
      <c r="E3185" t="s">
        <v>3652</v>
      </c>
      <c r="H3185" s="2">
        <v>44916.569444444445</v>
      </c>
      <c r="I3185" t="s">
        <v>306</v>
      </c>
      <c r="Z3185">
        <v>45967</v>
      </c>
    </row>
    <row r="3186" spans="1:26" x14ac:dyDescent="0.25">
      <c r="A3186" t="s">
        <v>3653</v>
      </c>
      <c r="B3186" t="s">
        <v>26</v>
      </c>
      <c r="C3186" t="s">
        <v>27</v>
      </c>
      <c r="H3186" s="2">
        <v>44915.711805555555</v>
      </c>
      <c r="I3186" t="s">
        <v>226</v>
      </c>
      <c r="Z3186">
        <v>45947</v>
      </c>
    </row>
    <row r="3187" spans="1:26" x14ac:dyDescent="0.25">
      <c r="A3187" t="s">
        <v>3654</v>
      </c>
      <c r="B3187" t="s">
        <v>26</v>
      </c>
      <c r="C3187" t="s">
        <v>27</v>
      </c>
      <c r="H3187" s="2">
        <v>44915.681944444441</v>
      </c>
      <c r="I3187" t="s">
        <v>306</v>
      </c>
      <c r="Z3187">
        <v>45945</v>
      </c>
    </row>
    <row r="3188" spans="1:26" x14ac:dyDescent="0.25">
      <c r="A3188" t="s">
        <v>3611</v>
      </c>
      <c r="B3188" t="s">
        <v>26</v>
      </c>
      <c r="C3188" t="s">
        <v>27</v>
      </c>
      <c r="H3188" s="2">
        <v>44915.590277777781</v>
      </c>
      <c r="I3188" t="s">
        <v>227</v>
      </c>
      <c r="Z3188">
        <v>45937</v>
      </c>
    </row>
    <row r="3189" spans="1:26" x14ac:dyDescent="0.25">
      <c r="A3189" t="s">
        <v>345</v>
      </c>
      <c r="B3189" t="s">
        <v>46</v>
      </c>
      <c r="C3189" t="s">
        <v>27</v>
      </c>
      <c r="E3189" t="s">
        <v>45</v>
      </c>
      <c r="G3189" t="s">
        <v>1174</v>
      </c>
      <c r="H3189" s="2">
        <v>44915.521527777775</v>
      </c>
      <c r="I3189" t="s">
        <v>227</v>
      </c>
      <c r="Z3189">
        <v>45929</v>
      </c>
    </row>
    <row r="3190" spans="1:26" x14ac:dyDescent="0.25">
      <c r="A3190" t="s">
        <v>3655</v>
      </c>
      <c r="B3190" t="s">
        <v>164</v>
      </c>
      <c r="C3190" t="s">
        <v>27</v>
      </c>
      <c r="E3190" t="s">
        <v>3322</v>
      </c>
      <c r="H3190" s="2">
        <v>44915.484722222223</v>
      </c>
      <c r="I3190" t="s">
        <v>227</v>
      </c>
      <c r="Z3190">
        <v>45925</v>
      </c>
    </row>
    <row r="3191" spans="1:26" x14ac:dyDescent="0.25">
      <c r="A3191" t="s">
        <v>712</v>
      </c>
      <c r="B3191" t="s">
        <v>26</v>
      </c>
      <c r="C3191" t="s">
        <v>27</v>
      </c>
      <c r="H3191" s="2">
        <v>44914.651388888888</v>
      </c>
      <c r="I3191" t="s">
        <v>29</v>
      </c>
      <c r="Z3191">
        <v>45897</v>
      </c>
    </row>
    <row r="3192" spans="1:26" x14ac:dyDescent="0.25">
      <c r="A3192" t="s">
        <v>3656</v>
      </c>
      <c r="B3192" t="s">
        <v>26</v>
      </c>
      <c r="C3192" t="s">
        <v>27</v>
      </c>
      <c r="H3192" s="2">
        <v>44914.581944444442</v>
      </c>
      <c r="I3192" t="s">
        <v>227</v>
      </c>
      <c r="Z3192">
        <v>45884</v>
      </c>
    </row>
    <row r="3193" spans="1:26" x14ac:dyDescent="0.25">
      <c r="A3193" t="s">
        <v>3657</v>
      </c>
      <c r="B3193" t="s">
        <v>26</v>
      </c>
      <c r="C3193" t="s">
        <v>27</v>
      </c>
      <c r="H3193" s="2">
        <v>44914.579861111109</v>
      </c>
      <c r="I3193" t="s">
        <v>227</v>
      </c>
      <c r="Z3193">
        <v>45883</v>
      </c>
    </row>
    <row r="3194" spans="1:26" x14ac:dyDescent="0.25">
      <c r="A3194" t="s">
        <v>102</v>
      </c>
      <c r="B3194" t="s">
        <v>77</v>
      </c>
      <c r="C3194" t="s">
        <v>27</v>
      </c>
      <c r="E3194" t="s">
        <v>3658</v>
      </c>
      <c r="H3194" s="2">
        <v>44914.529861111114</v>
      </c>
      <c r="I3194" t="s">
        <v>29</v>
      </c>
      <c r="Z3194">
        <v>45875</v>
      </c>
    </row>
    <row r="3195" spans="1:26" x14ac:dyDescent="0.25">
      <c r="A3195" t="s">
        <v>3659</v>
      </c>
      <c r="B3195" t="s">
        <v>26</v>
      </c>
      <c r="C3195" t="s">
        <v>27</v>
      </c>
      <c r="H3195" s="2">
        <v>44914.511805555558</v>
      </c>
      <c r="I3195" t="s">
        <v>29</v>
      </c>
      <c r="Z3195">
        <v>45870</v>
      </c>
    </row>
    <row r="3196" spans="1:26" x14ac:dyDescent="0.25">
      <c r="A3196" t="s">
        <v>652</v>
      </c>
      <c r="B3196" t="s">
        <v>26</v>
      </c>
      <c r="C3196" t="s">
        <v>27</v>
      </c>
      <c r="H3196" s="2">
        <v>44913.49722222222</v>
      </c>
      <c r="I3196" t="s">
        <v>327</v>
      </c>
      <c r="Z3196">
        <v>45840</v>
      </c>
    </row>
    <row r="3197" spans="1:26" x14ac:dyDescent="0.25">
      <c r="A3197" t="s">
        <v>3660</v>
      </c>
      <c r="B3197" t="s">
        <v>26</v>
      </c>
      <c r="C3197" t="s">
        <v>27</v>
      </c>
      <c r="H3197" s="2">
        <v>44911.738194444442</v>
      </c>
      <c r="I3197" t="s">
        <v>29</v>
      </c>
      <c r="Z3197">
        <v>45792</v>
      </c>
    </row>
    <row r="3198" spans="1:26" x14ac:dyDescent="0.25">
      <c r="A3198" t="s">
        <v>712</v>
      </c>
      <c r="B3198" t="s">
        <v>77</v>
      </c>
      <c r="C3198" t="s">
        <v>27</v>
      </c>
      <c r="E3198" t="s">
        <v>128</v>
      </c>
      <c r="H3198" s="2">
        <v>44911.679861111108</v>
      </c>
      <c r="I3198" t="s">
        <v>29</v>
      </c>
      <c r="Z3198">
        <v>45788</v>
      </c>
    </row>
    <row r="3199" spans="1:26" x14ac:dyDescent="0.25">
      <c r="A3199" t="s">
        <v>3661</v>
      </c>
      <c r="B3199" t="s">
        <v>26</v>
      </c>
      <c r="C3199" t="s">
        <v>27</v>
      </c>
      <c r="H3199" s="2">
        <v>44911.67291666667</v>
      </c>
      <c r="I3199" t="s">
        <v>330</v>
      </c>
      <c r="Z3199">
        <v>45787</v>
      </c>
    </row>
    <row r="3200" spans="1:26" x14ac:dyDescent="0.25">
      <c r="A3200" t="s">
        <v>102</v>
      </c>
      <c r="B3200" t="s">
        <v>77</v>
      </c>
      <c r="C3200" t="s">
        <v>27</v>
      </c>
      <c r="E3200" t="s">
        <v>137</v>
      </c>
      <c r="H3200" s="2">
        <v>44910</v>
      </c>
      <c r="I3200" t="s">
        <v>306</v>
      </c>
      <c r="K3200" t="s">
        <v>30</v>
      </c>
      <c r="L3200" t="s">
        <v>31</v>
      </c>
      <c r="M3200">
        <v>67130164</v>
      </c>
      <c r="N3200">
        <v>12403825921</v>
      </c>
      <c r="Z3200">
        <v>45712</v>
      </c>
    </row>
    <row r="3201" spans="1:26" x14ac:dyDescent="0.25">
      <c r="A3201" t="s">
        <v>2919</v>
      </c>
      <c r="B3201" t="s">
        <v>164</v>
      </c>
      <c r="C3201" t="s">
        <v>27</v>
      </c>
      <c r="E3201" t="s">
        <v>73</v>
      </c>
      <c r="H3201" s="2">
        <v>44909.914583333331</v>
      </c>
      <c r="I3201" t="s">
        <v>227</v>
      </c>
      <c r="Z3201">
        <v>45711</v>
      </c>
    </row>
    <row r="3202" spans="1:26" x14ac:dyDescent="0.25">
      <c r="A3202" t="s">
        <v>1256</v>
      </c>
      <c r="B3202" t="s">
        <v>26</v>
      </c>
      <c r="C3202" t="s">
        <v>27</v>
      </c>
      <c r="H3202" s="2">
        <v>44909.837500000001</v>
      </c>
      <c r="I3202" t="s">
        <v>226</v>
      </c>
      <c r="Z3202">
        <v>45708</v>
      </c>
    </row>
    <row r="3203" spans="1:26" x14ac:dyDescent="0.25">
      <c r="A3203" t="s">
        <v>3662</v>
      </c>
      <c r="B3203" t="s">
        <v>26</v>
      </c>
      <c r="C3203" t="s">
        <v>27</v>
      </c>
      <c r="E3203" t="s">
        <v>3663</v>
      </c>
      <c r="G3203" t="s">
        <v>247</v>
      </c>
      <c r="H3203" s="2">
        <v>44909.70208333333</v>
      </c>
      <c r="I3203" t="s">
        <v>330</v>
      </c>
      <c r="Z3203">
        <v>45701</v>
      </c>
    </row>
    <row r="3204" spans="1:26" x14ac:dyDescent="0.25">
      <c r="A3204" t="s">
        <v>3664</v>
      </c>
      <c r="B3204" t="s">
        <v>26</v>
      </c>
      <c r="C3204" t="s">
        <v>27</v>
      </c>
      <c r="H3204" s="2">
        <v>44909.54791666667</v>
      </c>
      <c r="I3204" t="s">
        <v>226</v>
      </c>
      <c r="Z3204">
        <v>45678</v>
      </c>
    </row>
    <row r="3205" spans="1:26" x14ac:dyDescent="0.25">
      <c r="A3205" t="s">
        <v>2212</v>
      </c>
      <c r="B3205" t="s">
        <v>26</v>
      </c>
      <c r="C3205" t="s">
        <v>27</v>
      </c>
      <c r="H3205" s="2">
        <v>44908.831250000003</v>
      </c>
      <c r="I3205" t="s">
        <v>294</v>
      </c>
      <c r="Z3205">
        <v>45651</v>
      </c>
    </row>
    <row r="3206" spans="1:26" x14ac:dyDescent="0.25">
      <c r="A3206" t="s">
        <v>3665</v>
      </c>
      <c r="B3206" t="s">
        <v>26</v>
      </c>
      <c r="C3206" t="s">
        <v>27</v>
      </c>
      <c r="H3206" s="2">
        <v>44908.654861111114</v>
      </c>
      <c r="I3206" t="s">
        <v>294</v>
      </c>
      <c r="Z3206">
        <v>45632</v>
      </c>
    </row>
    <row r="3207" spans="1:26" x14ac:dyDescent="0.25">
      <c r="A3207" t="s">
        <v>299</v>
      </c>
      <c r="B3207" t="s">
        <v>26</v>
      </c>
      <c r="C3207" t="s">
        <v>27</v>
      </c>
      <c r="H3207" s="2">
        <v>44908.588194444441</v>
      </c>
      <c r="I3207" t="s">
        <v>227</v>
      </c>
      <c r="Z3207">
        <v>45613</v>
      </c>
    </row>
    <row r="3208" spans="1:26" x14ac:dyDescent="0.25">
      <c r="A3208" t="s">
        <v>3666</v>
      </c>
      <c r="B3208" t="s">
        <v>26</v>
      </c>
      <c r="C3208" t="s">
        <v>27</v>
      </c>
      <c r="H3208" s="2">
        <v>44908.388888888891</v>
      </c>
      <c r="I3208" t="s">
        <v>227</v>
      </c>
      <c r="Z3208">
        <v>45581</v>
      </c>
    </row>
    <row r="3209" spans="1:26" x14ac:dyDescent="0.25">
      <c r="A3209" t="s">
        <v>320</v>
      </c>
      <c r="B3209" t="s">
        <v>164</v>
      </c>
      <c r="C3209" t="s">
        <v>27</v>
      </c>
      <c r="E3209" t="s">
        <v>66</v>
      </c>
      <c r="H3209" s="2">
        <v>44908.384722222225</v>
      </c>
      <c r="I3209" t="s">
        <v>227</v>
      </c>
      <c r="Z3209">
        <v>45579</v>
      </c>
    </row>
    <row r="3210" spans="1:26" x14ac:dyDescent="0.25">
      <c r="A3210" t="s">
        <v>3667</v>
      </c>
      <c r="B3210" t="s">
        <v>26</v>
      </c>
      <c r="C3210" t="s">
        <v>27</v>
      </c>
      <c r="H3210" s="2">
        <v>44907.758333333331</v>
      </c>
      <c r="I3210" t="s">
        <v>303</v>
      </c>
      <c r="Z3210">
        <v>45567</v>
      </c>
    </row>
    <row r="3211" spans="1:26" x14ac:dyDescent="0.25">
      <c r="A3211" t="s">
        <v>3668</v>
      </c>
      <c r="B3211" t="s">
        <v>26</v>
      </c>
      <c r="C3211" t="s">
        <v>27</v>
      </c>
      <c r="H3211" s="2">
        <v>44907.756944444445</v>
      </c>
      <c r="I3211" t="s">
        <v>327</v>
      </c>
      <c r="Z3211">
        <v>45566</v>
      </c>
    </row>
    <row r="3212" spans="1:26" x14ac:dyDescent="0.25">
      <c r="A3212" t="s">
        <v>3669</v>
      </c>
      <c r="B3212" t="s">
        <v>26</v>
      </c>
      <c r="C3212" t="s">
        <v>27</v>
      </c>
      <c r="H3212" s="2">
        <v>44907.611111111109</v>
      </c>
      <c r="I3212" t="s">
        <v>29</v>
      </c>
      <c r="Z3212">
        <v>45544</v>
      </c>
    </row>
    <row r="3213" spans="1:26" x14ac:dyDescent="0.25">
      <c r="A3213" t="s">
        <v>3670</v>
      </c>
      <c r="B3213" t="s">
        <v>164</v>
      </c>
      <c r="C3213" t="s">
        <v>27</v>
      </c>
      <c r="E3213" t="s">
        <v>3671</v>
      </c>
      <c r="H3213" s="2">
        <v>44907.604166666664</v>
      </c>
      <c r="I3213" t="s">
        <v>227</v>
      </c>
      <c r="Z3213">
        <v>45539</v>
      </c>
    </row>
    <row r="3214" spans="1:26" x14ac:dyDescent="0.25">
      <c r="A3214" t="s">
        <v>3672</v>
      </c>
      <c r="B3214" t="s">
        <v>26</v>
      </c>
      <c r="C3214" t="s">
        <v>27</v>
      </c>
      <c r="H3214" s="2">
        <v>44907.393750000003</v>
      </c>
      <c r="I3214" t="s">
        <v>227</v>
      </c>
      <c r="Z3214">
        <v>45496</v>
      </c>
    </row>
    <row r="3215" spans="1:26" x14ac:dyDescent="0.25">
      <c r="A3215" t="s">
        <v>3673</v>
      </c>
      <c r="B3215" t="s">
        <v>26</v>
      </c>
      <c r="C3215" t="s">
        <v>27</v>
      </c>
      <c r="H3215" s="2">
        <v>44905.676388888889</v>
      </c>
      <c r="I3215" t="s">
        <v>29</v>
      </c>
      <c r="Z3215">
        <v>45399</v>
      </c>
    </row>
    <row r="3216" spans="1:26" x14ac:dyDescent="0.25">
      <c r="A3216" t="s">
        <v>712</v>
      </c>
      <c r="B3216" t="s">
        <v>26</v>
      </c>
      <c r="C3216" t="s">
        <v>27</v>
      </c>
      <c r="H3216" s="2">
        <v>44905.59375</v>
      </c>
      <c r="I3216" t="s">
        <v>29</v>
      </c>
      <c r="Z3216">
        <v>45387</v>
      </c>
    </row>
    <row r="3217" spans="1:26" x14ac:dyDescent="0.25">
      <c r="A3217" t="s">
        <v>3674</v>
      </c>
      <c r="B3217" t="s">
        <v>26</v>
      </c>
      <c r="C3217" t="s">
        <v>27</v>
      </c>
      <c r="H3217" s="2">
        <v>44905.589583333334</v>
      </c>
      <c r="I3217" t="s">
        <v>226</v>
      </c>
      <c r="Z3217">
        <v>45386</v>
      </c>
    </row>
    <row r="3218" spans="1:26" x14ac:dyDescent="0.25">
      <c r="A3218" t="s">
        <v>712</v>
      </c>
      <c r="B3218" t="s">
        <v>46</v>
      </c>
      <c r="C3218" t="s">
        <v>27</v>
      </c>
      <c r="E3218" t="s">
        <v>3675</v>
      </c>
      <c r="G3218" t="s">
        <v>3676</v>
      </c>
      <c r="H3218" s="2">
        <v>44905.442361111112</v>
      </c>
      <c r="I3218" t="s">
        <v>29</v>
      </c>
      <c r="Z3218">
        <v>45348</v>
      </c>
    </row>
    <row r="3219" spans="1:26" x14ac:dyDescent="0.25">
      <c r="A3219" t="s">
        <v>3677</v>
      </c>
      <c r="B3219" t="s">
        <v>26</v>
      </c>
      <c r="C3219" t="s">
        <v>27</v>
      </c>
      <c r="H3219" s="2">
        <v>44904.617361111108</v>
      </c>
      <c r="I3219" t="s">
        <v>227</v>
      </c>
      <c r="Z3219">
        <v>45300</v>
      </c>
    </row>
    <row r="3220" spans="1:26" x14ac:dyDescent="0.25">
      <c r="A3220" t="s">
        <v>3678</v>
      </c>
      <c r="B3220" t="s">
        <v>164</v>
      </c>
      <c r="C3220" t="s">
        <v>27</v>
      </c>
      <c r="E3220" t="s">
        <v>3679</v>
      </c>
      <c r="H3220" s="2">
        <v>44904.076388888891</v>
      </c>
      <c r="I3220" t="s">
        <v>227</v>
      </c>
      <c r="Z3220">
        <v>45235</v>
      </c>
    </row>
    <row r="3221" spans="1:26" x14ac:dyDescent="0.25">
      <c r="A3221" t="s">
        <v>3680</v>
      </c>
      <c r="B3221" t="s">
        <v>26</v>
      </c>
      <c r="C3221" t="s">
        <v>27</v>
      </c>
      <c r="H3221" s="2">
        <v>44903.713888888888</v>
      </c>
      <c r="I3221" t="s">
        <v>306</v>
      </c>
      <c r="Z3221">
        <v>45221</v>
      </c>
    </row>
    <row r="3222" spans="1:26" x14ac:dyDescent="0.25">
      <c r="A3222" t="s">
        <v>3681</v>
      </c>
      <c r="B3222" t="s">
        <v>26</v>
      </c>
      <c r="C3222" t="s">
        <v>27</v>
      </c>
      <c r="H3222" s="2">
        <v>44903.433333333334</v>
      </c>
      <c r="I3222" t="s">
        <v>327</v>
      </c>
      <c r="Z3222">
        <v>45189</v>
      </c>
    </row>
    <row r="3223" spans="1:26" x14ac:dyDescent="0.25">
      <c r="A3223" t="s">
        <v>3682</v>
      </c>
      <c r="B3223" t="s">
        <v>26</v>
      </c>
      <c r="C3223" t="s">
        <v>27</v>
      </c>
      <c r="H3223" s="2">
        <v>44902.736805555556</v>
      </c>
      <c r="I3223" t="s">
        <v>315</v>
      </c>
      <c r="Z3223">
        <v>45167</v>
      </c>
    </row>
    <row r="3224" spans="1:26" x14ac:dyDescent="0.25">
      <c r="A3224" t="s">
        <v>3683</v>
      </c>
      <c r="B3224" t="s">
        <v>164</v>
      </c>
      <c r="C3224" t="s">
        <v>27</v>
      </c>
      <c r="E3224" t="s">
        <v>3684</v>
      </c>
      <c r="H3224" s="2">
        <v>44902.475694444445</v>
      </c>
      <c r="I3224" t="s">
        <v>29</v>
      </c>
      <c r="Z3224">
        <v>45125</v>
      </c>
    </row>
    <row r="3225" spans="1:26" x14ac:dyDescent="0.25">
      <c r="A3225" t="s">
        <v>3685</v>
      </c>
      <c r="B3225" t="s">
        <v>26</v>
      </c>
      <c r="C3225" t="s">
        <v>27</v>
      </c>
      <c r="H3225" s="2">
        <v>44900.654166666667</v>
      </c>
      <c r="I3225" t="s">
        <v>226</v>
      </c>
      <c r="Z3225">
        <v>45003</v>
      </c>
    </row>
    <row r="3226" spans="1:26" x14ac:dyDescent="0.25">
      <c r="A3226" t="s">
        <v>3686</v>
      </c>
      <c r="B3226" t="s">
        <v>26</v>
      </c>
      <c r="C3226" t="s">
        <v>27</v>
      </c>
      <c r="H3226" s="2">
        <v>44900.494444444441</v>
      </c>
      <c r="I3226" t="s">
        <v>29</v>
      </c>
      <c r="Z3226">
        <v>44985</v>
      </c>
    </row>
    <row r="3227" spans="1:26" x14ac:dyDescent="0.25">
      <c r="A3227" t="s">
        <v>712</v>
      </c>
      <c r="B3227" t="s">
        <v>164</v>
      </c>
      <c r="C3227" t="s">
        <v>27</v>
      </c>
      <c r="E3227" t="s">
        <v>3687</v>
      </c>
      <c r="H3227" s="2">
        <v>44899.699305555558</v>
      </c>
      <c r="I3227" t="s">
        <v>29</v>
      </c>
      <c r="K3227" t="s">
        <v>30</v>
      </c>
      <c r="L3227" t="s">
        <v>31</v>
      </c>
      <c r="M3227">
        <v>55887024</v>
      </c>
      <c r="N3227">
        <v>9754613612</v>
      </c>
      <c r="O3227" t="s">
        <v>2222</v>
      </c>
      <c r="Z3227">
        <v>44948</v>
      </c>
    </row>
    <row r="3228" spans="1:26" x14ac:dyDescent="0.25">
      <c r="A3228" t="s">
        <v>652</v>
      </c>
      <c r="B3228" t="s">
        <v>185</v>
      </c>
      <c r="C3228" t="s">
        <v>27</v>
      </c>
      <c r="E3228" t="s">
        <v>113</v>
      </c>
      <c r="H3228" s="2">
        <v>44898.835416666669</v>
      </c>
      <c r="I3228" t="s">
        <v>327</v>
      </c>
      <c r="Z3228">
        <v>44896</v>
      </c>
    </row>
    <row r="3229" spans="1:26" x14ac:dyDescent="0.25">
      <c r="A3229" t="s">
        <v>3688</v>
      </c>
      <c r="B3229" t="s">
        <v>26</v>
      </c>
      <c r="C3229" t="s">
        <v>27</v>
      </c>
      <c r="H3229" s="2">
        <v>44898.529166666667</v>
      </c>
      <c r="I3229" t="s">
        <v>227</v>
      </c>
      <c r="Z3229">
        <v>44851</v>
      </c>
    </row>
    <row r="3230" spans="1:26" x14ac:dyDescent="0.25">
      <c r="A3230" t="s">
        <v>3689</v>
      </c>
      <c r="B3230" t="s">
        <v>26</v>
      </c>
      <c r="C3230" t="s">
        <v>27</v>
      </c>
      <c r="H3230" s="2">
        <v>44897.724999999999</v>
      </c>
      <c r="I3230" t="s">
        <v>226</v>
      </c>
      <c r="Z3230">
        <v>44802</v>
      </c>
    </row>
    <row r="3231" spans="1:26" x14ac:dyDescent="0.25">
      <c r="A3231" t="s">
        <v>3689</v>
      </c>
      <c r="B3231" t="s">
        <v>26</v>
      </c>
      <c r="C3231" t="s">
        <v>27</v>
      </c>
      <c r="H3231" s="2">
        <v>44896.688194444447</v>
      </c>
      <c r="I3231" t="s">
        <v>29</v>
      </c>
      <c r="Z3231">
        <v>44708</v>
      </c>
    </row>
    <row r="3232" spans="1:26" x14ac:dyDescent="0.25">
      <c r="A3232" t="s">
        <v>3690</v>
      </c>
      <c r="B3232" t="s">
        <v>26</v>
      </c>
      <c r="C3232" t="s">
        <v>27</v>
      </c>
      <c r="H3232" s="2">
        <v>44896.546527777777</v>
      </c>
      <c r="I3232" t="s">
        <v>227</v>
      </c>
      <c r="Z3232">
        <v>44689</v>
      </c>
    </row>
    <row r="3233" spans="1:26" x14ac:dyDescent="0.25">
      <c r="A3233" t="s">
        <v>3691</v>
      </c>
      <c r="B3233" t="s">
        <v>26</v>
      </c>
      <c r="C3233" t="s">
        <v>27</v>
      </c>
      <c r="H3233" s="2">
        <v>44895.711111111108</v>
      </c>
      <c r="I3233" t="s">
        <v>227</v>
      </c>
      <c r="Z3233">
        <v>44643</v>
      </c>
    </row>
    <row r="3234" spans="1:26" x14ac:dyDescent="0.25">
      <c r="A3234" t="s">
        <v>3692</v>
      </c>
      <c r="B3234" t="s">
        <v>26</v>
      </c>
      <c r="C3234" t="s">
        <v>27</v>
      </c>
      <c r="H3234" s="2">
        <v>44895.669444444444</v>
      </c>
      <c r="I3234" t="s">
        <v>29</v>
      </c>
      <c r="Z3234">
        <v>44629</v>
      </c>
    </row>
    <row r="3235" spans="1:26" x14ac:dyDescent="0.25">
      <c r="A3235" t="s">
        <v>3693</v>
      </c>
      <c r="B3235" t="s">
        <v>26</v>
      </c>
      <c r="C3235" t="s">
        <v>27</v>
      </c>
      <c r="H3235" s="2">
        <v>44895.6</v>
      </c>
      <c r="I3235" t="s">
        <v>29</v>
      </c>
      <c r="Z3235">
        <v>44611</v>
      </c>
    </row>
    <row r="3236" spans="1:26" x14ac:dyDescent="0.25">
      <c r="A3236" t="s">
        <v>3694</v>
      </c>
      <c r="B3236" t="s">
        <v>26</v>
      </c>
      <c r="C3236" t="s">
        <v>27</v>
      </c>
      <c r="E3236" t="s">
        <v>105</v>
      </c>
      <c r="H3236" s="2">
        <v>44895.554861111108</v>
      </c>
      <c r="I3236" t="s">
        <v>153</v>
      </c>
      <c r="Z3236">
        <v>44601</v>
      </c>
    </row>
    <row r="3237" spans="1:26" x14ac:dyDescent="0.25">
      <c r="A3237" t="s">
        <v>3695</v>
      </c>
      <c r="B3237" t="s">
        <v>26</v>
      </c>
      <c r="C3237" t="s">
        <v>27</v>
      </c>
      <c r="H3237" s="2">
        <v>44895.395833333336</v>
      </c>
      <c r="I3237" t="s">
        <v>29</v>
      </c>
      <c r="Z3237">
        <v>44574</v>
      </c>
    </row>
    <row r="3238" spans="1:26" x14ac:dyDescent="0.25">
      <c r="A3238" t="s">
        <v>3696</v>
      </c>
      <c r="B3238" t="s">
        <v>164</v>
      </c>
      <c r="C3238" t="s">
        <v>27</v>
      </c>
      <c r="E3238" t="s">
        <v>3363</v>
      </c>
      <c r="H3238" s="2">
        <v>44894.959027777775</v>
      </c>
      <c r="I3238" t="s">
        <v>248</v>
      </c>
      <c r="Z3238">
        <v>44566</v>
      </c>
    </row>
    <row r="3239" spans="1:26" x14ac:dyDescent="0.25">
      <c r="A3239" t="s">
        <v>3697</v>
      </c>
      <c r="B3239" t="s">
        <v>26</v>
      </c>
      <c r="C3239" t="s">
        <v>27</v>
      </c>
      <c r="H3239" s="2">
        <v>44894.509027777778</v>
      </c>
      <c r="I3239" t="s">
        <v>226</v>
      </c>
      <c r="Z3239">
        <v>44469</v>
      </c>
    </row>
    <row r="3240" spans="1:26" x14ac:dyDescent="0.25">
      <c r="A3240" t="s">
        <v>3698</v>
      </c>
      <c r="B3240" t="s">
        <v>185</v>
      </c>
      <c r="C3240" t="s">
        <v>27</v>
      </c>
      <c r="E3240" t="s">
        <v>103</v>
      </c>
      <c r="G3240" t="s">
        <v>3699</v>
      </c>
      <c r="H3240" s="2">
        <v>44894.378472222219</v>
      </c>
      <c r="I3240" t="s">
        <v>29</v>
      </c>
      <c r="Z3240">
        <v>44437</v>
      </c>
    </row>
    <row r="3241" spans="1:26" x14ac:dyDescent="0.25">
      <c r="A3241" t="s">
        <v>102</v>
      </c>
      <c r="B3241" t="s">
        <v>334</v>
      </c>
      <c r="C3241" t="s">
        <v>27</v>
      </c>
      <c r="E3241" t="s">
        <v>60</v>
      </c>
      <c r="H3241" s="2">
        <v>44893.564583333333</v>
      </c>
      <c r="I3241" t="s">
        <v>186</v>
      </c>
      <c r="Z3241">
        <v>44339</v>
      </c>
    </row>
    <row r="3242" spans="1:26" x14ac:dyDescent="0.25">
      <c r="A3242" t="s">
        <v>3700</v>
      </c>
      <c r="B3242" t="s">
        <v>26</v>
      </c>
      <c r="C3242" t="s">
        <v>27</v>
      </c>
      <c r="H3242" s="2">
        <v>44893.520138888889</v>
      </c>
      <c r="I3242" t="s">
        <v>186</v>
      </c>
      <c r="Z3242">
        <v>44326</v>
      </c>
    </row>
    <row r="3243" spans="1:26" x14ac:dyDescent="0.25">
      <c r="A3243" t="s">
        <v>3701</v>
      </c>
      <c r="B3243" t="s">
        <v>26</v>
      </c>
      <c r="C3243" t="s">
        <v>27</v>
      </c>
      <c r="H3243" s="2">
        <v>44893.489583333336</v>
      </c>
      <c r="I3243" t="s">
        <v>226</v>
      </c>
      <c r="Z3243">
        <v>44315</v>
      </c>
    </row>
    <row r="3244" spans="1:26" x14ac:dyDescent="0.25">
      <c r="A3244" t="s">
        <v>3702</v>
      </c>
      <c r="B3244" t="s">
        <v>26</v>
      </c>
      <c r="C3244" t="s">
        <v>27</v>
      </c>
      <c r="H3244" s="2">
        <v>44893.429861111108</v>
      </c>
      <c r="I3244" t="s">
        <v>330</v>
      </c>
      <c r="Z3244">
        <v>44287</v>
      </c>
    </row>
    <row r="3245" spans="1:26" x14ac:dyDescent="0.25">
      <c r="A3245" t="s">
        <v>345</v>
      </c>
      <c r="B3245" t="s">
        <v>52</v>
      </c>
      <c r="C3245" t="s">
        <v>27</v>
      </c>
      <c r="E3245" t="s">
        <v>88</v>
      </c>
      <c r="H3245" s="2">
        <v>44892.85</v>
      </c>
      <c r="I3245" t="s">
        <v>227</v>
      </c>
      <c r="Z3245">
        <v>44265</v>
      </c>
    </row>
    <row r="3246" spans="1:26" x14ac:dyDescent="0.25">
      <c r="A3246" t="s">
        <v>3703</v>
      </c>
      <c r="B3246" t="s">
        <v>26</v>
      </c>
      <c r="C3246" t="s">
        <v>27</v>
      </c>
      <c r="H3246" s="2">
        <v>44892.477083333331</v>
      </c>
      <c r="I3246" t="s">
        <v>330</v>
      </c>
      <c r="Z3246">
        <v>44187</v>
      </c>
    </row>
    <row r="3247" spans="1:26" x14ac:dyDescent="0.25">
      <c r="A3247" t="s">
        <v>3704</v>
      </c>
      <c r="B3247" t="s">
        <v>26</v>
      </c>
      <c r="C3247" t="s">
        <v>27</v>
      </c>
      <c r="H3247" s="2">
        <v>44891.806944444441</v>
      </c>
      <c r="I3247" t="s">
        <v>153</v>
      </c>
      <c r="Z3247">
        <v>44157</v>
      </c>
    </row>
    <row r="3248" spans="1:26" x14ac:dyDescent="0.25">
      <c r="A3248" t="s">
        <v>3705</v>
      </c>
      <c r="B3248" t="s">
        <v>26</v>
      </c>
      <c r="C3248" t="s">
        <v>27</v>
      </c>
      <c r="H3248" s="2">
        <v>44891.654166666667</v>
      </c>
      <c r="I3248" t="s">
        <v>153</v>
      </c>
      <c r="Z3248">
        <v>44137</v>
      </c>
    </row>
    <row r="3249" spans="1:26" x14ac:dyDescent="0.25">
      <c r="A3249" t="s">
        <v>3706</v>
      </c>
      <c r="B3249" t="s">
        <v>26</v>
      </c>
      <c r="C3249" t="s">
        <v>27</v>
      </c>
      <c r="H3249" s="2">
        <v>44891.428472222222</v>
      </c>
      <c r="I3249" t="s">
        <v>226</v>
      </c>
      <c r="Z3249">
        <v>44088</v>
      </c>
    </row>
    <row r="3250" spans="1:26" x14ac:dyDescent="0.25">
      <c r="A3250" t="s">
        <v>97</v>
      </c>
      <c r="C3250" t="s">
        <v>64</v>
      </c>
      <c r="E3250" t="s">
        <v>44</v>
      </c>
      <c r="H3250" s="2">
        <v>44890.899305555555</v>
      </c>
      <c r="I3250" t="s">
        <v>227</v>
      </c>
      <c r="Z3250">
        <v>44078</v>
      </c>
    </row>
    <row r="3251" spans="1:26" x14ac:dyDescent="0.25">
      <c r="A3251" t="s">
        <v>3707</v>
      </c>
      <c r="B3251" t="s">
        <v>26</v>
      </c>
      <c r="C3251" t="s">
        <v>27</v>
      </c>
      <c r="H3251" s="2">
        <v>44890.747916666667</v>
      </c>
      <c r="I3251" t="s">
        <v>227</v>
      </c>
      <c r="Z3251">
        <v>44068</v>
      </c>
    </row>
    <row r="3252" spans="1:26" x14ac:dyDescent="0.25">
      <c r="A3252" t="s">
        <v>3708</v>
      </c>
      <c r="B3252" t="s">
        <v>26</v>
      </c>
      <c r="C3252" t="s">
        <v>27</v>
      </c>
      <c r="H3252" s="2">
        <v>44890.715277777781</v>
      </c>
      <c r="I3252" t="s">
        <v>306</v>
      </c>
      <c r="Z3252">
        <v>44063</v>
      </c>
    </row>
    <row r="3253" spans="1:26" x14ac:dyDescent="0.25">
      <c r="A3253" t="s">
        <v>712</v>
      </c>
      <c r="B3253" t="s">
        <v>26</v>
      </c>
      <c r="C3253" t="s">
        <v>27</v>
      </c>
      <c r="H3253" s="2">
        <v>44889.864583333336</v>
      </c>
      <c r="I3253" t="s">
        <v>315</v>
      </c>
      <c r="Z3253">
        <v>43994</v>
      </c>
    </row>
    <row r="3254" spans="1:26" x14ac:dyDescent="0.25">
      <c r="A3254" t="s">
        <v>262</v>
      </c>
      <c r="B3254" t="s">
        <v>185</v>
      </c>
      <c r="C3254" t="s">
        <v>27</v>
      </c>
      <c r="E3254" t="s">
        <v>60</v>
      </c>
      <c r="H3254" s="2">
        <v>44889.779166666667</v>
      </c>
      <c r="I3254" t="s">
        <v>227</v>
      </c>
      <c r="Z3254">
        <v>43986</v>
      </c>
    </row>
    <row r="3255" spans="1:26" x14ac:dyDescent="0.25">
      <c r="A3255" t="s">
        <v>3709</v>
      </c>
      <c r="B3255" t="s">
        <v>26</v>
      </c>
      <c r="C3255" t="s">
        <v>27</v>
      </c>
      <c r="H3255" s="2">
        <v>44889.74722222222</v>
      </c>
      <c r="I3255" t="s">
        <v>294</v>
      </c>
      <c r="Z3255">
        <v>43984</v>
      </c>
    </row>
    <row r="3256" spans="1:26" x14ac:dyDescent="0.25">
      <c r="A3256" t="s">
        <v>102</v>
      </c>
      <c r="B3256" t="s">
        <v>334</v>
      </c>
      <c r="C3256" t="s">
        <v>27</v>
      </c>
      <c r="E3256" t="s">
        <v>111</v>
      </c>
      <c r="H3256" s="2">
        <v>44889.67291666667</v>
      </c>
      <c r="I3256" t="s">
        <v>227</v>
      </c>
      <c r="K3256" t="s">
        <v>30</v>
      </c>
      <c r="L3256" t="s">
        <v>31</v>
      </c>
      <c r="M3256">
        <v>55887024</v>
      </c>
      <c r="N3256">
        <v>9754613607</v>
      </c>
      <c r="O3256" t="s">
        <v>2599</v>
      </c>
      <c r="Z3256">
        <v>43975</v>
      </c>
    </row>
    <row r="3257" spans="1:26" x14ac:dyDescent="0.25">
      <c r="A3257" t="s">
        <v>3710</v>
      </c>
      <c r="B3257" t="s">
        <v>26</v>
      </c>
      <c r="C3257" t="s">
        <v>27</v>
      </c>
      <c r="E3257" t="s">
        <v>3711</v>
      </c>
      <c r="H3257" s="2">
        <v>44889.53125</v>
      </c>
      <c r="I3257" t="s">
        <v>227</v>
      </c>
      <c r="Z3257">
        <v>43953</v>
      </c>
    </row>
    <row r="3258" spans="1:26" x14ac:dyDescent="0.25">
      <c r="A3258" t="s">
        <v>3712</v>
      </c>
      <c r="B3258" t="s">
        <v>26</v>
      </c>
      <c r="C3258" t="s">
        <v>27</v>
      </c>
      <c r="H3258" s="2">
        <v>44888.672222222223</v>
      </c>
      <c r="I3258" t="s">
        <v>327</v>
      </c>
      <c r="Z3258">
        <v>43916</v>
      </c>
    </row>
    <row r="3259" spans="1:26" x14ac:dyDescent="0.25">
      <c r="A3259" t="s">
        <v>3713</v>
      </c>
      <c r="B3259" t="s">
        <v>26</v>
      </c>
      <c r="C3259" t="s">
        <v>27</v>
      </c>
      <c r="E3259" t="s">
        <v>358</v>
      </c>
      <c r="H3259" s="2">
        <v>44888.387499999997</v>
      </c>
      <c r="I3259" t="s">
        <v>153</v>
      </c>
      <c r="Z3259">
        <v>43867</v>
      </c>
    </row>
    <row r="3260" spans="1:26" x14ac:dyDescent="0.25">
      <c r="A3260" t="s">
        <v>3714</v>
      </c>
      <c r="B3260" t="s">
        <v>164</v>
      </c>
      <c r="C3260" t="s">
        <v>206</v>
      </c>
      <c r="E3260" t="s">
        <v>3715</v>
      </c>
      <c r="H3260" s="2">
        <v>44887.698611111111</v>
      </c>
      <c r="I3260" t="s">
        <v>153</v>
      </c>
      <c r="Z3260">
        <v>43831</v>
      </c>
    </row>
    <row r="3261" spans="1:26" x14ac:dyDescent="0.25">
      <c r="A3261" t="s">
        <v>3716</v>
      </c>
      <c r="B3261" t="s">
        <v>26</v>
      </c>
      <c r="C3261" t="s">
        <v>27</v>
      </c>
      <c r="H3261" s="2">
        <v>44887.56527777778</v>
      </c>
      <c r="I3261" t="s">
        <v>330</v>
      </c>
      <c r="Z3261">
        <v>43819</v>
      </c>
    </row>
    <row r="3262" spans="1:26" x14ac:dyDescent="0.25">
      <c r="A3262" t="s">
        <v>3717</v>
      </c>
      <c r="B3262" t="s">
        <v>26</v>
      </c>
      <c r="C3262" t="s">
        <v>27</v>
      </c>
      <c r="H3262" s="2">
        <v>44886.556250000001</v>
      </c>
      <c r="I3262" t="s">
        <v>227</v>
      </c>
      <c r="Z3262">
        <v>43747</v>
      </c>
    </row>
    <row r="3263" spans="1:26" x14ac:dyDescent="0.25">
      <c r="A3263" t="s">
        <v>345</v>
      </c>
      <c r="C3263" t="s">
        <v>27</v>
      </c>
      <c r="E3263" t="s">
        <v>84</v>
      </c>
      <c r="H3263" s="2">
        <v>44886.509722222225</v>
      </c>
      <c r="I3263" t="s">
        <v>327</v>
      </c>
      <c r="Z3263">
        <v>43738</v>
      </c>
    </row>
    <row r="3264" spans="1:26" x14ac:dyDescent="0.25">
      <c r="A3264" t="s">
        <v>3718</v>
      </c>
      <c r="B3264" t="s">
        <v>150</v>
      </c>
      <c r="C3264" t="s">
        <v>27</v>
      </c>
      <c r="E3264" t="s">
        <v>3719</v>
      </c>
      <c r="G3264" t="s">
        <v>3720</v>
      </c>
      <c r="H3264" s="2">
        <v>44886.46597222222</v>
      </c>
      <c r="I3264" t="s">
        <v>227</v>
      </c>
      <c r="Z3264">
        <v>43732</v>
      </c>
    </row>
    <row r="3265" spans="1:26" x14ac:dyDescent="0.25">
      <c r="A3265" t="s">
        <v>3721</v>
      </c>
      <c r="B3265" t="s">
        <v>26</v>
      </c>
      <c r="C3265" t="s">
        <v>27</v>
      </c>
      <c r="E3265">
        <v>1</v>
      </c>
      <c r="H3265" s="2">
        <v>44886.453472222223</v>
      </c>
      <c r="I3265" t="s">
        <v>227</v>
      </c>
      <c r="Z3265">
        <v>43729</v>
      </c>
    </row>
    <row r="3266" spans="1:26" x14ac:dyDescent="0.25">
      <c r="A3266" t="s">
        <v>3722</v>
      </c>
      <c r="B3266" t="s">
        <v>26</v>
      </c>
      <c r="C3266" t="s">
        <v>27</v>
      </c>
      <c r="H3266" s="2">
        <v>44885.450694444444</v>
      </c>
      <c r="I3266" t="s">
        <v>226</v>
      </c>
      <c r="Z3266">
        <v>43703</v>
      </c>
    </row>
    <row r="3267" spans="1:26" x14ac:dyDescent="0.25">
      <c r="A3267" t="s">
        <v>3723</v>
      </c>
      <c r="B3267" t="s">
        <v>26</v>
      </c>
      <c r="C3267" t="s">
        <v>27</v>
      </c>
      <c r="H3267" s="2">
        <v>44885.418749999997</v>
      </c>
      <c r="I3267" t="s">
        <v>315</v>
      </c>
      <c r="Z3267">
        <v>43699</v>
      </c>
    </row>
    <row r="3268" spans="1:26" x14ac:dyDescent="0.25">
      <c r="A3268" t="s">
        <v>3724</v>
      </c>
      <c r="B3268" t="s">
        <v>26</v>
      </c>
      <c r="C3268" t="s">
        <v>27</v>
      </c>
      <c r="H3268" s="2">
        <v>44884.756944444445</v>
      </c>
      <c r="I3268" t="s">
        <v>153</v>
      </c>
      <c r="Z3268">
        <v>43689</v>
      </c>
    </row>
    <row r="3269" spans="1:26" x14ac:dyDescent="0.25">
      <c r="A3269" t="s">
        <v>3725</v>
      </c>
      <c r="B3269" t="s">
        <v>26</v>
      </c>
      <c r="C3269" t="s">
        <v>27</v>
      </c>
      <c r="H3269" s="2">
        <v>44884.587500000001</v>
      </c>
      <c r="I3269" t="s">
        <v>227</v>
      </c>
      <c r="Z3269">
        <v>43678</v>
      </c>
    </row>
    <row r="3270" spans="1:26" x14ac:dyDescent="0.25">
      <c r="A3270" t="s">
        <v>3726</v>
      </c>
      <c r="B3270" t="s">
        <v>26</v>
      </c>
      <c r="C3270" t="s">
        <v>27</v>
      </c>
      <c r="H3270" s="2">
        <v>44883.696527777778</v>
      </c>
      <c r="I3270" t="s">
        <v>227</v>
      </c>
      <c r="Z3270">
        <v>43655</v>
      </c>
    </row>
    <row r="3271" spans="1:26" x14ac:dyDescent="0.25">
      <c r="A3271" t="s">
        <v>3199</v>
      </c>
      <c r="B3271" t="s">
        <v>26</v>
      </c>
      <c r="C3271" t="s">
        <v>27</v>
      </c>
      <c r="H3271" s="2">
        <v>44883.480555555558</v>
      </c>
      <c r="I3271" t="s">
        <v>29</v>
      </c>
      <c r="Z3271">
        <v>43615</v>
      </c>
    </row>
    <row r="3272" spans="1:26" x14ac:dyDescent="0.25">
      <c r="A3272" t="s">
        <v>3727</v>
      </c>
      <c r="B3272" t="s">
        <v>150</v>
      </c>
      <c r="C3272" t="s">
        <v>27</v>
      </c>
      <c r="E3272" t="s">
        <v>69</v>
      </c>
      <c r="G3272" t="s">
        <v>3728</v>
      </c>
      <c r="H3272" s="2">
        <v>44881.793055555558</v>
      </c>
      <c r="I3272" t="s">
        <v>124</v>
      </c>
      <c r="K3272" t="s">
        <v>30</v>
      </c>
      <c r="L3272" t="s">
        <v>31</v>
      </c>
      <c r="M3272">
        <v>55887024</v>
      </c>
      <c r="N3272">
        <v>9754613607</v>
      </c>
      <c r="O3272" t="s">
        <v>3729</v>
      </c>
      <c r="Z3272">
        <v>43546</v>
      </c>
    </row>
    <row r="3273" spans="1:26" x14ac:dyDescent="0.25">
      <c r="A3273" t="s">
        <v>3730</v>
      </c>
      <c r="B3273" t="s">
        <v>26</v>
      </c>
      <c r="C3273" t="s">
        <v>27</v>
      </c>
      <c r="H3273" s="2">
        <v>44881.415972222225</v>
      </c>
      <c r="I3273" t="s">
        <v>153</v>
      </c>
      <c r="Z3273">
        <v>43473</v>
      </c>
    </row>
    <row r="3274" spans="1:26" x14ac:dyDescent="0.25">
      <c r="A3274" t="s">
        <v>3731</v>
      </c>
      <c r="B3274" t="s">
        <v>26</v>
      </c>
      <c r="C3274" t="s">
        <v>27</v>
      </c>
      <c r="H3274" s="2">
        <v>44881.413888888892</v>
      </c>
      <c r="I3274" t="s">
        <v>153</v>
      </c>
      <c r="Z3274">
        <v>43472</v>
      </c>
    </row>
    <row r="3275" spans="1:26" x14ac:dyDescent="0.25">
      <c r="A3275" t="s">
        <v>3732</v>
      </c>
      <c r="B3275" t="s">
        <v>26</v>
      </c>
      <c r="C3275" t="s">
        <v>27</v>
      </c>
      <c r="H3275" s="2">
        <v>44879.552777777775</v>
      </c>
      <c r="I3275" t="s">
        <v>186</v>
      </c>
      <c r="Z3275">
        <v>43324</v>
      </c>
    </row>
    <row r="3276" spans="1:26" x14ac:dyDescent="0.25">
      <c r="A3276" t="s">
        <v>2744</v>
      </c>
      <c r="B3276" t="s">
        <v>26</v>
      </c>
      <c r="C3276" t="s">
        <v>27</v>
      </c>
      <c r="H3276" s="2">
        <v>44879.506944444445</v>
      </c>
      <c r="I3276" t="s">
        <v>315</v>
      </c>
      <c r="Z3276">
        <v>43321</v>
      </c>
    </row>
    <row r="3277" spans="1:26" x14ac:dyDescent="0.25">
      <c r="A3277" t="s">
        <v>97</v>
      </c>
      <c r="C3277" t="s">
        <v>27</v>
      </c>
      <c r="E3277" t="s">
        <v>129</v>
      </c>
      <c r="H3277" s="2">
        <v>44879.406944444447</v>
      </c>
      <c r="I3277" t="s">
        <v>227</v>
      </c>
      <c r="Z3277">
        <v>43293</v>
      </c>
    </row>
    <row r="3278" spans="1:26" x14ac:dyDescent="0.25">
      <c r="A3278" t="s">
        <v>3733</v>
      </c>
      <c r="B3278" t="s">
        <v>26</v>
      </c>
      <c r="C3278" t="s">
        <v>27</v>
      </c>
      <c r="H3278" s="2">
        <v>44879.386805555558</v>
      </c>
      <c r="I3278" t="s">
        <v>226</v>
      </c>
      <c r="Z3278">
        <v>43286</v>
      </c>
    </row>
    <row r="3279" spans="1:26" x14ac:dyDescent="0.25">
      <c r="A3279" t="s">
        <v>3734</v>
      </c>
      <c r="B3279" t="s">
        <v>164</v>
      </c>
      <c r="C3279" t="s">
        <v>27</v>
      </c>
      <c r="E3279" t="s">
        <v>3735</v>
      </c>
      <c r="H3279" s="2">
        <v>44878.857638888891</v>
      </c>
      <c r="I3279" t="s">
        <v>227</v>
      </c>
      <c r="Z3279">
        <v>43276</v>
      </c>
    </row>
    <row r="3280" spans="1:26" x14ac:dyDescent="0.25">
      <c r="A3280" t="s">
        <v>3736</v>
      </c>
      <c r="B3280" t="s">
        <v>26</v>
      </c>
      <c r="C3280" t="s">
        <v>27</v>
      </c>
      <c r="H3280" s="2">
        <v>44878.725694444445</v>
      </c>
      <c r="I3280" t="s">
        <v>227</v>
      </c>
      <c r="Z3280">
        <v>43270</v>
      </c>
    </row>
    <row r="3281" spans="1:26" x14ac:dyDescent="0.25">
      <c r="A3281" t="s">
        <v>3737</v>
      </c>
      <c r="B3281" t="s">
        <v>26</v>
      </c>
      <c r="C3281" t="s">
        <v>27</v>
      </c>
      <c r="H3281" s="2">
        <v>44878.631944444445</v>
      </c>
      <c r="I3281" t="s">
        <v>227</v>
      </c>
      <c r="Z3281">
        <v>43267</v>
      </c>
    </row>
    <row r="3282" spans="1:26" x14ac:dyDescent="0.25">
      <c r="A3282" t="s">
        <v>97</v>
      </c>
      <c r="C3282" t="s">
        <v>27</v>
      </c>
      <c r="E3282" t="s">
        <v>3738</v>
      </c>
      <c r="H3282" s="2">
        <v>44876.831250000003</v>
      </c>
      <c r="I3282" t="s">
        <v>29</v>
      </c>
      <c r="Z3282">
        <v>43160</v>
      </c>
    </row>
    <row r="3283" spans="1:26" x14ac:dyDescent="0.25">
      <c r="A3283" t="s">
        <v>3739</v>
      </c>
      <c r="B3283" t="s">
        <v>26</v>
      </c>
      <c r="C3283" t="s">
        <v>27</v>
      </c>
      <c r="H3283" s="2">
        <v>44876.756249999999</v>
      </c>
      <c r="I3283" t="s">
        <v>29</v>
      </c>
      <c r="Z3283">
        <v>43151</v>
      </c>
    </row>
    <row r="3284" spans="1:26" x14ac:dyDescent="0.25">
      <c r="A3284" t="s">
        <v>3740</v>
      </c>
      <c r="B3284" t="s">
        <v>26</v>
      </c>
      <c r="C3284" t="s">
        <v>27</v>
      </c>
      <c r="H3284" s="2">
        <v>44876.736805555556</v>
      </c>
      <c r="I3284" t="s">
        <v>29</v>
      </c>
      <c r="Z3284">
        <v>43149</v>
      </c>
    </row>
    <row r="3285" spans="1:26" x14ac:dyDescent="0.25">
      <c r="A3285" t="s">
        <v>3741</v>
      </c>
      <c r="B3285" t="s">
        <v>26</v>
      </c>
      <c r="C3285" t="s">
        <v>27</v>
      </c>
      <c r="H3285" s="2">
        <v>44876.488194444442</v>
      </c>
      <c r="I3285" t="s">
        <v>315</v>
      </c>
      <c r="Z3285">
        <v>43095</v>
      </c>
    </row>
    <row r="3286" spans="1:26" x14ac:dyDescent="0.25">
      <c r="A3286" t="s">
        <v>3742</v>
      </c>
      <c r="B3286" t="s">
        <v>26</v>
      </c>
      <c r="C3286" t="s">
        <v>27</v>
      </c>
      <c r="H3286" s="2">
        <v>44876.447916666664</v>
      </c>
      <c r="I3286" t="s">
        <v>29</v>
      </c>
      <c r="Z3286">
        <v>43090</v>
      </c>
    </row>
    <row r="3287" spans="1:26" x14ac:dyDescent="0.25">
      <c r="A3287" t="s">
        <v>3743</v>
      </c>
      <c r="B3287" t="s">
        <v>26</v>
      </c>
      <c r="C3287" t="s">
        <v>27</v>
      </c>
      <c r="H3287" s="2">
        <v>44875.73541666667</v>
      </c>
      <c r="I3287" t="s">
        <v>306</v>
      </c>
      <c r="Z3287">
        <v>43060</v>
      </c>
    </row>
    <row r="3288" spans="1:26" x14ac:dyDescent="0.25">
      <c r="A3288" t="s">
        <v>3744</v>
      </c>
      <c r="B3288" t="s">
        <v>26</v>
      </c>
      <c r="C3288" t="s">
        <v>27</v>
      </c>
      <c r="H3288" s="2">
        <v>44875.586111111108</v>
      </c>
      <c r="I3288" t="s">
        <v>306</v>
      </c>
      <c r="Z3288">
        <v>43037</v>
      </c>
    </row>
    <row r="3289" spans="1:26" x14ac:dyDescent="0.25">
      <c r="A3289" t="s">
        <v>291</v>
      </c>
      <c r="B3289" t="s">
        <v>164</v>
      </c>
      <c r="C3289" t="s">
        <v>192</v>
      </c>
      <c r="E3289" t="s">
        <v>80</v>
      </c>
      <c r="H3289" s="2">
        <v>44875.517361111109</v>
      </c>
      <c r="I3289" t="s">
        <v>248</v>
      </c>
      <c r="Z3289">
        <v>43031</v>
      </c>
    </row>
    <row r="3290" spans="1:26" x14ac:dyDescent="0.25">
      <c r="A3290" t="s">
        <v>360</v>
      </c>
      <c r="B3290" t="s">
        <v>26</v>
      </c>
      <c r="C3290" t="s">
        <v>27</v>
      </c>
      <c r="H3290" s="2">
        <v>44875.395138888889</v>
      </c>
      <c r="I3290" t="s">
        <v>227</v>
      </c>
      <c r="Z3290">
        <v>42996</v>
      </c>
    </row>
    <row r="3291" spans="1:26" x14ac:dyDescent="0.25">
      <c r="A3291" t="s">
        <v>3745</v>
      </c>
      <c r="B3291" t="s">
        <v>26</v>
      </c>
      <c r="C3291" t="s">
        <v>27</v>
      </c>
      <c r="H3291" s="2">
        <v>44874.126388888886</v>
      </c>
      <c r="I3291" t="s">
        <v>226</v>
      </c>
      <c r="Z3291">
        <v>42905</v>
      </c>
    </row>
    <row r="3292" spans="1:26" x14ac:dyDescent="0.25">
      <c r="A3292" t="s">
        <v>3746</v>
      </c>
      <c r="B3292" t="s">
        <v>26</v>
      </c>
      <c r="C3292" t="s">
        <v>27</v>
      </c>
      <c r="H3292" s="2">
        <v>44873.777083333334</v>
      </c>
      <c r="I3292" t="s">
        <v>29</v>
      </c>
      <c r="Z3292">
        <v>42897</v>
      </c>
    </row>
    <row r="3293" spans="1:26" x14ac:dyDescent="0.25">
      <c r="A3293" t="s">
        <v>3691</v>
      </c>
      <c r="B3293" t="s">
        <v>26</v>
      </c>
      <c r="C3293" t="s">
        <v>27</v>
      </c>
      <c r="H3293" s="2">
        <v>44873.502083333333</v>
      </c>
      <c r="I3293" t="s">
        <v>315</v>
      </c>
      <c r="Z3293">
        <v>42854</v>
      </c>
    </row>
    <row r="3294" spans="1:26" x14ac:dyDescent="0.25">
      <c r="A3294" t="s">
        <v>3747</v>
      </c>
      <c r="B3294" t="s">
        <v>26</v>
      </c>
      <c r="C3294" t="s">
        <v>27</v>
      </c>
      <c r="H3294" s="2">
        <v>44872.839583333334</v>
      </c>
      <c r="I3294" t="s">
        <v>29</v>
      </c>
      <c r="Z3294">
        <v>42829</v>
      </c>
    </row>
    <row r="3295" spans="1:26" x14ac:dyDescent="0.25">
      <c r="A3295" t="s">
        <v>3748</v>
      </c>
      <c r="B3295" t="s">
        <v>26</v>
      </c>
      <c r="C3295" t="s">
        <v>27</v>
      </c>
      <c r="H3295" s="2">
        <v>44872.442361111112</v>
      </c>
      <c r="I3295" t="s">
        <v>226</v>
      </c>
      <c r="Z3295">
        <v>42759</v>
      </c>
    </row>
    <row r="3296" spans="1:26" x14ac:dyDescent="0.25">
      <c r="A3296" t="s">
        <v>3749</v>
      </c>
      <c r="B3296" t="s">
        <v>26</v>
      </c>
      <c r="C3296" t="s">
        <v>27</v>
      </c>
      <c r="H3296" s="2">
        <v>44871.554861111108</v>
      </c>
      <c r="I3296" t="s">
        <v>29</v>
      </c>
      <c r="Z3296">
        <v>42694</v>
      </c>
    </row>
    <row r="3297" spans="1:26" x14ac:dyDescent="0.25">
      <c r="A3297" t="s">
        <v>3750</v>
      </c>
      <c r="B3297" t="s">
        <v>185</v>
      </c>
      <c r="C3297" t="s">
        <v>27</v>
      </c>
      <c r="E3297" t="s">
        <v>2106</v>
      </c>
      <c r="G3297" t="s">
        <v>3751</v>
      </c>
      <c r="H3297" s="2">
        <v>44870.886805555558</v>
      </c>
      <c r="I3297" t="s">
        <v>227</v>
      </c>
      <c r="Z3297">
        <v>42667</v>
      </c>
    </row>
    <row r="3298" spans="1:26" x14ac:dyDescent="0.25">
      <c r="A3298" t="s">
        <v>97</v>
      </c>
      <c r="C3298" t="s">
        <v>27</v>
      </c>
      <c r="E3298" t="s">
        <v>3752</v>
      </c>
      <c r="H3298" s="2">
        <v>44870.579861111109</v>
      </c>
      <c r="I3298" t="s">
        <v>29</v>
      </c>
      <c r="Z3298">
        <v>42628</v>
      </c>
    </row>
    <row r="3299" spans="1:26" x14ac:dyDescent="0.25">
      <c r="A3299" t="s">
        <v>3753</v>
      </c>
      <c r="B3299" t="s">
        <v>26</v>
      </c>
      <c r="C3299" t="s">
        <v>27</v>
      </c>
      <c r="H3299" s="2">
        <v>44870.402083333334</v>
      </c>
      <c r="I3299" t="s">
        <v>186</v>
      </c>
      <c r="Z3299">
        <v>42597</v>
      </c>
    </row>
    <row r="3300" spans="1:26" x14ac:dyDescent="0.25">
      <c r="A3300" t="s">
        <v>3754</v>
      </c>
      <c r="B3300" t="s">
        <v>26</v>
      </c>
      <c r="C3300" t="s">
        <v>27</v>
      </c>
      <c r="H3300" s="2">
        <v>44869.775694444441</v>
      </c>
      <c r="I3300" t="s">
        <v>226</v>
      </c>
      <c r="Z3300">
        <v>42584</v>
      </c>
    </row>
    <row r="3301" spans="1:26" x14ac:dyDescent="0.25">
      <c r="A3301" t="s">
        <v>342</v>
      </c>
      <c r="C3301" t="s">
        <v>27</v>
      </c>
      <c r="E3301" t="s">
        <v>250</v>
      </c>
      <c r="H3301" s="2">
        <v>44869.70208333333</v>
      </c>
      <c r="I3301" t="s">
        <v>186</v>
      </c>
      <c r="Z3301">
        <v>42580</v>
      </c>
    </row>
    <row r="3302" spans="1:26" x14ac:dyDescent="0.25">
      <c r="A3302" t="s">
        <v>345</v>
      </c>
      <c r="C3302" t="s">
        <v>27</v>
      </c>
      <c r="E3302" t="s">
        <v>103</v>
      </c>
      <c r="H3302" s="2">
        <v>44869.619444444441</v>
      </c>
      <c r="I3302" t="s">
        <v>29</v>
      </c>
      <c r="Z3302">
        <v>42566</v>
      </c>
    </row>
    <row r="3303" spans="1:26" x14ac:dyDescent="0.25">
      <c r="A3303" t="s">
        <v>3755</v>
      </c>
      <c r="B3303" t="s">
        <v>26</v>
      </c>
      <c r="C3303" t="s">
        <v>27</v>
      </c>
      <c r="H3303" s="2">
        <v>44868.78125</v>
      </c>
      <c r="I3303" t="s">
        <v>186</v>
      </c>
      <c r="Z3303">
        <v>42517</v>
      </c>
    </row>
    <row r="3304" spans="1:26" x14ac:dyDescent="0.25">
      <c r="A3304" t="s">
        <v>3756</v>
      </c>
      <c r="B3304" t="s">
        <v>26</v>
      </c>
      <c r="C3304" t="s">
        <v>27</v>
      </c>
      <c r="H3304" s="2">
        <v>44868.628472222219</v>
      </c>
      <c r="I3304" t="s">
        <v>194</v>
      </c>
      <c r="Z3304">
        <v>42493</v>
      </c>
    </row>
    <row r="3305" spans="1:26" x14ac:dyDescent="0.25">
      <c r="A3305" t="s">
        <v>3757</v>
      </c>
      <c r="B3305" t="s">
        <v>26</v>
      </c>
      <c r="C3305" t="s">
        <v>27</v>
      </c>
      <c r="H3305" s="2">
        <v>44867.522222222222</v>
      </c>
      <c r="I3305" t="s">
        <v>330</v>
      </c>
      <c r="Z3305">
        <v>42411</v>
      </c>
    </row>
    <row r="3306" spans="1:26" x14ac:dyDescent="0.25">
      <c r="A3306" t="s">
        <v>3758</v>
      </c>
      <c r="B3306" t="s">
        <v>26</v>
      </c>
      <c r="C3306" t="s">
        <v>27</v>
      </c>
      <c r="H3306" s="2">
        <v>44867.480555555558</v>
      </c>
      <c r="I3306" t="s">
        <v>226</v>
      </c>
      <c r="Z3306">
        <v>42399</v>
      </c>
    </row>
    <row r="3307" spans="1:26" x14ac:dyDescent="0.25">
      <c r="A3307" t="s">
        <v>3759</v>
      </c>
      <c r="B3307" t="s">
        <v>26</v>
      </c>
      <c r="C3307" t="s">
        <v>27</v>
      </c>
      <c r="H3307" s="2">
        <v>44866.822916666664</v>
      </c>
      <c r="I3307" t="s">
        <v>29</v>
      </c>
      <c r="Z3307">
        <v>42356</v>
      </c>
    </row>
    <row r="3308" spans="1:26" x14ac:dyDescent="0.25">
      <c r="A3308" t="s">
        <v>304</v>
      </c>
      <c r="B3308" t="s">
        <v>198</v>
      </c>
      <c r="C3308" t="s">
        <v>27</v>
      </c>
      <c r="E3308" t="s">
        <v>44</v>
      </c>
      <c r="H3308" s="2">
        <v>44866.805555555555</v>
      </c>
      <c r="I3308" t="s">
        <v>227</v>
      </c>
      <c r="K3308" t="s">
        <v>30</v>
      </c>
      <c r="L3308" t="s">
        <v>31</v>
      </c>
      <c r="M3308">
        <v>55887024</v>
      </c>
      <c r="N3308">
        <v>9754613600</v>
      </c>
      <c r="O3308" t="s">
        <v>2039</v>
      </c>
      <c r="Z3308">
        <v>42354</v>
      </c>
    </row>
    <row r="3309" spans="1:26" x14ac:dyDescent="0.25">
      <c r="A3309" t="s">
        <v>3760</v>
      </c>
      <c r="B3309" t="s">
        <v>26</v>
      </c>
      <c r="C3309" t="s">
        <v>27</v>
      </c>
      <c r="H3309" s="2">
        <v>44865.501388888886</v>
      </c>
      <c r="I3309" t="s">
        <v>227</v>
      </c>
      <c r="Z3309">
        <v>42219</v>
      </c>
    </row>
    <row r="3310" spans="1:26" x14ac:dyDescent="0.25">
      <c r="A3310" t="s">
        <v>3761</v>
      </c>
      <c r="B3310" t="s">
        <v>26</v>
      </c>
      <c r="C3310" t="s">
        <v>27</v>
      </c>
      <c r="H3310" s="2">
        <v>44864.510416666664</v>
      </c>
      <c r="I3310" t="s">
        <v>29</v>
      </c>
      <c r="Z3310">
        <v>42169</v>
      </c>
    </row>
    <row r="3311" spans="1:26" x14ac:dyDescent="0.25">
      <c r="A3311" t="s">
        <v>328</v>
      </c>
      <c r="B3311" t="s">
        <v>26</v>
      </c>
      <c r="C3311" t="s">
        <v>27</v>
      </c>
      <c r="H3311" s="2">
        <v>44863.679861111108</v>
      </c>
      <c r="I3311" t="s">
        <v>306</v>
      </c>
      <c r="Z3311">
        <v>42130</v>
      </c>
    </row>
    <row r="3312" spans="1:26" x14ac:dyDescent="0.25">
      <c r="A3312" t="s">
        <v>3762</v>
      </c>
      <c r="B3312" t="s">
        <v>26</v>
      </c>
      <c r="C3312" t="s">
        <v>27</v>
      </c>
      <c r="H3312" s="2">
        <v>44863.652083333334</v>
      </c>
      <c r="I3312" t="s">
        <v>29</v>
      </c>
      <c r="Z3312">
        <v>42127</v>
      </c>
    </row>
    <row r="3313" spans="1:26" x14ac:dyDescent="0.25">
      <c r="A3313" t="s">
        <v>102</v>
      </c>
      <c r="B3313" t="s">
        <v>334</v>
      </c>
      <c r="C3313" t="s">
        <v>27</v>
      </c>
      <c r="E3313" t="s">
        <v>112</v>
      </c>
      <c r="H3313" s="2">
        <v>44863.410416666666</v>
      </c>
      <c r="I3313" t="s">
        <v>29</v>
      </c>
      <c r="K3313" t="s">
        <v>30</v>
      </c>
      <c r="L3313" t="s">
        <v>31</v>
      </c>
      <c r="M3313">
        <v>67130164</v>
      </c>
      <c r="N3313">
        <v>12403825924</v>
      </c>
      <c r="O3313" t="s">
        <v>1920</v>
      </c>
      <c r="Z3313">
        <v>42078</v>
      </c>
    </row>
    <row r="3314" spans="1:26" x14ac:dyDescent="0.25">
      <c r="A3314" t="s">
        <v>652</v>
      </c>
      <c r="B3314" t="s">
        <v>26</v>
      </c>
      <c r="C3314" t="s">
        <v>27</v>
      </c>
      <c r="H3314" s="2">
        <v>44862.73541666667</v>
      </c>
      <c r="I3314" t="s">
        <v>327</v>
      </c>
      <c r="Z3314">
        <v>42059</v>
      </c>
    </row>
    <row r="3315" spans="1:26" x14ac:dyDescent="0.25">
      <c r="A3315" t="s">
        <v>97</v>
      </c>
      <c r="C3315" t="s">
        <v>27</v>
      </c>
      <c r="E3315" t="s">
        <v>44</v>
      </c>
      <c r="H3315" s="2">
        <v>44862.540972222225</v>
      </c>
      <c r="I3315" t="s">
        <v>227</v>
      </c>
      <c r="Z3315">
        <v>42035</v>
      </c>
    </row>
    <row r="3316" spans="1:26" x14ac:dyDescent="0.25">
      <c r="A3316" t="s">
        <v>3763</v>
      </c>
      <c r="B3316" t="s">
        <v>26</v>
      </c>
      <c r="C3316" t="s">
        <v>27</v>
      </c>
      <c r="H3316" s="2">
        <v>44862.388194444444</v>
      </c>
      <c r="I3316" t="s">
        <v>153</v>
      </c>
      <c r="Z3316">
        <v>42006</v>
      </c>
    </row>
    <row r="3317" spans="1:26" x14ac:dyDescent="0.25">
      <c r="A3317" t="s">
        <v>3764</v>
      </c>
      <c r="B3317" t="s">
        <v>26</v>
      </c>
      <c r="C3317" t="s">
        <v>27</v>
      </c>
      <c r="H3317" s="2">
        <v>44861.558333333334</v>
      </c>
      <c r="I3317" t="s">
        <v>227</v>
      </c>
      <c r="Z3317">
        <v>41967</v>
      </c>
    </row>
    <row r="3318" spans="1:26" x14ac:dyDescent="0.25">
      <c r="A3318" t="s">
        <v>3765</v>
      </c>
      <c r="B3318" t="s">
        <v>26</v>
      </c>
      <c r="C3318" t="s">
        <v>27</v>
      </c>
      <c r="H3318" s="2">
        <v>44861.439583333333</v>
      </c>
      <c r="I3318" t="s">
        <v>153</v>
      </c>
      <c r="Z3318">
        <v>41942</v>
      </c>
    </row>
    <row r="3319" spans="1:26" x14ac:dyDescent="0.25">
      <c r="A3319" t="s">
        <v>3766</v>
      </c>
      <c r="B3319" t="s">
        <v>26</v>
      </c>
      <c r="C3319" t="s">
        <v>27</v>
      </c>
      <c r="H3319" s="2">
        <v>44861.424305555556</v>
      </c>
      <c r="I3319" t="s">
        <v>226</v>
      </c>
      <c r="Z3319">
        <v>41936</v>
      </c>
    </row>
    <row r="3320" spans="1:26" x14ac:dyDescent="0.25">
      <c r="A3320" t="s">
        <v>3767</v>
      </c>
      <c r="B3320" t="s">
        <v>26</v>
      </c>
      <c r="C3320" t="s">
        <v>27</v>
      </c>
      <c r="H3320" s="2">
        <v>44860.55</v>
      </c>
      <c r="I3320" t="s">
        <v>330</v>
      </c>
      <c r="Z3320">
        <v>41882</v>
      </c>
    </row>
    <row r="3321" spans="1:26" x14ac:dyDescent="0.25">
      <c r="A3321" t="s">
        <v>1256</v>
      </c>
      <c r="B3321" t="s">
        <v>26</v>
      </c>
      <c r="C3321" t="s">
        <v>27</v>
      </c>
      <c r="H3321" s="2">
        <v>44859.673611111109</v>
      </c>
      <c r="I3321" t="s">
        <v>327</v>
      </c>
      <c r="Z3321">
        <v>41831</v>
      </c>
    </row>
    <row r="3322" spans="1:26" x14ac:dyDescent="0.25">
      <c r="A3322" t="s">
        <v>3768</v>
      </c>
      <c r="B3322" t="s">
        <v>26</v>
      </c>
      <c r="C3322" t="s">
        <v>27</v>
      </c>
      <c r="H3322" s="2">
        <v>44859.636111111111</v>
      </c>
      <c r="I3322" t="s">
        <v>227</v>
      </c>
      <c r="Z3322">
        <v>41823</v>
      </c>
    </row>
    <row r="3323" spans="1:26" x14ac:dyDescent="0.25">
      <c r="A3323" t="s">
        <v>234</v>
      </c>
      <c r="B3323" t="s">
        <v>185</v>
      </c>
      <c r="C3323" t="s">
        <v>27</v>
      </c>
      <c r="E3323" t="s">
        <v>45</v>
      </c>
      <c r="H3323" s="2">
        <v>44858.61041666667</v>
      </c>
      <c r="I3323" t="s">
        <v>29</v>
      </c>
      <c r="Z3323">
        <v>41759</v>
      </c>
    </row>
    <row r="3324" spans="1:26" x14ac:dyDescent="0.25">
      <c r="A3324" t="s">
        <v>3769</v>
      </c>
      <c r="B3324" t="s">
        <v>26</v>
      </c>
      <c r="C3324" t="s">
        <v>27</v>
      </c>
      <c r="H3324" s="2">
        <v>44858.494444444441</v>
      </c>
      <c r="I3324" t="s">
        <v>315</v>
      </c>
      <c r="Z3324">
        <v>41741</v>
      </c>
    </row>
    <row r="3325" spans="1:26" x14ac:dyDescent="0.25">
      <c r="A3325" t="s">
        <v>3770</v>
      </c>
      <c r="B3325" t="s">
        <v>26</v>
      </c>
      <c r="C3325" t="s">
        <v>27</v>
      </c>
      <c r="H3325" s="2">
        <v>44858.427083333336</v>
      </c>
      <c r="I3325" t="s">
        <v>153</v>
      </c>
      <c r="Z3325">
        <v>41732</v>
      </c>
    </row>
    <row r="3326" spans="1:26" x14ac:dyDescent="0.25">
      <c r="A3326" t="s">
        <v>3771</v>
      </c>
      <c r="B3326" t="s">
        <v>26</v>
      </c>
      <c r="C3326" t="s">
        <v>27</v>
      </c>
      <c r="H3326" s="2">
        <v>44857.444444444445</v>
      </c>
      <c r="I3326" t="s">
        <v>226</v>
      </c>
      <c r="Z3326">
        <v>41662</v>
      </c>
    </row>
    <row r="3327" spans="1:26" x14ac:dyDescent="0.25">
      <c r="A3327" t="s">
        <v>3772</v>
      </c>
      <c r="B3327" t="s">
        <v>26</v>
      </c>
      <c r="C3327" t="s">
        <v>27</v>
      </c>
      <c r="H3327" s="2">
        <v>44856.75277777778</v>
      </c>
      <c r="I3327" t="s">
        <v>330</v>
      </c>
      <c r="Z3327">
        <v>41644</v>
      </c>
    </row>
    <row r="3328" spans="1:26" x14ac:dyDescent="0.25">
      <c r="A3328" t="s">
        <v>342</v>
      </c>
      <c r="C3328" t="s">
        <v>27</v>
      </c>
      <c r="E3328" t="s">
        <v>101</v>
      </c>
      <c r="H3328" s="2">
        <v>44856.6</v>
      </c>
      <c r="I3328" t="s">
        <v>153</v>
      </c>
      <c r="Z3328">
        <v>41623</v>
      </c>
    </row>
    <row r="3329" spans="1:26" x14ac:dyDescent="0.25">
      <c r="A3329" t="s">
        <v>3773</v>
      </c>
      <c r="B3329" t="s">
        <v>46</v>
      </c>
      <c r="C3329" t="s">
        <v>27</v>
      </c>
      <c r="E3329" t="s">
        <v>53</v>
      </c>
      <c r="G3329" t="s">
        <v>3774</v>
      </c>
      <c r="H3329" s="2">
        <v>44855.631944444445</v>
      </c>
      <c r="I3329" t="s">
        <v>194</v>
      </c>
      <c r="Z3329">
        <v>41580</v>
      </c>
    </row>
    <row r="3330" spans="1:26" x14ac:dyDescent="0.25">
      <c r="A3330" t="s">
        <v>3775</v>
      </c>
      <c r="B3330" t="s">
        <v>26</v>
      </c>
      <c r="C3330" t="s">
        <v>27</v>
      </c>
      <c r="H3330" s="2">
        <v>44854.612500000003</v>
      </c>
      <c r="I3330" t="s">
        <v>29</v>
      </c>
      <c r="Z3330">
        <v>41500</v>
      </c>
    </row>
    <row r="3331" spans="1:26" x14ac:dyDescent="0.25">
      <c r="A3331" t="s">
        <v>3776</v>
      </c>
      <c r="B3331" t="s">
        <v>26</v>
      </c>
      <c r="C3331" t="s">
        <v>27</v>
      </c>
      <c r="H3331" s="2">
        <v>44854.53125</v>
      </c>
      <c r="I3331" t="s">
        <v>294</v>
      </c>
      <c r="Z3331">
        <v>41492</v>
      </c>
    </row>
    <row r="3332" spans="1:26" x14ac:dyDescent="0.25">
      <c r="A3332" t="s">
        <v>3777</v>
      </c>
      <c r="B3332" t="s">
        <v>164</v>
      </c>
      <c r="C3332" t="s">
        <v>27</v>
      </c>
      <c r="E3332" t="s">
        <v>98</v>
      </c>
      <c r="G3332" t="s">
        <v>3778</v>
      </c>
      <c r="H3332" s="2">
        <v>44854.507638888892</v>
      </c>
      <c r="I3332" t="s">
        <v>227</v>
      </c>
      <c r="K3332" t="s">
        <v>30</v>
      </c>
      <c r="L3332" t="s">
        <v>31</v>
      </c>
      <c r="M3332">
        <v>55887024</v>
      </c>
      <c r="N3332">
        <v>9754613615</v>
      </c>
      <c r="O3332" t="s">
        <v>2144</v>
      </c>
      <c r="Z3332">
        <v>41485</v>
      </c>
    </row>
    <row r="3333" spans="1:26" x14ac:dyDescent="0.25">
      <c r="A3333" t="s">
        <v>3779</v>
      </c>
      <c r="B3333" t="s">
        <v>26</v>
      </c>
      <c r="C3333" t="s">
        <v>27</v>
      </c>
      <c r="H3333" s="2">
        <v>44854.364583333336</v>
      </c>
      <c r="I3333" t="s">
        <v>315</v>
      </c>
      <c r="Z3333">
        <v>41464</v>
      </c>
    </row>
    <row r="3334" spans="1:26" x14ac:dyDescent="0.25">
      <c r="A3334" t="s">
        <v>712</v>
      </c>
      <c r="C3334" t="s">
        <v>27</v>
      </c>
      <c r="E3334" t="s">
        <v>84</v>
      </c>
      <c r="H3334" s="2">
        <v>44854.351388888892</v>
      </c>
      <c r="I3334" t="s">
        <v>186</v>
      </c>
      <c r="Z3334">
        <v>41463</v>
      </c>
    </row>
    <row r="3335" spans="1:26" x14ac:dyDescent="0.25">
      <c r="A3335" t="s">
        <v>3780</v>
      </c>
      <c r="B3335" t="s">
        <v>26</v>
      </c>
      <c r="C3335" t="s">
        <v>27</v>
      </c>
      <c r="H3335" s="2">
        <v>44853.680555555555</v>
      </c>
      <c r="I3335" t="s">
        <v>186</v>
      </c>
      <c r="Z3335">
        <v>41455</v>
      </c>
    </row>
    <row r="3336" spans="1:26" x14ac:dyDescent="0.25">
      <c r="A3336" t="s">
        <v>2980</v>
      </c>
      <c r="B3336" t="s">
        <v>26</v>
      </c>
      <c r="C3336" t="s">
        <v>27</v>
      </c>
      <c r="H3336" s="2">
        <v>44853.581250000003</v>
      </c>
      <c r="I3336" t="s">
        <v>186</v>
      </c>
      <c r="Z3336">
        <v>41442</v>
      </c>
    </row>
    <row r="3337" spans="1:26" x14ac:dyDescent="0.25">
      <c r="A3337" t="s">
        <v>3781</v>
      </c>
      <c r="B3337" t="s">
        <v>26</v>
      </c>
      <c r="C3337" t="s">
        <v>27</v>
      </c>
      <c r="H3337" s="2">
        <v>44853.495138888888</v>
      </c>
      <c r="I3337" t="s">
        <v>186</v>
      </c>
      <c r="Z3337">
        <v>41434</v>
      </c>
    </row>
    <row r="3338" spans="1:26" x14ac:dyDescent="0.25">
      <c r="A3338" t="s">
        <v>3782</v>
      </c>
      <c r="B3338" t="s">
        <v>26</v>
      </c>
      <c r="C3338" t="s">
        <v>27</v>
      </c>
      <c r="H3338" s="2">
        <v>44853.198611111111</v>
      </c>
      <c r="I3338" t="s">
        <v>315</v>
      </c>
      <c r="Z3338">
        <v>41413</v>
      </c>
    </row>
    <row r="3339" spans="1:26" x14ac:dyDescent="0.25">
      <c r="A3339" t="s">
        <v>345</v>
      </c>
      <c r="C3339" t="s">
        <v>27</v>
      </c>
      <c r="E3339" t="s">
        <v>66</v>
      </c>
      <c r="H3339" s="2">
        <v>44852.90347222222</v>
      </c>
      <c r="I3339" t="s">
        <v>227</v>
      </c>
      <c r="Z3339">
        <v>41410</v>
      </c>
    </row>
    <row r="3340" spans="1:26" x14ac:dyDescent="0.25">
      <c r="A3340" t="s">
        <v>97</v>
      </c>
      <c r="C3340" t="s">
        <v>27</v>
      </c>
      <c r="E3340" t="s">
        <v>58</v>
      </c>
      <c r="H3340" s="2">
        <v>44852.868055555555</v>
      </c>
      <c r="I3340" t="s">
        <v>29</v>
      </c>
      <c r="Z3340">
        <v>41409</v>
      </c>
    </row>
    <row r="3341" spans="1:26" x14ac:dyDescent="0.25">
      <c r="A3341" t="s">
        <v>3783</v>
      </c>
      <c r="B3341" t="s">
        <v>164</v>
      </c>
      <c r="C3341" t="s">
        <v>27</v>
      </c>
      <c r="E3341" t="s">
        <v>3784</v>
      </c>
      <c r="H3341" s="2">
        <v>44852.48541666667</v>
      </c>
      <c r="I3341" t="s">
        <v>29</v>
      </c>
      <c r="K3341" t="s">
        <v>30</v>
      </c>
      <c r="L3341" t="s">
        <v>31</v>
      </c>
      <c r="M3341">
        <v>67130164</v>
      </c>
      <c r="N3341">
        <v>12403825960</v>
      </c>
      <c r="O3341" t="s">
        <v>682</v>
      </c>
      <c r="Z3341">
        <v>41389</v>
      </c>
    </row>
    <row r="3342" spans="1:26" x14ac:dyDescent="0.25">
      <c r="A3342" t="s">
        <v>3785</v>
      </c>
      <c r="B3342" t="s">
        <v>26</v>
      </c>
      <c r="C3342" t="s">
        <v>27</v>
      </c>
      <c r="H3342" s="2">
        <v>44852.374305555553</v>
      </c>
      <c r="I3342" t="s">
        <v>29</v>
      </c>
      <c r="Z3342">
        <v>41382</v>
      </c>
    </row>
    <row r="3343" spans="1:26" x14ac:dyDescent="0.25">
      <c r="A3343" t="s">
        <v>3786</v>
      </c>
      <c r="B3343" t="s">
        <v>26</v>
      </c>
      <c r="C3343" t="s">
        <v>27</v>
      </c>
      <c r="H3343" s="2">
        <v>44850.435416666667</v>
      </c>
      <c r="I3343" t="s">
        <v>226</v>
      </c>
      <c r="Z3343">
        <v>41282</v>
      </c>
    </row>
    <row r="3344" spans="1:26" x14ac:dyDescent="0.25">
      <c r="A3344" t="s">
        <v>102</v>
      </c>
      <c r="B3344" t="s">
        <v>334</v>
      </c>
      <c r="C3344" t="s">
        <v>27</v>
      </c>
      <c r="E3344" t="s">
        <v>138</v>
      </c>
      <c r="H3344" s="2">
        <v>44850.329861111109</v>
      </c>
      <c r="I3344" t="s">
        <v>226</v>
      </c>
      <c r="Z3344">
        <v>41273</v>
      </c>
    </row>
    <row r="3345" spans="1:26" x14ac:dyDescent="0.25">
      <c r="A3345" t="s">
        <v>3787</v>
      </c>
      <c r="B3345" t="s">
        <v>26</v>
      </c>
      <c r="C3345" t="s">
        <v>27</v>
      </c>
      <c r="H3345" s="2">
        <v>44850.104166666664</v>
      </c>
      <c r="I3345" t="s">
        <v>330</v>
      </c>
      <c r="Z3345">
        <v>41272</v>
      </c>
    </row>
    <row r="3346" spans="1:26" x14ac:dyDescent="0.25">
      <c r="A3346" t="s">
        <v>3788</v>
      </c>
      <c r="B3346" t="s">
        <v>26</v>
      </c>
      <c r="C3346" t="s">
        <v>27</v>
      </c>
      <c r="H3346" s="2">
        <v>44850.104166666664</v>
      </c>
      <c r="I3346" t="s">
        <v>330</v>
      </c>
      <c r="Z3346">
        <v>41271</v>
      </c>
    </row>
    <row r="3347" spans="1:26" x14ac:dyDescent="0.25">
      <c r="A3347" t="s">
        <v>3789</v>
      </c>
      <c r="B3347" t="s">
        <v>26</v>
      </c>
      <c r="C3347" t="s">
        <v>27</v>
      </c>
      <c r="H3347" s="2">
        <v>44849.534722222219</v>
      </c>
      <c r="I3347" t="s">
        <v>330</v>
      </c>
      <c r="Z3347">
        <v>41244</v>
      </c>
    </row>
    <row r="3348" spans="1:26" x14ac:dyDescent="0.25">
      <c r="A3348" t="s">
        <v>3790</v>
      </c>
      <c r="B3348" t="s">
        <v>26</v>
      </c>
      <c r="C3348" t="s">
        <v>27</v>
      </c>
      <c r="H3348" s="2">
        <v>44849.527777777781</v>
      </c>
      <c r="I3348" t="s">
        <v>330</v>
      </c>
      <c r="Z3348">
        <v>41241</v>
      </c>
    </row>
    <row r="3349" spans="1:26" x14ac:dyDescent="0.25">
      <c r="A3349" t="s">
        <v>3791</v>
      </c>
      <c r="B3349" t="s">
        <v>26</v>
      </c>
      <c r="C3349" t="s">
        <v>27</v>
      </c>
      <c r="H3349" s="2">
        <v>44849.37777777778</v>
      </c>
      <c r="I3349" t="s">
        <v>226</v>
      </c>
      <c r="Z3349">
        <v>41218</v>
      </c>
    </row>
    <row r="3350" spans="1:26" x14ac:dyDescent="0.25">
      <c r="A3350" t="s">
        <v>3792</v>
      </c>
      <c r="B3350" t="s">
        <v>26</v>
      </c>
      <c r="C3350" t="s">
        <v>27</v>
      </c>
      <c r="H3350" s="2">
        <v>44848.84652777778</v>
      </c>
      <c r="I3350" t="s">
        <v>29</v>
      </c>
      <c r="Z3350">
        <v>41217</v>
      </c>
    </row>
    <row r="3351" spans="1:26" x14ac:dyDescent="0.25">
      <c r="A3351" t="s">
        <v>652</v>
      </c>
      <c r="B3351" t="s">
        <v>26</v>
      </c>
      <c r="C3351" t="s">
        <v>27</v>
      </c>
      <c r="H3351" s="2">
        <v>44848.782638888886</v>
      </c>
      <c r="I3351" t="s">
        <v>294</v>
      </c>
      <c r="Z3351">
        <v>41214</v>
      </c>
    </row>
    <row r="3352" spans="1:26" x14ac:dyDescent="0.25">
      <c r="A3352" t="s">
        <v>3793</v>
      </c>
      <c r="B3352" t="s">
        <v>26</v>
      </c>
      <c r="C3352" t="s">
        <v>27</v>
      </c>
      <c r="H3352" s="2">
        <v>44848.781944444447</v>
      </c>
      <c r="I3352" t="s">
        <v>29</v>
      </c>
      <c r="Z3352">
        <v>41213</v>
      </c>
    </row>
    <row r="3353" spans="1:26" x14ac:dyDescent="0.25">
      <c r="A3353" t="s">
        <v>3794</v>
      </c>
      <c r="B3353" t="s">
        <v>26</v>
      </c>
      <c r="C3353" t="s">
        <v>27</v>
      </c>
      <c r="H3353" s="2">
        <v>44848.531944444447</v>
      </c>
      <c r="I3353" t="s">
        <v>294</v>
      </c>
      <c r="Z3353">
        <v>41194</v>
      </c>
    </row>
    <row r="3354" spans="1:26" x14ac:dyDescent="0.25">
      <c r="A3354" t="s">
        <v>3795</v>
      </c>
      <c r="B3354" t="s">
        <v>26</v>
      </c>
      <c r="C3354" t="s">
        <v>27</v>
      </c>
      <c r="H3354" s="2">
        <v>44847.5625</v>
      </c>
      <c r="I3354" t="s">
        <v>29</v>
      </c>
      <c r="Z3354">
        <v>41163</v>
      </c>
    </row>
    <row r="3355" spans="1:26" x14ac:dyDescent="0.25">
      <c r="A3355" t="s">
        <v>3796</v>
      </c>
      <c r="B3355" t="s">
        <v>26</v>
      </c>
      <c r="C3355" t="s">
        <v>27</v>
      </c>
      <c r="H3355" s="2">
        <v>44846.779861111114</v>
      </c>
      <c r="I3355" t="s">
        <v>29</v>
      </c>
      <c r="Z3355">
        <v>41154</v>
      </c>
    </row>
    <row r="3356" spans="1:26" x14ac:dyDescent="0.25">
      <c r="A3356" t="s">
        <v>3797</v>
      </c>
      <c r="B3356" t="s">
        <v>26</v>
      </c>
      <c r="C3356" t="s">
        <v>27</v>
      </c>
      <c r="H3356" s="2">
        <v>44846.625</v>
      </c>
      <c r="I3356" t="s">
        <v>153</v>
      </c>
      <c r="Z3356">
        <v>41143</v>
      </c>
    </row>
    <row r="3357" spans="1:26" x14ac:dyDescent="0.25">
      <c r="A3357" t="s">
        <v>3798</v>
      </c>
      <c r="B3357" t="s">
        <v>26</v>
      </c>
      <c r="C3357" t="s">
        <v>27</v>
      </c>
      <c r="H3357" s="2">
        <v>44846.484722222223</v>
      </c>
      <c r="I3357" t="s">
        <v>194</v>
      </c>
      <c r="Z3357">
        <v>41129</v>
      </c>
    </row>
    <row r="3358" spans="1:26" x14ac:dyDescent="0.25">
      <c r="A3358" t="s">
        <v>3799</v>
      </c>
      <c r="B3358" t="s">
        <v>46</v>
      </c>
      <c r="C3358" t="s">
        <v>27</v>
      </c>
      <c r="E3358" t="s">
        <v>143</v>
      </c>
      <c r="G3358" t="s">
        <v>3800</v>
      </c>
      <c r="H3358" s="2">
        <v>44846.306250000001</v>
      </c>
      <c r="I3358" t="s">
        <v>29</v>
      </c>
      <c r="Z3358">
        <v>41117</v>
      </c>
    </row>
    <row r="3359" spans="1:26" x14ac:dyDescent="0.25">
      <c r="A3359" t="s">
        <v>3801</v>
      </c>
      <c r="B3359" t="s">
        <v>26</v>
      </c>
      <c r="C3359" t="s">
        <v>27</v>
      </c>
      <c r="H3359" s="2">
        <v>44845.743750000001</v>
      </c>
      <c r="I3359" t="s">
        <v>330</v>
      </c>
      <c r="Z3359">
        <v>41113</v>
      </c>
    </row>
    <row r="3360" spans="1:26" x14ac:dyDescent="0.25">
      <c r="A3360" t="s">
        <v>3802</v>
      </c>
      <c r="B3360" t="s">
        <v>26</v>
      </c>
      <c r="C3360" t="s">
        <v>27</v>
      </c>
      <c r="H3360" s="2">
        <v>44845.501388888886</v>
      </c>
      <c r="I3360" t="s">
        <v>306</v>
      </c>
      <c r="Z3360">
        <v>41094</v>
      </c>
    </row>
    <row r="3361" spans="1:26" x14ac:dyDescent="0.25">
      <c r="A3361" t="s">
        <v>3803</v>
      </c>
      <c r="B3361" t="s">
        <v>26</v>
      </c>
      <c r="C3361" t="s">
        <v>27</v>
      </c>
      <c r="H3361" s="2">
        <v>44845.438194444447</v>
      </c>
      <c r="I3361" t="s">
        <v>194</v>
      </c>
      <c r="Z3361">
        <v>41085</v>
      </c>
    </row>
    <row r="3362" spans="1:26" x14ac:dyDescent="0.25">
      <c r="A3362" t="s">
        <v>3785</v>
      </c>
      <c r="B3362" t="s">
        <v>26</v>
      </c>
      <c r="C3362" t="s">
        <v>64</v>
      </c>
      <c r="H3362" s="2">
        <v>44844.428472222222</v>
      </c>
      <c r="I3362" t="s">
        <v>29</v>
      </c>
      <c r="Z3362">
        <v>41040</v>
      </c>
    </row>
    <row r="3363" spans="1:26" x14ac:dyDescent="0.25">
      <c r="A3363" t="s">
        <v>3804</v>
      </c>
      <c r="B3363" t="s">
        <v>150</v>
      </c>
      <c r="C3363" t="s">
        <v>27</v>
      </c>
      <c r="E3363" t="s">
        <v>158</v>
      </c>
      <c r="H3363" s="2">
        <v>44843.510416666664</v>
      </c>
      <c r="I3363" t="s">
        <v>29</v>
      </c>
      <c r="K3363" t="s">
        <v>30</v>
      </c>
      <c r="L3363" t="s">
        <v>31</v>
      </c>
      <c r="M3363">
        <v>74178615</v>
      </c>
      <c r="N3363">
        <v>12402795939</v>
      </c>
      <c r="Z3363">
        <v>40990</v>
      </c>
    </row>
    <row r="3364" spans="1:26" x14ac:dyDescent="0.25">
      <c r="A3364" t="s">
        <v>3805</v>
      </c>
      <c r="B3364" t="s">
        <v>164</v>
      </c>
      <c r="C3364" t="s">
        <v>27</v>
      </c>
      <c r="E3364" t="s">
        <v>3806</v>
      </c>
      <c r="H3364" s="2">
        <v>44842.652777777781</v>
      </c>
      <c r="I3364" t="s">
        <v>186</v>
      </c>
      <c r="K3364" t="s">
        <v>30</v>
      </c>
      <c r="L3364" t="s">
        <v>31</v>
      </c>
      <c r="M3364">
        <v>55887024</v>
      </c>
      <c r="N3364">
        <v>9754613617</v>
      </c>
      <c r="O3364" t="s">
        <v>2310</v>
      </c>
      <c r="Z3364">
        <v>40960</v>
      </c>
    </row>
    <row r="3365" spans="1:26" x14ac:dyDescent="0.25">
      <c r="A3365" t="s">
        <v>1256</v>
      </c>
      <c r="B3365" t="s">
        <v>26</v>
      </c>
      <c r="C3365" t="s">
        <v>27</v>
      </c>
      <c r="H3365" s="2">
        <v>44842.49722222222</v>
      </c>
      <c r="I3365" t="s">
        <v>226</v>
      </c>
      <c r="Z3365">
        <v>40944</v>
      </c>
    </row>
    <row r="3366" spans="1:26" x14ac:dyDescent="0.25">
      <c r="A3366" t="s">
        <v>3807</v>
      </c>
      <c r="B3366" t="s">
        <v>26</v>
      </c>
      <c r="C3366" t="s">
        <v>27</v>
      </c>
      <c r="H3366" s="2">
        <v>44841.870833333334</v>
      </c>
      <c r="I3366" t="s">
        <v>29</v>
      </c>
      <c r="Z3366">
        <v>40916</v>
      </c>
    </row>
    <row r="3367" spans="1:26" x14ac:dyDescent="0.25">
      <c r="A3367" t="s">
        <v>3808</v>
      </c>
      <c r="B3367" t="s">
        <v>164</v>
      </c>
      <c r="C3367" t="s">
        <v>27</v>
      </c>
      <c r="E3367" t="s">
        <v>160</v>
      </c>
      <c r="H3367" s="2">
        <v>44841.647916666669</v>
      </c>
      <c r="I3367" t="s">
        <v>194</v>
      </c>
      <c r="Z3367">
        <v>40901</v>
      </c>
    </row>
    <row r="3368" spans="1:26" x14ac:dyDescent="0.25">
      <c r="A3368" t="s">
        <v>1256</v>
      </c>
      <c r="B3368" t="s">
        <v>26</v>
      </c>
      <c r="C3368" t="s">
        <v>27</v>
      </c>
      <c r="H3368" s="2">
        <v>44841.390277777777</v>
      </c>
      <c r="I3368" t="s">
        <v>294</v>
      </c>
      <c r="Z3368">
        <v>40875</v>
      </c>
    </row>
    <row r="3369" spans="1:26" x14ac:dyDescent="0.25">
      <c r="A3369" t="s">
        <v>3809</v>
      </c>
      <c r="B3369" t="s">
        <v>26</v>
      </c>
      <c r="C3369" t="s">
        <v>27</v>
      </c>
      <c r="H3369" s="2">
        <v>44840.529166666667</v>
      </c>
      <c r="I3369" t="s">
        <v>194</v>
      </c>
      <c r="Z3369">
        <v>40839</v>
      </c>
    </row>
    <row r="3370" spans="1:26" x14ac:dyDescent="0.25">
      <c r="A3370" t="s">
        <v>712</v>
      </c>
      <c r="B3370" t="s">
        <v>26</v>
      </c>
      <c r="C3370" t="s">
        <v>27</v>
      </c>
      <c r="H3370" s="2">
        <v>44840.397222222222</v>
      </c>
      <c r="I3370" t="s">
        <v>29</v>
      </c>
      <c r="Z3370">
        <v>40830</v>
      </c>
    </row>
    <row r="3371" spans="1:26" x14ac:dyDescent="0.25">
      <c r="A3371" t="s">
        <v>3810</v>
      </c>
      <c r="B3371" t="s">
        <v>26</v>
      </c>
      <c r="C3371" t="s">
        <v>27</v>
      </c>
      <c r="H3371" s="2">
        <v>44839.647916666669</v>
      </c>
      <c r="I3371" t="s">
        <v>226</v>
      </c>
      <c r="Z3371">
        <v>40819</v>
      </c>
    </row>
    <row r="3372" spans="1:26" x14ac:dyDescent="0.25">
      <c r="A3372" t="s">
        <v>3811</v>
      </c>
      <c r="B3372" t="s">
        <v>26</v>
      </c>
      <c r="C3372" t="s">
        <v>27</v>
      </c>
      <c r="H3372" s="2">
        <v>44839.535416666666</v>
      </c>
      <c r="I3372" t="s">
        <v>29</v>
      </c>
      <c r="Z3372">
        <v>40808</v>
      </c>
    </row>
    <row r="3373" spans="1:26" x14ac:dyDescent="0.25">
      <c r="A3373" t="s">
        <v>3812</v>
      </c>
      <c r="B3373" t="s">
        <v>26</v>
      </c>
      <c r="C3373" t="s">
        <v>27</v>
      </c>
      <c r="H3373" s="2">
        <v>44839.486805555556</v>
      </c>
      <c r="I3373" t="s">
        <v>306</v>
      </c>
      <c r="Z3373">
        <v>40800</v>
      </c>
    </row>
    <row r="3374" spans="1:26" x14ac:dyDescent="0.25">
      <c r="A3374" t="s">
        <v>3813</v>
      </c>
      <c r="B3374" t="s">
        <v>26</v>
      </c>
      <c r="C3374" t="s">
        <v>27</v>
      </c>
      <c r="H3374" s="2">
        <v>44838.826388888891</v>
      </c>
      <c r="I3374" t="s">
        <v>330</v>
      </c>
      <c r="Z3374">
        <v>40791</v>
      </c>
    </row>
    <row r="3375" spans="1:26" x14ac:dyDescent="0.25">
      <c r="A3375" t="s">
        <v>3814</v>
      </c>
      <c r="B3375" t="s">
        <v>26</v>
      </c>
      <c r="C3375" t="s">
        <v>27</v>
      </c>
      <c r="H3375" s="2">
        <v>44838.788194444445</v>
      </c>
      <c r="I3375" t="s">
        <v>330</v>
      </c>
      <c r="Z3375">
        <v>40788</v>
      </c>
    </row>
    <row r="3376" spans="1:26" x14ac:dyDescent="0.25">
      <c r="A3376" t="s">
        <v>3815</v>
      </c>
      <c r="B3376" t="s">
        <v>26</v>
      </c>
      <c r="C3376" t="s">
        <v>27</v>
      </c>
      <c r="H3376" s="2">
        <v>44838.719444444447</v>
      </c>
      <c r="I3376" t="s">
        <v>330</v>
      </c>
      <c r="Z3376">
        <v>40786</v>
      </c>
    </row>
    <row r="3377" spans="1:26" x14ac:dyDescent="0.25">
      <c r="A3377" t="s">
        <v>652</v>
      </c>
      <c r="B3377" t="s">
        <v>26</v>
      </c>
      <c r="C3377" t="s">
        <v>27</v>
      </c>
      <c r="H3377" s="2">
        <v>44838.560416666667</v>
      </c>
      <c r="I3377" t="s">
        <v>327</v>
      </c>
      <c r="Z3377">
        <v>40763</v>
      </c>
    </row>
    <row r="3378" spans="1:26" x14ac:dyDescent="0.25">
      <c r="A3378" t="s">
        <v>3816</v>
      </c>
      <c r="B3378" t="s">
        <v>26</v>
      </c>
      <c r="C3378" t="s">
        <v>27</v>
      </c>
      <c r="H3378" s="2">
        <v>44838.556944444441</v>
      </c>
      <c r="I3378" t="s">
        <v>153</v>
      </c>
      <c r="Z3378">
        <v>40762</v>
      </c>
    </row>
    <row r="3379" spans="1:26" x14ac:dyDescent="0.25">
      <c r="A3379" t="s">
        <v>3817</v>
      </c>
      <c r="B3379" t="s">
        <v>26</v>
      </c>
      <c r="C3379" t="s">
        <v>27</v>
      </c>
      <c r="H3379" s="2">
        <v>44838.522222222222</v>
      </c>
      <c r="I3379" t="s">
        <v>226</v>
      </c>
      <c r="Z3379">
        <v>40754</v>
      </c>
    </row>
    <row r="3380" spans="1:26" x14ac:dyDescent="0.25">
      <c r="A3380" t="s">
        <v>3818</v>
      </c>
      <c r="B3380" t="s">
        <v>150</v>
      </c>
      <c r="C3380" t="s">
        <v>27</v>
      </c>
      <c r="E3380" t="s">
        <v>55</v>
      </c>
      <c r="G3380" t="s">
        <v>3819</v>
      </c>
      <c r="H3380" s="2">
        <v>44838.496527777781</v>
      </c>
      <c r="I3380" t="s">
        <v>227</v>
      </c>
      <c r="K3380" t="s">
        <v>30</v>
      </c>
      <c r="L3380" t="s">
        <v>31</v>
      </c>
      <c r="M3380">
        <v>55887119</v>
      </c>
      <c r="N3380" t="s">
        <v>3820</v>
      </c>
      <c r="O3380" t="s">
        <v>3821</v>
      </c>
      <c r="Z3380">
        <v>40749</v>
      </c>
    </row>
    <row r="3381" spans="1:26" x14ac:dyDescent="0.25">
      <c r="A3381" t="s">
        <v>3822</v>
      </c>
      <c r="B3381" t="s">
        <v>46</v>
      </c>
      <c r="C3381" t="s">
        <v>27</v>
      </c>
      <c r="E3381" t="s">
        <v>84</v>
      </c>
      <c r="G3381" t="s">
        <v>3823</v>
      </c>
      <c r="H3381" s="2">
        <v>44837.806944444441</v>
      </c>
      <c r="I3381" t="s">
        <v>153</v>
      </c>
      <c r="Z3381">
        <v>40737</v>
      </c>
    </row>
    <row r="3382" spans="1:26" x14ac:dyDescent="0.25">
      <c r="A3382" t="s">
        <v>3824</v>
      </c>
      <c r="B3382" t="s">
        <v>26</v>
      </c>
      <c r="C3382" t="s">
        <v>27</v>
      </c>
      <c r="H3382" s="2">
        <v>44837.581944444442</v>
      </c>
      <c r="I3382" t="s">
        <v>330</v>
      </c>
      <c r="Z3382">
        <v>40716</v>
      </c>
    </row>
    <row r="3383" spans="1:26" x14ac:dyDescent="0.25">
      <c r="A3383" t="s">
        <v>3825</v>
      </c>
      <c r="B3383" t="s">
        <v>26</v>
      </c>
      <c r="C3383" t="s">
        <v>27</v>
      </c>
      <c r="H3383" s="2">
        <v>44837.565972222219</v>
      </c>
      <c r="I3383" t="s">
        <v>306</v>
      </c>
      <c r="Z3383">
        <v>40713</v>
      </c>
    </row>
    <row r="3384" spans="1:26" x14ac:dyDescent="0.25">
      <c r="A3384" t="s">
        <v>3199</v>
      </c>
      <c r="B3384" t="s">
        <v>26</v>
      </c>
      <c r="C3384" t="s">
        <v>27</v>
      </c>
      <c r="H3384" s="2">
        <v>44837.37222222222</v>
      </c>
      <c r="I3384" t="s">
        <v>306</v>
      </c>
      <c r="Z3384">
        <v>40683</v>
      </c>
    </row>
    <row r="3385" spans="1:26" x14ac:dyDescent="0.25">
      <c r="A3385" t="s">
        <v>3826</v>
      </c>
      <c r="B3385" t="s">
        <v>26</v>
      </c>
      <c r="C3385" t="s">
        <v>27</v>
      </c>
      <c r="H3385" s="2">
        <v>44836.712500000001</v>
      </c>
      <c r="I3385" t="s">
        <v>315</v>
      </c>
      <c r="Z3385">
        <v>40669</v>
      </c>
    </row>
    <row r="3386" spans="1:26" x14ac:dyDescent="0.25">
      <c r="A3386" t="s">
        <v>3827</v>
      </c>
      <c r="B3386" t="s">
        <v>26</v>
      </c>
      <c r="C3386" t="s">
        <v>27</v>
      </c>
      <c r="H3386" s="2">
        <v>44836.631249999999</v>
      </c>
      <c r="I3386" t="s">
        <v>315</v>
      </c>
      <c r="Z3386">
        <v>40661</v>
      </c>
    </row>
    <row r="3387" spans="1:26" x14ac:dyDescent="0.25">
      <c r="A3387" t="s">
        <v>712</v>
      </c>
      <c r="B3387" t="s">
        <v>26</v>
      </c>
      <c r="C3387" t="s">
        <v>27</v>
      </c>
      <c r="H3387" s="2">
        <v>44834.79583333333</v>
      </c>
      <c r="I3387" t="s">
        <v>29</v>
      </c>
      <c r="Z3387">
        <v>40582</v>
      </c>
    </row>
    <row r="3388" spans="1:26" x14ac:dyDescent="0.25">
      <c r="A3388" t="s">
        <v>712</v>
      </c>
      <c r="B3388" t="s">
        <v>185</v>
      </c>
      <c r="C3388" t="s">
        <v>27</v>
      </c>
      <c r="E3388" t="s">
        <v>45</v>
      </c>
      <c r="G3388" t="s">
        <v>3828</v>
      </c>
      <c r="H3388" s="2">
        <v>44834.736805555556</v>
      </c>
      <c r="I3388" t="s">
        <v>29</v>
      </c>
      <c r="Z3388">
        <v>40580</v>
      </c>
    </row>
    <row r="3389" spans="1:26" x14ac:dyDescent="0.25">
      <c r="A3389" t="s">
        <v>3829</v>
      </c>
      <c r="B3389" t="s">
        <v>26</v>
      </c>
      <c r="C3389" t="s">
        <v>27</v>
      </c>
      <c r="H3389" s="2">
        <v>44833.726388888892</v>
      </c>
      <c r="I3389" t="s">
        <v>153</v>
      </c>
      <c r="Z3389">
        <v>40539</v>
      </c>
    </row>
    <row r="3390" spans="1:26" x14ac:dyDescent="0.25">
      <c r="A3390" t="s">
        <v>3825</v>
      </c>
      <c r="B3390" t="s">
        <v>26</v>
      </c>
      <c r="C3390" t="s">
        <v>27</v>
      </c>
      <c r="H3390" s="2">
        <v>44832.68472222222</v>
      </c>
      <c r="I3390" t="s">
        <v>226</v>
      </c>
      <c r="Z3390">
        <v>40518</v>
      </c>
    </row>
    <row r="3391" spans="1:26" x14ac:dyDescent="0.25">
      <c r="A3391" t="s">
        <v>3830</v>
      </c>
      <c r="B3391" t="s">
        <v>198</v>
      </c>
      <c r="C3391" t="s">
        <v>27</v>
      </c>
      <c r="E3391" t="s">
        <v>141</v>
      </c>
      <c r="G3391" t="s">
        <v>331</v>
      </c>
      <c r="H3391" s="2">
        <v>44832.68472222222</v>
      </c>
      <c r="I3391" t="s">
        <v>227</v>
      </c>
      <c r="Z3391">
        <v>40517</v>
      </c>
    </row>
    <row r="3392" spans="1:26" x14ac:dyDescent="0.25">
      <c r="A3392" t="s">
        <v>3831</v>
      </c>
      <c r="B3392" t="s">
        <v>26</v>
      </c>
      <c r="C3392" t="s">
        <v>27</v>
      </c>
      <c r="H3392" s="2">
        <v>44832.550694444442</v>
      </c>
      <c r="I3392" t="s">
        <v>330</v>
      </c>
      <c r="Z3392">
        <v>40503</v>
      </c>
    </row>
    <row r="3393" spans="1:26" x14ac:dyDescent="0.25">
      <c r="A3393" t="s">
        <v>3830</v>
      </c>
      <c r="B3393" t="s">
        <v>198</v>
      </c>
      <c r="C3393" t="s">
        <v>27</v>
      </c>
      <c r="E3393" t="s">
        <v>141</v>
      </c>
      <c r="G3393" t="s">
        <v>331</v>
      </c>
      <c r="H3393" s="2">
        <v>44832.526388888888</v>
      </c>
      <c r="I3393" t="s">
        <v>227</v>
      </c>
      <c r="K3393" t="s">
        <v>30</v>
      </c>
      <c r="L3393" t="s">
        <v>31</v>
      </c>
      <c r="M3393">
        <v>55887024</v>
      </c>
      <c r="N3393">
        <v>9754613617</v>
      </c>
      <c r="O3393" t="s">
        <v>3832</v>
      </c>
      <c r="Z3393">
        <v>40501</v>
      </c>
    </row>
    <row r="3394" spans="1:26" x14ac:dyDescent="0.25">
      <c r="A3394" t="s">
        <v>3833</v>
      </c>
      <c r="B3394" t="s">
        <v>46</v>
      </c>
      <c r="C3394" t="s">
        <v>27</v>
      </c>
      <c r="E3394" t="s">
        <v>84</v>
      </c>
      <c r="G3394" t="s">
        <v>3834</v>
      </c>
      <c r="H3394" s="2">
        <v>44832.370138888888</v>
      </c>
      <c r="I3394" t="s">
        <v>227</v>
      </c>
      <c r="Z3394">
        <v>40495</v>
      </c>
    </row>
    <row r="3395" spans="1:26" x14ac:dyDescent="0.25">
      <c r="A3395" t="s">
        <v>652</v>
      </c>
      <c r="C3395" t="s">
        <v>27</v>
      </c>
      <c r="E3395" t="s">
        <v>3835</v>
      </c>
      <c r="H3395" s="2">
        <v>44830.801388888889</v>
      </c>
      <c r="I3395" t="s">
        <v>226</v>
      </c>
      <c r="Z3395">
        <v>40457</v>
      </c>
    </row>
    <row r="3396" spans="1:26" x14ac:dyDescent="0.25">
      <c r="A3396" t="s">
        <v>3836</v>
      </c>
      <c r="B3396" t="s">
        <v>164</v>
      </c>
      <c r="C3396" t="s">
        <v>27</v>
      </c>
      <c r="E3396" t="s">
        <v>222</v>
      </c>
      <c r="H3396" s="2">
        <v>44830.794444444444</v>
      </c>
      <c r="I3396" t="s">
        <v>248</v>
      </c>
      <c r="K3396" t="s">
        <v>30</v>
      </c>
      <c r="L3396" t="s">
        <v>31</v>
      </c>
      <c r="M3396">
        <v>55887024</v>
      </c>
      <c r="N3396">
        <v>9754613625</v>
      </c>
      <c r="O3396" t="s">
        <v>3837</v>
      </c>
      <c r="Z3396">
        <v>40456</v>
      </c>
    </row>
    <row r="3397" spans="1:26" x14ac:dyDescent="0.25">
      <c r="A3397" t="s">
        <v>3838</v>
      </c>
      <c r="B3397" t="s">
        <v>26</v>
      </c>
      <c r="C3397" t="s">
        <v>27</v>
      </c>
      <c r="H3397" s="2">
        <v>44830.456250000003</v>
      </c>
      <c r="I3397" t="s">
        <v>29</v>
      </c>
      <c r="Z3397">
        <v>40432</v>
      </c>
    </row>
    <row r="3398" spans="1:26" x14ac:dyDescent="0.25">
      <c r="A3398" t="s">
        <v>3839</v>
      </c>
      <c r="B3398" t="s">
        <v>26</v>
      </c>
      <c r="C3398" t="s">
        <v>27</v>
      </c>
      <c r="H3398" s="2">
        <v>44829.461111111108</v>
      </c>
      <c r="I3398" t="s">
        <v>226</v>
      </c>
      <c r="Z3398">
        <v>40411</v>
      </c>
    </row>
    <row r="3399" spans="1:26" x14ac:dyDescent="0.25">
      <c r="A3399" t="s">
        <v>3840</v>
      </c>
      <c r="B3399" t="s">
        <v>26</v>
      </c>
      <c r="C3399" t="s">
        <v>27</v>
      </c>
      <c r="H3399" s="2">
        <v>44827.78402777778</v>
      </c>
      <c r="I3399" t="s">
        <v>226</v>
      </c>
      <c r="Z3399">
        <v>40366</v>
      </c>
    </row>
    <row r="3400" spans="1:26" x14ac:dyDescent="0.25">
      <c r="A3400" t="s">
        <v>3841</v>
      </c>
      <c r="B3400" t="s">
        <v>26</v>
      </c>
      <c r="C3400" t="s">
        <v>27</v>
      </c>
      <c r="H3400" s="2">
        <v>44827.691666666666</v>
      </c>
      <c r="I3400" t="s">
        <v>29</v>
      </c>
      <c r="Z3400">
        <v>40357</v>
      </c>
    </row>
    <row r="3401" spans="1:26" x14ac:dyDescent="0.25">
      <c r="A3401" t="s">
        <v>712</v>
      </c>
      <c r="B3401" t="s">
        <v>46</v>
      </c>
      <c r="C3401" t="s">
        <v>27</v>
      </c>
      <c r="E3401" t="s">
        <v>45</v>
      </c>
      <c r="G3401" t="s">
        <v>3842</v>
      </c>
      <c r="H3401" s="2">
        <v>44827.669444444444</v>
      </c>
      <c r="I3401" t="s">
        <v>29</v>
      </c>
      <c r="Z3401">
        <v>40356</v>
      </c>
    </row>
    <row r="3402" spans="1:26" x14ac:dyDescent="0.25">
      <c r="A3402" t="s">
        <v>102</v>
      </c>
      <c r="B3402" t="s">
        <v>334</v>
      </c>
      <c r="C3402" t="s">
        <v>27</v>
      </c>
      <c r="E3402" t="s">
        <v>307</v>
      </c>
      <c r="H3402" s="2">
        <v>44826.621527777781</v>
      </c>
      <c r="I3402" t="s">
        <v>306</v>
      </c>
      <c r="K3402" t="s">
        <v>30</v>
      </c>
      <c r="L3402" t="s">
        <v>31</v>
      </c>
      <c r="M3402">
        <v>55887024</v>
      </c>
      <c r="N3402">
        <v>9754613617</v>
      </c>
      <c r="O3402" t="s">
        <v>2310</v>
      </c>
      <c r="Z3402">
        <v>40301</v>
      </c>
    </row>
    <row r="3403" spans="1:26" x14ac:dyDescent="0.25">
      <c r="A3403" t="s">
        <v>3843</v>
      </c>
      <c r="B3403" t="s">
        <v>26</v>
      </c>
      <c r="C3403" t="s">
        <v>27</v>
      </c>
      <c r="H3403" s="2">
        <v>44826.601388888892</v>
      </c>
      <c r="I3403" t="s">
        <v>226</v>
      </c>
      <c r="Z3403">
        <v>40299</v>
      </c>
    </row>
    <row r="3404" spans="1:26" x14ac:dyDescent="0.25">
      <c r="A3404" t="s">
        <v>3844</v>
      </c>
      <c r="B3404" t="s">
        <v>26</v>
      </c>
      <c r="C3404" t="s">
        <v>27</v>
      </c>
      <c r="H3404" s="2">
        <v>44826.409722222219</v>
      </c>
      <c r="I3404" t="s">
        <v>226</v>
      </c>
      <c r="Z3404">
        <v>40283</v>
      </c>
    </row>
    <row r="3405" spans="1:26" x14ac:dyDescent="0.25">
      <c r="A3405" t="s">
        <v>102</v>
      </c>
      <c r="B3405" t="s">
        <v>334</v>
      </c>
      <c r="C3405" t="s">
        <v>27</v>
      </c>
      <c r="E3405" t="s">
        <v>3845</v>
      </c>
      <c r="H3405" s="2">
        <v>44825.761111111111</v>
      </c>
      <c r="I3405" t="s">
        <v>227</v>
      </c>
      <c r="K3405" t="s">
        <v>30</v>
      </c>
      <c r="L3405" t="s">
        <v>31</v>
      </c>
      <c r="M3405">
        <v>67130164</v>
      </c>
      <c r="N3405">
        <v>12403825953</v>
      </c>
      <c r="O3405" t="s">
        <v>682</v>
      </c>
      <c r="Z3405">
        <v>40267</v>
      </c>
    </row>
    <row r="3406" spans="1:26" x14ac:dyDescent="0.25">
      <c r="A3406" t="s">
        <v>3846</v>
      </c>
      <c r="B3406" t="s">
        <v>26</v>
      </c>
      <c r="C3406" t="s">
        <v>27</v>
      </c>
      <c r="H3406" s="2">
        <v>44825.652777777781</v>
      </c>
      <c r="I3406" t="s">
        <v>306</v>
      </c>
      <c r="Z3406">
        <v>40260</v>
      </c>
    </row>
    <row r="3407" spans="1:26" x14ac:dyDescent="0.25">
      <c r="A3407" t="s">
        <v>3847</v>
      </c>
      <c r="B3407" t="s">
        <v>26</v>
      </c>
      <c r="C3407" t="s">
        <v>64</v>
      </c>
      <c r="H3407" s="2">
        <v>44825.458333333336</v>
      </c>
      <c r="I3407" t="s">
        <v>186</v>
      </c>
      <c r="Z3407">
        <v>40249</v>
      </c>
    </row>
    <row r="3408" spans="1:26" x14ac:dyDescent="0.25">
      <c r="A3408" t="s">
        <v>3848</v>
      </c>
      <c r="B3408" t="s">
        <v>26</v>
      </c>
      <c r="C3408" t="s">
        <v>27</v>
      </c>
      <c r="H3408" s="2">
        <v>44824.456944444442</v>
      </c>
      <c r="I3408" t="s">
        <v>315</v>
      </c>
      <c r="Z3408">
        <v>40211</v>
      </c>
    </row>
    <row r="3409" spans="1:26" x14ac:dyDescent="0.25">
      <c r="A3409" t="s">
        <v>1256</v>
      </c>
      <c r="B3409" t="s">
        <v>26</v>
      </c>
      <c r="C3409" t="s">
        <v>27</v>
      </c>
      <c r="H3409" s="2">
        <v>44823.770833333336</v>
      </c>
      <c r="I3409" t="s">
        <v>294</v>
      </c>
      <c r="Z3409">
        <v>40194</v>
      </c>
    </row>
    <row r="3410" spans="1:26" x14ac:dyDescent="0.25">
      <c r="A3410" t="s">
        <v>261</v>
      </c>
      <c r="B3410" t="s">
        <v>26</v>
      </c>
      <c r="C3410" t="s">
        <v>27</v>
      </c>
      <c r="H3410" s="2">
        <v>44823.75</v>
      </c>
      <c r="I3410" t="s">
        <v>294</v>
      </c>
      <c r="Z3410">
        <v>40193</v>
      </c>
    </row>
    <row r="3411" spans="1:26" x14ac:dyDescent="0.25">
      <c r="A3411" t="s">
        <v>712</v>
      </c>
      <c r="B3411" t="s">
        <v>185</v>
      </c>
      <c r="C3411" t="s">
        <v>27</v>
      </c>
      <c r="E3411" t="s">
        <v>45</v>
      </c>
      <c r="H3411" s="2">
        <v>44823.583333333336</v>
      </c>
      <c r="I3411" t="s">
        <v>29</v>
      </c>
      <c r="Z3411">
        <v>40180</v>
      </c>
    </row>
    <row r="3412" spans="1:26" x14ac:dyDescent="0.25">
      <c r="A3412" t="s">
        <v>3849</v>
      </c>
      <c r="B3412" t="s">
        <v>164</v>
      </c>
      <c r="C3412" t="s">
        <v>27</v>
      </c>
      <c r="E3412" t="s">
        <v>3850</v>
      </c>
      <c r="G3412" t="s">
        <v>3851</v>
      </c>
      <c r="H3412" s="2">
        <v>44822.539583333331</v>
      </c>
      <c r="I3412" t="s">
        <v>29</v>
      </c>
      <c r="Z3412">
        <v>40109</v>
      </c>
    </row>
    <row r="3413" spans="1:26" x14ac:dyDescent="0.25">
      <c r="A3413" t="s">
        <v>3852</v>
      </c>
      <c r="B3413" t="s">
        <v>26</v>
      </c>
      <c r="C3413" t="s">
        <v>27</v>
      </c>
      <c r="H3413" s="2">
        <v>44822.523611111108</v>
      </c>
      <c r="I3413" t="s">
        <v>226</v>
      </c>
      <c r="Z3413">
        <v>40104</v>
      </c>
    </row>
    <row r="3414" spans="1:26" x14ac:dyDescent="0.25">
      <c r="A3414" t="s">
        <v>3853</v>
      </c>
      <c r="B3414" t="s">
        <v>164</v>
      </c>
      <c r="C3414" t="s">
        <v>27</v>
      </c>
      <c r="E3414" t="s">
        <v>53</v>
      </c>
      <c r="H3414" s="2">
        <v>44822.441666666666</v>
      </c>
      <c r="I3414" t="s">
        <v>29</v>
      </c>
      <c r="Z3414">
        <v>40095</v>
      </c>
    </row>
    <row r="3415" spans="1:26" x14ac:dyDescent="0.25">
      <c r="A3415" t="s">
        <v>3854</v>
      </c>
      <c r="B3415" t="s">
        <v>185</v>
      </c>
      <c r="C3415" t="s">
        <v>27</v>
      </c>
      <c r="E3415" t="s">
        <v>66</v>
      </c>
      <c r="G3415" t="s">
        <v>3855</v>
      </c>
      <c r="H3415" s="2">
        <v>44822.40902777778</v>
      </c>
      <c r="I3415" t="s">
        <v>29</v>
      </c>
      <c r="Z3415">
        <v>40092</v>
      </c>
    </row>
    <row r="3416" spans="1:26" x14ac:dyDescent="0.25">
      <c r="A3416" t="s">
        <v>3856</v>
      </c>
      <c r="B3416" t="s">
        <v>26</v>
      </c>
      <c r="C3416" t="s">
        <v>27</v>
      </c>
      <c r="H3416" s="2">
        <v>44821.668055555558</v>
      </c>
      <c r="I3416" t="s">
        <v>306</v>
      </c>
      <c r="Z3416">
        <v>40079</v>
      </c>
    </row>
    <row r="3417" spans="1:26" x14ac:dyDescent="0.25">
      <c r="A3417" t="s">
        <v>3857</v>
      </c>
      <c r="B3417" t="s">
        <v>26</v>
      </c>
      <c r="C3417" t="s">
        <v>27</v>
      </c>
      <c r="H3417" s="2">
        <v>44821.635416666664</v>
      </c>
      <c r="I3417" t="s">
        <v>330</v>
      </c>
      <c r="Z3417">
        <v>40074</v>
      </c>
    </row>
    <row r="3418" spans="1:26" x14ac:dyDescent="0.25">
      <c r="A3418" t="s">
        <v>712</v>
      </c>
      <c r="C3418" t="s">
        <v>27</v>
      </c>
      <c r="E3418" t="s">
        <v>128</v>
      </c>
      <c r="H3418" s="2">
        <v>44821.59375</v>
      </c>
      <c r="I3418" t="s">
        <v>29</v>
      </c>
      <c r="Z3418">
        <v>40071</v>
      </c>
    </row>
    <row r="3419" spans="1:26" x14ac:dyDescent="0.25">
      <c r="A3419" t="s">
        <v>3858</v>
      </c>
      <c r="B3419" t="s">
        <v>26</v>
      </c>
      <c r="C3419" t="s">
        <v>27</v>
      </c>
      <c r="H3419" s="2">
        <v>44821.515972222223</v>
      </c>
      <c r="I3419" t="s">
        <v>306</v>
      </c>
      <c r="Z3419">
        <v>40063</v>
      </c>
    </row>
    <row r="3420" spans="1:26" x14ac:dyDescent="0.25">
      <c r="A3420" t="s">
        <v>3859</v>
      </c>
      <c r="B3420" t="s">
        <v>26</v>
      </c>
      <c r="C3420" t="s">
        <v>27</v>
      </c>
      <c r="H3420" s="2">
        <v>44821.464583333334</v>
      </c>
      <c r="I3420" t="s">
        <v>29</v>
      </c>
      <c r="Z3420">
        <v>40056</v>
      </c>
    </row>
    <row r="3421" spans="1:26" x14ac:dyDescent="0.25">
      <c r="A3421" t="s">
        <v>3860</v>
      </c>
      <c r="B3421" t="s">
        <v>26</v>
      </c>
      <c r="C3421" t="s">
        <v>27</v>
      </c>
      <c r="H3421" s="2">
        <v>44820.682638888888</v>
      </c>
      <c r="I3421" t="s">
        <v>330</v>
      </c>
      <c r="Z3421">
        <v>40038</v>
      </c>
    </row>
    <row r="3422" spans="1:26" x14ac:dyDescent="0.25">
      <c r="A3422" t="s">
        <v>3861</v>
      </c>
      <c r="B3422" t="s">
        <v>26</v>
      </c>
      <c r="C3422" t="s">
        <v>27</v>
      </c>
      <c r="H3422" s="2">
        <v>44820.680555555555</v>
      </c>
      <c r="I3422" t="s">
        <v>226</v>
      </c>
      <c r="Z3422">
        <v>40037</v>
      </c>
    </row>
    <row r="3423" spans="1:26" x14ac:dyDescent="0.25">
      <c r="A3423" t="s">
        <v>344</v>
      </c>
      <c r="B3423" t="s">
        <v>26</v>
      </c>
      <c r="C3423" t="s">
        <v>27</v>
      </c>
      <c r="H3423" s="2">
        <v>44820.550694444442</v>
      </c>
      <c r="I3423" t="s">
        <v>306</v>
      </c>
      <c r="Z3423">
        <v>40022</v>
      </c>
    </row>
    <row r="3424" spans="1:26" x14ac:dyDescent="0.25">
      <c r="A3424" t="s">
        <v>3862</v>
      </c>
      <c r="B3424" t="s">
        <v>26</v>
      </c>
      <c r="C3424" t="s">
        <v>27</v>
      </c>
      <c r="H3424" s="2">
        <v>44820.464583333334</v>
      </c>
      <c r="I3424" t="s">
        <v>306</v>
      </c>
      <c r="Z3424">
        <v>40009</v>
      </c>
    </row>
    <row r="3425" spans="1:26" x14ac:dyDescent="0.25">
      <c r="A3425" t="s">
        <v>3863</v>
      </c>
      <c r="B3425" t="s">
        <v>26</v>
      </c>
      <c r="C3425" t="s">
        <v>27</v>
      </c>
      <c r="H3425" s="2">
        <v>44819.834722222222</v>
      </c>
      <c r="I3425" t="s">
        <v>226</v>
      </c>
      <c r="Z3425">
        <v>39995</v>
      </c>
    </row>
    <row r="3426" spans="1:26" x14ac:dyDescent="0.25">
      <c r="A3426" t="s">
        <v>3864</v>
      </c>
      <c r="B3426" t="s">
        <v>26</v>
      </c>
      <c r="C3426" t="s">
        <v>27</v>
      </c>
      <c r="H3426" s="2">
        <v>44819.475694444445</v>
      </c>
      <c r="I3426" t="s">
        <v>226</v>
      </c>
      <c r="Z3426">
        <v>39973</v>
      </c>
    </row>
    <row r="3427" spans="1:26" x14ac:dyDescent="0.25">
      <c r="A3427" t="s">
        <v>3865</v>
      </c>
      <c r="B3427" t="s">
        <v>26</v>
      </c>
      <c r="C3427" t="s">
        <v>27</v>
      </c>
      <c r="H3427" s="2">
        <v>44819.461111111108</v>
      </c>
      <c r="I3427" t="s">
        <v>226</v>
      </c>
      <c r="Z3427">
        <v>39971</v>
      </c>
    </row>
    <row r="3428" spans="1:26" x14ac:dyDescent="0.25">
      <c r="A3428" t="s">
        <v>3866</v>
      </c>
      <c r="B3428" t="s">
        <v>26</v>
      </c>
      <c r="C3428" t="s">
        <v>27</v>
      </c>
      <c r="E3428" t="s">
        <v>3867</v>
      </c>
      <c r="H3428" s="2">
        <v>44819.384027777778</v>
      </c>
      <c r="I3428" t="s">
        <v>227</v>
      </c>
      <c r="Z3428">
        <v>39963</v>
      </c>
    </row>
    <row r="3429" spans="1:26" x14ac:dyDescent="0.25">
      <c r="A3429" t="s">
        <v>712</v>
      </c>
      <c r="B3429" t="s">
        <v>150</v>
      </c>
      <c r="C3429" t="s">
        <v>27</v>
      </c>
      <c r="E3429" t="s">
        <v>244</v>
      </c>
      <c r="G3429" t="s">
        <v>244</v>
      </c>
      <c r="H3429" s="2">
        <v>44818.537499999999</v>
      </c>
      <c r="I3429" t="s">
        <v>29</v>
      </c>
      <c r="Z3429">
        <v>39939</v>
      </c>
    </row>
    <row r="3430" spans="1:26" x14ac:dyDescent="0.25">
      <c r="A3430" t="s">
        <v>3868</v>
      </c>
      <c r="B3430" t="s">
        <v>26</v>
      </c>
      <c r="C3430" t="s">
        <v>27</v>
      </c>
      <c r="H3430" s="2">
        <v>44818.380555555559</v>
      </c>
      <c r="I3430" t="s">
        <v>186</v>
      </c>
      <c r="Z3430">
        <v>39924</v>
      </c>
    </row>
    <row r="3431" spans="1:26" x14ac:dyDescent="0.25">
      <c r="A3431" t="s">
        <v>1256</v>
      </c>
      <c r="B3431" t="s">
        <v>26</v>
      </c>
      <c r="C3431" t="s">
        <v>27</v>
      </c>
      <c r="H3431" s="2">
        <v>44817.702777777777</v>
      </c>
      <c r="I3431" t="s">
        <v>186</v>
      </c>
      <c r="Z3431">
        <v>39914</v>
      </c>
    </row>
    <row r="3432" spans="1:26" x14ac:dyDescent="0.25">
      <c r="A3432" t="s">
        <v>712</v>
      </c>
      <c r="B3432" t="s">
        <v>26</v>
      </c>
      <c r="C3432" t="s">
        <v>27</v>
      </c>
      <c r="H3432" s="2">
        <v>44817.665972222225</v>
      </c>
      <c r="I3432" t="s">
        <v>29</v>
      </c>
      <c r="Z3432">
        <v>39908</v>
      </c>
    </row>
    <row r="3433" spans="1:26" x14ac:dyDescent="0.25">
      <c r="A3433" t="s">
        <v>3869</v>
      </c>
      <c r="B3433" t="s">
        <v>26</v>
      </c>
      <c r="C3433" t="s">
        <v>27</v>
      </c>
      <c r="H3433" s="2">
        <v>44816.531944444447</v>
      </c>
      <c r="I3433" t="s">
        <v>315</v>
      </c>
      <c r="Z3433">
        <v>39849</v>
      </c>
    </row>
    <row r="3434" spans="1:26" x14ac:dyDescent="0.25">
      <c r="A3434" t="s">
        <v>3870</v>
      </c>
      <c r="B3434" t="s">
        <v>26</v>
      </c>
      <c r="C3434" t="s">
        <v>27</v>
      </c>
      <c r="H3434" s="2">
        <v>44816.523611111108</v>
      </c>
      <c r="I3434" t="s">
        <v>29</v>
      </c>
      <c r="Z3434">
        <v>39847</v>
      </c>
    </row>
    <row r="3435" spans="1:26" x14ac:dyDescent="0.25">
      <c r="A3435" t="s">
        <v>3871</v>
      </c>
      <c r="B3435" t="s">
        <v>26</v>
      </c>
      <c r="C3435" t="s">
        <v>27</v>
      </c>
      <c r="H3435" s="2">
        <v>44816.468055555553</v>
      </c>
      <c r="I3435" t="s">
        <v>29</v>
      </c>
      <c r="Z3435">
        <v>39837</v>
      </c>
    </row>
    <row r="3436" spans="1:26" x14ac:dyDescent="0.25">
      <c r="A3436" t="s">
        <v>712</v>
      </c>
      <c r="B3436" t="s">
        <v>26</v>
      </c>
      <c r="C3436" t="s">
        <v>27</v>
      </c>
      <c r="H3436" s="2">
        <v>44816.429861111108</v>
      </c>
      <c r="I3436" t="s">
        <v>29</v>
      </c>
      <c r="Z3436">
        <v>39832</v>
      </c>
    </row>
    <row r="3437" spans="1:26" x14ac:dyDescent="0.25">
      <c r="A3437" t="s">
        <v>3872</v>
      </c>
      <c r="B3437" t="s">
        <v>26</v>
      </c>
      <c r="C3437" t="s">
        <v>27</v>
      </c>
      <c r="E3437" t="s">
        <v>1864</v>
      </c>
      <c r="H3437" s="2">
        <v>44815.69027777778</v>
      </c>
      <c r="I3437" t="s">
        <v>226</v>
      </c>
      <c r="Z3437">
        <v>39821</v>
      </c>
    </row>
    <row r="3438" spans="1:26" x14ac:dyDescent="0.25">
      <c r="A3438" t="s">
        <v>3859</v>
      </c>
      <c r="B3438" t="s">
        <v>26</v>
      </c>
      <c r="C3438" t="s">
        <v>27</v>
      </c>
      <c r="H3438" s="2">
        <v>44815.661805555559</v>
      </c>
      <c r="I3438" t="s">
        <v>226</v>
      </c>
      <c r="Z3438">
        <v>39819</v>
      </c>
    </row>
    <row r="3439" spans="1:26" x14ac:dyDescent="0.25">
      <c r="A3439" t="s">
        <v>3873</v>
      </c>
      <c r="B3439" t="s">
        <v>26</v>
      </c>
      <c r="C3439" t="s">
        <v>27</v>
      </c>
      <c r="H3439" s="2">
        <v>44815.494444444441</v>
      </c>
      <c r="I3439" t="s">
        <v>327</v>
      </c>
      <c r="Z3439">
        <v>39811</v>
      </c>
    </row>
    <row r="3440" spans="1:26" x14ac:dyDescent="0.25">
      <c r="A3440" t="s">
        <v>3874</v>
      </c>
      <c r="B3440" t="s">
        <v>26</v>
      </c>
      <c r="C3440" t="s">
        <v>27</v>
      </c>
      <c r="H3440" s="2">
        <v>44814.556250000001</v>
      </c>
      <c r="I3440" t="s">
        <v>330</v>
      </c>
      <c r="Z3440">
        <v>39765</v>
      </c>
    </row>
    <row r="3441" spans="1:26" x14ac:dyDescent="0.25">
      <c r="A3441" t="s">
        <v>3875</v>
      </c>
      <c r="B3441" t="s">
        <v>26</v>
      </c>
      <c r="C3441" t="s">
        <v>27</v>
      </c>
      <c r="H3441" s="2">
        <v>44813.613888888889</v>
      </c>
      <c r="I3441" t="s">
        <v>124</v>
      </c>
      <c r="Z3441">
        <v>39724</v>
      </c>
    </row>
    <row r="3442" spans="1:26" x14ac:dyDescent="0.25">
      <c r="A3442" t="s">
        <v>3876</v>
      </c>
      <c r="B3442" t="s">
        <v>26</v>
      </c>
      <c r="C3442" t="s">
        <v>27</v>
      </c>
      <c r="H3442" s="2">
        <v>44813.594444444447</v>
      </c>
      <c r="I3442" t="s">
        <v>330</v>
      </c>
      <c r="Z3442">
        <v>39722</v>
      </c>
    </row>
    <row r="3443" spans="1:26" x14ac:dyDescent="0.25">
      <c r="A3443" t="s">
        <v>3877</v>
      </c>
      <c r="B3443" t="s">
        <v>26</v>
      </c>
      <c r="C3443" t="s">
        <v>27</v>
      </c>
      <c r="H3443" s="2">
        <v>44813.440972222219</v>
      </c>
      <c r="I3443" t="s">
        <v>330</v>
      </c>
      <c r="Z3443">
        <v>39700</v>
      </c>
    </row>
    <row r="3444" spans="1:26" x14ac:dyDescent="0.25">
      <c r="A3444" t="s">
        <v>712</v>
      </c>
      <c r="B3444" t="s">
        <v>26</v>
      </c>
      <c r="C3444" t="s">
        <v>27</v>
      </c>
      <c r="H3444" s="2">
        <v>44812.665277777778</v>
      </c>
      <c r="I3444" t="s">
        <v>29</v>
      </c>
      <c r="Z3444">
        <v>39677</v>
      </c>
    </row>
    <row r="3445" spans="1:26" x14ac:dyDescent="0.25">
      <c r="A3445" t="s">
        <v>3878</v>
      </c>
      <c r="B3445" t="s">
        <v>26</v>
      </c>
      <c r="C3445" t="s">
        <v>27</v>
      </c>
      <c r="H3445" s="2">
        <v>44812.615277777775</v>
      </c>
      <c r="I3445" t="s">
        <v>29</v>
      </c>
      <c r="Z3445">
        <v>39674</v>
      </c>
    </row>
    <row r="3446" spans="1:26" x14ac:dyDescent="0.25">
      <c r="A3446" t="s">
        <v>3879</v>
      </c>
      <c r="B3446" t="s">
        <v>26</v>
      </c>
      <c r="C3446" t="s">
        <v>27</v>
      </c>
      <c r="H3446" s="2">
        <v>44812.581250000003</v>
      </c>
      <c r="I3446" t="s">
        <v>29</v>
      </c>
      <c r="Z3446">
        <v>39672</v>
      </c>
    </row>
    <row r="3447" spans="1:26" x14ac:dyDescent="0.25">
      <c r="A3447" t="s">
        <v>154</v>
      </c>
      <c r="B3447" t="s">
        <v>185</v>
      </c>
      <c r="C3447" t="s">
        <v>27</v>
      </c>
      <c r="E3447" t="s">
        <v>70</v>
      </c>
      <c r="H3447" s="2">
        <v>44811.948611111111</v>
      </c>
      <c r="I3447" t="s">
        <v>327</v>
      </c>
      <c r="Z3447">
        <v>39655</v>
      </c>
    </row>
    <row r="3448" spans="1:26" x14ac:dyDescent="0.25">
      <c r="A3448" t="s">
        <v>3880</v>
      </c>
      <c r="B3448" t="s">
        <v>26</v>
      </c>
      <c r="C3448" t="s">
        <v>27</v>
      </c>
      <c r="H3448" s="2">
        <v>44811.693749999999</v>
      </c>
      <c r="I3448" t="s">
        <v>315</v>
      </c>
      <c r="Z3448">
        <v>39642</v>
      </c>
    </row>
    <row r="3449" spans="1:26" x14ac:dyDescent="0.25">
      <c r="A3449" t="s">
        <v>712</v>
      </c>
      <c r="C3449" t="s">
        <v>27</v>
      </c>
      <c r="E3449" t="s">
        <v>45</v>
      </c>
      <c r="H3449" s="2">
        <v>44811.647916666669</v>
      </c>
      <c r="I3449" t="s">
        <v>29</v>
      </c>
      <c r="Z3449">
        <v>39634</v>
      </c>
    </row>
    <row r="3450" spans="1:26" x14ac:dyDescent="0.25">
      <c r="A3450" t="s">
        <v>1256</v>
      </c>
      <c r="B3450" t="s">
        <v>26</v>
      </c>
      <c r="C3450" t="s">
        <v>27</v>
      </c>
      <c r="H3450" s="2">
        <v>44811.633333333331</v>
      </c>
      <c r="I3450" t="s">
        <v>294</v>
      </c>
      <c r="Z3450">
        <v>39632</v>
      </c>
    </row>
    <row r="3451" spans="1:26" x14ac:dyDescent="0.25">
      <c r="A3451" t="s">
        <v>3881</v>
      </c>
      <c r="B3451" t="s">
        <v>26</v>
      </c>
      <c r="C3451" t="s">
        <v>27</v>
      </c>
      <c r="H3451" s="2">
        <v>44811.56527777778</v>
      </c>
      <c r="I3451" t="s">
        <v>186</v>
      </c>
      <c r="Z3451">
        <v>39625</v>
      </c>
    </row>
    <row r="3452" spans="1:26" x14ac:dyDescent="0.25">
      <c r="A3452" t="s">
        <v>3882</v>
      </c>
      <c r="B3452" t="s">
        <v>26</v>
      </c>
      <c r="C3452" t="s">
        <v>27</v>
      </c>
      <c r="H3452" s="2">
        <v>44811.510416666664</v>
      </c>
      <c r="I3452" t="s">
        <v>29</v>
      </c>
      <c r="Z3452">
        <v>39619</v>
      </c>
    </row>
    <row r="3453" spans="1:26" x14ac:dyDescent="0.25">
      <c r="A3453" t="s">
        <v>712</v>
      </c>
      <c r="B3453" t="s">
        <v>164</v>
      </c>
      <c r="C3453" t="s">
        <v>27</v>
      </c>
      <c r="E3453" t="s">
        <v>311</v>
      </c>
      <c r="H3453" s="2">
        <v>44811.456250000003</v>
      </c>
      <c r="I3453" t="s">
        <v>29</v>
      </c>
      <c r="Z3453">
        <v>39615</v>
      </c>
    </row>
    <row r="3454" spans="1:26" x14ac:dyDescent="0.25">
      <c r="A3454" t="s">
        <v>712</v>
      </c>
      <c r="B3454" t="s">
        <v>26</v>
      </c>
      <c r="C3454" t="s">
        <v>27</v>
      </c>
      <c r="H3454" s="2">
        <v>44810.703472222223</v>
      </c>
      <c r="I3454" t="s">
        <v>29</v>
      </c>
      <c r="Z3454">
        <v>39594</v>
      </c>
    </row>
    <row r="3455" spans="1:26" x14ac:dyDescent="0.25">
      <c r="A3455" t="s">
        <v>712</v>
      </c>
      <c r="B3455" t="s">
        <v>26</v>
      </c>
      <c r="C3455" t="s">
        <v>27</v>
      </c>
      <c r="H3455" s="2">
        <v>44810.650694444441</v>
      </c>
      <c r="I3455" t="s">
        <v>29</v>
      </c>
      <c r="Z3455">
        <v>39591</v>
      </c>
    </row>
    <row r="3456" spans="1:26" x14ac:dyDescent="0.25">
      <c r="A3456" t="s">
        <v>3883</v>
      </c>
      <c r="B3456" t="s">
        <v>26</v>
      </c>
      <c r="C3456" t="s">
        <v>27</v>
      </c>
      <c r="H3456" s="2">
        <v>44810.384027777778</v>
      </c>
      <c r="I3456" t="s">
        <v>327</v>
      </c>
      <c r="Z3456">
        <v>39566</v>
      </c>
    </row>
    <row r="3457" spans="1:26" x14ac:dyDescent="0.25">
      <c r="A3457" t="s">
        <v>320</v>
      </c>
      <c r="B3457" t="s">
        <v>185</v>
      </c>
      <c r="C3457" t="s">
        <v>27</v>
      </c>
      <c r="E3457" t="s">
        <v>66</v>
      </c>
      <c r="H3457" s="2">
        <v>44809.649305555555</v>
      </c>
      <c r="I3457" t="s">
        <v>29</v>
      </c>
      <c r="Z3457">
        <v>39549</v>
      </c>
    </row>
    <row r="3458" spans="1:26" x14ac:dyDescent="0.25">
      <c r="A3458" t="s">
        <v>712</v>
      </c>
      <c r="B3458" t="s">
        <v>26</v>
      </c>
      <c r="C3458" t="s">
        <v>27</v>
      </c>
      <c r="H3458" s="2">
        <v>44809.455555555556</v>
      </c>
      <c r="I3458" t="s">
        <v>29</v>
      </c>
      <c r="Z3458">
        <v>39530</v>
      </c>
    </row>
    <row r="3459" spans="1:26" x14ac:dyDescent="0.25">
      <c r="A3459" t="s">
        <v>3884</v>
      </c>
      <c r="B3459" t="s">
        <v>26</v>
      </c>
      <c r="C3459" t="s">
        <v>27</v>
      </c>
      <c r="H3459" s="2">
        <v>44809.418749999997</v>
      </c>
      <c r="I3459" t="s">
        <v>306</v>
      </c>
      <c r="Z3459">
        <v>39524</v>
      </c>
    </row>
    <row r="3460" spans="1:26" x14ac:dyDescent="0.25">
      <c r="A3460" t="s">
        <v>3885</v>
      </c>
      <c r="B3460" t="s">
        <v>26</v>
      </c>
      <c r="C3460" t="s">
        <v>27</v>
      </c>
      <c r="H3460" s="2">
        <v>44809.414583333331</v>
      </c>
      <c r="I3460" t="s">
        <v>330</v>
      </c>
      <c r="Z3460">
        <v>39522</v>
      </c>
    </row>
    <row r="3461" spans="1:26" x14ac:dyDescent="0.25">
      <c r="A3461" t="s">
        <v>3886</v>
      </c>
      <c r="B3461" t="s">
        <v>164</v>
      </c>
      <c r="C3461" t="s">
        <v>27</v>
      </c>
      <c r="E3461" t="s">
        <v>3887</v>
      </c>
      <c r="H3461" s="2">
        <v>44809.379861111112</v>
      </c>
      <c r="I3461" t="s">
        <v>29</v>
      </c>
      <c r="Z3461">
        <v>39513</v>
      </c>
    </row>
    <row r="3462" spans="1:26" x14ac:dyDescent="0.25">
      <c r="A3462" t="s">
        <v>652</v>
      </c>
      <c r="B3462" t="s">
        <v>26</v>
      </c>
      <c r="C3462" t="s">
        <v>27</v>
      </c>
      <c r="H3462" s="2">
        <v>44808.443749999999</v>
      </c>
      <c r="I3462" t="s">
        <v>306</v>
      </c>
      <c r="Z3462">
        <v>39484</v>
      </c>
    </row>
    <row r="3463" spans="1:26" x14ac:dyDescent="0.25">
      <c r="A3463" t="s">
        <v>102</v>
      </c>
      <c r="B3463" t="s">
        <v>334</v>
      </c>
      <c r="C3463" t="s">
        <v>27</v>
      </c>
      <c r="E3463" t="s">
        <v>3888</v>
      </c>
      <c r="H3463" s="2">
        <v>44808.436805555553</v>
      </c>
      <c r="I3463" t="s">
        <v>306</v>
      </c>
      <c r="Z3463">
        <v>39483</v>
      </c>
    </row>
    <row r="3464" spans="1:26" x14ac:dyDescent="0.25">
      <c r="A3464" t="s">
        <v>3889</v>
      </c>
      <c r="B3464" t="s">
        <v>26</v>
      </c>
      <c r="C3464" t="s">
        <v>27</v>
      </c>
      <c r="H3464" s="2">
        <v>44807.786111111112</v>
      </c>
      <c r="I3464" t="s">
        <v>315</v>
      </c>
      <c r="Z3464">
        <v>39477</v>
      </c>
    </row>
    <row r="3465" spans="1:26" x14ac:dyDescent="0.25">
      <c r="A3465" t="s">
        <v>3890</v>
      </c>
      <c r="B3465" t="s">
        <v>26</v>
      </c>
      <c r="C3465" t="s">
        <v>27</v>
      </c>
      <c r="H3465" s="2">
        <v>44807.698611111111</v>
      </c>
      <c r="I3465" t="s">
        <v>227</v>
      </c>
      <c r="Z3465">
        <v>39473</v>
      </c>
    </row>
    <row r="3466" spans="1:26" x14ac:dyDescent="0.25">
      <c r="A3466" t="s">
        <v>97</v>
      </c>
      <c r="C3466" t="s">
        <v>27</v>
      </c>
      <c r="E3466" t="s">
        <v>87</v>
      </c>
      <c r="H3466" s="2">
        <v>44807.666666666664</v>
      </c>
      <c r="I3466" t="s">
        <v>227</v>
      </c>
      <c r="Z3466">
        <v>39467</v>
      </c>
    </row>
    <row r="3467" spans="1:26" x14ac:dyDescent="0.25">
      <c r="A3467" t="s">
        <v>342</v>
      </c>
      <c r="C3467" t="s">
        <v>27</v>
      </c>
      <c r="E3467" t="s">
        <v>87</v>
      </c>
      <c r="H3467" s="2">
        <v>44807.638888888891</v>
      </c>
      <c r="I3467" t="s">
        <v>227</v>
      </c>
      <c r="Z3467">
        <v>39466</v>
      </c>
    </row>
    <row r="3468" spans="1:26" x14ac:dyDescent="0.25">
      <c r="A3468" t="s">
        <v>3891</v>
      </c>
      <c r="B3468" t="s">
        <v>26</v>
      </c>
      <c r="C3468" t="s">
        <v>27</v>
      </c>
      <c r="H3468" s="2">
        <v>44807.629166666666</v>
      </c>
      <c r="I3468" t="s">
        <v>226</v>
      </c>
      <c r="Z3468">
        <v>39463</v>
      </c>
    </row>
    <row r="3469" spans="1:26" x14ac:dyDescent="0.25">
      <c r="A3469" t="s">
        <v>3892</v>
      </c>
      <c r="B3469" t="s">
        <v>26</v>
      </c>
      <c r="C3469" t="s">
        <v>27</v>
      </c>
      <c r="H3469" s="2">
        <v>44807.536805555559</v>
      </c>
      <c r="I3469" t="s">
        <v>227</v>
      </c>
      <c r="Z3469">
        <v>39454</v>
      </c>
    </row>
    <row r="3470" spans="1:26" x14ac:dyDescent="0.25">
      <c r="A3470" t="s">
        <v>712</v>
      </c>
      <c r="B3470" t="s">
        <v>164</v>
      </c>
      <c r="C3470" t="s">
        <v>27</v>
      </c>
      <c r="E3470" t="s">
        <v>66</v>
      </c>
      <c r="H3470" s="2">
        <v>44806.482638888891</v>
      </c>
      <c r="I3470" t="s">
        <v>29</v>
      </c>
      <c r="Z3470">
        <v>39412</v>
      </c>
    </row>
    <row r="3471" spans="1:26" x14ac:dyDescent="0.25">
      <c r="A3471" t="s">
        <v>3893</v>
      </c>
      <c r="B3471" t="s">
        <v>26</v>
      </c>
      <c r="C3471" t="s">
        <v>27</v>
      </c>
      <c r="H3471" s="2">
        <v>44805.856249999997</v>
      </c>
      <c r="I3471" t="s">
        <v>306</v>
      </c>
      <c r="Z3471">
        <v>39402</v>
      </c>
    </row>
    <row r="3472" spans="1:26" x14ac:dyDescent="0.25">
      <c r="A3472" t="s">
        <v>3894</v>
      </c>
      <c r="B3472" t="s">
        <v>26</v>
      </c>
      <c r="C3472" t="s">
        <v>27</v>
      </c>
      <c r="H3472" s="2">
        <v>44805.747916666667</v>
      </c>
      <c r="I3472" t="s">
        <v>186</v>
      </c>
      <c r="Z3472">
        <v>39394</v>
      </c>
    </row>
    <row r="3473" spans="1:26" x14ac:dyDescent="0.25">
      <c r="A3473" t="s">
        <v>3894</v>
      </c>
      <c r="B3473" t="s">
        <v>26</v>
      </c>
      <c r="C3473" t="s">
        <v>27</v>
      </c>
      <c r="H3473" s="2">
        <v>44805.709027777775</v>
      </c>
      <c r="I3473" t="s">
        <v>186</v>
      </c>
      <c r="Z3473">
        <v>39387</v>
      </c>
    </row>
    <row r="3474" spans="1:26" x14ac:dyDescent="0.25">
      <c r="A3474" t="s">
        <v>3895</v>
      </c>
      <c r="B3474" t="s">
        <v>26</v>
      </c>
      <c r="C3474" t="s">
        <v>27</v>
      </c>
      <c r="H3474" s="2">
        <v>44804.796527777777</v>
      </c>
      <c r="I3474" t="s">
        <v>227</v>
      </c>
      <c r="Z3474">
        <v>39348</v>
      </c>
    </row>
    <row r="3475" spans="1:26" x14ac:dyDescent="0.25">
      <c r="A3475" t="s">
        <v>3896</v>
      </c>
      <c r="B3475" t="s">
        <v>26</v>
      </c>
      <c r="C3475" t="s">
        <v>27</v>
      </c>
      <c r="H3475" s="2">
        <v>44804.726388888892</v>
      </c>
      <c r="I3475" t="s">
        <v>153</v>
      </c>
      <c r="Z3475">
        <v>39343</v>
      </c>
    </row>
    <row r="3476" spans="1:26" x14ac:dyDescent="0.25">
      <c r="A3476" t="s">
        <v>712</v>
      </c>
      <c r="B3476" t="s">
        <v>26</v>
      </c>
      <c r="C3476" t="s">
        <v>27</v>
      </c>
      <c r="H3476" s="2">
        <v>44804.411111111112</v>
      </c>
      <c r="I3476" t="s">
        <v>29</v>
      </c>
      <c r="Z3476">
        <v>39313</v>
      </c>
    </row>
    <row r="3477" spans="1:26" x14ac:dyDescent="0.25">
      <c r="A3477" t="s">
        <v>2675</v>
      </c>
      <c r="B3477" t="s">
        <v>26</v>
      </c>
      <c r="C3477" t="s">
        <v>27</v>
      </c>
      <c r="H3477" s="2">
        <v>44803.775000000001</v>
      </c>
      <c r="I3477" t="s">
        <v>330</v>
      </c>
      <c r="Z3477">
        <v>39296</v>
      </c>
    </row>
    <row r="3478" spans="1:26" x14ac:dyDescent="0.25">
      <c r="A3478" t="s">
        <v>3897</v>
      </c>
      <c r="B3478" t="s">
        <v>164</v>
      </c>
      <c r="C3478" t="s">
        <v>27</v>
      </c>
      <c r="E3478" t="s">
        <v>3898</v>
      </c>
      <c r="H3478" s="2">
        <v>44803.626388888886</v>
      </c>
      <c r="I3478" t="s">
        <v>153</v>
      </c>
      <c r="Z3478">
        <v>39278</v>
      </c>
    </row>
    <row r="3479" spans="1:26" x14ac:dyDescent="0.25">
      <c r="A3479" t="s">
        <v>2633</v>
      </c>
      <c r="B3479" t="s">
        <v>26</v>
      </c>
      <c r="C3479" t="s">
        <v>27</v>
      </c>
      <c r="H3479" s="2">
        <v>44803.425694444442</v>
      </c>
      <c r="I3479" t="s">
        <v>346</v>
      </c>
      <c r="Z3479">
        <v>39258</v>
      </c>
    </row>
    <row r="3480" spans="1:26" x14ac:dyDescent="0.25">
      <c r="A3480" t="s">
        <v>3899</v>
      </c>
      <c r="B3480" t="s">
        <v>26</v>
      </c>
      <c r="C3480" t="s">
        <v>27</v>
      </c>
      <c r="H3480" s="2">
        <v>44803.419444444444</v>
      </c>
      <c r="I3480" t="s">
        <v>330</v>
      </c>
      <c r="Z3480">
        <v>39257</v>
      </c>
    </row>
    <row r="3481" spans="1:26" x14ac:dyDescent="0.25">
      <c r="A3481" t="s">
        <v>3900</v>
      </c>
      <c r="B3481" t="s">
        <v>26</v>
      </c>
      <c r="C3481" t="s">
        <v>27</v>
      </c>
      <c r="H3481" s="2">
        <v>44802.458333333336</v>
      </c>
      <c r="I3481" t="s">
        <v>226</v>
      </c>
      <c r="Z3481">
        <v>39215</v>
      </c>
    </row>
    <row r="3482" spans="1:26" x14ac:dyDescent="0.25">
      <c r="A3482" t="s">
        <v>365</v>
      </c>
      <c r="B3482" t="s">
        <v>26</v>
      </c>
      <c r="C3482" t="s">
        <v>27</v>
      </c>
      <c r="H3482" s="2">
        <v>44801.836805555555</v>
      </c>
      <c r="I3482" t="s">
        <v>29</v>
      </c>
      <c r="Z3482">
        <v>39200</v>
      </c>
    </row>
    <row r="3483" spans="1:26" x14ac:dyDescent="0.25">
      <c r="A3483" t="s">
        <v>3901</v>
      </c>
      <c r="B3483" t="s">
        <v>26</v>
      </c>
      <c r="C3483" t="s">
        <v>27</v>
      </c>
      <c r="H3483" s="2">
        <v>44801.694444444445</v>
      </c>
      <c r="I3483" t="s">
        <v>346</v>
      </c>
      <c r="Z3483">
        <v>39191</v>
      </c>
    </row>
    <row r="3484" spans="1:26" x14ac:dyDescent="0.25">
      <c r="A3484" t="s">
        <v>712</v>
      </c>
      <c r="B3484" t="s">
        <v>26</v>
      </c>
      <c r="C3484" t="s">
        <v>27</v>
      </c>
      <c r="H3484" s="2">
        <v>44801.551388888889</v>
      </c>
      <c r="I3484" t="s">
        <v>29</v>
      </c>
      <c r="Z3484">
        <v>39179</v>
      </c>
    </row>
    <row r="3485" spans="1:26" x14ac:dyDescent="0.25">
      <c r="A3485" t="s">
        <v>276</v>
      </c>
      <c r="B3485" t="s">
        <v>26</v>
      </c>
      <c r="C3485" t="s">
        <v>27</v>
      </c>
      <c r="H3485" s="2">
        <v>44801.43472222222</v>
      </c>
      <c r="I3485" t="s">
        <v>29</v>
      </c>
      <c r="Z3485">
        <v>39166</v>
      </c>
    </row>
    <row r="3486" spans="1:26" x14ac:dyDescent="0.25">
      <c r="A3486" t="s">
        <v>3902</v>
      </c>
      <c r="B3486" t="s">
        <v>26</v>
      </c>
      <c r="C3486" t="s">
        <v>27</v>
      </c>
      <c r="H3486" s="2">
        <v>44800.736111111109</v>
      </c>
      <c r="I3486" t="s">
        <v>186</v>
      </c>
      <c r="Z3486">
        <v>39146</v>
      </c>
    </row>
    <row r="3487" spans="1:26" x14ac:dyDescent="0.25">
      <c r="A3487" t="s">
        <v>3903</v>
      </c>
      <c r="B3487" t="s">
        <v>26</v>
      </c>
      <c r="C3487" t="s">
        <v>27</v>
      </c>
      <c r="H3487" s="2">
        <v>44800.619444444441</v>
      </c>
      <c r="I3487" t="s">
        <v>29</v>
      </c>
      <c r="Z3487">
        <v>39130</v>
      </c>
    </row>
    <row r="3488" spans="1:26" x14ac:dyDescent="0.25">
      <c r="A3488" t="s">
        <v>3904</v>
      </c>
      <c r="B3488" t="s">
        <v>26</v>
      </c>
      <c r="C3488" t="s">
        <v>27</v>
      </c>
      <c r="H3488" s="2">
        <v>44800.602083333331</v>
      </c>
      <c r="I3488" t="s">
        <v>186</v>
      </c>
      <c r="Z3488">
        <v>39129</v>
      </c>
    </row>
    <row r="3489" spans="1:26" x14ac:dyDescent="0.25">
      <c r="A3489" t="s">
        <v>3905</v>
      </c>
      <c r="B3489" t="s">
        <v>26</v>
      </c>
      <c r="C3489" t="s">
        <v>27</v>
      </c>
      <c r="H3489" s="2">
        <v>44800.490972222222</v>
      </c>
      <c r="I3489" t="s">
        <v>306</v>
      </c>
      <c r="Z3489">
        <v>39117</v>
      </c>
    </row>
    <row r="3490" spans="1:26" x14ac:dyDescent="0.25">
      <c r="A3490" t="s">
        <v>3906</v>
      </c>
      <c r="B3490" t="s">
        <v>26</v>
      </c>
      <c r="C3490" t="s">
        <v>27</v>
      </c>
      <c r="H3490" s="2">
        <v>44799.573611111111</v>
      </c>
      <c r="I3490" t="s">
        <v>327</v>
      </c>
      <c r="Z3490">
        <v>39079</v>
      </c>
    </row>
    <row r="3491" spans="1:26" x14ac:dyDescent="0.25">
      <c r="A3491" t="s">
        <v>712</v>
      </c>
      <c r="B3491" t="s">
        <v>26</v>
      </c>
      <c r="C3491" t="s">
        <v>27</v>
      </c>
      <c r="H3491" s="2">
        <v>44799.525694444441</v>
      </c>
      <c r="I3491" t="s">
        <v>29</v>
      </c>
      <c r="Z3491">
        <v>39075</v>
      </c>
    </row>
    <row r="3492" spans="1:26" x14ac:dyDescent="0.25">
      <c r="A3492" t="s">
        <v>3907</v>
      </c>
      <c r="B3492" t="s">
        <v>26</v>
      </c>
      <c r="C3492" t="s">
        <v>27</v>
      </c>
      <c r="H3492" s="2">
        <v>44799.455555555556</v>
      </c>
      <c r="I3492" t="s">
        <v>327</v>
      </c>
      <c r="Z3492">
        <v>39069</v>
      </c>
    </row>
    <row r="3493" spans="1:26" x14ac:dyDescent="0.25">
      <c r="A3493" t="s">
        <v>3908</v>
      </c>
      <c r="B3493" t="s">
        <v>164</v>
      </c>
      <c r="C3493" t="s">
        <v>27</v>
      </c>
      <c r="E3493">
        <v>99</v>
      </c>
      <c r="H3493" s="2">
        <v>44798.727777777778</v>
      </c>
      <c r="I3493" t="s">
        <v>153</v>
      </c>
      <c r="Z3493">
        <v>39044</v>
      </c>
    </row>
    <row r="3494" spans="1:26" x14ac:dyDescent="0.25">
      <c r="A3494" t="s">
        <v>3909</v>
      </c>
      <c r="B3494" t="s">
        <v>26</v>
      </c>
      <c r="C3494" t="s">
        <v>27</v>
      </c>
      <c r="H3494" s="2">
        <v>44798.724999999999</v>
      </c>
      <c r="I3494" t="s">
        <v>346</v>
      </c>
      <c r="Z3494">
        <v>39043</v>
      </c>
    </row>
    <row r="3495" spans="1:26" x14ac:dyDescent="0.25">
      <c r="A3495" t="s">
        <v>3910</v>
      </c>
      <c r="B3495" t="s">
        <v>26</v>
      </c>
      <c r="C3495" t="s">
        <v>27</v>
      </c>
      <c r="H3495" s="2">
        <v>44798.720138888886</v>
      </c>
      <c r="I3495" t="s">
        <v>153</v>
      </c>
      <c r="Z3495">
        <v>39041</v>
      </c>
    </row>
    <row r="3496" spans="1:26" x14ac:dyDescent="0.25">
      <c r="A3496" t="s">
        <v>320</v>
      </c>
      <c r="B3496" t="s">
        <v>185</v>
      </c>
      <c r="C3496" t="s">
        <v>27</v>
      </c>
      <c r="E3496" t="s">
        <v>66</v>
      </c>
      <c r="H3496" s="2">
        <v>44798.404861111114</v>
      </c>
      <c r="I3496" t="s">
        <v>346</v>
      </c>
      <c r="Z3496">
        <v>38999</v>
      </c>
    </row>
    <row r="3497" spans="1:26" x14ac:dyDescent="0.25">
      <c r="A3497" t="s">
        <v>3911</v>
      </c>
      <c r="B3497" t="s">
        <v>164</v>
      </c>
      <c r="C3497" t="s">
        <v>27</v>
      </c>
      <c r="E3497" t="s">
        <v>3912</v>
      </c>
      <c r="G3497" t="s">
        <v>3913</v>
      </c>
      <c r="H3497" s="2">
        <v>44797.731249999997</v>
      </c>
      <c r="I3497" t="s">
        <v>248</v>
      </c>
      <c r="Z3497">
        <v>38980</v>
      </c>
    </row>
    <row r="3498" spans="1:26" x14ac:dyDescent="0.25">
      <c r="A3498" t="s">
        <v>2635</v>
      </c>
      <c r="B3498" t="s">
        <v>26</v>
      </c>
      <c r="C3498" t="s">
        <v>27</v>
      </c>
      <c r="H3498" s="2">
        <v>44797.666666666664</v>
      </c>
      <c r="I3498" t="s">
        <v>226</v>
      </c>
      <c r="Z3498">
        <v>38977</v>
      </c>
    </row>
    <row r="3499" spans="1:26" x14ac:dyDescent="0.25">
      <c r="A3499" t="s">
        <v>3914</v>
      </c>
      <c r="B3499" t="s">
        <v>26</v>
      </c>
      <c r="C3499" t="s">
        <v>27</v>
      </c>
      <c r="H3499" s="2">
        <v>44797.565972222219</v>
      </c>
      <c r="I3499" t="s">
        <v>346</v>
      </c>
      <c r="Z3499">
        <v>38966</v>
      </c>
    </row>
    <row r="3500" spans="1:26" x14ac:dyDescent="0.25">
      <c r="A3500" t="s">
        <v>3915</v>
      </c>
      <c r="B3500" t="s">
        <v>198</v>
      </c>
      <c r="C3500" t="s">
        <v>27</v>
      </c>
      <c r="E3500" t="s">
        <v>2106</v>
      </c>
      <c r="H3500" s="2">
        <v>44797.411805555559</v>
      </c>
      <c r="I3500" t="s">
        <v>346</v>
      </c>
      <c r="K3500" t="s">
        <v>30</v>
      </c>
      <c r="L3500" t="s">
        <v>31</v>
      </c>
      <c r="M3500">
        <v>67130164</v>
      </c>
      <c r="N3500">
        <v>12403825921</v>
      </c>
      <c r="O3500" t="s">
        <v>382</v>
      </c>
      <c r="Z3500">
        <v>38950</v>
      </c>
    </row>
    <row r="3501" spans="1:26" x14ac:dyDescent="0.25">
      <c r="A3501" t="s">
        <v>3916</v>
      </c>
      <c r="B3501" t="s">
        <v>164</v>
      </c>
      <c r="C3501" t="s">
        <v>27</v>
      </c>
      <c r="E3501" t="s">
        <v>3917</v>
      </c>
      <c r="H3501" s="2">
        <v>44797.38958333333</v>
      </c>
      <c r="I3501" t="s">
        <v>346</v>
      </c>
      <c r="Z3501">
        <v>38945</v>
      </c>
    </row>
    <row r="3502" spans="1:26" x14ac:dyDescent="0.25">
      <c r="A3502" t="s">
        <v>3918</v>
      </c>
      <c r="B3502" t="s">
        <v>26</v>
      </c>
      <c r="C3502" t="s">
        <v>27</v>
      </c>
      <c r="H3502" s="2">
        <v>44797.386111111111</v>
      </c>
      <c r="I3502" t="s">
        <v>226</v>
      </c>
      <c r="Z3502">
        <v>38944</v>
      </c>
    </row>
    <row r="3503" spans="1:26" x14ac:dyDescent="0.25">
      <c r="A3503" t="s">
        <v>3919</v>
      </c>
      <c r="B3503" t="s">
        <v>26</v>
      </c>
      <c r="C3503" t="s">
        <v>27</v>
      </c>
      <c r="H3503" s="2">
        <v>44797.380555555559</v>
      </c>
      <c r="I3503" t="s">
        <v>330</v>
      </c>
      <c r="Z3503">
        <v>38942</v>
      </c>
    </row>
    <row r="3504" spans="1:26" x14ac:dyDescent="0.25">
      <c r="A3504" t="s">
        <v>3920</v>
      </c>
      <c r="B3504" t="s">
        <v>26</v>
      </c>
      <c r="C3504" t="s">
        <v>27</v>
      </c>
      <c r="H3504" s="2">
        <v>44796.7</v>
      </c>
      <c r="I3504" t="s">
        <v>346</v>
      </c>
      <c r="Z3504">
        <v>38928</v>
      </c>
    </row>
    <row r="3505" spans="1:26" x14ac:dyDescent="0.25">
      <c r="A3505" t="s">
        <v>356</v>
      </c>
      <c r="B3505" t="s">
        <v>164</v>
      </c>
      <c r="C3505" t="s">
        <v>27</v>
      </c>
      <c r="E3505" t="s">
        <v>111</v>
      </c>
      <c r="H3505" s="2">
        <v>44796.682638888888</v>
      </c>
      <c r="I3505" t="s">
        <v>346</v>
      </c>
      <c r="K3505" t="s">
        <v>30</v>
      </c>
      <c r="L3505" t="s">
        <v>31</v>
      </c>
      <c r="M3505">
        <v>55887024</v>
      </c>
      <c r="N3505">
        <v>9754613601</v>
      </c>
      <c r="O3505" t="s">
        <v>1948</v>
      </c>
      <c r="Z3505">
        <v>38923</v>
      </c>
    </row>
    <row r="3506" spans="1:26" x14ac:dyDescent="0.25">
      <c r="A3506" t="s">
        <v>3921</v>
      </c>
      <c r="B3506" t="s">
        <v>26</v>
      </c>
      <c r="C3506" t="s">
        <v>27</v>
      </c>
      <c r="H3506" s="2">
        <v>44796.673611111109</v>
      </c>
      <c r="I3506" t="s">
        <v>186</v>
      </c>
      <c r="Z3506">
        <v>38921</v>
      </c>
    </row>
    <row r="3507" spans="1:26" x14ac:dyDescent="0.25">
      <c r="A3507" t="s">
        <v>3922</v>
      </c>
      <c r="B3507" t="s">
        <v>46</v>
      </c>
      <c r="C3507" t="s">
        <v>27</v>
      </c>
      <c r="E3507" t="s">
        <v>214</v>
      </c>
      <c r="G3507" t="s">
        <v>3923</v>
      </c>
      <c r="H3507" s="2">
        <v>44796.405555555553</v>
      </c>
      <c r="I3507" t="s">
        <v>346</v>
      </c>
      <c r="K3507" t="s">
        <v>30</v>
      </c>
      <c r="L3507" t="s">
        <v>31</v>
      </c>
      <c r="M3507">
        <v>67130164</v>
      </c>
      <c r="N3507">
        <v>11954128606</v>
      </c>
      <c r="O3507" t="s">
        <v>682</v>
      </c>
      <c r="Z3507">
        <v>38895</v>
      </c>
    </row>
    <row r="3508" spans="1:26" x14ac:dyDescent="0.25">
      <c r="A3508" t="s">
        <v>3924</v>
      </c>
      <c r="B3508" t="s">
        <v>26</v>
      </c>
      <c r="C3508" t="s">
        <v>27</v>
      </c>
      <c r="H3508" s="2">
        <v>44795.802777777775</v>
      </c>
      <c r="I3508" t="s">
        <v>186</v>
      </c>
      <c r="Z3508">
        <v>38884</v>
      </c>
    </row>
    <row r="3509" spans="1:26" x14ac:dyDescent="0.25">
      <c r="A3509" t="s">
        <v>3925</v>
      </c>
      <c r="B3509" t="s">
        <v>26</v>
      </c>
      <c r="C3509" t="s">
        <v>27</v>
      </c>
      <c r="H3509" s="2">
        <v>44795.801388888889</v>
      </c>
      <c r="I3509" t="s">
        <v>227</v>
      </c>
      <c r="Z3509">
        <v>38883</v>
      </c>
    </row>
    <row r="3510" spans="1:26" x14ac:dyDescent="0.25">
      <c r="A3510" t="s">
        <v>3926</v>
      </c>
      <c r="B3510" t="s">
        <v>26</v>
      </c>
      <c r="C3510" t="s">
        <v>27</v>
      </c>
      <c r="H3510" s="2">
        <v>44795.423611111109</v>
      </c>
      <c r="I3510" t="s">
        <v>186</v>
      </c>
      <c r="Z3510">
        <v>38824</v>
      </c>
    </row>
    <row r="3511" spans="1:26" x14ac:dyDescent="0.25">
      <c r="A3511" t="s">
        <v>3927</v>
      </c>
      <c r="B3511" t="s">
        <v>26</v>
      </c>
      <c r="C3511" t="s">
        <v>27</v>
      </c>
      <c r="H3511" s="2">
        <v>44794.842361111114</v>
      </c>
      <c r="I3511" t="s">
        <v>227</v>
      </c>
      <c r="Z3511">
        <v>38810</v>
      </c>
    </row>
    <row r="3512" spans="1:26" x14ac:dyDescent="0.25">
      <c r="A3512" t="s">
        <v>712</v>
      </c>
      <c r="B3512" t="s">
        <v>26</v>
      </c>
      <c r="C3512" t="s">
        <v>27</v>
      </c>
      <c r="H3512" s="2">
        <v>44794.609722222223</v>
      </c>
      <c r="I3512" t="s">
        <v>29</v>
      </c>
      <c r="Z3512">
        <v>38790</v>
      </c>
    </row>
    <row r="3513" spans="1:26" x14ac:dyDescent="0.25">
      <c r="A3513" t="s">
        <v>92</v>
      </c>
      <c r="B3513" t="s">
        <v>26</v>
      </c>
      <c r="C3513" t="s">
        <v>27</v>
      </c>
      <c r="H3513" s="2">
        <v>44794.52847222222</v>
      </c>
      <c r="I3513" t="s">
        <v>29</v>
      </c>
      <c r="Z3513">
        <v>38781</v>
      </c>
    </row>
    <row r="3514" spans="1:26" x14ac:dyDescent="0.25">
      <c r="A3514" t="s">
        <v>712</v>
      </c>
      <c r="B3514" t="s">
        <v>26</v>
      </c>
      <c r="C3514" t="s">
        <v>27</v>
      </c>
      <c r="H3514" s="2">
        <v>44794.411111111112</v>
      </c>
      <c r="I3514" t="s">
        <v>29</v>
      </c>
      <c r="Z3514">
        <v>38766</v>
      </c>
    </row>
    <row r="3515" spans="1:26" x14ac:dyDescent="0.25">
      <c r="A3515" t="s">
        <v>3928</v>
      </c>
      <c r="B3515" t="s">
        <v>26</v>
      </c>
      <c r="C3515" t="s">
        <v>27</v>
      </c>
      <c r="H3515" s="2">
        <v>44793.547222222223</v>
      </c>
      <c r="I3515" t="s">
        <v>306</v>
      </c>
      <c r="Z3515">
        <v>38743</v>
      </c>
    </row>
    <row r="3516" spans="1:26" x14ac:dyDescent="0.25">
      <c r="A3516" t="s">
        <v>3929</v>
      </c>
      <c r="B3516" t="s">
        <v>26</v>
      </c>
      <c r="C3516" t="s">
        <v>27</v>
      </c>
      <c r="H3516" s="2">
        <v>44793.513194444444</v>
      </c>
      <c r="I3516" t="s">
        <v>227</v>
      </c>
      <c r="Z3516">
        <v>38739</v>
      </c>
    </row>
    <row r="3517" spans="1:26" x14ac:dyDescent="0.25">
      <c r="A3517" t="s">
        <v>3930</v>
      </c>
      <c r="B3517" t="s">
        <v>26</v>
      </c>
      <c r="C3517" t="s">
        <v>27</v>
      </c>
      <c r="H3517" s="2">
        <v>44793.401388888888</v>
      </c>
      <c r="I3517" t="s">
        <v>186</v>
      </c>
      <c r="Z3517">
        <v>38724</v>
      </c>
    </row>
    <row r="3518" spans="1:26" x14ac:dyDescent="0.25">
      <c r="A3518" t="s">
        <v>3931</v>
      </c>
      <c r="B3518" t="s">
        <v>26</v>
      </c>
      <c r="C3518" t="s">
        <v>27</v>
      </c>
      <c r="H3518" s="2">
        <v>44792.522222222222</v>
      </c>
      <c r="I3518" t="s">
        <v>226</v>
      </c>
      <c r="Z3518">
        <v>38686</v>
      </c>
    </row>
    <row r="3519" spans="1:26" x14ac:dyDescent="0.25">
      <c r="A3519" t="s">
        <v>97</v>
      </c>
      <c r="C3519" t="s">
        <v>27</v>
      </c>
      <c r="E3519" t="s">
        <v>3932</v>
      </c>
      <c r="H3519" s="2">
        <v>44792.476388888892</v>
      </c>
      <c r="I3519" t="s">
        <v>306</v>
      </c>
      <c r="Z3519">
        <v>38682</v>
      </c>
    </row>
    <row r="3520" spans="1:26" x14ac:dyDescent="0.25">
      <c r="A3520" t="s">
        <v>3933</v>
      </c>
      <c r="B3520" t="s">
        <v>26</v>
      </c>
      <c r="C3520" t="s">
        <v>27</v>
      </c>
      <c r="H3520" s="2">
        <v>44792.402083333334</v>
      </c>
      <c r="I3520" t="s">
        <v>29</v>
      </c>
      <c r="Z3520">
        <v>38670</v>
      </c>
    </row>
    <row r="3521" spans="1:26" x14ac:dyDescent="0.25">
      <c r="A3521" t="s">
        <v>3934</v>
      </c>
      <c r="B3521" t="s">
        <v>26</v>
      </c>
      <c r="C3521" t="s">
        <v>27</v>
      </c>
      <c r="H3521" s="2">
        <v>44791.629166666666</v>
      </c>
      <c r="I3521" t="s">
        <v>226</v>
      </c>
      <c r="Z3521">
        <v>38646</v>
      </c>
    </row>
    <row r="3522" spans="1:26" x14ac:dyDescent="0.25">
      <c r="A3522" t="s">
        <v>3935</v>
      </c>
      <c r="B3522" t="s">
        <v>164</v>
      </c>
      <c r="C3522" t="s">
        <v>27</v>
      </c>
      <c r="E3522" t="s">
        <v>3936</v>
      </c>
      <c r="H3522" s="2">
        <v>44791.472222222219</v>
      </c>
      <c r="I3522" t="s">
        <v>248</v>
      </c>
      <c r="Z3522">
        <v>38623</v>
      </c>
    </row>
    <row r="3523" spans="1:26" x14ac:dyDescent="0.25">
      <c r="A3523" t="s">
        <v>3934</v>
      </c>
      <c r="B3523" t="s">
        <v>26</v>
      </c>
      <c r="C3523" t="s">
        <v>27</v>
      </c>
      <c r="H3523" s="2">
        <v>44791.432638888888</v>
      </c>
      <c r="I3523" t="s">
        <v>346</v>
      </c>
      <c r="Z3523">
        <v>38615</v>
      </c>
    </row>
    <row r="3524" spans="1:26" x14ac:dyDescent="0.25">
      <c r="A3524" t="s">
        <v>3195</v>
      </c>
      <c r="B3524" t="s">
        <v>26</v>
      </c>
      <c r="C3524" t="s">
        <v>27</v>
      </c>
      <c r="E3524" t="s">
        <v>53</v>
      </c>
      <c r="H3524" s="2">
        <v>44791.423611111109</v>
      </c>
      <c r="I3524" t="s">
        <v>346</v>
      </c>
      <c r="Z3524">
        <v>38614</v>
      </c>
    </row>
    <row r="3525" spans="1:26" x14ac:dyDescent="0.25">
      <c r="A3525" t="s">
        <v>3937</v>
      </c>
      <c r="B3525" t="s">
        <v>26</v>
      </c>
      <c r="C3525" t="s">
        <v>27</v>
      </c>
      <c r="H3525" s="2">
        <v>44790.749305555553</v>
      </c>
      <c r="I3525" t="s">
        <v>330</v>
      </c>
      <c r="Z3525">
        <v>38595</v>
      </c>
    </row>
    <row r="3526" spans="1:26" x14ac:dyDescent="0.25">
      <c r="A3526" t="s">
        <v>3938</v>
      </c>
      <c r="B3526" t="s">
        <v>26</v>
      </c>
      <c r="C3526" t="s">
        <v>27</v>
      </c>
      <c r="H3526" s="2">
        <v>44790.598611111112</v>
      </c>
      <c r="I3526" t="s">
        <v>226</v>
      </c>
      <c r="Z3526">
        <v>38574</v>
      </c>
    </row>
    <row r="3527" spans="1:26" x14ac:dyDescent="0.25">
      <c r="A3527" t="s">
        <v>3939</v>
      </c>
      <c r="B3527" t="s">
        <v>26</v>
      </c>
      <c r="C3527" t="s">
        <v>27</v>
      </c>
      <c r="H3527" s="2">
        <v>44790.545138888891</v>
      </c>
      <c r="I3527" t="s">
        <v>153</v>
      </c>
      <c r="Z3527">
        <v>38570</v>
      </c>
    </row>
    <row r="3528" spans="1:26" x14ac:dyDescent="0.25">
      <c r="A3528" t="s">
        <v>3940</v>
      </c>
      <c r="B3528" t="s">
        <v>26</v>
      </c>
      <c r="C3528" t="s">
        <v>27</v>
      </c>
      <c r="H3528" s="2">
        <v>44789.629861111112</v>
      </c>
      <c r="I3528" t="s">
        <v>186</v>
      </c>
      <c r="Z3528">
        <v>38516</v>
      </c>
    </row>
    <row r="3529" spans="1:26" x14ac:dyDescent="0.25">
      <c r="A3529" t="s">
        <v>3941</v>
      </c>
      <c r="B3529" t="s">
        <v>26</v>
      </c>
      <c r="C3529" t="s">
        <v>27</v>
      </c>
      <c r="H3529" s="2">
        <v>44789.405555555553</v>
      </c>
      <c r="I3529" t="s">
        <v>327</v>
      </c>
      <c r="Z3529">
        <v>38485</v>
      </c>
    </row>
    <row r="3530" spans="1:26" x14ac:dyDescent="0.25">
      <c r="A3530" t="s">
        <v>3942</v>
      </c>
      <c r="B3530" t="s">
        <v>26</v>
      </c>
      <c r="C3530" t="s">
        <v>27</v>
      </c>
      <c r="H3530" s="2">
        <v>44788.731944444444</v>
      </c>
      <c r="I3530" t="s">
        <v>327</v>
      </c>
      <c r="Z3530">
        <v>38471</v>
      </c>
    </row>
    <row r="3531" spans="1:26" x14ac:dyDescent="0.25">
      <c r="A3531" t="s">
        <v>3943</v>
      </c>
      <c r="B3531" t="s">
        <v>26</v>
      </c>
      <c r="C3531" t="s">
        <v>27</v>
      </c>
      <c r="H3531" s="2">
        <v>44788.445138888892</v>
      </c>
      <c r="I3531" t="s">
        <v>306</v>
      </c>
      <c r="Z3531">
        <v>38424</v>
      </c>
    </row>
    <row r="3532" spans="1:26" x14ac:dyDescent="0.25">
      <c r="A3532" t="s">
        <v>3944</v>
      </c>
      <c r="B3532" t="s">
        <v>26</v>
      </c>
      <c r="C3532" t="s">
        <v>27</v>
      </c>
      <c r="H3532" s="2">
        <v>44788.40902777778</v>
      </c>
      <c r="I3532" t="s">
        <v>227</v>
      </c>
      <c r="Z3532">
        <v>38422</v>
      </c>
    </row>
    <row r="3533" spans="1:26" x14ac:dyDescent="0.25">
      <c r="A3533" t="s">
        <v>652</v>
      </c>
      <c r="B3533" t="s">
        <v>26</v>
      </c>
      <c r="C3533" t="s">
        <v>27</v>
      </c>
      <c r="H3533" s="2">
        <v>44788.38958333333</v>
      </c>
      <c r="I3533" t="s">
        <v>29</v>
      </c>
      <c r="Z3533">
        <v>38417</v>
      </c>
    </row>
    <row r="3534" spans="1:26" x14ac:dyDescent="0.25">
      <c r="A3534" t="s">
        <v>3945</v>
      </c>
      <c r="B3534" t="s">
        <v>26</v>
      </c>
      <c r="C3534" t="s">
        <v>27</v>
      </c>
      <c r="H3534" s="2">
        <v>44787.604861111111</v>
      </c>
      <c r="I3534" t="s">
        <v>306</v>
      </c>
      <c r="Z3534">
        <v>38387</v>
      </c>
    </row>
    <row r="3535" spans="1:26" x14ac:dyDescent="0.25">
      <c r="A3535" t="s">
        <v>345</v>
      </c>
      <c r="C3535" t="s">
        <v>27</v>
      </c>
      <c r="E3535" t="s">
        <v>68</v>
      </c>
      <c r="H3535" s="2">
        <v>44787.482638888891</v>
      </c>
      <c r="I3535" t="s">
        <v>227</v>
      </c>
      <c r="Z3535">
        <v>38373</v>
      </c>
    </row>
    <row r="3536" spans="1:26" x14ac:dyDescent="0.25">
      <c r="A3536" t="s">
        <v>3946</v>
      </c>
      <c r="B3536" t="s">
        <v>26</v>
      </c>
      <c r="C3536" t="s">
        <v>27</v>
      </c>
      <c r="H3536" s="2">
        <v>44786.55972222222</v>
      </c>
      <c r="I3536" t="s">
        <v>306</v>
      </c>
      <c r="Z3536">
        <v>38333</v>
      </c>
    </row>
    <row r="3537" spans="1:26" x14ac:dyDescent="0.25">
      <c r="A3537" t="s">
        <v>3947</v>
      </c>
      <c r="B3537" t="s">
        <v>26</v>
      </c>
      <c r="C3537" t="s">
        <v>27</v>
      </c>
      <c r="H3537" s="2">
        <v>44786.552083333336</v>
      </c>
      <c r="I3537" t="s">
        <v>346</v>
      </c>
      <c r="Z3537">
        <v>38331</v>
      </c>
    </row>
    <row r="3538" spans="1:26" x14ac:dyDescent="0.25">
      <c r="A3538" t="s">
        <v>3948</v>
      </c>
      <c r="B3538" t="s">
        <v>26</v>
      </c>
      <c r="C3538" t="s">
        <v>27</v>
      </c>
      <c r="H3538" s="2">
        <v>44786.519444444442</v>
      </c>
      <c r="I3538" t="s">
        <v>306</v>
      </c>
      <c r="Z3538">
        <v>38327</v>
      </c>
    </row>
    <row r="3539" spans="1:26" x14ac:dyDescent="0.25">
      <c r="A3539" t="s">
        <v>3925</v>
      </c>
      <c r="B3539" t="s">
        <v>26</v>
      </c>
      <c r="C3539" t="s">
        <v>27</v>
      </c>
      <c r="H3539" s="2">
        <v>44786.474305555559</v>
      </c>
      <c r="I3539" t="s">
        <v>346</v>
      </c>
      <c r="Z3539">
        <v>38321</v>
      </c>
    </row>
    <row r="3540" spans="1:26" x14ac:dyDescent="0.25">
      <c r="A3540" t="s">
        <v>3217</v>
      </c>
      <c r="B3540" t="s">
        <v>26</v>
      </c>
      <c r="C3540" t="s">
        <v>27</v>
      </c>
      <c r="H3540" s="2">
        <v>44786.45</v>
      </c>
      <c r="I3540" t="s">
        <v>306</v>
      </c>
      <c r="Z3540">
        <v>38318</v>
      </c>
    </row>
    <row r="3541" spans="1:26" x14ac:dyDescent="0.25">
      <c r="A3541" t="s">
        <v>3949</v>
      </c>
      <c r="B3541" t="s">
        <v>26</v>
      </c>
      <c r="C3541" t="s">
        <v>192</v>
      </c>
      <c r="H3541" s="2">
        <v>44785.481944444444</v>
      </c>
      <c r="I3541" t="s">
        <v>330</v>
      </c>
      <c r="Z3541">
        <v>38276</v>
      </c>
    </row>
    <row r="3542" spans="1:26" x14ac:dyDescent="0.25">
      <c r="A3542" t="s">
        <v>3950</v>
      </c>
      <c r="B3542" t="s">
        <v>26</v>
      </c>
      <c r="C3542" t="s">
        <v>27</v>
      </c>
      <c r="H3542" s="2">
        <v>44785.40625</v>
      </c>
      <c r="I3542" t="s">
        <v>346</v>
      </c>
      <c r="Z3542">
        <v>38268</v>
      </c>
    </row>
    <row r="3543" spans="1:26" x14ac:dyDescent="0.25">
      <c r="A3543" t="s">
        <v>3951</v>
      </c>
      <c r="B3543" t="s">
        <v>26</v>
      </c>
      <c r="C3543" t="s">
        <v>27</v>
      </c>
      <c r="H3543" s="2">
        <v>44785.40625</v>
      </c>
      <c r="I3543" t="s">
        <v>330</v>
      </c>
      <c r="Z3543">
        <v>38267</v>
      </c>
    </row>
    <row r="3544" spans="1:26" x14ac:dyDescent="0.25">
      <c r="A3544" t="s">
        <v>3952</v>
      </c>
      <c r="B3544" t="s">
        <v>26</v>
      </c>
      <c r="C3544" t="s">
        <v>27</v>
      </c>
      <c r="H3544" s="2">
        <v>44784.736111111109</v>
      </c>
      <c r="I3544" t="s">
        <v>227</v>
      </c>
      <c r="Z3544">
        <v>38252</v>
      </c>
    </row>
    <row r="3545" spans="1:26" x14ac:dyDescent="0.25">
      <c r="A3545" t="s">
        <v>3953</v>
      </c>
      <c r="B3545" t="s">
        <v>198</v>
      </c>
      <c r="C3545" t="s">
        <v>27</v>
      </c>
      <c r="E3545" t="s">
        <v>3954</v>
      </c>
      <c r="G3545" t="s">
        <v>836</v>
      </c>
      <c r="H3545" s="2">
        <v>44784.734722222223</v>
      </c>
      <c r="I3545" t="s">
        <v>227</v>
      </c>
      <c r="Z3545">
        <v>38251</v>
      </c>
    </row>
    <row r="3546" spans="1:26" x14ac:dyDescent="0.25">
      <c r="A3546" t="s">
        <v>3955</v>
      </c>
      <c r="B3546" t="s">
        <v>26</v>
      </c>
      <c r="C3546" t="s">
        <v>27</v>
      </c>
      <c r="H3546" s="2">
        <v>44784.724999999999</v>
      </c>
      <c r="I3546" t="s">
        <v>330</v>
      </c>
      <c r="Z3546">
        <v>38249</v>
      </c>
    </row>
    <row r="3547" spans="1:26" x14ac:dyDescent="0.25">
      <c r="A3547" t="s">
        <v>3956</v>
      </c>
      <c r="B3547" t="s">
        <v>26</v>
      </c>
      <c r="C3547" t="s">
        <v>27</v>
      </c>
      <c r="H3547" s="2">
        <v>44784.570138888892</v>
      </c>
      <c r="I3547" t="s">
        <v>327</v>
      </c>
      <c r="Z3547">
        <v>38236</v>
      </c>
    </row>
    <row r="3548" spans="1:26" x14ac:dyDescent="0.25">
      <c r="A3548" t="s">
        <v>3957</v>
      </c>
      <c r="B3548" t="s">
        <v>26</v>
      </c>
      <c r="C3548" t="s">
        <v>27</v>
      </c>
      <c r="H3548" s="2">
        <v>44784.51458333333</v>
      </c>
      <c r="I3548" t="s">
        <v>227</v>
      </c>
      <c r="Z3548">
        <v>38220</v>
      </c>
    </row>
    <row r="3549" spans="1:26" x14ac:dyDescent="0.25">
      <c r="A3549" t="s">
        <v>3958</v>
      </c>
      <c r="B3549" t="s">
        <v>26</v>
      </c>
      <c r="C3549" t="s">
        <v>27</v>
      </c>
      <c r="H3549" s="2">
        <v>44784.463194444441</v>
      </c>
      <c r="I3549" t="s">
        <v>352</v>
      </c>
      <c r="Z3549">
        <v>38214</v>
      </c>
    </row>
    <row r="3550" spans="1:26" x14ac:dyDescent="0.25">
      <c r="A3550" t="s">
        <v>712</v>
      </c>
      <c r="B3550" t="s">
        <v>26</v>
      </c>
      <c r="C3550" t="s">
        <v>27</v>
      </c>
      <c r="H3550" s="2">
        <v>44783.415277777778</v>
      </c>
      <c r="I3550" t="s">
        <v>29</v>
      </c>
      <c r="Z3550">
        <v>38144</v>
      </c>
    </row>
    <row r="3551" spans="1:26" x14ac:dyDescent="0.25">
      <c r="A3551" t="s">
        <v>712</v>
      </c>
      <c r="B3551" t="s">
        <v>164</v>
      </c>
      <c r="C3551" t="s">
        <v>27</v>
      </c>
      <c r="E3551" t="s">
        <v>165</v>
      </c>
      <c r="G3551" t="s">
        <v>3959</v>
      </c>
      <c r="H3551" s="2">
        <v>44782.569444444445</v>
      </c>
      <c r="I3551" t="s">
        <v>29</v>
      </c>
      <c r="Z3551">
        <v>38113</v>
      </c>
    </row>
    <row r="3552" spans="1:26" x14ac:dyDescent="0.25">
      <c r="A3552" t="s">
        <v>712</v>
      </c>
      <c r="B3552" t="s">
        <v>26</v>
      </c>
      <c r="C3552" t="s">
        <v>27</v>
      </c>
      <c r="H3552" s="2">
        <v>44782.567361111112</v>
      </c>
      <c r="I3552" t="s">
        <v>29</v>
      </c>
      <c r="Z3552">
        <v>38112</v>
      </c>
    </row>
    <row r="3553" spans="1:26" x14ac:dyDescent="0.25">
      <c r="A3553" t="s">
        <v>3960</v>
      </c>
      <c r="B3553" t="s">
        <v>26</v>
      </c>
      <c r="C3553" t="s">
        <v>27</v>
      </c>
      <c r="H3553" s="2">
        <v>44782.511805555558</v>
      </c>
      <c r="I3553" t="s">
        <v>306</v>
      </c>
      <c r="Z3553">
        <v>38099</v>
      </c>
    </row>
    <row r="3554" spans="1:26" x14ac:dyDescent="0.25">
      <c r="A3554" t="s">
        <v>3961</v>
      </c>
      <c r="B3554" t="s">
        <v>26</v>
      </c>
      <c r="C3554" t="s">
        <v>27</v>
      </c>
      <c r="H3554" s="2">
        <v>44781.768750000003</v>
      </c>
      <c r="I3554" t="s">
        <v>29</v>
      </c>
      <c r="Z3554">
        <v>38070</v>
      </c>
    </row>
    <row r="3555" spans="1:26" x14ac:dyDescent="0.25">
      <c r="A3555" t="s">
        <v>3951</v>
      </c>
      <c r="B3555" t="s">
        <v>26</v>
      </c>
      <c r="C3555" t="s">
        <v>27</v>
      </c>
      <c r="H3555" s="2">
        <v>44781.746527777781</v>
      </c>
      <c r="I3555" t="s">
        <v>226</v>
      </c>
      <c r="Z3555">
        <v>38065</v>
      </c>
    </row>
    <row r="3556" spans="1:26" x14ac:dyDescent="0.25">
      <c r="A3556" t="s">
        <v>3962</v>
      </c>
      <c r="B3556" t="s">
        <v>26</v>
      </c>
      <c r="C3556" t="s">
        <v>27</v>
      </c>
      <c r="H3556" s="2">
        <v>44781.732638888891</v>
      </c>
      <c r="I3556" t="s">
        <v>29</v>
      </c>
      <c r="Z3556">
        <v>38064</v>
      </c>
    </row>
    <row r="3557" spans="1:26" x14ac:dyDescent="0.25">
      <c r="A3557" t="s">
        <v>712</v>
      </c>
      <c r="B3557" t="s">
        <v>26</v>
      </c>
      <c r="C3557" t="s">
        <v>206</v>
      </c>
      <c r="H3557" s="2">
        <v>44781.727083333331</v>
      </c>
      <c r="I3557" t="s">
        <v>29</v>
      </c>
      <c r="Z3557">
        <v>38061</v>
      </c>
    </row>
    <row r="3558" spans="1:26" x14ac:dyDescent="0.25">
      <c r="A3558" t="s">
        <v>3027</v>
      </c>
      <c r="B3558" t="s">
        <v>26</v>
      </c>
      <c r="C3558" t="s">
        <v>27</v>
      </c>
      <c r="H3558" s="2">
        <v>44780.70208333333</v>
      </c>
      <c r="I3558" t="s">
        <v>346</v>
      </c>
      <c r="Z3558">
        <v>37995</v>
      </c>
    </row>
    <row r="3559" spans="1:26" x14ac:dyDescent="0.25">
      <c r="A3559" t="s">
        <v>376</v>
      </c>
      <c r="B3559" t="s">
        <v>164</v>
      </c>
      <c r="C3559" t="s">
        <v>27</v>
      </c>
      <c r="E3559" t="s">
        <v>72</v>
      </c>
      <c r="H3559" s="2">
        <v>44780.566666666666</v>
      </c>
      <c r="I3559" t="s">
        <v>346</v>
      </c>
      <c r="Z3559">
        <v>37988</v>
      </c>
    </row>
    <row r="3560" spans="1:26" x14ac:dyDescent="0.25">
      <c r="A3560" t="s">
        <v>3349</v>
      </c>
      <c r="B3560" t="s">
        <v>26</v>
      </c>
      <c r="C3560" t="s">
        <v>27</v>
      </c>
      <c r="H3560" s="2">
        <v>44780.5</v>
      </c>
      <c r="I3560" t="s">
        <v>346</v>
      </c>
      <c r="Z3560">
        <v>37977</v>
      </c>
    </row>
    <row r="3561" spans="1:26" x14ac:dyDescent="0.25">
      <c r="A3561" t="s">
        <v>3963</v>
      </c>
      <c r="B3561" t="s">
        <v>26</v>
      </c>
      <c r="C3561" t="s">
        <v>27</v>
      </c>
      <c r="H3561" s="2">
        <v>44779.556250000001</v>
      </c>
      <c r="I3561" t="s">
        <v>153</v>
      </c>
      <c r="Z3561">
        <v>37942</v>
      </c>
    </row>
    <row r="3562" spans="1:26" x14ac:dyDescent="0.25">
      <c r="A3562" t="s">
        <v>3964</v>
      </c>
      <c r="B3562" t="s">
        <v>26</v>
      </c>
      <c r="C3562" t="s">
        <v>27</v>
      </c>
      <c r="H3562" s="2">
        <v>44778.467361111114</v>
      </c>
      <c r="I3562" t="s">
        <v>226</v>
      </c>
      <c r="Z3562">
        <v>37890</v>
      </c>
    </row>
    <row r="3563" spans="1:26" x14ac:dyDescent="0.25">
      <c r="A3563" t="s">
        <v>712</v>
      </c>
      <c r="B3563" t="s">
        <v>26</v>
      </c>
      <c r="C3563" t="s">
        <v>27</v>
      </c>
      <c r="H3563" s="2">
        <v>44778.383333333331</v>
      </c>
      <c r="I3563" t="s">
        <v>29</v>
      </c>
      <c r="Z3563">
        <v>37879</v>
      </c>
    </row>
    <row r="3564" spans="1:26" x14ac:dyDescent="0.25">
      <c r="A3564" t="s">
        <v>3965</v>
      </c>
      <c r="B3564" t="s">
        <v>26</v>
      </c>
      <c r="C3564" t="s">
        <v>27</v>
      </c>
      <c r="H3564" s="2">
        <v>44777.492361111108</v>
      </c>
      <c r="I3564" t="s">
        <v>306</v>
      </c>
      <c r="Z3564">
        <v>37824</v>
      </c>
    </row>
    <row r="3565" spans="1:26" x14ac:dyDescent="0.25">
      <c r="A3565" t="s">
        <v>3966</v>
      </c>
      <c r="B3565" t="s">
        <v>185</v>
      </c>
      <c r="C3565" t="s">
        <v>206</v>
      </c>
      <c r="E3565" t="s">
        <v>45</v>
      </c>
      <c r="H3565" s="2">
        <v>44777.464583333334</v>
      </c>
      <c r="I3565" t="s">
        <v>29</v>
      </c>
      <c r="Z3565">
        <v>37821</v>
      </c>
    </row>
    <row r="3566" spans="1:26" x14ac:dyDescent="0.25">
      <c r="A3566" t="s">
        <v>3967</v>
      </c>
      <c r="B3566" t="s">
        <v>26</v>
      </c>
      <c r="C3566" t="s">
        <v>27</v>
      </c>
      <c r="E3566" t="s">
        <v>90</v>
      </c>
      <c r="H3566" s="2">
        <v>44776.87777777778</v>
      </c>
      <c r="I3566" t="s">
        <v>226</v>
      </c>
      <c r="Z3566">
        <v>37804</v>
      </c>
    </row>
    <row r="3567" spans="1:26" x14ac:dyDescent="0.25">
      <c r="A3567" t="s">
        <v>3968</v>
      </c>
      <c r="B3567" t="s">
        <v>164</v>
      </c>
      <c r="C3567" t="s">
        <v>27</v>
      </c>
      <c r="E3567" t="s">
        <v>3969</v>
      </c>
      <c r="G3567" t="s">
        <v>180</v>
      </c>
      <c r="H3567" s="2">
        <v>44776.679166666669</v>
      </c>
      <c r="I3567" t="s">
        <v>29</v>
      </c>
      <c r="Z3567">
        <v>37789</v>
      </c>
    </row>
    <row r="3568" spans="1:26" x14ac:dyDescent="0.25">
      <c r="A3568" t="s">
        <v>3970</v>
      </c>
      <c r="B3568" t="s">
        <v>26</v>
      </c>
      <c r="C3568" t="s">
        <v>64</v>
      </c>
      <c r="H3568" s="2">
        <v>44776.584722222222</v>
      </c>
      <c r="I3568" t="s">
        <v>29</v>
      </c>
      <c r="Z3568">
        <v>37779</v>
      </c>
    </row>
    <row r="3569" spans="1:26" x14ac:dyDescent="0.25">
      <c r="A3569" t="s">
        <v>3863</v>
      </c>
      <c r="B3569" t="s">
        <v>26</v>
      </c>
      <c r="C3569" t="s">
        <v>27</v>
      </c>
      <c r="H3569" s="2">
        <v>44775.713194444441</v>
      </c>
      <c r="I3569" t="s">
        <v>306</v>
      </c>
      <c r="Z3569">
        <v>37732</v>
      </c>
    </row>
    <row r="3570" spans="1:26" x14ac:dyDescent="0.25">
      <c r="A3570" t="s">
        <v>3971</v>
      </c>
      <c r="B3570" t="s">
        <v>26</v>
      </c>
      <c r="C3570" t="s">
        <v>27</v>
      </c>
      <c r="E3570" t="s">
        <v>53</v>
      </c>
      <c r="H3570" s="2">
        <v>44775.675694444442</v>
      </c>
      <c r="I3570" t="s">
        <v>227</v>
      </c>
      <c r="Z3570">
        <v>37730</v>
      </c>
    </row>
    <row r="3571" spans="1:26" x14ac:dyDescent="0.25">
      <c r="A3571" t="s">
        <v>3972</v>
      </c>
      <c r="B3571" t="s">
        <v>26</v>
      </c>
      <c r="C3571" t="s">
        <v>27</v>
      </c>
      <c r="H3571" s="2">
        <v>44775.611805555556</v>
      </c>
      <c r="I3571" t="s">
        <v>227</v>
      </c>
      <c r="Z3571">
        <v>37726</v>
      </c>
    </row>
    <row r="3572" spans="1:26" x14ac:dyDescent="0.25">
      <c r="A3572" t="s">
        <v>3973</v>
      </c>
      <c r="B3572" t="s">
        <v>164</v>
      </c>
      <c r="C3572" t="s">
        <v>27</v>
      </c>
      <c r="E3572" t="s">
        <v>3974</v>
      </c>
      <c r="H3572" s="2">
        <v>44775.477777777778</v>
      </c>
      <c r="I3572" t="s">
        <v>248</v>
      </c>
      <c r="Z3572">
        <v>37699</v>
      </c>
    </row>
    <row r="3573" spans="1:26" x14ac:dyDescent="0.25">
      <c r="A3573" t="s">
        <v>3975</v>
      </c>
      <c r="B3573" t="s">
        <v>46</v>
      </c>
      <c r="C3573" t="s">
        <v>64</v>
      </c>
      <c r="E3573" t="s">
        <v>3976</v>
      </c>
      <c r="G3573" t="s">
        <v>3977</v>
      </c>
      <c r="H3573" s="2">
        <v>44775.40625</v>
      </c>
      <c r="I3573" t="s">
        <v>227</v>
      </c>
      <c r="Z3573">
        <v>37689</v>
      </c>
    </row>
    <row r="3574" spans="1:26" x14ac:dyDescent="0.25">
      <c r="A3574" t="s">
        <v>3975</v>
      </c>
      <c r="B3574" t="s">
        <v>46</v>
      </c>
      <c r="C3574" t="s">
        <v>27</v>
      </c>
      <c r="E3574" t="s">
        <v>3976</v>
      </c>
      <c r="G3574" t="s">
        <v>3977</v>
      </c>
      <c r="H3574" s="2">
        <v>44775.40625</v>
      </c>
      <c r="I3574" t="s">
        <v>227</v>
      </c>
      <c r="Z3574">
        <v>37688</v>
      </c>
    </row>
    <row r="3575" spans="1:26" x14ac:dyDescent="0.25">
      <c r="A3575" t="s">
        <v>3978</v>
      </c>
      <c r="B3575" t="s">
        <v>26</v>
      </c>
      <c r="C3575" t="s">
        <v>64</v>
      </c>
      <c r="H3575" s="2">
        <v>44774.642361111109</v>
      </c>
      <c r="I3575" t="s">
        <v>29</v>
      </c>
      <c r="Z3575">
        <v>37654</v>
      </c>
    </row>
    <row r="3576" spans="1:26" x14ac:dyDescent="0.25">
      <c r="A3576" t="s">
        <v>3979</v>
      </c>
      <c r="B3576" t="s">
        <v>26</v>
      </c>
      <c r="C3576" t="s">
        <v>27</v>
      </c>
      <c r="H3576" s="2">
        <v>44774.455555555556</v>
      </c>
      <c r="I3576" t="s">
        <v>346</v>
      </c>
      <c r="Z3576">
        <v>37636</v>
      </c>
    </row>
    <row r="3577" spans="1:26" x14ac:dyDescent="0.25">
      <c r="A3577" t="s">
        <v>3980</v>
      </c>
      <c r="B3577" t="s">
        <v>26</v>
      </c>
      <c r="C3577" t="s">
        <v>27</v>
      </c>
      <c r="H3577" s="2">
        <v>44773.634722222225</v>
      </c>
      <c r="I3577" t="s">
        <v>330</v>
      </c>
      <c r="Z3577">
        <v>37601</v>
      </c>
    </row>
    <row r="3578" spans="1:26" x14ac:dyDescent="0.25">
      <c r="A3578" t="s">
        <v>3981</v>
      </c>
      <c r="B3578" t="s">
        <v>164</v>
      </c>
      <c r="C3578" t="s">
        <v>27</v>
      </c>
      <c r="E3578" t="s">
        <v>3982</v>
      </c>
      <c r="H3578" s="2">
        <v>44773.631249999999</v>
      </c>
      <c r="I3578" t="s">
        <v>346</v>
      </c>
      <c r="K3578" t="s">
        <v>30</v>
      </c>
      <c r="L3578" t="s">
        <v>31</v>
      </c>
      <c r="M3578">
        <v>67130164</v>
      </c>
      <c r="N3578">
        <v>12403825976</v>
      </c>
      <c r="O3578" t="s">
        <v>3983</v>
      </c>
      <c r="Z3578">
        <v>37600</v>
      </c>
    </row>
    <row r="3579" spans="1:26" x14ac:dyDescent="0.25">
      <c r="A3579" t="s">
        <v>3984</v>
      </c>
      <c r="B3579" t="s">
        <v>26</v>
      </c>
      <c r="C3579" t="s">
        <v>27</v>
      </c>
      <c r="H3579" s="2">
        <v>44773.628472222219</v>
      </c>
      <c r="I3579" t="s">
        <v>227</v>
      </c>
      <c r="Z3579">
        <v>37599</v>
      </c>
    </row>
    <row r="3580" spans="1:26" x14ac:dyDescent="0.25">
      <c r="A3580" t="s">
        <v>3985</v>
      </c>
      <c r="B3580" t="s">
        <v>26</v>
      </c>
      <c r="C3580" t="s">
        <v>27</v>
      </c>
      <c r="H3580" s="2">
        <v>44773.581250000003</v>
      </c>
      <c r="I3580" t="s">
        <v>330</v>
      </c>
      <c r="Z3580">
        <v>37593</v>
      </c>
    </row>
    <row r="3581" spans="1:26" x14ac:dyDescent="0.25">
      <c r="A3581" t="s">
        <v>3986</v>
      </c>
      <c r="B3581" t="s">
        <v>26</v>
      </c>
      <c r="C3581" t="s">
        <v>27</v>
      </c>
      <c r="H3581" s="2">
        <v>44773.491666666669</v>
      </c>
      <c r="I3581" t="s">
        <v>346</v>
      </c>
      <c r="Z3581">
        <v>37586</v>
      </c>
    </row>
    <row r="3582" spans="1:26" x14ac:dyDescent="0.25">
      <c r="A3582" t="s">
        <v>3987</v>
      </c>
      <c r="B3582" t="s">
        <v>26</v>
      </c>
      <c r="C3582" t="s">
        <v>27</v>
      </c>
      <c r="H3582" s="2">
        <v>44773.4375</v>
      </c>
      <c r="I3582" t="s">
        <v>346</v>
      </c>
      <c r="Z3582">
        <v>37578</v>
      </c>
    </row>
    <row r="3583" spans="1:26" x14ac:dyDescent="0.25">
      <c r="A3583" t="s">
        <v>3988</v>
      </c>
      <c r="B3583" t="s">
        <v>26</v>
      </c>
      <c r="C3583" t="s">
        <v>27</v>
      </c>
      <c r="H3583" s="2">
        <v>44772.553472222222</v>
      </c>
      <c r="I3583" t="s">
        <v>227</v>
      </c>
      <c r="Z3583">
        <v>37547</v>
      </c>
    </row>
    <row r="3584" spans="1:26" x14ac:dyDescent="0.25">
      <c r="A3584" t="s">
        <v>3989</v>
      </c>
      <c r="B3584" t="s">
        <v>26</v>
      </c>
      <c r="C3584" t="s">
        <v>27</v>
      </c>
      <c r="H3584" s="2">
        <v>44771.522222222222</v>
      </c>
      <c r="I3584" t="s">
        <v>346</v>
      </c>
      <c r="Z3584">
        <v>37496</v>
      </c>
    </row>
    <row r="3585" spans="1:26" x14ac:dyDescent="0.25">
      <c r="A3585" t="s">
        <v>3968</v>
      </c>
      <c r="B3585" t="s">
        <v>164</v>
      </c>
      <c r="C3585" t="s">
        <v>27</v>
      </c>
      <c r="E3585" t="s">
        <v>69</v>
      </c>
      <c r="H3585" s="2">
        <v>44770.774305555555</v>
      </c>
      <c r="I3585" t="s">
        <v>327</v>
      </c>
      <c r="Z3585">
        <v>37466</v>
      </c>
    </row>
    <row r="3586" spans="1:26" x14ac:dyDescent="0.25">
      <c r="A3586" t="s">
        <v>3990</v>
      </c>
      <c r="B3586" t="s">
        <v>26</v>
      </c>
      <c r="C3586" t="s">
        <v>27</v>
      </c>
      <c r="H3586" s="2">
        <v>44769.772916666669</v>
      </c>
      <c r="I3586" t="s">
        <v>327</v>
      </c>
      <c r="Z3586">
        <v>37413</v>
      </c>
    </row>
    <row r="3587" spans="1:26" x14ac:dyDescent="0.25">
      <c r="A3587" t="s">
        <v>3991</v>
      </c>
      <c r="B3587" t="s">
        <v>26</v>
      </c>
      <c r="C3587" t="s">
        <v>27</v>
      </c>
      <c r="H3587" s="2">
        <v>44769.649305555555</v>
      </c>
      <c r="I3587" t="s">
        <v>226</v>
      </c>
      <c r="Z3587">
        <v>37402</v>
      </c>
    </row>
    <row r="3588" spans="1:26" x14ac:dyDescent="0.25">
      <c r="A3588" t="s">
        <v>3992</v>
      </c>
      <c r="B3588" t="s">
        <v>26</v>
      </c>
      <c r="C3588" t="s">
        <v>27</v>
      </c>
      <c r="H3588" s="2">
        <v>44769.522916666669</v>
      </c>
      <c r="I3588" t="s">
        <v>354</v>
      </c>
      <c r="Z3588">
        <v>37384</v>
      </c>
    </row>
    <row r="3589" spans="1:26" x14ac:dyDescent="0.25">
      <c r="A3589" t="s">
        <v>1536</v>
      </c>
      <c r="B3589" t="s">
        <v>26</v>
      </c>
      <c r="C3589" t="s">
        <v>27</v>
      </c>
      <c r="H3589" s="2">
        <v>44769.42083333333</v>
      </c>
      <c r="I3589" t="s">
        <v>29</v>
      </c>
      <c r="Z3589">
        <v>37364</v>
      </c>
    </row>
    <row r="3590" spans="1:26" x14ac:dyDescent="0.25">
      <c r="A3590" t="s">
        <v>1256</v>
      </c>
      <c r="B3590" t="s">
        <v>198</v>
      </c>
      <c r="C3590" t="s">
        <v>27</v>
      </c>
      <c r="E3590" t="s">
        <v>65</v>
      </c>
      <c r="H3590" s="2">
        <v>44768.901388888888</v>
      </c>
      <c r="I3590" t="s">
        <v>294</v>
      </c>
      <c r="K3590" t="s">
        <v>30</v>
      </c>
      <c r="L3590" t="s">
        <v>31</v>
      </c>
      <c r="M3590">
        <v>67127941</v>
      </c>
      <c r="N3590">
        <v>11954234096</v>
      </c>
      <c r="O3590" t="s">
        <v>682</v>
      </c>
      <c r="Z3590">
        <v>37353</v>
      </c>
    </row>
    <row r="3591" spans="1:26" x14ac:dyDescent="0.25">
      <c r="A3591" t="s">
        <v>202</v>
      </c>
      <c r="B3591" t="s">
        <v>185</v>
      </c>
      <c r="C3591" t="s">
        <v>27</v>
      </c>
      <c r="E3591" t="s">
        <v>88</v>
      </c>
      <c r="H3591" s="2">
        <v>44768.810416666667</v>
      </c>
      <c r="I3591" t="s">
        <v>346</v>
      </c>
      <c r="Z3591">
        <v>37349</v>
      </c>
    </row>
    <row r="3592" spans="1:26" x14ac:dyDescent="0.25">
      <c r="A3592" t="s">
        <v>3993</v>
      </c>
      <c r="B3592" t="s">
        <v>185</v>
      </c>
      <c r="C3592" t="s">
        <v>27</v>
      </c>
      <c r="E3592" t="s">
        <v>1266</v>
      </c>
      <c r="H3592" s="2">
        <v>44768.799305555556</v>
      </c>
      <c r="I3592" t="s">
        <v>327</v>
      </c>
      <c r="Z3592">
        <v>37347</v>
      </c>
    </row>
    <row r="3593" spans="1:26" x14ac:dyDescent="0.25">
      <c r="A3593" t="s">
        <v>3994</v>
      </c>
      <c r="B3593" t="s">
        <v>26</v>
      </c>
      <c r="C3593" t="s">
        <v>27</v>
      </c>
      <c r="H3593" s="2">
        <v>44768.695138888892</v>
      </c>
      <c r="I3593" t="s">
        <v>346</v>
      </c>
      <c r="Z3593">
        <v>37337</v>
      </c>
    </row>
    <row r="3594" spans="1:26" x14ac:dyDescent="0.25">
      <c r="A3594" t="s">
        <v>1536</v>
      </c>
      <c r="B3594" t="s">
        <v>164</v>
      </c>
      <c r="C3594" t="s">
        <v>27</v>
      </c>
      <c r="E3594" t="s">
        <v>84</v>
      </c>
      <c r="H3594" s="2">
        <v>44768.556250000001</v>
      </c>
      <c r="I3594" t="s">
        <v>29</v>
      </c>
      <c r="Z3594">
        <v>37318</v>
      </c>
    </row>
    <row r="3595" spans="1:26" x14ac:dyDescent="0.25">
      <c r="A3595" t="s">
        <v>3995</v>
      </c>
      <c r="B3595" t="s">
        <v>26</v>
      </c>
      <c r="C3595" t="s">
        <v>27</v>
      </c>
      <c r="H3595" s="2">
        <v>44767.79583333333</v>
      </c>
      <c r="I3595" t="s">
        <v>226</v>
      </c>
      <c r="Z3595">
        <v>37291</v>
      </c>
    </row>
    <row r="3596" spans="1:26" x14ac:dyDescent="0.25">
      <c r="A3596" t="s">
        <v>3996</v>
      </c>
      <c r="B3596" t="s">
        <v>26</v>
      </c>
      <c r="C3596" t="s">
        <v>27</v>
      </c>
      <c r="H3596" s="2">
        <v>44767.681250000001</v>
      </c>
      <c r="I3596" t="s">
        <v>29</v>
      </c>
      <c r="Z3596">
        <v>37281</v>
      </c>
    </row>
    <row r="3597" spans="1:26" x14ac:dyDescent="0.25">
      <c r="A3597" t="s">
        <v>263</v>
      </c>
      <c r="B3597" t="s">
        <v>198</v>
      </c>
      <c r="C3597" t="s">
        <v>27</v>
      </c>
      <c r="E3597" t="s">
        <v>58</v>
      </c>
      <c r="H3597" s="2">
        <v>44767.658333333333</v>
      </c>
      <c r="I3597" t="s">
        <v>346</v>
      </c>
      <c r="Z3597">
        <v>37277</v>
      </c>
    </row>
    <row r="3598" spans="1:26" x14ac:dyDescent="0.25">
      <c r="A3598" t="s">
        <v>3997</v>
      </c>
      <c r="B3598" t="s">
        <v>26</v>
      </c>
      <c r="C3598" t="s">
        <v>27</v>
      </c>
      <c r="E3598" t="s">
        <v>3998</v>
      </c>
      <c r="H3598" s="2">
        <v>44766.539583333331</v>
      </c>
      <c r="I3598" t="s">
        <v>346</v>
      </c>
      <c r="Z3598">
        <v>37210</v>
      </c>
    </row>
    <row r="3599" spans="1:26" x14ac:dyDescent="0.25">
      <c r="A3599" t="s">
        <v>3999</v>
      </c>
      <c r="B3599" t="s">
        <v>185</v>
      </c>
      <c r="C3599" t="s">
        <v>27</v>
      </c>
      <c r="E3599" t="s">
        <v>4000</v>
      </c>
      <c r="H3599" s="2">
        <v>44765.780555555553</v>
      </c>
      <c r="I3599" t="s">
        <v>346</v>
      </c>
      <c r="Z3599">
        <v>37193</v>
      </c>
    </row>
    <row r="3600" spans="1:26" x14ac:dyDescent="0.25">
      <c r="A3600" t="s">
        <v>4001</v>
      </c>
      <c r="B3600" t="s">
        <v>26</v>
      </c>
      <c r="C3600" t="s">
        <v>27</v>
      </c>
      <c r="E3600" t="s">
        <v>70</v>
      </c>
      <c r="H3600" s="2">
        <v>44765.395138888889</v>
      </c>
      <c r="I3600" t="s">
        <v>354</v>
      </c>
      <c r="Z3600">
        <v>37163</v>
      </c>
    </row>
    <row r="3601" spans="1:26" x14ac:dyDescent="0.25">
      <c r="A3601" t="s">
        <v>4002</v>
      </c>
      <c r="B3601" t="s">
        <v>26</v>
      </c>
      <c r="C3601" t="s">
        <v>27</v>
      </c>
      <c r="H3601" s="2">
        <v>44764.571527777778</v>
      </c>
      <c r="I3601" t="s">
        <v>226</v>
      </c>
      <c r="Z3601">
        <v>37135</v>
      </c>
    </row>
    <row r="3602" spans="1:26" x14ac:dyDescent="0.25">
      <c r="A3602" t="s">
        <v>263</v>
      </c>
      <c r="B3602" t="s">
        <v>185</v>
      </c>
      <c r="C3602" t="s">
        <v>27</v>
      </c>
      <c r="E3602" t="s">
        <v>58</v>
      </c>
      <c r="H3602" s="2">
        <v>44763.883333333331</v>
      </c>
      <c r="I3602" t="s">
        <v>354</v>
      </c>
      <c r="Z3602">
        <v>37107</v>
      </c>
    </row>
    <row r="3603" spans="1:26" x14ac:dyDescent="0.25">
      <c r="A3603" t="s">
        <v>205</v>
      </c>
      <c r="B3603" t="s">
        <v>150</v>
      </c>
      <c r="C3603" t="s">
        <v>27</v>
      </c>
      <c r="E3603" t="s">
        <v>103</v>
      </c>
      <c r="H3603" s="2">
        <v>44763.880555555559</v>
      </c>
      <c r="I3603" t="s">
        <v>226</v>
      </c>
      <c r="K3603" t="s">
        <v>30</v>
      </c>
      <c r="L3603" t="s">
        <v>31</v>
      </c>
      <c r="M3603">
        <v>67130164</v>
      </c>
      <c r="N3603">
        <v>12403825922</v>
      </c>
      <c r="O3603" t="s">
        <v>382</v>
      </c>
      <c r="Z3603">
        <v>37106</v>
      </c>
    </row>
    <row r="3604" spans="1:26" x14ac:dyDescent="0.25">
      <c r="A3604" t="s">
        <v>345</v>
      </c>
      <c r="C3604" t="s">
        <v>27</v>
      </c>
      <c r="E3604" t="s">
        <v>4003</v>
      </c>
      <c r="H3604" s="2">
        <v>44763.874305555553</v>
      </c>
      <c r="I3604" t="s">
        <v>226</v>
      </c>
      <c r="Z3604">
        <v>37105</v>
      </c>
    </row>
    <row r="3605" spans="1:26" x14ac:dyDescent="0.25">
      <c r="A3605" t="s">
        <v>4004</v>
      </c>
      <c r="B3605" t="s">
        <v>26</v>
      </c>
      <c r="C3605" t="s">
        <v>27</v>
      </c>
      <c r="H3605" s="2">
        <v>44763.767361111109</v>
      </c>
      <c r="I3605" t="s">
        <v>194</v>
      </c>
      <c r="Z3605">
        <v>37098</v>
      </c>
    </row>
    <row r="3606" spans="1:26" x14ac:dyDescent="0.25">
      <c r="A3606" t="s">
        <v>652</v>
      </c>
      <c r="B3606" t="s">
        <v>26</v>
      </c>
      <c r="C3606" t="s">
        <v>27</v>
      </c>
      <c r="H3606" s="2">
        <v>44763.472222222219</v>
      </c>
      <c r="I3606" t="s">
        <v>226</v>
      </c>
      <c r="Z3606">
        <v>37075</v>
      </c>
    </row>
    <row r="3607" spans="1:26" x14ac:dyDescent="0.25">
      <c r="A3607" t="s">
        <v>4005</v>
      </c>
      <c r="B3607" t="s">
        <v>26</v>
      </c>
      <c r="C3607" t="s">
        <v>27</v>
      </c>
      <c r="H3607" s="2">
        <v>44762.774305555555</v>
      </c>
      <c r="I3607" t="s">
        <v>346</v>
      </c>
      <c r="Z3607">
        <v>37056</v>
      </c>
    </row>
    <row r="3608" spans="1:26" x14ac:dyDescent="0.25">
      <c r="A3608" t="s">
        <v>4006</v>
      </c>
      <c r="B3608" t="s">
        <v>26</v>
      </c>
      <c r="C3608" t="s">
        <v>27</v>
      </c>
      <c r="H3608" s="2">
        <v>44762.595833333333</v>
      </c>
      <c r="I3608" t="s">
        <v>327</v>
      </c>
      <c r="Z3608">
        <v>37039</v>
      </c>
    </row>
    <row r="3609" spans="1:26" x14ac:dyDescent="0.25">
      <c r="A3609" t="s">
        <v>97</v>
      </c>
      <c r="C3609" t="s">
        <v>27</v>
      </c>
      <c r="E3609" t="s">
        <v>45</v>
      </c>
      <c r="H3609" s="2">
        <v>44761.496527777781</v>
      </c>
      <c r="I3609" t="s">
        <v>346</v>
      </c>
      <c r="Z3609">
        <v>36990</v>
      </c>
    </row>
    <row r="3610" spans="1:26" x14ac:dyDescent="0.25">
      <c r="A3610" t="s">
        <v>4007</v>
      </c>
      <c r="B3610" t="s">
        <v>26</v>
      </c>
      <c r="C3610" t="s">
        <v>27</v>
      </c>
      <c r="H3610" s="2">
        <v>44761.472916666666</v>
      </c>
      <c r="I3610" t="s">
        <v>330</v>
      </c>
      <c r="Z3610">
        <v>36987</v>
      </c>
    </row>
    <row r="3611" spans="1:26" x14ac:dyDescent="0.25">
      <c r="A3611" t="s">
        <v>4008</v>
      </c>
      <c r="B3611" t="s">
        <v>150</v>
      </c>
      <c r="C3611" t="s">
        <v>27</v>
      </c>
      <c r="E3611" t="s">
        <v>4009</v>
      </c>
      <c r="H3611" s="2">
        <v>44760.69027777778</v>
      </c>
      <c r="I3611" t="s">
        <v>346</v>
      </c>
      <c r="Z3611">
        <v>36956</v>
      </c>
    </row>
    <row r="3612" spans="1:26" x14ac:dyDescent="0.25">
      <c r="A3612" t="s">
        <v>4010</v>
      </c>
      <c r="B3612" t="s">
        <v>26</v>
      </c>
      <c r="C3612" t="s">
        <v>27</v>
      </c>
      <c r="H3612" s="2">
        <v>44760.640277777777</v>
      </c>
      <c r="I3612" t="s">
        <v>346</v>
      </c>
      <c r="Z3612">
        <v>36948</v>
      </c>
    </row>
    <row r="3613" spans="1:26" x14ac:dyDescent="0.25">
      <c r="A3613" t="s">
        <v>102</v>
      </c>
      <c r="B3613" t="s">
        <v>334</v>
      </c>
      <c r="C3613" t="s">
        <v>27</v>
      </c>
      <c r="H3613" s="2">
        <v>44760.574305555558</v>
      </c>
      <c r="I3613" t="s">
        <v>346</v>
      </c>
      <c r="K3613" t="s">
        <v>30</v>
      </c>
      <c r="L3613" t="s">
        <v>31</v>
      </c>
      <c r="M3613">
        <v>66964239</v>
      </c>
      <c r="N3613">
        <v>12403661576</v>
      </c>
      <c r="O3613" t="s">
        <v>353</v>
      </c>
      <c r="Z3613">
        <v>36937</v>
      </c>
    </row>
    <row r="3614" spans="1:26" x14ac:dyDescent="0.25">
      <c r="A3614" t="s">
        <v>3973</v>
      </c>
      <c r="B3614" t="s">
        <v>164</v>
      </c>
      <c r="C3614" t="s">
        <v>27</v>
      </c>
      <c r="E3614" t="s">
        <v>3974</v>
      </c>
      <c r="H3614" s="2">
        <v>44760.473611111112</v>
      </c>
      <c r="I3614" t="s">
        <v>227</v>
      </c>
      <c r="Z3614">
        <v>36912</v>
      </c>
    </row>
    <row r="3615" spans="1:26" x14ac:dyDescent="0.25">
      <c r="A3615" t="s">
        <v>4011</v>
      </c>
      <c r="B3615" t="s">
        <v>164</v>
      </c>
      <c r="C3615" t="s">
        <v>27</v>
      </c>
      <c r="E3615" t="s">
        <v>4012</v>
      </c>
      <c r="H3615" s="2">
        <v>44760.473611111112</v>
      </c>
      <c r="I3615" t="s">
        <v>227</v>
      </c>
      <c r="Z3615">
        <v>36910</v>
      </c>
    </row>
    <row r="3616" spans="1:26" x14ac:dyDescent="0.25">
      <c r="A3616" t="s">
        <v>4013</v>
      </c>
      <c r="B3616" t="s">
        <v>164</v>
      </c>
      <c r="C3616" t="s">
        <v>27</v>
      </c>
      <c r="E3616" t="s">
        <v>4014</v>
      </c>
      <c r="G3616" t="s">
        <v>4015</v>
      </c>
      <c r="H3616" s="2">
        <v>44760.472916666666</v>
      </c>
      <c r="I3616" t="s">
        <v>227</v>
      </c>
      <c r="Z3616">
        <v>36908</v>
      </c>
    </row>
    <row r="3617" spans="1:26" x14ac:dyDescent="0.25">
      <c r="A3617" t="s">
        <v>4016</v>
      </c>
      <c r="B3617" t="s">
        <v>26</v>
      </c>
      <c r="C3617" t="s">
        <v>27</v>
      </c>
      <c r="H3617" s="2">
        <v>44759.388888888891</v>
      </c>
      <c r="I3617" t="s">
        <v>226</v>
      </c>
      <c r="Z3617">
        <v>36854</v>
      </c>
    </row>
    <row r="3618" spans="1:26" x14ac:dyDescent="0.25">
      <c r="A3618" t="s">
        <v>4017</v>
      </c>
      <c r="B3618" t="s">
        <v>26</v>
      </c>
      <c r="C3618" t="s">
        <v>27</v>
      </c>
      <c r="H3618" s="2">
        <v>44758.680555555555</v>
      </c>
      <c r="I3618" t="s">
        <v>357</v>
      </c>
      <c r="Z3618">
        <v>36832</v>
      </c>
    </row>
    <row r="3619" spans="1:26" x14ac:dyDescent="0.25">
      <c r="A3619" t="s">
        <v>4018</v>
      </c>
      <c r="B3619" t="s">
        <v>26</v>
      </c>
      <c r="C3619" t="s">
        <v>27</v>
      </c>
      <c r="H3619" s="2">
        <v>44758.561111111114</v>
      </c>
      <c r="I3619" t="s">
        <v>226</v>
      </c>
      <c r="Z3619">
        <v>36823</v>
      </c>
    </row>
    <row r="3620" spans="1:26" x14ac:dyDescent="0.25">
      <c r="A3620" t="s">
        <v>4019</v>
      </c>
      <c r="B3620" t="s">
        <v>26</v>
      </c>
      <c r="C3620" t="s">
        <v>27</v>
      </c>
      <c r="H3620" s="2">
        <v>44758.404166666667</v>
      </c>
      <c r="I3620" t="s">
        <v>226</v>
      </c>
      <c r="Z3620">
        <v>36811</v>
      </c>
    </row>
    <row r="3621" spans="1:26" x14ac:dyDescent="0.25">
      <c r="A3621" t="s">
        <v>4020</v>
      </c>
      <c r="B3621" t="s">
        <v>26</v>
      </c>
      <c r="C3621" t="s">
        <v>27</v>
      </c>
      <c r="H3621" s="2">
        <v>44758.120138888888</v>
      </c>
      <c r="I3621" t="s">
        <v>226</v>
      </c>
      <c r="Z3621">
        <v>36809</v>
      </c>
    </row>
    <row r="3622" spans="1:26" x14ac:dyDescent="0.25">
      <c r="A3622" t="s">
        <v>4021</v>
      </c>
      <c r="B3622" t="s">
        <v>26</v>
      </c>
      <c r="C3622" t="s">
        <v>27</v>
      </c>
      <c r="H3622" s="2">
        <v>44757.592361111114</v>
      </c>
      <c r="I3622" t="s">
        <v>346</v>
      </c>
      <c r="Z3622">
        <v>36782</v>
      </c>
    </row>
    <row r="3623" spans="1:26" x14ac:dyDescent="0.25">
      <c r="A3623" t="s">
        <v>4022</v>
      </c>
      <c r="B3623" t="s">
        <v>26</v>
      </c>
      <c r="C3623" t="s">
        <v>27</v>
      </c>
      <c r="H3623" s="2">
        <v>44757.440972222219</v>
      </c>
      <c r="I3623" t="s">
        <v>346</v>
      </c>
      <c r="Z3623">
        <v>36766</v>
      </c>
    </row>
    <row r="3624" spans="1:26" x14ac:dyDescent="0.25">
      <c r="A3624" t="s">
        <v>3960</v>
      </c>
      <c r="B3624" t="s">
        <v>26</v>
      </c>
      <c r="C3624" t="s">
        <v>27</v>
      </c>
      <c r="H3624" s="2">
        <v>44757.429861111108</v>
      </c>
      <c r="I3624" t="s">
        <v>226</v>
      </c>
      <c r="Z3624">
        <v>36764</v>
      </c>
    </row>
    <row r="3625" spans="1:26" x14ac:dyDescent="0.25">
      <c r="A3625" t="s">
        <v>4023</v>
      </c>
      <c r="B3625" t="s">
        <v>26</v>
      </c>
      <c r="C3625" t="s">
        <v>27</v>
      </c>
      <c r="H3625" s="2">
        <v>44756.820138888892</v>
      </c>
      <c r="I3625" t="s">
        <v>346</v>
      </c>
      <c r="Z3625">
        <v>36757</v>
      </c>
    </row>
    <row r="3626" spans="1:26" x14ac:dyDescent="0.25">
      <c r="A3626" t="s">
        <v>4022</v>
      </c>
      <c r="B3626" t="s">
        <v>26</v>
      </c>
      <c r="C3626" t="s">
        <v>27</v>
      </c>
      <c r="H3626" s="2">
        <v>44756.762499999997</v>
      </c>
      <c r="I3626" t="s">
        <v>346</v>
      </c>
      <c r="Z3626">
        <v>36754</v>
      </c>
    </row>
    <row r="3627" spans="1:26" x14ac:dyDescent="0.25">
      <c r="A3627" t="s">
        <v>4024</v>
      </c>
      <c r="B3627" t="s">
        <v>26</v>
      </c>
      <c r="C3627" t="s">
        <v>27</v>
      </c>
      <c r="H3627" s="2">
        <v>44756.691666666666</v>
      </c>
      <c r="I3627" t="s">
        <v>227</v>
      </c>
      <c r="Z3627">
        <v>36752</v>
      </c>
    </row>
    <row r="3628" spans="1:26" x14ac:dyDescent="0.25">
      <c r="A3628" t="s">
        <v>4025</v>
      </c>
      <c r="B3628" t="s">
        <v>26</v>
      </c>
      <c r="C3628" t="s">
        <v>27</v>
      </c>
      <c r="H3628" s="2">
        <v>44756.657638888886</v>
      </c>
      <c r="I3628" t="s">
        <v>346</v>
      </c>
      <c r="Z3628">
        <v>36748</v>
      </c>
    </row>
    <row r="3629" spans="1:26" x14ac:dyDescent="0.25">
      <c r="A3629" t="s">
        <v>4026</v>
      </c>
      <c r="B3629" t="s">
        <v>26</v>
      </c>
      <c r="C3629" t="s">
        <v>27</v>
      </c>
      <c r="H3629" s="2">
        <v>44755.678472222222</v>
      </c>
      <c r="I3629" t="s">
        <v>346</v>
      </c>
      <c r="Z3629">
        <v>36713</v>
      </c>
    </row>
    <row r="3630" spans="1:26" x14ac:dyDescent="0.25">
      <c r="A3630" t="s">
        <v>4027</v>
      </c>
      <c r="B3630" t="s">
        <v>26</v>
      </c>
      <c r="C3630" t="s">
        <v>27</v>
      </c>
      <c r="E3630" t="s">
        <v>332</v>
      </c>
      <c r="H3630" s="2">
        <v>44755.581250000003</v>
      </c>
      <c r="I3630" t="s">
        <v>346</v>
      </c>
      <c r="Z3630">
        <v>36703</v>
      </c>
    </row>
    <row r="3631" spans="1:26" x14ac:dyDescent="0.25">
      <c r="A3631" t="s">
        <v>342</v>
      </c>
      <c r="C3631" t="s">
        <v>27</v>
      </c>
      <c r="E3631" t="s">
        <v>128</v>
      </c>
      <c r="H3631" s="2">
        <v>44755.411111111112</v>
      </c>
      <c r="I3631" t="s">
        <v>330</v>
      </c>
      <c r="Z3631">
        <v>36672</v>
      </c>
    </row>
    <row r="3632" spans="1:26" x14ac:dyDescent="0.25">
      <c r="A3632" t="s">
        <v>4028</v>
      </c>
      <c r="B3632" t="s">
        <v>26</v>
      </c>
      <c r="C3632" t="s">
        <v>27</v>
      </c>
      <c r="H3632" s="2">
        <v>44755.40625</v>
      </c>
      <c r="I3632" t="s">
        <v>227</v>
      </c>
      <c r="Z3632">
        <v>36671</v>
      </c>
    </row>
    <row r="3633" spans="1:26" x14ac:dyDescent="0.25">
      <c r="A3633" t="s">
        <v>4029</v>
      </c>
      <c r="B3633" t="s">
        <v>26</v>
      </c>
      <c r="C3633" t="s">
        <v>27</v>
      </c>
      <c r="H3633" s="2">
        <v>44755.142361111109</v>
      </c>
      <c r="I3633" t="s">
        <v>330</v>
      </c>
      <c r="Z3633">
        <v>36665</v>
      </c>
    </row>
    <row r="3634" spans="1:26" x14ac:dyDescent="0.25">
      <c r="A3634" t="s">
        <v>4030</v>
      </c>
      <c r="B3634" t="s">
        <v>26</v>
      </c>
      <c r="C3634" t="s">
        <v>27</v>
      </c>
      <c r="H3634" s="2">
        <v>44754.822916666664</v>
      </c>
      <c r="I3634" t="s">
        <v>330</v>
      </c>
      <c r="Z3634">
        <v>36658</v>
      </c>
    </row>
    <row r="3635" spans="1:26" x14ac:dyDescent="0.25">
      <c r="A3635" t="s">
        <v>4031</v>
      </c>
      <c r="B3635" t="s">
        <v>26</v>
      </c>
      <c r="C3635" t="s">
        <v>27</v>
      </c>
      <c r="H3635" s="2">
        <v>44754.806944444441</v>
      </c>
      <c r="I3635" t="s">
        <v>346</v>
      </c>
      <c r="Z3635">
        <v>36656</v>
      </c>
    </row>
    <row r="3636" spans="1:26" x14ac:dyDescent="0.25">
      <c r="A3636" t="s">
        <v>234</v>
      </c>
      <c r="B3636" t="s">
        <v>164</v>
      </c>
      <c r="C3636" t="s">
        <v>27</v>
      </c>
      <c r="E3636" t="s">
        <v>45</v>
      </c>
      <c r="H3636" s="2">
        <v>44754.443749999999</v>
      </c>
      <c r="I3636" t="s">
        <v>346</v>
      </c>
      <c r="K3636" t="s">
        <v>30</v>
      </c>
      <c r="L3636" t="s">
        <v>31</v>
      </c>
      <c r="M3636">
        <v>67130164</v>
      </c>
      <c r="N3636">
        <v>12403825922</v>
      </c>
      <c r="O3636" t="s">
        <v>3129</v>
      </c>
      <c r="Z3636">
        <v>36618</v>
      </c>
    </row>
    <row r="3637" spans="1:26" x14ac:dyDescent="0.25">
      <c r="A3637" t="s">
        <v>363</v>
      </c>
      <c r="B3637" t="s">
        <v>164</v>
      </c>
      <c r="C3637" t="s">
        <v>27</v>
      </c>
      <c r="E3637" t="s">
        <v>76</v>
      </c>
      <c r="H3637" s="2">
        <v>44753.842361111114</v>
      </c>
      <c r="I3637" t="s">
        <v>227</v>
      </c>
      <c r="Z3637">
        <v>36609</v>
      </c>
    </row>
    <row r="3638" spans="1:26" x14ac:dyDescent="0.25">
      <c r="A3638" t="s">
        <v>342</v>
      </c>
      <c r="C3638" t="s">
        <v>27</v>
      </c>
      <c r="E3638" t="s">
        <v>76</v>
      </c>
      <c r="H3638" s="2">
        <v>44753.664583333331</v>
      </c>
      <c r="I3638" t="s">
        <v>226</v>
      </c>
      <c r="Z3638">
        <v>36598</v>
      </c>
    </row>
    <row r="3639" spans="1:26" x14ac:dyDescent="0.25">
      <c r="A3639" t="s">
        <v>4032</v>
      </c>
      <c r="B3639" t="s">
        <v>26</v>
      </c>
      <c r="C3639" t="s">
        <v>27</v>
      </c>
      <c r="H3639" s="2">
        <v>44753.585416666669</v>
      </c>
      <c r="I3639" t="s">
        <v>327</v>
      </c>
      <c r="Z3639">
        <v>36592</v>
      </c>
    </row>
    <row r="3640" spans="1:26" x14ac:dyDescent="0.25">
      <c r="A3640" t="s">
        <v>4033</v>
      </c>
      <c r="B3640" t="s">
        <v>26</v>
      </c>
      <c r="C3640" t="s">
        <v>27</v>
      </c>
      <c r="H3640" s="2">
        <v>44753.474999999999</v>
      </c>
      <c r="I3640" t="s">
        <v>354</v>
      </c>
      <c r="Z3640">
        <v>36569</v>
      </c>
    </row>
    <row r="3641" spans="1:26" x14ac:dyDescent="0.25">
      <c r="A3641" t="s">
        <v>262</v>
      </c>
      <c r="B3641" t="s">
        <v>164</v>
      </c>
      <c r="C3641" t="s">
        <v>27</v>
      </c>
      <c r="E3641" t="s">
        <v>60</v>
      </c>
      <c r="H3641" s="2">
        <v>44753.459027777775</v>
      </c>
      <c r="I3641" t="s">
        <v>226</v>
      </c>
      <c r="Z3641">
        <v>36564</v>
      </c>
    </row>
    <row r="3642" spans="1:26" x14ac:dyDescent="0.25">
      <c r="A3642" t="s">
        <v>4034</v>
      </c>
      <c r="B3642" t="s">
        <v>26</v>
      </c>
      <c r="C3642" t="s">
        <v>27</v>
      </c>
      <c r="H3642" s="2">
        <v>44752.72152777778</v>
      </c>
      <c r="I3642" t="s">
        <v>226</v>
      </c>
      <c r="Z3642">
        <v>36545</v>
      </c>
    </row>
    <row r="3643" spans="1:26" x14ac:dyDescent="0.25">
      <c r="A3643" t="s">
        <v>4035</v>
      </c>
      <c r="B3643" t="s">
        <v>46</v>
      </c>
      <c r="C3643" t="s">
        <v>27</v>
      </c>
      <c r="E3643" t="s">
        <v>110</v>
      </c>
      <c r="G3643" t="s">
        <v>4036</v>
      </c>
      <c r="H3643" s="2">
        <v>44752.704861111109</v>
      </c>
      <c r="I3643" t="s">
        <v>354</v>
      </c>
      <c r="Z3643">
        <v>36543</v>
      </c>
    </row>
    <row r="3644" spans="1:26" x14ac:dyDescent="0.25">
      <c r="A3644" t="s">
        <v>4037</v>
      </c>
      <c r="B3644" t="s">
        <v>26</v>
      </c>
      <c r="C3644" t="s">
        <v>27</v>
      </c>
      <c r="H3644" s="2">
        <v>44751.654861111114</v>
      </c>
      <c r="I3644" t="s">
        <v>354</v>
      </c>
      <c r="Z3644">
        <v>36502</v>
      </c>
    </row>
    <row r="3645" spans="1:26" x14ac:dyDescent="0.25">
      <c r="A3645" t="s">
        <v>3470</v>
      </c>
      <c r="B3645" t="s">
        <v>164</v>
      </c>
      <c r="C3645" t="s">
        <v>27</v>
      </c>
      <c r="E3645" t="s">
        <v>117</v>
      </c>
      <c r="G3645" t="s">
        <v>3471</v>
      </c>
      <c r="H3645" s="2">
        <v>44750.508333333331</v>
      </c>
      <c r="I3645" t="s">
        <v>357</v>
      </c>
      <c r="Z3645">
        <v>36449</v>
      </c>
    </row>
    <row r="3646" spans="1:26" x14ac:dyDescent="0.25">
      <c r="A3646" t="s">
        <v>102</v>
      </c>
      <c r="B3646" t="s">
        <v>334</v>
      </c>
      <c r="C3646" t="s">
        <v>27</v>
      </c>
      <c r="E3646" t="s">
        <v>53</v>
      </c>
      <c r="G3646" t="s">
        <v>4038</v>
      </c>
      <c r="H3646" s="2">
        <v>44748.776388888888</v>
      </c>
      <c r="I3646" t="s">
        <v>346</v>
      </c>
      <c r="K3646" t="s">
        <v>30</v>
      </c>
      <c r="L3646" t="s">
        <v>31</v>
      </c>
      <c r="M3646">
        <v>67130164</v>
      </c>
      <c r="N3646">
        <v>11954128610</v>
      </c>
      <c r="O3646" t="s">
        <v>2393</v>
      </c>
      <c r="Z3646">
        <v>36377</v>
      </c>
    </row>
    <row r="3647" spans="1:26" x14ac:dyDescent="0.25">
      <c r="A3647" t="s">
        <v>652</v>
      </c>
      <c r="B3647" t="s">
        <v>26</v>
      </c>
      <c r="C3647" t="s">
        <v>27</v>
      </c>
      <c r="H3647" s="2">
        <v>44748.71597222222</v>
      </c>
      <c r="I3647" t="s">
        <v>327</v>
      </c>
      <c r="Z3647">
        <v>36371</v>
      </c>
    </row>
    <row r="3648" spans="1:26" x14ac:dyDescent="0.25">
      <c r="A3648" t="s">
        <v>4039</v>
      </c>
      <c r="B3648" t="s">
        <v>26</v>
      </c>
      <c r="C3648" t="s">
        <v>27</v>
      </c>
      <c r="H3648" s="2">
        <v>44747.539583333331</v>
      </c>
      <c r="I3648" t="s">
        <v>354</v>
      </c>
      <c r="Z3648">
        <v>36293</v>
      </c>
    </row>
    <row r="3649" spans="1:26" x14ac:dyDescent="0.25">
      <c r="A3649" t="s">
        <v>3685</v>
      </c>
      <c r="B3649" t="s">
        <v>26</v>
      </c>
      <c r="C3649" t="s">
        <v>27</v>
      </c>
      <c r="H3649" s="2">
        <v>44747.436805555553</v>
      </c>
      <c r="I3649" t="s">
        <v>327</v>
      </c>
      <c r="Z3649">
        <v>36288</v>
      </c>
    </row>
    <row r="3650" spans="1:26" x14ac:dyDescent="0.25">
      <c r="A3650" t="s">
        <v>4040</v>
      </c>
      <c r="B3650" t="s">
        <v>26</v>
      </c>
      <c r="C3650" t="s">
        <v>27</v>
      </c>
      <c r="H3650" s="2">
        <v>44747.378472222219</v>
      </c>
      <c r="I3650" t="s">
        <v>226</v>
      </c>
      <c r="Z3650">
        <v>36286</v>
      </c>
    </row>
    <row r="3651" spans="1:26" x14ac:dyDescent="0.25">
      <c r="A3651" t="s">
        <v>4041</v>
      </c>
      <c r="B3651" t="s">
        <v>26</v>
      </c>
      <c r="C3651" t="s">
        <v>27</v>
      </c>
      <c r="H3651" s="2">
        <v>44746.736111111109</v>
      </c>
      <c r="I3651" t="s">
        <v>226</v>
      </c>
      <c r="Z3651">
        <v>36273</v>
      </c>
    </row>
    <row r="3652" spans="1:26" x14ac:dyDescent="0.25">
      <c r="A3652" t="s">
        <v>4042</v>
      </c>
      <c r="B3652" t="s">
        <v>26</v>
      </c>
      <c r="C3652" t="s">
        <v>27</v>
      </c>
      <c r="H3652" s="2">
        <v>44746.647222222222</v>
      </c>
      <c r="I3652" t="s">
        <v>227</v>
      </c>
      <c r="Z3652">
        <v>36258</v>
      </c>
    </row>
    <row r="3653" spans="1:26" x14ac:dyDescent="0.25">
      <c r="A3653" t="s">
        <v>4043</v>
      </c>
      <c r="B3653" t="s">
        <v>46</v>
      </c>
      <c r="C3653" t="s">
        <v>27</v>
      </c>
      <c r="E3653" t="s">
        <v>88</v>
      </c>
      <c r="G3653" t="s">
        <v>4044</v>
      </c>
      <c r="H3653" s="2">
        <v>44746.616666666669</v>
      </c>
      <c r="I3653" t="s">
        <v>227</v>
      </c>
      <c r="Z3653">
        <v>36253</v>
      </c>
    </row>
    <row r="3654" spans="1:26" x14ac:dyDescent="0.25">
      <c r="A3654" t="s">
        <v>1054</v>
      </c>
      <c r="B3654" t="s">
        <v>26</v>
      </c>
      <c r="C3654" t="s">
        <v>27</v>
      </c>
      <c r="H3654" s="2">
        <v>44746.601388888892</v>
      </c>
      <c r="I3654" t="s">
        <v>294</v>
      </c>
      <c r="Z3654">
        <v>36250</v>
      </c>
    </row>
    <row r="3655" spans="1:26" x14ac:dyDescent="0.25">
      <c r="A3655" t="s">
        <v>4045</v>
      </c>
      <c r="B3655" t="s">
        <v>164</v>
      </c>
      <c r="C3655" t="s">
        <v>27</v>
      </c>
      <c r="E3655" t="s">
        <v>4046</v>
      </c>
      <c r="H3655" s="2">
        <v>44746.411111111112</v>
      </c>
      <c r="I3655" t="s">
        <v>346</v>
      </c>
      <c r="Z3655">
        <v>36223</v>
      </c>
    </row>
    <row r="3656" spans="1:26" x14ac:dyDescent="0.25">
      <c r="A3656" t="s">
        <v>4047</v>
      </c>
      <c r="B3656" t="s">
        <v>26</v>
      </c>
      <c r="C3656" t="s">
        <v>27</v>
      </c>
      <c r="H3656" s="2">
        <v>44746.407638888886</v>
      </c>
      <c r="I3656" t="s">
        <v>330</v>
      </c>
      <c r="Z3656">
        <v>36222</v>
      </c>
    </row>
    <row r="3657" spans="1:26" x14ac:dyDescent="0.25">
      <c r="A3657" t="s">
        <v>4048</v>
      </c>
      <c r="B3657" t="s">
        <v>26</v>
      </c>
      <c r="C3657" t="s">
        <v>27</v>
      </c>
      <c r="H3657" s="2">
        <v>44745.406944444447</v>
      </c>
      <c r="I3657" t="s">
        <v>354</v>
      </c>
      <c r="Z3657">
        <v>36184</v>
      </c>
    </row>
    <row r="3658" spans="1:26" x14ac:dyDescent="0.25">
      <c r="A3658" t="s">
        <v>4049</v>
      </c>
      <c r="B3658" t="s">
        <v>26</v>
      </c>
      <c r="C3658" t="s">
        <v>27</v>
      </c>
      <c r="H3658" s="2">
        <v>44743.747916666667</v>
      </c>
      <c r="I3658" t="s">
        <v>327</v>
      </c>
      <c r="Z3658">
        <v>36128</v>
      </c>
    </row>
    <row r="3659" spans="1:26" x14ac:dyDescent="0.25">
      <c r="A3659" t="s">
        <v>97</v>
      </c>
      <c r="C3659" t="s">
        <v>27</v>
      </c>
      <c r="E3659" t="s">
        <v>4050</v>
      </c>
      <c r="H3659" s="2">
        <v>44743.745138888888</v>
      </c>
      <c r="I3659" t="s">
        <v>357</v>
      </c>
      <c r="Z3659">
        <v>36127</v>
      </c>
    </row>
    <row r="3660" spans="1:26" x14ac:dyDescent="0.25">
      <c r="A3660" t="s">
        <v>4051</v>
      </c>
      <c r="B3660" t="s">
        <v>26</v>
      </c>
      <c r="C3660" t="s">
        <v>27</v>
      </c>
      <c r="E3660" t="s">
        <v>4052</v>
      </c>
      <c r="G3660" t="s">
        <v>67</v>
      </c>
      <c r="H3660" s="2">
        <v>44743.659722222219</v>
      </c>
      <c r="I3660" t="s">
        <v>357</v>
      </c>
      <c r="Z3660">
        <v>36119</v>
      </c>
    </row>
    <row r="3661" spans="1:26" x14ac:dyDescent="0.25">
      <c r="A3661" t="s">
        <v>3978</v>
      </c>
      <c r="B3661" t="s">
        <v>26</v>
      </c>
      <c r="C3661" t="s">
        <v>27</v>
      </c>
      <c r="H3661" s="2">
        <v>44743.629166666666</v>
      </c>
      <c r="I3661" t="s">
        <v>227</v>
      </c>
      <c r="Z3661">
        <v>36117</v>
      </c>
    </row>
    <row r="3662" spans="1:26" x14ac:dyDescent="0.25">
      <c r="A3662" t="s">
        <v>3076</v>
      </c>
      <c r="B3662" t="s">
        <v>164</v>
      </c>
      <c r="C3662" t="s">
        <v>27</v>
      </c>
      <c r="E3662" t="s">
        <v>57</v>
      </c>
      <c r="H3662" s="2">
        <v>44743.422222222223</v>
      </c>
      <c r="I3662" t="s">
        <v>357</v>
      </c>
      <c r="Z3662">
        <v>36100</v>
      </c>
    </row>
    <row r="3663" spans="1:26" x14ac:dyDescent="0.25">
      <c r="A3663" t="s">
        <v>102</v>
      </c>
      <c r="B3663" t="s">
        <v>334</v>
      </c>
      <c r="C3663" t="s">
        <v>27</v>
      </c>
      <c r="H3663" s="2">
        <v>44743.414583333331</v>
      </c>
      <c r="I3663" t="s">
        <v>227</v>
      </c>
      <c r="Z3663">
        <v>36099</v>
      </c>
    </row>
    <row r="3664" spans="1:26" x14ac:dyDescent="0.25">
      <c r="A3664" t="s">
        <v>4053</v>
      </c>
      <c r="B3664" t="s">
        <v>26</v>
      </c>
      <c r="C3664" t="s">
        <v>27</v>
      </c>
      <c r="H3664" s="2">
        <v>44743.412499999999</v>
      </c>
      <c r="I3664" t="s">
        <v>357</v>
      </c>
      <c r="Z3664">
        <v>36097</v>
      </c>
    </row>
    <row r="3665" spans="1:26" x14ac:dyDescent="0.25">
      <c r="A3665" t="s">
        <v>4054</v>
      </c>
      <c r="B3665" t="s">
        <v>26</v>
      </c>
      <c r="C3665" t="s">
        <v>27</v>
      </c>
      <c r="E3665" t="s">
        <v>2031</v>
      </c>
      <c r="H3665" s="2">
        <v>44742.462500000001</v>
      </c>
      <c r="I3665" t="s">
        <v>227</v>
      </c>
      <c r="Z3665">
        <v>36053</v>
      </c>
    </row>
    <row r="3666" spans="1:26" x14ac:dyDescent="0.25">
      <c r="A3666" t="s">
        <v>4055</v>
      </c>
      <c r="B3666" t="s">
        <v>164</v>
      </c>
      <c r="C3666" t="s">
        <v>27</v>
      </c>
      <c r="E3666" t="s">
        <v>241</v>
      </c>
      <c r="H3666" s="2">
        <v>44741.852083333331</v>
      </c>
      <c r="I3666" t="s">
        <v>227</v>
      </c>
      <c r="Z3666">
        <v>36035</v>
      </c>
    </row>
    <row r="3667" spans="1:26" x14ac:dyDescent="0.25">
      <c r="A3667" t="s">
        <v>4056</v>
      </c>
      <c r="B3667" t="s">
        <v>26</v>
      </c>
      <c r="C3667" t="s">
        <v>27</v>
      </c>
      <c r="H3667" s="2">
        <v>44741.636805555558</v>
      </c>
      <c r="I3667" t="s">
        <v>330</v>
      </c>
      <c r="Z3667">
        <v>36018</v>
      </c>
    </row>
    <row r="3668" spans="1:26" x14ac:dyDescent="0.25">
      <c r="A3668" t="s">
        <v>4057</v>
      </c>
      <c r="B3668" t="s">
        <v>26</v>
      </c>
      <c r="C3668" t="s">
        <v>27</v>
      </c>
      <c r="H3668" s="2">
        <v>44740.448611111111</v>
      </c>
      <c r="I3668" t="s">
        <v>226</v>
      </c>
      <c r="Z3668">
        <v>35963</v>
      </c>
    </row>
    <row r="3669" spans="1:26" x14ac:dyDescent="0.25">
      <c r="A3669" t="s">
        <v>3900</v>
      </c>
      <c r="B3669" t="s">
        <v>26</v>
      </c>
      <c r="C3669" t="s">
        <v>27</v>
      </c>
      <c r="H3669" s="2">
        <v>44739.831250000003</v>
      </c>
      <c r="I3669" t="s">
        <v>354</v>
      </c>
      <c r="Z3669">
        <v>35951</v>
      </c>
    </row>
    <row r="3670" spans="1:26" x14ac:dyDescent="0.25">
      <c r="A3670" t="s">
        <v>4058</v>
      </c>
      <c r="B3670" t="s">
        <v>26</v>
      </c>
      <c r="C3670" t="s">
        <v>27</v>
      </c>
      <c r="H3670" s="2">
        <v>44739.7</v>
      </c>
      <c r="I3670" t="s">
        <v>354</v>
      </c>
      <c r="Z3670">
        <v>35937</v>
      </c>
    </row>
    <row r="3671" spans="1:26" x14ac:dyDescent="0.25">
      <c r="A3671" t="s">
        <v>4059</v>
      </c>
      <c r="B3671" t="s">
        <v>26</v>
      </c>
      <c r="C3671" t="s">
        <v>27</v>
      </c>
      <c r="H3671" s="2">
        <v>44739.571527777778</v>
      </c>
      <c r="I3671" t="s">
        <v>226</v>
      </c>
      <c r="Z3671">
        <v>35921</v>
      </c>
    </row>
    <row r="3672" spans="1:26" x14ac:dyDescent="0.25">
      <c r="A3672" t="s">
        <v>4060</v>
      </c>
      <c r="B3672" t="s">
        <v>26</v>
      </c>
      <c r="C3672" t="s">
        <v>27</v>
      </c>
      <c r="H3672" s="2">
        <v>44739.537499999999</v>
      </c>
      <c r="I3672" t="s">
        <v>330</v>
      </c>
      <c r="Z3672">
        <v>35917</v>
      </c>
    </row>
    <row r="3673" spans="1:26" x14ac:dyDescent="0.25">
      <c r="A3673" t="s">
        <v>4061</v>
      </c>
      <c r="B3673" t="s">
        <v>26</v>
      </c>
      <c r="C3673" t="s">
        <v>27</v>
      </c>
      <c r="H3673" s="2">
        <v>44738.629861111112</v>
      </c>
      <c r="I3673" t="s">
        <v>227</v>
      </c>
      <c r="Z3673">
        <v>35891</v>
      </c>
    </row>
    <row r="3674" spans="1:26" x14ac:dyDescent="0.25">
      <c r="A3674" t="s">
        <v>4062</v>
      </c>
      <c r="B3674" t="s">
        <v>26</v>
      </c>
      <c r="C3674" t="s">
        <v>27</v>
      </c>
      <c r="H3674" s="2">
        <v>44738.506944444445</v>
      </c>
      <c r="I3674" t="s">
        <v>357</v>
      </c>
      <c r="Z3674">
        <v>35873</v>
      </c>
    </row>
    <row r="3675" spans="1:26" x14ac:dyDescent="0.25">
      <c r="A3675" t="s">
        <v>4060</v>
      </c>
      <c r="B3675" t="s">
        <v>26</v>
      </c>
      <c r="C3675" t="s">
        <v>27</v>
      </c>
      <c r="H3675" s="2">
        <v>44737.566666666666</v>
      </c>
      <c r="I3675" t="s">
        <v>330</v>
      </c>
      <c r="Z3675">
        <v>35837</v>
      </c>
    </row>
    <row r="3676" spans="1:26" x14ac:dyDescent="0.25">
      <c r="A3676" t="s">
        <v>4060</v>
      </c>
      <c r="B3676" t="s">
        <v>334</v>
      </c>
      <c r="C3676" t="s">
        <v>27</v>
      </c>
      <c r="H3676" s="2">
        <v>44737.477083333331</v>
      </c>
      <c r="I3676" t="s">
        <v>330</v>
      </c>
      <c r="Z3676">
        <v>35824</v>
      </c>
    </row>
    <row r="3677" spans="1:26" x14ac:dyDescent="0.25">
      <c r="A3677" t="s">
        <v>4063</v>
      </c>
      <c r="B3677" t="s">
        <v>26</v>
      </c>
      <c r="C3677" t="s">
        <v>27</v>
      </c>
      <c r="H3677" s="2">
        <v>44736.724305555559</v>
      </c>
      <c r="I3677" t="s">
        <v>327</v>
      </c>
      <c r="Z3677">
        <v>35808</v>
      </c>
    </row>
    <row r="3678" spans="1:26" x14ac:dyDescent="0.25">
      <c r="A3678" t="s">
        <v>4064</v>
      </c>
      <c r="B3678" t="s">
        <v>26</v>
      </c>
      <c r="C3678" t="s">
        <v>27</v>
      </c>
      <c r="H3678" s="2">
        <v>44736.459027777775</v>
      </c>
      <c r="I3678" t="s">
        <v>227</v>
      </c>
      <c r="Z3678">
        <v>35782</v>
      </c>
    </row>
    <row r="3679" spans="1:26" x14ac:dyDescent="0.25">
      <c r="A3679" t="s">
        <v>4065</v>
      </c>
      <c r="B3679" t="s">
        <v>26</v>
      </c>
      <c r="C3679" t="s">
        <v>27</v>
      </c>
      <c r="H3679" s="2">
        <v>44735.543055555558</v>
      </c>
      <c r="I3679" t="s">
        <v>153</v>
      </c>
      <c r="Z3679">
        <v>35750</v>
      </c>
    </row>
    <row r="3680" spans="1:26" x14ac:dyDescent="0.25">
      <c r="A3680" t="s">
        <v>4066</v>
      </c>
      <c r="B3680" t="s">
        <v>26</v>
      </c>
      <c r="C3680" t="s">
        <v>27</v>
      </c>
      <c r="H3680" s="2">
        <v>44735.536111111112</v>
      </c>
      <c r="I3680" t="s">
        <v>226</v>
      </c>
      <c r="Z3680">
        <v>35749</v>
      </c>
    </row>
    <row r="3681" spans="1:26" x14ac:dyDescent="0.25">
      <c r="A3681" t="s">
        <v>4067</v>
      </c>
      <c r="B3681" t="s">
        <v>26</v>
      </c>
      <c r="C3681" t="s">
        <v>27</v>
      </c>
      <c r="H3681" s="2">
        <v>44735.470833333333</v>
      </c>
      <c r="I3681" t="s">
        <v>327</v>
      </c>
      <c r="Z3681">
        <v>35742</v>
      </c>
    </row>
    <row r="3682" spans="1:26" x14ac:dyDescent="0.25">
      <c r="A3682" t="s">
        <v>4068</v>
      </c>
      <c r="B3682" t="s">
        <v>26</v>
      </c>
      <c r="C3682" t="s">
        <v>27</v>
      </c>
      <c r="H3682" s="2">
        <v>44734.841666666667</v>
      </c>
      <c r="I3682" t="s">
        <v>226</v>
      </c>
      <c r="Z3682">
        <v>35733</v>
      </c>
    </row>
    <row r="3683" spans="1:26" x14ac:dyDescent="0.25">
      <c r="A3683" t="s">
        <v>4069</v>
      </c>
      <c r="B3683" t="s">
        <v>26</v>
      </c>
      <c r="C3683" t="s">
        <v>27</v>
      </c>
      <c r="H3683" s="2">
        <v>44734.495833333334</v>
      </c>
      <c r="I3683" t="s">
        <v>226</v>
      </c>
      <c r="Z3683">
        <v>35708</v>
      </c>
    </row>
    <row r="3684" spans="1:26" x14ac:dyDescent="0.25">
      <c r="A3684" t="s">
        <v>4070</v>
      </c>
      <c r="B3684" t="s">
        <v>26</v>
      </c>
      <c r="C3684" t="s">
        <v>27</v>
      </c>
      <c r="H3684" s="2">
        <v>44734.431944444441</v>
      </c>
      <c r="I3684" t="s">
        <v>330</v>
      </c>
      <c r="Z3684">
        <v>35700</v>
      </c>
    </row>
    <row r="3685" spans="1:26" x14ac:dyDescent="0.25">
      <c r="A3685" t="s">
        <v>4071</v>
      </c>
      <c r="B3685" t="s">
        <v>26</v>
      </c>
      <c r="C3685" t="s">
        <v>27</v>
      </c>
      <c r="H3685" s="2">
        <v>44734.397222222222</v>
      </c>
      <c r="I3685" t="s">
        <v>226</v>
      </c>
      <c r="Z3685">
        <v>35696</v>
      </c>
    </row>
    <row r="3686" spans="1:26" x14ac:dyDescent="0.25">
      <c r="A3686" t="s">
        <v>4072</v>
      </c>
      <c r="B3686" t="s">
        <v>46</v>
      </c>
      <c r="C3686" t="s">
        <v>27</v>
      </c>
      <c r="E3686" t="s">
        <v>67</v>
      </c>
      <c r="G3686" t="s">
        <v>4073</v>
      </c>
      <c r="H3686" s="2">
        <v>44733.806250000001</v>
      </c>
      <c r="I3686" t="s">
        <v>354</v>
      </c>
      <c r="K3686" t="s">
        <v>30</v>
      </c>
      <c r="L3686" t="s">
        <v>31</v>
      </c>
      <c r="M3686">
        <v>55887024</v>
      </c>
      <c r="N3686">
        <v>9754613615</v>
      </c>
      <c r="O3686" t="s">
        <v>4074</v>
      </c>
      <c r="Z3686">
        <v>35689</v>
      </c>
    </row>
    <row r="3687" spans="1:26" x14ac:dyDescent="0.25">
      <c r="A3687" t="s">
        <v>4075</v>
      </c>
      <c r="B3687" t="s">
        <v>26</v>
      </c>
      <c r="C3687" t="s">
        <v>27</v>
      </c>
      <c r="H3687" s="2">
        <v>44733.390972222223</v>
      </c>
      <c r="I3687" t="s">
        <v>226</v>
      </c>
      <c r="Z3687">
        <v>35661</v>
      </c>
    </row>
    <row r="3688" spans="1:26" x14ac:dyDescent="0.25">
      <c r="A3688" t="s">
        <v>4076</v>
      </c>
      <c r="B3688" t="s">
        <v>150</v>
      </c>
      <c r="C3688" t="s">
        <v>27</v>
      </c>
      <c r="E3688" t="s">
        <v>4077</v>
      </c>
      <c r="H3688" s="2">
        <v>44732.756944444445</v>
      </c>
      <c r="I3688" t="s">
        <v>346</v>
      </c>
      <c r="K3688" t="s">
        <v>115</v>
      </c>
      <c r="L3688" t="s">
        <v>313</v>
      </c>
      <c r="M3688" t="s">
        <v>314</v>
      </c>
      <c r="Z3688">
        <v>35655</v>
      </c>
    </row>
    <row r="3689" spans="1:26" x14ac:dyDescent="0.25">
      <c r="A3689" t="s">
        <v>712</v>
      </c>
      <c r="B3689" t="s">
        <v>26</v>
      </c>
      <c r="C3689" t="s">
        <v>27</v>
      </c>
      <c r="H3689" s="2">
        <v>44732.599305555559</v>
      </c>
      <c r="I3689" t="s">
        <v>346</v>
      </c>
      <c r="Z3689">
        <v>35644</v>
      </c>
    </row>
    <row r="3690" spans="1:26" x14ac:dyDescent="0.25">
      <c r="A3690" t="s">
        <v>4078</v>
      </c>
      <c r="B3690" t="s">
        <v>26</v>
      </c>
      <c r="C3690" t="s">
        <v>27</v>
      </c>
      <c r="H3690" s="2">
        <v>44732.49722222222</v>
      </c>
      <c r="I3690" t="s">
        <v>346</v>
      </c>
      <c r="Z3690">
        <v>35635</v>
      </c>
    </row>
    <row r="3691" spans="1:26" x14ac:dyDescent="0.25">
      <c r="A3691" t="s">
        <v>4079</v>
      </c>
      <c r="B3691" t="s">
        <v>150</v>
      </c>
      <c r="C3691" t="s">
        <v>27</v>
      </c>
      <c r="E3691" t="s">
        <v>76</v>
      </c>
      <c r="G3691" t="s">
        <v>4080</v>
      </c>
      <c r="H3691" s="2">
        <v>44731.929166666669</v>
      </c>
      <c r="I3691" t="s">
        <v>346</v>
      </c>
      <c r="Z3691">
        <v>35620</v>
      </c>
    </row>
    <row r="3692" spans="1:26" x14ac:dyDescent="0.25">
      <c r="A3692" t="s">
        <v>3539</v>
      </c>
      <c r="B3692" t="s">
        <v>26</v>
      </c>
      <c r="C3692" t="s">
        <v>27</v>
      </c>
      <c r="H3692" s="2">
        <v>44731.631249999999</v>
      </c>
      <c r="I3692" t="s">
        <v>327</v>
      </c>
      <c r="Z3692">
        <v>35601</v>
      </c>
    </row>
    <row r="3693" spans="1:26" x14ac:dyDescent="0.25">
      <c r="A3693" t="s">
        <v>4081</v>
      </c>
      <c r="B3693" t="s">
        <v>26</v>
      </c>
      <c r="C3693" t="s">
        <v>27</v>
      </c>
      <c r="H3693" s="2">
        <v>44731.595138888886</v>
      </c>
      <c r="I3693" t="s">
        <v>330</v>
      </c>
      <c r="Z3693">
        <v>35596</v>
      </c>
    </row>
    <row r="3694" spans="1:26" x14ac:dyDescent="0.25">
      <c r="A3694" t="s">
        <v>3193</v>
      </c>
      <c r="B3694" t="s">
        <v>26</v>
      </c>
      <c r="C3694" t="s">
        <v>27</v>
      </c>
      <c r="H3694" s="2">
        <v>44731.564583333333</v>
      </c>
      <c r="I3694" t="s">
        <v>346</v>
      </c>
      <c r="Z3694">
        <v>35593</v>
      </c>
    </row>
    <row r="3695" spans="1:26" x14ac:dyDescent="0.25">
      <c r="A3695" t="s">
        <v>4082</v>
      </c>
      <c r="B3695" t="s">
        <v>26</v>
      </c>
      <c r="C3695" t="s">
        <v>27</v>
      </c>
      <c r="H3695" s="2">
        <v>44730.570833333331</v>
      </c>
      <c r="I3695" t="s">
        <v>330</v>
      </c>
      <c r="Z3695">
        <v>35548</v>
      </c>
    </row>
    <row r="3696" spans="1:26" x14ac:dyDescent="0.25">
      <c r="A3696" t="s">
        <v>4068</v>
      </c>
      <c r="B3696" t="s">
        <v>26</v>
      </c>
      <c r="C3696" t="s">
        <v>27</v>
      </c>
      <c r="H3696" s="2">
        <v>44730.435416666667</v>
      </c>
      <c r="I3696" t="s">
        <v>226</v>
      </c>
      <c r="Z3696">
        <v>35533</v>
      </c>
    </row>
    <row r="3697" spans="1:26" x14ac:dyDescent="0.25">
      <c r="A3697" t="s">
        <v>4083</v>
      </c>
      <c r="B3697" t="s">
        <v>26</v>
      </c>
      <c r="C3697" t="s">
        <v>27</v>
      </c>
      <c r="H3697" s="2">
        <v>44729.488888888889</v>
      </c>
      <c r="I3697" t="s">
        <v>327</v>
      </c>
      <c r="Z3697">
        <v>35500</v>
      </c>
    </row>
    <row r="3698" spans="1:26" x14ac:dyDescent="0.25">
      <c r="A3698" t="s">
        <v>4084</v>
      </c>
      <c r="B3698" t="s">
        <v>26</v>
      </c>
      <c r="C3698" t="s">
        <v>27</v>
      </c>
      <c r="H3698" s="2">
        <v>44727.577777777777</v>
      </c>
      <c r="I3698" t="s">
        <v>226</v>
      </c>
      <c r="Z3698">
        <v>35406</v>
      </c>
    </row>
    <row r="3699" spans="1:26" x14ac:dyDescent="0.25">
      <c r="A3699" t="s">
        <v>4085</v>
      </c>
      <c r="B3699" t="s">
        <v>26</v>
      </c>
      <c r="C3699" t="s">
        <v>27</v>
      </c>
      <c r="H3699" s="2">
        <v>44727.563194444447</v>
      </c>
      <c r="I3699" t="s">
        <v>153</v>
      </c>
      <c r="Z3699">
        <v>35400</v>
      </c>
    </row>
    <row r="3700" spans="1:26" x14ac:dyDescent="0.25">
      <c r="A3700" t="s">
        <v>4086</v>
      </c>
      <c r="B3700" t="s">
        <v>26</v>
      </c>
      <c r="C3700" t="s">
        <v>27</v>
      </c>
      <c r="H3700" s="2">
        <v>44727.542361111111</v>
      </c>
      <c r="I3700" t="s">
        <v>226</v>
      </c>
      <c r="Z3700">
        <v>35391</v>
      </c>
    </row>
    <row r="3701" spans="1:26" x14ac:dyDescent="0.25">
      <c r="A3701" t="s">
        <v>4087</v>
      </c>
      <c r="B3701" t="s">
        <v>26</v>
      </c>
      <c r="C3701" t="s">
        <v>27</v>
      </c>
      <c r="H3701" s="2">
        <v>44727.417361111111</v>
      </c>
      <c r="I3701" t="s">
        <v>226</v>
      </c>
      <c r="Z3701">
        <v>35375</v>
      </c>
    </row>
    <row r="3702" spans="1:26" x14ac:dyDescent="0.25">
      <c r="A3702" t="s">
        <v>4088</v>
      </c>
      <c r="B3702" t="s">
        <v>164</v>
      </c>
      <c r="C3702" t="s">
        <v>27</v>
      </c>
      <c r="E3702" t="s">
        <v>4089</v>
      </c>
      <c r="H3702" s="2">
        <v>44726.619444444441</v>
      </c>
      <c r="I3702" t="s">
        <v>357</v>
      </c>
      <c r="Z3702">
        <v>35340</v>
      </c>
    </row>
    <row r="3703" spans="1:26" x14ac:dyDescent="0.25">
      <c r="A3703" t="s">
        <v>4090</v>
      </c>
      <c r="B3703" t="s">
        <v>26</v>
      </c>
      <c r="C3703" t="s">
        <v>27</v>
      </c>
      <c r="H3703" s="2">
        <v>44726.56527777778</v>
      </c>
      <c r="I3703" t="s">
        <v>354</v>
      </c>
      <c r="Z3703">
        <v>35336</v>
      </c>
    </row>
    <row r="3704" spans="1:26" x14ac:dyDescent="0.25">
      <c r="A3704" t="s">
        <v>4091</v>
      </c>
      <c r="B3704" t="s">
        <v>26</v>
      </c>
      <c r="C3704" t="s">
        <v>27</v>
      </c>
      <c r="H3704" s="2">
        <v>44726.506249999999</v>
      </c>
      <c r="I3704" t="s">
        <v>330</v>
      </c>
      <c r="Z3704">
        <v>35330</v>
      </c>
    </row>
    <row r="3705" spans="1:26" x14ac:dyDescent="0.25">
      <c r="A3705" t="s">
        <v>4092</v>
      </c>
      <c r="B3705" t="s">
        <v>26</v>
      </c>
      <c r="C3705" t="s">
        <v>27</v>
      </c>
      <c r="H3705" s="2">
        <v>44726.498611111114</v>
      </c>
      <c r="I3705" t="s">
        <v>357</v>
      </c>
      <c r="Z3705">
        <v>35327</v>
      </c>
    </row>
    <row r="3706" spans="1:26" x14ac:dyDescent="0.25">
      <c r="A3706" t="s">
        <v>318</v>
      </c>
      <c r="B3706" t="s">
        <v>164</v>
      </c>
      <c r="C3706" t="s">
        <v>27</v>
      </c>
      <c r="E3706" t="s">
        <v>87</v>
      </c>
      <c r="H3706" s="2">
        <v>44725.930555555555</v>
      </c>
      <c r="I3706" t="s">
        <v>357</v>
      </c>
      <c r="K3706" t="s">
        <v>30</v>
      </c>
      <c r="L3706" t="s">
        <v>31</v>
      </c>
      <c r="M3706">
        <v>67130164</v>
      </c>
      <c r="N3706">
        <v>11954128608</v>
      </c>
      <c r="O3706" t="s">
        <v>1920</v>
      </c>
      <c r="Z3706">
        <v>35313</v>
      </c>
    </row>
    <row r="3707" spans="1:26" x14ac:dyDescent="0.25">
      <c r="A3707" t="s">
        <v>4093</v>
      </c>
      <c r="B3707" t="s">
        <v>26</v>
      </c>
      <c r="C3707" t="s">
        <v>27</v>
      </c>
      <c r="H3707" s="2">
        <v>44725.620138888888</v>
      </c>
      <c r="I3707" t="s">
        <v>153</v>
      </c>
      <c r="Z3707">
        <v>35291</v>
      </c>
    </row>
    <row r="3708" spans="1:26" x14ac:dyDescent="0.25">
      <c r="A3708" t="s">
        <v>204</v>
      </c>
      <c r="B3708" t="s">
        <v>185</v>
      </c>
      <c r="C3708" t="s">
        <v>27</v>
      </c>
      <c r="E3708" t="s">
        <v>53</v>
      </c>
      <c r="H3708" s="2">
        <v>44723.959027777775</v>
      </c>
      <c r="I3708" t="s">
        <v>346</v>
      </c>
      <c r="Z3708">
        <v>35216</v>
      </c>
    </row>
    <row r="3709" spans="1:26" x14ac:dyDescent="0.25">
      <c r="A3709" t="s">
        <v>1054</v>
      </c>
      <c r="B3709" t="s">
        <v>26</v>
      </c>
      <c r="C3709" t="s">
        <v>27</v>
      </c>
      <c r="H3709" s="2">
        <v>44722.754861111112</v>
      </c>
      <c r="I3709" t="s">
        <v>294</v>
      </c>
      <c r="Z3709">
        <v>35142</v>
      </c>
    </row>
    <row r="3710" spans="1:26" x14ac:dyDescent="0.25">
      <c r="A3710" t="s">
        <v>4094</v>
      </c>
      <c r="B3710" t="s">
        <v>26</v>
      </c>
      <c r="C3710" t="s">
        <v>27</v>
      </c>
      <c r="H3710" s="2">
        <v>44722.517361111109</v>
      </c>
      <c r="I3710" t="s">
        <v>355</v>
      </c>
      <c r="Z3710">
        <v>35115</v>
      </c>
    </row>
    <row r="3711" spans="1:26" x14ac:dyDescent="0.25">
      <c r="A3711" t="s">
        <v>4095</v>
      </c>
      <c r="B3711" t="s">
        <v>26</v>
      </c>
      <c r="C3711" t="s">
        <v>27</v>
      </c>
      <c r="H3711" s="2">
        <v>44721.754861111112</v>
      </c>
      <c r="I3711" t="s">
        <v>357</v>
      </c>
      <c r="Z3711">
        <v>35088</v>
      </c>
    </row>
    <row r="3712" spans="1:26" x14ac:dyDescent="0.25">
      <c r="A3712" t="s">
        <v>4096</v>
      </c>
      <c r="B3712" t="s">
        <v>26</v>
      </c>
      <c r="C3712" t="s">
        <v>27</v>
      </c>
      <c r="E3712" t="s">
        <v>4097</v>
      </c>
      <c r="H3712" s="2">
        <v>44721.511805555558</v>
      </c>
      <c r="I3712" t="s">
        <v>226</v>
      </c>
      <c r="Z3712">
        <v>35060</v>
      </c>
    </row>
    <row r="3713" spans="1:26" x14ac:dyDescent="0.25">
      <c r="A3713" t="s">
        <v>4098</v>
      </c>
      <c r="B3713" t="s">
        <v>26</v>
      </c>
      <c r="C3713" t="s">
        <v>27</v>
      </c>
      <c r="H3713" s="2">
        <v>44721.469444444447</v>
      </c>
      <c r="I3713" t="s">
        <v>357</v>
      </c>
      <c r="Z3713">
        <v>35056</v>
      </c>
    </row>
    <row r="3714" spans="1:26" x14ac:dyDescent="0.25">
      <c r="A3714" t="s">
        <v>4099</v>
      </c>
      <c r="B3714" t="s">
        <v>26</v>
      </c>
      <c r="C3714" t="s">
        <v>27</v>
      </c>
      <c r="H3714" s="2">
        <v>44720.574999999997</v>
      </c>
      <c r="I3714" t="s">
        <v>357</v>
      </c>
      <c r="Z3714">
        <v>35015</v>
      </c>
    </row>
    <row r="3715" spans="1:26" x14ac:dyDescent="0.25">
      <c r="A3715" t="s">
        <v>4100</v>
      </c>
      <c r="B3715" t="s">
        <v>164</v>
      </c>
      <c r="C3715" t="s">
        <v>27</v>
      </c>
      <c r="E3715" t="s">
        <v>120</v>
      </c>
      <c r="H3715" s="2">
        <v>44720.560416666667</v>
      </c>
      <c r="I3715" t="s">
        <v>357</v>
      </c>
      <c r="Z3715">
        <v>35013</v>
      </c>
    </row>
    <row r="3716" spans="1:26" x14ac:dyDescent="0.25">
      <c r="A3716" t="s">
        <v>4101</v>
      </c>
      <c r="B3716" t="s">
        <v>26</v>
      </c>
      <c r="C3716" t="s">
        <v>27</v>
      </c>
      <c r="H3716" s="2">
        <v>44720.523611111108</v>
      </c>
      <c r="I3716" t="s">
        <v>346</v>
      </c>
      <c r="Z3716">
        <v>35010</v>
      </c>
    </row>
    <row r="3717" spans="1:26" x14ac:dyDescent="0.25">
      <c r="A3717" t="s">
        <v>4102</v>
      </c>
      <c r="B3717" t="s">
        <v>164</v>
      </c>
      <c r="C3717" t="s">
        <v>27</v>
      </c>
      <c r="E3717" t="s">
        <v>4103</v>
      </c>
      <c r="H3717" s="2">
        <v>44720.385416666664</v>
      </c>
      <c r="I3717" t="s">
        <v>346</v>
      </c>
      <c r="Z3717">
        <v>34998</v>
      </c>
    </row>
    <row r="3718" spans="1:26" x14ac:dyDescent="0.25">
      <c r="A3718" t="s">
        <v>4104</v>
      </c>
      <c r="B3718" t="s">
        <v>26</v>
      </c>
      <c r="C3718" t="s">
        <v>27</v>
      </c>
      <c r="H3718" s="2">
        <v>44720.381944444445</v>
      </c>
      <c r="I3718" t="s">
        <v>153</v>
      </c>
      <c r="Z3718">
        <v>34997</v>
      </c>
    </row>
    <row r="3719" spans="1:26" x14ac:dyDescent="0.25">
      <c r="A3719" t="s">
        <v>4105</v>
      </c>
      <c r="B3719" t="s">
        <v>46</v>
      </c>
      <c r="C3719" t="s">
        <v>27</v>
      </c>
      <c r="E3719" t="s">
        <v>106</v>
      </c>
      <c r="G3719" t="s">
        <v>4106</v>
      </c>
      <c r="H3719" s="2">
        <v>44719.833333333336</v>
      </c>
      <c r="I3719" t="s">
        <v>357</v>
      </c>
      <c r="Z3719">
        <v>34989</v>
      </c>
    </row>
    <row r="3720" spans="1:26" x14ac:dyDescent="0.25">
      <c r="A3720" t="s">
        <v>4107</v>
      </c>
      <c r="B3720" t="s">
        <v>26</v>
      </c>
      <c r="C3720" t="s">
        <v>27</v>
      </c>
      <c r="H3720" s="2">
        <v>44719.630555555559</v>
      </c>
      <c r="I3720" t="s">
        <v>357</v>
      </c>
      <c r="Z3720">
        <v>34972</v>
      </c>
    </row>
    <row r="3721" spans="1:26" x14ac:dyDescent="0.25">
      <c r="A3721" t="s">
        <v>4108</v>
      </c>
      <c r="B3721" t="s">
        <v>26</v>
      </c>
      <c r="C3721" t="s">
        <v>27</v>
      </c>
      <c r="H3721" s="2">
        <v>44719.422222222223</v>
      </c>
      <c r="I3721" t="s">
        <v>330</v>
      </c>
      <c r="Z3721">
        <v>34949</v>
      </c>
    </row>
    <row r="3722" spans="1:26" x14ac:dyDescent="0.25">
      <c r="A3722" t="s">
        <v>4109</v>
      </c>
      <c r="B3722" t="s">
        <v>26</v>
      </c>
      <c r="C3722" t="s">
        <v>27</v>
      </c>
      <c r="H3722" s="2">
        <v>44716.488194444442</v>
      </c>
      <c r="I3722" t="s">
        <v>226</v>
      </c>
      <c r="Z3722">
        <v>34825</v>
      </c>
    </row>
    <row r="3723" spans="1:26" x14ac:dyDescent="0.25">
      <c r="A3723" t="s">
        <v>4110</v>
      </c>
      <c r="B3723" t="s">
        <v>26</v>
      </c>
      <c r="C3723" t="s">
        <v>27</v>
      </c>
      <c r="H3723" s="2">
        <v>44715.875694444447</v>
      </c>
      <c r="I3723" t="s">
        <v>226</v>
      </c>
      <c r="Z3723">
        <v>34811</v>
      </c>
    </row>
    <row r="3724" spans="1:26" x14ac:dyDescent="0.25">
      <c r="A3724" t="s">
        <v>3076</v>
      </c>
      <c r="B3724" t="s">
        <v>185</v>
      </c>
      <c r="C3724" t="s">
        <v>27</v>
      </c>
      <c r="E3724" t="s">
        <v>57</v>
      </c>
      <c r="H3724" s="2">
        <v>44715.795138888891</v>
      </c>
      <c r="I3724" t="s">
        <v>354</v>
      </c>
      <c r="Z3724">
        <v>34807</v>
      </c>
    </row>
    <row r="3725" spans="1:26" x14ac:dyDescent="0.25">
      <c r="A3725" t="s">
        <v>712</v>
      </c>
      <c r="B3725" t="s">
        <v>52</v>
      </c>
      <c r="C3725" t="s">
        <v>27</v>
      </c>
      <c r="H3725" s="2">
        <v>44715.774305555555</v>
      </c>
      <c r="I3725" t="s">
        <v>227</v>
      </c>
      <c r="Z3725">
        <v>34805</v>
      </c>
    </row>
    <row r="3726" spans="1:26" x14ac:dyDescent="0.25">
      <c r="A3726" t="s">
        <v>4111</v>
      </c>
      <c r="B3726" t="s">
        <v>26</v>
      </c>
      <c r="C3726" t="s">
        <v>27</v>
      </c>
      <c r="H3726" s="2">
        <v>44715.572916666664</v>
      </c>
      <c r="I3726" t="s">
        <v>226</v>
      </c>
      <c r="Z3726">
        <v>34789</v>
      </c>
    </row>
    <row r="3727" spans="1:26" x14ac:dyDescent="0.25">
      <c r="A3727" t="s">
        <v>712</v>
      </c>
      <c r="B3727" t="s">
        <v>26</v>
      </c>
      <c r="C3727" t="s">
        <v>27</v>
      </c>
      <c r="H3727" s="2">
        <v>44714.565972222219</v>
      </c>
      <c r="I3727" t="s">
        <v>194</v>
      </c>
      <c r="Z3727">
        <v>34711</v>
      </c>
    </row>
    <row r="3728" spans="1:26" x14ac:dyDescent="0.25">
      <c r="A3728" t="s">
        <v>4112</v>
      </c>
      <c r="B3728" t="s">
        <v>26</v>
      </c>
      <c r="C3728" t="s">
        <v>27</v>
      </c>
      <c r="H3728" s="2">
        <v>44712.808333333334</v>
      </c>
      <c r="I3728" t="s">
        <v>327</v>
      </c>
      <c r="Z3728">
        <v>34621</v>
      </c>
    </row>
    <row r="3729" spans="1:26" x14ac:dyDescent="0.25">
      <c r="A3729" t="s">
        <v>345</v>
      </c>
      <c r="C3729" t="s">
        <v>27</v>
      </c>
      <c r="E3729" t="s">
        <v>65</v>
      </c>
      <c r="H3729" s="2">
        <v>44712.734722222223</v>
      </c>
      <c r="I3729" t="s">
        <v>357</v>
      </c>
      <c r="Z3729">
        <v>34610</v>
      </c>
    </row>
    <row r="3730" spans="1:26" x14ac:dyDescent="0.25">
      <c r="A3730" t="s">
        <v>4113</v>
      </c>
      <c r="B3730" t="s">
        <v>26</v>
      </c>
      <c r="C3730" t="s">
        <v>27</v>
      </c>
      <c r="H3730" s="2">
        <v>44712.415277777778</v>
      </c>
      <c r="I3730" t="s">
        <v>346</v>
      </c>
      <c r="Z3730">
        <v>34552</v>
      </c>
    </row>
    <row r="3731" spans="1:26" x14ac:dyDescent="0.25">
      <c r="A3731" t="s">
        <v>4114</v>
      </c>
      <c r="B3731" t="s">
        <v>26</v>
      </c>
      <c r="C3731" t="s">
        <v>27</v>
      </c>
      <c r="H3731" s="2">
        <v>44712.410416666666</v>
      </c>
      <c r="I3731" t="s">
        <v>346</v>
      </c>
      <c r="Z3731">
        <v>34550</v>
      </c>
    </row>
    <row r="3732" spans="1:26" x14ac:dyDescent="0.25">
      <c r="A3732" t="s">
        <v>4115</v>
      </c>
      <c r="B3732" t="s">
        <v>26</v>
      </c>
      <c r="C3732" t="s">
        <v>27</v>
      </c>
      <c r="E3732" t="s">
        <v>173</v>
      </c>
      <c r="G3732" t="s">
        <v>4116</v>
      </c>
      <c r="H3732" s="2">
        <v>44711.6875</v>
      </c>
      <c r="I3732" t="s">
        <v>346</v>
      </c>
      <c r="Z3732">
        <v>34523</v>
      </c>
    </row>
    <row r="3733" spans="1:26" x14ac:dyDescent="0.25">
      <c r="A3733" t="s">
        <v>4117</v>
      </c>
      <c r="B3733" t="s">
        <v>26</v>
      </c>
      <c r="C3733" t="s">
        <v>27</v>
      </c>
      <c r="H3733" s="2">
        <v>44711.670138888891</v>
      </c>
      <c r="I3733" t="s">
        <v>194</v>
      </c>
      <c r="Z3733">
        <v>34522</v>
      </c>
    </row>
    <row r="3734" spans="1:26" x14ac:dyDescent="0.25">
      <c r="A3734" t="s">
        <v>4118</v>
      </c>
      <c r="B3734" t="s">
        <v>26</v>
      </c>
      <c r="C3734" t="s">
        <v>27</v>
      </c>
      <c r="H3734" s="2">
        <v>44711.643750000003</v>
      </c>
      <c r="I3734" t="s">
        <v>327</v>
      </c>
      <c r="Z3734">
        <v>34517</v>
      </c>
    </row>
    <row r="3735" spans="1:26" x14ac:dyDescent="0.25">
      <c r="A3735" t="s">
        <v>4119</v>
      </c>
      <c r="B3735" t="s">
        <v>164</v>
      </c>
      <c r="C3735" t="s">
        <v>27</v>
      </c>
      <c r="E3735" t="s">
        <v>4120</v>
      </c>
      <c r="H3735" s="2">
        <v>44711.559027777781</v>
      </c>
      <c r="I3735" t="s">
        <v>357</v>
      </c>
      <c r="Z3735">
        <v>34499</v>
      </c>
    </row>
    <row r="3736" spans="1:26" x14ac:dyDescent="0.25">
      <c r="A3736" t="s">
        <v>4121</v>
      </c>
      <c r="B3736" t="s">
        <v>26</v>
      </c>
      <c r="C3736" t="s">
        <v>27</v>
      </c>
      <c r="E3736" t="s">
        <v>4122</v>
      </c>
      <c r="H3736" s="2">
        <v>44710.871527777781</v>
      </c>
      <c r="I3736" t="s">
        <v>226</v>
      </c>
      <c r="Z3736">
        <v>34467</v>
      </c>
    </row>
    <row r="3737" spans="1:26" x14ac:dyDescent="0.25">
      <c r="A3737" t="s">
        <v>4123</v>
      </c>
      <c r="B3737" t="s">
        <v>26</v>
      </c>
      <c r="C3737" t="s">
        <v>27</v>
      </c>
      <c r="H3737" s="2">
        <v>44710.560416666667</v>
      </c>
      <c r="I3737" t="s">
        <v>226</v>
      </c>
      <c r="Z3737">
        <v>34449</v>
      </c>
    </row>
    <row r="3738" spans="1:26" x14ac:dyDescent="0.25">
      <c r="A3738" t="s">
        <v>4124</v>
      </c>
      <c r="B3738" t="s">
        <v>26</v>
      </c>
      <c r="C3738" t="s">
        <v>27</v>
      </c>
      <c r="H3738" s="2">
        <v>44709.751388888886</v>
      </c>
      <c r="I3738" t="s">
        <v>226</v>
      </c>
      <c r="Z3738">
        <v>34427</v>
      </c>
    </row>
    <row r="3739" spans="1:26" x14ac:dyDescent="0.25">
      <c r="A3739" t="s">
        <v>4125</v>
      </c>
      <c r="B3739" t="s">
        <v>26</v>
      </c>
      <c r="C3739" t="s">
        <v>27</v>
      </c>
      <c r="H3739" s="2">
        <v>44709.628472222219</v>
      </c>
      <c r="I3739" t="s">
        <v>354</v>
      </c>
      <c r="Z3739">
        <v>34423</v>
      </c>
    </row>
    <row r="3740" spans="1:26" x14ac:dyDescent="0.25">
      <c r="A3740" t="s">
        <v>4126</v>
      </c>
      <c r="B3740" t="s">
        <v>164</v>
      </c>
      <c r="C3740" t="s">
        <v>27</v>
      </c>
      <c r="E3740" t="s">
        <v>73</v>
      </c>
      <c r="G3740" t="s">
        <v>4127</v>
      </c>
      <c r="H3740" s="2">
        <v>44708.680555555555</v>
      </c>
      <c r="I3740" t="s">
        <v>357</v>
      </c>
      <c r="Z3740">
        <v>34383</v>
      </c>
    </row>
    <row r="3741" spans="1:26" x14ac:dyDescent="0.25">
      <c r="A3741" t="s">
        <v>712</v>
      </c>
      <c r="B3741" t="s">
        <v>26</v>
      </c>
      <c r="C3741" t="s">
        <v>27</v>
      </c>
      <c r="H3741" s="2">
        <v>44708.647916666669</v>
      </c>
      <c r="I3741" t="s">
        <v>294</v>
      </c>
      <c r="Z3741">
        <v>34376</v>
      </c>
    </row>
    <row r="3742" spans="1:26" x14ac:dyDescent="0.25">
      <c r="A3742" t="s">
        <v>4128</v>
      </c>
      <c r="B3742" t="s">
        <v>26</v>
      </c>
      <c r="C3742" t="s">
        <v>27</v>
      </c>
      <c r="H3742" s="2">
        <v>44708.397916666669</v>
      </c>
      <c r="I3742" t="s">
        <v>346</v>
      </c>
      <c r="Z3742">
        <v>34353</v>
      </c>
    </row>
    <row r="3743" spans="1:26" x14ac:dyDescent="0.25">
      <c r="A3743" t="s">
        <v>272</v>
      </c>
      <c r="B3743" t="s">
        <v>164</v>
      </c>
      <c r="C3743" t="s">
        <v>27</v>
      </c>
      <c r="E3743" t="s">
        <v>141</v>
      </c>
      <c r="H3743" s="2">
        <v>44707.498611111114</v>
      </c>
      <c r="I3743" t="s">
        <v>346</v>
      </c>
      <c r="Z3743">
        <v>34306</v>
      </c>
    </row>
    <row r="3744" spans="1:26" x14ac:dyDescent="0.25">
      <c r="A3744" t="s">
        <v>2940</v>
      </c>
      <c r="B3744" t="s">
        <v>185</v>
      </c>
      <c r="C3744" t="s">
        <v>27</v>
      </c>
      <c r="E3744" t="s">
        <v>56</v>
      </c>
      <c r="H3744" s="2">
        <v>44706.569444444445</v>
      </c>
      <c r="I3744" t="s">
        <v>327</v>
      </c>
      <c r="Z3744">
        <v>34252</v>
      </c>
    </row>
    <row r="3745" spans="1:26" x14ac:dyDescent="0.25">
      <c r="A3745" t="s">
        <v>4129</v>
      </c>
      <c r="B3745" t="s">
        <v>26</v>
      </c>
      <c r="C3745" t="s">
        <v>27</v>
      </c>
      <c r="H3745" s="2">
        <v>44706.398611111108</v>
      </c>
      <c r="I3745" t="s">
        <v>327</v>
      </c>
      <c r="Z3745">
        <v>34232</v>
      </c>
    </row>
    <row r="3746" spans="1:26" x14ac:dyDescent="0.25">
      <c r="A3746" t="s">
        <v>3868</v>
      </c>
      <c r="B3746" t="s">
        <v>26</v>
      </c>
      <c r="C3746" t="s">
        <v>27</v>
      </c>
      <c r="H3746" s="2">
        <v>44705.445833333331</v>
      </c>
      <c r="I3746" t="s">
        <v>153</v>
      </c>
      <c r="Z3746">
        <v>34175</v>
      </c>
    </row>
    <row r="3747" spans="1:26" x14ac:dyDescent="0.25">
      <c r="A3747" t="s">
        <v>4130</v>
      </c>
      <c r="B3747" t="s">
        <v>185</v>
      </c>
      <c r="C3747" t="s">
        <v>27</v>
      </c>
      <c r="E3747" t="s">
        <v>4131</v>
      </c>
      <c r="H3747" s="2">
        <v>44705.426388888889</v>
      </c>
      <c r="I3747" t="s">
        <v>346</v>
      </c>
      <c r="Z3747">
        <v>34171</v>
      </c>
    </row>
    <row r="3748" spans="1:26" x14ac:dyDescent="0.25">
      <c r="A3748" t="s">
        <v>372</v>
      </c>
      <c r="B3748" t="s">
        <v>185</v>
      </c>
      <c r="C3748" t="s">
        <v>27</v>
      </c>
      <c r="E3748" t="s">
        <v>195</v>
      </c>
      <c r="H3748" s="2">
        <v>44704.577777777777</v>
      </c>
      <c r="I3748" t="s">
        <v>354</v>
      </c>
      <c r="Z3748">
        <v>34144</v>
      </c>
    </row>
    <row r="3749" spans="1:26" x14ac:dyDescent="0.25">
      <c r="A3749" t="s">
        <v>102</v>
      </c>
      <c r="B3749" t="s">
        <v>334</v>
      </c>
      <c r="C3749" t="s">
        <v>27</v>
      </c>
      <c r="H3749" s="2">
        <v>44704.40902777778</v>
      </c>
      <c r="I3749" t="s">
        <v>346</v>
      </c>
      <c r="K3749" t="s">
        <v>30</v>
      </c>
      <c r="L3749" t="s">
        <v>31</v>
      </c>
      <c r="M3749">
        <v>55887024</v>
      </c>
      <c r="N3749">
        <v>9754613601</v>
      </c>
      <c r="O3749" t="s">
        <v>2039</v>
      </c>
      <c r="Z3749">
        <v>34127</v>
      </c>
    </row>
    <row r="3750" spans="1:26" x14ac:dyDescent="0.25">
      <c r="A3750" t="s">
        <v>4132</v>
      </c>
      <c r="B3750" t="s">
        <v>26</v>
      </c>
      <c r="C3750" t="s">
        <v>27</v>
      </c>
      <c r="H3750" s="2">
        <v>44704.35833333333</v>
      </c>
      <c r="I3750" t="s">
        <v>226</v>
      </c>
      <c r="Z3750">
        <v>34124</v>
      </c>
    </row>
    <row r="3751" spans="1:26" x14ac:dyDescent="0.25">
      <c r="A3751" t="s">
        <v>4133</v>
      </c>
      <c r="B3751" t="s">
        <v>26</v>
      </c>
      <c r="C3751" t="s">
        <v>27</v>
      </c>
      <c r="H3751" s="2">
        <v>44703.393055555556</v>
      </c>
      <c r="I3751" t="s">
        <v>354</v>
      </c>
      <c r="Z3751">
        <v>34090</v>
      </c>
    </row>
    <row r="3752" spans="1:26" x14ac:dyDescent="0.25">
      <c r="A3752" t="s">
        <v>4092</v>
      </c>
      <c r="B3752" t="s">
        <v>26</v>
      </c>
      <c r="C3752" t="s">
        <v>27</v>
      </c>
      <c r="H3752" s="2">
        <v>44702.804861111108</v>
      </c>
      <c r="I3752" t="s">
        <v>346</v>
      </c>
      <c r="Z3752">
        <v>34083</v>
      </c>
    </row>
    <row r="3753" spans="1:26" x14ac:dyDescent="0.25">
      <c r="A3753" t="s">
        <v>4134</v>
      </c>
      <c r="B3753" t="s">
        <v>26</v>
      </c>
      <c r="C3753" t="s">
        <v>27</v>
      </c>
      <c r="H3753" s="2">
        <v>44701.791666666664</v>
      </c>
      <c r="I3753" t="s">
        <v>346</v>
      </c>
      <c r="Z3753">
        <v>34036</v>
      </c>
    </row>
    <row r="3754" spans="1:26" x14ac:dyDescent="0.25">
      <c r="A3754" t="s">
        <v>4135</v>
      </c>
      <c r="B3754" t="s">
        <v>26</v>
      </c>
      <c r="C3754" t="s">
        <v>27</v>
      </c>
      <c r="H3754" s="2">
        <v>44701.724999999999</v>
      </c>
      <c r="I3754" t="s">
        <v>346</v>
      </c>
      <c r="Z3754">
        <v>34031</v>
      </c>
    </row>
    <row r="3755" spans="1:26" x14ac:dyDescent="0.25">
      <c r="A3755" t="s">
        <v>342</v>
      </c>
      <c r="C3755" t="s">
        <v>27</v>
      </c>
      <c r="E3755" t="s">
        <v>112</v>
      </c>
      <c r="H3755" s="2">
        <v>44701.381944444445</v>
      </c>
      <c r="I3755" t="s">
        <v>346</v>
      </c>
      <c r="Z3755">
        <v>33988</v>
      </c>
    </row>
    <row r="3756" spans="1:26" x14ac:dyDescent="0.25">
      <c r="A3756" t="s">
        <v>3825</v>
      </c>
      <c r="B3756" t="s">
        <v>26</v>
      </c>
      <c r="C3756" t="s">
        <v>27</v>
      </c>
      <c r="H3756" s="2">
        <v>44700.630555555559</v>
      </c>
      <c r="I3756" t="s">
        <v>357</v>
      </c>
      <c r="Z3756">
        <v>33968</v>
      </c>
    </row>
    <row r="3757" spans="1:26" x14ac:dyDescent="0.25">
      <c r="A3757" t="s">
        <v>4136</v>
      </c>
      <c r="B3757" t="s">
        <v>52</v>
      </c>
      <c r="C3757" t="s">
        <v>27</v>
      </c>
      <c r="H3757" s="2">
        <v>44700.40902777778</v>
      </c>
      <c r="I3757" t="s">
        <v>357</v>
      </c>
      <c r="Z3757">
        <v>33953</v>
      </c>
    </row>
    <row r="3758" spans="1:26" x14ac:dyDescent="0.25">
      <c r="A3758" t="s">
        <v>4137</v>
      </c>
      <c r="B3758" t="s">
        <v>26</v>
      </c>
      <c r="C3758" t="s">
        <v>27</v>
      </c>
      <c r="E3758" t="s">
        <v>45</v>
      </c>
      <c r="H3758" s="2">
        <v>44699.578472222223</v>
      </c>
      <c r="I3758" t="s">
        <v>327</v>
      </c>
      <c r="Z3758">
        <v>33925</v>
      </c>
    </row>
    <row r="3759" spans="1:26" x14ac:dyDescent="0.25">
      <c r="A3759" t="s">
        <v>4132</v>
      </c>
      <c r="B3759" t="s">
        <v>26</v>
      </c>
      <c r="C3759" t="s">
        <v>27</v>
      </c>
      <c r="H3759" s="2">
        <v>44699.532638888886</v>
      </c>
      <c r="I3759" t="s">
        <v>327</v>
      </c>
      <c r="Z3759">
        <v>33918</v>
      </c>
    </row>
    <row r="3760" spans="1:26" x14ac:dyDescent="0.25">
      <c r="A3760" t="s">
        <v>4138</v>
      </c>
      <c r="B3760" t="s">
        <v>26</v>
      </c>
      <c r="C3760" t="s">
        <v>27</v>
      </c>
      <c r="H3760" s="2">
        <v>44698.840277777781</v>
      </c>
      <c r="I3760" t="s">
        <v>354</v>
      </c>
      <c r="Z3760">
        <v>33891</v>
      </c>
    </row>
    <row r="3761" spans="1:26" x14ac:dyDescent="0.25">
      <c r="A3761" t="s">
        <v>4139</v>
      </c>
      <c r="B3761" t="s">
        <v>26</v>
      </c>
      <c r="C3761" t="s">
        <v>27</v>
      </c>
      <c r="H3761" s="2">
        <v>44698.581250000003</v>
      </c>
      <c r="I3761" t="s">
        <v>226</v>
      </c>
      <c r="Z3761">
        <v>33865</v>
      </c>
    </row>
    <row r="3762" spans="1:26" x14ac:dyDescent="0.25">
      <c r="A3762" t="s">
        <v>4140</v>
      </c>
      <c r="B3762" t="s">
        <v>26</v>
      </c>
      <c r="C3762" t="s">
        <v>27</v>
      </c>
      <c r="H3762" s="2">
        <v>44698.46875</v>
      </c>
      <c r="I3762" t="s">
        <v>354</v>
      </c>
      <c r="Z3762">
        <v>33856</v>
      </c>
    </row>
    <row r="3763" spans="1:26" x14ac:dyDescent="0.25">
      <c r="A3763" t="s">
        <v>3868</v>
      </c>
      <c r="B3763" t="s">
        <v>26</v>
      </c>
      <c r="C3763" t="s">
        <v>27</v>
      </c>
      <c r="H3763" s="2">
        <v>44697.652777777781</v>
      </c>
      <c r="I3763" t="s">
        <v>226</v>
      </c>
      <c r="Z3763">
        <v>33824</v>
      </c>
    </row>
    <row r="3764" spans="1:26" x14ac:dyDescent="0.25">
      <c r="A3764" t="s">
        <v>4141</v>
      </c>
      <c r="B3764" t="s">
        <v>26</v>
      </c>
      <c r="C3764" t="s">
        <v>27</v>
      </c>
      <c r="H3764" s="2">
        <v>44697.439583333333</v>
      </c>
      <c r="I3764" t="s">
        <v>153</v>
      </c>
      <c r="Z3764">
        <v>33809</v>
      </c>
    </row>
    <row r="3765" spans="1:26" x14ac:dyDescent="0.25">
      <c r="A3765" t="s">
        <v>4142</v>
      </c>
      <c r="B3765" t="s">
        <v>26</v>
      </c>
      <c r="C3765" t="s">
        <v>27</v>
      </c>
      <c r="H3765" s="2">
        <v>44697.419444444444</v>
      </c>
      <c r="I3765" t="s">
        <v>357</v>
      </c>
      <c r="Z3765">
        <v>33804</v>
      </c>
    </row>
    <row r="3766" spans="1:26" x14ac:dyDescent="0.25">
      <c r="A3766" t="s">
        <v>4143</v>
      </c>
      <c r="B3766" t="s">
        <v>26</v>
      </c>
      <c r="C3766" t="s">
        <v>27</v>
      </c>
      <c r="H3766" s="2">
        <v>44696.428472222222</v>
      </c>
      <c r="I3766" t="s">
        <v>294</v>
      </c>
      <c r="Z3766">
        <v>33762</v>
      </c>
    </row>
    <row r="3767" spans="1:26" x14ac:dyDescent="0.25">
      <c r="A3767" t="s">
        <v>224</v>
      </c>
      <c r="B3767" t="s">
        <v>26</v>
      </c>
      <c r="C3767" t="s">
        <v>64</v>
      </c>
      <c r="H3767" s="2">
        <v>44695.740277777775</v>
      </c>
      <c r="I3767" t="s">
        <v>327</v>
      </c>
      <c r="Z3767">
        <v>33747</v>
      </c>
    </row>
    <row r="3768" spans="1:26" x14ac:dyDescent="0.25">
      <c r="A3768" t="s">
        <v>4144</v>
      </c>
      <c r="B3768" t="s">
        <v>26</v>
      </c>
      <c r="C3768" t="s">
        <v>27</v>
      </c>
      <c r="H3768" s="2">
        <v>44695.659722222219</v>
      </c>
      <c r="I3768" t="s">
        <v>327</v>
      </c>
      <c r="Z3768">
        <v>33742</v>
      </c>
    </row>
    <row r="3769" spans="1:26" x14ac:dyDescent="0.25">
      <c r="A3769" t="s">
        <v>4145</v>
      </c>
      <c r="B3769" t="s">
        <v>26</v>
      </c>
      <c r="C3769" t="s">
        <v>27</v>
      </c>
      <c r="H3769" s="2">
        <v>44695.628472222219</v>
      </c>
      <c r="I3769" t="s">
        <v>357</v>
      </c>
      <c r="Z3769">
        <v>33737</v>
      </c>
    </row>
    <row r="3770" spans="1:26" x14ac:dyDescent="0.25">
      <c r="A3770" t="s">
        <v>4146</v>
      </c>
      <c r="B3770" t="s">
        <v>26</v>
      </c>
      <c r="C3770" t="s">
        <v>27</v>
      </c>
      <c r="H3770" s="2">
        <v>44695.592361111114</v>
      </c>
      <c r="I3770" t="s">
        <v>327</v>
      </c>
      <c r="Z3770">
        <v>33734</v>
      </c>
    </row>
    <row r="3771" spans="1:26" x14ac:dyDescent="0.25">
      <c r="A3771" t="s">
        <v>97</v>
      </c>
      <c r="C3771" t="s">
        <v>27</v>
      </c>
      <c r="E3771" t="s">
        <v>53</v>
      </c>
      <c r="H3771" s="2">
        <v>44695.586111111108</v>
      </c>
      <c r="I3771" t="s">
        <v>327</v>
      </c>
      <c r="Z3771">
        <v>33731</v>
      </c>
    </row>
    <row r="3772" spans="1:26" x14ac:dyDescent="0.25">
      <c r="A3772" t="s">
        <v>4147</v>
      </c>
      <c r="B3772" t="s">
        <v>26</v>
      </c>
      <c r="C3772" t="s">
        <v>27</v>
      </c>
      <c r="H3772" s="2">
        <v>44695.538888888892</v>
      </c>
      <c r="I3772" t="s">
        <v>357</v>
      </c>
      <c r="Z3772">
        <v>33726</v>
      </c>
    </row>
    <row r="3773" spans="1:26" x14ac:dyDescent="0.25">
      <c r="A3773" t="s">
        <v>4148</v>
      </c>
      <c r="B3773" t="s">
        <v>26</v>
      </c>
      <c r="C3773" t="s">
        <v>27</v>
      </c>
      <c r="H3773" s="2">
        <v>44695.527777777781</v>
      </c>
      <c r="I3773" t="s">
        <v>327</v>
      </c>
      <c r="Z3773">
        <v>33725</v>
      </c>
    </row>
    <row r="3774" spans="1:26" x14ac:dyDescent="0.25">
      <c r="A3774" t="s">
        <v>4149</v>
      </c>
      <c r="B3774" t="s">
        <v>26</v>
      </c>
      <c r="C3774" t="s">
        <v>27</v>
      </c>
      <c r="H3774" s="2">
        <v>44695.519444444442</v>
      </c>
      <c r="I3774" t="s">
        <v>357</v>
      </c>
      <c r="Z3774">
        <v>33723</v>
      </c>
    </row>
    <row r="3775" spans="1:26" x14ac:dyDescent="0.25">
      <c r="A3775" t="s">
        <v>4150</v>
      </c>
      <c r="B3775" t="s">
        <v>26</v>
      </c>
      <c r="C3775" t="s">
        <v>27</v>
      </c>
      <c r="H3775" s="2">
        <v>44695.438194444447</v>
      </c>
      <c r="I3775" t="s">
        <v>357</v>
      </c>
      <c r="Z3775">
        <v>33709</v>
      </c>
    </row>
    <row r="3776" spans="1:26" x14ac:dyDescent="0.25">
      <c r="A3776" t="s">
        <v>97</v>
      </c>
      <c r="C3776" t="s">
        <v>27</v>
      </c>
      <c r="E3776" t="s">
        <v>4151</v>
      </c>
      <c r="H3776" s="2">
        <v>44694.654166666667</v>
      </c>
      <c r="I3776" t="s">
        <v>357</v>
      </c>
      <c r="Z3776">
        <v>33687</v>
      </c>
    </row>
    <row r="3777" spans="1:26" x14ac:dyDescent="0.25">
      <c r="A3777" t="s">
        <v>4152</v>
      </c>
      <c r="B3777" t="s">
        <v>26</v>
      </c>
      <c r="C3777" t="s">
        <v>27</v>
      </c>
      <c r="H3777" s="2">
        <v>44694.401388888888</v>
      </c>
      <c r="I3777" t="s">
        <v>357</v>
      </c>
      <c r="Z3777">
        <v>33666</v>
      </c>
    </row>
    <row r="3778" spans="1:26" x14ac:dyDescent="0.25">
      <c r="A3778" t="s">
        <v>4153</v>
      </c>
      <c r="B3778" t="s">
        <v>26</v>
      </c>
      <c r="C3778" t="s">
        <v>27</v>
      </c>
      <c r="H3778" s="2">
        <v>44694.393750000003</v>
      </c>
      <c r="I3778" t="s">
        <v>327</v>
      </c>
      <c r="Z3778">
        <v>33665</v>
      </c>
    </row>
    <row r="3779" spans="1:26" x14ac:dyDescent="0.25">
      <c r="A3779" t="s">
        <v>4154</v>
      </c>
      <c r="B3779" t="s">
        <v>26</v>
      </c>
      <c r="C3779" t="s">
        <v>27</v>
      </c>
      <c r="H3779" s="2">
        <v>44693.7</v>
      </c>
      <c r="I3779" t="s">
        <v>226</v>
      </c>
      <c r="Z3779">
        <v>33653</v>
      </c>
    </row>
    <row r="3780" spans="1:26" x14ac:dyDescent="0.25">
      <c r="A3780" t="s">
        <v>4155</v>
      </c>
      <c r="B3780" t="s">
        <v>26</v>
      </c>
      <c r="C3780" t="s">
        <v>27</v>
      </c>
      <c r="H3780" s="2">
        <v>44693.54791666667</v>
      </c>
      <c r="I3780" t="s">
        <v>346</v>
      </c>
      <c r="Z3780">
        <v>33644</v>
      </c>
    </row>
    <row r="3781" spans="1:26" x14ac:dyDescent="0.25">
      <c r="A3781" t="s">
        <v>4125</v>
      </c>
      <c r="B3781" t="s">
        <v>26</v>
      </c>
      <c r="C3781" t="s">
        <v>27</v>
      </c>
      <c r="H3781" s="2">
        <v>44693.4375</v>
      </c>
      <c r="I3781" t="s">
        <v>354</v>
      </c>
      <c r="Z3781">
        <v>33634</v>
      </c>
    </row>
    <row r="3782" spans="1:26" x14ac:dyDescent="0.25">
      <c r="A3782" t="s">
        <v>4156</v>
      </c>
      <c r="B3782" t="s">
        <v>26</v>
      </c>
      <c r="C3782" t="s">
        <v>27</v>
      </c>
      <c r="H3782" s="2">
        <v>44691.777777777781</v>
      </c>
      <c r="I3782" t="s">
        <v>354</v>
      </c>
      <c r="Z3782">
        <v>33597</v>
      </c>
    </row>
    <row r="3783" spans="1:26" x14ac:dyDescent="0.25">
      <c r="A3783" t="s">
        <v>4157</v>
      </c>
      <c r="B3783" t="s">
        <v>185</v>
      </c>
      <c r="C3783" t="s">
        <v>27</v>
      </c>
      <c r="E3783" t="s">
        <v>85</v>
      </c>
      <c r="H3783" s="2">
        <v>44691.569444444445</v>
      </c>
      <c r="I3783" t="s">
        <v>354</v>
      </c>
      <c r="Z3783">
        <v>33583</v>
      </c>
    </row>
    <row r="3784" spans="1:26" x14ac:dyDescent="0.25">
      <c r="A3784" t="s">
        <v>4150</v>
      </c>
      <c r="B3784" t="s">
        <v>26</v>
      </c>
      <c r="C3784" t="s">
        <v>27</v>
      </c>
      <c r="H3784" s="2">
        <v>44691.502083333333</v>
      </c>
      <c r="I3784" t="s">
        <v>354</v>
      </c>
      <c r="Z3784">
        <v>33577</v>
      </c>
    </row>
    <row r="3785" spans="1:26" x14ac:dyDescent="0.25">
      <c r="A3785" t="s">
        <v>4158</v>
      </c>
      <c r="B3785" t="s">
        <v>26</v>
      </c>
      <c r="C3785" t="s">
        <v>27</v>
      </c>
      <c r="H3785" s="2">
        <v>44691.47152777778</v>
      </c>
      <c r="I3785" t="s">
        <v>226</v>
      </c>
      <c r="Z3785">
        <v>33576</v>
      </c>
    </row>
    <row r="3786" spans="1:26" x14ac:dyDescent="0.25">
      <c r="A3786" t="s">
        <v>4159</v>
      </c>
      <c r="B3786" t="s">
        <v>26</v>
      </c>
      <c r="C3786" t="s">
        <v>27</v>
      </c>
      <c r="H3786" s="2">
        <v>44688.613888888889</v>
      </c>
      <c r="I3786" t="s">
        <v>327</v>
      </c>
      <c r="Z3786">
        <v>33473</v>
      </c>
    </row>
    <row r="3787" spans="1:26" x14ac:dyDescent="0.25">
      <c r="A3787" t="s">
        <v>4160</v>
      </c>
      <c r="B3787" t="s">
        <v>26</v>
      </c>
      <c r="C3787" t="s">
        <v>27</v>
      </c>
      <c r="H3787" s="2">
        <v>44688.613888888889</v>
      </c>
      <c r="I3787" t="s">
        <v>346</v>
      </c>
      <c r="Z3787">
        <v>33472</v>
      </c>
    </row>
    <row r="3788" spans="1:26" x14ac:dyDescent="0.25">
      <c r="A3788" t="s">
        <v>4161</v>
      </c>
      <c r="B3788" t="s">
        <v>150</v>
      </c>
      <c r="C3788" t="s">
        <v>27</v>
      </c>
      <c r="E3788" t="s">
        <v>160</v>
      </c>
      <c r="G3788" t="s">
        <v>4162</v>
      </c>
      <c r="H3788" s="2">
        <v>44687.541666666664</v>
      </c>
      <c r="I3788" t="s">
        <v>354</v>
      </c>
      <c r="Z3788">
        <v>33393</v>
      </c>
    </row>
    <row r="3789" spans="1:26" x14ac:dyDescent="0.25">
      <c r="A3789" t="s">
        <v>4163</v>
      </c>
      <c r="B3789" t="s">
        <v>26</v>
      </c>
      <c r="C3789" t="s">
        <v>27</v>
      </c>
      <c r="H3789" s="2">
        <v>44686.743055555555</v>
      </c>
      <c r="I3789" t="s">
        <v>153</v>
      </c>
      <c r="Z3789">
        <v>33358</v>
      </c>
    </row>
    <row r="3790" spans="1:26" x14ac:dyDescent="0.25">
      <c r="A3790" t="s">
        <v>4164</v>
      </c>
      <c r="B3790" t="s">
        <v>26</v>
      </c>
      <c r="C3790" t="s">
        <v>27</v>
      </c>
      <c r="H3790" s="2">
        <v>44686.741666666669</v>
      </c>
      <c r="I3790" t="s">
        <v>153</v>
      </c>
      <c r="Z3790">
        <v>33357</v>
      </c>
    </row>
    <row r="3791" spans="1:26" x14ac:dyDescent="0.25">
      <c r="A3791" t="s">
        <v>4165</v>
      </c>
      <c r="B3791" t="s">
        <v>26</v>
      </c>
      <c r="C3791" t="s">
        <v>27</v>
      </c>
      <c r="H3791" s="2">
        <v>44686.729861111111</v>
      </c>
      <c r="I3791" t="s">
        <v>354</v>
      </c>
      <c r="Z3791">
        <v>33356</v>
      </c>
    </row>
    <row r="3792" spans="1:26" x14ac:dyDescent="0.25">
      <c r="A3792" t="s">
        <v>4166</v>
      </c>
      <c r="B3792" t="s">
        <v>26</v>
      </c>
      <c r="C3792" t="s">
        <v>27</v>
      </c>
      <c r="H3792" s="2">
        <v>44686.643055555556</v>
      </c>
      <c r="I3792" t="s">
        <v>354</v>
      </c>
      <c r="Z3792">
        <v>33349</v>
      </c>
    </row>
    <row r="3793" spans="1:26" x14ac:dyDescent="0.25">
      <c r="A3793" t="s">
        <v>4167</v>
      </c>
      <c r="B3793" t="s">
        <v>26</v>
      </c>
      <c r="C3793" t="s">
        <v>27</v>
      </c>
      <c r="H3793" s="2">
        <v>44686.61041666667</v>
      </c>
      <c r="I3793" t="s">
        <v>226</v>
      </c>
      <c r="Z3793">
        <v>33339</v>
      </c>
    </row>
    <row r="3794" spans="1:26" x14ac:dyDescent="0.25">
      <c r="A3794" t="s">
        <v>4154</v>
      </c>
      <c r="B3794" t="s">
        <v>26</v>
      </c>
      <c r="C3794" t="s">
        <v>27</v>
      </c>
      <c r="H3794" s="2">
        <v>44686.566666666666</v>
      </c>
      <c r="I3794" t="s">
        <v>354</v>
      </c>
      <c r="Z3794">
        <v>33335</v>
      </c>
    </row>
    <row r="3795" spans="1:26" x14ac:dyDescent="0.25">
      <c r="A3795" t="s">
        <v>1536</v>
      </c>
      <c r="B3795" t="s">
        <v>26</v>
      </c>
      <c r="C3795" t="s">
        <v>27</v>
      </c>
      <c r="H3795" s="2">
        <v>44686.513194444444</v>
      </c>
      <c r="I3795" t="s">
        <v>226</v>
      </c>
      <c r="Z3795">
        <v>33330</v>
      </c>
    </row>
    <row r="3796" spans="1:26" x14ac:dyDescent="0.25">
      <c r="A3796" t="s">
        <v>4168</v>
      </c>
      <c r="B3796" t="s">
        <v>26</v>
      </c>
      <c r="C3796" t="s">
        <v>27</v>
      </c>
      <c r="H3796" s="2">
        <v>44686.487500000003</v>
      </c>
      <c r="I3796" t="s">
        <v>153</v>
      </c>
      <c r="Z3796">
        <v>33327</v>
      </c>
    </row>
    <row r="3797" spans="1:26" x14ac:dyDescent="0.25">
      <c r="A3797" t="s">
        <v>4169</v>
      </c>
      <c r="B3797" t="s">
        <v>164</v>
      </c>
      <c r="C3797" t="s">
        <v>27</v>
      </c>
      <c r="E3797" t="s">
        <v>4170</v>
      </c>
      <c r="H3797" s="2">
        <v>44685.864583333336</v>
      </c>
      <c r="I3797" t="s">
        <v>354</v>
      </c>
      <c r="Z3797">
        <v>33306</v>
      </c>
    </row>
    <row r="3798" spans="1:26" x14ac:dyDescent="0.25">
      <c r="A3798" t="s">
        <v>4171</v>
      </c>
      <c r="B3798" t="s">
        <v>26</v>
      </c>
      <c r="C3798" t="s">
        <v>27</v>
      </c>
      <c r="H3798" s="2">
        <v>44685.862500000003</v>
      </c>
      <c r="I3798" t="s">
        <v>354</v>
      </c>
      <c r="Z3798">
        <v>33304</v>
      </c>
    </row>
    <row r="3799" spans="1:26" x14ac:dyDescent="0.25">
      <c r="A3799" t="s">
        <v>1536</v>
      </c>
      <c r="B3799" t="s">
        <v>26</v>
      </c>
      <c r="C3799" t="s">
        <v>27</v>
      </c>
      <c r="H3799" s="2">
        <v>44685.8125</v>
      </c>
      <c r="I3799" t="s">
        <v>226</v>
      </c>
      <c r="Z3799">
        <v>33300</v>
      </c>
    </row>
    <row r="3800" spans="1:26" x14ac:dyDescent="0.25">
      <c r="A3800" t="s">
        <v>4172</v>
      </c>
      <c r="B3800" t="s">
        <v>26</v>
      </c>
      <c r="C3800" t="s">
        <v>27</v>
      </c>
      <c r="H3800" s="2">
        <v>44685.704861111109</v>
      </c>
      <c r="I3800" t="s">
        <v>354</v>
      </c>
      <c r="Z3800">
        <v>33285</v>
      </c>
    </row>
    <row r="3801" spans="1:26" x14ac:dyDescent="0.25">
      <c r="A3801" t="s">
        <v>4172</v>
      </c>
      <c r="B3801" t="s">
        <v>26</v>
      </c>
      <c r="C3801" t="s">
        <v>64</v>
      </c>
      <c r="H3801" s="2">
        <v>44685.585416666669</v>
      </c>
      <c r="I3801" t="s">
        <v>294</v>
      </c>
      <c r="Z3801">
        <v>33274</v>
      </c>
    </row>
    <row r="3802" spans="1:26" x14ac:dyDescent="0.25">
      <c r="A3802" t="s">
        <v>2804</v>
      </c>
      <c r="B3802" t="s">
        <v>334</v>
      </c>
      <c r="C3802" t="s">
        <v>27</v>
      </c>
      <c r="H3802" s="2">
        <v>44685.57708333333</v>
      </c>
      <c r="I3802" t="s">
        <v>294</v>
      </c>
      <c r="K3802" t="s">
        <v>30</v>
      </c>
      <c r="L3802" t="s">
        <v>31</v>
      </c>
      <c r="M3802">
        <v>67130164</v>
      </c>
      <c r="N3802">
        <v>11954128608</v>
      </c>
      <c r="O3802" t="s">
        <v>4173</v>
      </c>
      <c r="Z3802">
        <v>33272</v>
      </c>
    </row>
    <row r="3803" spans="1:26" x14ac:dyDescent="0.25">
      <c r="A3803" t="s">
        <v>4174</v>
      </c>
      <c r="B3803" t="s">
        <v>164</v>
      </c>
      <c r="C3803" t="s">
        <v>27</v>
      </c>
      <c r="E3803" t="s">
        <v>4175</v>
      </c>
      <c r="H3803" s="2">
        <v>44685.492361111108</v>
      </c>
      <c r="I3803" t="s">
        <v>357</v>
      </c>
      <c r="Z3803">
        <v>33252</v>
      </c>
    </row>
    <row r="3804" spans="1:26" x14ac:dyDescent="0.25">
      <c r="A3804" t="s">
        <v>3766</v>
      </c>
      <c r="B3804" t="s">
        <v>26</v>
      </c>
      <c r="C3804" t="s">
        <v>27</v>
      </c>
      <c r="H3804" s="2">
        <v>44684.74722222222</v>
      </c>
      <c r="I3804" t="s">
        <v>357</v>
      </c>
      <c r="Z3804">
        <v>33213</v>
      </c>
    </row>
    <row r="3805" spans="1:26" x14ac:dyDescent="0.25">
      <c r="A3805" t="s">
        <v>4174</v>
      </c>
      <c r="B3805" t="s">
        <v>164</v>
      </c>
      <c r="C3805" t="s">
        <v>27</v>
      </c>
      <c r="E3805" t="s">
        <v>4175</v>
      </c>
      <c r="H3805" s="2">
        <v>44684.658333333333</v>
      </c>
      <c r="I3805" t="s">
        <v>357</v>
      </c>
      <c r="K3805" t="s">
        <v>30</v>
      </c>
      <c r="L3805" t="s">
        <v>31</v>
      </c>
      <c r="M3805">
        <v>67130164</v>
      </c>
      <c r="N3805">
        <v>11954128608</v>
      </c>
      <c r="O3805" t="s">
        <v>382</v>
      </c>
      <c r="Z3805">
        <v>33197</v>
      </c>
    </row>
    <row r="3806" spans="1:26" x14ac:dyDescent="0.25">
      <c r="A3806" t="s">
        <v>4176</v>
      </c>
      <c r="B3806" t="s">
        <v>26</v>
      </c>
      <c r="C3806" t="s">
        <v>27</v>
      </c>
      <c r="H3806" s="2">
        <v>44684.439583333333</v>
      </c>
      <c r="I3806" t="s">
        <v>357</v>
      </c>
      <c r="Z3806">
        <v>33159</v>
      </c>
    </row>
    <row r="3807" spans="1:26" x14ac:dyDescent="0.25">
      <c r="A3807" t="s">
        <v>234</v>
      </c>
      <c r="B3807" t="s">
        <v>185</v>
      </c>
      <c r="C3807" t="s">
        <v>27</v>
      </c>
      <c r="E3807" t="s">
        <v>45</v>
      </c>
      <c r="H3807" s="2">
        <v>44684.38958333333</v>
      </c>
      <c r="I3807" t="s">
        <v>357</v>
      </c>
      <c r="Z3807">
        <v>33155</v>
      </c>
    </row>
    <row r="3808" spans="1:26" x14ac:dyDescent="0.25">
      <c r="A3808" t="s">
        <v>4177</v>
      </c>
      <c r="B3808" t="s">
        <v>26</v>
      </c>
      <c r="C3808" t="s">
        <v>27</v>
      </c>
      <c r="H3808" s="2">
        <v>44682.489583333336</v>
      </c>
      <c r="I3808" t="s">
        <v>357</v>
      </c>
      <c r="Z3808">
        <v>33045</v>
      </c>
    </row>
    <row r="3809" spans="1:26" x14ac:dyDescent="0.25">
      <c r="A3809" t="s">
        <v>4178</v>
      </c>
      <c r="B3809" t="s">
        <v>26</v>
      </c>
      <c r="C3809" t="s">
        <v>27</v>
      </c>
      <c r="H3809" s="2">
        <v>44682.479166666664</v>
      </c>
      <c r="I3809" t="s">
        <v>346</v>
      </c>
      <c r="Z3809">
        <v>33043</v>
      </c>
    </row>
    <row r="3810" spans="1:26" x14ac:dyDescent="0.25">
      <c r="A3810" t="s">
        <v>4179</v>
      </c>
      <c r="B3810" t="s">
        <v>150</v>
      </c>
      <c r="C3810" t="s">
        <v>27</v>
      </c>
      <c r="E3810" t="s">
        <v>4180</v>
      </c>
      <c r="G3810" t="s">
        <v>4181</v>
      </c>
      <c r="H3810" s="2">
        <v>44682.465277777781</v>
      </c>
      <c r="I3810" t="s">
        <v>357</v>
      </c>
      <c r="Z3810">
        <v>33041</v>
      </c>
    </row>
    <row r="3811" spans="1:26" x14ac:dyDescent="0.25">
      <c r="A3811" t="s">
        <v>4182</v>
      </c>
      <c r="B3811" t="s">
        <v>26</v>
      </c>
      <c r="C3811" t="s">
        <v>27</v>
      </c>
      <c r="H3811" s="2">
        <v>44682.38958333333</v>
      </c>
      <c r="I3811" t="s">
        <v>327</v>
      </c>
      <c r="Z3811">
        <v>33035</v>
      </c>
    </row>
    <row r="3812" spans="1:26" x14ac:dyDescent="0.25">
      <c r="A3812" t="s">
        <v>4183</v>
      </c>
      <c r="B3812" t="s">
        <v>26</v>
      </c>
      <c r="C3812" t="s">
        <v>27</v>
      </c>
      <c r="H3812" s="2">
        <v>44681.902777777781</v>
      </c>
      <c r="I3812" t="s">
        <v>354</v>
      </c>
      <c r="Z3812">
        <v>33033</v>
      </c>
    </row>
    <row r="3813" spans="1:26" x14ac:dyDescent="0.25">
      <c r="A3813" t="s">
        <v>97</v>
      </c>
      <c r="C3813" t="s">
        <v>27</v>
      </c>
      <c r="E3813" t="s">
        <v>53</v>
      </c>
      <c r="H3813" s="2">
        <v>44681.771527777775</v>
      </c>
      <c r="I3813" t="s">
        <v>354</v>
      </c>
      <c r="Z3813">
        <v>33019</v>
      </c>
    </row>
    <row r="3814" spans="1:26" x14ac:dyDescent="0.25">
      <c r="A3814" t="s">
        <v>4184</v>
      </c>
      <c r="B3814" t="s">
        <v>26</v>
      </c>
      <c r="C3814" t="s">
        <v>27</v>
      </c>
      <c r="H3814" s="2">
        <v>44681.55</v>
      </c>
      <c r="I3814" t="s">
        <v>354</v>
      </c>
      <c r="Z3814">
        <v>32994</v>
      </c>
    </row>
    <row r="3815" spans="1:26" x14ac:dyDescent="0.25">
      <c r="A3815" t="s">
        <v>322</v>
      </c>
      <c r="B3815" t="s">
        <v>26</v>
      </c>
      <c r="C3815" t="s">
        <v>27</v>
      </c>
      <c r="H3815" s="2">
        <v>44681.548611111109</v>
      </c>
      <c r="I3815" t="s">
        <v>354</v>
      </c>
      <c r="Z3815">
        <v>32993</v>
      </c>
    </row>
    <row r="3816" spans="1:26" x14ac:dyDescent="0.25">
      <c r="A3816" t="s">
        <v>1054</v>
      </c>
      <c r="B3816" t="s">
        <v>334</v>
      </c>
      <c r="C3816" t="s">
        <v>27</v>
      </c>
      <c r="H3816" s="2">
        <v>44681.477083333331</v>
      </c>
      <c r="I3816" t="s">
        <v>327</v>
      </c>
      <c r="K3816" t="s">
        <v>30</v>
      </c>
      <c r="L3816" t="s">
        <v>31</v>
      </c>
      <c r="M3816">
        <v>67130164</v>
      </c>
      <c r="N3816">
        <v>11954128608</v>
      </c>
      <c r="O3816" t="s">
        <v>1920</v>
      </c>
      <c r="Z3816">
        <v>32977</v>
      </c>
    </row>
    <row r="3817" spans="1:26" x14ac:dyDescent="0.25">
      <c r="A3817" t="s">
        <v>316</v>
      </c>
      <c r="B3817" t="s">
        <v>26</v>
      </c>
      <c r="C3817" t="s">
        <v>27</v>
      </c>
      <c r="H3817" s="2">
        <v>44680.811111111114</v>
      </c>
      <c r="I3817" t="s">
        <v>354</v>
      </c>
      <c r="Z3817">
        <v>32955</v>
      </c>
    </row>
    <row r="3818" spans="1:26" x14ac:dyDescent="0.25">
      <c r="A3818" t="s">
        <v>1256</v>
      </c>
      <c r="B3818" t="s">
        <v>26</v>
      </c>
      <c r="C3818" t="s">
        <v>27</v>
      </c>
      <c r="H3818" s="2">
        <v>44680.568749999999</v>
      </c>
      <c r="I3818" t="s">
        <v>294</v>
      </c>
      <c r="Z3818">
        <v>32920</v>
      </c>
    </row>
    <row r="3819" spans="1:26" x14ac:dyDescent="0.25">
      <c r="A3819" t="s">
        <v>255</v>
      </c>
      <c r="B3819" t="s">
        <v>46</v>
      </c>
      <c r="C3819" t="s">
        <v>27</v>
      </c>
      <c r="E3819" t="s">
        <v>84</v>
      </c>
      <c r="G3819" t="s">
        <v>256</v>
      </c>
      <c r="H3819" s="2">
        <v>44680.451388888891</v>
      </c>
      <c r="I3819" t="s">
        <v>354</v>
      </c>
      <c r="Z3819">
        <v>32904</v>
      </c>
    </row>
    <row r="3820" spans="1:26" x14ac:dyDescent="0.25">
      <c r="A3820" t="s">
        <v>4185</v>
      </c>
      <c r="B3820" t="s">
        <v>198</v>
      </c>
      <c r="C3820" t="s">
        <v>27</v>
      </c>
      <c r="E3820" t="s">
        <v>1706</v>
      </c>
      <c r="G3820" t="s">
        <v>4186</v>
      </c>
      <c r="H3820" s="2">
        <v>44679.75</v>
      </c>
      <c r="I3820" t="s">
        <v>354</v>
      </c>
      <c r="K3820" t="s">
        <v>30</v>
      </c>
      <c r="L3820" t="s">
        <v>31</v>
      </c>
      <c r="M3820">
        <v>67130164</v>
      </c>
      <c r="N3820">
        <v>11954128610</v>
      </c>
      <c r="O3820" t="s">
        <v>4173</v>
      </c>
      <c r="Z3820">
        <v>32869</v>
      </c>
    </row>
    <row r="3821" spans="1:26" x14ac:dyDescent="0.25">
      <c r="A3821" t="s">
        <v>4187</v>
      </c>
      <c r="B3821" t="s">
        <v>26</v>
      </c>
      <c r="C3821" t="s">
        <v>27</v>
      </c>
      <c r="H3821" s="2">
        <v>44679.476388888892</v>
      </c>
      <c r="I3821" t="s">
        <v>354</v>
      </c>
      <c r="Z3821">
        <v>32833</v>
      </c>
    </row>
    <row r="3822" spans="1:26" x14ac:dyDescent="0.25">
      <c r="A3822" t="s">
        <v>4188</v>
      </c>
      <c r="B3822" t="s">
        <v>26</v>
      </c>
      <c r="C3822" t="s">
        <v>27</v>
      </c>
      <c r="H3822" s="2">
        <v>44679.439583333333</v>
      </c>
      <c r="I3822" t="s">
        <v>354</v>
      </c>
      <c r="Z3822">
        <v>32825</v>
      </c>
    </row>
    <row r="3823" spans="1:26" x14ac:dyDescent="0.25">
      <c r="A3823" t="s">
        <v>652</v>
      </c>
      <c r="B3823" t="s">
        <v>26</v>
      </c>
      <c r="C3823" t="s">
        <v>27</v>
      </c>
      <c r="H3823" s="2">
        <v>44679.402777777781</v>
      </c>
      <c r="I3823" t="s">
        <v>226</v>
      </c>
      <c r="Z3823">
        <v>32821</v>
      </c>
    </row>
    <row r="3824" spans="1:26" x14ac:dyDescent="0.25">
      <c r="A3824" t="s">
        <v>4189</v>
      </c>
      <c r="B3824" t="s">
        <v>185</v>
      </c>
      <c r="C3824" t="s">
        <v>27</v>
      </c>
      <c r="E3824" t="s">
        <v>4190</v>
      </c>
      <c r="H3824" s="2">
        <v>44678.513194444444</v>
      </c>
      <c r="I3824" t="s">
        <v>357</v>
      </c>
      <c r="Z3824">
        <v>32772</v>
      </c>
    </row>
    <row r="3825" spans="1:26" x14ac:dyDescent="0.25">
      <c r="A3825" t="s">
        <v>4191</v>
      </c>
      <c r="B3825" t="s">
        <v>26</v>
      </c>
      <c r="C3825" t="s">
        <v>27</v>
      </c>
      <c r="H3825" s="2">
        <v>44678.488194444442</v>
      </c>
      <c r="I3825" t="s">
        <v>346</v>
      </c>
      <c r="Z3825">
        <v>32768</v>
      </c>
    </row>
    <row r="3826" spans="1:26" x14ac:dyDescent="0.25">
      <c r="A3826" t="s">
        <v>4192</v>
      </c>
      <c r="B3826" t="s">
        <v>26</v>
      </c>
      <c r="C3826" t="s">
        <v>27</v>
      </c>
      <c r="H3826" s="2">
        <v>44678.447222222225</v>
      </c>
      <c r="I3826" t="s">
        <v>346</v>
      </c>
      <c r="Z3826">
        <v>32763</v>
      </c>
    </row>
    <row r="3827" spans="1:26" x14ac:dyDescent="0.25">
      <c r="A3827" t="s">
        <v>4193</v>
      </c>
      <c r="B3827" t="s">
        <v>26</v>
      </c>
      <c r="C3827" t="s">
        <v>27</v>
      </c>
      <c r="H3827" s="2">
        <v>44678.409722222219</v>
      </c>
      <c r="I3827" t="s">
        <v>346</v>
      </c>
      <c r="Z3827">
        <v>32760</v>
      </c>
    </row>
    <row r="3828" spans="1:26" x14ac:dyDescent="0.25">
      <c r="A3828" t="s">
        <v>4194</v>
      </c>
      <c r="B3828" t="s">
        <v>26</v>
      </c>
      <c r="C3828" t="s">
        <v>27</v>
      </c>
      <c r="H3828" s="2">
        <v>44678.349305555559</v>
      </c>
      <c r="I3828" t="s">
        <v>357</v>
      </c>
      <c r="Z3828">
        <v>32754</v>
      </c>
    </row>
    <row r="3829" spans="1:26" x14ac:dyDescent="0.25">
      <c r="A3829" t="s">
        <v>2137</v>
      </c>
      <c r="B3829" t="s">
        <v>26</v>
      </c>
      <c r="C3829" t="s">
        <v>27</v>
      </c>
      <c r="H3829" s="2">
        <v>44677.47152777778</v>
      </c>
      <c r="I3829" t="s">
        <v>327</v>
      </c>
      <c r="Z3829">
        <v>32695</v>
      </c>
    </row>
    <row r="3830" spans="1:26" x14ac:dyDescent="0.25">
      <c r="A3830" t="s">
        <v>4125</v>
      </c>
      <c r="B3830" t="s">
        <v>26</v>
      </c>
      <c r="C3830" t="s">
        <v>27</v>
      </c>
      <c r="H3830" s="2">
        <v>44677.468055555553</v>
      </c>
      <c r="I3830" t="s">
        <v>327</v>
      </c>
      <c r="Z3830">
        <v>32694</v>
      </c>
    </row>
    <row r="3831" spans="1:26" x14ac:dyDescent="0.25">
      <c r="A3831" t="s">
        <v>2826</v>
      </c>
      <c r="B3831" t="s">
        <v>26</v>
      </c>
      <c r="C3831" t="s">
        <v>27</v>
      </c>
      <c r="H3831" s="2">
        <v>44676.667361111111</v>
      </c>
      <c r="I3831" t="s">
        <v>194</v>
      </c>
      <c r="Z3831">
        <v>32636</v>
      </c>
    </row>
    <row r="3832" spans="1:26" x14ac:dyDescent="0.25">
      <c r="A3832" t="s">
        <v>4195</v>
      </c>
      <c r="B3832" t="s">
        <v>26</v>
      </c>
      <c r="C3832" t="s">
        <v>27</v>
      </c>
      <c r="H3832" s="2">
        <v>44676.65347222222</v>
      </c>
      <c r="I3832" t="s">
        <v>357</v>
      </c>
      <c r="Z3832">
        <v>32630</v>
      </c>
    </row>
    <row r="3833" spans="1:26" x14ac:dyDescent="0.25">
      <c r="A3833" t="s">
        <v>4196</v>
      </c>
      <c r="B3833" t="s">
        <v>26</v>
      </c>
      <c r="C3833" t="s">
        <v>27</v>
      </c>
      <c r="H3833" s="2">
        <v>44676.605555555558</v>
      </c>
      <c r="I3833" t="s">
        <v>194</v>
      </c>
      <c r="Z3833">
        <v>32622</v>
      </c>
    </row>
    <row r="3834" spans="1:26" x14ac:dyDescent="0.25">
      <c r="A3834" t="s">
        <v>3591</v>
      </c>
      <c r="B3834" t="s">
        <v>26</v>
      </c>
      <c r="C3834" t="s">
        <v>27</v>
      </c>
      <c r="E3834" t="s">
        <v>3591</v>
      </c>
      <c r="H3834" s="2">
        <v>44676.598611111112</v>
      </c>
      <c r="I3834" t="s">
        <v>153</v>
      </c>
      <c r="Z3834">
        <v>32620</v>
      </c>
    </row>
    <row r="3835" spans="1:26" x14ac:dyDescent="0.25">
      <c r="A3835" t="s">
        <v>154</v>
      </c>
      <c r="B3835" t="s">
        <v>164</v>
      </c>
      <c r="C3835" t="s">
        <v>27</v>
      </c>
      <c r="E3835" t="s">
        <v>70</v>
      </c>
      <c r="H3835" s="2">
        <v>44676.439583333333</v>
      </c>
      <c r="I3835" t="s">
        <v>357</v>
      </c>
      <c r="Z3835">
        <v>32580</v>
      </c>
    </row>
    <row r="3836" spans="1:26" x14ac:dyDescent="0.25">
      <c r="A3836" t="s">
        <v>2939</v>
      </c>
      <c r="B3836" t="s">
        <v>26</v>
      </c>
      <c r="C3836" t="s">
        <v>27</v>
      </c>
      <c r="H3836" s="2">
        <v>44676.427083333336</v>
      </c>
      <c r="I3836" t="s">
        <v>357</v>
      </c>
      <c r="Z3836">
        <v>32576</v>
      </c>
    </row>
    <row r="3837" spans="1:26" x14ac:dyDescent="0.25">
      <c r="A3837" t="s">
        <v>4197</v>
      </c>
      <c r="B3837" t="s">
        <v>26</v>
      </c>
      <c r="C3837" t="s">
        <v>27</v>
      </c>
      <c r="E3837" t="s">
        <v>74</v>
      </c>
      <c r="H3837" s="2">
        <v>44676.423611111109</v>
      </c>
      <c r="I3837" t="s">
        <v>357</v>
      </c>
      <c r="Z3837">
        <v>32573</v>
      </c>
    </row>
    <row r="3838" spans="1:26" x14ac:dyDescent="0.25">
      <c r="A3838" t="s">
        <v>4198</v>
      </c>
      <c r="B3838" t="s">
        <v>46</v>
      </c>
      <c r="C3838" t="s">
        <v>27</v>
      </c>
      <c r="E3838" t="s">
        <v>70</v>
      </c>
      <c r="G3838" t="s">
        <v>4199</v>
      </c>
      <c r="H3838" s="2">
        <v>44675.745833333334</v>
      </c>
      <c r="I3838" t="s">
        <v>354</v>
      </c>
      <c r="Z3838">
        <v>32552</v>
      </c>
    </row>
    <row r="3839" spans="1:26" x14ac:dyDescent="0.25">
      <c r="A3839" t="s">
        <v>4200</v>
      </c>
      <c r="B3839" t="s">
        <v>26</v>
      </c>
      <c r="C3839" t="s">
        <v>27</v>
      </c>
      <c r="H3839" s="2">
        <v>44673.575694444444</v>
      </c>
      <c r="I3839" t="s">
        <v>354</v>
      </c>
      <c r="Z3839">
        <v>32328</v>
      </c>
    </row>
    <row r="3840" spans="1:26" x14ac:dyDescent="0.25">
      <c r="A3840" t="s">
        <v>4201</v>
      </c>
      <c r="B3840" t="s">
        <v>26</v>
      </c>
      <c r="C3840" t="s">
        <v>27</v>
      </c>
      <c r="H3840" s="2">
        <v>44673.496527777781</v>
      </c>
      <c r="I3840" t="s">
        <v>153</v>
      </c>
      <c r="Z3840">
        <v>32303</v>
      </c>
    </row>
    <row r="3841" spans="1:26" x14ac:dyDescent="0.25">
      <c r="A3841" t="s">
        <v>4202</v>
      </c>
      <c r="B3841" t="s">
        <v>26</v>
      </c>
      <c r="C3841" t="s">
        <v>27</v>
      </c>
      <c r="H3841" s="2">
        <v>44672.886805555558</v>
      </c>
      <c r="I3841" t="s">
        <v>294</v>
      </c>
      <c r="Z3841">
        <v>32271</v>
      </c>
    </row>
    <row r="3842" spans="1:26" x14ac:dyDescent="0.25">
      <c r="A3842" t="s">
        <v>4203</v>
      </c>
      <c r="B3842" t="s">
        <v>164</v>
      </c>
      <c r="C3842" t="s">
        <v>27</v>
      </c>
      <c r="E3842" t="s">
        <v>4204</v>
      </c>
      <c r="H3842" s="2">
        <v>44672.831944444442</v>
      </c>
      <c r="I3842" t="s">
        <v>357</v>
      </c>
      <c r="Z3842">
        <v>32268</v>
      </c>
    </row>
    <row r="3843" spans="1:26" x14ac:dyDescent="0.25">
      <c r="A3843" t="s">
        <v>4205</v>
      </c>
      <c r="B3843" t="s">
        <v>26</v>
      </c>
      <c r="C3843" t="s">
        <v>27</v>
      </c>
      <c r="H3843" s="2">
        <v>44672.724999999999</v>
      </c>
      <c r="I3843" t="s">
        <v>357</v>
      </c>
      <c r="Z3843">
        <v>32254</v>
      </c>
    </row>
    <row r="3844" spans="1:26" x14ac:dyDescent="0.25">
      <c r="A3844" t="s">
        <v>4206</v>
      </c>
      <c r="B3844" t="s">
        <v>26</v>
      </c>
      <c r="C3844" t="s">
        <v>27</v>
      </c>
      <c r="H3844" s="2">
        <v>44672.48541666667</v>
      </c>
      <c r="I3844" t="s">
        <v>346</v>
      </c>
      <c r="Z3844">
        <v>32219</v>
      </c>
    </row>
    <row r="3845" spans="1:26" x14ac:dyDescent="0.25">
      <c r="A3845" t="s">
        <v>4207</v>
      </c>
      <c r="B3845" t="s">
        <v>26</v>
      </c>
      <c r="C3845" t="s">
        <v>27</v>
      </c>
      <c r="E3845" t="s">
        <v>4208</v>
      </c>
      <c r="H3845" s="2">
        <v>44672.383333333331</v>
      </c>
      <c r="I3845" t="s">
        <v>346</v>
      </c>
      <c r="Z3845">
        <v>32206</v>
      </c>
    </row>
    <row r="3846" spans="1:26" x14ac:dyDescent="0.25">
      <c r="A3846" t="s">
        <v>4209</v>
      </c>
      <c r="B3846" t="s">
        <v>26</v>
      </c>
      <c r="C3846" t="s">
        <v>27</v>
      </c>
      <c r="H3846" s="2">
        <v>44671.79583333333</v>
      </c>
      <c r="I3846" t="s">
        <v>346</v>
      </c>
      <c r="Z3846">
        <v>32196</v>
      </c>
    </row>
    <row r="3847" spans="1:26" x14ac:dyDescent="0.25">
      <c r="A3847" t="s">
        <v>3766</v>
      </c>
      <c r="B3847" t="s">
        <v>26</v>
      </c>
      <c r="C3847" t="s">
        <v>27</v>
      </c>
      <c r="H3847" s="2">
        <v>44671.769444444442</v>
      </c>
      <c r="I3847" t="s">
        <v>357</v>
      </c>
      <c r="Z3847">
        <v>32192</v>
      </c>
    </row>
    <row r="3848" spans="1:26" x14ac:dyDescent="0.25">
      <c r="A3848" t="s">
        <v>4210</v>
      </c>
      <c r="B3848" t="s">
        <v>26</v>
      </c>
      <c r="C3848" t="s">
        <v>27</v>
      </c>
      <c r="H3848" s="2">
        <v>44671.693749999999</v>
      </c>
      <c r="I3848" t="s">
        <v>194</v>
      </c>
      <c r="Z3848">
        <v>32183</v>
      </c>
    </row>
    <row r="3849" spans="1:26" x14ac:dyDescent="0.25">
      <c r="A3849" t="s">
        <v>4211</v>
      </c>
      <c r="B3849" t="s">
        <v>46</v>
      </c>
      <c r="C3849" t="s">
        <v>27</v>
      </c>
      <c r="E3849" t="s">
        <v>70</v>
      </c>
      <c r="G3849" t="s">
        <v>4212</v>
      </c>
      <c r="H3849" s="2">
        <v>44670.663888888892</v>
      </c>
      <c r="I3849" t="s">
        <v>357</v>
      </c>
      <c r="Z3849">
        <v>32103</v>
      </c>
    </row>
    <row r="3850" spans="1:26" x14ac:dyDescent="0.25">
      <c r="A3850" t="s">
        <v>4213</v>
      </c>
      <c r="B3850" t="s">
        <v>26</v>
      </c>
      <c r="C3850" t="s">
        <v>27</v>
      </c>
      <c r="H3850" s="2">
        <v>44670.586805555555</v>
      </c>
      <c r="I3850" t="s">
        <v>357</v>
      </c>
      <c r="Z3850">
        <v>32087</v>
      </c>
    </row>
    <row r="3851" spans="1:26" x14ac:dyDescent="0.25">
      <c r="A3851" t="s">
        <v>4214</v>
      </c>
      <c r="B3851" t="s">
        <v>26</v>
      </c>
      <c r="C3851" t="s">
        <v>27</v>
      </c>
      <c r="H3851" s="2">
        <v>44669.807638888888</v>
      </c>
      <c r="I3851" t="s">
        <v>357</v>
      </c>
      <c r="Z3851">
        <v>32044</v>
      </c>
    </row>
    <row r="3852" spans="1:26" x14ac:dyDescent="0.25">
      <c r="A3852" t="s">
        <v>4215</v>
      </c>
      <c r="B3852" t="s">
        <v>26</v>
      </c>
      <c r="C3852" t="s">
        <v>27</v>
      </c>
      <c r="H3852" s="2">
        <v>44669.661111111112</v>
      </c>
      <c r="I3852" t="s">
        <v>194</v>
      </c>
      <c r="Z3852">
        <v>32027</v>
      </c>
    </row>
    <row r="3853" spans="1:26" x14ac:dyDescent="0.25">
      <c r="A3853" t="s">
        <v>97</v>
      </c>
      <c r="C3853" t="s">
        <v>27</v>
      </c>
      <c r="E3853" t="s">
        <v>44</v>
      </c>
      <c r="H3853" s="2">
        <v>44669.59097222222</v>
      </c>
      <c r="I3853" t="s">
        <v>194</v>
      </c>
      <c r="Z3853">
        <v>32010</v>
      </c>
    </row>
    <row r="3854" spans="1:26" x14ac:dyDescent="0.25">
      <c r="A3854" t="s">
        <v>4209</v>
      </c>
      <c r="B3854" t="s">
        <v>26</v>
      </c>
      <c r="C3854" t="s">
        <v>27</v>
      </c>
      <c r="H3854" s="2">
        <v>44668.477083333331</v>
      </c>
      <c r="I3854" t="s">
        <v>354</v>
      </c>
      <c r="Z3854">
        <v>31896</v>
      </c>
    </row>
    <row r="3855" spans="1:26" x14ac:dyDescent="0.25">
      <c r="A3855" t="s">
        <v>4193</v>
      </c>
      <c r="B3855" t="s">
        <v>26</v>
      </c>
      <c r="C3855" t="s">
        <v>27</v>
      </c>
      <c r="H3855" s="2">
        <v>44668.402083333334</v>
      </c>
      <c r="I3855" t="s">
        <v>354</v>
      </c>
      <c r="Z3855">
        <v>31881</v>
      </c>
    </row>
    <row r="3856" spans="1:26" x14ac:dyDescent="0.25">
      <c r="A3856" t="s">
        <v>4216</v>
      </c>
      <c r="B3856" t="s">
        <v>26</v>
      </c>
      <c r="C3856" t="s">
        <v>27</v>
      </c>
      <c r="H3856" s="2">
        <v>44667.76666666667</v>
      </c>
      <c r="I3856" t="s">
        <v>226</v>
      </c>
      <c r="Z3856">
        <v>31854</v>
      </c>
    </row>
    <row r="3857" spans="1:26" x14ac:dyDescent="0.25">
      <c r="A3857" t="s">
        <v>4217</v>
      </c>
      <c r="B3857" t="s">
        <v>26</v>
      </c>
      <c r="C3857" t="s">
        <v>27</v>
      </c>
      <c r="H3857" s="2">
        <v>44665.666666666664</v>
      </c>
      <c r="I3857" t="s">
        <v>346</v>
      </c>
      <c r="Z3857">
        <v>31673</v>
      </c>
    </row>
    <row r="3858" spans="1:26" x14ac:dyDescent="0.25">
      <c r="A3858" t="s">
        <v>102</v>
      </c>
      <c r="B3858" t="s">
        <v>334</v>
      </c>
      <c r="C3858" t="s">
        <v>27</v>
      </c>
      <c r="H3858" s="2">
        <v>44664.775694444441</v>
      </c>
      <c r="I3858" t="s">
        <v>346</v>
      </c>
      <c r="Z3858">
        <v>31612</v>
      </c>
    </row>
    <row r="3859" spans="1:26" x14ac:dyDescent="0.25">
      <c r="A3859" t="s">
        <v>4218</v>
      </c>
      <c r="B3859" t="s">
        <v>26</v>
      </c>
      <c r="C3859" t="s">
        <v>27</v>
      </c>
      <c r="H3859" s="2">
        <v>44664.535416666666</v>
      </c>
      <c r="I3859" t="s">
        <v>357</v>
      </c>
      <c r="Z3859">
        <v>31575</v>
      </c>
    </row>
    <row r="3860" spans="1:26" x14ac:dyDescent="0.25">
      <c r="A3860" t="s">
        <v>4219</v>
      </c>
      <c r="B3860" t="s">
        <v>26</v>
      </c>
      <c r="C3860" t="s">
        <v>27</v>
      </c>
      <c r="H3860" s="2">
        <v>44664.402777777781</v>
      </c>
      <c r="I3860" t="s">
        <v>357</v>
      </c>
      <c r="Z3860">
        <v>31543</v>
      </c>
    </row>
    <row r="3861" spans="1:26" x14ac:dyDescent="0.25">
      <c r="A3861" t="s">
        <v>4220</v>
      </c>
      <c r="B3861" t="s">
        <v>26</v>
      </c>
      <c r="C3861" t="s">
        <v>27</v>
      </c>
      <c r="H3861" s="2">
        <v>44663.619444444441</v>
      </c>
      <c r="I3861" t="s">
        <v>153</v>
      </c>
      <c r="Z3861">
        <v>31483</v>
      </c>
    </row>
    <row r="3862" spans="1:26" x14ac:dyDescent="0.25">
      <c r="A3862" t="s">
        <v>4221</v>
      </c>
      <c r="B3862" t="s">
        <v>46</v>
      </c>
      <c r="C3862" t="s">
        <v>27</v>
      </c>
      <c r="E3862" t="s">
        <v>120</v>
      </c>
      <c r="G3862" t="s">
        <v>341</v>
      </c>
      <c r="H3862" s="2">
        <v>44663.604166666664</v>
      </c>
      <c r="I3862" t="s">
        <v>194</v>
      </c>
      <c r="Z3862">
        <v>31477</v>
      </c>
    </row>
    <row r="3863" spans="1:26" x14ac:dyDescent="0.25">
      <c r="A3863" t="s">
        <v>4222</v>
      </c>
      <c r="B3863" t="s">
        <v>164</v>
      </c>
      <c r="C3863" t="s">
        <v>27</v>
      </c>
      <c r="E3863" t="s">
        <v>4223</v>
      </c>
      <c r="H3863" s="2">
        <v>44663.591666666667</v>
      </c>
      <c r="I3863" t="s">
        <v>346</v>
      </c>
      <c r="Z3863">
        <v>31474</v>
      </c>
    </row>
    <row r="3864" spans="1:26" x14ac:dyDescent="0.25">
      <c r="A3864" t="s">
        <v>4224</v>
      </c>
      <c r="B3864" t="s">
        <v>26</v>
      </c>
      <c r="C3864" t="s">
        <v>27</v>
      </c>
      <c r="H3864" s="2">
        <v>44663.589583333334</v>
      </c>
      <c r="I3864" t="s">
        <v>354</v>
      </c>
      <c r="Z3864">
        <v>31473</v>
      </c>
    </row>
    <row r="3865" spans="1:26" x14ac:dyDescent="0.25">
      <c r="A3865" t="s">
        <v>4225</v>
      </c>
      <c r="B3865" t="s">
        <v>26</v>
      </c>
      <c r="C3865" t="s">
        <v>27</v>
      </c>
      <c r="H3865" s="2">
        <v>44663.404861111114</v>
      </c>
      <c r="I3865" t="s">
        <v>194</v>
      </c>
      <c r="Z3865">
        <v>31441</v>
      </c>
    </row>
    <row r="3866" spans="1:26" x14ac:dyDescent="0.25">
      <c r="A3866" t="s">
        <v>4226</v>
      </c>
      <c r="B3866" t="s">
        <v>26</v>
      </c>
      <c r="C3866" t="s">
        <v>27</v>
      </c>
      <c r="H3866" s="2">
        <v>44663.398611111108</v>
      </c>
      <c r="I3866" t="s">
        <v>194</v>
      </c>
      <c r="Z3866">
        <v>31440</v>
      </c>
    </row>
    <row r="3867" spans="1:26" x14ac:dyDescent="0.25">
      <c r="A3867" t="s">
        <v>4227</v>
      </c>
      <c r="B3867" t="s">
        <v>26</v>
      </c>
      <c r="C3867" t="s">
        <v>27</v>
      </c>
      <c r="E3867" t="s">
        <v>87</v>
      </c>
      <c r="H3867" s="2">
        <v>44662.808333333334</v>
      </c>
      <c r="I3867" t="s">
        <v>357</v>
      </c>
      <c r="Z3867">
        <v>31421</v>
      </c>
    </row>
    <row r="3868" spans="1:26" x14ac:dyDescent="0.25">
      <c r="A3868" t="s">
        <v>274</v>
      </c>
      <c r="B3868" t="s">
        <v>26</v>
      </c>
      <c r="C3868" t="s">
        <v>64</v>
      </c>
      <c r="H3868" s="2">
        <v>44662.679861111108</v>
      </c>
      <c r="I3868" t="s">
        <v>153</v>
      </c>
      <c r="Z3868">
        <v>31395</v>
      </c>
    </row>
    <row r="3869" spans="1:26" x14ac:dyDescent="0.25">
      <c r="A3869" t="s">
        <v>4228</v>
      </c>
      <c r="B3869" t="s">
        <v>26</v>
      </c>
      <c r="C3869" t="s">
        <v>27</v>
      </c>
      <c r="H3869" s="2">
        <v>44662.606944444444</v>
      </c>
      <c r="I3869" t="s">
        <v>354</v>
      </c>
      <c r="Z3869">
        <v>31376</v>
      </c>
    </row>
    <row r="3870" spans="1:26" x14ac:dyDescent="0.25">
      <c r="A3870" t="s">
        <v>4195</v>
      </c>
      <c r="B3870" t="s">
        <v>26</v>
      </c>
      <c r="C3870" t="s">
        <v>27</v>
      </c>
      <c r="H3870" s="2">
        <v>44662.458333333336</v>
      </c>
      <c r="I3870" t="s">
        <v>194</v>
      </c>
      <c r="Z3870">
        <v>31343</v>
      </c>
    </row>
    <row r="3871" spans="1:26" x14ac:dyDescent="0.25">
      <c r="A3871" t="s">
        <v>1232</v>
      </c>
      <c r="C3871" t="s">
        <v>27</v>
      </c>
      <c r="E3871" t="s">
        <v>296</v>
      </c>
      <c r="H3871" s="2">
        <v>44661.495138888888</v>
      </c>
      <c r="I3871" t="s">
        <v>357</v>
      </c>
      <c r="Z3871">
        <v>31266</v>
      </c>
    </row>
    <row r="3872" spans="1:26" x14ac:dyDescent="0.25">
      <c r="A3872" t="s">
        <v>4229</v>
      </c>
      <c r="B3872" t="s">
        <v>26</v>
      </c>
      <c r="C3872" t="s">
        <v>27</v>
      </c>
      <c r="E3872" t="s">
        <v>4230</v>
      </c>
      <c r="H3872" s="2">
        <v>44660.509027777778</v>
      </c>
      <c r="I3872" t="s">
        <v>194</v>
      </c>
      <c r="Z3872">
        <v>31211</v>
      </c>
    </row>
    <row r="3873" spans="1:26" x14ac:dyDescent="0.25">
      <c r="A3873" t="s">
        <v>4231</v>
      </c>
      <c r="B3873" t="s">
        <v>334</v>
      </c>
      <c r="C3873" t="s">
        <v>27</v>
      </c>
      <c r="H3873" s="2">
        <v>44659.979166666664</v>
      </c>
      <c r="I3873" t="s">
        <v>346</v>
      </c>
      <c r="Z3873">
        <v>31175</v>
      </c>
    </row>
    <row r="3874" spans="1:26" x14ac:dyDescent="0.25">
      <c r="A3874" t="s">
        <v>4232</v>
      </c>
      <c r="B3874" t="s">
        <v>26</v>
      </c>
      <c r="C3874" t="s">
        <v>27</v>
      </c>
      <c r="E3874" t="s">
        <v>4233</v>
      </c>
      <c r="H3874" s="2">
        <v>44659.586111111108</v>
      </c>
      <c r="I3874" t="s">
        <v>346</v>
      </c>
      <c r="Z3874">
        <v>31133</v>
      </c>
    </row>
    <row r="3875" spans="1:26" x14ac:dyDescent="0.25">
      <c r="A3875" t="s">
        <v>3280</v>
      </c>
      <c r="B3875" t="s">
        <v>26</v>
      </c>
      <c r="C3875" t="s">
        <v>27</v>
      </c>
      <c r="H3875" s="2">
        <v>44659.577777777777</v>
      </c>
      <c r="I3875" t="s">
        <v>346</v>
      </c>
      <c r="Z3875">
        <v>31131</v>
      </c>
    </row>
    <row r="3876" spans="1:26" x14ac:dyDescent="0.25">
      <c r="A3876" t="s">
        <v>4234</v>
      </c>
      <c r="B3876" t="s">
        <v>26</v>
      </c>
      <c r="C3876" t="s">
        <v>27</v>
      </c>
      <c r="H3876" s="2">
        <v>44659.412499999999</v>
      </c>
      <c r="I3876" t="s">
        <v>346</v>
      </c>
      <c r="Z3876">
        <v>31090</v>
      </c>
    </row>
    <row r="3877" spans="1:26" x14ac:dyDescent="0.25">
      <c r="A3877" t="s">
        <v>4235</v>
      </c>
      <c r="B3877" t="s">
        <v>26</v>
      </c>
      <c r="C3877" t="s">
        <v>305</v>
      </c>
      <c r="H3877" s="2">
        <v>44658.410416666666</v>
      </c>
      <c r="I3877" t="s">
        <v>153</v>
      </c>
      <c r="Z3877">
        <v>31012</v>
      </c>
    </row>
    <row r="3878" spans="1:26" x14ac:dyDescent="0.25">
      <c r="A3878" t="s">
        <v>4236</v>
      </c>
      <c r="B3878" t="s">
        <v>26</v>
      </c>
      <c r="C3878" t="s">
        <v>27</v>
      </c>
      <c r="H3878" s="2">
        <v>44656.600694444445</v>
      </c>
      <c r="I3878" t="s">
        <v>357</v>
      </c>
      <c r="Z3878">
        <v>30887</v>
      </c>
    </row>
    <row r="3879" spans="1:26" x14ac:dyDescent="0.25">
      <c r="A3879" t="s">
        <v>4237</v>
      </c>
      <c r="B3879" t="s">
        <v>164</v>
      </c>
      <c r="C3879" t="s">
        <v>27</v>
      </c>
      <c r="E3879" t="s">
        <v>4238</v>
      </c>
      <c r="H3879" s="2">
        <v>44656.566666666666</v>
      </c>
      <c r="I3879" t="s">
        <v>346</v>
      </c>
      <c r="Z3879">
        <v>30875</v>
      </c>
    </row>
    <row r="3880" spans="1:26" x14ac:dyDescent="0.25">
      <c r="A3880" t="s">
        <v>4239</v>
      </c>
      <c r="B3880" t="s">
        <v>164</v>
      </c>
      <c r="C3880" t="s">
        <v>27</v>
      </c>
      <c r="E3880" t="s">
        <v>4240</v>
      </c>
      <c r="H3880" s="2">
        <v>44656.56527777778</v>
      </c>
      <c r="I3880" t="s">
        <v>357</v>
      </c>
      <c r="Z3880">
        <v>30868</v>
      </c>
    </row>
    <row r="3881" spans="1:26" x14ac:dyDescent="0.25">
      <c r="A3881" t="s">
        <v>4241</v>
      </c>
      <c r="B3881" t="s">
        <v>164</v>
      </c>
      <c r="C3881" t="s">
        <v>27</v>
      </c>
      <c r="E3881" t="s">
        <v>4242</v>
      </c>
      <c r="H3881" s="2">
        <v>44656.56527777778</v>
      </c>
      <c r="I3881" t="s">
        <v>357</v>
      </c>
      <c r="Z3881">
        <v>30867</v>
      </c>
    </row>
    <row r="3882" spans="1:26" x14ac:dyDescent="0.25">
      <c r="A3882" t="s">
        <v>4243</v>
      </c>
      <c r="B3882" t="s">
        <v>164</v>
      </c>
      <c r="C3882" t="s">
        <v>27</v>
      </c>
      <c r="E3882" t="s">
        <v>4244</v>
      </c>
      <c r="H3882" s="2">
        <v>44656.56527777778</v>
      </c>
      <c r="I3882" t="s">
        <v>357</v>
      </c>
      <c r="Z3882">
        <v>30866</v>
      </c>
    </row>
    <row r="3883" spans="1:26" x14ac:dyDescent="0.25">
      <c r="A3883" t="s">
        <v>4245</v>
      </c>
      <c r="B3883" t="s">
        <v>26</v>
      </c>
      <c r="C3883" t="s">
        <v>305</v>
      </c>
      <c r="H3883" s="2">
        <v>44656.54583333333</v>
      </c>
      <c r="I3883" t="s">
        <v>153</v>
      </c>
      <c r="Z3883">
        <v>30841</v>
      </c>
    </row>
    <row r="3884" spans="1:26" x14ac:dyDescent="0.25">
      <c r="A3884" t="s">
        <v>4246</v>
      </c>
      <c r="B3884" t="s">
        <v>46</v>
      </c>
      <c r="C3884" t="s">
        <v>27</v>
      </c>
      <c r="E3884" t="s">
        <v>43</v>
      </c>
      <c r="G3884" t="s">
        <v>4247</v>
      </c>
      <c r="H3884" s="2">
        <v>44655.777083333334</v>
      </c>
      <c r="I3884" t="s">
        <v>194</v>
      </c>
      <c r="Z3884">
        <v>30801</v>
      </c>
    </row>
    <row r="3885" spans="1:26" x14ac:dyDescent="0.25">
      <c r="A3885" t="s">
        <v>4135</v>
      </c>
      <c r="B3885" t="s">
        <v>26</v>
      </c>
      <c r="C3885" t="s">
        <v>27</v>
      </c>
      <c r="H3885" s="2">
        <v>44655.732638888891</v>
      </c>
      <c r="I3885" t="s">
        <v>194</v>
      </c>
      <c r="Z3885">
        <v>30799</v>
      </c>
    </row>
    <row r="3886" spans="1:26" x14ac:dyDescent="0.25">
      <c r="A3886" t="s">
        <v>374</v>
      </c>
      <c r="B3886" t="s">
        <v>26</v>
      </c>
      <c r="C3886" t="s">
        <v>27</v>
      </c>
      <c r="H3886" s="2">
        <v>44655.643055555556</v>
      </c>
      <c r="I3886" t="s">
        <v>194</v>
      </c>
      <c r="Z3886">
        <v>30788</v>
      </c>
    </row>
    <row r="3887" spans="1:26" x14ac:dyDescent="0.25">
      <c r="A3887" t="s">
        <v>4248</v>
      </c>
      <c r="B3887" t="s">
        <v>26</v>
      </c>
      <c r="C3887" t="s">
        <v>27</v>
      </c>
      <c r="H3887" s="2">
        <v>44655.488194444442</v>
      </c>
      <c r="I3887" t="s">
        <v>153</v>
      </c>
      <c r="Z3887">
        <v>30773</v>
      </c>
    </row>
    <row r="3888" spans="1:26" x14ac:dyDescent="0.25">
      <c r="A3888" t="s">
        <v>4249</v>
      </c>
      <c r="B3888" t="s">
        <v>26</v>
      </c>
      <c r="C3888" t="s">
        <v>27</v>
      </c>
      <c r="H3888" s="2">
        <v>44655.402777777781</v>
      </c>
      <c r="I3888" t="s">
        <v>194</v>
      </c>
      <c r="Z3888">
        <v>30757</v>
      </c>
    </row>
    <row r="3889" spans="1:26" x14ac:dyDescent="0.25">
      <c r="A3889" t="s">
        <v>102</v>
      </c>
      <c r="B3889" t="s">
        <v>334</v>
      </c>
      <c r="C3889" t="s">
        <v>27</v>
      </c>
      <c r="H3889" s="2">
        <v>44654.811111111114</v>
      </c>
      <c r="I3889" t="s">
        <v>346</v>
      </c>
      <c r="K3889" t="s">
        <v>30</v>
      </c>
      <c r="L3889" t="s">
        <v>31</v>
      </c>
      <c r="M3889" t="s">
        <v>4250</v>
      </c>
      <c r="N3889" t="s">
        <v>4251</v>
      </c>
      <c r="O3889" t="s">
        <v>4252</v>
      </c>
      <c r="Z3889">
        <v>30743</v>
      </c>
    </row>
    <row r="3890" spans="1:26" x14ac:dyDescent="0.25">
      <c r="A3890" t="s">
        <v>4253</v>
      </c>
      <c r="B3890" t="s">
        <v>26</v>
      </c>
      <c r="C3890" t="s">
        <v>27</v>
      </c>
      <c r="H3890" s="2">
        <v>44654.628472222219</v>
      </c>
      <c r="I3890" t="s">
        <v>346</v>
      </c>
      <c r="Z3890">
        <v>30729</v>
      </c>
    </row>
    <row r="3891" spans="1:26" x14ac:dyDescent="0.25">
      <c r="A3891" t="s">
        <v>366</v>
      </c>
      <c r="C3891" t="s">
        <v>27</v>
      </c>
      <c r="E3891" t="s">
        <v>4254</v>
      </c>
      <c r="H3891" s="2">
        <v>44654.459722222222</v>
      </c>
      <c r="I3891" t="s">
        <v>153</v>
      </c>
      <c r="Z3891">
        <v>30705</v>
      </c>
    </row>
    <row r="3892" spans="1:26" x14ac:dyDescent="0.25">
      <c r="A3892" t="s">
        <v>276</v>
      </c>
      <c r="B3892" t="s">
        <v>26</v>
      </c>
      <c r="C3892" t="s">
        <v>27</v>
      </c>
      <c r="H3892" s="2">
        <v>44653.375694444447</v>
      </c>
      <c r="I3892" t="s">
        <v>346</v>
      </c>
      <c r="Z3892">
        <v>30663</v>
      </c>
    </row>
    <row r="3893" spans="1:26" x14ac:dyDescent="0.25">
      <c r="A3893" t="s">
        <v>366</v>
      </c>
      <c r="C3893" t="s">
        <v>27</v>
      </c>
      <c r="E3893" t="s">
        <v>4255</v>
      </c>
      <c r="H3893" s="2">
        <v>44652.484722222223</v>
      </c>
      <c r="I3893" t="s">
        <v>357</v>
      </c>
      <c r="Z3893">
        <v>30620</v>
      </c>
    </row>
    <row r="3894" spans="1:26" x14ac:dyDescent="0.25">
      <c r="A3894" t="s">
        <v>366</v>
      </c>
      <c r="C3894" t="s">
        <v>27</v>
      </c>
      <c r="E3894" t="s">
        <v>4256</v>
      </c>
      <c r="H3894" s="2">
        <v>44652.388194444444</v>
      </c>
      <c r="I3894" t="s">
        <v>357</v>
      </c>
      <c r="Z3894">
        <v>30608</v>
      </c>
    </row>
    <row r="3895" spans="1:26" x14ac:dyDescent="0.25">
      <c r="A3895" t="s">
        <v>4257</v>
      </c>
      <c r="B3895" t="s">
        <v>26</v>
      </c>
      <c r="C3895" t="s">
        <v>27</v>
      </c>
      <c r="H3895" s="2">
        <v>44651.795138888891</v>
      </c>
      <c r="I3895" t="s">
        <v>153</v>
      </c>
      <c r="Z3895">
        <v>30604</v>
      </c>
    </row>
    <row r="3896" spans="1:26" x14ac:dyDescent="0.25">
      <c r="A3896" t="s">
        <v>4258</v>
      </c>
      <c r="B3896" t="s">
        <v>26</v>
      </c>
      <c r="C3896" t="s">
        <v>27</v>
      </c>
      <c r="H3896" s="2">
        <v>44651.63958333333</v>
      </c>
      <c r="I3896" t="s">
        <v>153</v>
      </c>
      <c r="Z3896">
        <v>30590</v>
      </c>
    </row>
    <row r="3897" spans="1:26" x14ac:dyDescent="0.25">
      <c r="A3897" t="s">
        <v>4259</v>
      </c>
      <c r="B3897" t="s">
        <v>26</v>
      </c>
      <c r="C3897" t="s">
        <v>27</v>
      </c>
      <c r="H3897" s="2">
        <v>44651.573611111111</v>
      </c>
      <c r="I3897" t="s">
        <v>357</v>
      </c>
      <c r="Z3897">
        <v>30583</v>
      </c>
    </row>
    <row r="3898" spans="1:26" x14ac:dyDescent="0.25">
      <c r="A3898" t="s">
        <v>4260</v>
      </c>
      <c r="B3898" t="s">
        <v>26</v>
      </c>
      <c r="C3898" t="s">
        <v>64</v>
      </c>
      <c r="H3898" s="2">
        <v>44650.64166666667</v>
      </c>
      <c r="I3898" t="s">
        <v>153</v>
      </c>
      <c r="Z3898">
        <v>30543</v>
      </c>
    </row>
    <row r="3899" spans="1:26" x14ac:dyDescent="0.25">
      <c r="A3899" t="s">
        <v>4261</v>
      </c>
      <c r="B3899" t="s">
        <v>26</v>
      </c>
      <c r="C3899" t="s">
        <v>27</v>
      </c>
      <c r="H3899" s="2">
        <v>44650.605555555558</v>
      </c>
      <c r="I3899" t="s">
        <v>357</v>
      </c>
      <c r="Z3899">
        <v>30539</v>
      </c>
    </row>
    <row r="3900" spans="1:26" x14ac:dyDescent="0.25">
      <c r="A3900" t="s">
        <v>4262</v>
      </c>
      <c r="B3900" t="s">
        <v>26</v>
      </c>
      <c r="C3900" t="s">
        <v>27</v>
      </c>
      <c r="H3900" s="2">
        <v>44650.487500000003</v>
      </c>
      <c r="I3900" t="s">
        <v>357</v>
      </c>
      <c r="Z3900">
        <v>30528</v>
      </c>
    </row>
    <row r="3901" spans="1:26" x14ac:dyDescent="0.25">
      <c r="A3901" t="s">
        <v>712</v>
      </c>
      <c r="B3901" t="s">
        <v>26</v>
      </c>
      <c r="C3901" t="s">
        <v>27</v>
      </c>
      <c r="E3901" t="s">
        <v>4263</v>
      </c>
      <c r="H3901" s="2">
        <v>44649.835416666669</v>
      </c>
      <c r="I3901" t="s">
        <v>346</v>
      </c>
      <c r="Z3901">
        <v>30516</v>
      </c>
    </row>
    <row r="3902" spans="1:26" x14ac:dyDescent="0.25">
      <c r="A3902" t="s">
        <v>4264</v>
      </c>
      <c r="B3902" t="s">
        <v>26</v>
      </c>
      <c r="C3902" t="s">
        <v>27</v>
      </c>
      <c r="H3902" s="2">
        <v>44649.711111111108</v>
      </c>
      <c r="I3902" t="s">
        <v>194</v>
      </c>
      <c r="Z3902">
        <v>30507</v>
      </c>
    </row>
    <row r="3903" spans="1:26" x14ac:dyDescent="0.25">
      <c r="A3903" t="s">
        <v>4265</v>
      </c>
      <c r="B3903" t="s">
        <v>198</v>
      </c>
      <c r="C3903" t="s">
        <v>27</v>
      </c>
      <c r="E3903" t="s">
        <v>44</v>
      </c>
      <c r="G3903" t="s">
        <v>4266</v>
      </c>
      <c r="H3903" s="2">
        <v>44649.695138888892</v>
      </c>
      <c r="I3903" t="s">
        <v>194</v>
      </c>
      <c r="Z3903">
        <v>30502</v>
      </c>
    </row>
    <row r="3904" spans="1:26" x14ac:dyDescent="0.25">
      <c r="A3904" t="s">
        <v>4267</v>
      </c>
      <c r="B3904" t="s">
        <v>26</v>
      </c>
      <c r="C3904" t="s">
        <v>27</v>
      </c>
      <c r="H3904" s="2">
        <v>44649.556250000001</v>
      </c>
      <c r="I3904" t="s">
        <v>194</v>
      </c>
      <c r="Z3904">
        <v>30489</v>
      </c>
    </row>
    <row r="3905" spans="1:26" x14ac:dyDescent="0.25">
      <c r="A3905" t="s">
        <v>366</v>
      </c>
      <c r="C3905" t="s">
        <v>27</v>
      </c>
      <c r="E3905" t="s">
        <v>4268</v>
      </c>
      <c r="H3905" s="2">
        <v>44648.649305555555</v>
      </c>
      <c r="I3905" t="s">
        <v>194</v>
      </c>
      <c r="Z3905">
        <v>30471</v>
      </c>
    </row>
    <row r="3906" spans="1:26" x14ac:dyDescent="0.25">
      <c r="A3906" t="s">
        <v>4269</v>
      </c>
      <c r="B3906" t="s">
        <v>26</v>
      </c>
      <c r="C3906" t="s">
        <v>27</v>
      </c>
      <c r="H3906" s="2">
        <v>44648.604861111111</v>
      </c>
      <c r="I3906" t="s">
        <v>194</v>
      </c>
      <c r="Z3906">
        <v>30467</v>
      </c>
    </row>
    <row r="3907" spans="1:26" x14ac:dyDescent="0.25">
      <c r="A3907" t="s">
        <v>102</v>
      </c>
      <c r="B3907" t="s">
        <v>334</v>
      </c>
      <c r="C3907" t="s">
        <v>64</v>
      </c>
      <c r="H3907" s="2">
        <v>44648.584027777775</v>
      </c>
      <c r="I3907" t="s">
        <v>375</v>
      </c>
      <c r="Z3907">
        <v>30464</v>
      </c>
    </row>
    <row r="3908" spans="1:26" x14ac:dyDescent="0.25">
      <c r="A3908" t="s">
        <v>712</v>
      </c>
      <c r="B3908" t="s">
        <v>26</v>
      </c>
      <c r="C3908" t="s">
        <v>27</v>
      </c>
      <c r="H3908" s="2">
        <v>44648.55972222222</v>
      </c>
      <c r="I3908" t="s">
        <v>194</v>
      </c>
      <c r="Z3908">
        <v>30461</v>
      </c>
    </row>
    <row r="3909" spans="1:26" x14ac:dyDescent="0.25">
      <c r="A3909" t="s">
        <v>3428</v>
      </c>
      <c r="B3909" t="s">
        <v>198</v>
      </c>
      <c r="C3909" t="s">
        <v>27</v>
      </c>
      <c r="E3909" t="s">
        <v>277</v>
      </c>
      <c r="H3909" s="2">
        <v>44648.532638888886</v>
      </c>
      <c r="I3909" t="s">
        <v>346</v>
      </c>
      <c r="Z3909">
        <v>30457</v>
      </c>
    </row>
    <row r="3910" spans="1:26" x14ac:dyDescent="0.25">
      <c r="A3910" t="s">
        <v>4183</v>
      </c>
      <c r="B3910" t="s">
        <v>26</v>
      </c>
      <c r="C3910" t="s">
        <v>27</v>
      </c>
      <c r="H3910" s="2">
        <v>44647.734027777777</v>
      </c>
      <c r="I3910" t="s">
        <v>346</v>
      </c>
      <c r="Z3910">
        <v>30431</v>
      </c>
    </row>
    <row r="3911" spans="1:26" x14ac:dyDescent="0.25">
      <c r="A3911" t="s">
        <v>4270</v>
      </c>
      <c r="B3911" t="s">
        <v>26</v>
      </c>
      <c r="C3911" t="s">
        <v>27</v>
      </c>
      <c r="H3911" s="2">
        <v>44647.498611111114</v>
      </c>
      <c r="I3911" t="s">
        <v>194</v>
      </c>
      <c r="Z3911">
        <v>30423</v>
      </c>
    </row>
    <row r="3912" spans="1:26" x14ac:dyDescent="0.25">
      <c r="A3912" t="s">
        <v>4271</v>
      </c>
      <c r="B3912" t="s">
        <v>26</v>
      </c>
      <c r="C3912" t="s">
        <v>27</v>
      </c>
      <c r="H3912" s="2">
        <v>44647.467361111114</v>
      </c>
      <c r="I3912" t="s">
        <v>346</v>
      </c>
      <c r="Z3912">
        <v>30420</v>
      </c>
    </row>
    <row r="3913" spans="1:26" x14ac:dyDescent="0.25">
      <c r="A3913" t="s">
        <v>1054</v>
      </c>
      <c r="B3913" t="s">
        <v>26</v>
      </c>
      <c r="C3913" t="s">
        <v>27</v>
      </c>
      <c r="H3913" s="2">
        <v>44646.552083333336</v>
      </c>
      <c r="I3913" t="s">
        <v>375</v>
      </c>
      <c r="Z3913">
        <v>30380</v>
      </c>
    </row>
    <row r="3914" spans="1:26" x14ac:dyDescent="0.25">
      <c r="A3914" t="s">
        <v>4272</v>
      </c>
      <c r="B3914" t="s">
        <v>26</v>
      </c>
      <c r="C3914" t="s">
        <v>27</v>
      </c>
      <c r="H3914" s="2">
        <v>44646.467361111114</v>
      </c>
      <c r="I3914" t="s">
        <v>354</v>
      </c>
      <c r="Z3914">
        <v>30370</v>
      </c>
    </row>
    <row r="3915" spans="1:26" x14ac:dyDescent="0.25">
      <c r="A3915" t="s">
        <v>325</v>
      </c>
      <c r="B3915" t="s">
        <v>26</v>
      </c>
      <c r="C3915" t="s">
        <v>27</v>
      </c>
      <c r="H3915" s="2">
        <v>44645.73333333333</v>
      </c>
      <c r="I3915" t="s">
        <v>357</v>
      </c>
      <c r="Z3915">
        <v>30336</v>
      </c>
    </row>
    <row r="3916" spans="1:26" x14ac:dyDescent="0.25">
      <c r="A3916" t="s">
        <v>4273</v>
      </c>
      <c r="B3916" t="s">
        <v>26</v>
      </c>
      <c r="C3916" t="s">
        <v>27</v>
      </c>
      <c r="H3916" s="2">
        <v>44645.515972222223</v>
      </c>
      <c r="I3916" t="s">
        <v>357</v>
      </c>
      <c r="Z3916">
        <v>30310</v>
      </c>
    </row>
    <row r="3917" spans="1:26" x14ac:dyDescent="0.25">
      <c r="A3917" t="s">
        <v>4274</v>
      </c>
      <c r="B3917" t="s">
        <v>26</v>
      </c>
      <c r="C3917" t="s">
        <v>27</v>
      </c>
      <c r="H3917" s="2">
        <v>44645.451388888891</v>
      </c>
      <c r="I3917" t="s">
        <v>354</v>
      </c>
      <c r="Z3917">
        <v>30304</v>
      </c>
    </row>
    <row r="3918" spans="1:26" x14ac:dyDescent="0.25">
      <c r="A3918" t="s">
        <v>4275</v>
      </c>
      <c r="B3918" t="s">
        <v>26</v>
      </c>
      <c r="C3918" t="s">
        <v>27</v>
      </c>
      <c r="H3918" s="2">
        <v>44644.861111111109</v>
      </c>
      <c r="I3918" t="s">
        <v>354</v>
      </c>
      <c r="Z3918">
        <v>30294</v>
      </c>
    </row>
    <row r="3919" spans="1:26" x14ac:dyDescent="0.25">
      <c r="A3919" t="s">
        <v>4276</v>
      </c>
      <c r="B3919" t="s">
        <v>26</v>
      </c>
      <c r="C3919" t="s">
        <v>27</v>
      </c>
      <c r="H3919" s="2">
        <v>44644.845138888886</v>
      </c>
      <c r="I3919" t="s">
        <v>354</v>
      </c>
      <c r="Z3919">
        <v>30292</v>
      </c>
    </row>
    <row r="3920" spans="1:26" x14ac:dyDescent="0.25">
      <c r="A3920" t="s">
        <v>4277</v>
      </c>
      <c r="B3920" t="s">
        <v>26</v>
      </c>
      <c r="C3920" t="s">
        <v>27</v>
      </c>
      <c r="E3920" t="s">
        <v>4278</v>
      </c>
      <c r="H3920" s="2">
        <v>44644.76666666667</v>
      </c>
      <c r="I3920" t="s">
        <v>357</v>
      </c>
      <c r="Z3920">
        <v>30286</v>
      </c>
    </row>
    <row r="3921" spans="1:26" x14ac:dyDescent="0.25">
      <c r="A3921" t="s">
        <v>4279</v>
      </c>
      <c r="B3921" t="s">
        <v>26</v>
      </c>
      <c r="C3921" t="s">
        <v>27</v>
      </c>
      <c r="E3921" t="s">
        <v>4280</v>
      </c>
      <c r="H3921" s="2">
        <v>44644.722916666666</v>
      </c>
      <c r="I3921" t="s">
        <v>357</v>
      </c>
      <c r="Z3921">
        <v>30277</v>
      </c>
    </row>
    <row r="3922" spans="1:26" x14ac:dyDescent="0.25">
      <c r="A3922" t="s">
        <v>4281</v>
      </c>
      <c r="B3922" t="s">
        <v>26</v>
      </c>
      <c r="C3922" t="s">
        <v>27</v>
      </c>
      <c r="H3922" s="2">
        <v>44644.510416666664</v>
      </c>
      <c r="I3922" t="s">
        <v>354</v>
      </c>
      <c r="Z3922">
        <v>30257</v>
      </c>
    </row>
    <row r="3923" spans="1:26" x14ac:dyDescent="0.25">
      <c r="A3923" t="s">
        <v>4282</v>
      </c>
      <c r="B3923" t="s">
        <v>26</v>
      </c>
      <c r="C3923" t="s">
        <v>27</v>
      </c>
      <c r="H3923" s="2">
        <v>44643.685416666667</v>
      </c>
      <c r="I3923" t="s">
        <v>346</v>
      </c>
      <c r="Z3923">
        <v>30230</v>
      </c>
    </row>
    <row r="3924" spans="1:26" x14ac:dyDescent="0.25">
      <c r="A3924" t="s">
        <v>4283</v>
      </c>
      <c r="B3924" t="s">
        <v>26</v>
      </c>
      <c r="C3924" t="s">
        <v>27</v>
      </c>
      <c r="H3924" s="2">
        <v>44643.677083333336</v>
      </c>
      <c r="I3924" t="s">
        <v>194</v>
      </c>
      <c r="Z3924">
        <v>30226</v>
      </c>
    </row>
    <row r="3925" spans="1:26" x14ac:dyDescent="0.25">
      <c r="A3925" t="s">
        <v>4284</v>
      </c>
      <c r="B3925" t="s">
        <v>26</v>
      </c>
      <c r="C3925" t="s">
        <v>27</v>
      </c>
      <c r="E3925" t="s">
        <v>135</v>
      </c>
      <c r="H3925" s="2">
        <v>44643.625</v>
      </c>
      <c r="I3925" t="s">
        <v>194</v>
      </c>
      <c r="Z3925">
        <v>30220</v>
      </c>
    </row>
    <row r="3926" spans="1:26" x14ac:dyDescent="0.25">
      <c r="A3926" t="s">
        <v>4285</v>
      </c>
      <c r="B3926" t="s">
        <v>26</v>
      </c>
      <c r="C3926" t="s">
        <v>27</v>
      </c>
      <c r="H3926" s="2">
        <v>44643.563888888886</v>
      </c>
      <c r="I3926" t="s">
        <v>194</v>
      </c>
      <c r="Z3926">
        <v>30213</v>
      </c>
    </row>
    <row r="3927" spans="1:26" x14ac:dyDescent="0.25">
      <c r="A3927" t="s">
        <v>4286</v>
      </c>
      <c r="B3927" t="s">
        <v>26</v>
      </c>
      <c r="C3927" t="s">
        <v>27</v>
      </c>
      <c r="H3927" s="2">
        <v>44643.48333333333</v>
      </c>
      <c r="I3927" t="s">
        <v>346</v>
      </c>
      <c r="Z3927">
        <v>30205</v>
      </c>
    </row>
    <row r="3928" spans="1:26" x14ac:dyDescent="0.25">
      <c r="A3928" t="s">
        <v>4287</v>
      </c>
      <c r="B3928" t="s">
        <v>26</v>
      </c>
      <c r="C3928" t="s">
        <v>27</v>
      </c>
      <c r="H3928" s="2">
        <v>44643.412499999999</v>
      </c>
      <c r="I3928" t="s">
        <v>194</v>
      </c>
      <c r="Z3928">
        <v>30196</v>
      </c>
    </row>
    <row r="3929" spans="1:26" x14ac:dyDescent="0.25">
      <c r="A3929" t="s">
        <v>4288</v>
      </c>
      <c r="B3929" t="s">
        <v>26</v>
      </c>
      <c r="C3929" t="s">
        <v>27</v>
      </c>
      <c r="H3929" s="2">
        <v>44642.703472222223</v>
      </c>
      <c r="I3929" t="s">
        <v>346</v>
      </c>
      <c r="Z3929">
        <v>30177</v>
      </c>
    </row>
    <row r="3930" spans="1:26" x14ac:dyDescent="0.25">
      <c r="A3930" t="s">
        <v>4289</v>
      </c>
      <c r="B3930" t="s">
        <v>26</v>
      </c>
      <c r="C3930" t="s">
        <v>27</v>
      </c>
      <c r="E3930" t="s">
        <v>4290</v>
      </c>
      <c r="H3930" s="2">
        <v>44642.622916666667</v>
      </c>
      <c r="I3930" t="s">
        <v>346</v>
      </c>
      <c r="Z3930">
        <v>30172</v>
      </c>
    </row>
    <row r="3931" spans="1:26" x14ac:dyDescent="0.25">
      <c r="A3931" t="s">
        <v>4291</v>
      </c>
      <c r="B3931" t="s">
        <v>26</v>
      </c>
      <c r="C3931" t="s">
        <v>27</v>
      </c>
      <c r="H3931" s="2">
        <v>44642.602083333331</v>
      </c>
      <c r="I3931" t="s">
        <v>194</v>
      </c>
      <c r="Z3931">
        <v>30169</v>
      </c>
    </row>
    <row r="3932" spans="1:26" x14ac:dyDescent="0.25">
      <c r="A3932" t="s">
        <v>366</v>
      </c>
      <c r="C3932" t="s">
        <v>27</v>
      </c>
      <c r="E3932" t="s">
        <v>4292</v>
      </c>
      <c r="H3932" s="2">
        <v>44642.583333333336</v>
      </c>
      <c r="I3932" t="s">
        <v>194</v>
      </c>
      <c r="Z3932">
        <v>30165</v>
      </c>
    </row>
    <row r="3933" spans="1:26" x14ac:dyDescent="0.25">
      <c r="A3933" t="s">
        <v>4293</v>
      </c>
      <c r="B3933" t="s">
        <v>26</v>
      </c>
      <c r="C3933" t="s">
        <v>27</v>
      </c>
      <c r="H3933" s="2">
        <v>44642.500694444447</v>
      </c>
      <c r="I3933" t="s">
        <v>153</v>
      </c>
      <c r="Z3933">
        <v>30152</v>
      </c>
    </row>
    <row r="3934" spans="1:26" x14ac:dyDescent="0.25">
      <c r="A3934" t="s">
        <v>4294</v>
      </c>
      <c r="B3934" t="s">
        <v>26</v>
      </c>
      <c r="C3934" t="s">
        <v>27</v>
      </c>
      <c r="H3934" s="2">
        <v>44642.354166666664</v>
      </c>
      <c r="I3934" t="s">
        <v>346</v>
      </c>
      <c r="Z3934">
        <v>30139</v>
      </c>
    </row>
    <row r="3935" spans="1:26" x14ac:dyDescent="0.25">
      <c r="A3935" t="s">
        <v>383</v>
      </c>
      <c r="B3935" t="s">
        <v>185</v>
      </c>
      <c r="C3935" t="s">
        <v>27</v>
      </c>
      <c r="E3935" t="s">
        <v>68</v>
      </c>
      <c r="H3935" s="2">
        <v>44641.765972222223</v>
      </c>
      <c r="I3935" t="s">
        <v>194</v>
      </c>
      <c r="Z3935">
        <v>30129</v>
      </c>
    </row>
    <row r="3936" spans="1:26" x14ac:dyDescent="0.25">
      <c r="A3936" t="s">
        <v>366</v>
      </c>
      <c r="C3936" t="s">
        <v>27</v>
      </c>
      <c r="E3936" t="s">
        <v>4295</v>
      </c>
      <c r="H3936" s="2">
        <v>44641.751388888886</v>
      </c>
      <c r="I3936" t="s">
        <v>346</v>
      </c>
      <c r="Z3936">
        <v>30128</v>
      </c>
    </row>
    <row r="3937" spans="1:26" x14ac:dyDescent="0.25">
      <c r="A3937" t="s">
        <v>4296</v>
      </c>
      <c r="B3937" t="s">
        <v>164</v>
      </c>
      <c r="C3937" t="s">
        <v>64</v>
      </c>
      <c r="E3937" t="s">
        <v>84</v>
      </c>
      <c r="G3937" t="s">
        <v>4297</v>
      </c>
      <c r="H3937" s="2">
        <v>44641.648611111108</v>
      </c>
      <c r="I3937" t="s">
        <v>194</v>
      </c>
      <c r="Z3937">
        <v>30123</v>
      </c>
    </row>
    <row r="3938" spans="1:26" x14ac:dyDescent="0.25">
      <c r="A3938" t="s">
        <v>4298</v>
      </c>
      <c r="B3938" t="s">
        <v>26</v>
      </c>
      <c r="C3938" t="s">
        <v>27</v>
      </c>
      <c r="H3938" s="2">
        <v>44641.513888888891</v>
      </c>
      <c r="I3938" t="s">
        <v>153</v>
      </c>
      <c r="Z3938">
        <v>30103</v>
      </c>
    </row>
    <row r="3939" spans="1:26" x14ac:dyDescent="0.25">
      <c r="A3939" t="s">
        <v>4299</v>
      </c>
      <c r="B3939" t="s">
        <v>26</v>
      </c>
      <c r="C3939" t="s">
        <v>27</v>
      </c>
      <c r="H3939" s="2">
        <v>44639.61041666667</v>
      </c>
      <c r="I3939" t="s">
        <v>357</v>
      </c>
      <c r="Z3939">
        <v>30016</v>
      </c>
    </row>
    <row r="3940" spans="1:26" x14ac:dyDescent="0.25">
      <c r="A3940" t="s">
        <v>4288</v>
      </c>
      <c r="B3940" t="s">
        <v>26</v>
      </c>
      <c r="C3940" t="s">
        <v>27</v>
      </c>
      <c r="E3940" t="s">
        <v>4300</v>
      </c>
      <c r="G3940" t="s">
        <v>292</v>
      </c>
      <c r="H3940" s="2">
        <v>44639.375694444447</v>
      </c>
      <c r="I3940" t="s">
        <v>357</v>
      </c>
      <c r="Z3940">
        <v>29982</v>
      </c>
    </row>
    <row r="3941" spans="1:26" x14ac:dyDescent="0.25">
      <c r="A3941" t="s">
        <v>4301</v>
      </c>
      <c r="B3941" t="s">
        <v>26</v>
      </c>
      <c r="C3941" t="s">
        <v>27</v>
      </c>
      <c r="H3941" s="2">
        <v>44638.73333333333</v>
      </c>
      <c r="I3941" t="s">
        <v>357</v>
      </c>
      <c r="Z3941">
        <v>29965</v>
      </c>
    </row>
    <row r="3942" spans="1:26" x14ac:dyDescent="0.25">
      <c r="A3942" t="s">
        <v>4302</v>
      </c>
      <c r="B3942" t="s">
        <v>26</v>
      </c>
      <c r="C3942" t="s">
        <v>27</v>
      </c>
      <c r="H3942" s="2">
        <v>44638.669444444444</v>
      </c>
      <c r="I3942" t="s">
        <v>153</v>
      </c>
      <c r="Z3942">
        <v>29953</v>
      </c>
    </row>
    <row r="3943" spans="1:26" x14ac:dyDescent="0.25">
      <c r="A3943" t="s">
        <v>4303</v>
      </c>
      <c r="B3943" t="s">
        <v>26</v>
      </c>
      <c r="C3943" t="s">
        <v>27</v>
      </c>
      <c r="H3943" s="2">
        <v>44638.609722222223</v>
      </c>
      <c r="I3943" t="s">
        <v>354</v>
      </c>
      <c r="Z3943">
        <v>29944</v>
      </c>
    </row>
    <row r="3944" spans="1:26" x14ac:dyDescent="0.25">
      <c r="A3944" t="s">
        <v>4304</v>
      </c>
      <c r="B3944" t="s">
        <v>26</v>
      </c>
      <c r="C3944" t="s">
        <v>27</v>
      </c>
      <c r="H3944" s="2">
        <v>44638.547222222223</v>
      </c>
      <c r="I3944" t="s">
        <v>357</v>
      </c>
      <c r="Z3944">
        <v>29943</v>
      </c>
    </row>
    <row r="3945" spans="1:26" x14ac:dyDescent="0.25">
      <c r="A3945" t="s">
        <v>4305</v>
      </c>
      <c r="B3945" t="s">
        <v>26</v>
      </c>
      <c r="C3945" t="s">
        <v>27</v>
      </c>
      <c r="H3945" s="2">
        <v>44638.526388888888</v>
      </c>
      <c r="I3945" t="s">
        <v>354</v>
      </c>
      <c r="Z3945">
        <v>29942</v>
      </c>
    </row>
    <row r="3946" spans="1:26" x14ac:dyDescent="0.25">
      <c r="A3946" t="s">
        <v>4306</v>
      </c>
      <c r="B3946" t="s">
        <v>26</v>
      </c>
      <c r="C3946" t="s">
        <v>27</v>
      </c>
      <c r="H3946" s="2">
        <v>44638.502083333333</v>
      </c>
      <c r="I3946" t="s">
        <v>357</v>
      </c>
      <c r="Z3946">
        <v>29940</v>
      </c>
    </row>
    <row r="3947" spans="1:26" x14ac:dyDescent="0.25">
      <c r="A3947" t="s">
        <v>4307</v>
      </c>
      <c r="B3947" t="s">
        <v>26</v>
      </c>
      <c r="C3947" t="s">
        <v>27</v>
      </c>
      <c r="H3947" s="2">
        <v>44636.747916666667</v>
      </c>
      <c r="I3947" t="s">
        <v>194</v>
      </c>
      <c r="Z3947">
        <v>29869</v>
      </c>
    </row>
    <row r="3948" spans="1:26" x14ac:dyDescent="0.25">
      <c r="A3948" t="s">
        <v>4308</v>
      </c>
      <c r="B3948" t="s">
        <v>26</v>
      </c>
      <c r="C3948" t="s">
        <v>27</v>
      </c>
      <c r="H3948" s="2">
        <v>44636.734027777777</v>
      </c>
      <c r="I3948" t="s">
        <v>346</v>
      </c>
      <c r="Z3948">
        <v>29865</v>
      </c>
    </row>
    <row r="3949" spans="1:26" x14ac:dyDescent="0.25">
      <c r="A3949" t="s">
        <v>4309</v>
      </c>
      <c r="B3949" t="s">
        <v>26</v>
      </c>
      <c r="C3949" t="s">
        <v>27</v>
      </c>
      <c r="H3949" s="2">
        <v>44635.722916666666</v>
      </c>
      <c r="I3949" t="s">
        <v>346</v>
      </c>
      <c r="Z3949">
        <v>29823</v>
      </c>
    </row>
    <row r="3950" spans="1:26" x14ac:dyDescent="0.25">
      <c r="A3950" t="s">
        <v>4310</v>
      </c>
      <c r="B3950" t="s">
        <v>26</v>
      </c>
      <c r="C3950" t="s">
        <v>27</v>
      </c>
      <c r="H3950" s="2">
        <v>44635.62777777778</v>
      </c>
      <c r="I3950" t="s">
        <v>346</v>
      </c>
      <c r="Z3950">
        <v>29816</v>
      </c>
    </row>
    <row r="3951" spans="1:26" x14ac:dyDescent="0.25">
      <c r="A3951" t="s">
        <v>4311</v>
      </c>
      <c r="B3951" t="s">
        <v>26</v>
      </c>
      <c r="C3951" t="s">
        <v>27</v>
      </c>
      <c r="H3951" s="2">
        <v>44635.45416666667</v>
      </c>
      <c r="I3951" t="s">
        <v>194</v>
      </c>
      <c r="Z3951">
        <v>29802</v>
      </c>
    </row>
    <row r="3952" spans="1:26" x14ac:dyDescent="0.25">
      <c r="A3952" t="s">
        <v>4312</v>
      </c>
      <c r="B3952" t="s">
        <v>164</v>
      </c>
      <c r="C3952" t="s">
        <v>27</v>
      </c>
      <c r="E3952" t="s">
        <v>240</v>
      </c>
      <c r="H3952" s="2">
        <v>44634.913194444445</v>
      </c>
      <c r="I3952" t="s">
        <v>346</v>
      </c>
      <c r="Z3952">
        <v>29791</v>
      </c>
    </row>
    <row r="3953" spans="1:26" x14ac:dyDescent="0.25">
      <c r="A3953" t="s">
        <v>366</v>
      </c>
      <c r="C3953" t="s">
        <v>27</v>
      </c>
      <c r="E3953" t="s">
        <v>4313</v>
      </c>
      <c r="H3953" s="2">
        <v>44634.909722222219</v>
      </c>
      <c r="I3953" t="s">
        <v>153</v>
      </c>
      <c r="Z3953">
        <v>29790</v>
      </c>
    </row>
    <row r="3954" spans="1:26" x14ac:dyDescent="0.25">
      <c r="A3954" t="s">
        <v>4314</v>
      </c>
      <c r="B3954" t="s">
        <v>26</v>
      </c>
      <c r="C3954" t="s">
        <v>27</v>
      </c>
      <c r="E3954" t="s">
        <v>312</v>
      </c>
      <c r="H3954" s="2">
        <v>44634.813194444447</v>
      </c>
      <c r="I3954" t="s">
        <v>357</v>
      </c>
      <c r="Z3954">
        <v>29783</v>
      </c>
    </row>
    <row r="3955" spans="1:26" x14ac:dyDescent="0.25">
      <c r="A3955" t="s">
        <v>4315</v>
      </c>
      <c r="B3955" t="s">
        <v>26</v>
      </c>
      <c r="C3955" t="s">
        <v>27</v>
      </c>
      <c r="H3955" s="2">
        <v>44634.770833333336</v>
      </c>
      <c r="I3955" t="s">
        <v>354</v>
      </c>
      <c r="Z3955">
        <v>29773</v>
      </c>
    </row>
    <row r="3956" spans="1:26" x14ac:dyDescent="0.25">
      <c r="A3956" t="s">
        <v>4316</v>
      </c>
      <c r="B3956" t="s">
        <v>26</v>
      </c>
      <c r="C3956" t="s">
        <v>27</v>
      </c>
      <c r="E3956" t="s">
        <v>4317</v>
      </c>
      <c r="H3956" s="2">
        <v>44634.43472222222</v>
      </c>
      <c r="I3956" t="s">
        <v>357</v>
      </c>
      <c r="Z3956">
        <v>29745</v>
      </c>
    </row>
    <row r="3957" spans="1:26" x14ac:dyDescent="0.25">
      <c r="A3957" t="s">
        <v>4318</v>
      </c>
      <c r="B3957" t="s">
        <v>26</v>
      </c>
      <c r="C3957" t="s">
        <v>27</v>
      </c>
      <c r="H3957" s="2">
        <v>44634.402083333334</v>
      </c>
      <c r="I3957" t="s">
        <v>354</v>
      </c>
      <c r="Z3957">
        <v>29742</v>
      </c>
    </row>
    <row r="3958" spans="1:26" x14ac:dyDescent="0.25">
      <c r="A3958" t="s">
        <v>4298</v>
      </c>
      <c r="B3958" t="s">
        <v>26</v>
      </c>
      <c r="C3958" t="s">
        <v>27</v>
      </c>
      <c r="H3958" s="2">
        <v>44633.688888888886</v>
      </c>
      <c r="I3958" t="s">
        <v>354</v>
      </c>
      <c r="Z3958">
        <v>29715</v>
      </c>
    </row>
    <row r="3959" spans="1:26" x14ac:dyDescent="0.25">
      <c r="A3959" t="s">
        <v>4319</v>
      </c>
      <c r="B3959" t="s">
        <v>26</v>
      </c>
      <c r="C3959" t="s">
        <v>27</v>
      </c>
      <c r="H3959" s="2">
        <v>44633.461805555555</v>
      </c>
      <c r="I3959" t="s">
        <v>354</v>
      </c>
      <c r="Z3959">
        <v>29681</v>
      </c>
    </row>
    <row r="3960" spans="1:26" x14ac:dyDescent="0.25">
      <c r="A3960" t="s">
        <v>4320</v>
      </c>
      <c r="B3960" t="s">
        <v>198</v>
      </c>
      <c r="C3960" t="s">
        <v>27</v>
      </c>
      <c r="E3960" t="s">
        <v>1706</v>
      </c>
      <c r="G3960" t="s">
        <v>4321</v>
      </c>
      <c r="H3960" s="2">
        <v>44633.439583333333</v>
      </c>
      <c r="I3960" t="s">
        <v>354</v>
      </c>
      <c r="K3960" t="s">
        <v>30</v>
      </c>
      <c r="L3960" t="s">
        <v>31</v>
      </c>
      <c r="M3960">
        <v>67130164</v>
      </c>
      <c r="N3960">
        <v>11408745399</v>
      </c>
      <c r="O3960" t="s">
        <v>1920</v>
      </c>
      <c r="Z3960">
        <v>29677</v>
      </c>
    </row>
    <row r="3961" spans="1:26" x14ac:dyDescent="0.25">
      <c r="A3961" t="s">
        <v>366</v>
      </c>
      <c r="C3961" t="s">
        <v>27</v>
      </c>
      <c r="E3961" t="s">
        <v>4322</v>
      </c>
      <c r="H3961" s="2">
        <v>44633.342361111114</v>
      </c>
      <c r="I3961" t="s">
        <v>357</v>
      </c>
      <c r="Z3961">
        <v>29668</v>
      </c>
    </row>
    <row r="3962" spans="1:26" x14ac:dyDescent="0.25">
      <c r="A3962" t="s">
        <v>4323</v>
      </c>
      <c r="B3962" t="s">
        <v>164</v>
      </c>
      <c r="C3962" t="s">
        <v>27</v>
      </c>
      <c r="E3962" t="s">
        <v>4324</v>
      </c>
      <c r="G3962" t="s">
        <v>44</v>
      </c>
      <c r="H3962" s="2">
        <v>44632.794444444444</v>
      </c>
      <c r="I3962" t="s">
        <v>357</v>
      </c>
      <c r="Z3962">
        <v>29660</v>
      </c>
    </row>
    <row r="3963" spans="1:26" x14ac:dyDescent="0.25">
      <c r="A3963" t="s">
        <v>4325</v>
      </c>
      <c r="B3963" t="s">
        <v>26</v>
      </c>
      <c r="C3963" t="s">
        <v>27</v>
      </c>
      <c r="H3963" s="2">
        <v>44632.770833333336</v>
      </c>
      <c r="I3963" t="s">
        <v>357</v>
      </c>
      <c r="Z3963">
        <v>29659</v>
      </c>
    </row>
    <row r="3964" spans="1:26" x14ac:dyDescent="0.25">
      <c r="A3964" t="s">
        <v>366</v>
      </c>
      <c r="C3964" t="s">
        <v>27</v>
      </c>
      <c r="E3964" t="s">
        <v>3367</v>
      </c>
      <c r="H3964" s="2">
        <v>44632.769444444442</v>
      </c>
      <c r="I3964" t="s">
        <v>357</v>
      </c>
      <c r="Z3964">
        <v>29658</v>
      </c>
    </row>
    <row r="3965" spans="1:26" x14ac:dyDescent="0.25">
      <c r="A3965" t="s">
        <v>4326</v>
      </c>
      <c r="B3965" t="s">
        <v>26</v>
      </c>
      <c r="C3965" t="s">
        <v>27</v>
      </c>
      <c r="H3965" s="2">
        <v>44632.717361111114</v>
      </c>
      <c r="I3965" t="s">
        <v>354</v>
      </c>
      <c r="Z3965">
        <v>29649</v>
      </c>
    </row>
    <row r="3966" spans="1:26" x14ac:dyDescent="0.25">
      <c r="A3966" t="s">
        <v>4323</v>
      </c>
      <c r="B3966" t="s">
        <v>164</v>
      </c>
      <c r="C3966" t="s">
        <v>27</v>
      </c>
      <c r="E3966" t="s">
        <v>4324</v>
      </c>
      <c r="G3966" t="s">
        <v>44</v>
      </c>
      <c r="H3966" s="2">
        <v>44632.613194444442</v>
      </c>
      <c r="I3966" t="s">
        <v>357</v>
      </c>
      <c r="Z3966">
        <v>29637</v>
      </c>
    </row>
    <row r="3967" spans="1:26" x14ac:dyDescent="0.25">
      <c r="A3967" t="s">
        <v>366</v>
      </c>
      <c r="C3967" t="s">
        <v>27</v>
      </c>
      <c r="E3967" t="s">
        <v>4327</v>
      </c>
      <c r="H3967" s="2">
        <v>44632.597222222219</v>
      </c>
      <c r="I3967" t="s">
        <v>357</v>
      </c>
      <c r="Z3967">
        <v>29636</v>
      </c>
    </row>
    <row r="3968" spans="1:26" x14ac:dyDescent="0.25">
      <c r="A3968" t="s">
        <v>4328</v>
      </c>
      <c r="B3968" t="s">
        <v>26</v>
      </c>
      <c r="C3968" t="s">
        <v>27</v>
      </c>
      <c r="H3968" s="2">
        <v>44632.44027777778</v>
      </c>
      <c r="I3968" t="s">
        <v>357</v>
      </c>
      <c r="Z3968">
        <v>29602</v>
      </c>
    </row>
    <row r="3969" spans="1:26" x14ac:dyDescent="0.25">
      <c r="A3969" t="s">
        <v>4329</v>
      </c>
      <c r="B3969" t="s">
        <v>26</v>
      </c>
      <c r="C3969" t="s">
        <v>27</v>
      </c>
      <c r="H3969" s="2">
        <v>44631.7</v>
      </c>
      <c r="I3969" t="s">
        <v>194</v>
      </c>
      <c r="Z3969">
        <v>29571</v>
      </c>
    </row>
    <row r="3970" spans="1:26" x14ac:dyDescent="0.25">
      <c r="A3970" t="s">
        <v>4330</v>
      </c>
      <c r="B3970" t="s">
        <v>26</v>
      </c>
      <c r="C3970" t="s">
        <v>27</v>
      </c>
      <c r="H3970" s="2">
        <v>44631.632638888892</v>
      </c>
      <c r="I3970" t="s">
        <v>346</v>
      </c>
      <c r="Z3970">
        <v>29567</v>
      </c>
    </row>
    <row r="3971" spans="1:26" x14ac:dyDescent="0.25">
      <c r="A3971" t="s">
        <v>4331</v>
      </c>
      <c r="B3971" t="s">
        <v>26</v>
      </c>
      <c r="C3971" t="s">
        <v>27</v>
      </c>
      <c r="H3971" s="2">
        <v>44631.626388888886</v>
      </c>
      <c r="I3971" t="s">
        <v>346</v>
      </c>
      <c r="Z3971">
        <v>29566</v>
      </c>
    </row>
    <row r="3972" spans="1:26" x14ac:dyDescent="0.25">
      <c r="A3972" t="s">
        <v>4332</v>
      </c>
      <c r="B3972" t="s">
        <v>26</v>
      </c>
      <c r="C3972" t="s">
        <v>206</v>
      </c>
      <c r="H3972" s="2">
        <v>44631.603472222225</v>
      </c>
      <c r="I3972" t="s">
        <v>346</v>
      </c>
      <c r="Z3972">
        <v>29558</v>
      </c>
    </row>
    <row r="3973" spans="1:26" x14ac:dyDescent="0.25">
      <c r="A3973" t="s">
        <v>234</v>
      </c>
      <c r="B3973" t="s">
        <v>185</v>
      </c>
      <c r="C3973" t="s">
        <v>27</v>
      </c>
      <c r="E3973" t="s">
        <v>45</v>
      </c>
      <c r="H3973" s="2">
        <v>44631.561111111114</v>
      </c>
      <c r="I3973" t="s">
        <v>194</v>
      </c>
      <c r="Z3973">
        <v>29552</v>
      </c>
    </row>
    <row r="3974" spans="1:26" x14ac:dyDescent="0.25">
      <c r="A3974" t="s">
        <v>4333</v>
      </c>
      <c r="B3974" t="s">
        <v>26</v>
      </c>
      <c r="C3974" t="s">
        <v>27</v>
      </c>
      <c r="H3974" s="2">
        <v>44631.543055555558</v>
      </c>
      <c r="I3974" t="s">
        <v>346</v>
      </c>
      <c r="Z3974">
        <v>29550</v>
      </c>
    </row>
    <row r="3975" spans="1:26" x14ac:dyDescent="0.25">
      <c r="A3975" t="s">
        <v>4334</v>
      </c>
      <c r="B3975" t="s">
        <v>26</v>
      </c>
      <c r="C3975" t="s">
        <v>27</v>
      </c>
      <c r="H3975" s="2">
        <v>44631.431944444441</v>
      </c>
      <c r="I3975" t="s">
        <v>346</v>
      </c>
      <c r="Z3975">
        <v>29532</v>
      </c>
    </row>
    <row r="3976" spans="1:26" x14ac:dyDescent="0.25">
      <c r="A3976" t="s">
        <v>4335</v>
      </c>
      <c r="B3976" t="s">
        <v>26</v>
      </c>
      <c r="C3976" t="s">
        <v>27</v>
      </c>
      <c r="H3976" s="2">
        <v>44631.417361111111</v>
      </c>
      <c r="I3976" t="s">
        <v>194</v>
      </c>
      <c r="Z3976">
        <v>29531</v>
      </c>
    </row>
    <row r="3977" spans="1:26" x14ac:dyDescent="0.25">
      <c r="A3977" t="s">
        <v>366</v>
      </c>
      <c r="C3977" t="s">
        <v>206</v>
      </c>
      <c r="E3977" t="s">
        <v>4336</v>
      </c>
      <c r="H3977" s="2">
        <v>44631.309027777781</v>
      </c>
      <c r="I3977" t="s">
        <v>194</v>
      </c>
      <c r="Z3977">
        <v>29521</v>
      </c>
    </row>
    <row r="3978" spans="1:26" x14ac:dyDescent="0.25">
      <c r="A3978" t="s">
        <v>304</v>
      </c>
      <c r="B3978" t="s">
        <v>164</v>
      </c>
      <c r="C3978" t="s">
        <v>27</v>
      </c>
      <c r="E3978" t="s">
        <v>44</v>
      </c>
      <c r="H3978" s="2">
        <v>44630.823611111111</v>
      </c>
      <c r="I3978" t="s">
        <v>346</v>
      </c>
      <c r="K3978" t="s">
        <v>30</v>
      </c>
      <c r="L3978" t="s">
        <v>31</v>
      </c>
      <c r="M3978" t="s">
        <v>4337</v>
      </c>
      <c r="N3978">
        <v>9754621009</v>
      </c>
      <c r="O3978" t="s">
        <v>1529</v>
      </c>
      <c r="Z3978">
        <v>29518</v>
      </c>
    </row>
    <row r="3979" spans="1:26" x14ac:dyDescent="0.25">
      <c r="A3979" t="s">
        <v>4338</v>
      </c>
      <c r="B3979" t="s">
        <v>371</v>
      </c>
      <c r="C3979" t="s">
        <v>206</v>
      </c>
      <c r="E3979" t="s">
        <v>84</v>
      </c>
      <c r="G3979" t="s">
        <v>4339</v>
      </c>
      <c r="H3979" s="2">
        <v>44630.421527777777</v>
      </c>
      <c r="I3979" t="s">
        <v>346</v>
      </c>
      <c r="Z3979">
        <v>29464</v>
      </c>
    </row>
    <row r="3980" spans="1:26" x14ac:dyDescent="0.25">
      <c r="A3980" t="s">
        <v>4340</v>
      </c>
      <c r="B3980" t="s">
        <v>26</v>
      </c>
      <c r="C3980" t="s">
        <v>27</v>
      </c>
      <c r="H3980" s="2">
        <v>44629.728472222225</v>
      </c>
      <c r="I3980" t="s">
        <v>194</v>
      </c>
      <c r="Z3980">
        <v>29446</v>
      </c>
    </row>
    <row r="3981" spans="1:26" x14ac:dyDescent="0.25">
      <c r="A3981" t="s">
        <v>4341</v>
      </c>
      <c r="B3981" t="s">
        <v>26</v>
      </c>
      <c r="C3981" t="s">
        <v>27</v>
      </c>
      <c r="H3981" s="2">
        <v>44629.568749999999</v>
      </c>
      <c r="I3981" t="s">
        <v>194</v>
      </c>
      <c r="Z3981">
        <v>29432</v>
      </c>
    </row>
    <row r="3982" spans="1:26" x14ac:dyDescent="0.25">
      <c r="A3982" t="s">
        <v>4342</v>
      </c>
      <c r="B3982" t="s">
        <v>26</v>
      </c>
      <c r="C3982" t="s">
        <v>27</v>
      </c>
      <c r="H3982" s="2">
        <v>44629.554861111108</v>
      </c>
      <c r="I3982" t="s">
        <v>194</v>
      </c>
      <c r="Z3982">
        <v>29431</v>
      </c>
    </row>
    <row r="3983" spans="1:26" x14ac:dyDescent="0.25">
      <c r="A3983" t="s">
        <v>4343</v>
      </c>
      <c r="B3983" t="s">
        <v>26</v>
      </c>
      <c r="C3983" t="s">
        <v>27</v>
      </c>
      <c r="H3983" s="2">
        <v>44629.520138888889</v>
      </c>
      <c r="I3983" t="s">
        <v>194</v>
      </c>
      <c r="Z3983">
        <v>29427</v>
      </c>
    </row>
    <row r="3984" spans="1:26" x14ac:dyDescent="0.25">
      <c r="A3984" t="s">
        <v>2940</v>
      </c>
      <c r="B3984" t="s">
        <v>185</v>
      </c>
      <c r="C3984" t="s">
        <v>27</v>
      </c>
      <c r="E3984" t="s">
        <v>56</v>
      </c>
      <c r="H3984" s="2">
        <v>44628.875694444447</v>
      </c>
      <c r="I3984" t="s">
        <v>357</v>
      </c>
      <c r="Z3984">
        <v>29408</v>
      </c>
    </row>
    <row r="3985" spans="1:26" x14ac:dyDescent="0.25">
      <c r="A3985" t="s">
        <v>4344</v>
      </c>
      <c r="B3985" t="s">
        <v>26</v>
      </c>
      <c r="C3985" t="s">
        <v>27</v>
      </c>
      <c r="H3985" s="2">
        <v>44628.594444444447</v>
      </c>
      <c r="I3985" t="s">
        <v>354</v>
      </c>
      <c r="Z3985">
        <v>29387</v>
      </c>
    </row>
    <row r="3986" spans="1:26" x14ac:dyDescent="0.25">
      <c r="A3986" t="s">
        <v>234</v>
      </c>
      <c r="B3986" t="s">
        <v>185</v>
      </c>
      <c r="C3986" t="s">
        <v>27</v>
      </c>
      <c r="E3986" t="s">
        <v>45</v>
      </c>
      <c r="H3986" s="2">
        <v>44627.966666666667</v>
      </c>
      <c r="I3986" t="s">
        <v>357</v>
      </c>
      <c r="Z3986">
        <v>29364</v>
      </c>
    </row>
    <row r="3987" spans="1:26" x14ac:dyDescent="0.25">
      <c r="A3987" t="s">
        <v>4345</v>
      </c>
      <c r="B3987" t="s">
        <v>26</v>
      </c>
      <c r="C3987" t="s">
        <v>27</v>
      </c>
      <c r="H3987" s="2">
        <v>44627.59097222222</v>
      </c>
      <c r="I3987" t="s">
        <v>354</v>
      </c>
      <c r="Z3987">
        <v>29346</v>
      </c>
    </row>
    <row r="3988" spans="1:26" x14ac:dyDescent="0.25">
      <c r="A3988" t="s">
        <v>4346</v>
      </c>
      <c r="B3988" t="s">
        <v>26</v>
      </c>
      <c r="C3988" t="s">
        <v>27</v>
      </c>
      <c r="H3988" s="2">
        <v>44627.383333333331</v>
      </c>
      <c r="I3988" t="s">
        <v>354</v>
      </c>
      <c r="Z3988">
        <v>29314</v>
      </c>
    </row>
    <row r="3989" spans="1:26" x14ac:dyDescent="0.25">
      <c r="A3989" t="s">
        <v>4347</v>
      </c>
      <c r="B3989" t="s">
        <v>26</v>
      </c>
      <c r="C3989" t="s">
        <v>27</v>
      </c>
      <c r="H3989" s="2">
        <v>44626.80972222222</v>
      </c>
      <c r="I3989" t="s">
        <v>354</v>
      </c>
      <c r="Z3989">
        <v>29310</v>
      </c>
    </row>
    <row r="3990" spans="1:26" x14ac:dyDescent="0.25">
      <c r="A3990" t="s">
        <v>4348</v>
      </c>
      <c r="B3990" t="s">
        <v>26</v>
      </c>
      <c r="C3990" t="s">
        <v>27</v>
      </c>
      <c r="H3990" s="2">
        <v>44626.418749999997</v>
      </c>
      <c r="I3990" t="s">
        <v>357</v>
      </c>
      <c r="Z3990">
        <v>29270</v>
      </c>
    </row>
    <row r="3991" spans="1:26" x14ac:dyDescent="0.25">
      <c r="A3991" t="s">
        <v>366</v>
      </c>
      <c r="C3991" t="s">
        <v>27</v>
      </c>
      <c r="E3991" t="s">
        <v>4349</v>
      </c>
      <c r="H3991" s="2">
        <v>44625.930555555555</v>
      </c>
      <c r="I3991" t="s">
        <v>153</v>
      </c>
      <c r="Z3991">
        <v>29263</v>
      </c>
    </row>
    <row r="3992" spans="1:26" x14ac:dyDescent="0.25">
      <c r="A3992" t="s">
        <v>4350</v>
      </c>
      <c r="B3992" t="s">
        <v>26</v>
      </c>
      <c r="C3992" t="s">
        <v>27</v>
      </c>
      <c r="H3992" s="2">
        <v>44625.563888888886</v>
      </c>
      <c r="I3992" t="s">
        <v>357</v>
      </c>
      <c r="Z3992">
        <v>29240</v>
      </c>
    </row>
    <row r="3993" spans="1:26" x14ac:dyDescent="0.25">
      <c r="A3993" t="s">
        <v>4351</v>
      </c>
      <c r="B3993" t="s">
        <v>26</v>
      </c>
      <c r="C3993" t="s">
        <v>27</v>
      </c>
      <c r="H3993" s="2">
        <v>44625.476388888892</v>
      </c>
      <c r="I3993" t="s">
        <v>357</v>
      </c>
      <c r="Z3993">
        <v>29235</v>
      </c>
    </row>
    <row r="3994" spans="1:26" x14ac:dyDescent="0.25">
      <c r="A3994" t="s">
        <v>4352</v>
      </c>
      <c r="B3994" t="s">
        <v>26</v>
      </c>
      <c r="C3994" t="s">
        <v>27</v>
      </c>
      <c r="H3994" s="2">
        <v>44624.388888888891</v>
      </c>
      <c r="I3994" t="s">
        <v>194</v>
      </c>
      <c r="Z3994">
        <v>29195</v>
      </c>
    </row>
    <row r="3995" spans="1:26" x14ac:dyDescent="0.25">
      <c r="A3995" t="s">
        <v>4353</v>
      </c>
      <c r="B3995" t="s">
        <v>26</v>
      </c>
      <c r="C3995" t="s">
        <v>27</v>
      </c>
      <c r="H3995" s="2">
        <v>44624.375</v>
      </c>
      <c r="I3995" t="s">
        <v>375</v>
      </c>
      <c r="Z3995">
        <v>29193</v>
      </c>
    </row>
    <row r="3996" spans="1:26" x14ac:dyDescent="0.25">
      <c r="A3996" t="s">
        <v>366</v>
      </c>
      <c r="C3996" t="s">
        <v>27</v>
      </c>
      <c r="E3996" t="s">
        <v>4354</v>
      </c>
      <c r="H3996" s="2">
        <v>44623.737500000003</v>
      </c>
      <c r="I3996" t="s">
        <v>153</v>
      </c>
      <c r="Z3996">
        <v>29177</v>
      </c>
    </row>
    <row r="3997" spans="1:26" x14ac:dyDescent="0.25">
      <c r="A3997" t="s">
        <v>320</v>
      </c>
      <c r="B3997" t="s">
        <v>164</v>
      </c>
      <c r="C3997" t="s">
        <v>27</v>
      </c>
      <c r="E3997" t="s">
        <v>66</v>
      </c>
      <c r="H3997" s="2">
        <v>44623.73333333333</v>
      </c>
      <c r="I3997" t="s">
        <v>194</v>
      </c>
      <c r="K3997" t="s">
        <v>30</v>
      </c>
      <c r="L3997" t="s">
        <v>31</v>
      </c>
      <c r="M3997">
        <v>67130164</v>
      </c>
      <c r="N3997">
        <v>11408745385</v>
      </c>
      <c r="O3997" t="s">
        <v>382</v>
      </c>
      <c r="Z3997">
        <v>29175</v>
      </c>
    </row>
    <row r="3998" spans="1:26" x14ac:dyDescent="0.25">
      <c r="A3998" t="s">
        <v>4355</v>
      </c>
      <c r="B3998" t="s">
        <v>26</v>
      </c>
      <c r="C3998" t="s">
        <v>27</v>
      </c>
      <c r="H3998" s="2">
        <v>44623.678472222222</v>
      </c>
      <c r="I3998" t="s">
        <v>194</v>
      </c>
      <c r="Z3998">
        <v>29163</v>
      </c>
    </row>
    <row r="3999" spans="1:26" x14ac:dyDescent="0.25">
      <c r="A3999" t="s">
        <v>4356</v>
      </c>
      <c r="B3999" t="s">
        <v>26</v>
      </c>
      <c r="C3999" t="s">
        <v>27</v>
      </c>
      <c r="H3999" s="2">
        <v>44621.486111111109</v>
      </c>
      <c r="I3999" t="s">
        <v>153</v>
      </c>
      <c r="Z3999">
        <v>29056</v>
      </c>
    </row>
    <row r="4000" spans="1:26" x14ac:dyDescent="0.25">
      <c r="A4000" t="s">
        <v>4357</v>
      </c>
      <c r="B4000" t="s">
        <v>26</v>
      </c>
      <c r="C4000" t="s">
        <v>27</v>
      </c>
      <c r="H4000" s="2">
        <v>44621.409722222219</v>
      </c>
      <c r="I4000" t="s">
        <v>354</v>
      </c>
      <c r="Z4000">
        <v>29046</v>
      </c>
    </row>
    <row r="4001" spans="1:26" x14ac:dyDescent="0.25">
      <c r="A4001" t="s">
        <v>4358</v>
      </c>
      <c r="B4001" t="s">
        <v>26</v>
      </c>
      <c r="C4001" t="s">
        <v>27</v>
      </c>
      <c r="E4001" t="s">
        <v>4359</v>
      </c>
      <c r="H4001" s="2">
        <v>44621.368055555555</v>
      </c>
      <c r="I4001" t="s">
        <v>354</v>
      </c>
      <c r="Z4001">
        <v>29042</v>
      </c>
    </row>
    <row r="4002" spans="1:26" x14ac:dyDescent="0.25">
      <c r="A4002" t="s">
        <v>366</v>
      </c>
      <c r="C4002" t="s">
        <v>27</v>
      </c>
      <c r="E4002" t="s">
        <v>4360</v>
      </c>
      <c r="H4002" s="2">
        <v>44620.671527777777</v>
      </c>
      <c r="I4002" t="s">
        <v>153</v>
      </c>
      <c r="Z4002">
        <v>29028</v>
      </c>
    </row>
    <row r="4003" spans="1:26" x14ac:dyDescent="0.25">
      <c r="A4003" t="s">
        <v>4224</v>
      </c>
      <c r="B4003" t="s">
        <v>26</v>
      </c>
      <c r="C4003" t="s">
        <v>27</v>
      </c>
      <c r="H4003" s="2">
        <v>44620.59652777778</v>
      </c>
      <c r="I4003" t="s">
        <v>354</v>
      </c>
      <c r="Z4003">
        <v>29023</v>
      </c>
    </row>
    <row r="4004" spans="1:26" x14ac:dyDescent="0.25">
      <c r="A4004" t="s">
        <v>366</v>
      </c>
      <c r="C4004" t="s">
        <v>27</v>
      </c>
      <c r="E4004" t="s">
        <v>4361</v>
      </c>
      <c r="H4004" s="2">
        <v>44620.563194444447</v>
      </c>
      <c r="I4004" t="s">
        <v>357</v>
      </c>
      <c r="Z4004">
        <v>29018</v>
      </c>
    </row>
    <row r="4005" spans="1:26" x14ac:dyDescent="0.25">
      <c r="A4005" t="s">
        <v>366</v>
      </c>
      <c r="B4005" t="s">
        <v>26</v>
      </c>
      <c r="C4005" t="s">
        <v>27</v>
      </c>
      <c r="E4005" t="s">
        <v>128</v>
      </c>
      <c r="H4005" s="2">
        <v>44620.397916666669</v>
      </c>
      <c r="I4005" t="s">
        <v>354</v>
      </c>
      <c r="Z4005">
        <v>29004</v>
      </c>
    </row>
    <row r="4006" spans="1:26" x14ac:dyDescent="0.25">
      <c r="A4006" t="s">
        <v>4362</v>
      </c>
      <c r="B4006" t="s">
        <v>164</v>
      </c>
      <c r="C4006" t="s">
        <v>27</v>
      </c>
      <c r="E4006" t="s">
        <v>4363</v>
      </c>
      <c r="H4006" s="2">
        <v>44620.05972222222</v>
      </c>
      <c r="I4006" t="s">
        <v>354</v>
      </c>
      <c r="Z4006">
        <v>28996</v>
      </c>
    </row>
    <row r="4007" spans="1:26" x14ac:dyDescent="0.25">
      <c r="A4007" t="s">
        <v>4364</v>
      </c>
      <c r="B4007" t="s">
        <v>26</v>
      </c>
      <c r="C4007" t="s">
        <v>27</v>
      </c>
      <c r="H4007" s="2">
        <v>44619.529166666667</v>
      </c>
      <c r="I4007" t="s">
        <v>346</v>
      </c>
      <c r="Z4007">
        <v>28985</v>
      </c>
    </row>
    <row r="4008" spans="1:26" x14ac:dyDescent="0.25">
      <c r="A4008" t="s">
        <v>4365</v>
      </c>
      <c r="B4008" t="s">
        <v>26</v>
      </c>
      <c r="C4008" t="s">
        <v>27</v>
      </c>
      <c r="H4008" s="2">
        <v>44618.555555555555</v>
      </c>
      <c r="I4008" t="s">
        <v>194</v>
      </c>
      <c r="Z4008">
        <v>28949</v>
      </c>
    </row>
    <row r="4009" spans="1:26" x14ac:dyDescent="0.25">
      <c r="A4009" t="s">
        <v>4236</v>
      </c>
      <c r="B4009" t="s">
        <v>26</v>
      </c>
      <c r="C4009" t="s">
        <v>27</v>
      </c>
      <c r="H4009" s="2">
        <v>44618.431944444441</v>
      </c>
      <c r="I4009" t="s">
        <v>194</v>
      </c>
      <c r="Z4009">
        <v>28937</v>
      </c>
    </row>
    <row r="4010" spans="1:26" x14ac:dyDescent="0.25">
      <c r="A4010" t="s">
        <v>4366</v>
      </c>
      <c r="B4010" t="s">
        <v>26</v>
      </c>
      <c r="C4010" t="s">
        <v>27</v>
      </c>
      <c r="H4010" s="2">
        <v>44617.818749999999</v>
      </c>
      <c r="I4010" t="s">
        <v>346</v>
      </c>
      <c r="Z4010">
        <v>28930</v>
      </c>
    </row>
    <row r="4011" spans="1:26" x14ac:dyDescent="0.25">
      <c r="A4011" t="s">
        <v>4367</v>
      </c>
      <c r="B4011" t="s">
        <v>26</v>
      </c>
      <c r="C4011" t="s">
        <v>27</v>
      </c>
      <c r="H4011" s="2">
        <v>44617.541666666664</v>
      </c>
      <c r="I4011" t="s">
        <v>346</v>
      </c>
      <c r="Z4011">
        <v>28917</v>
      </c>
    </row>
    <row r="4012" spans="1:26" x14ac:dyDescent="0.25">
      <c r="A4012" t="s">
        <v>4368</v>
      </c>
      <c r="B4012" t="s">
        <v>26</v>
      </c>
      <c r="C4012" t="s">
        <v>27</v>
      </c>
      <c r="H4012" s="2">
        <v>44617.5</v>
      </c>
      <c r="I4012" t="s">
        <v>194</v>
      </c>
      <c r="Z4012">
        <v>28912</v>
      </c>
    </row>
    <row r="4013" spans="1:26" x14ac:dyDescent="0.25">
      <c r="A4013" t="s">
        <v>3766</v>
      </c>
      <c r="B4013" t="s">
        <v>26</v>
      </c>
      <c r="C4013" t="s">
        <v>27</v>
      </c>
      <c r="H4013" s="2">
        <v>44617.083333333336</v>
      </c>
      <c r="I4013" t="s">
        <v>357</v>
      </c>
      <c r="Z4013">
        <v>28905</v>
      </c>
    </row>
    <row r="4014" spans="1:26" x14ac:dyDescent="0.25">
      <c r="A4014" t="s">
        <v>4369</v>
      </c>
      <c r="B4014" t="s">
        <v>26</v>
      </c>
      <c r="C4014" t="s">
        <v>27</v>
      </c>
      <c r="H4014" s="2">
        <v>44616.754166666666</v>
      </c>
      <c r="I4014" t="s">
        <v>354</v>
      </c>
      <c r="Z4014">
        <v>28899</v>
      </c>
    </row>
    <row r="4015" spans="1:26" x14ac:dyDescent="0.25">
      <c r="A4015" t="s">
        <v>366</v>
      </c>
      <c r="B4015" t="s">
        <v>164</v>
      </c>
      <c r="C4015" t="s">
        <v>27</v>
      </c>
      <c r="E4015" t="s">
        <v>104</v>
      </c>
      <c r="H4015" s="2">
        <v>44616.647222222222</v>
      </c>
      <c r="I4015" t="s">
        <v>357</v>
      </c>
      <c r="Z4015">
        <v>28892</v>
      </c>
    </row>
    <row r="4016" spans="1:26" x14ac:dyDescent="0.25">
      <c r="A4016" t="s">
        <v>4370</v>
      </c>
      <c r="B4016" t="s">
        <v>26</v>
      </c>
      <c r="C4016" t="s">
        <v>27</v>
      </c>
      <c r="H4016" s="2">
        <v>44616.631944444445</v>
      </c>
      <c r="I4016" t="s">
        <v>357</v>
      </c>
      <c r="Z4016">
        <v>28891</v>
      </c>
    </row>
    <row r="4017" spans="1:26" x14ac:dyDescent="0.25">
      <c r="A4017" t="s">
        <v>366</v>
      </c>
      <c r="C4017" t="s">
        <v>27</v>
      </c>
      <c r="E4017" t="s">
        <v>4371</v>
      </c>
      <c r="H4017" s="2">
        <v>44616.595138888886</v>
      </c>
      <c r="I4017" t="s">
        <v>357</v>
      </c>
      <c r="Z4017">
        <v>28886</v>
      </c>
    </row>
    <row r="4018" spans="1:26" x14ac:dyDescent="0.25">
      <c r="A4018" t="s">
        <v>366</v>
      </c>
      <c r="C4018" t="s">
        <v>27</v>
      </c>
      <c r="E4018" t="s">
        <v>4372</v>
      </c>
      <c r="H4018" s="2">
        <v>44616.482638888891</v>
      </c>
      <c r="I4018" t="s">
        <v>357</v>
      </c>
      <c r="Z4018">
        <v>28879</v>
      </c>
    </row>
    <row r="4019" spans="1:26" x14ac:dyDescent="0.25">
      <c r="A4019" t="s">
        <v>3766</v>
      </c>
      <c r="B4019" t="s">
        <v>26</v>
      </c>
      <c r="C4019" t="s">
        <v>27</v>
      </c>
      <c r="E4019" t="s">
        <v>45</v>
      </c>
      <c r="H4019" s="2">
        <v>44616.42291666667</v>
      </c>
      <c r="I4019" t="s">
        <v>354</v>
      </c>
      <c r="Z4019">
        <v>28875</v>
      </c>
    </row>
    <row r="4020" spans="1:26" x14ac:dyDescent="0.25">
      <c r="A4020" t="s">
        <v>4373</v>
      </c>
      <c r="B4020" t="s">
        <v>26</v>
      </c>
      <c r="C4020" t="s">
        <v>27</v>
      </c>
      <c r="E4020" t="s">
        <v>84</v>
      </c>
      <c r="G4020" t="s">
        <v>4374</v>
      </c>
      <c r="H4020" s="2">
        <v>44615.720833333333</v>
      </c>
      <c r="I4020" t="s">
        <v>357</v>
      </c>
      <c r="Z4020">
        <v>28860</v>
      </c>
    </row>
    <row r="4021" spans="1:26" x14ac:dyDescent="0.25">
      <c r="A4021" t="s">
        <v>366</v>
      </c>
      <c r="C4021" t="s">
        <v>27</v>
      </c>
      <c r="E4021" t="s">
        <v>4375</v>
      </c>
      <c r="H4021" s="2">
        <v>44615.685416666667</v>
      </c>
      <c r="I4021" t="s">
        <v>357</v>
      </c>
      <c r="Z4021">
        <v>28856</v>
      </c>
    </row>
    <row r="4022" spans="1:26" x14ac:dyDescent="0.25">
      <c r="A4022" t="s">
        <v>4376</v>
      </c>
      <c r="B4022" t="s">
        <v>26</v>
      </c>
      <c r="C4022" t="s">
        <v>27</v>
      </c>
      <c r="H4022" s="2">
        <v>44615.418055555558</v>
      </c>
      <c r="I4022" t="s">
        <v>357</v>
      </c>
      <c r="Z4022">
        <v>28834</v>
      </c>
    </row>
    <row r="4023" spans="1:26" x14ac:dyDescent="0.25">
      <c r="A4023" t="s">
        <v>3955</v>
      </c>
      <c r="B4023" t="s">
        <v>26</v>
      </c>
      <c r="C4023" t="s">
        <v>27</v>
      </c>
      <c r="H4023" s="2">
        <v>44614.675000000003</v>
      </c>
      <c r="I4023" t="s">
        <v>354</v>
      </c>
      <c r="Z4023">
        <v>28815</v>
      </c>
    </row>
    <row r="4024" spans="1:26" x14ac:dyDescent="0.25">
      <c r="A4024" t="s">
        <v>4139</v>
      </c>
      <c r="B4024" t="s">
        <v>26</v>
      </c>
      <c r="C4024" t="s">
        <v>27</v>
      </c>
      <c r="H4024" s="2">
        <v>44614.621527777781</v>
      </c>
      <c r="I4024" t="s">
        <v>354</v>
      </c>
      <c r="Z4024">
        <v>28808</v>
      </c>
    </row>
    <row r="4025" spans="1:26" x14ac:dyDescent="0.25">
      <c r="A4025" t="s">
        <v>234</v>
      </c>
      <c r="B4025" t="s">
        <v>185</v>
      </c>
      <c r="C4025" t="s">
        <v>27</v>
      </c>
      <c r="E4025" t="s">
        <v>45</v>
      </c>
      <c r="H4025" s="2">
        <v>44614.537499999999</v>
      </c>
      <c r="I4025" t="s">
        <v>354</v>
      </c>
      <c r="Z4025">
        <v>28798</v>
      </c>
    </row>
    <row r="4026" spans="1:26" x14ac:dyDescent="0.25">
      <c r="A4026" t="s">
        <v>4377</v>
      </c>
      <c r="B4026" t="s">
        <v>26</v>
      </c>
      <c r="C4026" t="s">
        <v>27</v>
      </c>
      <c r="H4026" s="2">
        <v>44614.385416666664</v>
      </c>
      <c r="I4026" t="s">
        <v>354</v>
      </c>
      <c r="Z4026">
        <v>28781</v>
      </c>
    </row>
    <row r="4027" spans="1:26" x14ac:dyDescent="0.25">
      <c r="A4027" t="s">
        <v>4378</v>
      </c>
      <c r="B4027" t="s">
        <v>164</v>
      </c>
      <c r="C4027" t="s">
        <v>27</v>
      </c>
      <c r="E4027" t="s">
        <v>4379</v>
      </c>
      <c r="H4027" s="2">
        <v>44613.820138888892</v>
      </c>
      <c r="I4027" t="s">
        <v>354</v>
      </c>
      <c r="K4027" t="s">
        <v>30</v>
      </c>
      <c r="L4027" t="s">
        <v>31</v>
      </c>
      <c r="M4027" t="s">
        <v>4250</v>
      </c>
      <c r="N4027" t="s">
        <v>4251</v>
      </c>
      <c r="O4027" t="s">
        <v>2144</v>
      </c>
      <c r="Z4027">
        <v>28773</v>
      </c>
    </row>
    <row r="4028" spans="1:26" x14ac:dyDescent="0.25">
      <c r="A4028" t="s">
        <v>4380</v>
      </c>
      <c r="B4028" t="s">
        <v>26</v>
      </c>
      <c r="C4028" t="s">
        <v>27</v>
      </c>
      <c r="H4028" s="2">
        <v>44613.805555555555</v>
      </c>
      <c r="I4028" t="s">
        <v>346</v>
      </c>
      <c r="Z4028">
        <v>28772</v>
      </c>
    </row>
    <row r="4029" spans="1:26" x14ac:dyDescent="0.25">
      <c r="A4029" t="s">
        <v>366</v>
      </c>
      <c r="C4029" t="s">
        <v>27</v>
      </c>
      <c r="E4029" t="s">
        <v>4381</v>
      </c>
      <c r="H4029" s="2">
        <v>44613.804861111108</v>
      </c>
      <c r="I4029" t="s">
        <v>346</v>
      </c>
      <c r="Z4029">
        <v>28771</v>
      </c>
    </row>
    <row r="4030" spans="1:26" x14ac:dyDescent="0.25">
      <c r="A4030" t="s">
        <v>4382</v>
      </c>
      <c r="B4030" t="s">
        <v>26</v>
      </c>
      <c r="C4030" t="s">
        <v>27</v>
      </c>
      <c r="H4030" s="2">
        <v>44613.797222222223</v>
      </c>
      <c r="I4030" t="s">
        <v>357</v>
      </c>
      <c r="Z4030">
        <v>28770</v>
      </c>
    </row>
    <row r="4031" spans="1:26" x14ac:dyDescent="0.25">
      <c r="A4031" t="s">
        <v>4308</v>
      </c>
      <c r="B4031" t="s">
        <v>26</v>
      </c>
      <c r="C4031" t="s">
        <v>27</v>
      </c>
      <c r="H4031" s="2">
        <v>44613.635416666664</v>
      </c>
      <c r="I4031" t="s">
        <v>346</v>
      </c>
      <c r="Z4031">
        <v>28752</v>
      </c>
    </row>
    <row r="4032" spans="1:26" x14ac:dyDescent="0.25">
      <c r="A4032" t="s">
        <v>4383</v>
      </c>
      <c r="B4032" t="s">
        <v>26</v>
      </c>
      <c r="C4032" t="s">
        <v>27</v>
      </c>
      <c r="H4032" s="2">
        <v>44613.539583333331</v>
      </c>
      <c r="I4032" t="s">
        <v>346</v>
      </c>
      <c r="Z4032">
        <v>28745</v>
      </c>
    </row>
    <row r="4033" spans="1:26" x14ac:dyDescent="0.25">
      <c r="A4033" t="s">
        <v>4157</v>
      </c>
      <c r="B4033" t="s">
        <v>164</v>
      </c>
      <c r="C4033" t="s">
        <v>27</v>
      </c>
      <c r="E4033" t="s">
        <v>85</v>
      </c>
      <c r="H4033" s="2">
        <v>44613.529166666667</v>
      </c>
      <c r="I4033" t="s">
        <v>357</v>
      </c>
      <c r="Z4033">
        <v>28742</v>
      </c>
    </row>
    <row r="4034" spans="1:26" x14ac:dyDescent="0.25">
      <c r="A4034" t="s">
        <v>4384</v>
      </c>
      <c r="B4034" t="s">
        <v>26</v>
      </c>
      <c r="C4034" t="s">
        <v>27</v>
      </c>
      <c r="H4034" s="2">
        <v>44612.401388888888</v>
      </c>
      <c r="I4034" t="s">
        <v>346</v>
      </c>
      <c r="Z4034">
        <v>28692</v>
      </c>
    </row>
    <row r="4035" spans="1:26" x14ac:dyDescent="0.25">
      <c r="A4035" t="s">
        <v>4385</v>
      </c>
      <c r="B4035" t="s">
        <v>26</v>
      </c>
      <c r="C4035" t="s">
        <v>27</v>
      </c>
      <c r="H4035" s="2">
        <v>44612.394444444442</v>
      </c>
      <c r="I4035" t="s">
        <v>194</v>
      </c>
      <c r="Z4035">
        <v>28691</v>
      </c>
    </row>
    <row r="4036" spans="1:26" x14ac:dyDescent="0.25">
      <c r="A4036" t="s">
        <v>366</v>
      </c>
      <c r="C4036" t="s">
        <v>27</v>
      </c>
      <c r="E4036" t="s">
        <v>4386</v>
      </c>
      <c r="H4036" s="2">
        <v>44612.378472222219</v>
      </c>
      <c r="I4036" t="s">
        <v>194</v>
      </c>
      <c r="Z4036">
        <v>28687</v>
      </c>
    </row>
    <row r="4037" spans="1:26" x14ac:dyDescent="0.25">
      <c r="A4037" t="s">
        <v>4387</v>
      </c>
      <c r="B4037" t="s">
        <v>198</v>
      </c>
      <c r="C4037" t="s">
        <v>27</v>
      </c>
      <c r="E4037" t="s">
        <v>66</v>
      </c>
      <c r="G4037" t="s">
        <v>4388</v>
      </c>
      <c r="H4037" s="2">
        <v>44611.775694444441</v>
      </c>
      <c r="I4037" t="s">
        <v>346</v>
      </c>
      <c r="Z4037">
        <v>28678</v>
      </c>
    </row>
    <row r="4038" spans="1:26" x14ac:dyDescent="0.25">
      <c r="A4038" t="s">
        <v>4389</v>
      </c>
      <c r="B4038" t="s">
        <v>26</v>
      </c>
      <c r="C4038" t="s">
        <v>27</v>
      </c>
      <c r="H4038" s="2">
        <v>44611.62222222222</v>
      </c>
      <c r="I4038" t="s">
        <v>346</v>
      </c>
      <c r="Z4038">
        <v>28667</v>
      </c>
    </row>
    <row r="4039" spans="1:26" x14ac:dyDescent="0.25">
      <c r="A4039" t="s">
        <v>378</v>
      </c>
      <c r="B4039" t="s">
        <v>185</v>
      </c>
      <c r="C4039" t="s">
        <v>27</v>
      </c>
      <c r="E4039" t="s">
        <v>117</v>
      </c>
      <c r="H4039" s="2">
        <v>44611.604861111111</v>
      </c>
      <c r="I4039" t="s">
        <v>346</v>
      </c>
      <c r="Z4039">
        <v>28665</v>
      </c>
    </row>
    <row r="4040" spans="1:26" x14ac:dyDescent="0.25">
      <c r="A4040" t="s">
        <v>167</v>
      </c>
      <c r="B4040" t="s">
        <v>164</v>
      </c>
      <c r="C4040" t="s">
        <v>27</v>
      </c>
      <c r="E4040" t="s">
        <v>168</v>
      </c>
      <c r="H4040" s="2">
        <v>44610.731249999997</v>
      </c>
      <c r="I4040" t="s">
        <v>357</v>
      </c>
      <c r="Z4040">
        <v>28633</v>
      </c>
    </row>
    <row r="4041" spans="1:26" x14ac:dyDescent="0.25">
      <c r="A4041" t="s">
        <v>4390</v>
      </c>
      <c r="B4041" t="s">
        <v>26</v>
      </c>
      <c r="C4041" t="s">
        <v>27</v>
      </c>
      <c r="H4041" s="2">
        <v>44610.606249999997</v>
      </c>
      <c r="I4041" t="s">
        <v>357</v>
      </c>
      <c r="Z4041">
        <v>28608</v>
      </c>
    </row>
    <row r="4042" spans="1:26" x14ac:dyDescent="0.25">
      <c r="A4042" t="s">
        <v>4391</v>
      </c>
      <c r="B4042" t="s">
        <v>26</v>
      </c>
      <c r="C4042" t="s">
        <v>27</v>
      </c>
      <c r="H4042" s="2">
        <v>44610.572916666664</v>
      </c>
      <c r="I4042" t="s">
        <v>354</v>
      </c>
      <c r="Z4042">
        <v>28605</v>
      </c>
    </row>
    <row r="4043" spans="1:26" x14ac:dyDescent="0.25">
      <c r="A4043" t="s">
        <v>4392</v>
      </c>
      <c r="B4043" t="s">
        <v>185</v>
      </c>
      <c r="C4043" t="s">
        <v>27</v>
      </c>
      <c r="E4043" t="s">
        <v>32</v>
      </c>
      <c r="H4043" s="2">
        <v>44609.769444444442</v>
      </c>
      <c r="I4043" t="s">
        <v>354</v>
      </c>
      <c r="Z4043">
        <v>28545</v>
      </c>
    </row>
    <row r="4044" spans="1:26" x14ac:dyDescent="0.25">
      <c r="A4044" t="s">
        <v>3993</v>
      </c>
      <c r="B4044" t="s">
        <v>164</v>
      </c>
      <c r="C4044" t="s">
        <v>27</v>
      </c>
      <c r="E4044" t="s">
        <v>4393</v>
      </c>
      <c r="H4044" s="2">
        <v>44609.742361111108</v>
      </c>
      <c r="I4044" t="s">
        <v>357</v>
      </c>
      <c r="Z4044">
        <v>28543</v>
      </c>
    </row>
    <row r="4045" spans="1:26" x14ac:dyDescent="0.25">
      <c r="A4045" t="s">
        <v>4394</v>
      </c>
      <c r="B4045" t="s">
        <v>371</v>
      </c>
      <c r="C4045" t="s">
        <v>27</v>
      </c>
      <c r="E4045" t="s">
        <v>66</v>
      </c>
      <c r="G4045" t="s">
        <v>3387</v>
      </c>
      <c r="H4045" s="2">
        <v>44609.71597222222</v>
      </c>
      <c r="I4045" t="s">
        <v>357</v>
      </c>
      <c r="Z4045">
        <v>28540</v>
      </c>
    </row>
    <row r="4046" spans="1:26" x14ac:dyDescent="0.25">
      <c r="A4046" t="s">
        <v>4395</v>
      </c>
      <c r="B4046" t="s">
        <v>26</v>
      </c>
      <c r="C4046" t="s">
        <v>27</v>
      </c>
      <c r="H4046" s="2">
        <v>44609.527777777781</v>
      </c>
      <c r="I4046" t="s">
        <v>357</v>
      </c>
      <c r="Z4046">
        <v>28516</v>
      </c>
    </row>
    <row r="4047" spans="1:26" x14ac:dyDescent="0.25">
      <c r="A4047" t="s">
        <v>4396</v>
      </c>
      <c r="B4047" t="s">
        <v>26</v>
      </c>
      <c r="C4047" t="s">
        <v>27</v>
      </c>
      <c r="H4047" s="2">
        <v>44609.502083333333</v>
      </c>
      <c r="I4047" t="s">
        <v>153</v>
      </c>
      <c r="Z4047">
        <v>28512</v>
      </c>
    </row>
    <row r="4048" spans="1:26" x14ac:dyDescent="0.25">
      <c r="A4048" t="s">
        <v>4397</v>
      </c>
      <c r="B4048" t="s">
        <v>26</v>
      </c>
      <c r="C4048" t="s">
        <v>27</v>
      </c>
      <c r="H4048" s="2">
        <v>44608.73541666667</v>
      </c>
      <c r="I4048" t="s">
        <v>354</v>
      </c>
      <c r="Z4048">
        <v>28480</v>
      </c>
    </row>
    <row r="4049" spans="1:26" x14ac:dyDescent="0.25">
      <c r="A4049" t="s">
        <v>2804</v>
      </c>
      <c r="B4049" t="s">
        <v>26</v>
      </c>
      <c r="C4049" t="s">
        <v>27</v>
      </c>
      <c r="H4049" s="2">
        <v>44608.613888888889</v>
      </c>
      <c r="I4049" t="s">
        <v>375</v>
      </c>
      <c r="Z4049">
        <v>28462</v>
      </c>
    </row>
    <row r="4050" spans="1:26" x14ac:dyDescent="0.25">
      <c r="A4050" t="s">
        <v>3577</v>
      </c>
      <c r="B4050" t="s">
        <v>26</v>
      </c>
      <c r="C4050" t="s">
        <v>27</v>
      </c>
      <c r="H4050" s="2">
        <v>44608.57916666667</v>
      </c>
      <c r="I4050" t="s">
        <v>354</v>
      </c>
      <c r="Z4050">
        <v>28454</v>
      </c>
    </row>
    <row r="4051" spans="1:26" x14ac:dyDescent="0.25">
      <c r="A4051" t="s">
        <v>4398</v>
      </c>
      <c r="B4051" t="s">
        <v>26</v>
      </c>
      <c r="C4051" t="s">
        <v>27</v>
      </c>
      <c r="H4051" s="2">
        <v>44608.436805555553</v>
      </c>
      <c r="I4051" t="s">
        <v>354</v>
      </c>
      <c r="Z4051">
        <v>28445</v>
      </c>
    </row>
    <row r="4052" spans="1:26" x14ac:dyDescent="0.25">
      <c r="A4052" t="s">
        <v>4399</v>
      </c>
      <c r="B4052" t="s">
        <v>26</v>
      </c>
      <c r="C4052" t="s">
        <v>27</v>
      </c>
      <c r="H4052" s="2">
        <v>44608.373611111114</v>
      </c>
      <c r="I4052" t="s">
        <v>354</v>
      </c>
      <c r="Z4052">
        <v>28437</v>
      </c>
    </row>
    <row r="4053" spans="1:26" x14ac:dyDescent="0.25">
      <c r="A4053" t="s">
        <v>3963</v>
      </c>
      <c r="B4053" t="s">
        <v>26</v>
      </c>
      <c r="C4053" t="s">
        <v>27</v>
      </c>
      <c r="H4053" s="2">
        <v>44607.861111111109</v>
      </c>
      <c r="I4053" t="s">
        <v>346</v>
      </c>
      <c r="Z4053">
        <v>28432</v>
      </c>
    </row>
    <row r="4054" spans="1:26" x14ac:dyDescent="0.25">
      <c r="A4054" t="s">
        <v>366</v>
      </c>
      <c r="C4054" t="s">
        <v>27</v>
      </c>
      <c r="E4054" t="s">
        <v>4400</v>
      </c>
      <c r="H4054" s="2">
        <v>44607.804166666669</v>
      </c>
      <c r="I4054" t="s">
        <v>357</v>
      </c>
      <c r="Z4054">
        <v>28430</v>
      </c>
    </row>
    <row r="4055" spans="1:26" x14ac:dyDescent="0.25">
      <c r="A4055" t="s">
        <v>4401</v>
      </c>
      <c r="B4055" t="s">
        <v>26</v>
      </c>
      <c r="C4055" t="s">
        <v>27</v>
      </c>
      <c r="H4055" s="2">
        <v>44607.604861111111</v>
      </c>
      <c r="I4055" t="s">
        <v>194</v>
      </c>
      <c r="Z4055">
        <v>28413</v>
      </c>
    </row>
    <row r="4056" spans="1:26" x14ac:dyDescent="0.25">
      <c r="A4056" t="s">
        <v>102</v>
      </c>
      <c r="B4056" t="s">
        <v>334</v>
      </c>
      <c r="C4056" t="s">
        <v>82</v>
      </c>
      <c r="H4056" s="2">
        <v>44607.57916666667</v>
      </c>
      <c r="I4056" t="s">
        <v>375</v>
      </c>
      <c r="K4056" t="s">
        <v>30</v>
      </c>
      <c r="L4056" t="s">
        <v>31</v>
      </c>
      <c r="M4056" t="s">
        <v>4250</v>
      </c>
      <c r="N4056" t="s">
        <v>4402</v>
      </c>
      <c r="O4056" t="s">
        <v>4403</v>
      </c>
      <c r="Z4056">
        <v>28409</v>
      </c>
    </row>
    <row r="4057" spans="1:26" x14ac:dyDescent="0.25">
      <c r="A4057" t="s">
        <v>4404</v>
      </c>
      <c r="B4057" t="s">
        <v>26</v>
      </c>
      <c r="C4057" t="s">
        <v>27</v>
      </c>
      <c r="H4057" s="2">
        <v>44607.552083333336</v>
      </c>
      <c r="I4057" t="s">
        <v>346</v>
      </c>
      <c r="Z4057">
        <v>28407</v>
      </c>
    </row>
    <row r="4058" spans="1:26" x14ac:dyDescent="0.25">
      <c r="A4058" t="s">
        <v>366</v>
      </c>
      <c r="C4058" t="s">
        <v>27</v>
      </c>
      <c r="E4058" t="s">
        <v>4405</v>
      </c>
      <c r="H4058" s="2">
        <v>44607.536111111112</v>
      </c>
      <c r="I4058" t="s">
        <v>153</v>
      </c>
      <c r="Z4058">
        <v>28405</v>
      </c>
    </row>
    <row r="4059" spans="1:26" x14ac:dyDescent="0.25">
      <c r="A4059" t="s">
        <v>4406</v>
      </c>
      <c r="B4059" t="s">
        <v>26</v>
      </c>
      <c r="C4059" t="s">
        <v>27</v>
      </c>
      <c r="H4059" s="2">
        <v>44607.521527777775</v>
      </c>
      <c r="I4059" t="s">
        <v>194</v>
      </c>
      <c r="Z4059">
        <v>28401</v>
      </c>
    </row>
    <row r="4060" spans="1:26" x14ac:dyDescent="0.25">
      <c r="A4060" t="s">
        <v>4407</v>
      </c>
      <c r="B4060" t="s">
        <v>26</v>
      </c>
      <c r="C4060" t="s">
        <v>27</v>
      </c>
      <c r="H4060" s="2">
        <v>44607.497916666667</v>
      </c>
      <c r="I4060" t="s">
        <v>346</v>
      </c>
      <c r="Z4060">
        <v>28395</v>
      </c>
    </row>
    <row r="4061" spans="1:26" x14ac:dyDescent="0.25">
      <c r="A4061" t="s">
        <v>4408</v>
      </c>
      <c r="B4061" t="s">
        <v>164</v>
      </c>
      <c r="C4061" t="s">
        <v>27</v>
      </c>
      <c r="E4061" t="s">
        <v>4409</v>
      </c>
      <c r="G4061" t="s">
        <v>4410</v>
      </c>
      <c r="H4061" s="2">
        <v>44607.438194444447</v>
      </c>
      <c r="I4061" t="s">
        <v>346</v>
      </c>
      <c r="K4061" t="s">
        <v>33</v>
      </c>
      <c r="L4061" t="s">
        <v>31</v>
      </c>
      <c r="M4061" t="s">
        <v>4411</v>
      </c>
      <c r="N4061" t="s">
        <v>4412</v>
      </c>
      <c r="O4061" t="s">
        <v>682</v>
      </c>
      <c r="Z4061">
        <v>28390</v>
      </c>
    </row>
    <row r="4062" spans="1:26" x14ac:dyDescent="0.25">
      <c r="A4062" t="s">
        <v>4413</v>
      </c>
      <c r="B4062" t="s">
        <v>164</v>
      </c>
      <c r="C4062" t="s">
        <v>27</v>
      </c>
      <c r="E4062" t="s">
        <v>233</v>
      </c>
      <c r="H4062" s="2">
        <v>44607.433333333334</v>
      </c>
      <c r="I4062" t="s">
        <v>346</v>
      </c>
      <c r="Z4062">
        <v>28388</v>
      </c>
    </row>
    <row r="4063" spans="1:26" x14ac:dyDescent="0.25">
      <c r="A4063" t="s">
        <v>4414</v>
      </c>
      <c r="B4063" t="s">
        <v>46</v>
      </c>
      <c r="C4063" t="s">
        <v>27</v>
      </c>
      <c r="E4063" t="s">
        <v>4415</v>
      </c>
      <c r="G4063" t="s">
        <v>268</v>
      </c>
      <c r="H4063" s="2">
        <v>44606.683333333334</v>
      </c>
      <c r="I4063" t="s">
        <v>194</v>
      </c>
      <c r="Z4063">
        <v>28374</v>
      </c>
    </row>
    <row r="4064" spans="1:26" x14ac:dyDescent="0.25">
      <c r="A4064" t="s">
        <v>366</v>
      </c>
      <c r="C4064" t="s">
        <v>27</v>
      </c>
      <c r="E4064" t="s">
        <v>4416</v>
      </c>
      <c r="H4064" s="2">
        <v>44605.929166666669</v>
      </c>
      <c r="I4064" t="s">
        <v>194</v>
      </c>
      <c r="Z4064">
        <v>28340</v>
      </c>
    </row>
    <row r="4065" spans="1:26" x14ac:dyDescent="0.25">
      <c r="A4065" t="s">
        <v>366</v>
      </c>
      <c r="C4065" t="s">
        <v>27</v>
      </c>
      <c r="E4065" t="s">
        <v>4417</v>
      </c>
      <c r="H4065" s="2">
        <v>44605.82708333333</v>
      </c>
      <c r="I4065" t="s">
        <v>194</v>
      </c>
      <c r="Z4065">
        <v>28337</v>
      </c>
    </row>
    <row r="4066" spans="1:26" x14ac:dyDescent="0.25">
      <c r="A4066" t="s">
        <v>366</v>
      </c>
      <c r="C4066" t="s">
        <v>27</v>
      </c>
      <c r="E4066" t="s">
        <v>4418</v>
      </c>
      <c r="H4066" s="2">
        <v>44605.736805555556</v>
      </c>
      <c r="I4066" t="s">
        <v>153</v>
      </c>
      <c r="Z4066">
        <v>28330</v>
      </c>
    </row>
    <row r="4067" spans="1:26" x14ac:dyDescent="0.25">
      <c r="A4067" t="s">
        <v>4419</v>
      </c>
      <c r="B4067" t="s">
        <v>26</v>
      </c>
      <c r="C4067" t="s">
        <v>27</v>
      </c>
      <c r="H4067" s="2">
        <v>44605.631249999999</v>
      </c>
      <c r="I4067" t="s">
        <v>346</v>
      </c>
      <c r="Z4067">
        <v>28319</v>
      </c>
    </row>
    <row r="4068" spans="1:26" x14ac:dyDescent="0.25">
      <c r="A4068" t="s">
        <v>366</v>
      </c>
      <c r="C4068" t="s">
        <v>27</v>
      </c>
      <c r="E4068" t="s">
        <v>4420</v>
      </c>
      <c r="H4068" s="2">
        <v>44605.605555555558</v>
      </c>
      <c r="I4068" t="s">
        <v>153</v>
      </c>
      <c r="Z4068">
        <v>28317</v>
      </c>
    </row>
    <row r="4069" spans="1:26" x14ac:dyDescent="0.25">
      <c r="A4069" t="s">
        <v>4421</v>
      </c>
      <c r="B4069" t="s">
        <v>26</v>
      </c>
      <c r="C4069" t="s">
        <v>27</v>
      </c>
      <c r="H4069" s="2">
        <v>44605.572222222225</v>
      </c>
      <c r="I4069" t="s">
        <v>194</v>
      </c>
      <c r="Z4069">
        <v>28307</v>
      </c>
    </row>
    <row r="4070" spans="1:26" x14ac:dyDescent="0.25">
      <c r="A4070" t="s">
        <v>366</v>
      </c>
      <c r="C4070" t="s">
        <v>64</v>
      </c>
      <c r="E4070" t="s">
        <v>4422</v>
      </c>
      <c r="H4070" s="2">
        <v>44605.572222222225</v>
      </c>
      <c r="I4070" t="s">
        <v>153</v>
      </c>
      <c r="Z4070">
        <v>28306</v>
      </c>
    </row>
    <row r="4071" spans="1:26" x14ac:dyDescent="0.25">
      <c r="A4071" t="s">
        <v>4423</v>
      </c>
      <c r="B4071" t="s">
        <v>26</v>
      </c>
      <c r="C4071" t="s">
        <v>27</v>
      </c>
      <c r="H4071" s="2">
        <v>44605.568055555559</v>
      </c>
      <c r="I4071" t="s">
        <v>194</v>
      </c>
      <c r="Z4071">
        <v>28305</v>
      </c>
    </row>
    <row r="4072" spans="1:26" x14ac:dyDescent="0.25">
      <c r="A4072" t="s">
        <v>366</v>
      </c>
      <c r="C4072" t="s">
        <v>27</v>
      </c>
      <c r="E4072" t="s">
        <v>4424</v>
      </c>
      <c r="H4072" s="2">
        <v>44604.89166666667</v>
      </c>
      <c r="I4072" t="s">
        <v>357</v>
      </c>
      <c r="Z4072">
        <v>28292</v>
      </c>
    </row>
    <row r="4073" spans="1:26" x14ac:dyDescent="0.25">
      <c r="A4073" t="s">
        <v>281</v>
      </c>
      <c r="B4073" t="s">
        <v>164</v>
      </c>
      <c r="C4073" t="s">
        <v>27</v>
      </c>
      <c r="E4073" t="s">
        <v>282</v>
      </c>
      <c r="H4073" s="2">
        <v>44604.827777777777</v>
      </c>
      <c r="I4073" t="s">
        <v>357</v>
      </c>
      <c r="Z4073">
        <v>28291</v>
      </c>
    </row>
    <row r="4074" spans="1:26" x14ac:dyDescent="0.25">
      <c r="A4074" t="s">
        <v>4425</v>
      </c>
      <c r="B4074" t="s">
        <v>26</v>
      </c>
      <c r="C4074" t="s">
        <v>27</v>
      </c>
      <c r="E4074" t="s">
        <v>4426</v>
      </c>
      <c r="H4074" s="2">
        <v>44604.743055555555</v>
      </c>
      <c r="I4074" t="s">
        <v>357</v>
      </c>
      <c r="Z4074">
        <v>28288</v>
      </c>
    </row>
    <row r="4075" spans="1:26" x14ac:dyDescent="0.25">
      <c r="A4075" t="s">
        <v>4427</v>
      </c>
      <c r="B4075" t="s">
        <v>26</v>
      </c>
      <c r="C4075" t="s">
        <v>27</v>
      </c>
      <c r="H4075" s="2">
        <v>44604.568749999999</v>
      </c>
      <c r="I4075" t="s">
        <v>354</v>
      </c>
      <c r="Z4075">
        <v>28275</v>
      </c>
    </row>
    <row r="4076" spans="1:26" x14ac:dyDescent="0.25">
      <c r="A4076" t="s">
        <v>4428</v>
      </c>
      <c r="B4076" t="s">
        <v>26</v>
      </c>
      <c r="C4076" t="s">
        <v>27</v>
      </c>
      <c r="H4076" s="2">
        <v>44604.461111111108</v>
      </c>
      <c r="I4076" t="s">
        <v>357</v>
      </c>
      <c r="Z4076">
        <v>28267</v>
      </c>
    </row>
    <row r="4077" spans="1:26" x14ac:dyDescent="0.25">
      <c r="A4077" t="s">
        <v>4429</v>
      </c>
      <c r="B4077" t="s">
        <v>26</v>
      </c>
      <c r="C4077" t="s">
        <v>27</v>
      </c>
      <c r="H4077" s="2">
        <v>44604.45</v>
      </c>
      <c r="I4077" t="s">
        <v>357</v>
      </c>
      <c r="Z4077">
        <v>28266</v>
      </c>
    </row>
    <row r="4078" spans="1:26" x14ac:dyDescent="0.25">
      <c r="A4078" t="s">
        <v>4430</v>
      </c>
      <c r="B4078" t="s">
        <v>164</v>
      </c>
      <c r="C4078" t="s">
        <v>27</v>
      </c>
      <c r="E4078" t="s">
        <v>963</v>
      </c>
      <c r="G4078" t="s">
        <v>4431</v>
      </c>
      <c r="H4078" s="2">
        <v>44604.43472222222</v>
      </c>
      <c r="I4078" t="s">
        <v>354</v>
      </c>
      <c r="Z4078">
        <v>28262</v>
      </c>
    </row>
    <row r="4079" spans="1:26" x14ac:dyDescent="0.25">
      <c r="A4079" t="s">
        <v>4432</v>
      </c>
      <c r="B4079" t="s">
        <v>26</v>
      </c>
      <c r="C4079" t="s">
        <v>27</v>
      </c>
      <c r="H4079" s="2">
        <v>44603.708333333336</v>
      </c>
      <c r="I4079" t="s">
        <v>354</v>
      </c>
      <c r="Z4079">
        <v>28249</v>
      </c>
    </row>
    <row r="4080" spans="1:26" x14ac:dyDescent="0.25">
      <c r="A4080" t="s">
        <v>4433</v>
      </c>
      <c r="B4080" t="s">
        <v>26</v>
      </c>
      <c r="C4080" t="s">
        <v>27</v>
      </c>
      <c r="H4080" s="2">
        <v>44603.406944444447</v>
      </c>
      <c r="I4080" t="s">
        <v>354</v>
      </c>
      <c r="Z4080">
        <v>28222</v>
      </c>
    </row>
    <row r="4081" spans="1:26" x14ac:dyDescent="0.25">
      <c r="A4081" t="s">
        <v>4434</v>
      </c>
      <c r="B4081" t="s">
        <v>26</v>
      </c>
      <c r="C4081" t="s">
        <v>27</v>
      </c>
      <c r="H4081" s="2">
        <v>44603.39166666667</v>
      </c>
      <c r="I4081" t="s">
        <v>354</v>
      </c>
      <c r="Z4081">
        <v>28219</v>
      </c>
    </row>
    <row r="4082" spans="1:26" x14ac:dyDescent="0.25">
      <c r="A4082" t="s">
        <v>4435</v>
      </c>
      <c r="B4082" t="s">
        <v>26</v>
      </c>
      <c r="C4082" t="s">
        <v>27</v>
      </c>
      <c r="H4082" s="2">
        <v>44602.751388888886</v>
      </c>
      <c r="I4082" t="s">
        <v>357</v>
      </c>
      <c r="Z4082">
        <v>28208</v>
      </c>
    </row>
    <row r="4083" spans="1:26" x14ac:dyDescent="0.25">
      <c r="A4083" t="s">
        <v>366</v>
      </c>
      <c r="C4083" t="s">
        <v>27</v>
      </c>
      <c r="E4083" t="s">
        <v>4436</v>
      </c>
      <c r="H4083" s="2">
        <v>44602.561805555553</v>
      </c>
      <c r="I4083" t="s">
        <v>357</v>
      </c>
      <c r="Z4083">
        <v>28197</v>
      </c>
    </row>
    <row r="4084" spans="1:26" x14ac:dyDescent="0.25">
      <c r="A4084" t="s">
        <v>4437</v>
      </c>
      <c r="B4084" t="s">
        <v>26</v>
      </c>
      <c r="C4084" t="s">
        <v>82</v>
      </c>
      <c r="E4084" t="s">
        <v>4438</v>
      </c>
      <c r="H4084" s="2">
        <v>44602.532638888886</v>
      </c>
      <c r="I4084" t="s">
        <v>153</v>
      </c>
      <c r="Z4084">
        <v>28196</v>
      </c>
    </row>
    <row r="4085" spans="1:26" x14ac:dyDescent="0.25">
      <c r="A4085" t="s">
        <v>4439</v>
      </c>
      <c r="B4085" t="s">
        <v>26</v>
      </c>
      <c r="C4085" t="s">
        <v>27</v>
      </c>
      <c r="H4085" s="2">
        <v>44602.460416666669</v>
      </c>
      <c r="I4085" t="s">
        <v>357</v>
      </c>
      <c r="Z4085">
        <v>28193</v>
      </c>
    </row>
    <row r="4086" spans="1:26" x14ac:dyDescent="0.25">
      <c r="A4086" t="s">
        <v>4440</v>
      </c>
      <c r="B4086" t="s">
        <v>26</v>
      </c>
      <c r="C4086" t="s">
        <v>27</v>
      </c>
      <c r="H4086" s="2">
        <v>44602.45</v>
      </c>
      <c r="I4086" t="s">
        <v>354</v>
      </c>
      <c r="Z4086">
        <v>28192</v>
      </c>
    </row>
    <row r="4087" spans="1:26" x14ac:dyDescent="0.25">
      <c r="A4087" t="s">
        <v>4057</v>
      </c>
      <c r="B4087" t="s">
        <v>26</v>
      </c>
      <c r="C4087" t="s">
        <v>27</v>
      </c>
      <c r="H4087" s="2">
        <v>44601.667361111111</v>
      </c>
      <c r="I4087" t="s">
        <v>346</v>
      </c>
      <c r="Z4087">
        <v>28164</v>
      </c>
    </row>
    <row r="4088" spans="1:26" x14ac:dyDescent="0.25">
      <c r="A4088" t="s">
        <v>4441</v>
      </c>
      <c r="B4088" t="s">
        <v>26</v>
      </c>
      <c r="C4088" t="s">
        <v>27</v>
      </c>
      <c r="E4088" t="s">
        <v>4442</v>
      </c>
      <c r="H4088" s="2">
        <v>44600.386805555558</v>
      </c>
      <c r="I4088" t="s">
        <v>194</v>
      </c>
      <c r="Z4088">
        <v>28103</v>
      </c>
    </row>
    <row r="4089" spans="1:26" x14ac:dyDescent="0.25">
      <c r="A4089" t="s">
        <v>4443</v>
      </c>
      <c r="B4089" t="s">
        <v>164</v>
      </c>
      <c r="C4089" t="s">
        <v>27</v>
      </c>
      <c r="E4089" t="s">
        <v>4444</v>
      </c>
      <c r="H4089" s="2">
        <v>44599.979861111111</v>
      </c>
      <c r="I4089" t="s">
        <v>194</v>
      </c>
      <c r="Z4089">
        <v>28098</v>
      </c>
    </row>
    <row r="4090" spans="1:26" x14ac:dyDescent="0.25">
      <c r="A4090" t="s">
        <v>366</v>
      </c>
      <c r="C4090" t="s">
        <v>27</v>
      </c>
      <c r="E4090" t="s">
        <v>4445</v>
      </c>
      <c r="H4090" s="2">
        <v>44599.931250000001</v>
      </c>
      <c r="I4090" t="s">
        <v>194</v>
      </c>
      <c r="Z4090">
        <v>28096</v>
      </c>
    </row>
    <row r="4091" spans="1:26" x14ac:dyDescent="0.25">
      <c r="A4091" t="s">
        <v>366</v>
      </c>
      <c r="C4091" t="s">
        <v>27</v>
      </c>
      <c r="E4091" t="s">
        <v>4446</v>
      </c>
      <c r="H4091" s="2">
        <v>44599.863194444442</v>
      </c>
      <c r="I4091" t="s">
        <v>357</v>
      </c>
      <c r="Z4091">
        <v>28095</v>
      </c>
    </row>
    <row r="4092" spans="1:26" x14ac:dyDescent="0.25">
      <c r="A4092" t="s">
        <v>1054</v>
      </c>
      <c r="B4092" t="s">
        <v>334</v>
      </c>
      <c r="C4092" t="s">
        <v>27</v>
      </c>
      <c r="H4092" s="2">
        <v>44599.813888888886</v>
      </c>
      <c r="I4092" t="s">
        <v>346</v>
      </c>
      <c r="Z4092">
        <v>28092</v>
      </c>
    </row>
    <row r="4093" spans="1:26" x14ac:dyDescent="0.25">
      <c r="A4093" t="s">
        <v>4447</v>
      </c>
      <c r="B4093" t="s">
        <v>26</v>
      </c>
      <c r="C4093" t="s">
        <v>27</v>
      </c>
      <c r="H4093" s="2">
        <v>44599.615277777775</v>
      </c>
      <c r="I4093" t="s">
        <v>346</v>
      </c>
      <c r="Z4093">
        <v>28076</v>
      </c>
    </row>
    <row r="4094" spans="1:26" x14ac:dyDescent="0.25">
      <c r="A4094" t="s">
        <v>4448</v>
      </c>
      <c r="B4094" t="s">
        <v>26</v>
      </c>
      <c r="C4094" t="s">
        <v>27</v>
      </c>
      <c r="H4094" s="2">
        <v>44599.582638888889</v>
      </c>
      <c r="I4094" t="s">
        <v>194</v>
      </c>
      <c r="Z4094">
        <v>28073</v>
      </c>
    </row>
    <row r="4095" spans="1:26" x14ac:dyDescent="0.25">
      <c r="A4095" t="s">
        <v>4449</v>
      </c>
      <c r="B4095" t="s">
        <v>26</v>
      </c>
      <c r="C4095" t="s">
        <v>206</v>
      </c>
      <c r="H4095" s="2">
        <v>44598.412499999999</v>
      </c>
      <c r="I4095" t="s">
        <v>346</v>
      </c>
      <c r="Z4095">
        <v>28017</v>
      </c>
    </row>
    <row r="4096" spans="1:26" x14ac:dyDescent="0.25">
      <c r="A4096" t="s">
        <v>4450</v>
      </c>
      <c r="B4096" t="s">
        <v>26</v>
      </c>
      <c r="C4096" t="s">
        <v>82</v>
      </c>
      <c r="H4096" s="2">
        <v>44597.809027777781</v>
      </c>
      <c r="I4096" t="s">
        <v>153</v>
      </c>
      <c r="Z4096">
        <v>28007</v>
      </c>
    </row>
    <row r="4097" spans="1:26" x14ac:dyDescent="0.25">
      <c r="A4097" t="s">
        <v>4451</v>
      </c>
      <c r="B4097" t="s">
        <v>26</v>
      </c>
      <c r="C4097" t="s">
        <v>27</v>
      </c>
      <c r="H4097" s="2">
        <v>44597.806250000001</v>
      </c>
      <c r="I4097" t="s">
        <v>153</v>
      </c>
      <c r="Z4097">
        <v>28006</v>
      </c>
    </row>
    <row r="4098" spans="1:26" x14ac:dyDescent="0.25">
      <c r="A4098" t="s">
        <v>4452</v>
      </c>
      <c r="B4098" t="s">
        <v>26</v>
      </c>
      <c r="C4098" t="s">
        <v>27</v>
      </c>
      <c r="H4098" s="2">
        <v>44597.59375</v>
      </c>
      <c r="I4098" t="s">
        <v>354</v>
      </c>
      <c r="Z4098">
        <v>27993</v>
      </c>
    </row>
    <row r="4099" spans="1:26" x14ac:dyDescent="0.25">
      <c r="A4099" t="s">
        <v>234</v>
      </c>
      <c r="B4099" t="s">
        <v>371</v>
      </c>
      <c r="C4099" t="s">
        <v>27</v>
      </c>
      <c r="E4099" t="s">
        <v>45</v>
      </c>
      <c r="H4099" s="2">
        <v>44597.50277777778</v>
      </c>
      <c r="I4099" t="s">
        <v>354</v>
      </c>
      <c r="Z4099">
        <v>27980</v>
      </c>
    </row>
    <row r="4100" spans="1:26" x14ac:dyDescent="0.25">
      <c r="A4100" t="s">
        <v>4453</v>
      </c>
      <c r="B4100" t="s">
        <v>26</v>
      </c>
      <c r="C4100" t="s">
        <v>27</v>
      </c>
      <c r="H4100" s="2">
        <v>44597.451388888891</v>
      </c>
      <c r="I4100" t="s">
        <v>354</v>
      </c>
      <c r="Z4100">
        <v>27974</v>
      </c>
    </row>
    <row r="4101" spans="1:26" x14ac:dyDescent="0.25">
      <c r="A4101" t="s">
        <v>4452</v>
      </c>
      <c r="B4101" t="s">
        <v>26</v>
      </c>
      <c r="C4101" t="s">
        <v>27</v>
      </c>
      <c r="H4101" s="2">
        <v>44596.885416666664</v>
      </c>
      <c r="I4101" t="s">
        <v>354</v>
      </c>
      <c r="Z4101">
        <v>27971</v>
      </c>
    </row>
    <row r="4102" spans="1:26" x14ac:dyDescent="0.25">
      <c r="A4102" t="s">
        <v>366</v>
      </c>
      <c r="B4102" t="s">
        <v>334</v>
      </c>
      <c r="C4102" t="s">
        <v>27</v>
      </c>
      <c r="E4102" t="s">
        <v>4454</v>
      </c>
      <c r="H4102" s="2">
        <v>44596.786111111112</v>
      </c>
      <c r="I4102" t="s">
        <v>354</v>
      </c>
      <c r="Z4102">
        <v>27969</v>
      </c>
    </row>
    <row r="4103" spans="1:26" x14ac:dyDescent="0.25">
      <c r="A4103" t="s">
        <v>4455</v>
      </c>
      <c r="B4103" t="s">
        <v>26</v>
      </c>
      <c r="C4103" t="s">
        <v>27</v>
      </c>
      <c r="E4103" t="s">
        <v>4456</v>
      </c>
      <c r="H4103" s="2">
        <v>44596.702777777777</v>
      </c>
      <c r="I4103" t="s">
        <v>354</v>
      </c>
      <c r="Z4103">
        <v>27964</v>
      </c>
    </row>
    <row r="4104" spans="1:26" x14ac:dyDescent="0.25">
      <c r="A4104" t="s">
        <v>4457</v>
      </c>
      <c r="B4104" t="s">
        <v>26</v>
      </c>
      <c r="C4104" t="s">
        <v>27</v>
      </c>
      <c r="H4104" s="2">
        <v>44596.654861111114</v>
      </c>
      <c r="I4104" t="s">
        <v>354</v>
      </c>
      <c r="Z4104">
        <v>27957</v>
      </c>
    </row>
    <row r="4105" spans="1:26" x14ac:dyDescent="0.25">
      <c r="A4105" t="s">
        <v>4458</v>
      </c>
      <c r="B4105" t="s">
        <v>46</v>
      </c>
      <c r="C4105" t="s">
        <v>27</v>
      </c>
      <c r="E4105" t="s">
        <v>4459</v>
      </c>
      <c r="G4105" t="s">
        <v>4460</v>
      </c>
      <c r="H4105" s="2">
        <v>44596.650694444441</v>
      </c>
      <c r="I4105" t="s">
        <v>354</v>
      </c>
      <c r="Z4105">
        <v>27956</v>
      </c>
    </row>
    <row r="4106" spans="1:26" x14ac:dyDescent="0.25">
      <c r="A4106" t="s">
        <v>4461</v>
      </c>
      <c r="B4106" t="s">
        <v>26</v>
      </c>
      <c r="C4106" t="s">
        <v>27</v>
      </c>
      <c r="H4106" s="2">
        <v>44596.589583333334</v>
      </c>
      <c r="I4106" t="s">
        <v>354</v>
      </c>
      <c r="Z4106">
        <v>27946</v>
      </c>
    </row>
    <row r="4107" spans="1:26" x14ac:dyDescent="0.25">
      <c r="A4107" t="s">
        <v>4462</v>
      </c>
      <c r="B4107" t="s">
        <v>46</v>
      </c>
      <c r="C4107" t="s">
        <v>27</v>
      </c>
      <c r="E4107" t="s">
        <v>58</v>
      </c>
      <c r="G4107" t="s">
        <v>4463</v>
      </c>
      <c r="H4107" s="2">
        <v>44595.959027777775</v>
      </c>
      <c r="I4107" t="s">
        <v>354</v>
      </c>
      <c r="Z4107">
        <v>27931</v>
      </c>
    </row>
    <row r="4108" spans="1:26" x14ac:dyDescent="0.25">
      <c r="A4108" t="s">
        <v>366</v>
      </c>
      <c r="C4108" t="s">
        <v>27</v>
      </c>
      <c r="E4108" t="s">
        <v>4464</v>
      </c>
      <c r="H4108" s="2">
        <v>44595.539583333331</v>
      </c>
      <c r="I4108" t="s">
        <v>346</v>
      </c>
      <c r="Z4108">
        <v>27922</v>
      </c>
    </row>
    <row r="4109" spans="1:26" x14ac:dyDescent="0.25">
      <c r="A4109" t="s">
        <v>4465</v>
      </c>
      <c r="B4109" t="s">
        <v>26</v>
      </c>
      <c r="C4109" t="s">
        <v>27</v>
      </c>
      <c r="H4109" s="2">
        <v>44595.378472222219</v>
      </c>
      <c r="I4109" t="s">
        <v>346</v>
      </c>
      <c r="Z4109">
        <v>27911</v>
      </c>
    </row>
    <row r="4110" spans="1:26" x14ac:dyDescent="0.25">
      <c r="A4110" t="s">
        <v>366</v>
      </c>
      <c r="C4110" t="s">
        <v>27</v>
      </c>
      <c r="E4110" t="s">
        <v>4466</v>
      </c>
      <c r="H4110" s="2">
        <v>44594.599305555559</v>
      </c>
      <c r="I4110" t="s">
        <v>153</v>
      </c>
      <c r="Z4110">
        <v>27887</v>
      </c>
    </row>
    <row r="4111" spans="1:26" x14ac:dyDescent="0.25">
      <c r="A4111" t="s">
        <v>4467</v>
      </c>
      <c r="B4111" t="s">
        <v>26</v>
      </c>
      <c r="C4111" t="s">
        <v>27</v>
      </c>
      <c r="H4111" s="2">
        <v>44594.554861111108</v>
      </c>
      <c r="I4111" t="s">
        <v>194</v>
      </c>
      <c r="Z4111">
        <v>27880</v>
      </c>
    </row>
    <row r="4112" spans="1:26" x14ac:dyDescent="0.25">
      <c r="A4112" t="s">
        <v>4468</v>
      </c>
      <c r="B4112" t="s">
        <v>26</v>
      </c>
      <c r="C4112" t="s">
        <v>27</v>
      </c>
      <c r="H4112" s="2">
        <v>44594.48333333333</v>
      </c>
      <c r="I4112" t="s">
        <v>346</v>
      </c>
      <c r="Z4112">
        <v>27874</v>
      </c>
    </row>
    <row r="4113" spans="1:26" x14ac:dyDescent="0.25">
      <c r="A4113" t="s">
        <v>366</v>
      </c>
      <c r="C4113" t="s">
        <v>27</v>
      </c>
      <c r="E4113" t="s">
        <v>4469</v>
      </c>
      <c r="H4113" s="2">
        <v>44594.40347222222</v>
      </c>
      <c r="I4113" t="s">
        <v>346</v>
      </c>
      <c r="Z4113">
        <v>27868</v>
      </c>
    </row>
    <row r="4114" spans="1:26" x14ac:dyDescent="0.25">
      <c r="A4114" t="s">
        <v>4470</v>
      </c>
      <c r="B4114" t="s">
        <v>26</v>
      </c>
      <c r="C4114" t="s">
        <v>27</v>
      </c>
      <c r="H4114" s="2">
        <v>44593.706250000003</v>
      </c>
      <c r="I4114" t="s">
        <v>194</v>
      </c>
      <c r="Z4114">
        <v>27849</v>
      </c>
    </row>
    <row r="4115" spans="1:26" x14ac:dyDescent="0.25">
      <c r="A4115" t="s">
        <v>366</v>
      </c>
      <c r="C4115" t="s">
        <v>64</v>
      </c>
      <c r="E4115" t="s">
        <v>4471</v>
      </c>
      <c r="H4115" s="2">
        <v>44593.70416666667</v>
      </c>
      <c r="I4115" t="s">
        <v>194</v>
      </c>
      <c r="Z4115">
        <v>27847</v>
      </c>
    </row>
    <row r="4116" spans="1:26" x14ac:dyDescent="0.25">
      <c r="A4116" t="s">
        <v>4472</v>
      </c>
      <c r="B4116" t="s">
        <v>26</v>
      </c>
      <c r="C4116" t="s">
        <v>27</v>
      </c>
      <c r="H4116" s="2">
        <v>44593.488888888889</v>
      </c>
      <c r="I4116" t="s">
        <v>153</v>
      </c>
      <c r="Z4116">
        <v>27820</v>
      </c>
    </row>
    <row r="4117" spans="1:26" x14ac:dyDescent="0.25">
      <c r="A4117" t="s">
        <v>320</v>
      </c>
      <c r="B4117" t="s">
        <v>150</v>
      </c>
      <c r="C4117" t="s">
        <v>27</v>
      </c>
      <c r="E4117" t="s">
        <v>66</v>
      </c>
      <c r="H4117" s="2">
        <v>44593.487500000003</v>
      </c>
      <c r="I4117" t="s">
        <v>194</v>
      </c>
      <c r="Z4117">
        <v>27819</v>
      </c>
    </row>
    <row r="4118" spans="1:26" x14ac:dyDescent="0.25">
      <c r="A4118" t="s">
        <v>4473</v>
      </c>
      <c r="B4118" t="s">
        <v>26</v>
      </c>
      <c r="C4118" t="s">
        <v>27</v>
      </c>
      <c r="H4118" s="2">
        <v>44593.418055555558</v>
      </c>
      <c r="I4118" t="s">
        <v>194</v>
      </c>
      <c r="Z4118">
        <v>27816</v>
      </c>
    </row>
    <row r="4119" spans="1:26" x14ac:dyDescent="0.25">
      <c r="A4119" t="s">
        <v>1054</v>
      </c>
      <c r="B4119" t="s">
        <v>334</v>
      </c>
      <c r="C4119" t="s">
        <v>27</v>
      </c>
      <c r="H4119" s="2">
        <v>44592.54583333333</v>
      </c>
      <c r="I4119" t="s">
        <v>375</v>
      </c>
      <c r="K4119" t="s">
        <v>30</v>
      </c>
      <c r="L4119" t="s">
        <v>31</v>
      </c>
      <c r="M4119">
        <v>67130164</v>
      </c>
      <c r="N4119">
        <v>11408745396</v>
      </c>
      <c r="O4119" t="s">
        <v>2393</v>
      </c>
      <c r="Z4119">
        <v>27787</v>
      </c>
    </row>
    <row r="4120" spans="1:26" x14ac:dyDescent="0.25">
      <c r="A4120" t="s">
        <v>234</v>
      </c>
      <c r="B4120" t="s">
        <v>198</v>
      </c>
      <c r="C4120" t="s">
        <v>27</v>
      </c>
      <c r="E4120" t="s">
        <v>45</v>
      </c>
      <c r="H4120" s="2">
        <v>44591.561805555553</v>
      </c>
      <c r="I4120" t="s">
        <v>357</v>
      </c>
      <c r="K4120" t="s">
        <v>30</v>
      </c>
      <c r="L4120" t="s">
        <v>31</v>
      </c>
      <c r="M4120">
        <v>67130164</v>
      </c>
      <c r="N4120">
        <v>11408745396</v>
      </c>
      <c r="O4120" t="s">
        <v>382</v>
      </c>
      <c r="Z4120">
        <v>27762</v>
      </c>
    </row>
    <row r="4121" spans="1:26" x14ac:dyDescent="0.25">
      <c r="A4121" t="s">
        <v>366</v>
      </c>
      <c r="C4121" t="s">
        <v>27</v>
      </c>
      <c r="E4121" t="s">
        <v>4474</v>
      </c>
      <c r="H4121" s="2">
        <v>44591.169444444444</v>
      </c>
      <c r="I4121" t="s">
        <v>357</v>
      </c>
      <c r="Z4121">
        <v>27743</v>
      </c>
    </row>
    <row r="4122" spans="1:26" x14ac:dyDescent="0.25">
      <c r="A4122" t="s">
        <v>4475</v>
      </c>
      <c r="B4122" t="s">
        <v>26</v>
      </c>
      <c r="C4122" t="s">
        <v>27</v>
      </c>
      <c r="H4122" s="2">
        <v>44590.718055555553</v>
      </c>
      <c r="I4122" t="s">
        <v>357</v>
      </c>
      <c r="Z4122">
        <v>27732</v>
      </c>
    </row>
    <row r="4123" spans="1:26" x14ac:dyDescent="0.25">
      <c r="A4123" t="s">
        <v>4476</v>
      </c>
      <c r="B4123" t="s">
        <v>26</v>
      </c>
      <c r="C4123" t="s">
        <v>27</v>
      </c>
      <c r="H4123" s="2">
        <v>44590.59375</v>
      </c>
      <c r="I4123" t="s">
        <v>354</v>
      </c>
      <c r="Z4123">
        <v>27718</v>
      </c>
    </row>
    <row r="4124" spans="1:26" x14ac:dyDescent="0.25">
      <c r="A4124" t="s">
        <v>4477</v>
      </c>
      <c r="B4124" t="s">
        <v>46</v>
      </c>
      <c r="C4124" t="s">
        <v>27</v>
      </c>
      <c r="E4124" t="s">
        <v>65</v>
      </c>
      <c r="G4124" t="s">
        <v>4478</v>
      </c>
      <c r="H4124" s="2">
        <v>44589.75277777778</v>
      </c>
      <c r="I4124" t="s">
        <v>346</v>
      </c>
      <c r="Z4124">
        <v>27675</v>
      </c>
    </row>
    <row r="4125" spans="1:26" x14ac:dyDescent="0.25">
      <c r="A4125" t="s">
        <v>4479</v>
      </c>
      <c r="B4125" t="s">
        <v>26</v>
      </c>
      <c r="C4125" t="s">
        <v>27</v>
      </c>
      <c r="H4125" s="2">
        <v>44589.693055555559</v>
      </c>
      <c r="I4125" t="s">
        <v>194</v>
      </c>
      <c r="Z4125">
        <v>27671</v>
      </c>
    </row>
    <row r="4126" spans="1:26" x14ac:dyDescent="0.25">
      <c r="A4126" t="s">
        <v>4480</v>
      </c>
      <c r="B4126" t="s">
        <v>26</v>
      </c>
      <c r="C4126" t="s">
        <v>206</v>
      </c>
      <c r="H4126" s="2">
        <v>44589.489583333336</v>
      </c>
      <c r="I4126" t="s">
        <v>346</v>
      </c>
      <c r="Z4126">
        <v>27641</v>
      </c>
    </row>
    <row r="4127" spans="1:26" x14ac:dyDescent="0.25">
      <c r="A4127" t="s">
        <v>4481</v>
      </c>
      <c r="B4127" t="s">
        <v>26</v>
      </c>
      <c r="C4127" t="s">
        <v>27</v>
      </c>
      <c r="H4127" s="2">
        <v>44588.85</v>
      </c>
      <c r="I4127" t="s">
        <v>194</v>
      </c>
      <c r="Z4127">
        <v>27613</v>
      </c>
    </row>
    <row r="4128" spans="1:26" x14ac:dyDescent="0.25">
      <c r="A4128" t="s">
        <v>4482</v>
      </c>
      <c r="B4128" t="s">
        <v>26</v>
      </c>
      <c r="C4128" t="s">
        <v>27</v>
      </c>
      <c r="H4128" s="2">
        <v>44588.820138888892</v>
      </c>
      <c r="I4128" t="s">
        <v>346</v>
      </c>
      <c r="Z4128">
        <v>27610</v>
      </c>
    </row>
    <row r="4129" spans="1:26" x14ac:dyDescent="0.25">
      <c r="A4129" t="s">
        <v>4483</v>
      </c>
      <c r="B4129" t="s">
        <v>26</v>
      </c>
      <c r="C4129" t="s">
        <v>27</v>
      </c>
      <c r="H4129" s="2">
        <v>44588.52847222222</v>
      </c>
      <c r="I4129" t="s">
        <v>194</v>
      </c>
      <c r="Z4129">
        <v>27588</v>
      </c>
    </row>
    <row r="4130" spans="1:26" x14ac:dyDescent="0.25">
      <c r="A4130" t="s">
        <v>4484</v>
      </c>
      <c r="B4130" t="s">
        <v>26</v>
      </c>
      <c r="C4130" t="s">
        <v>27</v>
      </c>
      <c r="H4130" s="2">
        <v>44588.5</v>
      </c>
      <c r="I4130" t="s">
        <v>194</v>
      </c>
      <c r="Z4130">
        <v>27586</v>
      </c>
    </row>
    <row r="4131" spans="1:26" x14ac:dyDescent="0.25">
      <c r="A4131" t="s">
        <v>234</v>
      </c>
      <c r="B4131" t="s">
        <v>371</v>
      </c>
      <c r="C4131" t="s">
        <v>82</v>
      </c>
      <c r="E4131" t="s">
        <v>45</v>
      </c>
      <c r="H4131" s="2">
        <v>44588.464583333334</v>
      </c>
      <c r="I4131" t="s">
        <v>346</v>
      </c>
      <c r="Z4131">
        <v>27582</v>
      </c>
    </row>
    <row r="4132" spans="1:26" x14ac:dyDescent="0.25">
      <c r="A4132" t="s">
        <v>4485</v>
      </c>
      <c r="B4132" t="s">
        <v>26</v>
      </c>
      <c r="C4132" t="s">
        <v>27</v>
      </c>
      <c r="H4132" s="2">
        <v>44587.497916666667</v>
      </c>
      <c r="I4132" t="s">
        <v>346</v>
      </c>
      <c r="Z4132">
        <v>27547</v>
      </c>
    </row>
    <row r="4133" spans="1:26" x14ac:dyDescent="0.25">
      <c r="A4133" t="s">
        <v>4486</v>
      </c>
      <c r="B4133" t="s">
        <v>26</v>
      </c>
      <c r="C4133" t="s">
        <v>27</v>
      </c>
      <c r="E4133" t="s">
        <v>4487</v>
      </c>
      <c r="H4133" s="2">
        <v>44587.474999999999</v>
      </c>
      <c r="I4133" t="s">
        <v>194</v>
      </c>
      <c r="Z4133">
        <v>27544</v>
      </c>
    </row>
    <row r="4134" spans="1:26" x14ac:dyDescent="0.25">
      <c r="A4134" t="s">
        <v>4488</v>
      </c>
      <c r="B4134" t="s">
        <v>26</v>
      </c>
      <c r="C4134" t="s">
        <v>27</v>
      </c>
      <c r="H4134" s="2">
        <v>44586.649305555555</v>
      </c>
      <c r="I4134" t="s">
        <v>357</v>
      </c>
      <c r="Z4134">
        <v>27510</v>
      </c>
    </row>
    <row r="4135" spans="1:26" x14ac:dyDescent="0.25">
      <c r="A4135" t="s">
        <v>4489</v>
      </c>
      <c r="B4135" t="s">
        <v>26</v>
      </c>
      <c r="C4135" t="s">
        <v>27</v>
      </c>
      <c r="H4135" s="2">
        <v>44586.644444444442</v>
      </c>
      <c r="I4135" t="s">
        <v>357</v>
      </c>
      <c r="Z4135">
        <v>27509</v>
      </c>
    </row>
    <row r="4136" spans="1:26" x14ac:dyDescent="0.25">
      <c r="A4136" t="s">
        <v>4490</v>
      </c>
      <c r="B4136" t="s">
        <v>371</v>
      </c>
      <c r="C4136" t="s">
        <v>27</v>
      </c>
      <c r="E4136" t="s">
        <v>4491</v>
      </c>
      <c r="G4136" t="s">
        <v>4492</v>
      </c>
      <c r="H4136" s="2">
        <v>44586.602083333331</v>
      </c>
      <c r="I4136" t="s">
        <v>357</v>
      </c>
      <c r="Z4136">
        <v>27503</v>
      </c>
    </row>
    <row r="4137" spans="1:26" x14ac:dyDescent="0.25">
      <c r="A4137" t="s">
        <v>4493</v>
      </c>
      <c r="B4137" t="s">
        <v>26</v>
      </c>
      <c r="C4137" t="s">
        <v>27</v>
      </c>
      <c r="E4137" t="s">
        <v>45</v>
      </c>
      <c r="H4137" s="2">
        <v>44585.40902777778</v>
      </c>
      <c r="I4137" t="s">
        <v>357</v>
      </c>
      <c r="Z4137">
        <v>27417</v>
      </c>
    </row>
    <row r="4138" spans="1:26" x14ac:dyDescent="0.25">
      <c r="A4138" t="s">
        <v>4494</v>
      </c>
      <c r="B4138" t="s">
        <v>164</v>
      </c>
      <c r="C4138" t="s">
        <v>27</v>
      </c>
      <c r="E4138" t="s">
        <v>4495</v>
      </c>
      <c r="H4138" s="2">
        <v>44584.647916666669</v>
      </c>
      <c r="I4138" t="s">
        <v>357</v>
      </c>
      <c r="K4138" t="s">
        <v>30</v>
      </c>
      <c r="L4138" t="s">
        <v>31</v>
      </c>
      <c r="M4138" t="s">
        <v>4496</v>
      </c>
      <c r="N4138" t="s">
        <v>4497</v>
      </c>
      <c r="O4138" t="s">
        <v>4498</v>
      </c>
      <c r="Z4138">
        <v>27391</v>
      </c>
    </row>
    <row r="4139" spans="1:26" x14ac:dyDescent="0.25">
      <c r="A4139" t="s">
        <v>366</v>
      </c>
      <c r="C4139" t="s">
        <v>27</v>
      </c>
      <c r="E4139" t="s">
        <v>4499</v>
      </c>
      <c r="H4139" s="2">
        <v>44584.555555555555</v>
      </c>
      <c r="I4139" t="s">
        <v>357</v>
      </c>
      <c r="Z4139">
        <v>27379</v>
      </c>
    </row>
    <row r="4140" spans="1:26" x14ac:dyDescent="0.25">
      <c r="A4140" t="s">
        <v>4500</v>
      </c>
      <c r="B4140" t="s">
        <v>26</v>
      </c>
      <c r="C4140" t="s">
        <v>27</v>
      </c>
      <c r="H4140" s="2">
        <v>44584.436805555553</v>
      </c>
      <c r="I4140" t="s">
        <v>354</v>
      </c>
      <c r="Z4140">
        <v>27370</v>
      </c>
    </row>
    <row r="4141" spans="1:26" x14ac:dyDescent="0.25">
      <c r="A4141" t="s">
        <v>4501</v>
      </c>
      <c r="B4141" t="s">
        <v>371</v>
      </c>
      <c r="C4141" t="s">
        <v>27</v>
      </c>
      <c r="E4141" t="s">
        <v>4502</v>
      </c>
      <c r="H4141" s="2">
        <v>44583.869444444441</v>
      </c>
      <c r="I4141" t="s">
        <v>194</v>
      </c>
      <c r="Z4141">
        <v>27364</v>
      </c>
    </row>
    <row r="4142" spans="1:26" x14ac:dyDescent="0.25">
      <c r="A4142" t="s">
        <v>4503</v>
      </c>
      <c r="B4142" t="s">
        <v>26</v>
      </c>
      <c r="C4142" t="s">
        <v>27</v>
      </c>
      <c r="H4142" s="2">
        <v>44583.692361111112</v>
      </c>
      <c r="I4142" t="s">
        <v>357</v>
      </c>
      <c r="Z4142">
        <v>27355</v>
      </c>
    </row>
    <row r="4143" spans="1:26" x14ac:dyDescent="0.25">
      <c r="A4143" t="s">
        <v>4504</v>
      </c>
      <c r="B4143" t="s">
        <v>26</v>
      </c>
      <c r="C4143" t="s">
        <v>27</v>
      </c>
      <c r="H4143" s="2">
        <v>44583.492361111108</v>
      </c>
      <c r="I4143" t="s">
        <v>194</v>
      </c>
      <c r="Z4143">
        <v>27340</v>
      </c>
    </row>
    <row r="4144" spans="1:26" x14ac:dyDescent="0.25">
      <c r="A4144" t="s">
        <v>4505</v>
      </c>
      <c r="B4144" t="s">
        <v>26</v>
      </c>
      <c r="C4144" t="s">
        <v>27</v>
      </c>
      <c r="H4144" s="2">
        <v>44582.712500000001</v>
      </c>
      <c r="I4144" t="s">
        <v>194</v>
      </c>
      <c r="Z4144">
        <v>27320</v>
      </c>
    </row>
    <row r="4145" spans="1:26" x14ac:dyDescent="0.25">
      <c r="A4145" t="s">
        <v>4506</v>
      </c>
      <c r="B4145" t="s">
        <v>26</v>
      </c>
      <c r="C4145" t="s">
        <v>27</v>
      </c>
      <c r="H4145" s="2">
        <v>44581.78402777778</v>
      </c>
      <c r="I4145" t="s">
        <v>346</v>
      </c>
      <c r="Z4145">
        <v>27268</v>
      </c>
    </row>
    <row r="4146" spans="1:26" x14ac:dyDescent="0.25">
      <c r="A4146" t="s">
        <v>4507</v>
      </c>
      <c r="B4146" t="s">
        <v>26</v>
      </c>
      <c r="C4146" t="s">
        <v>206</v>
      </c>
      <c r="H4146" s="2">
        <v>44581.740972222222</v>
      </c>
      <c r="I4146" t="s">
        <v>346</v>
      </c>
      <c r="Z4146">
        <v>27267</v>
      </c>
    </row>
    <row r="4147" spans="1:26" x14ac:dyDescent="0.25">
      <c r="A4147" t="s">
        <v>4508</v>
      </c>
      <c r="B4147" t="s">
        <v>26</v>
      </c>
      <c r="C4147" t="s">
        <v>27</v>
      </c>
      <c r="E4147" t="s">
        <v>45</v>
      </c>
      <c r="H4147" s="2">
        <v>44581.622916666667</v>
      </c>
      <c r="I4147" t="s">
        <v>346</v>
      </c>
      <c r="Z4147">
        <v>27253</v>
      </c>
    </row>
    <row r="4148" spans="1:26" x14ac:dyDescent="0.25">
      <c r="A4148" t="s">
        <v>4509</v>
      </c>
      <c r="B4148" t="s">
        <v>26</v>
      </c>
      <c r="C4148" t="s">
        <v>27</v>
      </c>
      <c r="H4148" s="2">
        <v>44580.813888888886</v>
      </c>
      <c r="I4148" t="s">
        <v>357</v>
      </c>
      <c r="Z4148">
        <v>27221</v>
      </c>
    </row>
    <row r="4149" spans="1:26" x14ac:dyDescent="0.25">
      <c r="A4149" t="s">
        <v>4510</v>
      </c>
      <c r="B4149" t="s">
        <v>26</v>
      </c>
      <c r="C4149" t="s">
        <v>27</v>
      </c>
      <c r="E4149" t="s">
        <v>4511</v>
      </c>
      <c r="H4149" s="2">
        <v>44580.802083333336</v>
      </c>
      <c r="I4149" t="s">
        <v>357</v>
      </c>
      <c r="Z4149">
        <v>27219</v>
      </c>
    </row>
    <row r="4150" spans="1:26" x14ac:dyDescent="0.25">
      <c r="A4150" t="s">
        <v>4512</v>
      </c>
      <c r="B4150" t="s">
        <v>26</v>
      </c>
      <c r="C4150" t="s">
        <v>27</v>
      </c>
      <c r="H4150" s="2">
        <v>44580.802083333336</v>
      </c>
      <c r="I4150" t="s">
        <v>357</v>
      </c>
      <c r="Z4150">
        <v>27218</v>
      </c>
    </row>
    <row r="4151" spans="1:26" x14ac:dyDescent="0.25">
      <c r="A4151" t="s">
        <v>4513</v>
      </c>
      <c r="B4151" t="s">
        <v>26</v>
      </c>
      <c r="C4151" t="s">
        <v>27</v>
      </c>
      <c r="H4151" s="2">
        <v>44580.76458333333</v>
      </c>
      <c r="I4151" t="s">
        <v>357</v>
      </c>
      <c r="Z4151">
        <v>27213</v>
      </c>
    </row>
    <row r="4152" spans="1:26" x14ac:dyDescent="0.25">
      <c r="A4152" t="s">
        <v>184</v>
      </c>
      <c r="B4152" t="s">
        <v>371</v>
      </c>
      <c r="C4152" t="s">
        <v>82</v>
      </c>
      <c r="E4152" t="s">
        <v>84</v>
      </c>
      <c r="H4152" s="2">
        <v>44580.675694444442</v>
      </c>
      <c r="I4152" t="s">
        <v>357</v>
      </c>
      <c r="Z4152">
        <v>27206</v>
      </c>
    </row>
    <row r="4153" spans="1:26" x14ac:dyDescent="0.25">
      <c r="A4153" t="s">
        <v>4514</v>
      </c>
      <c r="B4153" t="s">
        <v>198</v>
      </c>
      <c r="C4153" t="s">
        <v>27</v>
      </c>
      <c r="E4153" t="s">
        <v>1506</v>
      </c>
      <c r="G4153" t="s">
        <v>1852</v>
      </c>
      <c r="H4153" s="2">
        <v>44580.664583333331</v>
      </c>
      <c r="I4153" t="s">
        <v>357</v>
      </c>
      <c r="Z4153">
        <v>27203</v>
      </c>
    </row>
    <row r="4154" spans="1:26" x14ac:dyDescent="0.25">
      <c r="A4154" t="s">
        <v>4515</v>
      </c>
      <c r="B4154" t="s">
        <v>46</v>
      </c>
      <c r="C4154" t="s">
        <v>27</v>
      </c>
      <c r="E4154" t="s">
        <v>220</v>
      </c>
      <c r="G4154" t="s">
        <v>4516</v>
      </c>
      <c r="H4154" s="2">
        <v>44580.414583333331</v>
      </c>
      <c r="I4154" t="s">
        <v>357</v>
      </c>
      <c r="Z4154">
        <v>27177</v>
      </c>
    </row>
    <row r="4155" spans="1:26" x14ac:dyDescent="0.25">
      <c r="A4155" t="s">
        <v>4517</v>
      </c>
      <c r="B4155" t="s">
        <v>150</v>
      </c>
      <c r="C4155" t="s">
        <v>27</v>
      </c>
      <c r="E4155" t="s">
        <v>80</v>
      </c>
      <c r="G4155" t="s">
        <v>4518</v>
      </c>
      <c r="H4155" s="2">
        <v>44579.630555555559</v>
      </c>
      <c r="I4155" t="s">
        <v>357</v>
      </c>
      <c r="K4155" t="s">
        <v>30</v>
      </c>
      <c r="L4155" t="s">
        <v>31</v>
      </c>
      <c r="M4155">
        <v>67130164</v>
      </c>
      <c r="N4155">
        <v>11408745381</v>
      </c>
      <c r="O4155" t="s">
        <v>3129</v>
      </c>
      <c r="Z4155">
        <v>27134</v>
      </c>
    </row>
    <row r="4156" spans="1:26" x14ac:dyDescent="0.25">
      <c r="A4156" t="s">
        <v>4519</v>
      </c>
      <c r="B4156" t="s">
        <v>164</v>
      </c>
      <c r="C4156" t="s">
        <v>27</v>
      </c>
      <c r="E4156" t="s">
        <v>145</v>
      </c>
      <c r="G4156" t="s">
        <v>4520</v>
      </c>
      <c r="H4156" s="2">
        <v>44579.615277777775</v>
      </c>
      <c r="I4156" t="s">
        <v>357</v>
      </c>
      <c r="Z4156">
        <v>27132</v>
      </c>
    </row>
    <row r="4157" spans="1:26" x14ac:dyDescent="0.25">
      <c r="A4157" t="s">
        <v>366</v>
      </c>
      <c r="C4157" t="s">
        <v>82</v>
      </c>
      <c r="E4157" t="s">
        <v>4521</v>
      </c>
      <c r="H4157" s="2">
        <v>44579.552083333336</v>
      </c>
      <c r="I4157" t="s">
        <v>153</v>
      </c>
      <c r="Z4157">
        <v>27123</v>
      </c>
    </row>
    <row r="4158" spans="1:26" x14ac:dyDescent="0.25">
      <c r="A4158" t="s">
        <v>366</v>
      </c>
      <c r="C4158" t="s">
        <v>27</v>
      </c>
      <c r="E4158" t="s">
        <v>4522</v>
      </c>
      <c r="H4158" s="2">
        <v>44579.53125</v>
      </c>
      <c r="I4158" t="s">
        <v>354</v>
      </c>
      <c r="Z4158">
        <v>27119</v>
      </c>
    </row>
    <row r="4159" spans="1:26" x14ac:dyDescent="0.25">
      <c r="A4159" t="s">
        <v>4523</v>
      </c>
      <c r="B4159" t="s">
        <v>26</v>
      </c>
      <c r="C4159" t="s">
        <v>82</v>
      </c>
      <c r="E4159" t="s">
        <v>321</v>
      </c>
      <c r="H4159" s="2">
        <v>44579.522916666669</v>
      </c>
      <c r="I4159" t="s">
        <v>153</v>
      </c>
      <c r="Z4159">
        <v>27116</v>
      </c>
    </row>
    <row r="4160" spans="1:26" x14ac:dyDescent="0.25">
      <c r="A4160" t="s">
        <v>1054</v>
      </c>
      <c r="B4160" t="s">
        <v>334</v>
      </c>
      <c r="C4160" t="s">
        <v>27</v>
      </c>
      <c r="H4160" s="2">
        <v>44579.351388888892</v>
      </c>
      <c r="I4160" t="s">
        <v>375</v>
      </c>
      <c r="K4160" t="s">
        <v>30</v>
      </c>
      <c r="L4160" t="s">
        <v>31</v>
      </c>
      <c r="M4160">
        <v>67130164</v>
      </c>
      <c r="N4160">
        <v>11408745398</v>
      </c>
      <c r="O4160" t="s">
        <v>382</v>
      </c>
      <c r="Z4160">
        <v>27104</v>
      </c>
    </row>
    <row r="4161" spans="1:26" x14ac:dyDescent="0.25">
      <c r="A4161" t="s">
        <v>4524</v>
      </c>
      <c r="B4161" t="s">
        <v>26</v>
      </c>
      <c r="C4161" t="s">
        <v>27</v>
      </c>
      <c r="H4161" s="2">
        <v>44578.657638888886</v>
      </c>
      <c r="I4161" t="s">
        <v>354</v>
      </c>
      <c r="Z4161">
        <v>27087</v>
      </c>
    </row>
    <row r="4162" spans="1:26" x14ac:dyDescent="0.25">
      <c r="A4162" t="s">
        <v>184</v>
      </c>
      <c r="B4162" t="s">
        <v>371</v>
      </c>
      <c r="C4162" t="s">
        <v>27</v>
      </c>
      <c r="E4162" t="s">
        <v>84</v>
      </c>
      <c r="H4162" s="2">
        <v>44578.631249999999</v>
      </c>
      <c r="I4162" t="s">
        <v>357</v>
      </c>
      <c r="Z4162">
        <v>27085</v>
      </c>
    </row>
    <row r="4163" spans="1:26" x14ac:dyDescent="0.25">
      <c r="A4163" t="s">
        <v>320</v>
      </c>
      <c r="B4163" t="s">
        <v>371</v>
      </c>
      <c r="C4163" t="s">
        <v>27</v>
      </c>
      <c r="E4163" t="s">
        <v>66</v>
      </c>
      <c r="H4163" s="2">
        <v>44578.613194444442</v>
      </c>
      <c r="I4163" t="s">
        <v>153</v>
      </c>
      <c r="Z4163">
        <v>27080</v>
      </c>
    </row>
    <row r="4164" spans="1:26" x14ac:dyDescent="0.25">
      <c r="A4164" t="s">
        <v>366</v>
      </c>
      <c r="C4164" t="s">
        <v>27</v>
      </c>
      <c r="E4164" t="s">
        <v>4525</v>
      </c>
      <c r="H4164" s="2">
        <v>44578.463194444441</v>
      </c>
      <c r="I4164" t="s">
        <v>357</v>
      </c>
      <c r="Z4164">
        <v>27061</v>
      </c>
    </row>
    <row r="4165" spans="1:26" x14ac:dyDescent="0.25">
      <c r="A4165" t="s">
        <v>4526</v>
      </c>
      <c r="B4165" t="s">
        <v>26</v>
      </c>
      <c r="C4165" t="s">
        <v>27</v>
      </c>
      <c r="H4165" s="2">
        <v>44578.412499999999</v>
      </c>
      <c r="I4165" t="s">
        <v>354</v>
      </c>
      <c r="Z4165">
        <v>27056</v>
      </c>
    </row>
    <row r="4166" spans="1:26" x14ac:dyDescent="0.25">
      <c r="A4166" t="s">
        <v>4527</v>
      </c>
      <c r="B4166" t="s">
        <v>26</v>
      </c>
      <c r="C4166" t="s">
        <v>27</v>
      </c>
      <c r="H4166" s="2">
        <v>44577.755555555559</v>
      </c>
      <c r="I4166" t="s">
        <v>194</v>
      </c>
      <c r="Z4166">
        <v>27043</v>
      </c>
    </row>
    <row r="4167" spans="1:26" x14ac:dyDescent="0.25">
      <c r="A4167" t="s">
        <v>4528</v>
      </c>
      <c r="B4167" t="s">
        <v>26</v>
      </c>
      <c r="C4167" t="s">
        <v>27</v>
      </c>
      <c r="H4167" s="2">
        <v>44577.524305555555</v>
      </c>
      <c r="I4167" t="s">
        <v>194</v>
      </c>
      <c r="Z4167">
        <v>27020</v>
      </c>
    </row>
    <row r="4168" spans="1:26" x14ac:dyDescent="0.25">
      <c r="A4168" t="s">
        <v>4529</v>
      </c>
      <c r="B4168" t="s">
        <v>26</v>
      </c>
      <c r="C4168" t="s">
        <v>27</v>
      </c>
      <c r="E4168" t="s">
        <v>2151</v>
      </c>
      <c r="G4168" t="s">
        <v>2768</v>
      </c>
      <c r="H4168" s="2">
        <v>44577.497916666667</v>
      </c>
      <c r="I4168" t="s">
        <v>194</v>
      </c>
      <c r="Z4168">
        <v>27017</v>
      </c>
    </row>
    <row r="4169" spans="1:26" x14ac:dyDescent="0.25">
      <c r="A4169" t="s">
        <v>4530</v>
      </c>
      <c r="B4169" t="s">
        <v>26</v>
      </c>
      <c r="C4169" t="s">
        <v>206</v>
      </c>
      <c r="H4169" s="2">
        <v>44576.648611111108</v>
      </c>
      <c r="I4169" t="s">
        <v>375</v>
      </c>
      <c r="Z4169">
        <v>27000</v>
      </c>
    </row>
    <row r="4170" spans="1:26" x14ac:dyDescent="0.25">
      <c r="A4170" t="s">
        <v>4531</v>
      </c>
      <c r="B4170" t="s">
        <v>26</v>
      </c>
      <c r="C4170" t="s">
        <v>27</v>
      </c>
      <c r="E4170" t="s">
        <v>4532</v>
      </c>
      <c r="H4170" s="2">
        <v>44576.647916666669</v>
      </c>
      <c r="I4170" t="s">
        <v>194</v>
      </c>
      <c r="Z4170">
        <v>26998</v>
      </c>
    </row>
    <row r="4171" spans="1:26" x14ac:dyDescent="0.25">
      <c r="A4171" t="s">
        <v>366</v>
      </c>
      <c r="C4171" t="s">
        <v>27</v>
      </c>
      <c r="E4171" t="s">
        <v>4533</v>
      </c>
      <c r="H4171" s="2">
        <v>44576.604166666664</v>
      </c>
      <c r="I4171" t="s">
        <v>346</v>
      </c>
      <c r="Z4171">
        <v>26996</v>
      </c>
    </row>
    <row r="4172" spans="1:26" x14ac:dyDescent="0.25">
      <c r="A4172" t="s">
        <v>366</v>
      </c>
      <c r="C4172" t="s">
        <v>27</v>
      </c>
      <c r="E4172" t="s">
        <v>4534</v>
      </c>
      <c r="H4172" s="2">
        <v>44576.581944444442</v>
      </c>
      <c r="I4172" t="s">
        <v>194</v>
      </c>
      <c r="Z4172">
        <v>26993</v>
      </c>
    </row>
    <row r="4173" spans="1:26" x14ac:dyDescent="0.25">
      <c r="A4173" t="s">
        <v>4535</v>
      </c>
      <c r="B4173" t="s">
        <v>26</v>
      </c>
      <c r="C4173" t="s">
        <v>27</v>
      </c>
      <c r="H4173" s="2">
        <v>44576.500694444447</v>
      </c>
      <c r="I4173" t="s">
        <v>346</v>
      </c>
      <c r="Z4173">
        <v>26983</v>
      </c>
    </row>
    <row r="4174" spans="1:26" x14ac:dyDescent="0.25">
      <c r="A4174" t="s">
        <v>4536</v>
      </c>
      <c r="B4174" t="s">
        <v>26</v>
      </c>
      <c r="C4174" t="s">
        <v>27</v>
      </c>
      <c r="H4174" s="2">
        <v>44575.755555555559</v>
      </c>
      <c r="I4174" t="s">
        <v>194</v>
      </c>
      <c r="Z4174">
        <v>26969</v>
      </c>
    </row>
    <row r="4175" spans="1:26" x14ac:dyDescent="0.25">
      <c r="A4175" t="s">
        <v>4537</v>
      </c>
      <c r="B4175" t="s">
        <v>26</v>
      </c>
      <c r="C4175" t="s">
        <v>27</v>
      </c>
      <c r="H4175" s="2">
        <v>44575.631944444445</v>
      </c>
      <c r="I4175" t="s">
        <v>346</v>
      </c>
      <c r="Z4175">
        <v>26956</v>
      </c>
    </row>
    <row r="4176" spans="1:26" x14ac:dyDescent="0.25">
      <c r="A4176" t="s">
        <v>4538</v>
      </c>
      <c r="B4176" t="s">
        <v>26</v>
      </c>
      <c r="C4176" t="s">
        <v>27</v>
      </c>
      <c r="H4176" s="2">
        <v>44575.589583333334</v>
      </c>
      <c r="I4176" t="s">
        <v>194</v>
      </c>
      <c r="Z4176">
        <v>26951</v>
      </c>
    </row>
    <row r="4177" spans="1:26" x14ac:dyDescent="0.25">
      <c r="A4177" t="s">
        <v>4539</v>
      </c>
      <c r="B4177" t="s">
        <v>26</v>
      </c>
      <c r="C4177" t="s">
        <v>27</v>
      </c>
      <c r="H4177" s="2">
        <v>44575.413194444445</v>
      </c>
      <c r="I4177" t="s">
        <v>346</v>
      </c>
      <c r="Z4177">
        <v>26933</v>
      </c>
    </row>
    <row r="4178" spans="1:26" x14ac:dyDescent="0.25">
      <c r="A4178" t="s">
        <v>1054</v>
      </c>
      <c r="B4178" t="s">
        <v>334</v>
      </c>
      <c r="C4178" t="s">
        <v>27</v>
      </c>
      <c r="H4178" s="2">
        <v>44574.866666666669</v>
      </c>
      <c r="I4178" t="s">
        <v>375</v>
      </c>
      <c r="Z4178">
        <v>26925</v>
      </c>
    </row>
    <row r="4179" spans="1:26" x14ac:dyDescent="0.25">
      <c r="A4179" t="s">
        <v>338</v>
      </c>
      <c r="B4179" t="s">
        <v>26</v>
      </c>
      <c r="C4179" t="s">
        <v>27</v>
      </c>
      <c r="H4179" s="2">
        <v>44573.629861111112</v>
      </c>
      <c r="I4179" t="s">
        <v>354</v>
      </c>
      <c r="Z4179">
        <v>26865</v>
      </c>
    </row>
    <row r="4180" spans="1:26" x14ac:dyDescent="0.25">
      <c r="A4180" t="s">
        <v>4540</v>
      </c>
      <c r="B4180" t="s">
        <v>26</v>
      </c>
      <c r="C4180" t="s">
        <v>27</v>
      </c>
      <c r="H4180" s="2">
        <v>44573.561111111114</v>
      </c>
      <c r="I4180" t="s">
        <v>354</v>
      </c>
      <c r="Z4180">
        <v>26859</v>
      </c>
    </row>
    <row r="4181" spans="1:26" x14ac:dyDescent="0.25">
      <c r="A4181" t="s">
        <v>4541</v>
      </c>
      <c r="B4181" t="s">
        <v>26</v>
      </c>
      <c r="C4181" t="s">
        <v>27</v>
      </c>
      <c r="H4181" s="2">
        <v>44573.547222222223</v>
      </c>
      <c r="I4181" t="s">
        <v>354</v>
      </c>
      <c r="Z4181">
        <v>26856</v>
      </c>
    </row>
    <row r="4182" spans="1:26" x14ac:dyDescent="0.25">
      <c r="A4182" t="s">
        <v>4542</v>
      </c>
      <c r="B4182" t="s">
        <v>198</v>
      </c>
      <c r="C4182" t="s">
        <v>27</v>
      </c>
      <c r="E4182" t="s">
        <v>67</v>
      </c>
      <c r="G4182" t="s">
        <v>171</v>
      </c>
      <c r="H4182" s="2">
        <v>44572.447222222225</v>
      </c>
      <c r="I4182" t="s">
        <v>357</v>
      </c>
      <c r="Z4182">
        <v>26825</v>
      </c>
    </row>
    <row r="4183" spans="1:26" x14ac:dyDescent="0.25">
      <c r="A4183" t="s">
        <v>4543</v>
      </c>
      <c r="B4183" t="s">
        <v>185</v>
      </c>
      <c r="C4183" t="s">
        <v>27</v>
      </c>
      <c r="E4183" t="s">
        <v>200</v>
      </c>
      <c r="G4183" t="s">
        <v>4544</v>
      </c>
      <c r="H4183" s="2">
        <v>44571.432638888888</v>
      </c>
      <c r="I4183" t="s">
        <v>194</v>
      </c>
      <c r="Z4183">
        <v>26763</v>
      </c>
    </row>
    <row r="4184" spans="1:26" x14ac:dyDescent="0.25">
      <c r="A4184" t="s">
        <v>4545</v>
      </c>
      <c r="B4184" t="s">
        <v>26</v>
      </c>
      <c r="C4184" t="s">
        <v>27</v>
      </c>
      <c r="H4184" s="2">
        <v>44571.42083333333</v>
      </c>
      <c r="I4184" t="s">
        <v>194</v>
      </c>
      <c r="Z4184">
        <v>26761</v>
      </c>
    </row>
    <row r="4185" spans="1:26" x14ac:dyDescent="0.25">
      <c r="A4185" t="s">
        <v>4546</v>
      </c>
      <c r="B4185" t="s">
        <v>26</v>
      </c>
      <c r="C4185" t="s">
        <v>27</v>
      </c>
      <c r="H4185" s="2">
        <v>44570.558333333334</v>
      </c>
      <c r="I4185" t="s">
        <v>194</v>
      </c>
      <c r="K4185" t="s">
        <v>30</v>
      </c>
      <c r="L4185" t="s">
        <v>31</v>
      </c>
      <c r="M4185">
        <v>67130164</v>
      </c>
      <c r="N4185">
        <v>11408745397</v>
      </c>
      <c r="O4185" t="s">
        <v>382</v>
      </c>
      <c r="Z4185">
        <v>26713</v>
      </c>
    </row>
    <row r="4186" spans="1:26" x14ac:dyDescent="0.25">
      <c r="A4186" t="s">
        <v>4547</v>
      </c>
      <c r="B4186" t="s">
        <v>26</v>
      </c>
      <c r="C4186" t="s">
        <v>27</v>
      </c>
      <c r="H4186" s="2">
        <v>44569.428472222222</v>
      </c>
      <c r="I4186" t="s">
        <v>194</v>
      </c>
      <c r="Z4186">
        <v>26659</v>
      </c>
    </row>
    <row r="4187" spans="1:26" x14ac:dyDescent="0.25">
      <c r="A4187" t="s">
        <v>4548</v>
      </c>
      <c r="B4187" t="s">
        <v>26</v>
      </c>
      <c r="C4187" t="s">
        <v>27</v>
      </c>
      <c r="H4187" s="2">
        <v>44568.649305555555</v>
      </c>
      <c r="I4187" t="s">
        <v>357</v>
      </c>
      <c r="Z4187">
        <v>26643</v>
      </c>
    </row>
    <row r="4188" spans="1:26" x14ac:dyDescent="0.25">
      <c r="A4188" t="s">
        <v>4549</v>
      </c>
      <c r="B4188" t="s">
        <v>46</v>
      </c>
      <c r="C4188" t="s">
        <v>27</v>
      </c>
      <c r="E4188" t="s">
        <v>44</v>
      </c>
      <c r="G4188" t="s">
        <v>4550</v>
      </c>
      <c r="H4188" s="2">
        <v>44568.643055555556</v>
      </c>
      <c r="I4188" t="s">
        <v>357</v>
      </c>
      <c r="Z4188">
        <v>26642</v>
      </c>
    </row>
    <row r="4189" spans="1:26" x14ac:dyDescent="0.25">
      <c r="A4189" t="s">
        <v>366</v>
      </c>
      <c r="C4189" t="s">
        <v>27</v>
      </c>
      <c r="E4189" t="s">
        <v>4551</v>
      </c>
      <c r="H4189" s="2">
        <v>44567.541666666664</v>
      </c>
      <c r="I4189" t="s">
        <v>357</v>
      </c>
      <c r="Z4189">
        <v>26609</v>
      </c>
    </row>
    <row r="4190" spans="1:26" x14ac:dyDescent="0.25">
      <c r="A4190" t="s">
        <v>4552</v>
      </c>
      <c r="B4190" t="s">
        <v>26</v>
      </c>
      <c r="C4190" t="s">
        <v>27</v>
      </c>
      <c r="H4190" s="2">
        <v>44567.488888888889</v>
      </c>
      <c r="I4190" t="s">
        <v>354</v>
      </c>
      <c r="Z4190">
        <v>26604</v>
      </c>
    </row>
    <row r="4191" spans="1:26" x14ac:dyDescent="0.25">
      <c r="A4191" t="s">
        <v>4553</v>
      </c>
      <c r="B4191" t="s">
        <v>198</v>
      </c>
      <c r="C4191" t="s">
        <v>27</v>
      </c>
      <c r="E4191" t="s">
        <v>214</v>
      </c>
      <c r="H4191" s="2">
        <v>44566.564583333333</v>
      </c>
      <c r="I4191" t="s">
        <v>194</v>
      </c>
      <c r="Z4191">
        <v>26562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5BE7-955F-4B77-8545-74023C7D0165}">
  <dimension ref="A1:E238"/>
  <sheetViews>
    <sheetView workbookViewId="0"/>
  </sheetViews>
  <sheetFormatPr defaultRowHeight="15" x14ac:dyDescent="0.25"/>
  <cols>
    <col min="1" max="1" width="17.42578125" bestFit="1" customWidth="1"/>
    <col min="2" max="2" width="16.5703125" bestFit="1" customWidth="1"/>
    <col min="3" max="3" width="36.7109375" customWidth="1"/>
    <col min="4" max="4" width="17.7109375" bestFit="1" customWidth="1"/>
    <col min="5" max="5" width="26.5703125" bestFit="1" customWidth="1"/>
  </cols>
  <sheetData>
    <row r="1" spans="1:5" x14ac:dyDescent="0.25">
      <c r="A1" t="s">
        <v>384</v>
      </c>
      <c r="B1" t="s">
        <v>385</v>
      </c>
      <c r="C1" t="s">
        <v>386</v>
      </c>
      <c r="D1" t="s">
        <v>387</v>
      </c>
      <c r="E1" t="s">
        <v>388</v>
      </c>
    </row>
    <row r="2" spans="1:5" x14ac:dyDescent="0.25">
      <c r="A2" s="3">
        <v>44557</v>
      </c>
      <c r="B2" s="3">
        <v>44563</v>
      </c>
      <c r="C2" t="s">
        <v>389</v>
      </c>
      <c r="D2">
        <v>61</v>
      </c>
      <c r="E2">
        <v>2.5999999999999998E-4</v>
      </c>
    </row>
    <row r="3" spans="1:5" x14ac:dyDescent="0.25">
      <c r="A3" s="3">
        <v>44564</v>
      </c>
      <c r="B3" s="3">
        <v>44570</v>
      </c>
      <c r="C3" t="s">
        <v>390</v>
      </c>
      <c r="D3">
        <v>77</v>
      </c>
      <c r="E3">
        <v>3.4000000000000002E-4</v>
      </c>
    </row>
    <row r="4" spans="1:5" x14ac:dyDescent="0.25">
      <c r="A4" s="3">
        <v>44571</v>
      </c>
      <c r="B4" s="3">
        <v>44577</v>
      </c>
      <c r="C4" t="s">
        <v>391</v>
      </c>
      <c r="D4">
        <v>122</v>
      </c>
      <c r="E4">
        <v>4.4999999999999999E-4</v>
      </c>
    </row>
    <row r="5" spans="1:5" x14ac:dyDescent="0.25">
      <c r="A5" s="3">
        <v>44578</v>
      </c>
      <c r="B5" s="3">
        <v>44584</v>
      </c>
      <c r="C5" t="s">
        <v>392</v>
      </c>
      <c r="D5">
        <v>169</v>
      </c>
      <c r="E5">
        <v>5.9000000000000003E-4</v>
      </c>
    </row>
    <row r="6" spans="1:5" x14ac:dyDescent="0.25">
      <c r="A6" s="3">
        <v>44585</v>
      </c>
      <c r="B6" s="3">
        <v>44591</v>
      </c>
      <c r="C6" t="s">
        <v>393</v>
      </c>
      <c r="D6">
        <v>88</v>
      </c>
      <c r="E6">
        <v>3.1E-4</v>
      </c>
    </row>
    <row r="7" spans="1:5" x14ac:dyDescent="0.25">
      <c r="A7" s="3">
        <v>44592</v>
      </c>
      <c r="B7" s="3">
        <v>44598</v>
      </c>
      <c r="C7" t="s">
        <v>394</v>
      </c>
      <c r="D7">
        <v>129</v>
      </c>
      <c r="E7">
        <v>4.4999999999999999E-4</v>
      </c>
    </row>
    <row r="8" spans="1:5" x14ac:dyDescent="0.25">
      <c r="A8" s="3">
        <v>44599</v>
      </c>
      <c r="B8" s="3">
        <v>44605</v>
      </c>
      <c r="C8" t="s">
        <v>395</v>
      </c>
      <c r="D8">
        <v>144</v>
      </c>
      <c r="E8">
        <v>4.8000000000000001E-4</v>
      </c>
    </row>
    <row r="9" spans="1:5" x14ac:dyDescent="0.25">
      <c r="A9" s="3">
        <v>44606</v>
      </c>
      <c r="B9" s="3">
        <v>44612</v>
      </c>
      <c r="C9" t="s">
        <v>396</v>
      </c>
      <c r="D9">
        <v>112</v>
      </c>
      <c r="E9">
        <v>3.6999999999999999E-4</v>
      </c>
    </row>
    <row r="10" spans="1:5" x14ac:dyDescent="0.25">
      <c r="A10" s="3">
        <v>44613</v>
      </c>
      <c r="B10" s="3">
        <v>44619</v>
      </c>
      <c r="C10" t="s">
        <v>397</v>
      </c>
      <c r="D10">
        <v>108</v>
      </c>
      <c r="E10">
        <v>3.8000000000000002E-4</v>
      </c>
    </row>
    <row r="11" spans="1:5" x14ac:dyDescent="0.25">
      <c r="A11" s="3">
        <v>44620</v>
      </c>
      <c r="B11" s="3">
        <v>44626</v>
      </c>
      <c r="C11" t="s">
        <v>398</v>
      </c>
      <c r="D11">
        <v>97</v>
      </c>
      <c r="E11">
        <v>3.3E-4</v>
      </c>
    </row>
    <row r="12" spans="1:5" x14ac:dyDescent="0.25">
      <c r="A12" s="3">
        <v>44627</v>
      </c>
      <c r="B12" s="3">
        <v>44633</v>
      </c>
      <c r="C12" t="s">
        <v>399</v>
      </c>
      <c r="D12">
        <v>104</v>
      </c>
      <c r="E12">
        <v>3.6000000000000002E-4</v>
      </c>
    </row>
    <row r="13" spans="1:5" x14ac:dyDescent="0.25">
      <c r="A13" s="3">
        <v>44634</v>
      </c>
      <c r="B13" s="3">
        <v>44640</v>
      </c>
      <c r="C13" t="s">
        <v>400</v>
      </c>
      <c r="D13">
        <v>122</v>
      </c>
      <c r="E13">
        <v>4.0000000000000002E-4</v>
      </c>
    </row>
    <row r="14" spans="1:5" x14ac:dyDescent="0.25">
      <c r="A14" s="3">
        <v>44641</v>
      </c>
      <c r="B14" s="3">
        <v>44647</v>
      </c>
      <c r="C14" t="s">
        <v>401</v>
      </c>
      <c r="D14">
        <v>190</v>
      </c>
      <c r="E14">
        <v>6.4000000000000005E-4</v>
      </c>
    </row>
    <row r="15" spans="1:5" x14ac:dyDescent="0.25">
      <c r="A15" s="3">
        <v>44648</v>
      </c>
      <c r="B15" s="3">
        <v>44654</v>
      </c>
      <c r="C15" t="s">
        <v>402</v>
      </c>
      <c r="D15">
        <v>147</v>
      </c>
      <c r="E15">
        <v>5.1000000000000004E-4</v>
      </c>
    </row>
    <row r="16" spans="1:5" x14ac:dyDescent="0.25">
      <c r="A16" s="3">
        <v>44655</v>
      </c>
      <c r="B16" s="3">
        <v>44661</v>
      </c>
      <c r="C16" t="s">
        <v>403</v>
      </c>
      <c r="D16">
        <v>156</v>
      </c>
      <c r="E16">
        <v>5.4000000000000001E-4</v>
      </c>
    </row>
    <row r="17" spans="1:5" x14ac:dyDescent="0.25">
      <c r="A17" s="3">
        <v>44662</v>
      </c>
      <c r="B17" s="3">
        <v>44668</v>
      </c>
      <c r="C17" t="s">
        <v>404</v>
      </c>
      <c r="D17">
        <v>154</v>
      </c>
      <c r="E17">
        <v>5.4000000000000001E-4</v>
      </c>
    </row>
    <row r="18" spans="1:5" x14ac:dyDescent="0.25">
      <c r="A18" s="3">
        <v>44669</v>
      </c>
      <c r="B18" s="3">
        <v>44675</v>
      </c>
      <c r="C18" t="s">
        <v>405</v>
      </c>
      <c r="D18">
        <v>112</v>
      </c>
      <c r="E18">
        <v>4.0999999999999999E-4</v>
      </c>
    </row>
    <row r="19" spans="1:5" x14ac:dyDescent="0.25">
      <c r="A19" s="3">
        <v>44676</v>
      </c>
      <c r="B19" s="3">
        <v>44682</v>
      </c>
      <c r="C19" t="s">
        <v>406</v>
      </c>
      <c r="D19">
        <v>139</v>
      </c>
      <c r="E19">
        <v>5.1999999999999995E-4</v>
      </c>
    </row>
    <row r="20" spans="1:5" x14ac:dyDescent="0.25">
      <c r="A20" s="3">
        <v>44683</v>
      </c>
      <c r="B20" s="3">
        <v>44689</v>
      </c>
      <c r="C20" t="s">
        <v>407</v>
      </c>
      <c r="D20">
        <v>133</v>
      </c>
      <c r="E20">
        <v>5.5999999999999995E-4</v>
      </c>
    </row>
    <row r="21" spans="1:5" x14ac:dyDescent="0.25">
      <c r="A21" s="3">
        <v>44690</v>
      </c>
      <c r="B21" s="3">
        <v>44696</v>
      </c>
      <c r="C21" t="s">
        <v>408</v>
      </c>
      <c r="D21">
        <v>140</v>
      </c>
      <c r="E21">
        <v>5.2999999999999998E-4</v>
      </c>
    </row>
    <row r="22" spans="1:5" x14ac:dyDescent="0.25">
      <c r="A22" s="3">
        <v>44697</v>
      </c>
      <c r="B22" s="3">
        <v>44703</v>
      </c>
      <c r="C22" t="s">
        <v>409</v>
      </c>
      <c r="D22">
        <v>134</v>
      </c>
      <c r="E22">
        <v>4.6999999999999999E-4</v>
      </c>
    </row>
    <row r="23" spans="1:5" x14ac:dyDescent="0.25">
      <c r="A23" s="3">
        <v>44704</v>
      </c>
      <c r="B23" s="3">
        <v>44710</v>
      </c>
      <c r="C23" t="s">
        <v>410</v>
      </c>
      <c r="D23">
        <v>86</v>
      </c>
      <c r="E23">
        <v>3.2000000000000003E-4</v>
      </c>
    </row>
    <row r="24" spans="1:5" x14ac:dyDescent="0.25">
      <c r="A24" s="3">
        <v>44711</v>
      </c>
      <c r="B24" s="3">
        <v>44717</v>
      </c>
      <c r="C24" t="s">
        <v>411</v>
      </c>
      <c r="D24">
        <v>113</v>
      </c>
      <c r="E24">
        <v>4.6000000000000001E-4</v>
      </c>
    </row>
    <row r="25" spans="1:5" x14ac:dyDescent="0.25">
      <c r="A25" s="3">
        <v>44718</v>
      </c>
      <c r="B25" s="3">
        <v>44724</v>
      </c>
      <c r="C25" t="s">
        <v>412</v>
      </c>
      <c r="D25">
        <v>130</v>
      </c>
      <c r="E25">
        <v>5.1000000000000004E-4</v>
      </c>
    </row>
    <row r="26" spans="1:5" x14ac:dyDescent="0.25">
      <c r="A26" s="3">
        <v>44725</v>
      </c>
      <c r="B26" s="3">
        <v>44731</v>
      </c>
      <c r="C26" t="s">
        <v>413</v>
      </c>
      <c r="D26">
        <v>121</v>
      </c>
      <c r="E26">
        <v>5.1999999999999995E-4</v>
      </c>
    </row>
    <row r="27" spans="1:5" x14ac:dyDescent="0.25">
      <c r="A27" s="3">
        <v>44732</v>
      </c>
      <c r="B27" s="3">
        <v>44738</v>
      </c>
      <c r="C27" t="s">
        <v>414</v>
      </c>
      <c r="D27">
        <v>122</v>
      </c>
      <c r="E27">
        <v>5.0000000000000001E-4</v>
      </c>
    </row>
    <row r="28" spans="1:5" x14ac:dyDescent="0.25">
      <c r="A28" s="3">
        <v>44739</v>
      </c>
      <c r="B28" s="3">
        <v>44745</v>
      </c>
      <c r="C28" t="s">
        <v>415</v>
      </c>
      <c r="D28">
        <v>130</v>
      </c>
      <c r="E28">
        <v>5.5000000000000003E-4</v>
      </c>
    </row>
    <row r="29" spans="1:5" x14ac:dyDescent="0.25">
      <c r="A29" s="3">
        <v>44746</v>
      </c>
      <c r="B29" s="3">
        <v>44752</v>
      </c>
      <c r="C29" t="s">
        <v>416</v>
      </c>
      <c r="D29">
        <v>138</v>
      </c>
      <c r="E29">
        <v>6.2E-4</v>
      </c>
    </row>
    <row r="30" spans="1:5" x14ac:dyDescent="0.25">
      <c r="A30" s="3">
        <v>44753</v>
      </c>
      <c r="B30" s="3">
        <v>44759</v>
      </c>
      <c r="C30" t="s">
        <v>417</v>
      </c>
      <c r="D30">
        <v>107</v>
      </c>
      <c r="E30">
        <v>4.6999999999999999E-4</v>
      </c>
    </row>
    <row r="31" spans="1:5" x14ac:dyDescent="0.25">
      <c r="A31" s="3">
        <v>44760</v>
      </c>
      <c r="B31" s="3">
        <v>44766</v>
      </c>
      <c r="C31" t="s">
        <v>418</v>
      </c>
      <c r="D31">
        <v>183</v>
      </c>
      <c r="E31">
        <v>8.0000000000000004E-4</v>
      </c>
    </row>
    <row r="32" spans="1:5" x14ac:dyDescent="0.25">
      <c r="A32" s="3">
        <v>44767</v>
      </c>
      <c r="B32" s="3">
        <v>44773</v>
      </c>
      <c r="C32" t="s">
        <v>419</v>
      </c>
      <c r="D32">
        <v>248</v>
      </c>
      <c r="E32">
        <v>1.1100000000000001E-3</v>
      </c>
    </row>
    <row r="33" spans="1:5" x14ac:dyDescent="0.25">
      <c r="A33" s="3">
        <v>44774</v>
      </c>
      <c r="B33" s="3">
        <v>44780</v>
      </c>
      <c r="C33" t="s">
        <v>420</v>
      </c>
      <c r="D33">
        <v>151</v>
      </c>
      <c r="E33">
        <v>6.8000000000000005E-4</v>
      </c>
    </row>
    <row r="34" spans="1:5" x14ac:dyDescent="0.25">
      <c r="A34" s="3">
        <v>44781</v>
      </c>
      <c r="B34" s="3">
        <v>44787</v>
      </c>
      <c r="C34" t="s">
        <v>421</v>
      </c>
      <c r="D34">
        <v>150</v>
      </c>
      <c r="E34">
        <v>6.6E-4</v>
      </c>
    </row>
    <row r="35" spans="1:5" x14ac:dyDescent="0.25">
      <c r="A35" s="3">
        <v>44788</v>
      </c>
      <c r="B35" s="3">
        <v>44794</v>
      </c>
      <c r="C35" t="s">
        <v>422</v>
      </c>
      <c r="D35">
        <v>201</v>
      </c>
      <c r="E35">
        <v>8.7000000000000001E-4</v>
      </c>
    </row>
    <row r="36" spans="1:5" x14ac:dyDescent="0.25">
      <c r="A36" s="3">
        <v>44795</v>
      </c>
      <c r="B36" s="3">
        <v>44801</v>
      </c>
      <c r="C36" t="s">
        <v>423</v>
      </c>
      <c r="D36">
        <v>145</v>
      </c>
      <c r="E36">
        <v>6.2E-4</v>
      </c>
    </row>
    <row r="37" spans="1:5" x14ac:dyDescent="0.25">
      <c r="A37" s="3">
        <v>44802</v>
      </c>
      <c r="B37" s="3">
        <v>44808</v>
      </c>
      <c r="C37" t="s">
        <v>424</v>
      </c>
      <c r="D37">
        <v>117</v>
      </c>
      <c r="E37">
        <v>4.6999999999999999E-4</v>
      </c>
    </row>
    <row r="38" spans="1:5" x14ac:dyDescent="0.25">
      <c r="A38" s="3">
        <v>44809</v>
      </c>
      <c r="B38" s="3">
        <v>44815</v>
      </c>
      <c r="C38" t="s">
        <v>425</v>
      </c>
      <c r="D38">
        <v>123</v>
      </c>
      <c r="E38">
        <v>4.6000000000000001E-4</v>
      </c>
    </row>
    <row r="39" spans="1:5" x14ac:dyDescent="0.25">
      <c r="A39" s="3">
        <v>44816</v>
      </c>
      <c r="B39" s="3">
        <v>44822</v>
      </c>
      <c r="C39" t="s">
        <v>426</v>
      </c>
      <c r="D39">
        <v>89</v>
      </c>
      <c r="E39">
        <v>3.3E-4</v>
      </c>
    </row>
    <row r="40" spans="1:5" x14ac:dyDescent="0.25">
      <c r="A40" s="3">
        <v>44823</v>
      </c>
      <c r="B40" s="3">
        <v>44829</v>
      </c>
      <c r="C40" t="s">
        <v>427</v>
      </c>
      <c r="D40">
        <v>88</v>
      </c>
      <c r="E40">
        <v>3.2000000000000003E-4</v>
      </c>
    </row>
    <row r="41" spans="1:5" x14ac:dyDescent="0.25">
      <c r="A41" s="3">
        <v>44830</v>
      </c>
      <c r="B41" s="3">
        <v>44836</v>
      </c>
      <c r="C41" t="s">
        <v>428</v>
      </c>
      <c r="D41">
        <v>101</v>
      </c>
      <c r="E41">
        <v>3.6999999999999999E-4</v>
      </c>
    </row>
    <row r="42" spans="1:5" x14ac:dyDescent="0.25">
      <c r="A42" s="3">
        <v>44837</v>
      </c>
      <c r="B42" s="3">
        <v>44843</v>
      </c>
      <c r="C42" t="s">
        <v>429</v>
      </c>
      <c r="D42">
        <v>130</v>
      </c>
      <c r="E42">
        <v>4.8000000000000001E-4</v>
      </c>
    </row>
    <row r="43" spans="1:5" x14ac:dyDescent="0.25">
      <c r="A43" s="3">
        <v>44844</v>
      </c>
      <c r="B43" s="3">
        <v>44850</v>
      </c>
      <c r="C43" t="s">
        <v>430</v>
      </c>
      <c r="D43">
        <v>108</v>
      </c>
      <c r="E43">
        <v>3.8000000000000002E-4</v>
      </c>
    </row>
    <row r="44" spans="1:5" x14ac:dyDescent="0.25">
      <c r="A44" s="3">
        <v>44851</v>
      </c>
      <c r="B44" s="3">
        <v>44857</v>
      </c>
      <c r="C44" t="s">
        <v>431</v>
      </c>
      <c r="D44">
        <v>131</v>
      </c>
      <c r="E44">
        <v>4.4999999999999999E-4</v>
      </c>
    </row>
    <row r="45" spans="1:5" x14ac:dyDescent="0.25">
      <c r="A45" s="3">
        <v>44858</v>
      </c>
      <c r="B45" s="3">
        <v>44864</v>
      </c>
      <c r="C45" t="s">
        <v>432</v>
      </c>
      <c r="D45">
        <v>133</v>
      </c>
      <c r="E45">
        <v>4.6999999999999999E-4</v>
      </c>
    </row>
    <row r="46" spans="1:5" x14ac:dyDescent="0.25">
      <c r="A46" s="3">
        <v>44865</v>
      </c>
      <c r="B46" s="3">
        <v>44871</v>
      </c>
      <c r="C46" t="s">
        <v>433</v>
      </c>
      <c r="D46">
        <v>112</v>
      </c>
      <c r="E46">
        <v>4.0999999999999999E-4</v>
      </c>
    </row>
    <row r="47" spans="1:5" x14ac:dyDescent="0.25">
      <c r="A47" s="3">
        <v>44872</v>
      </c>
      <c r="B47" s="3">
        <v>44878</v>
      </c>
      <c r="C47" t="s">
        <v>434</v>
      </c>
      <c r="D47">
        <v>127</v>
      </c>
      <c r="E47">
        <v>4.4999999999999999E-4</v>
      </c>
    </row>
    <row r="48" spans="1:5" x14ac:dyDescent="0.25">
      <c r="A48" s="3">
        <v>44879</v>
      </c>
      <c r="B48" s="3">
        <v>44885</v>
      </c>
      <c r="C48" t="s">
        <v>435</v>
      </c>
      <c r="D48">
        <v>111</v>
      </c>
      <c r="E48">
        <v>3.6999999999999999E-4</v>
      </c>
    </row>
    <row r="49" spans="1:5" x14ac:dyDescent="0.25">
      <c r="A49" s="3">
        <v>44886</v>
      </c>
      <c r="B49" s="3">
        <v>44892</v>
      </c>
      <c r="C49" t="s">
        <v>436</v>
      </c>
      <c r="D49">
        <v>107</v>
      </c>
      <c r="E49">
        <v>3.4000000000000002E-4</v>
      </c>
    </row>
    <row r="50" spans="1:5" x14ac:dyDescent="0.25">
      <c r="A50" s="3">
        <v>44893</v>
      </c>
      <c r="B50" s="3">
        <v>44899</v>
      </c>
      <c r="C50" t="s">
        <v>437</v>
      </c>
      <c r="D50">
        <v>102</v>
      </c>
      <c r="E50">
        <v>3.3E-4</v>
      </c>
    </row>
    <row r="51" spans="1:5" x14ac:dyDescent="0.25">
      <c r="A51" s="3">
        <v>44900</v>
      </c>
      <c r="B51" s="3">
        <v>44906</v>
      </c>
      <c r="C51" t="s">
        <v>438</v>
      </c>
      <c r="D51">
        <v>120</v>
      </c>
      <c r="E51">
        <v>3.8999999999999999E-4</v>
      </c>
    </row>
    <row r="52" spans="1:5" x14ac:dyDescent="0.25">
      <c r="A52" s="3">
        <v>44907</v>
      </c>
      <c r="B52" s="3">
        <v>44913</v>
      </c>
      <c r="C52" t="s">
        <v>439</v>
      </c>
      <c r="D52">
        <v>114</v>
      </c>
      <c r="E52">
        <v>3.6999999999999999E-4</v>
      </c>
    </row>
    <row r="53" spans="1:5" x14ac:dyDescent="0.25">
      <c r="A53" s="3">
        <v>44914</v>
      </c>
      <c r="B53" s="3">
        <v>44920</v>
      </c>
      <c r="C53" t="s">
        <v>440</v>
      </c>
      <c r="D53">
        <v>111</v>
      </c>
      <c r="E53">
        <v>3.6999999999999999E-4</v>
      </c>
    </row>
    <row r="54" spans="1:5" x14ac:dyDescent="0.25">
      <c r="A54" s="3">
        <v>44921</v>
      </c>
      <c r="B54" s="3">
        <v>44927</v>
      </c>
      <c r="C54" t="s">
        <v>441</v>
      </c>
      <c r="D54">
        <v>76</v>
      </c>
      <c r="E54">
        <v>3.1E-4</v>
      </c>
    </row>
    <row r="55" spans="1:5" x14ac:dyDescent="0.25">
      <c r="A55" s="3">
        <v>44928</v>
      </c>
      <c r="B55" s="3">
        <v>44934</v>
      </c>
      <c r="C55" t="s">
        <v>442</v>
      </c>
      <c r="D55">
        <v>76</v>
      </c>
      <c r="E55">
        <v>3.2000000000000003E-4</v>
      </c>
    </row>
    <row r="56" spans="1:5" x14ac:dyDescent="0.25">
      <c r="A56" s="3">
        <v>44935</v>
      </c>
      <c r="B56" s="3">
        <v>44941</v>
      </c>
      <c r="C56" t="s">
        <v>443</v>
      </c>
      <c r="D56">
        <v>94</v>
      </c>
      <c r="E56">
        <v>3.2000000000000003E-4</v>
      </c>
    </row>
    <row r="57" spans="1:5" x14ac:dyDescent="0.25">
      <c r="A57" s="3">
        <v>44942</v>
      </c>
      <c r="B57" s="3">
        <v>44948</v>
      </c>
      <c r="C57" t="s">
        <v>444</v>
      </c>
      <c r="D57">
        <v>101</v>
      </c>
      <c r="E57">
        <v>3.4000000000000002E-4</v>
      </c>
    </row>
    <row r="58" spans="1:5" x14ac:dyDescent="0.25">
      <c r="A58" s="3">
        <v>44949</v>
      </c>
      <c r="B58" s="3">
        <v>44955</v>
      </c>
      <c r="C58" t="s">
        <v>445</v>
      </c>
      <c r="D58">
        <v>79</v>
      </c>
      <c r="E58">
        <v>2.7E-4</v>
      </c>
    </row>
    <row r="59" spans="1:5" x14ac:dyDescent="0.25">
      <c r="A59" s="3">
        <v>44956</v>
      </c>
      <c r="B59" s="3">
        <v>44962</v>
      </c>
      <c r="C59" t="s">
        <v>446</v>
      </c>
      <c r="D59">
        <v>117</v>
      </c>
      <c r="E59">
        <v>4.0000000000000002E-4</v>
      </c>
    </row>
    <row r="60" spans="1:5" x14ac:dyDescent="0.25">
      <c r="A60" s="3">
        <v>44963</v>
      </c>
      <c r="B60" s="3">
        <v>44969</v>
      </c>
      <c r="C60" t="s">
        <v>447</v>
      </c>
      <c r="D60">
        <v>123</v>
      </c>
      <c r="E60">
        <v>4.2000000000000002E-4</v>
      </c>
    </row>
    <row r="61" spans="1:5" x14ac:dyDescent="0.25">
      <c r="A61" s="3">
        <v>44970</v>
      </c>
      <c r="B61" s="3">
        <v>44976</v>
      </c>
      <c r="C61" t="s">
        <v>448</v>
      </c>
      <c r="D61">
        <v>55</v>
      </c>
      <c r="E61">
        <v>1.8000000000000001E-4</v>
      </c>
    </row>
    <row r="62" spans="1:5" x14ac:dyDescent="0.25">
      <c r="A62" s="3">
        <v>44977</v>
      </c>
      <c r="B62" s="3">
        <v>44983</v>
      </c>
      <c r="C62" t="s">
        <v>449</v>
      </c>
      <c r="D62">
        <v>80</v>
      </c>
      <c r="E62">
        <v>2.9E-4</v>
      </c>
    </row>
    <row r="63" spans="1:5" x14ac:dyDescent="0.25">
      <c r="A63" s="3">
        <v>44984</v>
      </c>
      <c r="B63" s="3">
        <v>44990</v>
      </c>
      <c r="C63" t="s">
        <v>450</v>
      </c>
      <c r="D63">
        <v>148</v>
      </c>
      <c r="E63">
        <v>5.0000000000000001E-4</v>
      </c>
    </row>
    <row r="64" spans="1:5" x14ac:dyDescent="0.25">
      <c r="A64" s="3">
        <v>44991</v>
      </c>
      <c r="B64" s="3">
        <v>44997</v>
      </c>
      <c r="C64" t="s">
        <v>451</v>
      </c>
      <c r="D64">
        <v>94</v>
      </c>
      <c r="E64">
        <v>3.4000000000000002E-4</v>
      </c>
    </row>
    <row r="65" spans="1:5" x14ac:dyDescent="0.25">
      <c r="A65" s="3">
        <v>44998</v>
      </c>
      <c r="B65" s="3">
        <v>45004</v>
      </c>
      <c r="C65" t="s">
        <v>452</v>
      </c>
      <c r="D65">
        <v>115</v>
      </c>
      <c r="E65">
        <v>4.0000000000000002E-4</v>
      </c>
    </row>
    <row r="66" spans="1:5" x14ac:dyDescent="0.25">
      <c r="A66" s="3">
        <v>45005</v>
      </c>
      <c r="B66" s="3">
        <v>45011</v>
      </c>
      <c r="C66" t="s">
        <v>453</v>
      </c>
      <c r="D66">
        <v>123</v>
      </c>
      <c r="E66">
        <v>4.4999999999999999E-4</v>
      </c>
    </row>
    <row r="67" spans="1:5" x14ac:dyDescent="0.25">
      <c r="A67" s="3">
        <v>45012</v>
      </c>
      <c r="B67" s="3">
        <v>45018</v>
      </c>
      <c r="C67" t="s">
        <v>454</v>
      </c>
      <c r="D67">
        <v>126</v>
      </c>
      <c r="E67">
        <v>4.4999999999999999E-4</v>
      </c>
    </row>
    <row r="68" spans="1:5" x14ac:dyDescent="0.25">
      <c r="A68" s="3">
        <v>45019</v>
      </c>
      <c r="B68" s="3">
        <v>45025</v>
      </c>
      <c r="C68" t="s">
        <v>455</v>
      </c>
      <c r="D68">
        <v>144</v>
      </c>
      <c r="E68">
        <v>5.1000000000000004E-4</v>
      </c>
    </row>
    <row r="69" spans="1:5" x14ac:dyDescent="0.25">
      <c r="A69" s="3">
        <v>45026</v>
      </c>
      <c r="B69" s="3">
        <v>45032</v>
      </c>
      <c r="C69" t="s">
        <v>456</v>
      </c>
      <c r="D69">
        <v>135</v>
      </c>
      <c r="E69">
        <v>4.8999999999999998E-4</v>
      </c>
    </row>
    <row r="70" spans="1:5" x14ac:dyDescent="0.25">
      <c r="A70" s="3">
        <v>45033</v>
      </c>
      <c r="B70" s="3">
        <v>45039</v>
      </c>
      <c r="C70" t="s">
        <v>457</v>
      </c>
      <c r="D70">
        <v>144</v>
      </c>
      <c r="E70">
        <v>5.1999999999999995E-4</v>
      </c>
    </row>
    <row r="71" spans="1:5" x14ac:dyDescent="0.25">
      <c r="A71" s="3">
        <v>45040</v>
      </c>
      <c r="B71" s="3">
        <v>45046</v>
      </c>
      <c r="C71" t="s">
        <v>458</v>
      </c>
      <c r="D71">
        <v>135</v>
      </c>
      <c r="E71">
        <v>5.1999999999999995E-4</v>
      </c>
    </row>
    <row r="72" spans="1:5" x14ac:dyDescent="0.25">
      <c r="A72" s="3">
        <v>45047</v>
      </c>
      <c r="B72" s="3">
        <v>45053</v>
      </c>
      <c r="C72" t="s">
        <v>459</v>
      </c>
      <c r="D72">
        <v>109</v>
      </c>
      <c r="E72">
        <v>4.2999999999999999E-4</v>
      </c>
    </row>
    <row r="73" spans="1:5" x14ac:dyDescent="0.25">
      <c r="A73" s="3">
        <v>45054</v>
      </c>
      <c r="B73" s="3">
        <v>45060</v>
      </c>
      <c r="C73" t="s">
        <v>460</v>
      </c>
      <c r="D73">
        <v>107</v>
      </c>
      <c r="E73">
        <v>4.0999999999999999E-4</v>
      </c>
    </row>
    <row r="74" spans="1:5" x14ac:dyDescent="0.25">
      <c r="A74" s="3">
        <v>45061</v>
      </c>
      <c r="B74" s="3">
        <v>45067</v>
      </c>
      <c r="C74" t="s">
        <v>461</v>
      </c>
      <c r="D74">
        <v>138</v>
      </c>
      <c r="E74">
        <v>5.1000000000000004E-4</v>
      </c>
    </row>
    <row r="75" spans="1:5" x14ac:dyDescent="0.25">
      <c r="A75" s="3">
        <v>45068</v>
      </c>
      <c r="B75" s="3">
        <v>45074</v>
      </c>
      <c r="C75" t="s">
        <v>462</v>
      </c>
      <c r="D75">
        <v>133</v>
      </c>
      <c r="E75">
        <v>5.1999999999999995E-4</v>
      </c>
    </row>
    <row r="76" spans="1:5" x14ac:dyDescent="0.25">
      <c r="A76" s="3">
        <v>45075</v>
      </c>
      <c r="B76" s="3">
        <v>45081</v>
      </c>
      <c r="C76" t="s">
        <v>463</v>
      </c>
      <c r="D76">
        <v>147</v>
      </c>
      <c r="E76">
        <v>5.9999999999999995E-4</v>
      </c>
    </row>
    <row r="77" spans="1:5" x14ac:dyDescent="0.25">
      <c r="A77" s="3">
        <v>45082</v>
      </c>
      <c r="B77" s="3">
        <v>45088</v>
      </c>
      <c r="C77" t="s">
        <v>464</v>
      </c>
      <c r="D77">
        <v>105</v>
      </c>
      <c r="E77">
        <v>4.2999999999999999E-4</v>
      </c>
    </row>
    <row r="78" spans="1:5" x14ac:dyDescent="0.25">
      <c r="A78" s="3">
        <v>45089</v>
      </c>
      <c r="B78" s="3">
        <v>45095</v>
      </c>
      <c r="C78" t="s">
        <v>465</v>
      </c>
      <c r="D78">
        <v>139</v>
      </c>
      <c r="E78">
        <v>5.8E-4</v>
      </c>
    </row>
    <row r="79" spans="1:5" x14ac:dyDescent="0.25">
      <c r="A79" s="3">
        <v>45096</v>
      </c>
      <c r="B79" s="3">
        <v>45102</v>
      </c>
      <c r="C79" t="s">
        <v>466</v>
      </c>
      <c r="D79">
        <v>117</v>
      </c>
      <c r="E79">
        <v>4.8000000000000001E-4</v>
      </c>
    </row>
    <row r="80" spans="1:5" x14ac:dyDescent="0.25">
      <c r="A80" s="3">
        <v>45103</v>
      </c>
      <c r="B80" s="3">
        <v>45109</v>
      </c>
      <c r="C80" t="s">
        <v>467</v>
      </c>
      <c r="D80">
        <v>112</v>
      </c>
      <c r="E80">
        <v>4.8000000000000001E-4</v>
      </c>
    </row>
    <row r="81" spans="1:5" x14ac:dyDescent="0.25">
      <c r="A81" s="3">
        <v>45110</v>
      </c>
      <c r="B81" s="3">
        <v>45116</v>
      </c>
      <c r="C81" t="s">
        <v>468</v>
      </c>
      <c r="D81">
        <v>100</v>
      </c>
      <c r="E81">
        <v>4.4999999999999999E-4</v>
      </c>
    </row>
    <row r="82" spans="1:5" x14ac:dyDescent="0.25">
      <c r="A82" s="3">
        <v>45117</v>
      </c>
      <c r="B82" s="3">
        <v>45123</v>
      </c>
      <c r="C82" t="s">
        <v>469</v>
      </c>
      <c r="D82">
        <v>124</v>
      </c>
      <c r="E82">
        <v>5.4000000000000001E-4</v>
      </c>
    </row>
    <row r="83" spans="1:5" x14ac:dyDescent="0.25">
      <c r="A83" s="3">
        <v>45124</v>
      </c>
      <c r="B83" s="3">
        <v>45130</v>
      </c>
      <c r="C83" t="s">
        <v>470</v>
      </c>
      <c r="D83">
        <v>148</v>
      </c>
      <c r="E83">
        <v>6.4999999999999997E-4</v>
      </c>
    </row>
    <row r="84" spans="1:5" x14ac:dyDescent="0.25">
      <c r="A84" s="3">
        <v>45131</v>
      </c>
      <c r="B84" s="3">
        <v>45137</v>
      </c>
      <c r="C84" t="s">
        <v>471</v>
      </c>
      <c r="D84">
        <v>126</v>
      </c>
      <c r="E84">
        <v>5.5999999999999995E-4</v>
      </c>
    </row>
    <row r="85" spans="1:5" x14ac:dyDescent="0.25">
      <c r="A85" s="3">
        <v>45138</v>
      </c>
      <c r="B85" s="3">
        <v>45144</v>
      </c>
      <c r="C85" t="s">
        <v>472</v>
      </c>
      <c r="D85">
        <v>105</v>
      </c>
      <c r="E85">
        <v>4.6999999999999999E-4</v>
      </c>
    </row>
    <row r="86" spans="1:5" x14ac:dyDescent="0.25">
      <c r="A86" s="3">
        <v>45145</v>
      </c>
      <c r="B86" s="3">
        <v>45151</v>
      </c>
      <c r="C86" t="s">
        <v>473</v>
      </c>
      <c r="D86">
        <v>106</v>
      </c>
      <c r="E86">
        <v>4.6999999999999999E-4</v>
      </c>
    </row>
    <row r="87" spans="1:5" x14ac:dyDescent="0.25">
      <c r="A87" s="3">
        <v>45152</v>
      </c>
      <c r="B87" s="3">
        <v>45158</v>
      </c>
      <c r="C87" t="s">
        <v>474</v>
      </c>
      <c r="D87">
        <v>108</v>
      </c>
      <c r="E87">
        <v>4.8000000000000001E-4</v>
      </c>
    </row>
    <row r="88" spans="1:5" x14ac:dyDescent="0.25">
      <c r="A88" s="3">
        <v>45159</v>
      </c>
      <c r="B88" s="3">
        <v>45165</v>
      </c>
      <c r="C88" t="s">
        <v>475</v>
      </c>
      <c r="D88">
        <v>95</v>
      </c>
      <c r="E88">
        <v>4.2000000000000002E-4</v>
      </c>
    </row>
    <row r="89" spans="1:5" x14ac:dyDescent="0.25">
      <c r="A89" s="3">
        <v>45166</v>
      </c>
      <c r="B89" s="3">
        <v>45172</v>
      </c>
      <c r="C89" t="s">
        <v>476</v>
      </c>
      <c r="D89">
        <v>126</v>
      </c>
      <c r="E89">
        <v>5.6999999999999998E-4</v>
      </c>
    </row>
    <row r="90" spans="1:5" x14ac:dyDescent="0.25">
      <c r="A90" s="3">
        <v>45173</v>
      </c>
      <c r="B90" s="3">
        <v>45179</v>
      </c>
      <c r="C90" t="s">
        <v>477</v>
      </c>
      <c r="D90">
        <v>118</v>
      </c>
      <c r="E90">
        <v>4.6999999999999999E-4</v>
      </c>
    </row>
    <row r="91" spans="1:5" x14ac:dyDescent="0.25">
      <c r="A91" s="3">
        <v>45180</v>
      </c>
      <c r="B91" s="3">
        <v>45186</v>
      </c>
      <c r="C91" t="s">
        <v>478</v>
      </c>
      <c r="D91">
        <v>84</v>
      </c>
      <c r="E91">
        <v>3.2000000000000003E-4</v>
      </c>
    </row>
    <row r="92" spans="1:5" x14ac:dyDescent="0.25">
      <c r="A92" s="3">
        <v>45187</v>
      </c>
      <c r="B92" s="3">
        <v>45193</v>
      </c>
      <c r="C92" t="s">
        <v>479</v>
      </c>
      <c r="D92">
        <v>153</v>
      </c>
      <c r="E92">
        <v>5.9000000000000003E-4</v>
      </c>
    </row>
    <row r="93" spans="1:5" x14ac:dyDescent="0.25">
      <c r="A93" s="3">
        <v>45194</v>
      </c>
      <c r="B93" s="3">
        <v>45200</v>
      </c>
      <c r="C93" t="s">
        <v>480</v>
      </c>
      <c r="D93">
        <v>161</v>
      </c>
      <c r="E93">
        <v>5.9999999999999995E-4</v>
      </c>
    </row>
    <row r="94" spans="1:5" x14ac:dyDescent="0.25">
      <c r="A94" s="3">
        <v>45201</v>
      </c>
      <c r="B94" s="3">
        <v>45207</v>
      </c>
      <c r="C94" t="s">
        <v>481</v>
      </c>
      <c r="D94">
        <v>136</v>
      </c>
      <c r="E94">
        <v>5.0000000000000001E-4</v>
      </c>
    </row>
    <row r="95" spans="1:5" x14ac:dyDescent="0.25">
      <c r="A95" s="3">
        <v>45208</v>
      </c>
      <c r="B95" s="3">
        <v>45214</v>
      </c>
      <c r="C95" t="s">
        <v>482</v>
      </c>
      <c r="D95">
        <v>131</v>
      </c>
      <c r="E95">
        <v>4.6999999999999999E-4</v>
      </c>
    </row>
    <row r="96" spans="1:5" x14ac:dyDescent="0.25">
      <c r="A96" s="3">
        <v>45215</v>
      </c>
      <c r="B96" s="3">
        <v>45221</v>
      </c>
      <c r="C96" t="s">
        <v>483</v>
      </c>
      <c r="D96">
        <v>131</v>
      </c>
      <c r="E96">
        <v>4.6000000000000001E-4</v>
      </c>
    </row>
    <row r="97" spans="1:5" x14ac:dyDescent="0.25">
      <c r="A97" s="3">
        <v>45222</v>
      </c>
      <c r="B97" s="3">
        <v>45228</v>
      </c>
      <c r="C97" t="s">
        <v>484</v>
      </c>
      <c r="D97">
        <v>87</v>
      </c>
      <c r="E97">
        <v>3.1E-4</v>
      </c>
    </row>
    <row r="98" spans="1:5" x14ac:dyDescent="0.25">
      <c r="A98" s="3">
        <v>45229</v>
      </c>
      <c r="B98" s="3">
        <v>45235</v>
      </c>
      <c r="C98" t="s">
        <v>485</v>
      </c>
      <c r="D98">
        <v>124</v>
      </c>
      <c r="E98">
        <v>4.8000000000000001E-4</v>
      </c>
    </row>
    <row r="99" spans="1:5" x14ac:dyDescent="0.25">
      <c r="A99" s="3">
        <v>45236</v>
      </c>
      <c r="B99" s="3">
        <v>45242</v>
      </c>
      <c r="C99" t="s">
        <v>486</v>
      </c>
      <c r="D99">
        <v>119</v>
      </c>
      <c r="E99">
        <v>4.2999999999999999E-4</v>
      </c>
    </row>
    <row r="100" spans="1:5" x14ac:dyDescent="0.25">
      <c r="A100" s="3">
        <v>45243</v>
      </c>
      <c r="B100" s="3">
        <v>45249</v>
      </c>
      <c r="C100" t="s">
        <v>487</v>
      </c>
      <c r="D100">
        <v>183</v>
      </c>
      <c r="E100">
        <v>6.4000000000000005E-4</v>
      </c>
    </row>
    <row r="101" spans="1:5" x14ac:dyDescent="0.25">
      <c r="A101" s="3">
        <v>45250</v>
      </c>
      <c r="B101" s="3">
        <v>45256</v>
      </c>
      <c r="C101" t="s">
        <v>488</v>
      </c>
      <c r="D101">
        <v>120</v>
      </c>
      <c r="E101">
        <v>4.0999999999999999E-4</v>
      </c>
    </row>
    <row r="102" spans="1:5" x14ac:dyDescent="0.25">
      <c r="A102" s="3">
        <v>45257</v>
      </c>
      <c r="B102" s="3">
        <v>45263</v>
      </c>
      <c r="C102" t="s">
        <v>489</v>
      </c>
      <c r="D102">
        <v>105</v>
      </c>
      <c r="E102">
        <v>3.6000000000000002E-4</v>
      </c>
    </row>
    <row r="103" spans="1:5" x14ac:dyDescent="0.25">
      <c r="A103" s="3">
        <v>45264</v>
      </c>
      <c r="B103" s="3">
        <v>45270</v>
      </c>
      <c r="C103" t="s">
        <v>490</v>
      </c>
      <c r="D103">
        <v>128</v>
      </c>
      <c r="E103">
        <v>4.4000000000000002E-4</v>
      </c>
    </row>
    <row r="104" spans="1:5" x14ac:dyDescent="0.25">
      <c r="A104" s="3">
        <v>45271</v>
      </c>
      <c r="B104" s="3">
        <v>45277</v>
      </c>
      <c r="C104" t="s">
        <v>491</v>
      </c>
      <c r="D104">
        <v>84</v>
      </c>
      <c r="E104">
        <v>2.9E-4</v>
      </c>
    </row>
    <row r="105" spans="1:5" x14ac:dyDescent="0.25">
      <c r="A105" s="3">
        <v>45278</v>
      </c>
      <c r="B105" s="3">
        <v>45284</v>
      </c>
      <c r="C105" t="s">
        <v>492</v>
      </c>
      <c r="D105">
        <v>97</v>
      </c>
      <c r="E105">
        <v>3.4000000000000002E-4</v>
      </c>
    </row>
    <row r="106" spans="1:5" x14ac:dyDescent="0.25">
      <c r="A106" s="3">
        <v>45285</v>
      </c>
      <c r="B106" s="3">
        <v>45291</v>
      </c>
      <c r="C106" t="s">
        <v>493</v>
      </c>
      <c r="D106">
        <v>81</v>
      </c>
      <c r="E106">
        <v>3.3E-4</v>
      </c>
    </row>
    <row r="107" spans="1:5" x14ac:dyDescent="0.25">
      <c r="A107" s="3">
        <v>45292</v>
      </c>
      <c r="B107" s="3">
        <v>45298</v>
      </c>
      <c r="C107" t="s">
        <v>494</v>
      </c>
      <c r="D107">
        <v>69</v>
      </c>
      <c r="E107">
        <v>3.1E-4</v>
      </c>
    </row>
    <row r="108" spans="1:5" x14ac:dyDescent="0.25">
      <c r="A108" s="3">
        <v>45299</v>
      </c>
      <c r="B108" s="3">
        <v>45305</v>
      </c>
      <c r="C108" t="s">
        <v>495</v>
      </c>
      <c r="D108">
        <v>92</v>
      </c>
      <c r="E108">
        <v>3.3E-4</v>
      </c>
    </row>
    <row r="109" spans="1:5" x14ac:dyDescent="0.25">
      <c r="A109" s="3">
        <v>45306</v>
      </c>
      <c r="B109" s="3">
        <v>45312</v>
      </c>
      <c r="C109" t="s">
        <v>496</v>
      </c>
      <c r="D109">
        <v>118</v>
      </c>
      <c r="E109">
        <v>4.0999999999999999E-4</v>
      </c>
    </row>
    <row r="110" spans="1:5" x14ac:dyDescent="0.25">
      <c r="A110" s="3">
        <v>45313</v>
      </c>
      <c r="B110" s="3">
        <v>45319</v>
      </c>
      <c r="C110" t="s">
        <v>497</v>
      </c>
      <c r="D110">
        <v>165</v>
      </c>
      <c r="E110">
        <v>5.6999999999999998E-4</v>
      </c>
    </row>
    <row r="111" spans="1:5" x14ac:dyDescent="0.25">
      <c r="A111" s="3">
        <v>45320</v>
      </c>
      <c r="B111" s="3">
        <v>45326</v>
      </c>
      <c r="C111" t="s">
        <v>498</v>
      </c>
      <c r="D111">
        <v>111</v>
      </c>
      <c r="E111">
        <v>4.0000000000000002E-4</v>
      </c>
    </row>
    <row r="112" spans="1:5" x14ac:dyDescent="0.25">
      <c r="A112" s="3">
        <v>45327</v>
      </c>
      <c r="B112" s="3">
        <v>45333</v>
      </c>
      <c r="C112" t="s">
        <v>499</v>
      </c>
      <c r="D112">
        <v>127</v>
      </c>
      <c r="E112">
        <v>4.6000000000000001E-4</v>
      </c>
    </row>
    <row r="113" spans="1:5" x14ac:dyDescent="0.25">
      <c r="A113" s="3">
        <v>45334</v>
      </c>
      <c r="B113" s="3">
        <v>45340</v>
      </c>
      <c r="C113" t="s">
        <v>500</v>
      </c>
      <c r="D113">
        <v>142</v>
      </c>
      <c r="E113">
        <v>5.1000000000000004E-4</v>
      </c>
    </row>
    <row r="114" spans="1:5" x14ac:dyDescent="0.25">
      <c r="A114" s="3">
        <v>45341</v>
      </c>
      <c r="B114" s="3">
        <v>45347</v>
      </c>
      <c r="C114" t="s">
        <v>501</v>
      </c>
      <c r="D114">
        <v>107</v>
      </c>
      <c r="E114">
        <v>4.0000000000000002E-4</v>
      </c>
    </row>
    <row r="115" spans="1:5" x14ac:dyDescent="0.25">
      <c r="A115" s="3">
        <v>45348</v>
      </c>
      <c r="B115" s="3">
        <v>45354</v>
      </c>
      <c r="C115" t="s">
        <v>502</v>
      </c>
      <c r="D115">
        <v>171</v>
      </c>
      <c r="E115">
        <v>5.8E-4</v>
      </c>
    </row>
    <row r="116" spans="1:5" x14ac:dyDescent="0.25">
      <c r="A116" s="3">
        <v>45355</v>
      </c>
      <c r="B116" s="3">
        <v>45361</v>
      </c>
      <c r="C116" t="s">
        <v>503</v>
      </c>
      <c r="D116">
        <v>133</v>
      </c>
      <c r="E116">
        <v>4.8999999999999998E-4</v>
      </c>
    </row>
    <row r="117" spans="1:5" x14ac:dyDescent="0.25">
      <c r="A117" s="3">
        <v>45362</v>
      </c>
      <c r="B117" s="3">
        <v>45368</v>
      </c>
      <c r="C117" t="s">
        <v>504</v>
      </c>
      <c r="D117">
        <v>97</v>
      </c>
      <c r="E117">
        <v>3.6000000000000002E-4</v>
      </c>
    </row>
    <row r="118" spans="1:5" x14ac:dyDescent="0.25">
      <c r="A118" s="3">
        <v>45369</v>
      </c>
      <c r="B118" s="3">
        <v>45375</v>
      </c>
      <c r="C118" t="s">
        <v>505</v>
      </c>
      <c r="D118">
        <v>91</v>
      </c>
      <c r="E118">
        <v>3.4000000000000002E-4</v>
      </c>
    </row>
    <row r="119" spans="1:5" x14ac:dyDescent="0.25">
      <c r="A119" s="3">
        <v>45376</v>
      </c>
      <c r="B119" s="3">
        <v>45382</v>
      </c>
      <c r="C119" t="s">
        <v>506</v>
      </c>
      <c r="D119">
        <v>90</v>
      </c>
      <c r="E119">
        <v>3.5E-4</v>
      </c>
    </row>
    <row r="120" spans="1:5" x14ac:dyDescent="0.25">
      <c r="A120" s="3">
        <v>45383</v>
      </c>
      <c r="B120" s="3">
        <v>45389</v>
      </c>
      <c r="C120" t="s">
        <v>507</v>
      </c>
      <c r="D120">
        <v>151</v>
      </c>
      <c r="E120">
        <v>5.5999999999999995E-4</v>
      </c>
    </row>
    <row r="121" spans="1:5" x14ac:dyDescent="0.25">
      <c r="A121" s="3">
        <v>45390</v>
      </c>
      <c r="B121" s="3">
        <v>45396</v>
      </c>
      <c r="C121" t="s">
        <v>508</v>
      </c>
      <c r="D121">
        <v>120</v>
      </c>
      <c r="E121">
        <v>4.6000000000000001E-4</v>
      </c>
    </row>
    <row r="122" spans="1:5" x14ac:dyDescent="0.25">
      <c r="A122" s="3">
        <v>45397</v>
      </c>
      <c r="B122" s="3">
        <v>45403</v>
      </c>
      <c r="C122" t="s">
        <v>509</v>
      </c>
      <c r="D122">
        <v>152</v>
      </c>
      <c r="E122">
        <v>5.9000000000000003E-4</v>
      </c>
    </row>
    <row r="123" spans="1:5" x14ac:dyDescent="0.25">
      <c r="A123" s="3">
        <v>45404</v>
      </c>
      <c r="B123" s="3">
        <v>45410</v>
      </c>
      <c r="C123" t="s">
        <v>510</v>
      </c>
      <c r="D123">
        <v>134</v>
      </c>
      <c r="E123">
        <v>5.2999999999999998E-4</v>
      </c>
    </row>
    <row r="124" spans="1:5" x14ac:dyDescent="0.25">
      <c r="A124" s="3">
        <v>45411</v>
      </c>
      <c r="B124" s="3">
        <v>45417</v>
      </c>
      <c r="C124" t="s">
        <v>511</v>
      </c>
      <c r="D124">
        <v>119</v>
      </c>
      <c r="E124">
        <v>5.1999999999999995E-4</v>
      </c>
    </row>
    <row r="125" spans="1:5" x14ac:dyDescent="0.25">
      <c r="A125" s="3">
        <v>45418</v>
      </c>
      <c r="B125" s="3">
        <v>45424</v>
      </c>
      <c r="C125" t="s">
        <v>512</v>
      </c>
      <c r="D125">
        <v>101</v>
      </c>
      <c r="E125">
        <v>4.0999999999999999E-4</v>
      </c>
    </row>
    <row r="126" spans="1:5" x14ac:dyDescent="0.25">
      <c r="A126" s="3">
        <v>45425</v>
      </c>
      <c r="B126" s="3">
        <v>45431</v>
      </c>
      <c r="C126" t="s">
        <v>513</v>
      </c>
      <c r="D126">
        <v>110</v>
      </c>
      <c r="E126">
        <v>4.2999999999999999E-4</v>
      </c>
    </row>
    <row r="127" spans="1:5" x14ac:dyDescent="0.25">
      <c r="A127" s="3">
        <v>45432</v>
      </c>
      <c r="B127" s="3">
        <v>45438</v>
      </c>
      <c r="C127" t="s">
        <v>514</v>
      </c>
      <c r="D127">
        <v>177</v>
      </c>
      <c r="E127">
        <v>7.3999999999999999E-4</v>
      </c>
    </row>
    <row r="128" spans="1:5" x14ac:dyDescent="0.25">
      <c r="A128" s="3">
        <v>45439</v>
      </c>
      <c r="B128" s="3">
        <v>45445</v>
      </c>
      <c r="C128" t="s">
        <v>515</v>
      </c>
      <c r="D128">
        <v>124</v>
      </c>
      <c r="E128">
        <v>5.4000000000000001E-4</v>
      </c>
    </row>
    <row r="129" spans="1:5" x14ac:dyDescent="0.25">
      <c r="A129" s="3">
        <v>45446</v>
      </c>
      <c r="B129" s="3">
        <v>45452</v>
      </c>
      <c r="C129" t="s">
        <v>516</v>
      </c>
      <c r="D129">
        <v>104</v>
      </c>
      <c r="E129">
        <v>4.4999999999999999E-4</v>
      </c>
    </row>
    <row r="130" spans="1:5" x14ac:dyDescent="0.25">
      <c r="A130" s="3">
        <v>45453</v>
      </c>
      <c r="B130" s="3">
        <v>45459</v>
      </c>
      <c r="C130" t="s">
        <v>517</v>
      </c>
      <c r="D130">
        <v>145</v>
      </c>
      <c r="E130">
        <v>6.7000000000000002E-4</v>
      </c>
    </row>
    <row r="131" spans="1:5" x14ac:dyDescent="0.25">
      <c r="A131" s="3">
        <v>45460</v>
      </c>
      <c r="B131" s="3">
        <v>45466</v>
      </c>
      <c r="C131" t="s">
        <v>518</v>
      </c>
      <c r="D131">
        <v>122</v>
      </c>
      <c r="E131">
        <v>5.4000000000000001E-4</v>
      </c>
    </row>
    <row r="132" spans="1:5" x14ac:dyDescent="0.25">
      <c r="A132" s="3">
        <v>45467</v>
      </c>
      <c r="B132" s="3">
        <v>45473</v>
      </c>
      <c r="C132" t="s">
        <v>519</v>
      </c>
      <c r="D132">
        <v>97</v>
      </c>
      <c r="E132">
        <v>4.4999999999999999E-4</v>
      </c>
    </row>
    <row r="133" spans="1:5" x14ac:dyDescent="0.25">
      <c r="A133" s="3">
        <v>45474</v>
      </c>
      <c r="B133" s="3">
        <v>45480</v>
      </c>
      <c r="C133" t="s">
        <v>520</v>
      </c>
      <c r="D133">
        <v>112</v>
      </c>
      <c r="E133">
        <v>5.4000000000000001E-4</v>
      </c>
    </row>
    <row r="134" spans="1:5" x14ac:dyDescent="0.25">
      <c r="A134" s="3">
        <v>45481</v>
      </c>
      <c r="B134" s="3">
        <v>45487</v>
      </c>
      <c r="C134" t="s">
        <v>521</v>
      </c>
      <c r="D134">
        <v>137</v>
      </c>
      <c r="E134">
        <v>6.7000000000000002E-4</v>
      </c>
    </row>
    <row r="135" spans="1:5" x14ac:dyDescent="0.25">
      <c r="A135" s="3">
        <v>45488</v>
      </c>
      <c r="B135" s="3">
        <v>45494</v>
      </c>
      <c r="C135" t="s">
        <v>522</v>
      </c>
      <c r="D135">
        <v>147</v>
      </c>
      <c r="E135">
        <v>7.2000000000000005E-4</v>
      </c>
    </row>
    <row r="136" spans="1:5" x14ac:dyDescent="0.25">
      <c r="A136" s="3">
        <v>45495</v>
      </c>
      <c r="B136" s="3">
        <v>45501</v>
      </c>
      <c r="C136" t="s">
        <v>523</v>
      </c>
      <c r="D136">
        <v>121</v>
      </c>
      <c r="E136">
        <v>5.6999999999999998E-4</v>
      </c>
    </row>
    <row r="137" spans="1:5" x14ac:dyDescent="0.25">
      <c r="A137" s="3">
        <v>45502</v>
      </c>
      <c r="B137" s="3">
        <v>45508</v>
      </c>
      <c r="C137" t="s">
        <v>524</v>
      </c>
      <c r="D137">
        <v>161</v>
      </c>
      <c r="E137">
        <v>7.6000000000000004E-4</v>
      </c>
    </row>
    <row r="138" spans="1:5" x14ac:dyDescent="0.25">
      <c r="A138" s="3">
        <v>45509</v>
      </c>
      <c r="B138" s="3">
        <v>45515</v>
      </c>
      <c r="C138" t="s">
        <v>525</v>
      </c>
      <c r="D138">
        <v>113</v>
      </c>
      <c r="E138">
        <v>5.1999999999999995E-4</v>
      </c>
    </row>
    <row r="139" spans="1:5" x14ac:dyDescent="0.25">
      <c r="A139" s="3">
        <v>45516</v>
      </c>
      <c r="B139" s="3">
        <v>45522</v>
      </c>
      <c r="C139" t="s">
        <v>526</v>
      </c>
      <c r="D139">
        <v>127</v>
      </c>
      <c r="E139">
        <v>5.9999999999999995E-4</v>
      </c>
    </row>
    <row r="140" spans="1:5" x14ac:dyDescent="0.25">
      <c r="A140" s="3">
        <v>45523</v>
      </c>
      <c r="B140" s="3">
        <v>45529</v>
      </c>
      <c r="C140" t="s">
        <v>527</v>
      </c>
      <c r="D140">
        <v>109</v>
      </c>
      <c r="E140">
        <v>5.2999999999999998E-4</v>
      </c>
    </row>
    <row r="141" spans="1:5" x14ac:dyDescent="0.25">
      <c r="A141" s="3">
        <v>45530</v>
      </c>
      <c r="B141" s="3">
        <v>45536</v>
      </c>
      <c r="C141" t="s">
        <v>528</v>
      </c>
      <c r="D141">
        <v>142</v>
      </c>
      <c r="E141">
        <v>6.7000000000000002E-4</v>
      </c>
    </row>
    <row r="142" spans="1:5" x14ac:dyDescent="0.25">
      <c r="A142" s="3">
        <v>45537</v>
      </c>
      <c r="B142" s="3">
        <v>45543</v>
      </c>
      <c r="C142" t="s">
        <v>529</v>
      </c>
      <c r="D142">
        <v>77</v>
      </c>
      <c r="E142">
        <v>3.6000000000000002E-4</v>
      </c>
    </row>
    <row r="143" spans="1:5" x14ac:dyDescent="0.25">
      <c r="A143" s="3">
        <v>45544</v>
      </c>
      <c r="B143" s="3">
        <v>45550</v>
      </c>
      <c r="C143" t="s">
        <v>530</v>
      </c>
      <c r="D143">
        <v>103</v>
      </c>
      <c r="E143">
        <v>4.4999999999999999E-4</v>
      </c>
    </row>
    <row r="144" spans="1:5" x14ac:dyDescent="0.25">
      <c r="A144" s="3">
        <v>45551</v>
      </c>
      <c r="B144" s="3">
        <v>45557</v>
      </c>
      <c r="C144" t="s">
        <v>531</v>
      </c>
      <c r="D144">
        <v>153</v>
      </c>
      <c r="E144">
        <v>6.4000000000000005E-4</v>
      </c>
    </row>
    <row r="145" spans="1:5" x14ac:dyDescent="0.25">
      <c r="A145" s="3">
        <v>45558</v>
      </c>
      <c r="B145" s="3">
        <v>45564</v>
      </c>
      <c r="C145" t="s">
        <v>532</v>
      </c>
      <c r="D145">
        <v>122</v>
      </c>
      <c r="E145">
        <v>5.0000000000000001E-4</v>
      </c>
    </row>
    <row r="146" spans="1:5" x14ac:dyDescent="0.25">
      <c r="A146" s="3">
        <v>45565</v>
      </c>
      <c r="B146" s="3">
        <v>45571</v>
      </c>
      <c r="C146" t="s">
        <v>533</v>
      </c>
      <c r="D146">
        <v>140</v>
      </c>
      <c r="E146">
        <v>5.5000000000000003E-4</v>
      </c>
    </row>
    <row r="147" spans="1:5" x14ac:dyDescent="0.25">
      <c r="A147" s="3">
        <v>45572</v>
      </c>
      <c r="B147" s="3">
        <v>45578</v>
      </c>
      <c r="C147" t="s">
        <v>534</v>
      </c>
      <c r="D147">
        <v>158</v>
      </c>
      <c r="E147">
        <v>5.9000000000000003E-4</v>
      </c>
    </row>
    <row r="148" spans="1:5" x14ac:dyDescent="0.25">
      <c r="A148" s="3">
        <v>45579</v>
      </c>
      <c r="B148" s="3">
        <v>45585</v>
      </c>
      <c r="C148" t="s">
        <v>535</v>
      </c>
      <c r="D148">
        <v>104</v>
      </c>
      <c r="E148">
        <v>4.0999999999999999E-4</v>
      </c>
    </row>
    <row r="149" spans="1:5" x14ac:dyDescent="0.25">
      <c r="A149" s="3">
        <v>45586</v>
      </c>
      <c r="B149" s="3">
        <v>45592</v>
      </c>
      <c r="C149" t="s">
        <v>536</v>
      </c>
      <c r="D149">
        <v>112</v>
      </c>
      <c r="E149">
        <v>4.0000000000000002E-4</v>
      </c>
    </row>
    <row r="150" spans="1:5" x14ac:dyDescent="0.25">
      <c r="A150" s="3">
        <v>45593</v>
      </c>
      <c r="B150" s="3">
        <v>45599</v>
      </c>
      <c r="C150" t="s">
        <v>537</v>
      </c>
      <c r="D150">
        <v>124</v>
      </c>
      <c r="E150">
        <v>4.6000000000000001E-4</v>
      </c>
    </row>
    <row r="151" spans="1:5" x14ac:dyDescent="0.25">
      <c r="A151" s="3">
        <v>45600</v>
      </c>
      <c r="B151" s="3">
        <v>45606</v>
      </c>
      <c r="C151" t="s">
        <v>538</v>
      </c>
      <c r="D151">
        <v>91</v>
      </c>
      <c r="E151">
        <v>3.2000000000000003E-4</v>
      </c>
    </row>
    <row r="152" spans="1:5" x14ac:dyDescent="0.25">
      <c r="A152" s="3">
        <v>45607</v>
      </c>
      <c r="B152" s="3">
        <v>45613</v>
      </c>
      <c r="C152" t="s">
        <v>539</v>
      </c>
      <c r="D152">
        <v>67</v>
      </c>
      <c r="E152">
        <v>2.3000000000000001E-4</v>
      </c>
    </row>
    <row r="153" spans="1:5" x14ac:dyDescent="0.25">
      <c r="A153" s="3">
        <v>45614</v>
      </c>
      <c r="B153" s="3">
        <v>45620</v>
      </c>
      <c r="C153" t="s">
        <v>540</v>
      </c>
      <c r="D153">
        <v>74</v>
      </c>
      <c r="E153">
        <v>2.5000000000000001E-4</v>
      </c>
    </row>
    <row r="154" spans="1:5" x14ac:dyDescent="0.25">
      <c r="A154" s="3">
        <v>45621</v>
      </c>
      <c r="B154" s="3">
        <v>45627</v>
      </c>
      <c r="C154" t="s">
        <v>541</v>
      </c>
      <c r="D154">
        <v>93</v>
      </c>
      <c r="E154">
        <v>2.9999999999999997E-4</v>
      </c>
    </row>
    <row r="155" spans="1:5" x14ac:dyDescent="0.25">
      <c r="A155" s="3">
        <v>45628</v>
      </c>
      <c r="B155" s="3">
        <v>45634</v>
      </c>
      <c r="C155" t="s">
        <v>542</v>
      </c>
      <c r="D155">
        <v>111</v>
      </c>
      <c r="E155">
        <v>3.8000000000000002E-4</v>
      </c>
    </row>
    <row r="156" spans="1:5" x14ac:dyDescent="0.25">
      <c r="A156" s="3">
        <v>45635</v>
      </c>
      <c r="B156" s="3">
        <v>45641</v>
      </c>
      <c r="C156" t="s">
        <v>543</v>
      </c>
      <c r="D156">
        <v>76</v>
      </c>
      <c r="E156">
        <v>2.5999999999999998E-4</v>
      </c>
    </row>
    <row r="157" spans="1:5" x14ac:dyDescent="0.25">
      <c r="A157" s="3">
        <v>45642</v>
      </c>
      <c r="B157" s="3">
        <v>45648</v>
      </c>
      <c r="C157" t="s">
        <v>544</v>
      </c>
      <c r="D157">
        <v>122</v>
      </c>
      <c r="E157">
        <v>4.0000000000000002E-4</v>
      </c>
    </row>
    <row r="158" spans="1:5" x14ac:dyDescent="0.25">
      <c r="A158" s="3">
        <v>45649</v>
      </c>
      <c r="B158" s="3">
        <v>45655</v>
      </c>
      <c r="C158" t="s">
        <v>545</v>
      </c>
      <c r="D158">
        <v>58</v>
      </c>
      <c r="E158">
        <v>2.0000000000000001E-4</v>
      </c>
    </row>
    <row r="159" spans="1:5" x14ac:dyDescent="0.25">
      <c r="A159" s="3">
        <v>45656</v>
      </c>
      <c r="B159" s="3">
        <v>45662</v>
      </c>
      <c r="C159" t="s">
        <v>546</v>
      </c>
      <c r="D159">
        <v>45</v>
      </c>
      <c r="E159">
        <v>2.0000000000000001E-4</v>
      </c>
    </row>
    <row r="160" spans="1:5" x14ac:dyDescent="0.25">
      <c r="A160" s="3">
        <v>45663</v>
      </c>
      <c r="B160" s="3">
        <v>45669</v>
      </c>
      <c r="C160" t="s">
        <v>547</v>
      </c>
      <c r="D160">
        <v>123</v>
      </c>
      <c r="E160">
        <v>4.6999999999999999E-4</v>
      </c>
    </row>
    <row r="161" spans="1:5" x14ac:dyDescent="0.25">
      <c r="A161" s="3">
        <v>45670</v>
      </c>
      <c r="B161" s="3">
        <v>45676</v>
      </c>
      <c r="C161" t="s">
        <v>548</v>
      </c>
      <c r="D161">
        <v>73</v>
      </c>
      <c r="E161">
        <v>2.4000000000000001E-4</v>
      </c>
    </row>
    <row r="162" spans="1:5" x14ac:dyDescent="0.25">
      <c r="A162" s="3">
        <v>45677</v>
      </c>
      <c r="B162" s="3">
        <v>45683</v>
      </c>
      <c r="C162" t="s">
        <v>549</v>
      </c>
      <c r="D162">
        <v>103</v>
      </c>
      <c r="E162">
        <v>3.4000000000000002E-4</v>
      </c>
    </row>
    <row r="163" spans="1:5" x14ac:dyDescent="0.25">
      <c r="A163" s="3">
        <v>45684</v>
      </c>
      <c r="B163" s="3">
        <v>45690</v>
      </c>
      <c r="C163" t="s">
        <v>550</v>
      </c>
      <c r="D163">
        <v>109</v>
      </c>
      <c r="E163">
        <v>3.6000000000000002E-4</v>
      </c>
    </row>
    <row r="164" spans="1:5" x14ac:dyDescent="0.25">
      <c r="A164" s="3">
        <v>45691</v>
      </c>
      <c r="B164" s="3">
        <v>45697</v>
      </c>
      <c r="C164" t="s">
        <v>551</v>
      </c>
      <c r="D164">
        <v>117</v>
      </c>
      <c r="E164">
        <v>3.8000000000000002E-4</v>
      </c>
    </row>
    <row r="165" spans="1:5" x14ac:dyDescent="0.25">
      <c r="A165" s="3">
        <v>45698</v>
      </c>
      <c r="B165" s="3">
        <v>45704</v>
      </c>
      <c r="C165" t="s">
        <v>552</v>
      </c>
      <c r="D165">
        <v>159</v>
      </c>
      <c r="E165">
        <v>5.2999999999999998E-4</v>
      </c>
    </row>
    <row r="166" spans="1:5" x14ac:dyDescent="0.25">
      <c r="A166" s="3">
        <v>45705</v>
      </c>
      <c r="B166" s="3">
        <v>45711</v>
      </c>
      <c r="C166" t="s">
        <v>553</v>
      </c>
      <c r="D166">
        <v>70</v>
      </c>
      <c r="E166">
        <v>2.4000000000000001E-4</v>
      </c>
    </row>
    <row r="167" spans="1:5" x14ac:dyDescent="0.25">
      <c r="A167" s="3">
        <v>45712</v>
      </c>
      <c r="B167" s="3">
        <v>45718</v>
      </c>
      <c r="C167" t="s">
        <v>554</v>
      </c>
      <c r="D167">
        <v>109</v>
      </c>
      <c r="E167">
        <v>3.8999999999999999E-4</v>
      </c>
    </row>
    <row r="168" spans="1:5" x14ac:dyDescent="0.25">
      <c r="A168" s="3">
        <v>45719</v>
      </c>
      <c r="B168" s="3">
        <v>45725</v>
      </c>
      <c r="C168" t="s">
        <v>555</v>
      </c>
      <c r="D168">
        <v>70</v>
      </c>
      <c r="E168">
        <v>2.5000000000000001E-4</v>
      </c>
    </row>
    <row r="169" spans="1:5" x14ac:dyDescent="0.25">
      <c r="A169" s="3">
        <v>45726</v>
      </c>
      <c r="B169" s="3">
        <v>45732</v>
      </c>
      <c r="C169" t="s">
        <v>556</v>
      </c>
      <c r="D169">
        <v>76</v>
      </c>
      <c r="E169">
        <v>2.7E-4</v>
      </c>
    </row>
    <row r="170" spans="1:5" x14ac:dyDescent="0.25">
      <c r="A170" s="3">
        <v>45733</v>
      </c>
      <c r="B170" s="3">
        <v>45739</v>
      </c>
      <c r="C170" t="s">
        <v>557</v>
      </c>
      <c r="D170">
        <v>152</v>
      </c>
      <c r="E170">
        <v>5.5999999999999995E-4</v>
      </c>
    </row>
    <row r="171" spans="1:5" x14ac:dyDescent="0.25">
      <c r="A171" s="3">
        <v>45740</v>
      </c>
      <c r="B171" s="3">
        <v>45746</v>
      </c>
      <c r="C171" t="s">
        <v>558</v>
      </c>
      <c r="D171">
        <v>191</v>
      </c>
      <c r="E171">
        <v>7.5000000000000002E-4</v>
      </c>
    </row>
    <row r="172" spans="1:5" x14ac:dyDescent="0.25">
      <c r="A172" s="3">
        <v>45747</v>
      </c>
      <c r="B172" s="3">
        <v>45753</v>
      </c>
      <c r="C172" t="s">
        <v>559</v>
      </c>
      <c r="D172">
        <v>188</v>
      </c>
      <c r="E172">
        <v>6.9999999999999999E-4</v>
      </c>
    </row>
    <row r="173" spans="1:5" x14ac:dyDescent="0.25">
      <c r="A173" s="3">
        <v>45754</v>
      </c>
      <c r="B173" s="3">
        <v>45760</v>
      </c>
      <c r="C173" t="s">
        <v>560</v>
      </c>
      <c r="D173">
        <v>151</v>
      </c>
      <c r="E173">
        <v>5.6999999999999998E-4</v>
      </c>
    </row>
    <row r="174" spans="1:5" x14ac:dyDescent="0.25">
      <c r="A174" s="3">
        <v>45761</v>
      </c>
      <c r="B174" s="3">
        <v>45767</v>
      </c>
      <c r="C174" t="s">
        <v>561</v>
      </c>
      <c r="D174">
        <v>114</v>
      </c>
      <c r="E174">
        <v>4.4999999999999999E-4</v>
      </c>
    </row>
    <row r="175" spans="1:5" x14ac:dyDescent="0.25">
      <c r="A175" s="3">
        <v>45768</v>
      </c>
      <c r="B175" s="3">
        <v>45774</v>
      </c>
      <c r="C175" t="s">
        <v>562</v>
      </c>
      <c r="D175">
        <v>110</v>
      </c>
      <c r="E175">
        <v>4.2000000000000002E-4</v>
      </c>
    </row>
    <row r="176" spans="1:5" x14ac:dyDescent="0.25">
      <c r="A176" s="3">
        <v>45775</v>
      </c>
      <c r="B176" s="3">
        <v>45781</v>
      </c>
      <c r="C176" t="s">
        <v>563</v>
      </c>
      <c r="D176">
        <v>61</v>
      </c>
      <c r="E176">
        <v>2.5999999999999998E-4</v>
      </c>
    </row>
    <row r="177" spans="1:5" x14ac:dyDescent="0.25">
      <c r="A177" s="3">
        <v>45782</v>
      </c>
      <c r="B177" s="3">
        <v>45788</v>
      </c>
      <c r="C177" t="s">
        <v>564</v>
      </c>
      <c r="D177">
        <v>66</v>
      </c>
      <c r="E177">
        <v>2.9E-4</v>
      </c>
    </row>
    <row r="178" spans="1:5" x14ac:dyDescent="0.25">
      <c r="A178" s="3">
        <v>45789</v>
      </c>
      <c r="B178" s="3">
        <v>45795</v>
      </c>
      <c r="C178" t="s">
        <v>565</v>
      </c>
      <c r="D178">
        <v>75</v>
      </c>
      <c r="E178">
        <v>2.9999999999999997E-4</v>
      </c>
    </row>
    <row r="179" spans="1:5" x14ac:dyDescent="0.25">
      <c r="A179" s="3">
        <v>45796</v>
      </c>
      <c r="B179" s="3">
        <v>45802</v>
      </c>
      <c r="C179" t="s">
        <v>566</v>
      </c>
      <c r="D179">
        <v>127</v>
      </c>
      <c r="E179">
        <v>5.2999999999999998E-4</v>
      </c>
    </row>
    <row r="180" spans="1:5" x14ac:dyDescent="0.25">
      <c r="A180" s="3">
        <v>45803</v>
      </c>
      <c r="B180" s="3">
        <v>45809</v>
      </c>
      <c r="C180" t="s">
        <v>567</v>
      </c>
      <c r="D180">
        <v>104</v>
      </c>
      <c r="E180">
        <v>4.6999999999999999E-4</v>
      </c>
    </row>
    <row r="181" spans="1:5" x14ac:dyDescent="0.25">
      <c r="A181" s="3">
        <v>45810</v>
      </c>
      <c r="B181" s="3">
        <v>45816</v>
      </c>
      <c r="C181" t="s">
        <v>568</v>
      </c>
      <c r="D181">
        <v>129</v>
      </c>
      <c r="E181">
        <v>5.6999999999999998E-4</v>
      </c>
    </row>
    <row r="182" spans="1:5" x14ac:dyDescent="0.25">
      <c r="A182" s="3">
        <v>45817</v>
      </c>
      <c r="B182" s="3">
        <v>45823</v>
      </c>
      <c r="C182" t="s">
        <v>569</v>
      </c>
      <c r="D182">
        <v>75</v>
      </c>
      <c r="E182">
        <v>3.3E-4</v>
      </c>
    </row>
    <row r="183" spans="1:5" x14ac:dyDescent="0.25">
      <c r="A183" s="3">
        <v>45824</v>
      </c>
      <c r="B183" s="3">
        <v>45830</v>
      </c>
      <c r="C183" t="s">
        <v>570</v>
      </c>
      <c r="D183">
        <v>127</v>
      </c>
      <c r="E183">
        <v>5.1999999999999995E-4</v>
      </c>
    </row>
    <row r="184" spans="1:5" x14ac:dyDescent="0.25">
      <c r="A184" s="3">
        <v>45831</v>
      </c>
      <c r="B184" s="3">
        <v>45837</v>
      </c>
      <c r="C184" t="s">
        <v>571</v>
      </c>
      <c r="D184">
        <v>132</v>
      </c>
      <c r="E184">
        <v>5.5000000000000003E-4</v>
      </c>
    </row>
    <row r="185" spans="1:5" x14ac:dyDescent="0.25">
      <c r="A185" s="3">
        <v>45838</v>
      </c>
      <c r="B185" s="3">
        <v>45844</v>
      </c>
      <c r="C185" t="s">
        <v>572</v>
      </c>
      <c r="D185">
        <v>134</v>
      </c>
      <c r="E185">
        <v>5.9000000000000003E-4</v>
      </c>
    </row>
    <row r="186" spans="1:5" x14ac:dyDescent="0.25">
      <c r="A186" s="3">
        <v>45845</v>
      </c>
      <c r="B186" s="3">
        <v>45851</v>
      </c>
      <c r="C186" t="s">
        <v>573</v>
      </c>
      <c r="D186">
        <v>134</v>
      </c>
      <c r="E186">
        <v>6.2E-4</v>
      </c>
    </row>
    <row r="187" spans="1:5" x14ac:dyDescent="0.25">
      <c r="A187" s="3">
        <v>45852</v>
      </c>
      <c r="B187" s="3">
        <v>45858</v>
      </c>
      <c r="C187" t="s">
        <v>574</v>
      </c>
      <c r="D187">
        <v>137</v>
      </c>
      <c r="E187">
        <v>6.2E-4</v>
      </c>
    </row>
    <row r="188" spans="1:5" x14ac:dyDescent="0.25">
      <c r="A188" s="3">
        <v>45859</v>
      </c>
      <c r="B188" s="3">
        <v>45865</v>
      </c>
      <c r="C188" t="s">
        <v>575</v>
      </c>
      <c r="D188">
        <v>85</v>
      </c>
      <c r="E188">
        <v>3.8000000000000002E-4</v>
      </c>
    </row>
    <row r="189" spans="1:5" x14ac:dyDescent="0.25">
      <c r="A189" s="3">
        <v>45866</v>
      </c>
      <c r="B189" s="3">
        <v>45872</v>
      </c>
      <c r="C189" t="s">
        <v>576</v>
      </c>
      <c r="D189">
        <v>87</v>
      </c>
      <c r="E189">
        <v>3.8999999999999999E-4</v>
      </c>
    </row>
    <row r="190" spans="1:5" x14ac:dyDescent="0.25">
      <c r="A190" s="3">
        <v>45873</v>
      </c>
      <c r="B190" s="3">
        <v>45879</v>
      </c>
      <c r="C190" t="s">
        <v>577</v>
      </c>
      <c r="D190">
        <v>59</v>
      </c>
      <c r="E190">
        <v>2.5999999999999998E-4</v>
      </c>
    </row>
    <row r="191" spans="1:5" x14ac:dyDescent="0.25">
      <c r="A191" s="3">
        <v>45880</v>
      </c>
      <c r="B191" s="3">
        <v>45886</v>
      </c>
      <c r="C191" t="s">
        <v>578</v>
      </c>
      <c r="D191">
        <v>83</v>
      </c>
      <c r="E191">
        <v>3.6000000000000002E-4</v>
      </c>
    </row>
    <row r="192" spans="1:5" x14ac:dyDescent="0.25">
      <c r="A192" s="3">
        <v>45887</v>
      </c>
      <c r="B192" s="3">
        <v>45893</v>
      </c>
      <c r="C192" t="s">
        <v>579</v>
      </c>
      <c r="D192">
        <v>81</v>
      </c>
      <c r="E192">
        <v>3.6000000000000002E-4</v>
      </c>
    </row>
    <row r="193" spans="1:5" x14ac:dyDescent="0.25">
      <c r="A193" s="3">
        <v>45894</v>
      </c>
      <c r="B193" s="3">
        <v>45900</v>
      </c>
      <c r="C193" t="s">
        <v>580</v>
      </c>
      <c r="D193">
        <v>83</v>
      </c>
      <c r="E193">
        <v>3.6000000000000002E-4</v>
      </c>
    </row>
    <row r="194" spans="1:5" x14ac:dyDescent="0.25">
      <c r="A194" s="3">
        <v>45901</v>
      </c>
      <c r="B194" s="3">
        <v>45907</v>
      </c>
      <c r="C194" t="s">
        <v>581</v>
      </c>
      <c r="D194">
        <v>108</v>
      </c>
      <c r="E194">
        <v>4.4999999999999999E-4</v>
      </c>
    </row>
    <row r="195" spans="1:5" x14ac:dyDescent="0.25">
      <c r="A195" s="3">
        <v>45908</v>
      </c>
      <c r="B195" s="3">
        <v>45914</v>
      </c>
      <c r="C195" t="s">
        <v>582</v>
      </c>
      <c r="D195">
        <v>107</v>
      </c>
      <c r="E195">
        <v>4.2999999999999999E-4</v>
      </c>
    </row>
    <row r="196" spans="1:5" x14ac:dyDescent="0.25">
      <c r="A196" s="3">
        <v>45915</v>
      </c>
      <c r="B196" s="3">
        <v>45921</v>
      </c>
      <c r="C196" t="s">
        <v>583</v>
      </c>
      <c r="D196">
        <v>59</v>
      </c>
      <c r="E196">
        <v>2.3000000000000001E-4</v>
      </c>
    </row>
    <row r="197" spans="1:5" x14ac:dyDescent="0.25">
      <c r="A197" s="3">
        <v>45922</v>
      </c>
      <c r="B197" s="3">
        <v>45928</v>
      </c>
      <c r="C197" t="s">
        <v>584</v>
      </c>
      <c r="D197">
        <v>90</v>
      </c>
      <c r="E197">
        <v>3.4000000000000002E-4</v>
      </c>
    </row>
    <row r="198" spans="1:5" x14ac:dyDescent="0.25">
      <c r="A198" s="3">
        <v>45929</v>
      </c>
      <c r="B198" s="3">
        <v>45935</v>
      </c>
      <c r="C198" t="s">
        <v>585</v>
      </c>
      <c r="D198">
        <v>84</v>
      </c>
      <c r="E198">
        <v>3.3E-4</v>
      </c>
    </row>
    <row r="199" spans="1:5" x14ac:dyDescent="0.25">
      <c r="A199" s="3">
        <v>45936</v>
      </c>
      <c r="B199" s="3">
        <v>45942</v>
      </c>
      <c r="C199" t="s">
        <v>586</v>
      </c>
      <c r="D199">
        <v>125</v>
      </c>
      <c r="E199">
        <v>4.8000000000000001E-4</v>
      </c>
    </row>
    <row r="200" spans="1:5" x14ac:dyDescent="0.25">
      <c r="A200" s="3">
        <v>45943</v>
      </c>
      <c r="B200" s="3">
        <v>45949</v>
      </c>
      <c r="C200" t="s">
        <v>587</v>
      </c>
      <c r="D200">
        <v>114</v>
      </c>
      <c r="E200">
        <v>4.2000000000000002E-4</v>
      </c>
    </row>
    <row r="201" spans="1:5" x14ac:dyDescent="0.25">
      <c r="A201" s="3">
        <v>45950</v>
      </c>
      <c r="B201" s="3">
        <v>45956</v>
      </c>
      <c r="C201" t="s">
        <v>588</v>
      </c>
      <c r="D201">
        <v>124</v>
      </c>
      <c r="E201">
        <v>4.4999999999999999E-4</v>
      </c>
    </row>
    <row r="202" spans="1:5" x14ac:dyDescent="0.25">
      <c r="A202" s="3">
        <v>45957</v>
      </c>
      <c r="B202" s="3">
        <v>45963</v>
      </c>
      <c r="C202" t="s">
        <v>589</v>
      </c>
      <c r="D202">
        <v>107</v>
      </c>
      <c r="E202">
        <v>4.0000000000000002E-4</v>
      </c>
    </row>
    <row r="203" spans="1:5" x14ac:dyDescent="0.25">
      <c r="A203" s="3">
        <v>45964</v>
      </c>
      <c r="B203" s="3">
        <v>45970</v>
      </c>
      <c r="C203" t="s">
        <v>590</v>
      </c>
      <c r="D203">
        <v>90</v>
      </c>
      <c r="E203">
        <v>3.6000000000000002E-4</v>
      </c>
    </row>
    <row r="204" spans="1:5" x14ac:dyDescent="0.25">
      <c r="A204" s="3">
        <v>45971</v>
      </c>
      <c r="B204" s="3">
        <v>45977</v>
      </c>
      <c r="C204" t="s">
        <v>591</v>
      </c>
      <c r="D204">
        <v>95</v>
      </c>
      <c r="E204">
        <v>3.5E-4</v>
      </c>
    </row>
    <row r="205" spans="1:5" x14ac:dyDescent="0.25">
      <c r="A205" s="3">
        <v>45978</v>
      </c>
      <c r="B205" s="3">
        <v>45984</v>
      </c>
      <c r="C205" t="s">
        <v>592</v>
      </c>
      <c r="D205">
        <v>108</v>
      </c>
      <c r="E205">
        <v>3.8999999999999999E-4</v>
      </c>
    </row>
    <row r="206" spans="1:5" x14ac:dyDescent="0.25">
      <c r="A206" s="3">
        <v>45985</v>
      </c>
      <c r="B206" s="3">
        <v>45991</v>
      </c>
      <c r="C206" t="s">
        <v>593</v>
      </c>
      <c r="D206">
        <v>129</v>
      </c>
      <c r="E206">
        <v>4.6999999999999999E-4</v>
      </c>
    </row>
    <row r="207" spans="1:5" x14ac:dyDescent="0.25">
      <c r="A207" s="3">
        <v>45992</v>
      </c>
      <c r="B207" s="3">
        <v>45998</v>
      </c>
      <c r="C207" t="s">
        <v>594</v>
      </c>
      <c r="D207">
        <v>85</v>
      </c>
      <c r="E207">
        <v>3.1E-4</v>
      </c>
    </row>
    <row r="208" spans="1:5" x14ac:dyDescent="0.25">
      <c r="A208" s="3">
        <v>45999</v>
      </c>
      <c r="B208" s="3">
        <v>46005</v>
      </c>
      <c r="C208" t="s">
        <v>595</v>
      </c>
      <c r="D208">
        <v>52</v>
      </c>
      <c r="E208">
        <v>1.9000000000000001E-4</v>
      </c>
    </row>
    <row r="209" spans="1:5" x14ac:dyDescent="0.25">
      <c r="A209" s="3">
        <v>46006</v>
      </c>
      <c r="B209" s="3">
        <v>46012</v>
      </c>
      <c r="C209" t="s">
        <v>596</v>
      </c>
      <c r="D209">
        <v>66</v>
      </c>
      <c r="E209">
        <v>2.5999999999999998E-4</v>
      </c>
    </row>
    <row r="210" spans="1:5" x14ac:dyDescent="0.25">
      <c r="A210" s="3">
        <v>46013</v>
      </c>
      <c r="B210" s="3">
        <v>46019</v>
      </c>
      <c r="C210" t="s">
        <v>597</v>
      </c>
      <c r="D210">
        <v>60</v>
      </c>
      <c r="E210">
        <v>2.5000000000000001E-4</v>
      </c>
    </row>
    <row r="211" spans="1:5" x14ac:dyDescent="0.25">
      <c r="A211" s="3">
        <v>46020</v>
      </c>
      <c r="B211" s="3">
        <v>46026</v>
      </c>
      <c r="C211" t="s">
        <v>598</v>
      </c>
      <c r="D211">
        <v>41</v>
      </c>
      <c r="E211">
        <v>2.1000000000000001E-4</v>
      </c>
    </row>
    <row r="212" spans="1:5" x14ac:dyDescent="0.25">
      <c r="A212" s="3">
        <v>46027</v>
      </c>
      <c r="B212" s="3">
        <v>46033</v>
      </c>
      <c r="C212" t="s">
        <v>599</v>
      </c>
      <c r="D212">
        <v>70</v>
      </c>
      <c r="E212">
        <v>3.5E-4</v>
      </c>
    </row>
    <row r="213" spans="1:5" x14ac:dyDescent="0.25">
      <c r="A213" s="3">
        <v>46034</v>
      </c>
      <c r="B213" s="3">
        <v>46040</v>
      </c>
      <c r="C213" t="s">
        <v>600</v>
      </c>
      <c r="D213">
        <v>118</v>
      </c>
      <c r="E213">
        <v>5.0000000000000001E-4</v>
      </c>
    </row>
    <row r="214" spans="1:5" x14ac:dyDescent="0.25">
      <c r="A214" s="3">
        <v>46041</v>
      </c>
      <c r="B214" s="3">
        <v>46047</v>
      </c>
      <c r="C214" t="s">
        <v>601</v>
      </c>
      <c r="D214">
        <v>91</v>
      </c>
      <c r="E214">
        <v>3.6999999999999999E-4</v>
      </c>
    </row>
    <row r="215" spans="1:5" x14ac:dyDescent="0.25">
      <c r="A215" s="3">
        <v>46048</v>
      </c>
      <c r="B215" s="3">
        <v>46054</v>
      </c>
      <c r="C215" t="s">
        <v>602</v>
      </c>
      <c r="D215">
        <v>60</v>
      </c>
      <c r="E215">
        <v>2.5000000000000001E-4</v>
      </c>
    </row>
    <row r="216" spans="1:5" x14ac:dyDescent="0.25">
      <c r="A216" s="3">
        <v>46055</v>
      </c>
      <c r="B216" s="3">
        <v>46061</v>
      </c>
      <c r="C216" t="s">
        <v>603</v>
      </c>
      <c r="D216">
        <v>48</v>
      </c>
      <c r="E216">
        <v>2.0000000000000001E-4</v>
      </c>
    </row>
    <row r="217" spans="1:5" x14ac:dyDescent="0.25">
      <c r="A217" s="3">
        <v>46062</v>
      </c>
      <c r="B217" s="3">
        <v>46068</v>
      </c>
      <c r="C217" t="s">
        <v>604</v>
      </c>
      <c r="D217">
        <v>98</v>
      </c>
      <c r="E217">
        <v>4.2000000000000002E-4</v>
      </c>
    </row>
    <row r="218" spans="1:5" x14ac:dyDescent="0.25">
      <c r="A218" s="3">
        <v>46069</v>
      </c>
      <c r="B218" s="3">
        <v>46075</v>
      </c>
      <c r="C218" t="s">
        <v>605</v>
      </c>
      <c r="D218">
        <v>108</v>
      </c>
      <c r="E218">
        <v>4.8000000000000001E-4</v>
      </c>
    </row>
    <row r="219" spans="1:5" x14ac:dyDescent="0.25">
      <c r="A219" s="3">
        <v>46076</v>
      </c>
      <c r="B219" s="3">
        <v>46082</v>
      </c>
      <c r="C219" t="s">
        <v>606</v>
      </c>
      <c r="D219">
        <v>80</v>
      </c>
      <c r="E219">
        <v>3.6000000000000002E-4</v>
      </c>
    </row>
    <row r="220" spans="1:5" x14ac:dyDescent="0.25">
      <c r="A220" s="3">
        <v>46083</v>
      </c>
      <c r="B220" s="3">
        <v>46089</v>
      </c>
      <c r="C220" t="s">
        <v>607</v>
      </c>
      <c r="D220">
        <v>74</v>
      </c>
      <c r="E220">
        <v>3.4000000000000002E-4</v>
      </c>
    </row>
    <row r="221" spans="1:5" x14ac:dyDescent="0.25">
      <c r="A221" s="3">
        <v>46090</v>
      </c>
      <c r="B221" s="3">
        <v>46096</v>
      </c>
      <c r="C221" t="s">
        <v>608</v>
      </c>
      <c r="D221">
        <v>78</v>
      </c>
      <c r="E221">
        <v>3.1E-4</v>
      </c>
    </row>
    <row r="222" spans="1:5" x14ac:dyDescent="0.25">
      <c r="A222" s="3">
        <v>46097</v>
      </c>
      <c r="B222" s="3">
        <v>46103</v>
      </c>
      <c r="C222" t="s">
        <v>609</v>
      </c>
      <c r="D222">
        <v>141</v>
      </c>
      <c r="E222">
        <v>5.4000000000000001E-4</v>
      </c>
    </row>
    <row r="223" spans="1:5" x14ac:dyDescent="0.25">
      <c r="A223" s="3">
        <v>46104</v>
      </c>
      <c r="B223" s="3">
        <v>46110</v>
      </c>
      <c r="C223" t="s">
        <v>610</v>
      </c>
      <c r="D223">
        <v>91</v>
      </c>
      <c r="E223">
        <v>3.6000000000000002E-4</v>
      </c>
    </row>
    <row r="224" spans="1:5" x14ac:dyDescent="0.25">
      <c r="A224" s="3">
        <v>46111</v>
      </c>
      <c r="B224" s="3">
        <v>46117</v>
      </c>
      <c r="C224" t="s">
        <v>611</v>
      </c>
      <c r="D224">
        <v>110</v>
      </c>
      <c r="E224">
        <v>4.4999999999999999E-4</v>
      </c>
    </row>
    <row r="225" spans="1:5" x14ac:dyDescent="0.25">
      <c r="A225" s="3">
        <v>46118</v>
      </c>
      <c r="B225" s="3">
        <v>46124</v>
      </c>
      <c r="C225" t="s">
        <v>612</v>
      </c>
      <c r="D225">
        <v>103</v>
      </c>
      <c r="E225">
        <v>4.0000000000000002E-4</v>
      </c>
    </row>
    <row r="226" spans="1:5" x14ac:dyDescent="0.25">
      <c r="A226" s="3">
        <v>46125</v>
      </c>
      <c r="B226" s="3">
        <v>46131</v>
      </c>
      <c r="C226" t="s">
        <v>613</v>
      </c>
      <c r="D226">
        <v>80</v>
      </c>
      <c r="E226">
        <v>3.2000000000000003E-4</v>
      </c>
    </row>
    <row r="227" spans="1:5" x14ac:dyDescent="0.25">
      <c r="A227" s="3">
        <v>46132</v>
      </c>
      <c r="B227" s="3">
        <v>46138</v>
      </c>
      <c r="C227" t="s">
        <v>614</v>
      </c>
      <c r="D227">
        <v>71</v>
      </c>
      <c r="E227">
        <v>2.7E-4</v>
      </c>
    </row>
    <row r="228" spans="1:5" x14ac:dyDescent="0.25">
      <c r="A228" s="3">
        <v>46139</v>
      </c>
      <c r="B228" s="3">
        <v>46145</v>
      </c>
      <c r="C228" t="s">
        <v>615</v>
      </c>
      <c r="D228">
        <v>119</v>
      </c>
      <c r="E228">
        <v>5.0000000000000001E-4</v>
      </c>
    </row>
    <row r="229" spans="1:5" x14ac:dyDescent="0.25">
      <c r="A229" s="3">
        <v>46146</v>
      </c>
      <c r="B229" s="3">
        <v>46152</v>
      </c>
      <c r="C229" t="s">
        <v>616</v>
      </c>
      <c r="D229">
        <v>97</v>
      </c>
      <c r="E229">
        <v>4.4999999999999999E-4</v>
      </c>
    </row>
    <row r="230" spans="1:5" x14ac:dyDescent="0.25">
      <c r="A230" s="3">
        <v>46153</v>
      </c>
      <c r="B230" s="3">
        <v>46159</v>
      </c>
      <c r="C230" t="s">
        <v>617</v>
      </c>
      <c r="D230">
        <v>110</v>
      </c>
      <c r="E230">
        <v>4.8000000000000001E-4</v>
      </c>
    </row>
    <row r="231" spans="1:5" x14ac:dyDescent="0.25">
      <c r="A231" s="3">
        <v>46160</v>
      </c>
      <c r="B231" s="3">
        <v>46166</v>
      </c>
      <c r="C231" t="s">
        <v>618</v>
      </c>
      <c r="D231">
        <v>102</v>
      </c>
      <c r="E231">
        <v>4.4000000000000002E-4</v>
      </c>
    </row>
    <row r="232" spans="1:5" x14ac:dyDescent="0.25">
      <c r="A232" s="3">
        <v>46167</v>
      </c>
      <c r="B232" s="3">
        <v>46173</v>
      </c>
      <c r="C232" t="s">
        <v>619</v>
      </c>
      <c r="D232">
        <v>126</v>
      </c>
      <c r="E232">
        <v>5.2999999999999998E-4</v>
      </c>
    </row>
    <row r="233" spans="1:5" x14ac:dyDescent="0.25">
      <c r="A233" s="3">
        <v>46174</v>
      </c>
      <c r="B233" s="3">
        <v>46180</v>
      </c>
      <c r="C233" t="s">
        <v>620</v>
      </c>
      <c r="D233">
        <v>158</v>
      </c>
      <c r="E233">
        <v>6.6E-4</v>
      </c>
    </row>
    <row r="234" spans="1:5" x14ac:dyDescent="0.25">
      <c r="A234" s="3">
        <v>46181</v>
      </c>
      <c r="B234" s="3">
        <v>46187</v>
      </c>
      <c r="C234" t="s">
        <v>621</v>
      </c>
      <c r="D234">
        <v>158</v>
      </c>
      <c r="E234">
        <v>6.9999999999999999E-4</v>
      </c>
    </row>
    <row r="235" spans="1:5" x14ac:dyDescent="0.25">
      <c r="A235" s="3">
        <v>46188</v>
      </c>
      <c r="B235" s="3">
        <v>46194</v>
      </c>
      <c r="C235" t="s">
        <v>622</v>
      </c>
      <c r="D235">
        <v>151</v>
      </c>
      <c r="E235">
        <v>6.4000000000000005E-4</v>
      </c>
    </row>
    <row r="236" spans="1:5" x14ac:dyDescent="0.25">
      <c r="A236" s="3">
        <v>46195</v>
      </c>
      <c r="B236" s="3">
        <v>46201</v>
      </c>
      <c r="C236" t="s">
        <v>623</v>
      </c>
      <c r="D236">
        <v>95</v>
      </c>
      <c r="E236">
        <v>4.0000000000000002E-4</v>
      </c>
    </row>
    <row r="237" spans="1:5" x14ac:dyDescent="0.25">
      <c r="A237" s="3">
        <v>46202</v>
      </c>
      <c r="B237" s="3">
        <v>46208</v>
      </c>
      <c r="C237" t="s">
        <v>624</v>
      </c>
      <c r="D237">
        <v>138</v>
      </c>
      <c r="E237">
        <v>6.2E-4</v>
      </c>
    </row>
    <row r="238" spans="1:5" x14ac:dyDescent="0.25">
      <c r="A238" s="3">
        <v>46209</v>
      </c>
      <c r="B238" s="3">
        <v>46215</v>
      </c>
      <c r="C238" t="s">
        <v>625</v>
      </c>
      <c r="D238">
        <v>124</v>
      </c>
      <c r="E238">
        <v>5.5000000000000003E-4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Динамика</vt:lpstr>
      <vt:lpstr>Дашборд</vt:lpstr>
      <vt:lpstr>Недельная сводка</vt:lpstr>
      <vt:lpstr>Исходник — лиды</vt:lpstr>
      <vt:lpstr>Исходник — Wordstat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Тарасов</dc:creator>
  <cp:lastModifiedBy>Владимир Тарасов</cp:lastModifiedBy>
  <dcterms:created xsi:type="dcterms:W3CDTF">2026-07-20T08:04:16Z</dcterms:created>
  <dcterms:modified xsi:type="dcterms:W3CDTF">2026-07-20T08:30:57Z</dcterms:modified>
</cp:coreProperties>
</file>