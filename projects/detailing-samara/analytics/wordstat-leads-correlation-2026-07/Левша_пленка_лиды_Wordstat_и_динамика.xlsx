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"/>
    </mc:Choice>
  </mc:AlternateContent>
  <xr:revisionPtr revIDLastSave="0" documentId="13_ncr:1_{059B54D4-EE03-42C4-BB75-D4FA1F038745}" xr6:coauthVersionLast="40" xr6:coauthVersionMax="40" xr10:uidLastSave="{00000000-0000-0000-0000-000000000000}"/>
  <bookViews>
    <workbookView xWindow="0" yWindow="0" windowWidth="20055" windowHeight="12990" activeTab="2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44" i="3"/>
  <c r="G116" i="3"/>
  <c r="G188" i="3"/>
  <c r="E5" i="3"/>
  <c r="E6" i="3"/>
  <c r="E7" i="3"/>
  <c r="E8" i="3"/>
  <c r="G8" i="3" s="1"/>
  <c r="E9" i="3"/>
  <c r="E10" i="3"/>
  <c r="E11" i="3"/>
  <c r="E12" i="3"/>
  <c r="E13" i="3"/>
  <c r="G13" i="3" s="1"/>
  <c r="E14" i="3"/>
  <c r="E15" i="3"/>
  <c r="E16" i="3"/>
  <c r="E17" i="3"/>
  <c r="E18" i="3"/>
  <c r="E19" i="3"/>
  <c r="E20" i="3"/>
  <c r="G20" i="3" s="1"/>
  <c r="E21" i="3"/>
  <c r="E22" i="3"/>
  <c r="E23" i="3"/>
  <c r="E24" i="3"/>
  <c r="E25" i="3"/>
  <c r="G25" i="3" s="1"/>
  <c r="E26" i="3"/>
  <c r="E27" i="3"/>
  <c r="E28" i="3"/>
  <c r="E29" i="3"/>
  <c r="E30" i="3"/>
  <c r="E31" i="3"/>
  <c r="E32" i="3"/>
  <c r="G32" i="3" s="1"/>
  <c r="E33" i="3"/>
  <c r="E34" i="3"/>
  <c r="E35" i="3"/>
  <c r="E36" i="3"/>
  <c r="E37" i="3"/>
  <c r="G37" i="3" s="1"/>
  <c r="E38" i="3"/>
  <c r="E39" i="3"/>
  <c r="E40" i="3"/>
  <c r="E41" i="3"/>
  <c r="E42" i="3"/>
  <c r="E43" i="3"/>
  <c r="E44" i="3"/>
  <c r="E45" i="3"/>
  <c r="E46" i="3"/>
  <c r="E47" i="3"/>
  <c r="E48" i="3"/>
  <c r="E49" i="3"/>
  <c r="G49" i="3" s="1"/>
  <c r="E50" i="3"/>
  <c r="E51" i="3"/>
  <c r="E52" i="3"/>
  <c r="E53" i="3"/>
  <c r="E54" i="3"/>
  <c r="E55" i="3"/>
  <c r="E56" i="3"/>
  <c r="G56" i="3" s="1"/>
  <c r="E57" i="3"/>
  <c r="E58" i="3"/>
  <c r="E59" i="3"/>
  <c r="E60" i="3"/>
  <c r="E61" i="3"/>
  <c r="G61" i="3" s="1"/>
  <c r="E62" i="3"/>
  <c r="E63" i="3"/>
  <c r="E64" i="3"/>
  <c r="E65" i="3"/>
  <c r="E66" i="3"/>
  <c r="E67" i="3"/>
  <c r="E68" i="3"/>
  <c r="G68" i="3" s="1"/>
  <c r="E69" i="3"/>
  <c r="E70" i="3"/>
  <c r="E71" i="3"/>
  <c r="E72" i="3"/>
  <c r="E73" i="3"/>
  <c r="G73" i="3" s="1"/>
  <c r="E74" i="3"/>
  <c r="E75" i="3"/>
  <c r="E76" i="3"/>
  <c r="E77" i="3"/>
  <c r="E78" i="3"/>
  <c r="E79" i="3"/>
  <c r="E80" i="3"/>
  <c r="G80" i="3" s="1"/>
  <c r="E81" i="3"/>
  <c r="E82" i="3"/>
  <c r="E83" i="3"/>
  <c r="E84" i="3"/>
  <c r="E85" i="3"/>
  <c r="G85" i="3" s="1"/>
  <c r="E86" i="3"/>
  <c r="E87" i="3"/>
  <c r="E88" i="3"/>
  <c r="E89" i="3"/>
  <c r="E90" i="3"/>
  <c r="E91" i="3"/>
  <c r="E92" i="3"/>
  <c r="G92" i="3" s="1"/>
  <c r="E93" i="3"/>
  <c r="E94" i="3"/>
  <c r="E95" i="3"/>
  <c r="E96" i="3"/>
  <c r="E97" i="3"/>
  <c r="G97" i="3" s="1"/>
  <c r="E98" i="3"/>
  <c r="E99" i="3"/>
  <c r="E100" i="3"/>
  <c r="E101" i="3"/>
  <c r="E102" i="3"/>
  <c r="E103" i="3"/>
  <c r="E104" i="3"/>
  <c r="G104" i="3" s="1"/>
  <c r="E105" i="3"/>
  <c r="E106" i="3"/>
  <c r="E107" i="3"/>
  <c r="E108" i="3"/>
  <c r="E109" i="3"/>
  <c r="G109" i="3" s="1"/>
  <c r="E110" i="3"/>
  <c r="E111" i="3"/>
  <c r="E112" i="3"/>
  <c r="E113" i="3"/>
  <c r="E114" i="3"/>
  <c r="E115" i="3"/>
  <c r="E116" i="3"/>
  <c r="E117" i="3"/>
  <c r="E118" i="3"/>
  <c r="E119" i="3"/>
  <c r="E120" i="3"/>
  <c r="E121" i="3"/>
  <c r="G121" i="3" s="1"/>
  <c r="E122" i="3"/>
  <c r="E123" i="3"/>
  <c r="E124" i="3"/>
  <c r="E125" i="3"/>
  <c r="E126" i="3"/>
  <c r="E127" i="3"/>
  <c r="E128" i="3"/>
  <c r="G128" i="3" s="1"/>
  <c r="E129" i="3"/>
  <c r="E130" i="3"/>
  <c r="E131" i="3"/>
  <c r="E132" i="3"/>
  <c r="E133" i="3"/>
  <c r="G133" i="3" s="1"/>
  <c r="E134" i="3"/>
  <c r="E135" i="3"/>
  <c r="E136" i="3"/>
  <c r="E137" i="3"/>
  <c r="E138" i="3"/>
  <c r="E139" i="3"/>
  <c r="E140" i="3"/>
  <c r="G140" i="3" s="1"/>
  <c r="E141" i="3"/>
  <c r="E142" i="3"/>
  <c r="E143" i="3"/>
  <c r="E144" i="3"/>
  <c r="E145" i="3"/>
  <c r="G145" i="3" s="1"/>
  <c r="E146" i="3"/>
  <c r="E147" i="3"/>
  <c r="E148" i="3"/>
  <c r="E149" i="3"/>
  <c r="E150" i="3"/>
  <c r="E151" i="3"/>
  <c r="E152" i="3"/>
  <c r="G152" i="3" s="1"/>
  <c r="E153" i="3"/>
  <c r="E154" i="3"/>
  <c r="E155" i="3"/>
  <c r="E156" i="3"/>
  <c r="E157" i="3"/>
  <c r="G157" i="3" s="1"/>
  <c r="E158" i="3"/>
  <c r="E159" i="3"/>
  <c r="E160" i="3"/>
  <c r="E161" i="3"/>
  <c r="E162" i="3"/>
  <c r="E163" i="3"/>
  <c r="E164" i="3"/>
  <c r="G164" i="3" s="1"/>
  <c r="E165" i="3"/>
  <c r="E166" i="3"/>
  <c r="E167" i="3"/>
  <c r="E168" i="3"/>
  <c r="E169" i="3"/>
  <c r="G169" i="3" s="1"/>
  <c r="E170" i="3"/>
  <c r="E171" i="3"/>
  <c r="E172" i="3"/>
  <c r="E173" i="3"/>
  <c r="E174" i="3"/>
  <c r="E175" i="3"/>
  <c r="E176" i="3"/>
  <c r="G176" i="3" s="1"/>
  <c r="E177" i="3"/>
  <c r="E178" i="3"/>
  <c r="E179" i="3"/>
  <c r="E180" i="3"/>
  <c r="E181" i="3"/>
  <c r="G181" i="3" s="1"/>
  <c r="E182" i="3"/>
  <c r="E183" i="3"/>
  <c r="E184" i="3"/>
  <c r="E185" i="3"/>
  <c r="E186" i="3"/>
  <c r="E187" i="3"/>
  <c r="E188" i="3"/>
  <c r="E189" i="3"/>
  <c r="E190" i="3"/>
  <c r="E191" i="3"/>
  <c r="E192" i="3"/>
  <c r="E193" i="3"/>
  <c r="G193" i="3" s="1"/>
  <c r="E194" i="3"/>
  <c r="E195" i="3"/>
  <c r="E196" i="3"/>
  <c r="E197" i="3"/>
  <c r="E198" i="3"/>
  <c r="E199" i="3"/>
  <c r="E200" i="3"/>
  <c r="E201" i="3"/>
  <c r="E202" i="3"/>
  <c r="E203" i="3"/>
  <c r="E204" i="3"/>
  <c r="E205" i="3"/>
  <c r="G205" i="3" s="1"/>
  <c r="E206" i="3"/>
  <c r="E207" i="3"/>
  <c r="E208" i="3"/>
  <c r="E209" i="3"/>
  <c r="E210" i="3"/>
  <c r="E211" i="3"/>
  <c r="E212" i="3"/>
  <c r="E213" i="3"/>
  <c r="E214" i="3"/>
  <c r="E215" i="3"/>
  <c r="E216" i="3"/>
  <c r="E217" i="3"/>
  <c r="G217" i="3" s="1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G200" i="3" s="1"/>
  <c r="D201" i="3"/>
  <c r="D202" i="3"/>
  <c r="D203" i="3"/>
  <c r="D204" i="3"/>
  <c r="D205" i="3"/>
  <c r="D206" i="3"/>
  <c r="D207" i="3"/>
  <c r="D208" i="3"/>
  <c r="D209" i="3"/>
  <c r="D210" i="3"/>
  <c r="D211" i="3"/>
  <c r="D212" i="3"/>
  <c r="G212" i="3" s="1"/>
  <c r="D213" i="3"/>
  <c r="D214" i="3"/>
  <c r="D215" i="3"/>
  <c r="D216" i="3"/>
  <c r="D217" i="3"/>
  <c r="D218" i="3"/>
  <c r="D219" i="3"/>
  <c r="D220" i="3"/>
  <c r="D221" i="3"/>
  <c r="D222" i="3"/>
  <c r="D223" i="3"/>
  <c r="D224" i="3"/>
  <c r="G224" i="3" s="1"/>
  <c r="D225" i="3"/>
  <c r="D226" i="3"/>
  <c r="D227" i="3"/>
  <c r="D228" i="3"/>
  <c r="D229" i="3"/>
  <c r="D230" i="3"/>
  <c r="D231" i="3"/>
  <c r="D232" i="3"/>
  <c r="D233" i="3"/>
  <c r="D234" i="3"/>
  <c r="D235" i="3"/>
  <c r="D236" i="3"/>
  <c r="G236" i="3" s="1"/>
  <c r="D237" i="3"/>
  <c r="D238" i="3"/>
  <c r="D239" i="3"/>
  <c r="D240" i="3"/>
  <c r="D241" i="3"/>
  <c r="G233" i="3" l="1"/>
  <c r="G221" i="3"/>
  <c r="G209" i="3"/>
  <c r="G197" i="3"/>
  <c r="G185" i="3"/>
  <c r="G173" i="3"/>
  <c r="G161" i="3"/>
  <c r="G149" i="3"/>
  <c r="G137" i="3"/>
  <c r="G125" i="3"/>
  <c r="G113" i="3"/>
  <c r="G101" i="3"/>
  <c r="G89" i="3"/>
  <c r="G77" i="3"/>
  <c r="G65" i="3"/>
  <c r="G53" i="3"/>
  <c r="G41" i="3"/>
  <c r="G29" i="3"/>
  <c r="G17" i="3"/>
  <c r="B11" i="4"/>
  <c r="C11" i="4" s="1"/>
  <c r="B10" i="4"/>
  <c r="C10" i="4" s="1"/>
  <c r="G232" i="3"/>
  <c r="G220" i="3"/>
  <c r="G208" i="3"/>
  <c r="G196" i="3"/>
  <c r="G184" i="3"/>
  <c r="G172" i="3"/>
  <c r="G160" i="3"/>
  <c r="G148" i="3"/>
  <c r="G136" i="3"/>
  <c r="G124" i="3"/>
  <c r="G112" i="3"/>
  <c r="G100" i="3"/>
  <c r="G88" i="3"/>
  <c r="G76" i="3"/>
  <c r="G64" i="3"/>
  <c r="G52" i="3"/>
  <c r="G40" i="3"/>
  <c r="G28" i="3"/>
  <c r="G16" i="3"/>
  <c r="G231" i="3"/>
  <c r="G219" i="3"/>
  <c r="G207" i="3"/>
  <c r="G195" i="3"/>
  <c r="G183" i="3"/>
  <c r="G171" i="3"/>
  <c r="G159" i="3"/>
  <c r="G147" i="3"/>
  <c r="G135" i="3"/>
  <c r="G123" i="3"/>
  <c r="G111" i="3"/>
  <c r="G99" i="3"/>
  <c r="G87" i="3"/>
  <c r="G75" i="3"/>
  <c r="G63" i="3"/>
  <c r="G51" i="3"/>
  <c r="G39" i="3"/>
  <c r="G27" i="3"/>
  <c r="G15" i="3"/>
  <c r="A5" i="4"/>
  <c r="G230" i="3"/>
  <c r="G218" i="3"/>
  <c r="G206" i="3"/>
  <c r="G194" i="3"/>
  <c r="G182" i="3"/>
  <c r="G170" i="3"/>
  <c r="G158" i="3"/>
  <c r="G146" i="3"/>
  <c r="G134" i="3"/>
  <c r="G122" i="3"/>
  <c r="G110" i="3"/>
  <c r="G98" i="3"/>
  <c r="G86" i="3"/>
  <c r="G74" i="3"/>
  <c r="G62" i="3"/>
  <c r="G50" i="3"/>
  <c r="G38" i="3"/>
  <c r="G26" i="3"/>
  <c r="G14" i="3"/>
  <c r="G240" i="3"/>
  <c r="G228" i="3"/>
  <c r="G216" i="3"/>
  <c r="G204" i="3"/>
  <c r="G192" i="3"/>
  <c r="G180" i="3"/>
  <c r="G168" i="3"/>
  <c r="G156" i="3"/>
  <c r="G144" i="3"/>
  <c r="G132" i="3"/>
  <c r="G120" i="3"/>
  <c r="G108" i="3"/>
  <c r="G96" i="3"/>
  <c r="G84" i="3"/>
  <c r="G72" i="3"/>
  <c r="G60" i="3"/>
  <c r="G48" i="3"/>
  <c r="G36" i="3"/>
  <c r="G24" i="3"/>
  <c r="G12" i="3"/>
  <c r="G239" i="3"/>
  <c r="G227" i="3"/>
  <c r="G215" i="3"/>
  <c r="G203" i="3"/>
  <c r="G191" i="3"/>
  <c r="G179" i="3"/>
  <c r="G167" i="3"/>
  <c r="G155" i="3"/>
  <c r="G143" i="3"/>
  <c r="G131" i="3"/>
  <c r="G119" i="3"/>
  <c r="G107" i="3"/>
  <c r="G95" i="3"/>
  <c r="G83" i="3"/>
  <c r="G71" i="3"/>
  <c r="G59" i="3"/>
  <c r="G47" i="3"/>
  <c r="G35" i="3"/>
  <c r="G23" i="3"/>
  <c r="G11" i="3"/>
  <c r="G241" i="3"/>
  <c r="G229" i="3"/>
  <c r="G238" i="3"/>
  <c r="G226" i="3"/>
  <c r="G214" i="3"/>
  <c r="G202" i="3"/>
  <c r="G190" i="3"/>
  <c r="G178" i="3"/>
  <c r="G166" i="3"/>
  <c r="G154" i="3"/>
  <c r="G142" i="3"/>
  <c r="G130" i="3"/>
  <c r="G118" i="3"/>
  <c r="G106" i="3"/>
  <c r="G94" i="3"/>
  <c r="G82" i="3"/>
  <c r="G70" i="3"/>
  <c r="G58" i="3"/>
  <c r="G46" i="3"/>
  <c r="G34" i="3"/>
  <c r="G22" i="3"/>
  <c r="G10" i="3"/>
  <c r="G237" i="3"/>
  <c r="G225" i="3"/>
  <c r="G213" i="3"/>
  <c r="G201" i="3"/>
  <c r="G189" i="3"/>
  <c r="G177" i="3"/>
  <c r="G165" i="3"/>
  <c r="G153" i="3"/>
  <c r="G141" i="3"/>
  <c r="G129" i="3"/>
  <c r="G117" i="3"/>
  <c r="G105" i="3"/>
  <c r="G93" i="3"/>
  <c r="G81" i="3"/>
  <c r="G69" i="3"/>
  <c r="G57" i="3"/>
  <c r="G45" i="3"/>
  <c r="G33" i="3"/>
  <c r="G21" i="3"/>
  <c r="G9" i="3"/>
  <c r="G235" i="3"/>
  <c r="G223" i="3"/>
  <c r="G211" i="3"/>
  <c r="G199" i="3"/>
  <c r="G187" i="3"/>
  <c r="G175" i="3"/>
  <c r="G163" i="3"/>
  <c r="G151" i="3"/>
  <c r="G139" i="3"/>
  <c r="G127" i="3"/>
  <c r="G115" i="3"/>
  <c r="G103" i="3"/>
  <c r="G91" i="3"/>
  <c r="G79" i="3"/>
  <c r="G67" i="3"/>
  <c r="G55" i="3"/>
  <c r="G43" i="3"/>
  <c r="G31" i="3"/>
  <c r="G19" i="3"/>
  <c r="G7" i="3"/>
  <c r="G234" i="3"/>
  <c r="G222" i="3"/>
  <c r="G210" i="3"/>
  <c r="G198" i="3"/>
  <c r="G186" i="3"/>
  <c r="G174" i="3"/>
  <c r="G162" i="3"/>
  <c r="G150" i="3"/>
  <c r="G138" i="3"/>
  <c r="G126" i="3"/>
  <c r="G114" i="3"/>
  <c r="G102" i="3"/>
  <c r="G90" i="3"/>
  <c r="G78" i="3"/>
  <c r="G66" i="3"/>
  <c r="G54" i="3"/>
  <c r="G42" i="3"/>
  <c r="G30" i="3"/>
  <c r="G18" i="3"/>
  <c r="G6" i="3"/>
  <c r="G5" i="3"/>
  <c r="D5" i="4"/>
</calcChain>
</file>

<file path=xl/sharedStrings.xml><?xml version="1.0" encoding="utf-8"?>
<sst xmlns="http://schemas.openxmlformats.org/spreadsheetml/2006/main" count="21989" uniqueCount="5528">
  <si>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</si>
  <si>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</si>
  <si>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</si>
  <si>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</si>
  <si>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</si>
  <si>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</si>
  <si>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</si>
  <si>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</si>
  <si>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</si>
  <si>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</si>
  <si>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</si>
  <si>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</si>
  <si>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</si>
  <si>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</si>
  <si>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</si>
  <si>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</si>
  <si>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</si>
  <si>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</si>
  <si>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</si>
  <si>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</si>
  <si>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</si>
  <si>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</si>
  <si>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</si>
  <si>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</si>
  <si>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</si>
  <si>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</si>
  <si>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 xml:space="preserve">консультация по пленке </t>
  </si>
  <si>
    <t>Звонок</t>
  </si>
  <si>
    <t>Качественный лид</t>
  </si>
  <si>
    <t>Богдан Клименко</t>
  </si>
  <si>
    <t xml:space="preserve">лада веста чёрная </t>
  </si>
  <si>
    <t>Александр Шушкин</t>
  </si>
  <si>
    <t xml:space="preserve">притемнить фары </t>
  </si>
  <si>
    <t xml:space="preserve">плёнка </t>
  </si>
  <si>
    <t>yandex</t>
  </si>
  <si>
    <t>cpc</t>
  </si>
  <si>
    <t>Обтяжка автомобиля пленкой.mobile.Елшанское сельское поселение</t>
  </si>
  <si>
    <t>5OCLwgMZHeY38wXEctOA</t>
  </si>
  <si>
    <t>Самара</t>
  </si>
  <si>
    <t xml:space="preserve">пленка и тонировка атермалка </t>
  </si>
  <si>
    <t>google</t>
  </si>
  <si>
    <t>organic</t>
  </si>
  <si>
    <t>(none)</t>
  </si>
  <si>
    <t>1SKG5fQDcPkdOTh682F0</t>
  </si>
  <si>
    <t>Ox2cqqcN9g7kBRM3bEYK</t>
  </si>
  <si>
    <t xml:space="preserve">фары на Фере оклеить </t>
  </si>
  <si>
    <t>Веб-сайт</t>
  </si>
  <si>
    <t>тимур</t>
  </si>
  <si>
    <t>levsha-group.ru</t>
  </si>
  <si>
    <t>/</t>
  </si>
  <si>
    <t>b9TUL2DuFwRzjOEx8DUP</t>
  </si>
  <si>
    <t>Воронеж</t>
  </si>
  <si>
    <t xml:space="preserve">Зона рисков нива тревел </t>
  </si>
  <si>
    <t>В работе</t>
  </si>
  <si>
    <t>Алексей Торгашëв</t>
  </si>
  <si>
    <t>Пленка стандарт с бампером Лисян</t>
  </si>
  <si>
    <t>Виктор Худяков</t>
  </si>
  <si>
    <t>закатать крышу чёрной плёнкой / молчит</t>
  </si>
  <si>
    <t>Avito - Левша-Сервис открытая линия</t>
  </si>
  <si>
    <t>Игорь</t>
  </si>
  <si>
    <t xml:space="preserve">Сергей - Авито - Левша-Сервис открытая линия / веду диалог на авито </t>
  </si>
  <si>
    <t>Сергей</t>
  </si>
  <si>
    <t xml:space="preserve">БМВ 3 ф30 в цветную нарды-грей / узнавал цены </t>
  </si>
  <si>
    <t>Оклейка капота соболя с принтом</t>
  </si>
  <si>
    <t>Обтяжка автомобиля пленкой.mobile.Орск</t>
  </si>
  <si>
    <t>mlwar5b9UMGJBmnIn83w</t>
  </si>
  <si>
    <t>Сочи</t>
  </si>
  <si>
    <t xml:space="preserve">Джили ситирей зоны риска </t>
  </si>
  <si>
    <t>оклейки крыши лада Гранта</t>
  </si>
  <si>
    <t>FOG</t>
  </si>
  <si>
    <t>AUTO</t>
  </si>
  <si>
    <t>Оклеить крышу оптима в черный глянец / чат</t>
  </si>
  <si>
    <t>Александр</t>
  </si>
  <si>
    <t>Яна Баринова - Открытая линия Левша</t>
  </si>
  <si>
    <t>ВКонтакте - Открытая линия Левша</t>
  </si>
  <si>
    <t>Клиенту ответили на вопрос</t>
  </si>
  <si>
    <t>Яна</t>
  </si>
  <si>
    <t>Баринова</t>
  </si>
  <si>
    <t>темный полик тигуан на фонари узновал цену</t>
  </si>
  <si>
    <t xml:space="preserve">узновал по пленке на капот </t>
  </si>
  <si>
    <t>Лида Левша</t>
  </si>
  <si>
    <t>Сколько стоит оклеить авто.mobile.Алексеевка</t>
  </si>
  <si>
    <t>QCa5hOt6NuhefCl8y0u9</t>
  </si>
  <si>
    <t>Москва</t>
  </si>
  <si>
    <t xml:space="preserve">оклейка пленкой ауди а 6 дорого </t>
  </si>
  <si>
    <t>Face-трекер</t>
  </si>
  <si>
    <t>Оклейка 20 автобусов</t>
  </si>
  <si>
    <t>---autotargeting.desktop.Самара</t>
  </si>
  <si>
    <t>dUk7zioJc4mnx9p4BsOG</t>
  </si>
  <si>
    <t xml:space="preserve">узновал цену на лисян л9 комплекс брони </t>
  </si>
  <si>
    <t xml:space="preserve">оклейка лада весты кросс </t>
  </si>
  <si>
    <t>PW4YQgd6q9YZpWI0rYco</t>
  </si>
  <si>
    <t>Александр - Авито - Левша-Сервис открытая линия</t>
  </si>
  <si>
    <t xml:space="preserve">узновала цену на пленку </t>
  </si>
  <si>
    <t xml:space="preserve">каптюр оклейка фар подумает </t>
  </si>
  <si>
    <t xml:space="preserve">bmw 1 2006 г в цветную пленку 300к дорого </t>
  </si>
  <si>
    <t>плёнка панорама на 15,07</t>
  </si>
  <si>
    <t>6wTGAHs8ApvGk0zlI6Gp</t>
  </si>
  <si>
    <t>сергей - Авито - Левша-Сервис открытая линия</t>
  </si>
  <si>
    <t>сергей</t>
  </si>
  <si>
    <t>Дмитрий - Авито - Левша-Сервис открытая линия</t>
  </si>
  <si>
    <t>Дмитрий</t>
  </si>
  <si>
    <t xml:space="preserve">плёнка на пороги в чёрн. глян. </t>
  </si>
  <si>
    <t>Валентин</t>
  </si>
  <si>
    <t xml:space="preserve">фары оклеить в следующем месяце </t>
  </si>
  <si>
    <t xml:space="preserve">гранта оклейка пленкой - верх багажника и бампер зад 30000 рокет ДОРОГО </t>
  </si>
  <si>
    <t>ZAy7XBLnqACQ0L5EUX5V</t>
  </si>
  <si>
    <t>Кайрат - Авито - Левша-Сервис открытая линия</t>
  </si>
  <si>
    <t>Кайрат</t>
  </si>
  <si>
    <t>Мария - Авито - Левша-Сервис открытая линия</t>
  </si>
  <si>
    <t>Мария</t>
  </si>
  <si>
    <t xml:space="preserve">полная оклейка мустанг дорого </t>
  </si>
  <si>
    <t xml:space="preserve">kia K5 оклеить целиком </t>
  </si>
  <si>
    <t xml:space="preserve">плёнка бампер </t>
  </si>
  <si>
    <t>dqrGaxLpxOVGsUXa3lur</t>
  </si>
  <si>
    <t xml:space="preserve">пленка решетки спортаж 5 </t>
  </si>
  <si>
    <t>ckgXLzwfRpzpNBOqBjJN</t>
  </si>
  <si>
    <t xml:space="preserve">Стандарт с бампером и тонировка в круг </t>
  </si>
  <si>
    <t>Игорб</t>
  </si>
  <si>
    <t>Дмитрий - Авито - Оклейка стандарт Рокетом</t>
  </si>
  <si>
    <t>Октавия крыша в черный глянец</t>
  </si>
  <si>
    <t>14,07 Осмотр пленки</t>
  </si>
  <si>
    <t>Оклейка трактора</t>
  </si>
  <si>
    <t>XPbM64pNd1ppV4NATdan</t>
  </si>
  <si>
    <t>Ульяновск</t>
  </si>
  <si>
    <t xml:space="preserve">чайна таун тенет т7 , мойка шви и пленка 2 машины ждут расчет на почту </t>
  </si>
  <si>
    <t>Хонда Тайп р полная оклейка</t>
  </si>
  <si>
    <t>Q96QNGQV5HOsqiUdIg2D</t>
  </si>
  <si>
    <t>Уфа</t>
  </si>
  <si>
    <t xml:space="preserve">хайлендр пленка комплекс броня </t>
  </si>
  <si>
    <t>Бронирование кузова.mobile.Кошки</t>
  </si>
  <si>
    <t>YP9q8oHpLQajZaolJ2zN</t>
  </si>
  <si>
    <t>ВсЁ пО чЕсТнОмУ - Авито - Левша-Сервис открытая линия</t>
  </si>
  <si>
    <t>ВсЁ пО чЕсТнОмУ</t>
  </si>
  <si>
    <t xml:space="preserve">пленка аутлендер </t>
  </si>
  <si>
    <t>Пользователь</t>
  </si>
  <si>
    <t xml:space="preserve">пленка Geely EX5 EM-i комплекс дорого </t>
  </si>
  <si>
    <t>tilda</t>
  </si>
  <si>
    <t xml:space="preserve">консультация по пленке audi q 3 </t>
  </si>
  <si>
    <t>Оклейка зон риска.mobile.Самара</t>
  </si>
  <si>
    <t>1XR2qcrpBM45PuAK0Eim</t>
  </si>
  <si>
    <t>Новочебоксарск</t>
  </si>
  <si>
    <t>пленка консультация</t>
  </si>
  <si>
    <t>Кирилл</t>
  </si>
  <si>
    <t>Оклейка авто.mobile.Самара</t>
  </si>
  <si>
    <t xml:space="preserve">оклейка фар консультация </t>
  </si>
  <si>
    <t>Владимир</t>
  </si>
  <si>
    <t>Оклейка автомобиля.mobile.Сельское поселение Лопатино</t>
  </si>
  <si>
    <t xml:space="preserve">гольф , броне комплекс пленка , тонер пп , химка комплекс позвонить посоветуются </t>
  </si>
  <si>
    <t>илья</t>
  </si>
  <si>
    <t xml:space="preserve">плёнка на капот </t>
  </si>
  <si>
    <t xml:space="preserve">оклейка пленкой бронек комплекс плюс лоб броня </t>
  </si>
  <si>
    <t>eRQ3DnlSzveMfkBgkkPQ</t>
  </si>
  <si>
    <t>Бузулук</t>
  </si>
  <si>
    <t xml:space="preserve">не берет чат плёнка </t>
  </si>
  <si>
    <t>Клиент не выходит на связь</t>
  </si>
  <si>
    <t>Иван</t>
  </si>
  <si>
    <t>---autotargeting.mobile.Самара</t>
  </si>
  <si>
    <t xml:space="preserve">полировка фар </t>
  </si>
  <si>
    <t>Оклейка фар.desktop.Самара</t>
  </si>
  <si>
    <t>5oUYmXvkTrm2sFbSneUw</t>
  </si>
  <si>
    <t xml:space="preserve">Плёнк. чёрн. крыша </t>
  </si>
  <si>
    <t xml:space="preserve">ауди а4 оклейка в полированный хром </t>
  </si>
  <si>
    <t>демонтаж плёнки с капота на 13,07</t>
  </si>
  <si>
    <t>O3k5WMQKzKom2oCESMrP</t>
  </si>
  <si>
    <t>Краснодар</t>
  </si>
  <si>
    <t>татьяна</t>
  </si>
  <si>
    <t>Нанести пленку на автомобиль.desktop.Самара</t>
  </si>
  <si>
    <t>Надя</t>
  </si>
  <si>
    <t>Кочемазова</t>
  </si>
  <si>
    <t xml:space="preserve">плёнка гранта по чат </t>
  </si>
  <si>
    <t>Юрий Петрович</t>
  </si>
  <si>
    <t>---autotargeting.tablet.Самара</t>
  </si>
  <si>
    <t>плёнка на 07,07</t>
  </si>
  <si>
    <t xml:space="preserve">плёнка на фары вояж </t>
  </si>
  <si>
    <t xml:space="preserve">оклеить капот на старую  пленку для рыбалки </t>
  </si>
  <si>
    <t>Х6 ф19 в сатин / узнает цены / мы первые кого выдал поиск</t>
  </si>
  <si>
    <t xml:space="preserve">КРыша черный глянец Веста </t>
  </si>
  <si>
    <t>ya_maps</t>
  </si>
  <si>
    <t>silwKVsfXEeE8cta8u70</t>
  </si>
  <si>
    <t xml:space="preserve">Мазда сх-50 зоны риска с бампером / машина в пути до конца июля </t>
  </si>
  <si>
    <t>7hKX64kqfZK3VOaXWY5i</t>
  </si>
  <si>
    <t xml:space="preserve">Полная оклейка ваз 21099 </t>
  </si>
  <si>
    <t>Константин</t>
  </si>
  <si>
    <t xml:space="preserve">Лид #113747 / пообщались / это дубликат / сделка есть </t>
  </si>
  <si>
    <t>Дубликат</t>
  </si>
  <si>
    <t>Юрий</t>
  </si>
  <si>
    <t>Оклейка авто.tablet.Самара</t>
  </si>
  <si>
    <t>Daeewoo  в цветную пленку / дорого</t>
  </si>
  <si>
    <t>Обтяжка автомобиля пленкой.mobile.Стройкерамика</t>
  </si>
  <si>
    <t xml:space="preserve">Узнал стоимость пленки капот и крылья </t>
  </si>
  <si>
    <t>Оклейка мото 6,07</t>
  </si>
  <si>
    <t xml:space="preserve">Оклейка ЗЛ двери Амарок </t>
  </si>
  <si>
    <t xml:space="preserve">плёнка антихром </t>
  </si>
  <si>
    <t>плёнка</t>
  </si>
  <si>
    <t xml:space="preserve">полная оклейка тенет </t>
  </si>
  <si>
    <t>mtoO4XVQ1NehfnBOaB57</t>
  </si>
  <si>
    <t>Лид #113680</t>
  </si>
  <si>
    <t>Андрей</t>
  </si>
  <si>
    <t>Оклейка машины.mobile.Красный Яр</t>
  </si>
  <si>
    <t>7 937 652-81-18 - Входящий звонок</t>
  </si>
  <si>
    <t xml:space="preserve">тксист </t>
  </si>
  <si>
    <t>EGWOVnfj4EzSM42JYTMh</t>
  </si>
  <si>
    <t xml:space="preserve">пленка хавал дорого  </t>
  </si>
  <si>
    <t>омода оклейка зон под ручками 2000р</t>
  </si>
  <si>
    <t>tenet бронекпомлекс</t>
  </si>
  <si>
    <t>MeEAQQe5liMvB27GwZIs</t>
  </si>
  <si>
    <t xml:space="preserve">Плёнка </t>
  </si>
  <si>
    <t>ЕКАТЕРИНА</t>
  </si>
  <si>
    <t>Антон</t>
  </si>
  <si>
    <t>---autotargeting.mobile.Городское поселение Новосемейкино</t>
  </si>
  <si>
    <t xml:space="preserve">плёнка атлас </t>
  </si>
  <si>
    <t>Владислав</t>
  </si>
  <si>
    <t>Топорков</t>
  </si>
  <si>
    <t xml:space="preserve">Рав4 новый пленка стандарт и тонировка </t>
  </si>
  <si>
    <t>TcDuZLgTlRs0Z7P6GxP8</t>
  </si>
  <si>
    <t>БМВ х7 зоны риска 4,07</t>
  </si>
  <si>
    <t>Лид #113583 написал в чат ТГ</t>
  </si>
  <si>
    <t>кристина</t>
  </si>
  <si>
    <t>Оклейка кузова.mobile.Самара</t>
  </si>
  <si>
    <t>Полная оклейка Н5</t>
  </si>
  <si>
    <t>Обтянуть авто пленкой.mobile.Самара</t>
  </si>
  <si>
    <t>Гена Фадеев - Пленка ВК</t>
  </si>
  <si>
    <t>Гена</t>
  </si>
  <si>
    <t>Фадеев</t>
  </si>
  <si>
    <t xml:space="preserve">25,06 Крузак 300 пленка и полировка </t>
  </si>
  <si>
    <t>Лид #113535</t>
  </si>
  <si>
    <t>Конев Александр Васильевич</t>
  </si>
  <si>
    <t xml:space="preserve">гле обклеить задний бампер  </t>
  </si>
  <si>
    <t xml:space="preserve">пленка 320р дорого </t>
  </si>
  <si>
    <t>KKjLz2cpvImYyQqWOsgN</t>
  </si>
  <si>
    <t>Лид #113522</t>
  </si>
  <si>
    <t>Павел</t>
  </si>
  <si>
    <t>Закатать машину.mobile.Самара</t>
  </si>
  <si>
    <t>Пленку снять локально</t>
  </si>
  <si>
    <t>UyQtnfc3B6FjsCDso5Bs</t>
  </si>
  <si>
    <t xml:space="preserve">крыша полиуретан 30к </t>
  </si>
  <si>
    <t>01,07 Броня панорамы</t>
  </si>
  <si>
    <t xml:space="preserve">пленка дорого </t>
  </si>
  <si>
    <t>Андреева Юлия Евгеньевна</t>
  </si>
  <si>
    <t>пленка дастер 04.07</t>
  </si>
  <si>
    <t>URBMWUZIdtyaHUZKy96f</t>
  </si>
  <si>
    <t xml:space="preserve">бронь лобового каен / дорого </t>
  </si>
  <si>
    <t xml:space="preserve">Оклеить фары на к5 / не готов планировать / писал в максе </t>
  </si>
  <si>
    <t xml:space="preserve">одна фара в пленку 4500р позвонить в ввыходные </t>
  </si>
  <si>
    <t xml:space="preserve">Оклейка мониторов джулион </t>
  </si>
  <si>
    <t xml:space="preserve">плёнка на фары маленькие </t>
  </si>
  <si>
    <t>Киа селтос капот в пленку дорого</t>
  </si>
  <si>
    <t>Оклейка кузова.mobile.Новокуйбышевск</t>
  </si>
  <si>
    <t>CMptU8mshztKkSCxkYh3</t>
  </si>
  <si>
    <t>Лид #113416 ВАЗ Цветной не отвечает</t>
  </si>
  <si>
    <t>---autotargeting.mobile.Луганская область</t>
  </si>
  <si>
    <t xml:space="preserve">плёнка зоны риска Camry </t>
  </si>
  <si>
    <t>E8iv5fVJj93s2m7EWoBB</t>
  </si>
  <si>
    <t xml:space="preserve">Ниссан примьер р12 / в цветной / вся в коррозии </t>
  </si>
  <si>
    <t>Автоответчик</t>
  </si>
  <si>
    <t>Кузнецов Иван Михайлович</t>
  </si>
  <si>
    <t>Оклейка автомобиля.mobile.Самара</t>
  </si>
  <si>
    <t xml:space="preserve">Volkswagen Touareg № н139рт763 сетка </t>
  </si>
  <si>
    <t xml:space="preserve">Максим Чуш - Открытая линия Левша / зоны риска / не отвечает </t>
  </si>
  <si>
    <t>Максим</t>
  </si>
  <si>
    <t>Чуш</t>
  </si>
  <si>
    <t>Стандарт рокетом без бампера с глянцевыми стойками</t>
  </si>
  <si>
    <t xml:space="preserve">пленка перезвонить </t>
  </si>
  <si>
    <t>eTt1QjBSkMPHVg8jLVJp</t>
  </si>
  <si>
    <t xml:space="preserve">хавал пленка капот дорого </t>
  </si>
  <si>
    <t>Геннадий</t>
  </si>
  <si>
    <t>Бронирование кузова.tablet.Самара</t>
  </si>
  <si>
    <t xml:space="preserve">х5 пеклейка лпенки и химарь и мойка и мотор </t>
  </si>
  <si>
    <t xml:space="preserve">гранта тонер фонарей подумает </t>
  </si>
  <si>
    <t xml:space="preserve">пленка джейку </t>
  </si>
  <si>
    <t>Артём Онищенко - Открытая линия Левша</t>
  </si>
  <si>
    <t>Артём</t>
  </si>
  <si>
    <t>Онищенко</t>
  </si>
  <si>
    <t>Оклейка Х4</t>
  </si>
  <si>
    <t xml:space="preserve">плёнка на туманки </t>
  </si>
  <si>
    <t>Коррекция пленки</t>
  </si>
  <si>
    <t xml:space="preserve">плёнка цветная </t>
  </si>
  <si>
    <t>Валерий</t>
  </si>
  <si>
    <t xml:space="preserve">Вопрос по пленке </t>
  </si>
  <si>
    <t>Евдокимов</t>
  </si>
  <si>
    <t>пленка дорого</t>
  </si>
  <si>
    <t>Бронирование фар.mobile.Уфа</t>
  </si>
  <si>
    <t xml:space="preserve">уточнала по пленке на 1 фару </t>
  </si>
  <si>
    <t xml:space="preserve">Х5 стандарт отмена записи </t>
  </si>
  <si>
    <t xml:space="preserve">джили монжаро кореекция </t>
  </si>
  <si>
    <t xml:space="preserve">Haval Dargo № а111вк763 </t>
  </si>
  <si>
    <t>Валерий Истомин - Открытая линия Левша</t>
  </si>
  <si>
    <t>Истомин</t>
  </si>
  <si>
    <t>Лид #113234</t>
  </si>
  <si>
    <t>Артем</t>
  </si>
  <si>
    <t>Х7 полная оклейка без крыши 350тр</t>
  </si>
  <si>
    <t>24,06 ЛС 300 стандарт</t>
  </si>
  <si>
    <t>Омода С5 стандарт без бампера 60000</t>
  </si>
  <si>
    <t xml:space="preserve">Капот и полоса над лобовым кулрей </t>
  </si>
  <si>
    <t>04,07 переклейка бампера после перекраса или булки только</t>
  </si>
  <si>
    <t>Полная оклейка Кодиак / думает / можно пробовать дожать</t>
  </si>
  <si>
    <t>Yandex Direct</t>
  </si>
  <si>
    <t>игорь</t>
  </si>
  <si>
    <t>---autotargeting.desktop.Светлое Поле</t>
  </si>
  <si>
    <t>24,06 Пленка стандарт</t>
  </si>
  <si>
    <t>Е34 крышу в белйы матовый и стойки / дорого</t>
  </si>
  <si>
    <t>Лид #113186 +79397590270</t>
  </si>
  <si>
    <t>Электронная почта</t>
  </si>
  <si>
    <t>Михаил</t>
  </si>
  <si>
    <t>рав 4 стандарт 29,06 7 937 062-56-55</t>
  </si>
  <si>
    <t>CRM-форма</t>
  </si>
  <si>
    <t>Пленка мото</t>
  </si>
  <si>
    <t>Заявка отправлена с [promo.levsha-group.ru] матиз в цветной</t>
  </si>
  <si>
    <t>noreply@tilda.ws'</t>
  </si>
  <si>
    <t>Заявка отправлена с [promo.levsha-group.ru] 17,06 в первой половине дня</t>
  </si>
  <si>
    <t>Тойота королла е150 в цветной полик / не готов планировать работы +7 927 213-23-40</t>
  </si>
  <si>
    <t>Лид #113152</t>
  </si>
  <si>
    <t>Не обработан</t>
  </si>
  <si>
    <t>Владимир Тарасов</t>
  </si>
  <si>
    <t xml:space="preserve"> Mercedes-Benz V-class.  Требуется подготовить кузов к оклейке новыми стикерами </t>
  </si>
  <si>
    <t>Белонощенко</t>
  </si>
  <si>
    <t xml:space="preserve">Расклеить брендиование v-class / чат в вк ведется </t>
  </si>
  <si>
    <t xml:space="preserve">Юрий </t>
  </si>
  <si>
    <t>Лид #113147 +7 927 213-23-40</t>
  </si>
  <si>
    <t>---autotargeting.mobile.Сызрань</t>
  </si>
  <si>
    <t xml:space="preserve">Стандарт пленка Джетта </t>
  </si>
  <si>
    <t>Стандарт рокет</t>
  </si>
  <si>
    <t>ДЖилли монджаро , сравнивает цены стандарта</t>
  </si>
  <si>
    <t>Николай</t>
  </si>
  <si>
    <t xml:space="preserve">пленка 2 джетура дашинг смотрит по цене </t>
  </si>
  <si>
    <t xml:space="preserve">оклейка ЗВЛ и пороги передние, как покрасит машину, обратится </t>
  </si>
  <si>
    <t>пленка проемы чанган 16,09</t>
  </si>
  <si>
    <t>23.06 Пленка пороги и зона погрузки</t>
  </si>
  <si>
    <t xml:space="preserve">узновал цену на антихром </t>
  </si>
  <si>
    <t>7 987 957-71-32 - Входящий звонок</t>
  </si>
  <si>
    <t>Заявка отправлена с [promo.levsha-group.ru]</t>
  </si>
  <si>
    <t>недоступен 79093703812</t>
  </si>
  <si>
    <t>Некачественный лид</t>
  </si>
  <si>
    <t>пленка пасат дорого 79515657492</t>
  </si>
  <si>
    <t>Заявка отправлена с [promo.levsha-group.ru] 79276549775</t>
  </si>
  <si>
    <t xml:space="preserve">пленка </t>
  </si>
  <si>
    <t>Демин</t>
  </si>
  <si>
    <t>Гранта Стандарт / Чат</t>
  </si>
  <si>
    <t>Милена</t>
  </si>
  <si>
    <t>Акимова</t>
  </si>
  <si>
    <t xml:space="preserve">оклейка фар веста / не готов запланировать </t>
  </si>
  <si>
    <t xml:space="preserve">Джейку j7 полоса на капот / не уд дата </t>
  </si>
  <si>
    <t>переклейка черной глянцевой крыши, дорого, и стаая машина</t>
  </si>
  <si>
    <t>Оклейка мини стандарт полосками, просто узнал цену 79879892880</t>
  </si>
  <si>
    <t>Оклейка пленкой, внедорожник. Выключен  +79178187655</t>
  </si>
  <si>
    <t>оклейка Хендай i40 2015 года 79370676628</t>
  </si>
  <si>
    <t xml:space="preserve">шкода кодиак капот в пленку / как определиться запишется </t>
  </si>
  <si>
    <t>Узнал стоимость матовой оклейки</t>
  </si>
  <si>
    <t>16,06 Пленка</t>
  </si>
  <si>
    <t>сергей пленка 460к глс Антигравийка полная + лоб + фары</t>
  </si>
  <si>
    <t xml:space="preserve">17.06 переклейка </t>
  </si>
  <si>
    <t xml:space="preserve">пленка  молдингов </t>
  </si>
  <si>
    <t>7 927 800-60-00 - Входящий звонок</t>
  </si>
  <si>
    <t xml:space="preserve">тигуан 15,06 броня фары </t>
  </si>
  <si>
    <t xml:space="preserve">сколы и оклейка зон риска </t>
  </si>
  <si>
    <t>Борис</t>
  </si>
  <si>
    <t>Яковенко</t>
  </si>
  <si>
    <t>Капот киа сид, 18000</t>
  </si>
  <si>
    <t xml:space="preserve">Пленка капот </t>
  </si>
  <si>
    <t>Броня капот, ЗВЛ, фары, просто интересовался, не контактный +79053035619</t>
  </si>
  <si>
    <t>пленка игорь 79875329524</t>
  </si>
  <si>
    <t>Андрей Кичаев - Открытая линия Левша</t>
  </si>
  <si>
    <t>Кичаев</t>
  </si>
  <si>
    <t>Хавал дулион зоны риска/ не готов записаться / интересуется по ценам 79631175953</t>
  </si>
  <si>
    <t>Рено калеос 2011г.в в цветную пленку 79124703936</t>
  </si>
  <si>
    <t xml:space="preserve">Ваз 2114 в цйветную пленку </t>
  </si>
  <si>
    <t xml:space="preserve">руслан </t>
  </si>
  <si>
    <t xml:space="preserve">арки сгнили </t>
  </si>
  <si>
    <t xml:space="preserve">цветной принт на стойки </t>
  </si>
  <si>
    <t>Алексей</t>
  </si>
  <si>
    <t>Колосков</t>
  </si>
  <si>
    <t xml:space="preserve">плёнка на фары и решётка в черный </t>
  </si>
  <si>
    <t>Данил</t>
  </si>
  <si>
    <t>Пильщиков</t>
  </si>
  <si>
    <t xml:space="preserve"> Октавию а 7 решетку радиатора задние зеркала и крышу в акрил</t>
  </si>
  <si>
    <t>Ivan</t>
  </si>
  <si>
    <t>Nomercy</t>
  </si>
  <si>
    <t xml:space="preserve">Пленка мустанг полная </t>
  </si>
  <si>
    <t>звонок по промо заявке / не берут</t>
  </si>
  <si>
    <t>меган 3 полировка и оклейка фары 8,06</t>
  </si>
  <si>
    <t>Оклейка гидроцикла узнал стоимость</t>
  </si>
  <si>
    <t>Заявка с сайта на цветную пленку, не отвечает</t>
  </si>
  <si>
    <t xml:space="preserve">Е класс в цветном полике / натерли пленки при удалении наклеек/ только переклейка </t>
  </si>
  <si>
    <t xml:space="preserve">Бронирование фар пленкой  vw passat </t>
  </si>
  <si>
    <t>Никита</t>
  </si>
  <si>
    <t>Омега Х6 контрольный осмотр</t>
  </si>
  <si>
    <t xml:space="preserve">БМВ 1 2022 целиком в пленку </t>
  </si>
  <si>
    <t xml:space="preserve">Илья </t>
  </si>
  <si>
    <t xml:space="preserve">хавал H9 фары бампер </t>
  </si>
  <si>
    <t>15.06 Пленка Эксид РХ</t>
  </si>
  <si>
    <t xml:space="preserve">ПЛенка Jetour </t>
  </si>
  <si>
    <t>нива 2013 года в пленку / машина в малярку</t>
  </si>
  <si>
    <t>звонок по заявке без ответа</t>
  </si>
  <si>
    <t xml:space="preserve">Заявка отправлена с [promo.levsha-group.ru] / номер не существует </t>
  </si>
  <si>
    <t xml:space="preserve">Фиат дукат брендирование / не пройдет по высоте (2,42м) </t>
  </si>
  <si>
    <t>Заявка отправлена с [promo.levsha-group.ru] / нива коротыш 2013г в цветной / машина с коррозией В</t>
  </si>
  <si>
    <t xml:space="preserve">пленка вокруг лба </t>
  </si>
  <si>
    <t xml:space="preserve">03,06 Пленка мотоцикл </t>
  </si>
  <si>
    <t>Стандарт Тигуан + броня панорамы</t>
  </si>
  <si>
    <t xml:space="preserve">не берет </t>
  </si>
  <si>
    <t>Дмитрий Тулычев - Открытая линия Левша</t>
  </si>
  <si>
    <t>Тулычев</t>
  </si>
  <si>
    <t xml:space="preserve">дубликат по заявке, не в сет телефон </t>
  </si>
  <si>
    <t xml:space="preserve">недоступен телефон </t>
  </si>
  <si>
    <t xml:space="preserve">бронирование пленкой передней части </t>
  </si>
  <si>
    <t>Hyundai i40</t>
  </si>
  <si>
    <t>Оклейка пленкой цветной, машина пока не известна, заявка прилетела, трубку не взяли</t>
  </si>
  <si>
    <t xml:space="preserve">пленка м4 передняя часть </t>
  </si>
  <si>
    <t>ПЛенка оклейка</t>
  </si>
  <si>
    <t xml:space="preserve">урус замена </t>
  </si>
  <si>
    <t xml:space="preserve">нет ответа Алексей звонил </t>
  </si>
  <si>
    <t>номер не обслуживается</t>
  </si>
  <si>
    <t xml:space="preserve">номер не обслуживается </t>
  </si>
  <si>
    <t xml:space="preserve">нет ответа </t>
  </si>
  <si>
    <t>BMW X4 коррекцияч пленки 2,06</t>
  </si>
  <si>
    <t>Коррекция пленки 2,06</t>
  </si>
  <si>
    <t xml:space="preserve">Черри тигго 9 зоны риска / расчеты отправил в тг </t>
  </si>
  <si>
    <t>Оставлял заявку через прокладку / скидывает роман</t>
  </si>
  <si>
    <t xml:space="preserve">Уже отработал заявку / звонок дублируется </t>
  </si>
  <si>
    <t xml:space="preserve">Гранта полоса на капот и над лобовым / определяется со временем / просил не тревожить </t>
  </si>
  <si>
    <t xml:space="preserve">Зона под ручками отмена / запишется позже </t>
  </si>
  <si>
    <t xml:space="preserve">Оклейка целиком в цветной / заявка / не отвечает </t>
  </si>
  <si>
    <t xml:space="preserve">Заявка отправлена с [promo.levsha-group.ru] скидывает </t>
  </si>
  <si>
    <t>Тигуан л про / планирует только покупку / зоны риска / иашины еще нет</t>
  </si>
  <si>
    <t xml:space="preserve">теннет т7 зоны риска / ставят на учет </t>
  </si>
  <si>
    <t>Притемнение задних фонарей и полосы между ними</t>
  </si>
  <si>
    <t>Денис</t>
  </si>
  <si>
    <t>30,05 БМВ Х3 капот оклейка</t>
  </si>
  <si>
    <t>тонировка фар сейчас</t>
  </si>
  <si>
    <t>дубликат на оклейку фар и над лобавым хавал м6</t>
  </si>
  <si>
    <t>хавал м6 фары и полса над лобовым / думает / не отвечает</t>
  </si>
  <si>
    <t>плёнка Матусов на Free</t>
  </si>
  <si>
    <t xml:space="preserve">Думает о полировке и броне фар </t>
  </si>
  <si>
    <t xml:space="preserve">плёнка + тонировка </t>
  </si>
  <si>
    <t>Лидия</t>
  </si>
  <si>
    <t>Темирёва</t>
  </si>
  <si>
    <t>Полная оклейка</t>
  </si>
  <si>
    <t xml:space="preserve">30,05 Оклейка панели климата </t>
  </si>
  <si>
    <t>Тонировка антигравийка</t>
  </si>
  <si>
    <t xml:space="preserve">Нина </t>
  </si>
  <si>
    <t>Узнавал цену стандарта ауди а3</t>
  </si>
  <si>
    <t xml:space="preserve">Алексей Тепцов - Полная оклейка цветной пленкой лада приора </t>
  </si>
  <si>
    <t>Тепцов</t>
  </si>
  <si>
    <t>Оклейка фар</t>
  </si>
  <si>
    <t xml:space="preserve">на 06,06 плёнка + мойка </t>
  </si>
  <si>
    <t xml:space="preserve">плёнка просто в мат </t>
  </si>
  <si>
    <t>заявка с сайта, полная оклейка цветной пленкой</t>
  </si>
  <si>
    <t xml:space="preserve">29,05 удаление пленки с капота </t>
  </si>
  <si>
    <t>Левон</t>
  </si>
  <si>
    <t xml:space="preserve">капот плёнка после малярки, полоса или целиком </t>
  </si>
  <si>
    <t xml:space="preserve">плёнка на ниву коротыш </t>
  </si>
  <si>
    <t>плёнка на Rav 4</t>
  </si>
  <si>
    <t xml:space="preserve">по плёнке вопросы </t>
  </si>
  <si>
    <t xml:space="preserve">плёнка полоса на капот </t>
  </si>
  <si>
    <t>Губанов</t>
  </si>
  <si>
    <t xml:space="preserve">Прадо 150 зоны риска / выбирают дату / человек живет за городом </t>
  </si>
  <si>
    <t xml:space="preserve">киа рио / крыша в черный / не готовы </t>
  </si>
  <si>
    <t>Евгений</t>
  </si>
  <si>
    <t>Лезинов</t>
  </si>
  <si>
    <t>poisk_shumka</t>
  </si>
  <si>
    <t>---autotargeting</t>
  </si>
  <si>
    <t xml:space="preserve">рлёнка </t>
  </si>
  <si>
    <t>узнал цену только Оклейка переднего бампер А6</t>
  </si>
  <si>
    <t xml:space="preserve">PDR </t>
  </si>
  <si>
    <t>ПОлная оклейка Гранта</t>
  </si>
  <si>
    <t>7 937 069-97-99 - Входящий звонок</t>
  </si>
  <si>
    <t xml:space="preserve">Плёнка под такси </t>
  </si>
  <si>
    <t>21,05 КОнтрольный осмотр Ауди Q3</t>
  </si>
  <si>
    <t>Дмитрий Степанов - Открытая линия Левша</t>
  </si>
  <si>
    <t>Степанов</t>
  </si>
  <si>
    <t>Коррекция пленки Квадроцикл Синий</t>
  </si>
  <si>
    <t>Прозвон цены полной оклейки и стандарт</t>
  </si>
  <si>
    <t xml:space="preserve">плёнка на фары </t>
  </si>
  <si>
    <t xml:space="preserve">Переклейка лобового / раис в отпуске / не уд дата </t>
  </si>
  <si>
    <t>Плёнка на тачку на 03,06</t>
  </si>
  <si>
    <t xml:space="preserve">плёнка Haval F7 </t>
  </si>
  <si>
    <t xml:space="preserve">плёнка целиком мат </t>
  </si>
  <si>
    <t xml:space="preserve">демонтаж плёнки с бампера </t>
  </si>
  <si>
    <t xml:space="preserve">плёнка набрать ему нужно </t>
  </si>
  <si>
    <t xml:space="preserve">корекция плёнки </t>
  </si>
  <si>
    <t xml:space="preserve">Exeed EXLANTIX № н255ну763 </t>
  </si>
  <si>
    <t xml:space="preserve">пока не берет трубку </t>
  </si>
  <si>
    <t>Додж рам целиком в пленку / ждем ремонта большого скола на двери связь 22 июня</t>
  </si>
  <si>
    <t xml:space="preserve">пленка на фары лачети и ваз 2112 </t>
  </si>
  <si>
    <t>стандарт Киа спортедж 3</t>
  </si>
  <si>
    <t>Ауди Q3</t>
  </si>
  <si>
    <t>Капот и ЗВЛ</t>
  </si>
  <si>
    <t>ig</t>
  </si>
  <si>
    <t>social</t>
  </si>
  <si>
    <t>link_in_bio</t>
  </si>
  <si>
    <t>Belgee s50 зоны риска / Чат в ТГ</t>
  </si>
  <si>
    <t>СТандарт Лексус GX</t>
  </si>
  <si>
    <t xml:space="preserve">оклеить пленкой старую машину с ржавчиной - не сделаем </t>
  </si>
  <si>
    <t xml:space="preserve">пртимнение задних фар Логан / не приехал ) </t>
  </si>
  <si>
    <t xml:space="preserve">Ауди Q8 Оклейка монитора / хочет подъехать оплатить </t>
  </si>
  <si>
    <t>Алексей Коньшин - Открытая линия Левша / Обклейка авто пленкой</t>
  </si>
  <si>
    <t>Коньшин</t>
  </si>
  <si>
    <t>Tank 500, полная оклейка и бронь лобового</t>
  </si>
  <si>
    <t xml:space="preserve">Хавал Н7 стандарт или полная </t>
  </si>
  <si>
    <t>Крючков</t>
  </si>
  <si>
    <t xml:space="preserve">чат в вк </t>
  </si>
  <si>
    <t>Золотарева</t>
  </si>
  <si>
    <t>Мазда Сх-5 сигнализация, глянец и мониторы / связь 4,06</t>
  </si>
  <si>
    <t xml:space="preserve">плёнка на панораму за 9 000 предлагали </t>
  </si>
  <si>
    <t>Отошла пленка чеснок</t>
  </si>
  <si>
    <t xml:space="preserve">Хавал м6 / целиком или зоны риска / интересовался ценой </t>
  </si>
  <si>
    <t>плёнка цвет.</t>
  </si>
  <si>
    <t>Голованенко</t>
  </si>
  <si>
    <t xml:space="preserve">машину раптором покрыть </t>
  </si>
  <si>
    <t>плёнку в салон заклеить (свою купил с Питера какая то ) на 23,05</t>
  </si>
  <si>
    <t xml:space="preserve">уже связались </t>
  </si>
  <si>
    <t xml:space="preserve">оклейка капот хавал 1/3 / согласовывает с руководством </t>
  </si>
  <si>
    <t xml:space="preserve">туксон 2008 притемнить фары / дорого </t>
  </si>
  <si>
    <t xml:space="preserve">Калина 1 в пленку </t>
  </si>
  <si>
    <t>Тема</t>
  </si>
  <si>
    <t>Самарский</t>
  </si>
  <si>
    <t>аито м5 целиком в глянец и тонер 15,05</t>
  </si>
  <si>
    <t xml:space="preserve">плёнка целиком </t>
  </si>
  <si>
    <t xml:space="preserve">Оклейка Сузуки джимми рокетом / сбросил после цены </t>
  </si>
  <si>
    <t xml:space="preserve">на 14,04 </t>
  </si>
  <si>
    <t xml:space="preserve">гидроцикл </t>
  </si>
  <si>
    <t xml:space="preserve">плёнка на счёт </t>
  </si>
  <si>
    <t xml:space="preserve">Оеклеить салон Toyota (закал с ПИТЕРА у крутых ребят лекала ) приедет для просчета стоимости работ </t>
  </si>
  <si>
    <t xml:space="preserve">Гидроцикл (зона у ног в плёнку ) </t>
  </si>
  <si>
    <t>7 937 655-99-28 - Хавал С7 26 г зоны риска безнал</t>
  </si>
  <si>
    <t xml:space="preserve">Оклейка Монджаро </t>
  </si>
  <si>
    <t xml:space="preserve">Джили монжаро / зоны риска </t>
  </si>
  <si>
    <t>Полная оклейка Тенет Т8</t>
  </si>
  <si>
    <t>Переклеить капот на Омода С5</t>
  </si>
  <si>
    <t>19,05 Фары переклейка и полоса на крыше</t>
  </si>
  <si>
    <t xml:space="preserve">Geely Monjaro № н199мс763 </t>
  </si>
  <si>
    <t xml:space="preserve">осмотр PDR или царапин авто в плёнке </t>
  </si>
  <si>
    <t xml:space="preserve">по пленке хочет приехать пообщаться </t>
  </si>
  <si>
    <t xml:space="preserve">Капот и ЗВЛ Белджи </t>
  </si>
  <si>
    <t xml:space="preserve">Интерес оклейка стандарт </t>
  </si>
  <si>
    <t>Снятие пленки  гранта с крыши</t>
  </si>
  <si>
    <t xml:space="preserve">14.05 плёнка </t>
  </si>
  <si>
    <t xml:space="preserve">плёнка (чёрная крыша ) </t>
  </si>
  <si>
    <t xml:space="preserve">Оклейка матовой пленкой </t>
  </si>
  <si>
    <t>Сорокин</t>
  </si>
  <si>
    <t xml:space="preserve">вставку на капоте сделать </t>
  </si>
  <si>
    <t xml:space="preserve">Заявка с сайта ЛЕВША - форма Online-запись / не отвечает </t>
  </si>
  <si>
    <t xml:space="preserve">Дарья </t>
  </si>
  <si>
    <t>ауди а6 с8 2020 пленка / керамика / антихром / тонер 22,05</t>
  </si>
  <si>
    <t xml:space="preserve">Михаил </t>
  </si>
  <si>
    <t xml:space="preserve">Оклеить крышу ларгус / дорого </t>
  </si>
  <si>
    <t xml:space="preserve">Гле фары в темный полик </t>
  </si>
  <si>
    <t xml:space="preserve">Наклеить свои наклейки на двери авто / придет с наклейкой для оценки работ </t>
  </si>
  <si>
    <t>Заполнение CRM-формы "Обратный звонок с номера "Приложение: MANGO OFFICE"" Голф 11 года оклеить белой пленкой</t>
  </si>
  <si>
    <t xml:space="preserve">Арина </t>
  </si>
  <si>
    <t xml:space="preserve">бентли флаинг спур зона риска или целиком / расчеты в ТГ / согласовывает с кем-то </t>
  </si>
  <si>
    <t>Хавал Н3 капот/ЗВЛ 7,05</t>
  </si>
  <si>
    <t xml:space="preserve">Пленка на одну фару / не уд дата </t>
  </si>
  <si>
    <t>Веста полоса на капот и крышу</t>
  </si>
  <si>
    <t>7 927 686-81-61 - Входящий звонок</t>
  </si>
  <si>
    <t>Александр Севостьянов</t>
  </si>
  <si>
    <t>Пленка капот бампер</t>
  </si>
  <si>
    <t>Малов</t>
  </si>
  <si>
    <t xml:space="preserve">демонтаж плёнки с лобового </t>
  </si>
  <si>
    <t xml:space="preserve">притемнить фонари </t>
  </si>
  <si>
    <t xml:space="preserve">сбросила </t>
  </si>
  <si>
    <t>Маргарита</t>
  </si>
  <si>
    <t>Оклейка в пленку выбранных зон</t>
  </si>
  <si>
    <t>Ян</t>
  </si>
  <si>
    <t>Харитонов</t>
  </si>
  <si>
    <t xml:space="preserve">решетку плёнку </t>
  </si>
  <si>
    <t xml:space="preserve">хавал h3 капот в пленку </t>
  </si>
  <si>
    <t xml:space="preserve">ниссан мурано / оклейка и переточка фар / дорого </t>
  </si>
  <si>
    <t>WEY 80 пленка, шумка</t>
  </si>
  <si>
    <t>Заявка с сайта ЛЕВША - форма Заказать звонок</t>
  </si>
  <si>
    <t>Светлана</t>
  </si>
  <si>
    <t xml:space="preserve">Теннет т7 капот в пленку / узнает цены </t>
  </si>
  <si>
    <t xml:space="preserve">Джили манджаро / матовый с НДС / согласовывает с шефом </t>
  </si>
  <si>
    <t xml:space="preserve">демонтаж такси пленки веста </t>
  </si>
  <si>
    <t xml:space="preserve">24,04 полировка дефекта. </t>
  </si>
  <si>
    <t>Хавал дарго / капот, фары, под ручками / ЧАТ</t>
  </si>
  <si>
    <t>Ватрасов</t>
  </si>
  <si>
    <t xml:space="preserve">БМВ Х5 пленка вставка на зад бампере </t>
  </si>
  <si>
    <t>23,04 приедете на коррекцию пленки монджаро</t>
  </si>
  <si>
    <t>7 937 983-22-33 - Входящий звонок</t>
  </si>
  <si>
    <t xml:space="preserve">23,04 плёнка + тонер </t>
  </si>
  <si>
    <t xml:space="preserve">плёнка на решетку на Tank 500 </t>
  </si>
  <si>
    <t xml:space="preserve">шумка и плёнка </t>
  </si>
  <si>
    <t>7 999 172-87-24 - Входящий звонок</t>
  </si>
  <si>
    <t>7 939 707-26-86 - Входящий звонок</t>
  </si>
  <si>
    <t xml:space="preserve">плёнка стандарт </t>
  </si>
  <si>
    <t xml:space="preserve">фольксваген сагитар 2022 крыша в черный / дорого </t>
  </si>
  <si>
    <t>террамонт про целиком глянец связь 14 мая</t>
  </si>
  <si>
    <t>Оклейка Lynkko 900 узнал цены .</t>
  </si>
  <si>
    <t xml:space="preserve">Jeacoo J7 / капот, бампер, крылья, фары // еще не купил машину </t>
  </si>
  <si>
    <t>Полная оклейка ГЛЦ купе 5,05</t>
  </si>
  <si>
    <t>Матвей</t>
  </si>
  <si>
    <t xml:space="preserve">Веста НГ крыша в черный полик  </t>
  </si>
  <si>
    <t>7 927 773-24-74 - Входящий звонок</t>
  </si>
  <si>
    <t>7 927 705-30-57 - Входящий звонок</t>
  </si>
  <si>
    <t>Заполнение CRM-формы "Контактные данные с кнопки Б24 на сайте"</t>
  </si>
  <si>
    <t>7 937 645-26-12 - Входящий звонок</t>
  </si>
  <si>
    <t>Илья</t>
  </si>
  <si>
    <t>Шнайдер</t>
  </si>
  <si>
    <t>Диана Самара - Открытая линия Левша</t>
  </si>
  <si>
    <t>Диана</t>
  </si>
  <si>
    <t>7 917 102-58-27 - Входящий звонок</t>
  </si>
  <si>
    <t xml:space="preserve">фары в плёнку </t>
  </si>
  <si>
    <t>7 927 721-09-60 - Входящий звонок</t>
  </si>
  <si>
    <t>7 917 955-50-05 - Входящий звонок</t>
  </si>
  <si>
    <t>Заполнение CRM-формы "Обратный звонок с номера "Приложение: MANGO OFFICE""</t>
  </si>
  <si>
    <t>Олег</t>
  </si>
  <si>
    <t>7 996 342-04-45 - Входящий звонок</t>
  </si>
  <si>
    <t xml:space="preserve">Exeed VX зоны риска / хзаклеил в другом месте у знакомых </t>
  </si>
  <si>
    <t xml:space="preserve">21,04 плёнка на капот Rav 4 </t>
  </si>
  <si>
    <t xml:space="preserve">лада веста капот фары, крылья, полоса крыша / расчеты в смс отправил / мнется </t>
  </si>
  <si>
    <t>Haval fx7 в пленку 28,04</t>
  </si>
  <si>
    <t>Просолупов</t>
  </si>
  <si>
    <t xml:space="preserve">оклейка фонарей БМВ м8 / дорого </t>
  </si>
  <si>
    <t xml:space="preserve">шкода карок 295 28,04 пленка </t>
  </si>
  <si>
    <t xml:space="preserve">Тенет Т7 пленка / созвон в след месяце (май) </t>
  </si>
  <si>
    <t xml:space="preserve">Алексей </t>
  </si>
  <si>
    <t>Целиковая мат/сатин GLC 21,04</t>
  </si>
  <si>
    <t>JAC T9 в пленку</t>
  </si>
  <si>
    <t>Коррекция пленки спойлера</t>
  </si>
  <si>
    <t>оклейка фар каптюр 25,04</t>
  </si>
  <si>
    <t>Прозвон цен Манго детейлинг</t>
  </si>
  <si>
    <t>11,04 Контрольный осмотр</t>
  </si>
  <si>
    <t>опять узнал стоимости и передаст клиенту</t>
  </si>
  <si>
    <t>Егор</t>
  </si>
  <si>
    <t>Вадим</t>
  </si>
  <si>
    <t>Олег Шевченко - Открытая линия Левша</t>
  </si>
  <si>
    <t>Шевченко</t>
  </si>
  <si>
    <t>7 922 620-39-72 - Входящий звонок</t>
  </si>
  <si>
    <t>Арут Даниелян - Открытая линия Левша</t>
  </si>
  <si>
    <t>Арут</t>
  </si>
  <si>
    <t>Даниелян</t>
  </si>
  <si>
    <t xml:space="preserve">плёнка Vk </t>
  </si>
  <si>
    <t xml:space="preserve">Скол на ЛКП и сказал что хочет оклеить у нас, но разговора не было не могу найти </t>
  </si>
  <si>
    <t xml:space="preserve">плёнка на байк </t>
  </si>
  <si>
    <t xml:space="preserve">плёнка Q8 </t>
  </si>
  <si>
    <t xml:space="preserve">джили атлас 2024 зоны риска и салон / собирает предложения </t>
  </si>
  <si>
    <t xml:space="preserve">плёнка грузовики </t>
  </si>
  <si>
    <t xml:space="preserve">Королла 24,04 ДТЛ пленка </t>
  </si>
  <si>
    <t>Jeecoo J8 пленка, антихром 21,04</t>
  </si>
  <si>
    <t xml:space="preserve">Плёнка на капот </t>
  </si>
  <si>
    <t>Оклейка полосы над крышей</t>
  </si>
  <si>
    <t>оклейка мотоцикцла в винил</t>
  </si>
  <si>
    <t xml:space="preserve">w213 оклейка в матовый, чат в вк </t>
  </si>
  <si>
    <t>Филипп</t>
  </si>
  <si>
    <t>Горшков</t>
  </si>
  <si>
    <t>14,04 Полная оклейка Джилли Атласс</t>
  </si>
  <si>
    <t>Пленка целиком или стандарт СХ-5</t>
  </si>
  <si>
    <t xml:space="preserve">Дмитрий </t>
  </si>
  <si>
    <t xml:space="preserve">плёнка на Chevrolet </t>
  </si>
  <si>
    <t xml:space="preserve">плёнка на 04,04 </t>
  </si>
  <si>
    <t xml:space="preserve">Иван </t>
  </si>
  <si>
    <t>7 912 052-12-52 - Входящий звонок</t>
  </si>
  <si>
    <t>Оклейка переднего бампера</t>
  </si>
  <si>
    <t xml:space="preserve">красные полосы спортивные заклеить и сделать не спортивными </t>
  </si>
  <si>
    <t>Гуреев</t>
  </si>
  <si>
    <t xml:space="preserve">Зоны риска хавал Дарго / тепленький </t>
  </si>
  <si>
    <t xml:space="preserve">плёнка на диски </t>
  </si>
  <si>
    <t>Оклейка мотоцикла пленкой</t>
  </si>
  <si>
    <t>7 846 276-72-95 - Входящий звонок</t>
  </si>
  <si>
    <t xml:space="preserve">типография оклейка на русскую локализацию </t>
  </si>
  <si>
    <t xml:space="preserve">На почте оклеить ларгус в брендирование </t>
  </si>
  <si>
    <t>Заявка с сайта ЛЕВША - форма Online-запись</t>
  </si>
  <si>
    <t>Вячеслав</t>
  </si>
  <si>
    <t>15,04 Стандарт Х1</t>
  </si>
  <si>
    <t xml:space="preserve">шкода суперб зоны риска </t>
  </si>
  <si>
    <t xml:space="preserve">Оклейка бака мотоцикла </t>
  </si>
  <si>
    <t>Гладцин</t>
  </si>
  <si>
    <t>Оклейка гидроцикла / дорого</t>
  </si>
  <si>
    <t>Пленка бмв 1 переклейка</t>
  </si>
  <si>
    <t>Лексус РХ полная оклейка или стандарт</t>
  </si>
  <si>
    <t xml:space="preserve">Бронь лобового / не уд дата </t>
  </si>
  <si>
    <t>Оклейка GACGS8 полная</t>
  </si>
  <si>
    <t>GLE полная оклейка кузова из красного в черный или белый</t>
  </si>
  <si>
    <t>7 987 948-91-53 - Входящий звонок</t>
  </si>
  <si>
    <t xml:space="preserve">Плёнка веста </t>
  </si>
  <si>
    <t>7 967 497-40-42 - Входящий звонок</t>
  </si>
  <si>
    <t xml:space="preserve">демонтаж плёнки </t>
  </si>
  <si>
    <t xml:space="preserve">Киа к5 / зоны риска / когда-то в мае, как вернется с работы </t>
  </si>
  <si>
    <t>киа к5/ зоны риска/ когда-то в мае, когда вернется из командировки</t>
  </si>
  <si>
    <t>КОнтрольный осмотр GLE</t>
  </si>
  <si>
    <t>Оклейка фар пленкой</t>
  </si>
  <si>
    <t>Просчет цен Ауди КУ3</t>
  </si>
  <si>
    <t>Камри 80 оклейка стеклянной крыши</t>
  </si>
  <si>
    <t>25,03 Кор пленки ГЛЕ</t>
  </si>
  <si>
    <t xml:space="preserve">Вопросы по пленке на капоте после оклейки / все ок воздух под сколами </t>
  </si>
  <si>
    <t>7 937 201-17-92 - Входящий звонок</t>
  </si>
  <si>
    <t>7 927 754-80-77 - Входящий звонок</t>
  </si>
  <si>
    <t>7 927 688-43-96 - Входящий звонок</t>
  </si>
  <si>
    <t>7 917 019-02-19 - Входящий звонок</t>
  </si>
  <si>
    <t>Tank 500 пленка НК</t>
  </si>
  <si>
    <t>Цены пленки Киа Соренто</t>
  </si>
  <si>
    <t>Иван Баширин - Открытая линия Левша</t>
  </si>
  <si>
    <t>Баширин</t>
  </si>
  <si>
    <t xml:space="preserve">диски в плёнку, потом покраску дисков </t>
  </si>
  <si>
    <t xml:space="preserve">бампер на 24,03 Прокин </t>
  </si>
  <si>
    <t xml:space="preserve">Плёнка чат Monjaro </t>
  </si>
  <si>
    <t>Ачкасов</t>
  </si>
  <si>
    <t xml:space="preserve">плёнку на мониторы наклеить </t>
  </si>
  <si>
    <t xml:space="preserve">Помошник Артема по оклейке пор кайман </t>
  </si>
  <si>
    <t xml:space="preserve">тонировка кулрей и зоны риска / отмена из-за финансов </t>
  </si>
  <si>
    <t xml:space="preserve">джили монжаро 2025 зоны риска </t>
  </si>
  <si>
    <t>Спойлер 911 оклейка</t>
  </si>
  <si>
    <t>Чанган оценка пленки</t>
  </si>
  <si>
    <t>саньйонг торрес зоны риска / позвонить к вечеру 20,03</t>
  </si>
  <si>
    <t>Оклейка вставок в салоне</t>
  </si>
  <si>
    <t xml:space="preserve">Tank 700 № к555ае63 переклейка бампера </t>
  </si>
  <si>
    <t>Зоны риски Белджи х70 связь утром 20,03</t>
  </si>
  <si>
    <t xml:space="preserve">RR зоны рисков </t>
  </si>
  <si>
    <t xml:space="preserve">Пленка Камри 70 </t>
  </si>
  <si>
    <t xml:space="preserve">Оклейка крыши в черный полик и защита панорамы </t>
  </si>
  <si>
    <t>7 917 111-05-03 - Входящий звонок</t>
  </si>
  <si>
    <t>Покраска и переклейка бампера GLE</t>
  </si>
  <si>
    <t>7 927 711-30-70 - Входящий звонок</t>
  </si>
  <si>
    <t>Елизавета Иванаева - Открытая линия Левша</t>
  </si>
  <si>
    <t>Елизавета</t>
  </si>
  <si>
    <t>Иванаева</t>
  </si>
  <si>
    <t>7 927 654-31-38 - Входящий звонок</t>
  </si>
  <si>
    <t xml:space="preserve">плёнка ЧАТ в Vk </t>
  </si>
  <si>
    <t>Рамиль</t>
  </si>
  <si>
    <t>Галимуллин</t>
  </si>
  <si>
    <t xml:space="preserve">Продажа лекала </t>
  </si>
  <si>
    <t xml:space="preserve">плёнка целиком , сказал набрать завтра </t>
  </si>
  <si>
    <t xml:space="preserve">Виктор </t>
  </si>
  <si>
    <t xml:space="preserve">плёнка "Стандарт" BMW X5 </t>
  </si>
  <si>
    <t xml:space="preserve">Плёнка в чёрная крыша </t>
  </si>
  <si>
    <t xml:space="preserve">Плёнка целиком Audi Q5 L </t>
  </si>
  <si>
    <t xml:space="preserve">оклейка спойлера в глянец винил </t>
  </si>
  <si>
    <t xml:space="preserve">Крыша в черный глянец с рейлингами </t>
  </si>
  <si>
    <t xml:space="preserve">исправлял косяк с письмом от Вити / заедет на осмотр как будет проезжать </t>
  </si>
  <si>
    <t xml:space="preserve">Вопрос клиента о наличии пленки люмар </t>
  </si>
  <si>
    <t xml:space="preserve">Теннет Т4 / зона рисков </t>
  </si>
  <si>
    <t xml:space="preserve">атермальная пленка хамелеон / но боится ДПС / передумал </t>
  </si>
  <si>
    <t>Фарух Саидазамов - Открытая линия Левша</t>
  </si>
  <si>
    <t>Фарух</t>
  </si>
  <si>
    <t>Саидазамов</t>
  </si>
  <si>
    <t xml:space="preserve">Хайлендер новый / зоны риска </t>
  </si>
  <si>
    <t>Ауди Q5 зоны рисков, мягкая, керамика 13.03</t>
  </si>
  <si>
    <t>Танк 300 пленка перед и керамика</t>
  </si>
  <si>
    <t>кайман порш в пленку / если до конца месяца тогда то по акции</t>
  </si>
  <si>
    <t xml:space="preserve">Оклейка стандарт с бампером </t>
  </si>
  <si>
    <t>7 927 704-76-00 - Входящий звонок</t>
  </si>
  <si>
    <t>7 927 760-88-89 - Входящий звонок</t>
  </si>
  <si>
    <t>Оклейка рамы велосипеда.</t>
  </si>
  <si>
    <t>Валерий Долганов - Открытая линия Левша</t>
  </si>
  <si>
    <t>Долганов</t>
  </si>
  <si>
    <t>Оклейка зон риска Exeed VX просчет на телеграм отправил</t>
  </si>
  <si>
    <t>Пленка. Лексус РХ, просчет в ТГ отправил</t>
  </si>
  <si>
    <t>Андрей Юшин - Открытая линия Левша</t>
  </si>
  <si>
    <t>Юшин</t>
  </si>
  <si>
    <t xml:space="preserve">плёнка стандарт , но очень дорого </t>
  </si>
  <si>
    <t xml:space="preserve">плёнка на крышку багажника </t>
  </si>
  <si>
    <t>7 986 961-75-54 - Входящий звонок</t>
  </si>
  <si>
    <t xml:space="preserve">заклеить ковралин плёнкой </t>
  </si>
  <si>
    <t xml:space="preserve">плёнка под такси белая </t>
  </si>
  <si>
    <t xml:space="preserve">плёнка в белый для такси </t>
  </si>
  <si>
    <t>7 968 530-10-10 - Входящий звонок</t>
  </si>
  <si>
    <t>poisk_okleyka</t>
  </si>
  <si>
    <t>обклейка машины</t>
  </si>
  <si>
    <t xml:space="preserve">плёнка (сам оклейщик) может пробивает может нет </t>
  </si>
  <si>
    <t>Citroen c4 2013 г.в. в пленку</t>
  </si>
  <si>
    <t>Оклейка Мото / дорого, хочет заехать что бы минимализировать расходы</t>
  </si>
  <si>
    <t>Роман</t>
  </si>
  <si>
    <t>Астафьев</t>
  </si>
  <si>
    <t>10,03 GAC , бампер, фары, капот ЗВЛ</t>
  </si>
  <si>
    <t>оклейка бронепленкой капота и крыши пикапа jac t9 / собирает предложения</t>
  </si>
  <si>
    <t>Калинин</t>
  </si>
  <si>
    <t>Проконсультировад в тг скинул расценки по оклейки тснадарт</t>
  </si>
  <si>
    <t xml:space="preserve">демонтаж пленки Ниссан x-trail </t>
  </si>
  <si>
    <t>ПЛенка Оксана перенесла запись с 06,03 на 12,03</t>
  </si>
  <si>
    <t>киа рио вставки пленки 7,03</t>
  </si>
  <si>
    <t xml:space="preserve">Коррекция пленки 06,03 Санта фе </t>
  </si>
  <si>
    <t>Отмена записи на пленку Шкода 05,03</t>
  </si>
  <si>
    <t>7 964 992-35-62 - Входящий звонок</t>
  </si>
  <si>
    <t>Плёнка Mazda Cx-5</t>
  </si>
  <si>
    <t xml:space="preserve">оклейка в цветной </t>
  </si>
  <si>
    <t>7 917 943-71-70 - Входящий звонок</t>
  </si>
  <si>
    <t>Плёнка на 05,03</t>
  </si>
  <si>
    <t xml:space="preserve">Chalenger в цветную пленку / просит не звонить </t>
  </si>
  <si>
    <t xml:space="preserve">Рав 4 10,03 фары, посадка, стойки, под ручками </t>
  </si>
  <si>
    <t>частичная расклейка дефекта 3,03</t>
  </si>
  <si>
    <t>Оклейка брендирования чеснок</t>
  </si>
  <si>
    <t>Оклейка с бампером Джилли Атласс с бампером</t>
  </si>
  <si>
    <t>7 927 693-03-39 - Входящий звонок</t>
  </si>
  <si>
    <t>7 927 689-65-33 - Входящий звонок</t>
  </si>
  <si>
    <t>Оклейка Танк 300 стандарт</t>
  </si>
  <si>
    <t>7 960 831-50-09 - Входящий звонок</t>
  </si>
  <si>
    <t>7 927 725-01-80 - Входящий звонок</t>
  </si>
  <si>
    <t xml:space="preserve">плёнка на одно зеркало </t>
  </si>
  <si>
    <t xml:space="preserve">оклейка мото или покраска мото, сам не понял и я не понял </t>
  </si>
  <si>
    <t xml:space="preserve">плёнка под номерной знак </t>
  </si>
  <si>
    <t>7 937 650-72-27 - Входящий звонок</t>
  </si>
  <si>
    <t xml:space="preserve">плёнка зона под ручками </t>
  </si>
  <si>
    <t>Анна</t>
  </si>
  <si>
    <t>Белякова</t>
  </si>
  <si>
    <t>плёнка цветная на Rav 4</t>
  </si>
  <si>
    <t>Октябрь</t>
  </si>
  <si>
    <t>Месяц</t>
  </si>
  <si>
    <t xml:space="preserve">ГЛЕ в пленку </t>
  </si>
  <si>
    <t>джили атлас про снять над лобовым пленку 25,02</t>
  </si>
  <si>
    <t xml:space="preserve">олейка квадроцикла / дорого </t>
  </si>
  <si>
    <t xml:space="preserve">плёнка по АВИТО </t>
  </si>
  <si>
    <t xml:space="preserve">Плёнка на 03,02 Audi A5 </t>
  </si>
  <si>
    <t xml:space="preserve">плёнка X5 зона риска. суховат разговор бегло получилось </t>
  </si>
  <si>
    <t xml:space="preserve">Volkswagen Golf № м040та163 обзвон по пленке </t>
  </si>
  <si>
    <t>Чери тиго в матовую пленку</t>
  </si>
  <si>
    <t>Интересовался ценами на оклейку пленки</t>
  </si>
  <si>
    <t xml:space="preserve">Обзвон по пленке </t>
  </si>
  <si>
    <t xml:space="preserve">вольсваген в пленку зоны риска </t>
  </si>
  <si>
    <t>Школа детейлинга</t>
  </si>
  <si>
    <t xml:space="preserve">Плёнка двух автомобилей </t>
  </si>
  <si>
    <t xml:space="preserve">бампер зад. заклеить после малярки. Сказал пусть две недели ждёт </t>
  </si>
  <si>
    <t xml:space="preserve">плёнка оклейка панорамы </t>
  </si>
  <si>
    <t>Коррекция рама (дубликат)</t>
  </si>
  <si>
    <t>Махмуткин</t>
  </si>
  <si>
    <t xml:space="preserve">плёнка для друга, тот не верит , что у нас такие цены </t>
  </si>
  <si>
    <t xml:space="preserve">дубль. Уже звонили </t>
  </si>
  <si>
    <t>7 927 731-86-68 - Исходящий звонок</t>
  </si>
  <si>
    <t>7 927 025-80-31 - Входящий звонок</t>
  </si>
  <si>
    <t xml:space="preserve">фокус 3 в цветную пленку </t>
  </si>
  <si>
    <t>Борисевич</t>
  </si>
  <si>
    <t xml:space="preserve">белджи х70 в пленку в глянец в апреле приезжает </t>
  </si>
  <si>
    <t xml:space="preserve">Плёнка Audi A 7 </t>
  </si>
  <si>
    <t xml:space="preserve">оклейка лобового </t>
  </si>
  <si>
    <t>GLE 21, обвес карбон и пленка серый мат</t>
  </si>
  <si>
    <t>Звонок по Панамере</t>
  </si>
  <si>
    <t>НК коррекция пленки</t>
  </si>
  <si>
    <t>17,02 отмена пленки Ауди А7</t>
  </si>
  <si>
    <t>Оклейка бампера камри</t>
  </si>
  <si>
    <t>Омода с7 матовая / зоны риска</t>
  </si>
  <si>
    <t>Переклейка заднего крыла Крета (поцарапали)</t>
  </si>
  <si>
    <t>Брендирование дверей автомобиля</t>
  </si>
  <si>
    <t xml:space="preserve">плёнка Haval H9 </t>
  </si>
  <si>
    <t xml:space="preserve">заклеить монджаро сатин или винил </t>
  </si>
  <si>
    <t>Полна оклейка HAVAL H3</t>
  </si>
  <si>
    <t>К</t>
  </si>
  <si>
    <t>лада веста / капот/ фары/под ручки/ проемы</t>
  </si>
  <si>
    <t>РР велар оклейка салона/зад фары/перекд фары/ стойки перед</t>
  </si>
  <si>
    <t>Капот оклейка</t>
  </si>
  <si>
    <t>Оклйека хавал H5 стандарт/целиком / на согласовании у ШЕФА ответ 13,02</t>
  </si>
  <si>
    <t>Стандарт Haval H5 II поколение</t>
  </si>
  <si>
    <t xml:space="preserve">Оклейка капота </t>
  </si>
  <si>
    <t>Консультация полная оклейка с белой в черную БМВ3</t>
  </si>
  <si>
    <t>7 937 999-88-83 - Входящий звонок</t>
  </si>
  <si>
    <t>Vycheslav Khateev - С ВК - винил?!</t>
  </si>
  <si>
    <t>Vycheslav</t>
  </si>
  <si>
    <t>Khateev</t>
  </si>
  <si>
    <t>7 937 646-10-30 - Входящий звонок</t>
  </si>
  <si>
    <t xml:space="preserve">плёнка часть капота </t>
  </si>
  <si>
    <t>плёнка (МОЛЧАТ В ЧАТЕ !!!!!!!)</t>
  </si>
  <si>
    <t>Коо</t>
  </si>
  <si>
    <t>Нейм</t>
  </si>
  <si>
    <t xml:space="preserve">экслантикс задний бампер в сатин / уже сделала </t>
  </si>
  <si>
    <t xml:space="preserve">бронь фар королла новые </t>
  </si>
  <si>
    <t>туарег 9,02 в пленку / шви / тонер</t>
  </si>
  <si>
    <t>Оклейка пленкой Каен приедеь на оценку по пленке</t>
  </si>
  <si>
    <t>Роман Назаров - Оклейка или керамика УРУС</t>
  </si>
  <si>
    <t>Назаров</t>
  </si>
  <si>
    <t>Оклейка Джулион</t>
  </si>
  <si>
    <t xml:space="preserve">Зоны риска БМВ Х1 / расчеты отправил ему в ТГ / думает </t>
  </si>
  <si>
    <t>Коррекция пленки и переклейка фары Прадо 06,02</t>
  </si>
  <si>
    <t>Замена накладки зеркала Шкода октавиа  03,02</t>
  </si>
  <si>
    <t xml:space="preserve">Чат в VK </t>
  </si>
  <si>
    <t>Скамбров</t>
  </si>
  <si>
    <t>7 960 814-84-33 - Входящий звонок</t>
  </si>
  <si>
    <t xml:space="preserve">плёнка на фары E-class </t>
  </si>
  <si>
    <t>Рав 4 приедет на осмотр бампера и хочет заклеить капот  3,02</t>
  </si>
  <si>
    <t>Полная оклейка матовым Фольксваген Террамонт</t>
  </si>
  <si>
    <t>Константин Зайцев - ВК - стандарт Лада веста ЧАТ</t>
  </si>
  <si>
    <t>Зайцев</t>
  </si>
  <si>
    <t xml:space="preserve">бренеплёнка на фары </t>
  </si>
  <si>
    <t>7 939 708-84-96 - Входящий звонок</t>
  </si>
  <si>
    <t xml:space="preserve">по вопросу ущерба при ДТП ( приедут на осмотр ) </t>
  </si>
  <si>
    <t xml:space="preserve">бронеплёнка на фары </t>
  </si>
  <si>
    <t>7 927 659-62-33 - Входящий звонок</t>
  </si>
  <si>
    <t xml:space="preserve">Плёнка Audi A7 </t>
  </si>
  <si>
    <t>7 960 200-43-26 - Входящий звонок</t>
  </si>
  <si>
    <t>Полная оклейка машины, расчет скинул в телеграмм. ( туарег комплекс работ)</t>
  </si>
  <si>
    <t>Оклейка узнавал цены, стандарт 124, полная 364</t>
  </si>
  <si>
    <t>Интересовался пленкой, шумкой тонировкой</t>
  </si>
  <si>
    <t>Хавал Н7</t>
  </si>
  <si>
    <t>Х7 полная оклейка с лобовым панорамой 410000</t>
  </si>
  <si>
    <t xml:space="preserve">плёнка + керамика </t>
  </si>
  <si>
    <t xml:space="preserve">броня на лобовое </t>
  </si>
  <si>
    <t xml:space="preserve">Санта фе 30,01 пленка </t>
  </si>
  <si>
    <t xml:space="preserve">Гле / бронь лоб, полоса капот, фары, звезда мерседес / ждем когда приедет новое стекло </t>
  </si>
  <si>
    <t xml:space="preserve">рав 4 полоса на капот / не готов записаться, только узнает цены </t>
  </si>
  <si>
    <t>7 966 772-02-60 - Входящий звонок</t>
  </si>
  <si>
    <t>Оклейка лада веста / крыша и окраска зеркал в черный 22,01</t>
  </si>
  <si>
    <t>Гнётов</t>
  </si>
  <si>
    <t>Полная оклейка со скидкой за наличку 384000</t>
  </si>
  <si>
    <t>Полная оклейка Воях Фри</t>
  </si>
  <si>
    <t xml:space="preserve">плёнка на MB - E класс </t>
  </si>
  <si>
    <t>7 961 382-40-00 - Входящий звонок</t>
  </si>
  <si>
    <t>2gis</t>
  </si>
  <si>
    <t>link</t>
  </si>
  <si>
    <t>auto_generated_cta</t>
  </si>
  <si>
    <t>7 927 605-80-36 - Входящий звонок</t>
  </si>
  <si>
    <t xml:space="preserve">Плёнка Niva Legend </t>
  </si>
  <si>
    <t xml:space="preserve">Плёнка Li 6 </t>
  </si>
  <si>
    <t xml:space="preserve">Плёнка в цветной </t>
  </si>
  <si>
    <t>7 927 702-07-30 - Входящий звонок</t>
  </si>
  <si>
    <t xml:space="preserve">Плёнка на гидроцикл </t>
  </si>
  <si>
    <t>Зона риска каен / рассматривает варианты / контр звонок 17,01</t>
  </si>
  <si>
    <t xml:space="preserve">грейт волл поер частично в пленку </t>
  </si>
  <si>
    <t>Контролный осмотр Ли7 полная оклейка 14,01</t>
  </si>
  <si>
    <t xml:space="preserve">Audi Q8 полная оклейка </t>
  </si>
  <si>
    <t xml:space="preserve">Зикр 7х целиком в глянец с крышей </t>
  </si>
  <si>
    <t>Звонок по пленке Танка 700</t>
  </si>
  <si>
    <t>Узнавал про пленки разные вариации</t>
  </si>
  <si>
    <t>Интересовался разными услугами, атермалка, пленка полировка, все подрят</t>
  </si>
  <si>
    <t>7 917 112-55-07 - Входящий звонок</t>
  </si>
  <si>
    <t xml:space="preserve">Плёнка на Mazda Cx-5 (по чат в Vk ) </t>
  </si>
  <si>
    <t>Резков</t>
  </si>
  <si>
    <t xml:space="preserve">чат </t>
  </si>
  <si>
    <t>Леванов</t>
  </si>
  <si>
    <t xml:space="preserve">плёнку хочет заклеить. </t>
  </si>
  <si>
    <t>набрать завтра по плёнке в салон</t>
  </si>
  <si>
    <t>коррекция 9,01 Hyundai Creta а656кв163</t>
  </si>
  <si>
    <t xml:space="preserve">оклеить бампер в пленку, позвонит как приедет </t>
  </si>
  <si>
    <t xml:space="preserve">Интересовался ценой пленки </t>
  </si>
  <si>
    <t>Пленка Х7 сдача 11-12</t>
  </si>
  <si>
    <t>Прозвон цены оклейки китайского минивэна</t>
  </si>
  <si>
    <t>7 937 983-56-75 - Входящий звонок</t>
  </si>
  <si>
    <t>Lixiang L7 № е163ат163</t>
  </si>
  <si>
    <t xml:space="preserve">плёнка на 12,01 </t>
  </si>
  <si>
    <t>Gac GS8 в пленку стандарт или целеком</t>
  </si>
  <si>
    <t>Прадо 150 зоны риска / собирает предложения. Пока не готов</t>
  </si>
  <si>
    <t xml:space="preserve">Сергей </t>
  </si>
  <si>
    <t xml:space="preserve">рубикон в пленку без крыши/ интересовался продажник подбирает машину клиенту </t>
  </si>
  <si>
    <t>Mazda 6 № м163мм63 в пленку и дтл 25,12</t>
  </si>
  <si>
    <t>7 987 430-09-89 - Входящий звонок</t>
  </si>
  <si>
    <t>Пленка изменение цвета. Дорого</t>
  </si>
  <si>
    <t>7 996 748-01-81 - Входящий звонок</t>
  </si>
  <si>
    <t>7 929 774-49-15 - Входящий звонок</t>
  </si>
  <si>
    <t xml:space="preserve">Отходит пленка на зеркале / гарантия / запишется после новогодних </t>
  </si>
  <si>
    <t xml:space="preserve">зона под ручками 20.12 отмена записи </t>
  </si>
  <si>
    <t>Воях фри в пленку хочет сейчас / возможно после новогодних еще не сделает</t>
  </si>
  <si>
    <t xml:space="preserve">25.12 ПЛЁНКА MAT Li7 </t>
  </si>
  <si>
    <t>18,12 Пленка Джулион</t>
  </si>
  <si>
    <t>Полная Оклейка Voyah Free</t>
  </si>
  <si>
    <t xml:space="preserve">V-class переклейка бампера и крыгшки багажника </t>
  </si>
  <si>
    <t>По гарантии переклейка после нового года запишется</t>
  </si>
  <si>
    <t>7 906 342-67-48 - Входящий звонок</t>
  </si>
  <si>
    <t>Пленка стандарт Монджаро</t>
  </si>
  <si>
    <t>Пленка 6-7.01.26 Джейку Джей 7</t>
  </si>
  <si>
    <t>7 983 538-88-35 - Входящий звонок</t>
  </si>
  <si>
    <t xml:space="preserve">оклеить зеркала </t>
  </si>
  <si>
    <t>Плёнка танк 700 6,01</t>
  </si>
  <si>
    <t xml:space="preserve">Зоны риска ситирей 26,12 </t>
  </si>
  <si>
    <t xml:space="preserve">предварительная оценка переклейки бампера что бы взыскать деньги с виновника </t>
  </si>
  <si>
    <t>18,12 хавал джулион пленка</t>
  </si>
  <si>
    <t>ЧАТ / пленка нива зоны риска / дорого</t>
  </si>
  <si>
    <t>Семён</t>
  </si>
  <si>
    <t>Котов</t>
  </si>
  <si>
    <t>Рыжий АП монджаро зоны риска 16,12</t>
  </si>
  <si>
    <t>7 964 983-65-10 - Входящий звонок</t>
  </si>
  <si>
    <t>7 927 899-81-00 - Входящий звонок</t>
  </si>
  <si>
    <t xml:space="preserve">Плёнка на X7 </t>
  </si>
  <si>
    <t>7 917 943-89-81 - Входящий звонок</t>
  </si>
  <si>
    <t xml:space="preserve">бронепленка на фары </t>
  </si>
  <si>
    <t>7 964 985-99-66 - Входящий звонок</t>
  </si>
  <si>
    <t xml:space="preserve">мойка +плёнка Cayene </t>
  </si>
  <si>
    <t>плёнка ситирей 25,12</t>
  </si>
  <si>
    <t xml:space="preserve">после дтп переклеить фару </t>
  </si>
  <si>
    <t xml:space="preserve"> geely Coolray зонеы риска </t>
  </si>
  <si>
    <t>Анастасия</t>
  </si>
  <si>
    <t>Миллер</t>
  </si>
  <si>
    <t xml:space="preserve">плёнку рвсчет делали </t>
  </si>
  <si>
    <t>Lexus RX Пленка и керамика запись 22,12</t>
  </si>
  <si>
    <t>ГЛЕ Купе в цветную или другую пленку / узнает цены</t>
  </si>
  <si>
    <t>Антихром зоны вокруг окон Камри 19,12 и НК</t>
  </si>
  <si>
    <t>ПЛенка Ауди А6</t>
  </si>
  <si>
    <t xml:space="preserve">Оклейка целиком. после окраски ждет время/ январь </t>
  </si>
  <si>
    <t xml:space="preserve">Пленка оклейка Каен </t>
  </si>
  <si>
    <t>Оклейк х5 поенкой с демонтажем старой</t>
  </si>
  <si>
    <t>Оклеить пленкой велосипед</t>
  </si>
  <si>
    <t>Сергей Манашкин - тонировка задних фонарей</t>
  </si>
  <si>
    <t>Манашкин</t>
  </si>
  <si>
    <t xml:space="preserve">Захотел в мат сделать </t>
  </si>
  <si>
    <t>7 927 711-11-04 - Входящий звонок</t>
  </si>
  <si>
    <t xml:space="preserve">плёнка +керамика </t>
  </si>
  <si>
    <t xml:space="preserve">плёнка целиковая </t>
  </si>
  <si>
    <t>Свистунов</t>
  </si>
  <si>
    <t>7 908 497-00-63 - Входящий звонок</t>
  </si>
  <si>
    <t xml:space="preserve">09.12 Демонтаж бронеплёнки </t>
  </si>
  <si>
    <t>Ram Limited 1500 Целиком в глянец 15,12</t>
  </si>
  <si>
    <t xml:space="preserve">Полная оклейка и допы </t>
  </si>
  <si>
    <t>Оклейка БМВ 5</t>
  </si>
  <si>
    <t>Zeekr 9X пленка</t>
  </si>
  <si>
    <t xml:space="preserve">Ли6, зоны риска </t>
  </si>
  <si>
    <t>Осмотр пленки 29,11</t>
  </si>
  <si>
    <t>Полная оклейка Монджаро 340, антихром 130</t>
  </si>
  <si>
    <t>7 987 901-86-81 - Входящий звонок</t>
  </si>
  <si>
    <t xml:space="preserve">водитель который привезёт тачку на целиковую </t>
  </si>
  <si>
    <t xml:space="preserve">Плёнка цветной + демонтаж </t>
  </si>
  <si>
    <t>Данил Исмагилов - Открытая линия Левша</t>
  </si>
  <si>
    <t>Исмагилов</t>
  </si>
  <si>
    <t>Монжаро целиком в пленку 2,12</t>
  </si>
  <si>
    <t xml:space="preserve">Генезис целиком в цветную </t>
  </si>
  <si>
    <t>полировки и керамики на поло / чат</t>
  </si>
  <si>
    <t>Овидько</t>
  </si>
  <si>
    <t>Ильгиз Акчурин - ВК пленка</t>
  </si>
  <si>
    <t>Ильгиз</t>
  </si>
  <si>
    <t>Акчурин</t>
  </si>
  <si>
    <t>заклеить в хром детали</t>
  </si>
  <si>
    <t xml:space="preserve">Пленка Белджи 25,11 </t>
  </si>
  <si>
    <t xml:space="preserve">терамонт л про в пленку в глянец </t>
  </si>
  <si>
    <t>Хром пленка</t>
  </si>
  <si>
    <t>Вячеслав Чечинёв - ВК пленка капот и лобаш</t>
  </si>
  <si>
    <t>Чечинёв</t>
  </si>
  <si>
    <t xml:space="preserve">плёнка в мат </t>
  </si>
  <si>
    <t>7 927 260-53-77 - Входящий звонок</t>
  </si>
  <si>
    <t>7 927 206-61-87 - Входящий звонок</t>
  </si>
  <si>
    <t>7 927 200-20-29 - Входящий звонок</t>
  </si>
  <si>
    <t xml:space="preserve">полоса на крышу мерцедес </t>
  </si>
  <si>
    <t xml:space="preserve">Плёнка цветная Mazda Cx-5 (белая) в серый </t>
  </si>
  <si>
    <t xml:space="preserve">Плёнка цветная на Mazda Cx-5 (бел) нужно в серый </t>
  </si>
  <si>
    <t xml:space="preserve">фары снять плёнку отполировать </t>
  </si>
  <si>
    <t xml:space="preserve">снятие плёнки </t>
  </si>
  <si>
    <t xml:space="preserve">фары в плёнку надо с одной </t>
  </si>
  <si>
    <t xml:space="preserve">Hyundai Creta № н247ме763 Пленка </t>
  </si>
  <si>
    <t xml:space="preserve">плёнка на Li </t>
  </si>
  <si>
    <t xml:space="preserve">пленка хакки грин </t>
  </si>
  <si>
    <t>никита</t>
  </si>
  <si>
    <t>спросил как клеют пленку</t>
  </si>
  <si>
    <t>Антихром, бронь лобоовго и панорамы</t>
  </si>
  <si>
    <t>Оклейка Эксид экслантикс</t>
  </si>
  <si>
    <t>Джак т 9 пикап в черн матов / ЧАТ</t>
  </si>
  <si>
    <t>Васильев</t>
  </si>
  <si>
    <t>Пленка стандарт</t>
  </si>
  <si>
    <t>Оклейка бмв 3 в цветную</t>
  </si>
  <si>
    <t>Х5 в ДТЛ и пленку 21,11</t>
  </si>
  <si>
    <t xml:space="preserve">Коррекция пленки BMW 5 № м833ке977 </t>
  </si>
  <si>
    <t>Стария зоны риска 2,12</t>
  </si>
  <si>
    <t>GLE Тонер, пленка  все подряд / машина в пути 27,11</t>
  </si>
  <si>
    <t xml:space="preserve">Николай коррекци фендера после оклейки </t>
  </si>
  <si>
    <t>А6 в работе в пленке</t>
  </si>
  <si>
    <t xml:space="preserve">Джейку J7 крышу в черный с рейлингами / дорого </t>
  </si>
  <si>
    <t>7 987 153-45-44 - Исходящий звонок</t>
  </si>
  <si>
    <t>Jaguar F pace полировка пленка</t>
  </si>
  <si>
    <t>Поцарапала кошка капот в пленке, приедет на осмотр</t>
  </si>
  <si>
    <t>7 937 073-41-73 - Входящий звонок</t>
  </si>
  <si>
    <t>Матвей Гуляев - ВК пленка в чате</t>
  </si>
  <si>
    <t>Гуляев</t>
  </si>
  <si>
    <t xml:space="preserve">пленка + полировка </t>
  </si>
  <si>
    <t>Ават</t>
  </si>
  <si>
    <t>Биссалиев</t>
  </si>
  <si>
    <t>Николай Шполяренко - Открытая линия Левша</t>
  </si>
  <si>
    <t>Шполяренко</t>
  </si>
  <si>
    <t xml:space="preserve">плёнка капот + полоса на крышу </t>
  </si>
  <si>
    <t>Татьяна</t>
  </si>
  <si>
    <t>brend</t>
  </si>
  <si>
    <t>детейлинг центр левша самара</t>
  </si>
  <si>
    <t xml:space="preserve">плёнка по чату </t>
  </si>
  <si>
    <t xml:space="preserve">на Kia K5 салон заклеить </t>
  </si>
  <si>
    <t>GLС в матовый зеленый  25,11</t>
  </si>
  <si>
    <t xml:space="preserve">чери тигго 9 целиковая мат ЧАТ </t>
  </si>
  <si>
    <t>Серёга</t>
  </si>
  <si>
    <t>Кривошеев</t>
  </si>
  <si>
    <t>15,11 пленка сити рей капот фары</t>
  </si>
  <si>
    <t>Позвонит черезе неделю две запишеться на оклейку бампера после покраски , выждать 2-3 неделеи после покраски</t>
  </si>
  <si>
    <t xml:space="preserve">Полная оклейка патриот </t>
  </si>
  <si>
    <t>ТЕНЕТ Т7 в пленку / ЧАТ / свяжется как определиться</t>
  </si>
  <si>
    <t>Рябцев</t>
  </si>
  <si>
    <t xml:space="preserve">Форд Экпидишн в цветную пленку / дорого </t>
  </si>
  <si>
    <t xml:space="preserve">Вакансия Оклейщик </t>
  </si>
  <si>
    <t>Александр Салынский</t>
  </si>
  <si>
    <t xml:space="preserve">Бронь на лобвое Li9 / передумал делать </t>
  </si>
  <si>
    <t>ГЛЕ мерс 19 год оклейка перед</t>
  </si>
  <si>
    <t>Оклейка пленкой Х7 330,000 и ауди а6 розовый 300,000</t>
  </si>
  <si>
    <t xml:space="preserve">Toyota Land Cruiser Prado </t>
  </si>
  <si>
    <t xml:space="preserve">Санта ФЕ целиком в глянец 24,11 </t>
  </si>
  <si>
    <t>7 996 733-93-54 - Входящий звонок</t>
  </si>
  <si>
    <t>7 927 722-35-85 - Входящий звонок</t>
  </si>
  <si>
    <t>7 927 705-81-67 - Входящий звонок</t>
  </si>
  <si>
    <t>7 937 177-60-66 - Входящий звонок</t>
  </si>
  <si>
    <t>7 927 775-31-35 - Входящий звонок</t>
  </si>
  <si>
    <t xml:space="preserve">заявка по плёнке уже не актуально </t>
  </si>
  <si>
    <t>Степан</t>
  </si>
  <si>
    <t xml:space="preserve">Демонтаж плёнки с фар </t>
  </si>
  <si>
    <t xml:space="preserve">Хавал Ф7 карбон ставки </t>
  </si>
  <si>
    <t>Наклейки для снегоходов</t>
  </si>
  <si>
    <t xml:space="preserve">оклеить капот поверх сколов </t>
  </si>
  <si>
    <t>переклеить уголок крыла от пескоструя 14,11</t>
  </si>
  <si>
    <t>Полная оклейка Toyota Секвоя</t>
  </si>
  <si>
    <t>Пленка капот стойки</t>
  </si>
  <si>
    <t>Полная оклейка БМВ Х6</t>
  </si>
  <si>
    <t>7 916 092-42-50 - Исходящий звонок</t>
  </si>
  <si>
    <t xml:space="preserve">Плёнка на фары </t>
  </si>
  <si>
    <t xml:space="preserve">оклеить уголок пескостуря на задней двери монжаро / дорого </t>
  </si>
  <si>
    <t xml:space="preserve">убрать жидлкую резину с хрома и оклеить в антихром Киа к5 / дорого </t>
  </si>
  <si>
    <t xml:space="preserve">Плёнка стандарт без бампера </t>
  </si>
  <si>
    <t>вопрос по пленке</t>
  </si>
  <si>
    <t>Отмена Оклейки кузова Шкода Октавиа с 11.11</t>
  </si>
  <si>
    <t>Пленка Х6</t>
  </si>
  <si>
    <t>Плена зоны риска Белджи х50</t>
  </si>
  <si>
    <t>7 917 114-03-70 - Входящий звонок</t>
  </si>
  <si>
    <t>Оклейка стандарт Джилли монджаро</t>
  </si>
  <si>
    <t>Полная оклейка Монджаро</t>
  </si>
  <si>
    <t>Заявка с сайта ЛЕВША Пленка, шумка арок</t>
  </si>
  <si>
    <t>ya</t>
  </si>
  <si>
    <t xml:space="preserve">Плёнка на крету </t>
  </si>
  <si>
    <t>Михаил - Авито - Левша-Сервис открытая линия</t>
  </si>
  <si>
    <t>7 927 207-17-99 - Входящий звонок</t>
  </si>
  <si>
    <t xml:space="preserve">потолок заклеить плёнкой чтобы не пачкался при транспортировки </t>
  </si>
  <si>
    <t xml:space="preserve">07,11 плёнка Solaris </t>
  </si>
  <si>
    <t>7 905 329-67-12 - Входящий звонок</t>
  </si>
  <si>
    <t xml:space="preserve">Хавал джулион капот в пленку </t>
  </si>
  <si>
    <t>оклеить передние фары и дверные проемы на geely monjaro 8,11</t>
  </si>
  <si>
    <t>Калараш</t>
  </si>
  <si>
    <t xml:space="preserve">Снять пленку с фар сейчас </t>
  </si>
  <si>
    <t xml:space="preserve">BMW X4 полная оклейка </t>
  </si>
  <si>
    <t>29,10 пленка, шумоизоляция Хайлендер</t>
  </si>
  <si>
    <t>Илья -Авито, Омода С5 оклейка поленкой</t>
  </si>
  <si>
    <t xml:space="preserve">рубикон в пленке </t>
  </si>
  <si>
    <t xml:space="preserve">по пленке я звонил уточнить актуальность. </t>
  </si>
  <si>
    <t xml:space="preserve">в матовый цвет лексус РХ300 / узнавал цену </t>
  </si>
  <si>
    <t>Хайлендер зоны риска, просчеты в ватсаппе / пока молчит</t>
  </si>
  <si>
    <t>Оклейка какой то панели</t>
  </si>
  <si>
    <t>One Design - Авито Подают пленки</t>
  </si>
  <si>
    <t>One</t>
  </si>
  <si>
    <t>Design</t>
  </si>
  <si>
    <t>01,11 Пленка 1 дверь оклейка</t>
  </si>
  <si>
    <t>Пленка озвучил цены стандарт</t>
  </si>
  <si>
    <t>7 922 820-50-90 - Входящий звонок</t>
  </si>
  <si>
    <t>Оклейка джилли Монджаро</t>
  </si>
  <si>
    <t>7 927 694-24-64 - Входящий звонок</t>
  </si>
  <si>
    <t>Оклейка проемов белджи</t>
  </si>
  <si>
    <t xml:space="preserve">пленка на старый автомобиль </t>
  </si>
  <si>
    <t>7 987 157-60-75 - Входящий звонок</t>
  </si>
  <si>
    <t>V-class Трансгрупп оклейка в пленку 27,10</t>
  </si>
  <si>
    <t xml:space="preserve">плёнка + ШВИ </t>
  </si>
  <si>
    <t xml:space="preserve">Х5 в М пакет / расклеить заного оклеить </t>
  </si>
  <si>
    <t xml:space="preserve">DTL привезенной машины </t>
  </si>
  <si>
    <t>Serega</t>
  </si>
  <si>
    <t>Alekseevich</t>
  </si>
  <si>
    <t xml:space="preserve">Оклейка Джили монжаро целиком / приедет в гости познакомиться </t>
  </si>
  <si>
    <t xml:space="preserve">монжаро 2025 целиком или зоны риска / приедет познакомиться как будет проездом </t>
  </si>
  <si>
    <t xml:space="preserve">Плёнка на фары и капот полоса </t>
  </si>
  <si>
    <t>октавия целиком в глянец 11,11</t>
  </si>
  <si>
    <t xml:space="preserve">Александр </t>
  </si>
  <si>
    <t>уже оклеился в другом месте</t>
  </si>
  <si>
    <t>Оклейка крыши черным Чанган 55. 03,11</t>
  </si>
  <si>
    <t xml:space="preserve">Капот/крылья  монжаро </t>
  </si>
  <si>
    <t>Пленка Киа Спортедж</t>
  </si>
  <si>
    <t>Пленка зоны риска</t>
  </si>
  <si>
    <t xml:space="preserve">Киа селтос целиковая 5 ноября </t>
  </si>
  <si>
    <t>Отменил запись на переклейку багажника</t>
  </si>
  <si>
    <t>Равиль Т - ВК пленка</t>
  </si>
  <si>
    <t>Равиль</t>
  </si>
  <si>
    <t>Т</t>
  </si>
  <si>
    <t>rsya_okleyka</t>
  </si>
  <si>
    <t>обтяжка авто</t>
  </si>
  <si>
    <t>Оклейка Lixiang Li7</t>
  </si>
  <si>
    <t>7 902 429-23-26 - Входящий звонок</t>
  </si>
  <si>
    <t>Оклейка и шумка LI7</t>
  </si>
  <si>
    <t>Димарик Косарик - Открытая линия Левша</t>
  </si>
  <si>
    <t>Димарик</t>
  </si>
  <si>
    <t>Косарик</t>
  </si>
  <si>
    <t xml:space="preserve">Плёнка целиком в мат </t>
  </si>
  <si>
    <t>7 987 509-29-99 - Входящий звонок</t>
  </si>
  <si>
    <t xml:space="preserve">Оклейка вставок в салоне </t>
  </si>
  <si>
    <t>БМВ Х3 полная в глянец 28,10</t>
  </si>
  <si>
    <t xml:space="preserve">лекала для джип гранд чероки </t>
  </si>
  <si>
    <t>Tiguan l pro пленка + тонер 24,10</t>
  </si>
  <si>
    <t>Toyota Camry № х486тх163 коррекция</t>
  </si>
  <si>
    <t xml:space="preserve">туарег 3 целиком в пленку / приедет на выбор пленки </t>
  </si>
  <si>
    <t>Иванов</t>
  </si>
  <si>
    <t>Пленка капот фары</t>
  </si>
  <si>
    <t>Оклейка</t>
  </si>
  <si>
    <t>Оклейка вставок в салоне с материалом клиента</t>
  </si>
  <si>
    <t>Пленка капот + антихром</t>
  </si>
  <si>
    <t>Марина</t>
  </si>
  <si>
    <t>Петрова</t>
  </si>
  <si>
    <t>оклейка машины</t>
  </si>
  <si>
    <t>Пленка</t>
  </si>
  <si>
    <t>Рав 4 пленка</t>
  </si>
  <si>
    <t>Пленка Gelly Atlass</t>
  </si>
  <si>
    <t>Хавал ф7 поколение 2, зоны риска ЧАТ</t>
  </si>
  <si>
    <t>Прокофьев</t>
  </si>
  <si>
    <t xml:space="preserve">Обклей-ка прозрачный полиуретан Lixiang l9 ЧАТ </t>
  </si>
  <si>
    <t>Оклейка BMW X3 2025</t>
  </si>
  <si>
    <t>7 903 963-66-11 - Входящий звонок</t>
  </si>
  <si>
    <t>Запись коррекция 10.10 Atlas</t>
  </si>
  <si>
    <t>Пленка Gelly Monjaro</t>
  </si>
  <si>
    <t>7 927 752-97-97 - Исходящий звонок</t>
  </si>
  <si>
    <t>Александра Зинкина - запись на коррекцию SsangYong Torres № н389нм763</t>
  </si>
  <si>
    <t>Александра</t>
  </si>
  <si>
    <t>Зинкина</t>
  </si>
  <si>
    <t>7 927 603-89-29 - Входящий звонок</t>
  </si>
  <si>
    <t>на 21,10</t>
  </si>
  <si>
    <t>Юлия</t>
  </si>
  <si>
    <t>Панина</t>
  </si>
  <si>
    <t xml:space="preserve">Audi A6 на большой DTL антихром+плёнка+покраска дисков </t>
  </si>
  <si>
    <t xml:space="preserve">переклеить часть бампера </t>
  </si>
  <si>
    <t>общаемся с ним в телеграмм</t>
  </si>
  <si>
    <t>Горячев</t>
  </si>
  <si>
    <t xml:space="preserve">расклить бестюн б70 / дорого </t>
  </si>
  <si>
    <t xml:space="preserve">03,10 </t>
  </si>
  <si>
    <t xml:space="preserve">оклеить целиком </t>
  </si>
  <si>
    <t>БМВ х4 целиком в пленку дубликат звонок, сделка уже есть, прикрепить звонок не могу туда</t>
  </si>
  <si>
    <t>Трифонов</t>
  </si>
  <si>
    <t xml:space="preserve">капот хаклеить + полоса на крышу </t>
  </si>
  <si>
    <t xml:space="preserve">спортаж 5 зоны риска, возможно пробив/ такой запрос уже был </t>
  </si>
  <si>
    <t>Эдуард</t>
  </si>
  <si>
    <t>Свеловский</t>
  </si>
  <si>
    <t xml:space="preserve">БМВ 5 g30 (капот, фары, бампер) / узнавал цену  </t>
  </si>
  <si>
    <t>Пленка оклейка вся или перед</t>
  </si>
  <si>
    <t>Киа спортаж зоны риска или целиком / ЧАТ</t>
  </si>
  <si>
    <t>Римма</t>
  </si>
  <si>
    <t>Царёва</t>
  </si>
  <si>
    <t>переклейка двери/ бампера воя ври 13,10</t>
  </si>
  <si>
    <t>Запись на 07.10</t>
  </si>
  <si>
    <t xml:space="preserve">Андрей </t>
  </si>
  <si>
    <t>Порш кайен оклейка частичная или полная</t>
  </si>
  <si>
    <t>Переклейка крыши черная</t>
  </si>
  <si>
    <t>7 939 707-00-70 - Входящий звонок</t>
  </si>
  <si>
    <t>демонтаж брониплёнки на лобовом</t>
  </si>
  <si>
    <t>П_Л_Ё_Н_К_А</t>
  </si>
  <si>
    <t>П_Л_Ё_Н_К_А + П_О_Л.</t>
  </si>
  <si>
    <t>7 927 725-32-22 - Входящий звонок</t>
  </si>
  <si>
    <t>7 917 820-66-10 - Входящий звонок</t>
  </si>
  <si>
    <t>7 960 816-01-20 - Входящий звонок</t>
  </si>
  <si>
    <t>7 917 106-59-28 - Входящий звонок</t>
  </si>
  <si>
    <t xml:space="preserve">Тонировка+бр.пл. на фары+полоса на крышу +капот </t>
  </si>
  <si>
    <t>Оклейка крыши черный глянец</t>
  </si>
  <si>
    <t>Виктор Ширяев - Открытая линия Левша</t>
  </si>
  <si>
    <t>Виктор</t>
  </si>
  <si>
    <t>Ширяев</t>
  </si>
  <si>
    <t>7 903 303-99-22 - Входящий звонок</t>
  </si>
  <si>
    <t>Сергей Мареев - полная оклейка</t>
  </si>
  <si>
    <t>Мареев</t>
  </si>
  <si>
    <t xml:space="preserve">пленка мат на Cruze </t>
  </si>
  <si>
    <t>Влад</t>
  </si>
  <si>
    <t>Викторович</t>
  </si>
  <si>
    <t xml:space="preserve">Антихром и пленка матовая </t>
  </si>
  <si>
    <t>Оклейка Jetour T2</t>
  </si>
  <si>
    <t xml:space="preserve">Тундра в матовый </t>
  </si>
  <si>
    <t>Оценка оклейка Стандарт Omoda c5</t>
  </si>
  <si>
    <t>Оклейка 02.10</t>
  </si>
  <si>
    <t>7 987 819-07-00 - Входящий звонок</t>
  </si>
  <si>
    <t>Полная оклейка БМВ Х4 с изменением цвета 02.10</t>
  </si>
  <si>
    <t>Капот пленка и антихром</t>
  </si>
  <si>
    <t>Georgiy Degtyarev - Открытая линия Левша</t>
  </si>
  <si>
    <t>Georgiy</t>
  </si>
  <si>
    <t>Degtyarev</t>
  </si>
  <si>
    <t>7 927 713-69-54 - Входящий звонок</t>
  </si>
  <si>
    <t>7 906 342-30-00 - Исходящий звонок</t>
  </si>
  <si>
    <t>7 927 728-01-48 - Исходящий звонок</t>
  </si>
  <si>
    <t xml:space="preserve">бампер переклеить пер. </t>
  </si>
  <si>
    <t>демонтаж плёнки с такси</t>
  </si>
  <si>
    <t xml:space="preserve">плёнка на toyota higlander придварительно на 20,10 хочет записаться </t>
  </si>
  <si>
    <t xml:space="preserve">бронепленка </t>
  </si>
  <si>
    <t>7 927 634-01-70 - Входящий звонок</t>
  </si>
  <si>
    <t>29,09  плёнка стойки перед лобовым</t>
  </si>
  <si>
    <t>7 927 266-73-70 - Входящий звонок</t>
  </si>
  <si>
    <t xml:space="preserve">на 29 записан на стандарт </t>
  </si>
  <si>
    <t xml:space="preserve">Восилжон </t>
  </si>
  <si>
    <t>7 987 157-31-84 - Исходящий звонок</t>
  </si>
  <si>
    <t>7 927 744-59-86 - Входящий звонок</t>
  </si>
  <si>
    <t>7 985 760-47-53 - Входящий звонок</t>
  </si>
  <si>
    <t>плёнка мат LC 300</t>
  </si>
  <si>
    <t>7 964 976-90-31 - Входящий звонок</t>
  </si>
  <si>
    <t xml:space="preserve">Георгий </t>
  </si>
  <si>
    <t xml:space="preserve">Дубликат </t>
  </si>
  <si>
    <t>Георгий</t>
  </si>
  <si>
    <t>Оклейка машины перед/полная</t>
  </si>
  <si>
    <t>Бронь капот на рендж который пригнал Анисимов / выпрашивает скидку / предложена в 5%</t>
  </si>
  <si>
    <t>расклеить гелик/ дорого</t>
  </si>
  <si>
    <t>7 922 252-73-37 - Входящий звонок</t>
  </si>
  <si>
    <t>7 927 709-96-99 - Входящий звонок</t>
  </si>
  <si>
    <t>Айнура Агамалиева-Гафарова - Открытая линия Левша</t>
  </si>
  <si>
    <t>Айнура</t>
  </si>
  <si>
    <t>Агамалиева-Гафарова</t>
  </si>
  <si>
    <t>Пленка зеркала 24.09</t>
  </si>
  <si>
    <t>Оклейка пленки</t>
  </si>
  <si>
    <t>ОКлейка 25.09</t>
  </si>
  <si>
    <t>заклеить чёрным катафот на 18,09</t>
  </si>
  <si>
    <t>по вопросу оклейки авто должден париехать 17,09</t>
  </si>
  <si>
    <t xml:space="preserve">всё звонит пробивает пленку свою где бы по дешевле найти </t>
  </si>
  <si>
    <t>плёнка на борта пикапа</t>
  </si>
  <si>
    <t>Оклейка в розовый Toyota Celica</t>
  </si>
  <si>
    <t>Виталий</t>
  </si>
  <si>
    <t>Фролов</t>
  </si>
  <si>
    <t>7 927 903-14-25 - Входящий звонок</t>
  </si>
  <si>
    <t>плёнку купить 1,20х1</t>
  </si>
  <si>
    <t xml:space="preserve">плёнка на монитор </t>
  </si>
  <si>
    <t>7 927 772-05-05 - Входящий звонок</t>
  </si>
  <si>
    <t xml:space="preserve">23,09 пол.+плёнка </t>
  </si>
  <si>
    <t xml:space="preserve">пленкку матовою на маленький экран где управления климатом </t>
  </si>
  <si>
    <t>Оклеить капот в черный (он весь в дефектах, пленка не скроет)</t>
  </si>
  <si>
    <t>Узнавал цену полной оклейки с белого в серый мат</t>
  </si>
  <si>
    <t>Узнавал цены броня капота, фары, лба, машина в пути</t>
  </si>
  <si>
    <t>7 927 767-82-38 - Входящий звонок</t>
  </si>
  <si>
    <t>Переклеить бампепр на ЛИ7</t>
  </si>
  <si>
    <t>Осмтр пленки , на коррекции не был 16,09</t>
  </si>
  <si>
    <t>Оклейка матовых вставок на двери</t>
  </si>
  <si>
    <t>Котельников</t>
  </si>
  <si>
    <t>7 988 705-80-34 - Исходящий звонок</t>
  </si>
  <si>
    <t>Артём Дериглазов - Открытая линия Левша</t>
  </si>
  <si>
    <t>Дериглазов</t>
  </si>
  <si>
    <t>7 937 187-00-01 - Входящий звонок</t>
  </si>
  <si>
    <t>Wey 80 пленка стандарт и шумка консультация</t>
  </si>
  <si>
    <t>Коррекция пленки 11.09</t>
  </si>
  <si>
    <t>7 927 734-46-49 - Входящий звонок</t>
  </si>
  <si>
    <t>Олег Мальшин - Открытая линия Левша</t>
  </si>
  <si>
    <t>Мальшин</t>
  </si>
  <si>
    <t>7 902 338-30-22 - Входящий звонок</t>
  </si>
  <si>
    <t>7 917 952-80-06 - Входящий звонок</t>
  </si>
  <si>
    <t>ЛК 200 оклеить капот и вокруг лба после покраски связь 8 октября</t>
  </si>
  <si>
    <t>Bentley Bentayga № а001со763 7,09</t>
  </si>
  <si>
    <t>Haval H3 № х148то763 пленка 8,09</t>
  </si>
  <si>
    <t>7 927 295-39-09 - Входящий звонок</t>
  </si>
  <si>
    <t>Пленка зоны риска пежо 308</t>
  </si>
  <si>
    <t>Пленка пороги арки</t>
  </si>
  <si>
    <t>Оклейка стандарт , мониторы, броня лба Террамонт</t>
  </si>
  <si>
    <t xml:space="preserve">Пленка стандарт </t>
  </si>
  <si>
    <t>Ауди а6 целиковая в матовый  / антихром вокруг окон и зад</t>
  </si>
  <si>
    <t>Макс</t>
  </si>
  <si>
    <t>Курмаев</t>
  </si>
  <si>
    <t>наклеить плёнку на хавал джолион на крышу и капот / ЧАТ</t>
  </si>
  <si>
    <t>Оклейка пленкой полностью, приценивается</t>
  </si>
  <si>
    <t>Оценка переклейки пленки</t>
  </si>
  <si>
    <t>7 987 910-21-89 - Входящий звонок</t>
  </si>
  <si>
    <t>Пленка капот g70</t>
  </si>
  <si>
    <t>7 927 266-11-34 - Входящий звонок</t>
  </si>
  <si>
    <t>7 927 005-84-95 - Входящий звонок</t>
  </si>
  <si>
    <t>7 927 702-11-11 - Входящий звонок</t>
  </si>
  <si>
    <t xml:space="preserve">Джили кулрей оклеить капот/фары сегодня / проездом </t>
  </si>
  <si>
    <t>7 927 261-52-27 - Входящий звонок</t>
  </si>
  <si>
    <t xml:space="preserve">оклеить капот </t>
  </si>
  <si>
    <t xml:space="preserve">Лилия </t>
  </si>
  <si>
    <t>7 846 951-59-07 - Входящий звонок</t>
  </si>
  <si>
    <t xml:space="preserve">стекло заклеить </t>
  </si>
  <si>
    <t xml:space="preserve">пленка на капот </t>
  </si>
  <si>
    <t>7 903 300-01-88 - Входящий звонок</t>
  </si>
  <si>
    <t xml:space="preserve">плёнка на ниву </t>
  </si>
  <si>
    <t xml:space="preserve">Переклейка фар оптима / дорого </t>
  </si>
  <si>
    <t>Стандарт целиком Чанган uni-s</t>
  </si>
  <si>
    <t xml:space="preserve">плёнку на мазду </t>
  </si>
  <si>
    <t>узнал стадию работ по пленке</t>
  </si>
  <si>
    <t>02.09 Пленка</t>
  </si>
  <si>
    <t>Оклейка решетки отдельно</t>
  </si>
  <si>
    <t>Интересовался пленкой за 65 тыс с сайта</t>
  </si>
  <si>
    <t>Пленка на бампер передний, подумает но прозвонить в начале сентября</t>
  </si>
  <si>
    <t>7 919 818-99-99 - Входящий звонок</t>
  </si>
  <si>
    <t>7 987 684-34-75 - Входящий звонок</t>
  </si>
  <si>
    <t>Оклейка Х6 / капот, крылья, бампер, фары</t>
  </si>
  <si>
    <t xml:space="preserve">Владимир </t>
  </si>
  <si>
    <t>7 937 790-07-77 - Входящий звонок</t>
  </si>
  <si>
    <t xml:space="preserve">06,08 бронирование фар поло </t>
  </si>
  <si>
    <t>7 927 204-14-73 - Входящий звонок</t>
  </si>
  <si>
    <t xml:space="preserve">плёнка vesta </t>
  </si>
  <si>
    <t>Гривцов</t>
  </si>
  <si>
    <t>Глеб Шустов - Авито - Левша-Сервис открытая линия</t>
  </si>
  <si>
    <t>Глеб</t>
  </si>
  <si>
    <t>Шустов</t>
  </si>
  <si>
    <t>Игнат Петрушкин - Открытая линия Левша</t>
  </si>
  <si>
    <t>Игнат</t>
  </si>
  <si>
    <t>Петрушкин</t>
  </si>
  <si>
    <t xml:space="preserve">пробивон с других центров </t>
  </si>
  <si>
    <t xml:space="preserve">плёнка цел. </t>
  </si>
  <si>
    <t xml:space="preserve">цветной полик в цветной </t>
  </si>
  <si>
    <t>Полина</t>
  </si>
  <si>
    <t xml:space="preserve">пленка на 25,08 капот </t>
  </si>
  <si>
    <t xml:space="preserve">плёнка на автобокс в виде флага </t>
  </si>
  <si>
    <t>ГЛЕ зоны рисков</t>
  </si>
  <si>
    <t xml:space="preserve">Зоны риска Haval H3 / чат </t>
  </si>
  <si>
    <t>Шаповалов</t>
  </si>
  <si>
    <t>чёрн. крыша</t>
  </si>
  <si>
    <t>7 927 213-67-75 - Входящий звонок</t>
  </si>
  <si>
    <t>7 952 608-99-90 - Исходящий звонок</t>
  </si>
  <si>
    <t>7 987 442-16-31 - Входящий звонок</t>
  </si>
  <si>
    <t>Собирается покупать машину, интересовался про защиту кузова пленка/покрытие</t>
  </si>
  <si>
    <t>7 927 765-00-03 - Входящий звонок</t>
  </si>
  <si>
    <t xml:space="preserve">лексус РХ зоны риска / чат, выбирает где делать </t>
  </si>
  <si>
    <t>Оксана</t>
  </si>
  <si>
    <t>Балабошина</t>
  </si>
  <si>
    <t>плёнка на Haval H5</t>
  </si>
  <si>
    <t>Александр Валерьевич - Открытая линия Левша</t>
  </si>
  <si>
    <t>Валерьевич</t>
  </si>
  <si>
    <t>7 937 079-65-27 - Входящий звонок</t>
  </si>
  <si>
    <t xml:space="preserve">Крышу в черный полик / дорого </t>
  </si>
  <si>
    <t xml:space="preserve">полная оклейка в черный матовый Х4 / думает </t>
  </si>
  <si>
    <t xml:space="preserve">26,08 оклеить задний бампер 33 000 полировка дефектов  </t>
  </si>
  <si>
    <t>7 937 655-59-56 - Входящий звонок</t>
  </si>
  <si>
    <t>7 917 942-40-07 - Входящий звонок</t>
  </si>
  <si>
    <t>черный глянец вокруг стекол без стоек(с двух сторон) 4двери+пороги. Х3</t>
  </si>
  <si>
    <t>Юра</t>
  </si>
  <si>
    <t>Неизвестный</t>
  </si>
  <si>
    <t xml:space="preserve">пленка одно крыло на пикап </t>
  </si>
  <si>
    <t>7 917 153-03-29 - Входящий звонок</t>
  </si>
  <si>
    <t xml:space="preserve">Плёнка зона риска </t>
  </si>
  <si>
    <t xml:space="preserve">плёнка ; капот+крыло после окраса </t>
  </si>
  <si>
    <t xml:space="preserve">Плёнка стандарт </t>
  </si>
  <si>
    <t xml:space="preserve">пленка Mat </t>
  </si>
  <si>
    <t>7 917 017-82-92 - Входящий звонок</t>
  </si>
  <si>
    <t>7 937 171-72-50 - Входящий звонок</t>
  </si>
  <si>
    <t>7 927 261-60-06 - Входящий звонок</t>
  </si>
  <si>
    <t>7 917 152-75-01 - Входящий звонок</t>
  </si>
  <si>
    <t xml:space="preserve">окейцка фар в темную пленку </t>
  </si>
  <si>
    <t>Telegram - Открытая линия Левша</t>
  </si>
  <si>
    <t>Lixiang L9 № х234вм763 оклейка лобового 14,08</t>
  </si>
  <si>
    <t xml:space="preserve">пленка мелочи нужно до 13 числа </t>
  </si>
  <si>
    <t>Igor</t>
  </si>
  <si>
    <t xml:space="preserve">пленка стандарт+ остальное керамим </t>
  </si>
  <si>
    <t>полировка капота от липы+ затянуть его пленкой</t>
  </si>
  <si>
    <t>Доклеить Хонда CR-V</t>
  </si>
  <si>
    <t xml:space="preserve">оклеить кпп </t>
  </si>
  <si>
    <t xml:space="preserve">18.08 пленка антихром </t>
  </si>
  <si>
    <t xml:space="preserve">25,08 оклейка порогов </t>
  </si>
  <si>
    <t>7 937 200-36-32 - Входящий звонок</t>
  </si>
  <si>
    <t xml:space="preserve">Оклеить октавию в леопардовую пленку / сбросила после цены </t>
  </si>
  <si>
    <t xml:space="preserve">оклеить 4 двери на х6 пробив цены </t>
  </si>
  <si>
    <t xml:space="preserve">пленка цветная </t>
  </si>
  <si>
    <t>7 927 685-28-16 - Входящий звонок</t>
  </si>
  <si>
    <t>пол.+кер на 08,08</t>
  </si>
  <si>
    <t xml:space="preserve">броня на фару </t>
  </si>
  <si>
    <t xml:space="preserve">пленку поправить </t>
  </si>
  <si>
    <t>7 962 096-85-47 - Входящий звонок</t>
  </si>
  <si>
    <t>7 927 892-44-70 - Входящий звонок</t>
  </si>
  <si>
    <t xml:space="preserve">плёнка стандарт или целиком </t>
  </si>
  <si>
    <t>7 917 141-52-39 - Входящий звонок</t>
  </si>
  <si>
    <t>Пленка не удобная дата Хавал Н9</t>
  </si>
  <si>
    <t xml:space="preserve">целиком монжаро / пробив цены </t>
  </si>
  <si>
    <t xml:space="preserve">пленка Omoda c5 </t>
  </si>
  <si>
    <t xml:space="preserve">оклйка QX80 после автовоза / узнавали цену </t>
  </si>
  <si>
    <t>повторный лид по пленке, уже есть сделака</t>
  </si>
  <si>
    <t>По плёнке к Салику</t>
  </si>
  <si>
    <t>оклеить темной пленкой зад фары РИО / дорого</t>
  </si>
  <si>
    <t xml:space="preserve">пленка+антихром решетки </t>
  </si>
  <si>
    <t xml:space="preserve">пленка на фары </t>
  </si>
  <si>
    <t>пленка крыло и бампер</t>
  </si>
  <si>
    <t xml:space="preserve">06,08 пленка мелочи </t>
  </si>
  <si>
    <t xml:space="preserve">порвал плёнку на капоте на мойке, уточнял стоимость замены </t>
  </si>
  <si>
    <t>плёнка на пер. фары +зад</t>
  </si>
  <si>
    <t xml:space="preserve">пленка мелочи, фары + погрузка </t>
  </si>
  <si>
    <t>7 917 166-53-63 - Входящий звонок</t>
  </si>
  <si>
    <t>7 903 303-04-08 - Входящий звонок</t>
  </si>
  <si>
    <t xml:space="preserve">Монжаро в пленку + антихром </t>
  </si>
  <si>
    <t xml:space="preserve">бронь лобового / дорого </t>
  </si>
  <si>
    <t>CUPRA целиком в мат про</t>
  </si>
  <si>
    <t>Облез лак на фарах, оклейка пленкой / стандарт 14,08</t>
  </si>
  <si>
    <t>оклеить зону посадки сегодня / не уд дата</t>
  </si>
  <si>
    <t>Fabrz - Открытая линия Левша</t>
  </si>
  <si>
    <t>Fabrz</t>
  </si>
  <si>
    <t xml:space="preserve">Чери тиго 7 про Макс пленка чат </t>
  </si>
  <si>
    <t>Стяглов</t>
  </si>
  <si>
    <t xml:space="preserve">пленка в черн. крыш. </t>
  </si>
  <si>
    <t xml:space="preserve">мустанг в плёнку </t>
  </si>
  <si>
    <t>коррекция</t>
  </si>
  <si>
    <t>пленка +керамика</t>
  </si>
  <si>
    <t>V-class целиком 11,07</t>
  </si>
  <si>
    <t xml:space="preserve">переклейка брони </t>
  </si>
  <si>
    <t xml:space="preserve">оклйка зон риска ларгус 3 шт </t>
  </si>
  <si>
    <t xml:space="preserve">танк 300 полоса на капот / полоса крылья / зона под ручками </t>
  </si>
  <si>
    <t xml:space="preserve">30,07 поклеить двери и снять броню с лобового </t>
  </si>
  <si>
    <t xml:space="preserve">приклеить спойлер </t>
  </si>
  <si>
    <t>Оклейка Cupra Целиком в матовый 28,07</t>
  </si>
  <si>
    <t xml:space="preserve">Оклеить перед часть Х7 в августе </t>
  </si>
  <si>
    <t>7 927 651-33-64 - Входящий звонок</t>
  </si>
  <si>
    <t>7 917 115-21-56 - Входящий звонок</t>
  </si>
  <si>
    <t>Оклейка белой плёнкой такси Яндекс бампер</t>
  </si>
  <si>
    <t>7 996 733-00-88 - Исходящий звонок</t>
  </si>
  <si>
    <t xml:space="preserve">пленкой заклеить стекло на приборке от X-Trail </t>
  </si>
  <si>
    <t>7 917 109-32-62 - Входящий звонок</t>
  </si>
  <si>
    <t>7 917 817-03-08 - Входящий звонок</t>
  </si>
  <si>
    <t>Pavel</t>
  </si>
  <si>
    <t>7 917 104-10-59 - Входящий звонок</t>
  </si>
  <si>
    <t>Оклеить бмв 1 в пленку / на кузове есть коррозия / приглашен на осмотр</t>
  </si>
  <si>
    <t xml:space="preserve">пленка по Q 8 </t>
  </si>
  <si>
    <t xml:space="preserve">черри тиго бронь лобового </t>
  </si>
  <si>
    <t xml:space="preserve">пленка на стиральную машину </t>
  </si>
  <si>
    <t xml:space="preserve">Джили монжаро матовый хоны рисков </t>
  </si>
  <si>
    <t>Целиковая Vавтобус на 28-29</t>
  </si>
  <si>
    <t xml:space="preserve">пленка логотипом </t>
  </si>
  <si>
    <t>Плёнка</t>
  </si>
  <si>
    <t>7 950 140-13-92 - Входящий звонок</t>
  </si>
  <si>
    <t xml:space="preserve">Плёнка в цветной PANAMERA </t>
  </si>
  <si>
    <t xml:space="preserve">пленка в салон атлас </t>
  </si>
  <si>
    <t xml:space="preserve">По пленке отбой пока что </t>
  </si>
  <si>
    <t>Плёнка камри / есть скол на двери приедет на осмотр</t>
  </si>
  <si>
    <t xml:space="preserve">Плёнка наклейки </t>
  </si>
  <si>
    <t>Свиридов</t>
  </si>
  <si>
    <t xml:space="preserve">Притемнить задние фонари на гранте / дорого </t>
  </si>
  <si>
    <t xml:space="preserve">Олег </t>
  </si>
  <si>
    <t>Артем Котельников</t>
  </si>
  <si>
    <t xml:space="preserve">оклеить алюминивые листы в пленку </t>
  </si>
  <si>
    <t>7 987 435-23-18 - Входящий звонок</t>
  </si>
  <si>
    <t>7 927 657-11-59 - Входящий звонок</t>
  </si>
  <si>
    <t xml:space="preserve">оклейка брендированой / 30 газелей </t>
  </si>
  <si>
    <t xml:space="preserve">пленка мотак </t>
  </si>
  <si>
    <t>Максим Тен - Открытая линия Левша</t>
  </si>
  <si>
    <t>Тен</t>
  </si>
  <si>
    <t>Максим - Открытая линия Левша</t>
  </si>
  <si>
    <t>мойка цветной полик</t>
  </si>
  <si>
    <t xml:space="preserve">плёнка хочет </t>
  </si>
  <si>
    <t xml:space="preserve">Зоны риска Хавал Дарго </t>
  </si>
  <si>
    <t>Иринв</t>
  </si>
  <si>
    <t>7 927 650-27-46 - Входящий звонок</t>
  </si>
  <si>
    <t>7 917 954-30-22 - Входящий звонок</t>
  </si>
  <si>
    <t xml:space="preserve">плёнка на среду хочет и помыть </t>
  </si>
  <si>
    <t>пл1нка  чат</t>
  </si>
  <si>
    <t>Ким</t>
  </si>
  <si>
    <t>7 967 767-24-62 - Входящий звонок</t>
  </si>
  <si>
    <t xml:space="preserve">оклеить кромку крыла что бы не натирал бампер </t>
  </si>
  <si>
    <t xml:space="preserve">полная оклей монжаро </t>
  </si>
  <si>
    <t>Владимирович</t>
  </si>
  <si>
    <t xml:space="preserve">Оклейка целиком G класс глянец </t>
  </si>
  <si>
    <t xml:space="preserve">Lixiang L7 № м181мм73 оклеить дверь после малярных работ </t>
  </si>
  <si>
    <t>Alex</t>
  </si>
  <si>
    <t>Iurkevich</t>
  </si>
  <si>
    <t>7 917 148-38-81 - Входящий звонок</t>
  </si>
  <si>
    <t>Арина - Открытая линия Левша</t>
  </si>
  <si>
    <t>Арина</t>
  </si>
  <si>
    <t>Хавал Дарго целиком</t>
  </si>
  <si>
    <t>михаил</t>
  </si>
  <si>
    <t>Andrew Sedugin - Открытая линия Левша</t>
  </si>
  <si>
    <t>Andrew</t>
  </si>
  <si>
    <t>Sedugin</t>
  </si>
  <si>
    <t>7 927 777-22-11 - Входящий звонок</t>
  </si>
  <si>
    <t>7 927 602-98-30 - Входящий звонок</t>
  </si>
  <si>
    <t xml:space="preserve">Плёнка BMW X3 Long </t>
  </si>
  <si>
    <t xml:space="preserve">21,07 переклейка бампера </t>
  </si>
  <si>
    <t xml:space="preserve">притонировать зад. фонарии </t>
  </si>
  <si>
    <t xml:space="preserve">уточняла по вопросу покраски </t>
  </si>
  <si>
    <t>HERMINE - Открытая линия Левша</t>
  </si>
  <si>
    <t>HERMINE</t>
  </si>
  <si>
    <t xml:space="preserve">Плёнка капот BMW 5 </t>
  </si>
  <si>
    <t>Muhammad</t>
  </si>
  <si>
    <t>Ali</t>
  </si>
  <si>
    <t xml:space="preserve">Оклеить зоны риска БМВ Х5 </t>
  </si>
  <si>
    <t>защита лобового RR / дорого</t>
  </si>
  <si>
    <t xml:space="preserve">q7 4l оклеить бампер / дорого </t>
  </si>
  <si>
    <t xml:space="preserve">Оклейка пленкой </t>
  </si>
  <si>
    <t xml:space="preserve">осмотр плёнки на капоте </t>
  </si>
  <si>
    <t xml:space="preserve">плёнка Toyota </t>
  </si>
  <si>
    <t xml:space="preserve">аито м5 зоны рисков </t>
  </si>
  <si>
    <t xml:space="preserve">Плёнка (копит денег) </t>
  </si>
  <si>
    <t>7 927 781-69-67 - Входящий звонок</t>
  </si>
  <si>
    <t xml:space="preserve">по плёнке на коррекцию </t>
  </si>
  <si>
    <t xml:space="preserve">расклеиить такси / дорого </t>
  </si>
  <si>
    <t xml:space="preserve">черри тиго 7 капот в пленку полоса </t>
  </si>
  <si>
    <t xml:space="preserve">оклеить цветным поликом Стек, бмв 3 / дверь и бампер </t>
  </si>
  <si>
    <t xml:space="preserve">BMW X5 № н203рт73 </t>
  </si>
  <si>
    <t xml:space="preserve">08,07 RX </t>
  </si>
  <si>
    <t xml:space="preserve">Оклеить лопасти на ветряке </t>
  </si>
  <si>
    <t>оклеить кромки арок на тигго ЧАТ</t>
  </si>
  <si>
    <t>Maksim</t>
  </si>
  <si>
    <t>Shchurkin</t>
  </si>
  <si>
    <t>Pavel - Открытая линия Левша</t>
  </si>
  <si>
    <t>затянуть авто</t>
  </si>
  <si>
    <t xml:space="preserve">оклеить пороги на джулионе / приглашен на осмотр </t>
  </si>
  <si>
    <t>Evg</t>
  </si>
  <si>
    <t>Зотов</t>
  </si>
  <si>
    <t>Changan Uni-S № н430вн763 коррекция пленки 3,07</t>
  </si>
  <si>
    <t xml:space="preserve">Дмили монжаро Зоны риска / хочет приехать и посмотреть как работаем </t>
  </si>
  <si>
    <t xml:space="preserve">Тугелла пленка + сетка в решетку </t>
  </si>
  <si>
    <t>доклеить автомобиль пленкой до целиковой / приедет на осмотр</t>
  </si>
  <si>
    <t>"ПЛАНИМА ТРАССЕРС" полировка или переклейка бампера на ГЛС 8,07</t>
  </si>
  <si>
    <t>Зоны риска чанган</t>
  </si>
  <si>
    <t xml:space="preserve">12,06 пленка роговой </t>
  </si>
  <si>
    <t xml:space="preserve">по пленке есть сделка, объединяю в одно </t>
  </si>
  <si>
    <t xml:space="preserve">оклейка фар монохромной плёнкой </t>
  </si>
  <si>
    <t xml:space="preserve">пол.+окл. в мат вел </t>
  </si>
  <si>
    <t>зоны рисков джейку дж7</t>
  </si>
  <si>
    <t>Фурсов</t>
  </si>
  <si>
    <t>7 927 200-38-40 - Входящий звонок</t>
  </si>
  <si>
    <t xml:space="preserve">2,07 Х1 Оклейка капот, стойки, машина с казахстана </t>
  </si>
  <si>
    <t>Тугелла / пол.капота, фары, сетка в решетку 1,07</t>
  </si>
  <si>
    <t>Кулрей 4,07 пленка</t>
  </si>
  <si>
    <t>7 921 372-78-08 - Входящий звонок</t>
  </si>
  <si>
    <t xml:space="preserve">зоны риска черри тигго 8 </t>
  </si>
  <si>
    <t xml:space="preserve">пленка крыло </t>
  </si>
  <si>
    <t xml:space="preserve">mat+антихром </t>
  </si>
  <si>
    <t>плён по чат</t>
  </si>
  <si>
    <t>Рогожников</t>
  </si>
  <si>
    <t>пленка мат Cx-5 2019 г.в.</t>
  </si>
  <si>
    <t>плёнка Creta</t>
  </si>
  <si>
    <t>Бардин</t>
  </si>
  <si>
    <t>7 929 227-10-92 - Входящий звонок</t>
  </si>
  <si>
    <t>7 922 622-19-90 - Входящий звонок</t>
  </si>
  <si>
    <t>7 927 216-21-00 - Входящий звонок</t>
  </si>
  <si>
    <t>7 927 609-11-95 - Входящий звонок</t>
  </si>
  <si>
    <t>Сергей Постин - оклейка Машина BMW X4</t>
  </si>
  <si>
    <t>Постин</t>
  </si>
  <si>
    <t>7 987 150-26-65 - Входящий звонок</t>
  </si>
  <si>
    <t>7 987 627-38-93 - Исходящий звонок</t>
  </si>
  <si>
    <t>оклейка пленкой автомобиля</t>
  </si>
  <si>
    <t>7 917 952-95-97 - Входящий звонок</t>
  </si>
  <si>
    <t>7 917 114-61-72 - Входящий звонок</t>
  </si>
  <si>
    <t>7 917 153-55-28 - Входящий звонок</t>
  </si>
  <si>
    <t xml:space="preserve">хочет заклеить двери, но они пока в малярке </t>
  </si>
  <si>
    <t>пленка на боковые вставки в черн.</t>
  </si>
  <si>
    <t>7 982 910-77-20 - Входящий звонок</t>
  </si>
  <si>
    <t>7 927 708-08-25 - Входящий звонок</t>
  </si>
  <si>
    <t>7 927 686-66-45 - Входящий звонок</t>
  </si>
  <si>
    <t xml:space="preserve">бампер переклейка </t>
  </si>
  <si>
    <t>7 937 206-84-47 - Входящий звонок</t>
  </si>
  <si>
    <t>7 987 911-84-87 - Входящий звонок</t>
  </si>
  <si>
    <t>на плёнку Uni-s на 24,06</t>
  </si>
  <si>
    <t>Каренчик - Открытая линия Левша</t>
  </si>
  <si>
    <t>Каренчик</t>
  </si>
  <si>
    <t>7 937 065-64-88 - Входящий звонок</t>
  </si>
  <si>
    <t>7 927 651-65-75 - Входящий звонок</t>
  </si>
  <si>
    <t>Ильгиз Иль - Открытая линия Левша</t>
  </si>
  <si>
    <t>Иль</t>
  </si>
  <si>
    <t>%D0%B7%D0%B0%D1%82%D1%8F%D0%BD%D1%83%D1%82%D1%8C%20%D0%B0%D0%B2%D1%82%D0%BE</t>
  </si>
  <si>
    <t>7 987 447-34-25 - Входящий звонок</t>
  </si>
  <si>
    <t>7 929 718-48-09 - Входящий звонок</t>
  </si>
  <si>
    <t xml:space="preserve">Пленка. сделка создана у севы. ссылку прикрепляю в коментарии </t>
  </si>
  <si>
    <t xml:space="preserve">плёка глянец Lotus </t>
  </si>
  <si>
    <t>7 927 714-84-83 - Входящий звонок</t>
  </si>
  <si>
    <t xml:space="preserve">Плёнка пикап без крыши и лобового </t>
  </si>
  <si>
    <t>Mikhail</t>
  </si>
  <si>
    <t xml:space="preserve">броня на баги </t>
  </si>
  <si>
    <t xml:space="preserve">пленка зеркало </t>
  </si>
  <si>
    <t>Michael Bokhan - Открытая линия Левша</t>
  </si>
  <si>
    <t>Michael</t>
  </si>
  <si>
    <t>Bokhan</t>
  </si>
  <si>
    <t xml:space="preserve">оклейка Toyota Хайлендер </t>
  </si>
  <si>
    <t>7 917 102-57-12 - Входящий звонок</t>
  </si>
  <si>
    <t xml:space="preserve">антихром молдинга </t>
  </si>
  <si>
    <t xml:space="preserve">плёнка фендер и пороги + малярка возможно </t>
  </si>
  <si>
    <t>плёнка+пол.+кер.</t>
  </si>
  <si>
    <t xml:space="preserve">притемнение зад. фон </t>
  </si>
  <si>
    <t>Фарид</t>
  </si>
  <si>
    <t>7 927 017-38-67 - Входящий звонок</t>
  </si>
  <si>
    <t>7 927 018-21-17 - Входящий звонок</t>
  </si>
  <si>
    <t>7 905 018-65-10 - Входящий звонок</t>
  </si>
  <si>
    <t xml:space="preserve">оклйка ГЛЕ в матовый целиком на 20 ИЮЛЯ </t>
  </si>
  <si>
    <t xml:space="preserve">оклеить крышу в черный / рио </t>
  </si>
  <si>
    <t>Гусев</t>
  </si>
  <si>
    <t xml:space="preserve">зона рисков ТУарег </t>
  </si>
  <si>
    <t>7 927 691-75-96 - Входящий звонок</t>
  </si>
  <si>
    <t>7 937 799-94-14 - Входящий звонок</t>
  </si>
  <si>
    <t>7 929 710-59-18 - Входящий звонок</t>
  </si>
  <si>
    <t>Александр Гаврилов - Открытая линия Левша</t>
  </si>
  <si>
    <t>Гаврилов</t>
  </si>
  <si>
    <t>Alexander Gavrilov - Открытая линия Левша</t>
  </si>
  <si>
    <t>Alexander</t>
  </si>
  <si>
    <t>Gavrilov</t>
  </si>
  <si>
    <t>Aleksey Viktorovich - Открытая линия Левша</t>
  </si>
  <si>
    <t>Aleksey</t>
  </si>
  <si>
    <t>Viktorovich</t>
  </si>
  <si>
    <t xml:space="preserve">Зонеа риска монджаро / отмена записи </t>
  </si>
  <si>
    <t xml:space="preserve">Отмена записи дубликат / монджаро </t>
  </si>
  <si>
    <t xml:space="preserve">Покупает GLC / интересовался сменой цвета / дорого но прозвонить </t>
  </si>
  <si>
    <t>7 927 709-03-09 - Входящий звонок</t>
  </si>
  <si>
    <t>7 927 725-41-36 - Входящий звонок</t>
  </si>
  <si>
    <t>Оклейка бампера Москвич</t>
  </si>
  <si>
    <t>Ольга</t>
  </si>
  <si>
    <t>7 927 724-39-49 - Входящий звонок</t>
  </si>
  <si>
    <t xml:space="preserve">ударил дверь в дверь на парковке / переклейка двери </t>
  </si>
  <si>
    <t xml:space="preserve">оклйека автомобиля только боковые части что бы ездить в лес </t>
  </si>
  <si>
    <t>коррекция пленки  7,06</t>
  </si>
  <si>
    <t xml:space="preserve">Hyundai Tucson № м284оо763 10.06 преклейка лобового / кк </t>
  </si>
  <si>
    <t xml:space="preserve">Оклейка вставок салона Х3 / Дорого </t>
  </si>
  <si>
    <t>7 917 017-26-08 - Входящий звонок</t>
  </si>
  <si>
    <t>Дмитрий Якимов - Открытая линия Левша</t>
  </si>
  <si>
    <t>Якимов</t>
  </si>
  <si>
    <t>7 927 602-07-08 - Входящий звонок</t>
  </si>
  <si>
    <t xml:space="preserve">ГЛЕ купе оклейка бамперов после окраса // полировка - керамика на пленку </t>
  </si>
  <si>
    <t>7 939 766-76-16 - Входящий звонок</t>
  </si>
  <si>
    <t>7 927 218-12-18 - Входящий звонок</t>
  </si>
  <si>
    <t>7 996 730-81-87 - Входящий звонок</t>
  </si>
  <si>
    <t>7 917 816-16-93 - Входящий звонок</t>
  </si>
  <si>
    <t>7 927 908-29-70 - Входящий звонок</t>
  </si>
  <si>
    <t>7 927 700-87-78 - Входящий звонок</t>
  </si>
  <si>
    <t>7 927 756-75-55 - Входящий звонок</t>
  </si>
  <si>
    <t>7 937 180-87-64 - Входящий звонок</t>
  </si>
  <si>
    <t>7 927 652-56-80 - Входящий звонок</t>
  </si>
  <si>
    <t>7 939 713-33-19 - Входящий звонок</t>
  </si>
  <si>
    <t>7 987 150-84-40 - Входящий звонок</t>
  </si>
  <si>
    <t xml:space="preserve">Оклейка мерседеса ГЛЕ (не купе) в черный матовый </t>
  </si>
  <si>
    <t xml:space="preserve">чанган Юни-с /// полоса на капот </t>
  </si>
  <si>
    <t xml:space="preserve">Хавал джулион зоны риска </t>
  </si>
  <si>
    <t>7 927 200-76-24 - Входящий звонок</t>
  </si>
  <si>
    <t xml:space="preserve">Оклейка в пленку Хавал М6 </t>
  </si>
  <si>
    <t xml:space="preserve">БМВ Х1 интересовался ценой на керамику / машину даже не купил еще </t>
  </si>
  <si>
    <t>7 902 857-95-35 - Входящий звонок</t>
  </si>
  <si>
    <t xml:space="preserve">егор хотел атермалку что бы не трогали ДПС </t>
  </si>
  <si>
    <t>коррекция хавал ф7</t>
  </si>
  <si>
    <t xml:space="preserve">оклейка х7 зоны риска </t>
  </si>
  <si>
    <t>Бронь лобового Omoda C5 / дорого</t>
  </si>
  <si>
    <t xml:space="preserve">Оклейка переднекй части Черри тиго 7 про макс </t>
  </si>
  <si>
    <t>Грачев</t>
  </si>
  <si>
    <t>7 927 730-25-63 - Входящий звонок</t>
  </si>
  <si>
    <t>7 927 704-19-07 - Входящий звонок</t>
  </si>
  <si>
    <t>7 927 606-03-48 - Входящий звонок</t>
  </si>
  <si>
    <t>7 903 331-01-24 - Входящий звонок</t>
  </si>
  <si>
    <t>Даниил</t>
  </si>
  <si>
    <t>плёнка на 27,05</t>
  </si>
  <si>
    <t xml:space="preserve">плёнка на 27,05 Lexus LM </t>
  </si>
  <si>
    <t xml:space="preserve">Оклейка глянцевых вставок салона мазда 6 </t>
  </si>
  <si>
    <t>7 927 209-21-27 - Входящий звонок</t>
  </si>
  <si>
    <t>Geely Monjaro № б/н в пленку/антихром</t>
  </si>
  <si>
    <t>Дефект на пленке крючкова Х7 26,05</t>
  </si>
  <si>
    <t xml:space="preserve">Киляков перклейка капота </t>
  </si>
  <si>
    <t>7 967 920-00-59 - Входящий звонок</t>
  </si>
  <si>
    <t>7 927 719-51-92 - Входящий звонок</t>
  </si>
  <si>
    <t>Bayron - Открытая линия Левша</t>
  </si>
  <si>
    <t>Bayron</t>
  </si>
  <si>
    <t>7 927 701-70-45 - Исходящий звонок</t>
  </si>
  <si>
    <t xml:space="preserve">оклейка левреи </t>
  </si>
  <si>
    <t>Хаба - Открытая линия Левша</t>
  </si>
  <si>
    <t>WAZZUP: WhatsApp - Открытая линия Левша</t>
  </si>
  <si>
    <t>Хаба</t>
  </si>
  <si>
    <t xml:space="preserve">цветная красная плёнка </t>
  </si>
  <si>
    <t xml:space="preserve">наклейки на стекло </t>
  </si>
  <si>
    <t>7 922 856-45-69 - Входящий звонок</t>
  </si>
  <si>
    <t xml:space="preserve">плёнка Елена на Li7 </t>
  </si>
  <si>
    <t>7 917 116-16-30 - Входящий звонок</t>
  </si>
  <si>
    <t xml:space="preserve">мото оклейка на осмотр и возможно оставит </t>
  </si>
  <si>
    <t xml:space="preserve">переклейка зеркал в 4-й раз </t>
  </si>
  <si>
    <t xml:space="preserve">чёрная крыша </t>
  </si>
  <si>
    <t xml:space="preserve">Хавал М6 полоса на капот </t>
  </si>
  <si>
    <t xml:space="preserve">плёнка салон+перед </t>
  </si>
  <si>
    <t>Монжаро в пленку/антихром</t>
  </si>
  <si>
    <t>Оклейка Зон риска Киа К7</t>
  </si>
  <si>
    <t>Забронировать фары Ауди А3</t>
  </si>
  <si>
    <t xml:space="preserve">Хавал f7 зоны риска 21,05 </t>
  </si>
  <si>
    <t>7 846 312-21-70 - Входящий звонок</t>
  </si>
  <si>
    <t>7 927 011-10-05 - Входящий звонок</t>
  </si>
  <si>
    <t>Сергей Малышев - ПЛЕНКА ЦЕЛИКОМ</t>
  </si>
  <si>
    <t>Малышев</t>
  </si>
  <si>
    <t xml:space="preserve">плёнка салон </t>
  </si>
  <si>
    <t>7 927 655-10-77 - Входящий звонок</t>
  </si>
  <si>
    <t xml:space="preserve">16,05 плёнка туарег </t>
  </si>
  <si>
    <t>7 905 897-59-99 - Входящий звонок</t>
  </si>
  <si>
    <t>Andrey</t>
  </si>
  <si>
    <t>Переклеить фару / повердил / зона посадки / под ручками JAC GS6 № м443ук763</t>
  </si>
  <si>
    <t xml:space="preserve">Бронирования капот Солярис </t>
  </si>
  <si>
    <t>7 927 906-67-72 - Входящий звонок</t>
  </si>
  <si>
    <t xml:space="preserve">плёнка фара </t>
  </si>
  <si>
    <t xml:space="preserve">переклейка зеркала </t>
  </si>
  <si>
    <t>Vozdvizhenskiy</t>
  </si>
  <si>
    <t xml:space="preserve">на бампере дефект переклеить кусочек </t>
  </si>
  <si>
    <t>Максим Бмв 4 Пленка - Открытая линия Левша</t>
  </si>
  <si>
    <t>7 987 945-64-35 - Входящий звонок</t>
  </si>
  <si>
    <t>Geely Monjaro № м284тм763 коррекция перенос записи</t>
  </si>
  <si>
    <t>7 927 753-14-85 - Входящий звонок</t>
  </si>
  <si>
    <t>Шкода доклеить пленку после ДТП</t>
  </si>
  <si>
    <t>7 927 757-68-75 - Входящий звонок</t>
  </si>
  <si>
    <t>7 917 955-37-37 - Входящий звонок</t>
  </si>
  <si>
    <t>Toyota Highlander зоны риска</t>
  </si>
  <si>
    <t>Dmitriy</t>
  </si>
  <si>
    <t xml:space="preserve"> оклеить зеркала пленкой Geely Monjaro</t>
  </si>
  <si>
    <t>Пленка Чанган 55</t>
  </si>
  <si>
    <t>7 929 703-17-00 - Входящий звонок</t>
  </si>
  <si>
    <t xml:space="preserve">03,05 плёнка две двери </t>
  </si>
  <si>
    <t>Я Баке Ваш бро - Открытая линия Левша</t>
  </si>
  <si>
    <t>Я Баке Ваш бро</t>
  </si>
  <si>
    <t xml:space="preserve">кусок плёнки переклеить </t>
  </si>
  <si>
    <t>оклейка авто</t>
  </si>
  <si>
    <t xml:space="preserve">оклейка Хонды в пленку </t>
  </si>
  <si>
    <t>Рустам - Открытая линия Левша</t>
  </si>
  <si>
    <t>Рустам</t>
  </si>
  <si>
    <t>Оклейка бампера BMW X5 Люмаром / дорого</t>
  </si>
  <si>
    <t xml:space="preserve">Защита зон рисков Киа Селтос </t>
  </si>
  <si>
    <t>7 927 794-06-77 - Входящий звонок</t>
  </si>
  <si>
    <t>Оклеить черный компьютерный монитор в белую пленку</t>
  </si>
  <si>
    <t>7 917 168-32-07 - Входящий звонок</t>
  </si>
  <si>
    <t xml:space="preserve">30,04 на плёнкеу </t>
  </si>
  <si>
    <t xml:space="preserve">05,05 плёнка от нияза </t>
  </si>
  <si>
    <t>тест</t>
  </si>
  <si>
    <t>7 927 891-48-01 - Входящий звонок</t>
  </si>
  <si>
    <t>Валерий Комиссаров - Открытая линия Левша</t>
  </si>
  <si>
    <t>Комиссаров</t>
  </si>
  <si>
    <t xml:space="preserve">плёнка X3 чат </t>
  </si>
  <si>
    <t>Ринат</t>
  </si>
  <si>
    <t>Каракаев</t>
  </si>
  <si>
    <t>Лекала в другой город</t>
  </si>
  <si>
    <t xml:space="preserve">оклйка х5м в фиолетовый </t>
  </si>
  <si>
    <t xml:space="preserve">Хим/переклейка бронь лоб Порш </t>
  </si>
  <si>
    <t>7 987 937-24-65 - Входящий звонок</t>
  </si>
  <si>
    <t>Сурков</t>
  </si>
  <si>
    <t>Lixiang L9 № е757тт763 26,04 бронь лобовое</t>
  </si>
  <si>
    <t>Гле (не купе) целиковая в пленку</t>
  </si>
  <si>
    <t xml:space="preserve">Александр ГЛЕ Пленка Целиковая </t>
  </si>
  <si>
    <t>оклейка крыши в глянец  ауди а3L</t>
  </si>
  <si>
    <t xml:space="preserve"> DUCATI Panigale V2 оклйка в пленку / приглашен в гости</t>
  </si>
  <si>
    <t>7 963 912-11-12 - Входящий звонок</t>
  </si>
  <si>
    <t>7 937 995-97-41 - Входящий звонок</t>
  </si>
  <si>
    <t>Оклйека фар и зеркал королла 210</t>
  </si>
  <si>
    <t xml:space="preserve">Haval Jolion № х043рт763 осотр пленки </t>
  </si>
  <si>
    <t>7 927 760-13-89 - Входящий звонок</t>
  </si>
  <si>
    <t>7 927 717-34-74 - Входящий звонок</t>
  </si>
  <si>
    <t>7 927 760-79-97 - Входящий звонок</t>
  </si>
  <si>
    <t>7 937 278-09-07 - Входящий звонок</t>
  </si>
  <si>
    <t>7 937 201-40-07 - Входящий звонок</t>
  </si>
  <si>
    <t>пленка</t>
  </si>
  <si>
    <t>Toyota Rav-4; № в971но156</t>
  </si>
  <si>
    <t>Вениамин</t>
  </si>
  <si>
    <t>7 906 845-41-90 - Входящий звонок</t>
  </si>
  <si>
    <t xml:space="preserve">по пленке цветной приехать хочет посмотреть </t>
  </si>
  <si>
    <t>Роман Акберов - Открытая линия Левша</t>
  </si>
  <si>
    <t>Акберов</t>
  </si>
  <si>
    <t xml:space="preserve">обтянуть черный крышу зеркала и стойки </t>
  </si>
  <si>
    <t xml:space="preserve">бмв шапавалов х5 зоны риска </t>
  </si>
  <si>
    <t>Илья -  оклеить Капот на ниве шевроле</t>
  </si>
  <si>
    <t>пленка на капот шевроле нива</t>
  </si>
  <si>
    <t>Ilya</t>
  </si>
  <si>
    <t>Хавал F7 бронь лобового</t>
  </si>
  <si>
    <t>тонировка фар мазда сх-5 (задние)</t>
  </si>
  <si>
    <t>Лада веста Капот/фары/вокруг лоб.</t>
  </si>
  <si>
    <t>Оклейка мотоцикла в пленку DUCATI Panigale V2</t>
  </si>
  <si>
    <t>Оклейка мотоцикла BMW S1000RR</t>
  </si>
  <si>
    <t>переклеить салон на китайской Киа к5</t>
  </si>
  <si>
    <t>Кузнецов</t>
  </si>
  <si>
    <t>пленка L7, целиком, нужна запись разговора</t>
  </si>
  <si>
    <t>Валентин Мудрый - Открытая линия Левша</t>
  </si>
  <si>
    <t>Мудрый</t>
  </si>
  <si>
    <t>Gucci ted - Открытая линия Левша</t>
  </si>
  <si>
    <t>Gucci</t>
  </si>
  <si>
    <t>ted</t>
  </si>
  <si>
    <t>7 987 907-65-35 - Входящий звонок</t>
  </si>
  <si>
    <t>пленка+антихром</t>
  </si>
  <si>
    <t xml:space="preserve">оклейка велосипеда </t>
  </si>
  <si>
    <t>Дарья</t>
  </si>
  <si>
    <t>Дмитриевна</t>
  </si>
  <si>
    <t>7 937 184-64-89 - Входящий звонок</t>
  </si>
  <si>
    <t>7 927 733-55-33 - Входящий звонок</t>
  </si>
  <si>
    <t>Оклейка вставок в салоне Хонда CR-v</t>
  </si>
  <si>
    <t xml:space="preserve">HONGQI HS5 в матовый </t>
  </si>
  <si>
    <t>A1 - Открытая линия Левша</t>
  </si>
  <si>
    <t>A1</t>
  </si>
  <si>
    <t>A1 - в чате нет ответа от клиента</t>
  </si>
  <si>
    <t>Оклейка капота и фары Джили Кулрей</t>
  </si>
  <si>
    <t>7 987 795-34-43 - Входящий звонок</t>
  </si>
  <si>
    <t>7 996 621-14-96 - Входящий звонок</t>
  </si>
  <si>
    <t>7 927 904-69-00 - Входящий звонок</t>
  </si>
  <si>
    <t>7 927 765-87-17 - Входящий звонок</t>
  </si>
  <si>
    <t>Защитить хром на TLC200</t>
  </si>
  <si>
    <t>Ирина</t>
  </si>
  <si>
    <t>Мусиенко</t>
  </si>
  <si>
    <t>7 927 007-80-06 - Входящий звонок</t>
  </si>
  <si>
    <t>7 927 906-49-29 - Входящий звонок</t>
  </si>
  <si>
    <t xml:space="preserve">тонировка +плёнка ( похож на пробивон ) </t>
  </si>
  <si>
    <t xml:space="preserve">ШВИ </t>
  </si>
  <si>
    <t xml:space="preserve">БМВ Х3 пленка/тонировка </t>
  </si>
  <si>
    <t>Джили тугелла Зоны риска (интересовались ценой)</t>
  </si>
  <si>
    <t>ГЛС в матовую пленку</t>
  </si>
  <si>
    <t xml:space="preserve">Оклеить ваз 21014 в цветной полик </t>
  </si>
  <si>
    <t>сколько стоит обтянуть машину пленкой цена</t>
  </si>
  <si>
    <t>оклейка полеуретановой пленкой ланкрузер 200 сантеком</t>
  </si>
  <si>
    <t>Vazhov</t>
  </si>
  <si>
    <t>Aleksandr</t>
  </si>
  <si>
    <t>Александр обклеить черной пленкой крышу Ситроен 10 года</t>
  </si>
  <si>
    <t>7 937 177-53-01 - Входящий звонок</t>
  </si>
  <si>
    <t>7 846 336-66-70 - Входящий звонок</t>
  </si>
  <si>
    <t xml:space="preserve">Оклеить крышу в черный цвет </t>
  </si>
  <si>
    <t>Ящук</t>
  </si>
  <si>
    <t>7 999 171-42-47 - Входящий звонок</t>
  </si>
  <si>
    <t>7 960 810-90-90 - Входящий звонок</t>
  </si>
  <si>
    <t>7 937 063-42-84 - Входящий звонок</t>
  </si>
  <si>
    <t>пленка на бампере переклеить на 04,04</t>
  </si>
  <si>
    <t xml:space="preserve">Переклеить бампер Х5 повредили пленку </t>
  </si>
  <si>
    <t xml:space="preserve">пленка на капот +фары </t>
  </si>
  <si>
    <t>Дубликат, есть открытая сделка</t>
  </si>
  <si>
    <t>7 927 207-70-82 - Входящий звонок</t>
  </si>
  <si>
    <t>Vladimir</t>
  </si>
  <si>
    <t xml:space="preserve">пленка на велосипед </t>
  </si>
  <si>
    <t>Oleg</t>
  </si>
  <si>
    <t xml:space="preserve">Haval h3 оклейка капота и оптики </t>
  </si>
  <si>
    <t>Оклеить бампер Каптюр</t>
  </si>
  <si>
    <t xml:space="preserve"> сегодня ладу весту св 2024 затонировать</t>
  </si>
  <si>
    <t>Щелочков</t>
  </si>
  <si>
    <t>Сегодня атермальной пленкой передние стекла затонировать</t>
  </si>
  <si>
    <t>Noname</t>
  </si>
  <si>
    <t>Целиковая оклейка Ауди А3 2021г</t>
  </si>
  <si>
    <t>Оклеить кнопки возле селектора Exeed 8.04</t>
  </si>
  <si>
    <t>Бронь лобового Бмв Х4</t>
  </si>
  <si>
    <t>Сигизмунд</t>
  </si>
  <si>
    <t>7 937 992-31-11 - Входящий звонок</t>
  </si>
  <si>
    <t>7 927 709-59-93 - Входящий звонок</t>
  </si>
  <si>
    <t>Соколов</t>
  </si>
  <si>
    <t>Роман Фде - Открытая линия Левша</t>
  </si>
  <si>
    <t>Фде</t>
  </si>
  <si>
    <t xml:space="preserve">Оклейка целиком или зоны риска Тигуан </t>
  </si>
  <si>
    <t>Оклейка капота хавал ф7</t>
  </si>
  <si>
    <t>7 917 102-37-37 - Входящий звонок</t>
  </si>
  <si>
    <t>7 927 692-51-50 - Входящий звонок</t>
  </si>
  <si>
    <t>лобовое стекло у машины оклеить</t>
  </si>
  <si>
    <t>SergeyTab</t>
  </si>
  <si>
    <t>7 987 162-50-00 - Входящий звонок</t>
  </si>
  <si>
    <t xml:space="preserve">Оклейка зон риска крета </t>
  </si>
  <si>
    <t>Оклейка крыши в черный</t>
  </si>
  <si>
    <t>Elis</t>
  </si>
  <si>
    <t>JAC T9 - Заявка с сайта ЛЕВША - форма Online-запись</t>
  </si>
  <si>
    <t xml:space="preserve"> зоны рисков на Весту св кросс</t>
  </si>
  <si>
    <t>оклеить ладу весту частично</t>
  </si>
  <si>
    <t>бронирование авто пленкой</t>
  </si>
  <si>
    <t>Оклейка монитор Exeed TXl</t>
  </si>
  <si>
    <t>7 927 745-88-00 - Входящий звонок</t>
  </si>
  <si>
    <t>Даниил Курганов - Открытая линия Левша</t>
  </si>
  <si>
    <t>Курганов</t>
  </si>
  <si>
    <t>7 929 296-40-70 - Входящий звонок</t>
  </si>
  <si>
    <t>7 846 279-02-83 - Входящий звонок</t>
  </si>
  <si>
    <t xml:space="preserve">21,03 пленка+атермалка+тнер </t>
  </si>
  <si>
    <t xml:space="preserve">пленка целиком </t>
  </si>
  <si>
    <t xml:space="preserve">Пленка </t>
  </si>
  <si>
    <t>7 927 894-40-00 - Входящий звонок</t>
  </si>
  <si>
    <t>Бронь лобового</t>
  </si>
  <si>
    <t>Плёнка+тонировка</t>
  </si>
  <si>
    <t xml:space="preserve">Aito M7 № н500аа763 переклейка по грантии </t>
  </si>
  <si>
    <t>Хавал дарго коррекция / переклейка зеркала по грантии 28,03</t>
  </si>
  <si>
    <t>Оклейка в матовый Джили тугелла</t>
  </si>
  <si>
    <t>Victor777</t>
  </si>
  <si>
    <t>7 937 998-57-51 - Входящий звонок</t>
  </si>
  <si>
    <t>Константин - Открытая линия Левша</t>
  </si>
  <si>
    <t xml:space="preserve">Демонтаж пленки </t>
  </si>
  <si>
    <t>7 996 342-40-67 - Входящий звонок</t>
  </si>
  <si>
    <t xml:space="preserve">полоса на крышу </t>
  </si>
  <si>
    <t>.</t>
  </si>
  <si>
    <t xml:space="preserve">черная крыша </t>
  </si>
  <si>
    <t xml:space="preserve">П_Л_Ё_Н_К_А чёрн. крыша </t>
  </si>
  <si>
    <t>хендай санта фе оклейка крыла и дверей</t>
  </si>
  <si>
    <t>7 927 260-81-63 - Входящий звонок</t>
  </si>
  <si>
    <t>Оклейка Джили ситирэй целиком или зоны риска</t>
  </si>
  <si>
    <t>7 927 909-01-99 - Входящий звонок</t>
  </si>
  <si>
    <t>mb slkr172 изменение цвета на бордовой</t>
  </si>
  <si>
    <t>Доброхотов</t>
  </si>
  <si>
    <t>7 999 256-40-03 - Входящий звонок</t>
  </si>
  <si>
    <t>7 937 184-97-00 - Входящий звонок</t>
  </si>
  <si>
    <t>7 927 297-18-73 - Входящий звонок</t>
  </si>
  <si>
    <t>Константин Братчиков - полностью в матовую пленку KIA MOHAVE 2022 г.в.</t>
  </si>
  <si>
    <t>Братчиков</t>
  </si>
  <si>
    <t>shadrin nikolai 14 - Открытая линия Левша</t>
  </si>
  <si>
    <t>shadrin nikolai 14</t>
  </si>
  <si>
    <t>МОТО оклейка фары и бака</t>
  </si>
  <si>
    <t>Ширко</t>
  </si>
  <si>
    <t>7 967 489-62-87 - Входящий звонок</t>
  </si>
  <si>
    <t>Кирилл Карпеев</t>
  </si>
  <si>
    <t>П_Л_Ё_Н_К_А + Н_А В_А_З 2_1_1_4</t>
  </si>
  <si>
    <t xml:space="preserve">По сертиф. </t>
  </si>
  <si>
    <t xml:space="preserve">игорь </t>
  </si>
  <si>
    <t xml:space="preserve">П_Л_Ё_Н_К_А на одну дверь </t>
  </si>
  <si>
    <t>Денис Грачев - Открытая линия Левша</t>
  </si>
  <si>
    <t>Denis - Открытая линия Левша - ДУБЛЬ</t>
  </si>
  <si>
    <t>Denis</t>
  </si>
  <si>
    <t xml:space="preserve">оклейка оптики и фонарей в притемненый полик </t>
  </si>
  <si>
    <t>Оклейка БМВ Х5</t>
  </si>
  <si>
    <t>Дубликат пленки х5</t>
  </si>
  <si>
    <t>Коррекция Тойота краун 5/03</t>
  </si>
  <si>
    <t>7 917 165-20-01 - Входящий звонок</t>
  </si>
  <si>
    <t>7 937 065-00-55 - Входящий звонок</t>
  </si>
  <si>
    <t>7 925 078-78-65 - Входящий звонок</t>
  </si>
  <si>
    <t>dmitri sysoev - Открытая линия Левша</t>
  </si>
  <si>
    <t>dmitri</t>
  </si>
  <si>
    <t>sysoev</t>
  </si>
  <si>
    <t xml:space="preserve">оклеить крышу в черный киа рио </t>
  </si>
  <si>
    <t>7 902 336-93-99 - Входящий звонок</t>
  </si>
  <si>
    <t>7 917 154-07-04 - Входящий звонок</t>
  </si>
  <si>
    <t>7 922 800-79-66 - Входящий звонок</t>
  </si>
  <si>
    <t>7 964 986-97-77 - Входящий звонок</t>
  </si>
  <si>
    <t xml:space="preserve">П_Л_Ё_Н_К_А по чату на М_А_Й </t>
  </si>
  <si>
    <t>оклеить боковые зеркала, привезет в начале марта</t>
  </si>
  <si>
    <t xml:space="preserve">москвич 3 тонировка </t>
  </si>
  <si>
    <t>заклеить фары в выходной</t>
  </si>
  <si>
    <t>7 937 989-30-82 - Входящий звонок</t>
  </si>
  <si>
    <t>Michail</t>
  </si>
  <si>
    <t xml:space="preserve">веста в цветной полик (черный) </t>
  </si>
  <si>
    <t>антихром / пленка / бронь лоб 2 авто джйку</t>
  </si>
  <si>
    <t xml:space="preserve">джили кулрэй целиковая </t>
  </si>
  <si>
    <t>Веста защитить от сколов пленкой</t>
  </si>
  <si>
    <t xml:space="preserve">пленка монжаро </t>
  </si>
  <si>
    <t>Shishkov</t>
  </si>
  <si>
    <t>7 927 008-22-00 - Входящий звонок</t>
  </si>
  <si>
    <t>7 937 060-85-55 - Входящий звонок</t>
  </si>
  <si>
    <t>7 927 746-28-29 - Входящий звонок</t>
  </si>
  <si>
    <t>Ольга Кузнецова - Открытая линия Левша</t>
  </si>
  <si>
    <t>Кузнецова</t>
  </si>
  <si>
    <t>Dargo фары в темный полик</t>
  </si>
  <si>
    <t>Ольга - Открытая линия Левша</t>
  </si>
  <si>
    <t>П_Л_Ё_Н_К_А бол. Н_А_К_Л_Е_Й_К_А</t>
  </si>
  <si>
    <t>Костя</t>
  </si>
  <si>
    <t>Сайкин</t>
  </si>
  <si>
    <t xml:space="preserve">П_Л_Ё_Н_К_А </t>
  </si>
  <si>
    <t>Наквакин Андрей J8 Пленка</t>
  </si>
  <si>
    <t>7 938 422-80-82 - Исходящий звонок</t>
  </si>
  <si>
    <t>антьихром 120 хим 23 пленка 23 +2 демонтаж  на 04,03</t>
  </si>
  <si>
    <t>7 967 762-11-55 - Входящий звонок</t>
  </si>
  <si>
    <t xml:space="preserve">корекция + тонировка + мойка </t>
  </si>
  <si>
    <t xml:space="preserve">Пленка капот веста </t>
  </si>
  <si>
    <t>Deonysius</t>
  </si>
  <si>
    <t>Magnus</t>
  </si>
  <si>
    <t>Монжаро Капот/полоса на крышу/ зона посадки / фары / ПРОСИЛ НЕ ЗВОНИТЬ!!!</t>
  </si>
  <si>
    <t>7 927 265-89-35 - Входящий звонок</t>
  </si>
  <si>
    <t xml:space="preserve">плёнка замена цвета </t>
  </si>
  <si>
    <t>Алексей - Открытая линия Левша</t>
  </si>
  <si>
    <t>Avito - Открытая линия Левша</t>
  </si>
  <si>
    <t>7 905 302-08-84 - Входящий звонок</t>
  </si>
  <si>
    <t xml:space="preserve">Пленка+керамика </t>
  </si>
  <si>
    <t>Алексей Х3 Пленка+керамика</t>
  </si>
  <si>
    <t>Алексей Дорошков - Открытая линия Левша</t>
  </si>
  <si>
    <t>Дорошков</t>
  </si>
  <si>
    <t xml:space="preserve">обзвон по пленке </t>
  </si>
  <si>
    <t>обзвон</t>
  </si>
  <si>
    <t>Сергей Антонов</t>
  </si>
  <si>
    <t>Обзвон по пленке</t>
  </si>
  <si>
    <t>пленка танк 700</t>
  </si>
  <si>
    <t>Анто Захаров Танк 700 Оклеить</t>
  </si>
  <si>
    <t>Ку7 полность в прозрачную пленку 26.02</t>
  </si>
  <si>
    <t>Сколько будет стоить заклеить крушу на тайота рав4</t>
  </si>
  <si>
    <t>Солярис в желтую пленку</t>
  </si>
  <si>
    <t xml:space="preserve">Цветной полиуретан </t>
  </si>
  <si>
    <t>Гость - Открытая линия Левша</t>
  </si>
  <si>
    <t>Гость</t>
  </si>
  <si>
    <t>Кириченко</t>
  </si>
  <si>
    <t>Сергей Колодзев - поло лифтбек</t>
  </si>
  <si>
    <t>Колодзев</t>
  </si>
  <si>
    <t xml:space="preserve">чёрна крыша </t>
  </si>
  <si>
    <t>пленка Х7</t>
  </si>
  <si>
    <t xml:space="preserve">пленка на стекла </t>
  </si>
  <si>
    <t>7 917 015-23-53 - Входящий звонок</t>
  </si>
  <si>
    <t>7 927 728-88-83 - Входящий звонок</t>
  </si>
  <si>
    <t>7 927 709-22-11 - Входящий звонок</t>
  </si>
  <si>
    <t>Консультация по DTL, ШВИ, Пленке TLC Prado</t>
  </si>
  <si>
    <t xml:space="preserve">ауди Q8 полностью в пленку </t>
  </si>
  <si>
    <t>7 927 743-85-82 - Входящий звонок</t>
  </si>
  <si>
    <t xml:space="preserve">пленка Сергей </t>
  </si>
  <si>
    <t xml:space="preserve">Ягуар оклеить бампера / выясняет какая пленка </t>
  </si>
  <si>
    <t>ГЛС Оклейка броней лобового / коррекция пленки платная 7,02</t>
  </si>
  <si>
    <t>Олег арки у Дастера оклеить пленкой</t>
  </si>
  <si>
    <t xml:space="preserve">Обклеить полностью </t>
  </si>
  <si>
    <t>оклить пороги на х5 дорого</t>
  </si>
  <si>
    <t>Оклейка Лобового стекла Jetour T2</t>
  </si>
  <si>
    <t>7 937 176-81-99 - Входящий звонок</t>
  </si>
  <si>
    <t>7 918 982-07-05 - Исходящий звонок</t>
  </si>
  <si>
    <t>Владислав - оклейку бронепленкой зон риска Geely Cityray</t>
  </si>
  <si>
    <t>Заявка с сайта ЛЕВША - форма Online-запись Оклейка пленкой авто</t>
  </si>
  <si>
    <t>7 927 762-00-00 - Входящий звонок</t>
  </si>
  <si>
    <t>заклеить бампер</t>
  </si>
  <si>
    <t>Хендай элантра целиком 230 000 глянец СВЯЗАТЬСЯ 31,01 ДЛЯ РЕШЕНИЯ ЗАПИСИ</t>
  </si>
  <si>
    <t xml:space="preserve">Цена может изменится на пленку сам перезвонит </t>
  </si>
  <si>
    <t>Оклейка/керамика и т.д BMW 3 серии / обо всем и сразу плнирует после февраля</t>
  </si>
  <si>
    <t>Арсен Батикян - Открытая линия Левша</t>
  </si>
  <si>
    <t>Арсен</t>
  </si>
  <si>
    <t>Батикян</t>
  </si>
  <si>
    <t xml:space="preserve">чанган юни к 301 1,02 </t>
  </si>
  <si>
    <t>7 912 214-45-90 - Входящий звонок</t>
  </si>
  <si>
    <t>Крузак - Открытая линия Левша</t>
  </si>
  <si>
    <t>Гражданин</t>
  </si>
  <si>
    <t xml:space="preserve">бронирование фар </t>
  </si>
  <si>
    <t xml:space="preserve">демонтаж пленки с задних фар </t>
  </si>
  <si>
    <t>7 927 000-51-57 - Входящий звонок</t>
  </si>
  <si>
    <t>7 927 758-78-00 - Входящий звонок</t>
  </si>
  <si>
    <t xml:space="preserve">пленка на J7 </t>
  </si>
  <si>
    <t>7 927 027-99-88 - Входящий звонок</t>
  </si>
  <si>
    <t>джитур т2 зона рисков / глянец салон</t>
  </si>
  <si>
    <t>Планирует оклейку только летом</t>
  </si>
  <si>
    <t>Карасев</t>
  </si>
  <si>
    <t>раскейка брони лоб Х7 27,01</t>
  </si>
  <si>
    <t xml:space="preserve">Оклеитьт экраны Омода С5 </t>
  </si>
  <si>
    <t>монжаро пленка антихром</t>
  </si>
  <si>
    <t>Сергеевич</t>
  </si>
  <si>
    <t xml:space="preserve">мультивен фольксваген 18 года оклйка бампера/фара/крыло/зеркало после ДТП </t>
  </si>
  <si>
    <t xml:space="preserve">пленка Х6 </t>
  </si>
  <si>
    <t xml:space="preserve">пленка Uni-K </t>
  </si>
  <si>
    <t xml:space="preserve">Плёнка Kia Sportage </t>
  </si>
  <si>
    <t>Илья Гросс - Открытая линия Левша</t>
  </si>
  <si>
    <t>Гросс</t>
  </si>
  <si>
    <t>Неоменко Михаил - Открытая линия Левша</t>
  </si>
  <si>
    <t>Неоменко</t>
  </si>
  <si>
    <t xml:space="preserve">пленка+керамика Exeed RX </t>
  </si>
  <si>
    <t xml:space="preserve">Пленка изменение цвета </t>
  </si>
  <si>
    <t xml:space="preserve">дизайн оклейка бмв в винил </t>
  </si>
  <si>
    <t>Насыров</t>
  </si>
  <si>
    <t>7 927 742-67-80 - Входящий звонок</t>
  </si>
  <si>
    <t xml:space="preserve">мойка и пленка Крузер </t>
  </si>
  <si>
    <t>Мазда СХ-5 ШВИ/ зона риска</t>
  </si>
  <si>
    <t>7 927 904-05-50 - Входящий звонок</t>
  </si>
  <si>
    <t>Субару форестер 22г / ШВИ комплекс / оклейка капот, бампер, вокруг лобового, двери</t>
  </si>
  <si>
    <t>PM - Открытая линия Левша</t>
  </si>
  <si>
    <t>PM</t>
  </si>
  <si>
    <t>7 987 913-42-32 - Входящий звонок</t>
  </si>
  <si>
    <t>7 927 797-27-96 - Входящий звонок</t>
  </si>
  <si>
    <t xml:space="preserve">заклеить одну фару </t>
  </si>
  <si>
    <t>7 927 713-31-38 - Входящий звонок</t>
  </si>
  <si>
    <t>7 927 735-26-37 - Входящий звонок</t>
  </si>
  <si>
    <t xml:space="preserve">оклейка крыши в черный </t>
  </si>
  <si>
    <t xml:space="preserve">Тигуан окйлека капот/оптики/ Тонировка </t>
  </si>
  <si>
    <t>7 846 378-01-25 - Входящий звонок</t>
  </si>
  <si>
    <t xml:space="preserve">оклеить крышу в черный винил в алмазную крошку </t>
  </si>
  <si>
    <t xml:space="preserve">бронь лобового, поедет на другой адрес / там дешевле делают </t>
  </si>
  <si>
    <t>7 937 202-67-69 - Входящий звонок</t>
  </si>
  <si>
    <t>7 927 262-15-21 - Входящий звонок</t>
  </si>
  <si>
    <t xml:space="preserve">пленка х3 </t>
  </si>
  <si>
    <t>7 927 730-72-01 - Входящий звонок</t>
  </si>
  <si>
    <t>Nikita Sobolev - Открытая линия Левша</t>
  </si>
  <si>
    <t>Nikita</t>
  </si>
  <si>
    <t>Sobolev</t>
  </si>
  <si>
    <t>7 846 207-43-42 - Входящий звонок</t>
  </si>
  <si>
    <t xml:space="preserve">оклйка одной фары в пленку </t>
  </si>
  <si>
    <t>Оклеить капот на камри 75</t>
  </si>
  <si>
    <t>wey</t>
  </si>
  <si>
    <t xml:space="preserve">капот крылья полоса на крыку (26 20 и 6) </t>
  </si>
  <si>
    <t xml:space="preserve">пленка на гаг </t>
  </si>
  <si>
    <t xml:space="preserve">ТОнировка фар </t>
  </si>
  <si>
    <t>Оклейка капота и лобового в пленку Макан</t>
  </si>
  <si>
    <t>Владислав Анатольевич - Открытая линия Левша</t>
  </si>
  <si>
    <t>Анатольевич</t>
  </si>
  <si>
    <t>7 905 300-24-47 - Входящий звонок</t>
  </si>
  <si>
    <t>7 922 818-67-77 - Входящий звонок</t>
  </si>
  <si>
    <t xml:space="preserve">коррекция чанган </t>
  </si>
  <si>
    <t>оклейка х кросс 7 ДОРОГО кто то посчитал ему за 30 000</t>
  </si>
  <si>
    <t>Станислав Абрамов - Открытая линия Левша</t>
  </si>
  <si>
    <t>Спам</t>
  </si>
  <si>
    <t>Станислав</t>
  </si>
  <si>
    <t>Абрамов</t>
  </si>
  <si>
    <t>Александр Максимов</t>
  </si>
  <si>
    <t xml:space="preserve">Плёнка на Ceed </t>
  </si>
  <si>
    <t>полиуретановая пленка</t>
  </si>
  <si>
    <t xml:space="preserve">оклеить бампер в пленку какая-то китайская машина сам не знает какая </t>
  </si>
  <si>
    <t>Changan Uni-S в пленку Капот/крылья/ бампер</t>
  </si>
  <si>
    <t>П_Л_Ё_Н_К_А Крета 123 в матовую бампер</t>
  </si>
  <si>
    <t>Потрескалась фара на пленке</t>
  </si>
  <si>
    <t>7 917 157-77-75 - Входящий звонок</t>
  </si>
  <si>
    <t xml:space="preserve">монжаро доокейка лекал </t>
  </si>
  <si>
    <t>Ауди Q7 антихром вокруг окон 18,12</t>
  </si>
  <si>
    <t>7 927 002-00-88 - Входящий звонок</t>
  </si>
  <si>
    <t xml:space="preserve">Оклейка снегохода в пленку </t>
  </si>
  <si>
    <t>7 927 687-12-72 - Входящий звонок</t>
  </si>
  <si>
    <t xml:space="preserve">изменения цвета </t>
  </si>
  <si>
    <t>Елизавета Поменять Цвет Машины Х4</t>
  </si>
  <si>
    <t>черная крыша</t>
  </si>
  <si>
    <t>Елена</t>
  </si>
  <si>
    <t>Сурадеева</t>
  </si>
  <si>
    <t xml:space="preserve">пленка переклейка </t>
  </si>
  <si>
    <t>7 937 180-80-32 - Входящий звонок</t>
  </si>
  <si>
    <t>не выходит на связь</t>
  </si>
  <si>
    <t>7 939 757-50-60 - Входящий звонок</t>
  </si>
  <si>
    <t>7 928 828-78-80 - Входящий звонок</t>
  </si>
  <si>
    <t>7 937 202-07-47 - Входящий звонок</t>
  </si>
  <si>
    <t>Оклейка машины под Яндекс</t>
  </si>
  <si>
    <t xml:space="preserve">Артем </t>
  </si>
  <si>
    <t xml:space="preserve">бронепленка по чату </t>
  </si>
  <si>
    <t>Костенко</t>
  </si>
  <si>
    <t>7 903 302-97-26 - Входящий звонок</t>
  </si>
  <si>
    <t>Andrey Goltsev CEO Мануфактура -  снять пленку и полностью покрыть авто керамикой Монжаро</t>
  </si>
  <si>
    <t>Andrey Goltsev</t>
  </si>
  <si>
    <t>CEO Мануфактура</t>
  </si>
  <si>
    <t xml:space="preserve">демонтаж плёнки такси </t>
  </si>
  <si>
    <t>Aystan - Открытая линия Левша/ общаюсь в чате</t>
  </si>
  <si>
    <t>Aystan</t>
  </si>
  <si>
    <t>Максим Каранов</t>
  </si>
  <si>
    <t>оклеить только передний бампер целиком/ 24000/ узнала цену и сказала спасибо</t>
  </si>
  <si>
    <t>оклейка салона карбоном. не делаем</t>
  </si>
  <si>
    <t>7 960 815-15-51 - Входящий звонок</t>
  </si>
  <si>
    <t>7 927 726-19-41 - Входящий звонок</t>
  </si>
  <si>
    <t>Волгарь</t>
  </si>
  <si>
    <t xml:space="preserve">Джили атлас оклеить зоны риска </t>
  </si>
  <si>
    <t xml:space="preserve">Aito после оклейки в пленку что то с дверью </t>
  </si>
  <si>
    <t xml:space="preserve">коррекция пленки Воя фри </t>
  </si>
  <si>
    <t>антихром молдингов дверей на jetta 6</t>
  </si>
  <si>
    <t>оклеить одно крыло и одну фару  Санта Фе</t>
  </si>
  <si>
    <t>бронь лобового танк 300</t>
  </si>
  <si>
    <t>Q8/ оклейка салона</t>
  </si>
  <si>
    <t>Сергей Буренин - защитная пленка на хавал Н3</t>
  </si>
  <si>
    <t>Viber - Открытая линия Левша</t>
  </si>
  <si>
    <t>Буренин</t>
  </si>
  <si>
    <t>блудняк с приорой/ не делаем</t>
  </si>
  <si>
    <t>АИТА М5/ целиковый в мат/ озвучил 290000+хочет антихром вокруг окон 20000+передняя решетка 20000/ планирует делать в середине декабря или в январе/ сказал про повышение цен после НГ/ созвон 10.12</t>
  </si>
  <si>
    <t>Ярослав</t>
  </si>
  <si>
    <t>лада веста /доклеить пленку / виниловые наклейки на 1,12</t>
  </si>
  <si>
    <t>Артур</t>
  </si>
  <si>
    <t>Абдрашитов</t>
  </si>
  <si>
    <t>Пленка на капот гранта / дорого</t>
  </si>
  <si>
    <t>7 927 895-79-84 - Входящий звонок</t>
  </si>
  <si>
    <t>Alena Atlasova - Открытая линия Левша</t>
  </si>
  <si>
    <t>Alena</t>
  </si>
  <si>
    <t>Atlasova</t>
  </si>
  <si>
    <t>7 917 817-07-97 - Входящий звонок</t>
  </si>
  <si>
    <t>Денис - Открытая линия Левша</t>
  </si>
  <si>
    <t>7 927 688-02-11 - Входящий звонок</t>
  </si>
  <si>
    <t xml:space="preserve">Омода С5 Капот/Фары/Крылья В начале декабря </t>
  </si>
  <si>
    <t>Оклеить винилом без крыши под такси Kia k3</t>
  </si>
  <si>
    <t>Денис - Открытая линия Левша/ оклейка капота/ общаемся в чате/ без ответа</t>
  </si>
  <si>
    <t xml:space="preserve">Geely Monjaro № м294ук763 Коррекция пленки </t>
  </si>
  <si>
    <t>плёнка на фары</t>
  </si>
  <si>
    <t xml:space="preserve">целиковая воя фри </t>
  </si>
  <si>
    <t xml:space="preserve">Каен в целиковую оклейку пленкой </t>
  </si>
  <si>
    <t>зикр 333</t>
  </si>
  <si>
    <t xml:space="preserve">П_Л_Ё_Н_К_А и Х_И_М.  потолка </t>
  </si>
  <si>
    <t xml:space="preserve">переточка фары/пленка на фары </t>
  </si>
  <si>
    <t>полировка эл-та</t>
  </si>
  <si>
    <t xml:space="preserve">уже написан в другом месенджере </t>
  </si>
  <si>
    <t>Екатерина</t>
  </si>
  <si>
    <t>Забродина</t>
  </si>
  <si>
    <t xml:space="preserve">услуги по оклейки авто </t>
  </si>
  <si>
    <t>пленка фары и зона погрузки</t>
  </si>
  <si>
    <t>7 999 172-95-15 - Входящий звонок</t>
  </si>
  <si>
    <t>Гранта капот в пленку</t>
  </si>
  <si>
    <t>Реналь</t>
  </si>
  <si>
    <t>7 917 133-13-43 - Входящий звонок</t>
  </si>
  <si>
    <t>7 912 844-05-87 - Входящий звонок</t>
  </si>
  <si>
    <t xml:space="preserve">Audi Q8 № е153нс164 пленка </t>
  </si>
  <si>
    <t>Денис Макеенков Audi Q8</t>
  </si>
  <si>
    <t>7 987 430-40-30 - Входящий звонок</t>
  </si>
  <si>
    <t xml:space="preserve">оклейка фар </t>
  </si>
  <si>
    <t>Kip9l</t>
  </si>
  <si>
    <t>7 927 896-22-57 - Входящий звонок</t>
  </si>
  <si>
    <t>Дмитрий - Открытая линия Левша</t>
  </si>
  <si>
    <t>Олег - Открытая линия Левша</t>
  </si>
  <si>
    <t>прозвон сделок, оклеил хавал за 20000 в оренбурге</t>
  </si>
  <si>
    <t>7 928 193-04-62 - Исходящий звонок</t>
  </si>
  <si>
    <t xml:space="preserve">обзвон по сделке дубликат сделки </t>
  </si>
  <si>
    <t xml:space="preserve">Гелик переклейка брони лобовое и крышки запаски </t>
  </si>
  <si>
    <t xml:space="preserve">Обзвон по пленке дубликат </t>
  </si>
  <si>
    <t xml:space="preserve">Ц_Е_Л_И_К_О_В_А_Я </t>
  </si>
  <si>
    <t>D</t>
  </si>
  <si>
    <t>20,11 мойка и оклейка молдингов е53</t>
  </si>
  <si>
    <t>Danil - Открытая линия Левша</t>
  </si>
  <si>
    <t>Danil</t>
  </si>
  <si>
    <t>оклейка за копейки какой то полоски. не сделаем</t>
  </si>
  <si>
    <t xml:space="preserve">хромо пленка-хамелеон/ нет такой </t>
  </si>
  <si>
    <t>Нецелевое обращение</t>
  </si>
  <si>
    <t>ответил в заявке на обратный звонок</t>
  </si>
  <si>
    <t>Максим Оклейка салона ДЖили Ситирей глянцевые вставки и экран</t>
  </si>
  <si>
    <t>Карандов</t>
  </si>
  <si>
    <t>зикр 001/целиковая</t>
  </si>
  <si>
    <t>Родион Самсонов - Открытая линия Левша/ чат по пленке  haval h5 2024 года. Сколько будет стоить закатать пленкой все кроме крыши и багажника</t>
  </si>
  <si>
    <t>Родион</t>
  </si>
  <si>
    <t>Самсонов</t>
  </si>
  <si>
    <t>R V - Открытая линия Левша/ реник, заберите пленку в чате!</t>
  </si>
  <si>
    <t>R</t>
  </si>
  <si>
    <t>V</t>
  </si>
  <si>
    <t>Реник, заберите чат. бмв х4 целиком в мат!</t>
  </si>
  <si>
    <t xml:space="preserve">омода с5 зоны риска </t>
  </si>
  <si>
    <t>Оклейка в пленку ЛИ9 ны 25,11</t>
  </si>
  <si>
    <t>Akoposov</t>
  </si>
  <si>
    <t xml:space="preserve">Оклейка  + антихром Джили монжаро </t>
  </si>
  <si>
    <t>7 922 535-45-45 - Входящий звонок</t>
  </si>
  <si>
    <t>джилли тугелла антихром / хотят сделать подарочный сертификат коллеге</t>
  </si>
  <si>
    <t>7 919 806-18-75 - Входящий звонок</t>
  </si>
  <si>
    <t>Оклейка монитора Эксид</t>
  </si>
  <si>
    <t>7 927 768-71-01 - Входящий звонок</t>
  </si>
  <si>
    <t>7 987 989-14-02 - Входящий звонок</t>
  </si>
  <si>
    <t>Дмитрий Малыков - Оклейка в цветную пленку</t>
  </si>
  <si>
    <t>Малыков</t>
  </si>
  <si>
    <t>7 927 909-00-49 - Входящий звонок</t>
  </si>
  <si>
    <t xml:space="preserve">оклейка джетур в мат целиком / дороговато </t>
  </si>
  <si>
    <t>пленка GAC JS8 заклеить фары передние, капот и крышу</t>
  </si>
  <si>
    <t>пленка танк 300</t>
  </si>
  <si>
    <t>7 937 079-95-40 - Входящий звонок</t>
  </si>
  <si>
    <t>Лэнд Крузер 76 полностью в пленку закатать</t>
  </si>
  <si>
    <t>Эдгар</t>
  </si>
  <si>
    <t>Dmitryi</t>
  </si>
  <si>
    <t>Tyapin</t>
  </si>
  <si>
    <t xml:space="preserve">бронь лада гранта кросс / зона рисков </t>
  </si>
  <si>
    <t xml:space="preserve">пленка ДАРГО </t>
  </si>
  <si>
    <t>К_О_Р_Е_К_Ц_И_Я ____П_Л_Ё_Н_К_И</t>
  </si>
  <si>
    <t>оклеить арки задние ауди а6 приедет на осмотр</t>
  </si>
  <si>
    <t>Снять пленку, потом после покраски заклеить снова 11.11 Чанган 9-00</t>
  </si>
  <si>
    <t>7 929 794-98-82 - Входящий звонок</t>
  </si>
  <si>
    <t>7 960 811-10-90 - Входящий звонок</t>
  </si>
  <si>
    <t>7 999 120-04-63 - Входящий звонок</t>
  </si>
  <si>
    <t>7 937 994-11-26 - Входящий звонок</t>
  </si>
  <si>
    <t>7 987 441-89-96 - Входящий звонок</t>
  </si>
  <si>
    <t>Черников Александр RRр002рр - Открытая линия Левша</t>
  </si>
  <si>
    <t>Черников</t>
  </si>
  <si>
    <t>7 927 600-19-22 - Входящий звонок</t>
  </si>
  <si>
    <t>Галиуллин Руслан - JAECOO J8 полностью матовой пленкой(производитель?) +фары, 4 зоны посадки и зона погрузки, фары. Шумоизоляция арок, антидождь всех стёкол</t>
  </si>
  <si>
    <t>Галиуллин</t>
  </si>
  <si>
    <t>Руслан</t>
  </si>
  <si>
    <t>Sergey - оклеить лакированную стойку двери</t>
  </si>
  <si>
    <t>Sergey</t>
  </si>
  <si>
    <t>7 931 541-02-84 - Исходящий звонок</t>
  </si>
  <si>
    <t>Вип</t>
  </si>
  <si>
    <t>7 937 642-65-55 - Входящий звонок</t>
  </si>
  <si>
    <t>оклеить дисплеи Li9</t>
  </si>
  <si>
    <t>7 927 260-28-46 - Входящий звонок</t>
  </si>
  <si>
    <t>Алексей Войя Фри бампер, полоска на крышу, капот, сетка в бампер</t>
  </si>
  <si>
    <t>установка видеорегистратора /н делаем</t>
  </si>
  <si>
    <t>7 927 756-40-18 - Входящий звонок</t>
  </si>
  <si>
    <t>7 987 987-35-55 - Входящий звонок</t>
  </si>
  <si>
    <t xml:space="preserve">04.11 ГАК GS8 целиком </t>
  </si>
  <si>
    <t>7 927 298-32-17 - Входящий звонок</t>
  </si>
  <si>
    <t xml:space="preserve">ауди пленка </t>
  </si>
  <si>
    <t xml:space="preserve">вопрос по пленке у дилера </t>
  </si>
  <si>
    <t>7 927 903-86-65 - Исходящий звонок</t>
  </si>
  <si>
    <t>Ауди Q8 24 года оклейка прозрачной пленкой полная</t>
  </si>
  <si>
    <t>Новая машина капот, бампер, фары, зад Монжаро в пленку</t>
  </si>
  <si>
    <t xml:space="preserve">Мойка и пленка полностью Зикр 001 </t>
  </si>
  <si>
    <t xml:space="preserve">чанган uni-s Пленка </t>
  </si>
  <si>
    <t>7 927 260-70-05 - Входящий звонок</t>
  </si>
  <si>
    <t>Плёнка хавал приценивался</t>
  </si>
  <si>
    <t>левша</t>
  </si>
  <si>
    <t>Федченко</t>
  </si>
  <si>
    <t>Тиньков</t>
  </si>
  <si>
    <t xml:space="preserve">25,09 gAC js8 бн Стандарт зоны риска </t>
  </si>
  <si>
    <t>пленка сам не знает какая у него машина</t>
  </si>
  <si>
    <t xml:space="preserve">Фёдор </t>
  </si>
  <si>
    <t>Andrey Goltsev CEO Мануфактура - Открытая линия Левша</t>
  </si>
  <si>
    <t xml:space="preserve">Отмена записи </t>
  </si>
  <si>
    <t>7 927 735-79-89 - Входящий звонок</t>
  </si>
  <si>
    <t>Велар оклеить 2 двери со стороны водителя после покраски</t>
  </si>
  <si>
    <t>оклейка в пленку ящик</t>
  </si>
  <si>
    <t>Омода С5 черный (капот, лобовые стекла, боковые зеркала, подручками и пороги)</t>
  </si>
  <si>
    <t xml:space="preserve">Скол на решетке нужно перекрашивать, не верит думает что пленкой можно перетянуть </t>
  </si>
  <si>
    <t>Заявка с сайта ЛЕВША/ олег / оклеить авто</t>
  </si>
  <si>
    <t>мойка и оклейка вставок в салоне</t>
  </si>
  <si>
    <t>Демонтаж виниловой пленки Паджеро спорт, оклеена 3 года назад</t>
  </si>
  <si>
    <t>Герман</t>
  </si>
  <si>
    <t>Ауди Q8 18,10</t>
  </si>
  <si>
    <t>Оксана - Антихром</t>
  </si>
  <si>
    <t>7 927 689-11-22 - Входящий звонок</t>
  </si>
  <si>
    <t>пленка капот санта фе Долго ждать далеко запись</t>
  </si>
  <si>
    <t>7 937 997-44-55 - Входящий звонок</t>
  </si>
  <si>
    <t>крузак/ снять пленку-наклеить пленку-отполировать</t>
  </si>
  <si>
    <t>монжаро бронь лобовое пленка фары АЛМАЗ</t>
  </si>
  <si>
    <t>Заявка с сайта ЛЕВША/ РЕНИК, заберите чатю пленка+дтл</t>
  </si>
  <si>
    <t>Анатолий</t>
  </si>
  <si>
    <t>Пленка exeed RX Зоны риска</t>
  </si>
  <si>
    <t>Голубев</t>
  </si>
  <si>
    <t>капот в пленку G20 есть керамика на капоте Дорого</t>
  </si>
  <si>
    <t>7 917 953-54-23 - Входящий звонок</t>
  </si>
  <si>
    <t>21.10 Оклейка нового авто Черри Тиго 7 про макс (половину капота, крышу до панорамы, фары, кусочки крыльев, глянец на дверях)</t>
  </si>
  <si>
    <t xml:space="preserve">заклеить локалы ДОРОГО </t>
  </si>
  <si>
    <t>Пленка лисян 6</t>
  </si>
  <si>
    <t>Kriukov</t>
  </si>
  <si>
    <t>П_Л_Ё_Н_К_А Монжаро, планирует оклеку после 22.10.2024г</t>
  </si>
  <si>
    <t>Wind</t>
  </si>
  <si>
    <t>Nord</t>
  </si>
  <si>
    <t xml:space="preserve">ли 7 целиковая оклейка </t>
  </si>
  <si>
    <t>Виктория - Солярис частично оклеить пленкой крышу авто. «Полосой» от лобового и чуть дальше</t>
  </si>
  <si>
    <t>Виктория</t>
  </si>
  <si>
    <t>броня на фары и лобовое</t>
  </si>
  <si>
    <t>Броня лобовое и фары Rav 4</t>
  </si>
  <si>
    <t>7 902 857-95-35 - Исходящий звонок</t>
  </si>
  <si>
    <t>21,10 зона риска Li7 303</t>
  </si>
  <si>
    <t xml:space="preserve">перенос записи на 21,10 Prado 699 Полоса над лобовым </t>
  </si>
  <si>
    <t>П_Л_Ё_Н_К_А Exeed Rx</t>
  </si>
  <si>
    <t>П_Л_Ё_Н_К_А стойки</t>
  </si>
  <si>
    <t>Пленку на дверь Йетти наклеить</t>
  </si>
  <si>
    <t xml:space="preserve">чери тиго полоса над лобовым под ручками </t>
  </si>
  <si>
    <t>7 986 952-08-11 - Входящий звонок</t>
  </si>
  <si>
    <t>Зона погрузки RR 001 9,10</t>
  </si>
  <si>
    <t>Олег Квасов П_Л_ЁН_К_А</t>
  </si>
  <si>
    <t>Квасов</t>
  </si>
  <si>
    <t xml:space="preserve"> плёнка</t>
  </si>
  <si>
    <t>пленка монжаро/ в работе на 110000</t>
  </si>
  <si>
    <t>7 902 372-88-44 - Входящий звонок</t>
  </si>
  <si>
    <t>манжаро 657/ зоны риска</t>
  </si>
  <si>
    <t>7 927 709-09-52 - Входящий звонок</t>
  </si>
  <si>
    <t>7 917 019-91-84 - Входящий звонок</t>
  </si>
  <si>
    <t>7 960 822-54-44 - Входящий звонок</t>
  </si>
  <si>
    <t>7 927 698-98-88 - Входящий звонок</t>
  </si>
  <si>
    <t>Чанган АС55 на кузове красны элементы в черный глянец закатать</t>
  </si>
  <si>
    <t>оклейка авто парка! 12 машин-рено сандеро</t>
  </si>
  <si>
    <t>Айтен</t>
  </si>
  <si>
    <t>вопрос по готовности</t>
  </si>
  <si>
    <t xml:space="preserve">оклейка не удобная дата </t>
  </si>
  <si>
    <t>7 927 602-17-05 - Входящий звонок</t>
  </si>
  <si>
    <t>запись на коррекцию/ реник</t>
  </si>
  <si>
    <t>Пленка на Санта фе</t>
  </si>
  <si>
    <t>7 937 179-20-47 - Входящий звонок</t>
  </si>
  <si>
    <t>7 937 208-45-62 - Входящий звонок</t>
  </si>
  <si>
    <t>Пленка Li9 РЕНИК</t>
  </si>
  <si>
    <t>Android</t>
  </si>
  <si>
    <t xml:space="preserve">оклейка целиком лада гранта РЕник </t>
  </si>
  <si>
    <t>Ли 7 покрыть матовой пленкой</t>
  </si>
  <si>
    <t>7 937 649-00-07 - Входящий звонок</t>
  </si>
  <si>
    <t>7 900 072-71-33 - Входящий звонок</t>
  </si>
  <si>
    <t>крыша в черный глянец на рено сандеро</t>
  </si>
  <si>
    <t>РЕНЕК закатать Джили Маджаро в пленку (премиальную )</t>
  </si>
  <si>
    <t>7 917 119-48-47 - Входящий звонок</t>
  </si>
  <si>
    <t>7 964 991-31-11 - Входящий звонок</t>
  </si>
  <si>
    <t>7 987 446-41-85 - Входящий звонок</t>
  </si>
  <si>
    <t>Чери Тигго оклейка зон риска</t>
  </si>
  <si>
    <t>Руслан Уралов - обклеить в матовую пленку ТАНК 500, в серебре, плюс Антиохом</t>
  </si>
  <si>
    <t>Уралов</t>
  </si>
  <si>
    <t>Заявка с сайта ЛЕВША - оклейка Джили Монжаро</t>
  </si>
  <si>
    <t xml:space="preserve">Денис </t>
  </si>
  <si>
    <t>Пенсионер хочет оклеить Джили Атлас полоса на капоте, на крыше, фары, под ручками Юрий Владимирович</t>
  </si>
  <si>
    <t>7 937 643-58-21 - Входящий звонок</t>
  </si>
  <si>
    <t>7 927 704-43-02 - Входящий звонок</t>
  </si>
  <si>
    <t xml:space="preserve">Джили Атлас новый фары, капот, полоса на крышу </t>
  </si>
  <si>
    <t>7 929 704-08-25 - Входящий звонок</t>
  </si>
  <si>
    <t>7 927 720-20-44 - Входящий звонок</t>
  </si>
  <si>
    <t>пленка на арки дастера</t>
  </si>
  <si>
    <t>Заявка с сайта ЛЕВША - форма Online-запись/ реник заберите ПЛЕНКУ!</t>
  </si>
  <si>
    <t>Алекспгдр</t>
  </si>
  <si>
    <t>7 926 255-84-04 - Входящий звонок</t>
  </si>
  <si>
    <t>7 927 732-23-84 - Входящий звонок</t>
  </si>
  <si>
    <t>7 927 008-00-85 - Входящий звонок</t>
  </si>
  <si>
    <t>НИИ Экран</t>
  </si>
  <si>
    <t>7 927 020-27-92 - Входящий звонок</t>
  </si>
  <si>
    <t xml:space="preserve">Пленка капот ДОРОГО </t>
  </si>
  <si>
    <t xml:space="preserve">Сделать ХРОМ (не делаем) </t>
  </si>
  <si>
    <t>7 939 755-16-17 - Входящий звонок</t>
  </si>
  <si>
    <t xml:space="preserve">пленка в мат </t>
  </si>
  <si>
    <t>7 917 150-49-56 - Входящий звонок</t>
  </si>
  <si>
    <t>Сергей 9-30 Монжаро м845мк капот, фары, двери</t>
  </si>
  <si>
    <t xml:space="preserve"> Nissan Tiida в пленку Павел</t>
  </si>
  <si>
    <t>Вит - лобовое,капот,фары,зеркала,дверные ручки забронировать Hyundai Tucson 24г</t>
  </si>
  <si>
    <t>Вит</t>
  </si>
  <si>
    <t>7 927 600-12-54 - Входящий звонок</t>
  </si>
  <si>
    <t>П_Л_Ё_Н_К_А ____Z_E_E_K_R</t>
  </si>
  <si>
    <t>Aleks_i_am</t>
  </si>
  <si>
    <t>Sergey - оклеить броней гранту, только опасные места</t>
  </si>
  <si>
    <t>продавец - Бронирование фар передних и туманок танк 300 какая цена? Также под ручки дверей необходимо</t>
  </si>
  <si>
    <t>продавец</t>
  </si>
  <si>
    <t>7 908 339-71-95 - Входящий звонок</t>
  </si>
  <si>
    <t>В_И_Н_И_Л____П_Л_Ё_Н_К_А оклейка виниловой плёнкой киа спортажа 2014 года (SL) сколько будет стоить приблизительно</t>
  </si>
  <si>
    <t>Таймураз Битаров - оклейка в броне пленку джили монжаро «зоны риска"</t>
  </si>
  <si>
    <t>Таймураз</t>
  </si>
  <si>
    <t>Битаров</t>
  </si>
  <si>
    <t>П_Л_Ё_Н_К_А _____М_А_Т</t>
  </si>
  <si>
    <t>П_Л_Ё_Н_К_А ___Ф_А_Р_Ы</t>
  </si>
  <si>
    <t>7 927 206-66-08 - Входящий звонок</t>
  </si>
  <si>
    <t>Стоимость нанесения бронепленки. Автомобиль Chery tiggo 8 pro max</t>
  </si>
  <si>
    <t>rent545</t>
  </si>
  <si>
    <t>Полная оклейка ГЛС 167 кузов</t>
  </si>
  <si>
    <t xml:space="preserve">замена брони на лобовом </t>
  </si>
  <si>
    <t xml:space="preserve">корекция пленки </t>
  </si>
  <si>
    <t>7 927 019-49-49 - Входящий звонок</t>
  </si>
  <si>
    <t>7 927 014-11-23 - Входящий звонок</t>
  </si>
  <si>
    <t>7 987 964-51-89 - Исходящий звонок</t>
  </si>
  <si>
    <t xml:space="preserve">плёнка на стекло баги </t>
  </si>
  <si>
    <t>7 961 535-05-73 - Входящий звонок</t>
  </si>
  <si>
    <t>Дмитрий пленка на зоны риска и керамику на остальное</t>
  </si>
  <si>
    <t>Sergey - X5 G05 Капот, фары, бампер, проемы, вокруг лобового</t>
  </si>
  <si>
    <t>7 927 731-17-50 - Входящий звонок</t>
  </si>
  <si>
    <t>7 987 958-88-63 - Входящий звонок</t>
  </si>
  <si>
    <t>Танк 300 задняя полусфера</t>
  </si>
  <si>
    <t>пленка манжаро</t>
  </si>
  <si>
    <t>Alena - Uni- k без крыши сколько затянуть</t>
  </si>
  <si>
    <t>пленка винил на снегоход!!!!</t>
  </si>
  <si>
    <t>Мерседес ГЛ снять пленку старую и заново оклеить капот</t>
  </si>
  <si>
    <t>7 937 074-01-22 - Входящий звонок</t>
  </si>
  <si>
    <t>7 999 170-84-08 - Входящий звонок</t>
  </si>
  <si>
    <t>Ренек Пленка Черри тиго 8 про макс</t>
  </si>
  <si>
    <t>зад. фары притемнить</t>
  </si>
  <si>
    <t>Александр тонировка задней полусферы и капот, фары и полоса на крышу Джили Кулрей бн, установить сетку клиента в бампер</t>
  </si>
  <si>
    <t xml:space="preserve">вопросы </t>
  </si>
  <si>
    <t>Руслан - ПЛЕНКА</t>
  </si>
  <si>
    <t>7 987 816-41-21 - Входящий звонок</t>
  </si>
  <si>
    <t>Заклеить 3 детальки</t>
  </si>
  <si>
    <t>Denis Stepanov - оклейка Lixiang L7</t>
  </si>
  <si>
    <t>Stepanov</t>
  </si>
  <si>
    <t>Хавал Дарго: фары и туманки в пленку, оклейка капота полосой и полоса на крышу, глянцевые элементы салона защитить</t>
  </si>
  <si>
    <t>7 927 656-96-23 - Входящий звонок</t>
  </si>
  <si>
    <t>mesVadziP - оклейка плёнкой одного крыла и одной фары. Джетур т2</t>
  </si>
  <si>
    <t>mesVadziP</t>
  </si>
  <si>
    <t xml:space="preserve">Антигравийная пленка Джили Атлас </t>
  </si>
  <si>
    <t>7 937 209-16-16 - Входящий звонок</t>
  </si>
  <si>
    <t>П_Л_Ё_Н_К_А Капот,крылья,фары,бампер,над лобовым,стойки,зеркала, и под ручками Рав 4 2024</t>
  </si>
  <si>
    <t>03.09 рав 4 на оклейку</t>
  </si>
  <si>
    <t>Порш 051 переклеить бронепленку на кузов. Снять старую и переклеить.</t>
  </si>
  <si>
    <t>Даниил Козлов - Открытая линия Левша</t>
  </si>
  <si>
    <t>Козлов</t>
  </si>
  <si>
    <t>Александр пленка Раф 4 18 года капот, под ручками и верх крыши</t>
  </si>
  <si>
    <t>Тимур Лисян Л6 (машина жены) цветная оклейка. Он черный, низ нужно сделать желтым.</t>
  </si>
  <si>
    <t xml:space="preserve">илья -  покрытее капота ,переднего бампера ,зеркал,фар , крыша около лобового пороги и ручки дверей . Автомобиль Haval julion рестайлинг </t>
  </si>
  <si>
    <t>Лиана наклеить стекло на монитор в салоне Джили Атлас</t>
  </si>
  <si>
    <t>Владислав - пленка на капот</t>
  </si>
  <si>
    <t xml:space="preserve">Полосы на бампер Мустанг </t>
  </si>
  <si>
    <t>Smekalin</t>
  </si>
  <si>
    <t xml:space="preserve">полосы на бемпер мустанг перешли в чат </t>
  </si>
  <si>
    <t>Alex Lis - BMW X5 G05 оклеена полностью пленкой в 2021 году, необходимо переклеить</t>
  </si>
  <si>
    <t>Lis</t>
  </si>
  <si>
    <t>пленка чанган cs перед</t>
  </si>
  <si>
    <t>7 927 732-90-77 - Входящий звонок</t>
  </si>
  <si>
    <t>Роман Хавал Дарго черный капот, передние крылья, полоса на крышу, зеркала</t>
  </si>
  <si>
    <t>7 927 748-50-94 - Входящий звонок</t>
  </si>
  <si>
    <t>Лиля/ бмв 3 21 года/ оклеить мониторы в салоне / ждет звонка</t>
  </si>
  <si>
    <t xml:space="preserve">Пленка v-class </t>
  </si>
  <si>
    <t>Заявка с сайта/Оклейка пленкой авто Haval M6/ РЕНИК НАБЕРИТЕ</t>
  </si>
  <si>
    <t>Li7 пленка передняя часть авто</t>
  </si>
  <si>
    <t xml:space="preserve">полировка пленки, пленка не полируется </t>
  </si>
  <si>
    <t>Консультация по виниловой пленке</t>
  </si>
  <si>
    <t>7 927 906-55-55 - Входящий звонок</t>
  </si>
  <si>
    <t>7 937 172-62-39 - Входящий звонок</t>
  </si>
  <si>
    <t>7 927 746-92-89 - Входящий звонок</t>
  </si>
  <si>
    <t>7 937 235-25-16 - Входящий звонок</t>
  </si>
  <si>
    <t xml:space="preserve">Броня Понарама </t>
  </si>
  <si>
    <t>7 927 700-94-84 - Входящий звонок</t>
  </si>
  <si>
    <t>Кирилл Тугелла капот в пленку примерно 16.09</t>
  </si>
  <si>
    <t>Ауди А3 капот в пленку (был в покраске более 20 дней назад)</t>
  </si>
  <si>
    <t>7 937 204-36-04 - Входящий звонок</t>
  </si>
  <si>
    <t>Иван - крышу в черный</t>
  </si>
  <si>
    <t>Павел Омода С5 Капот 20000р, оптика 8000, вокруг лобового 12000, крылья 18000, проемы 6000, под ручками 2000 Тонировка 9500р</t>
  </si>
  <si>
    <t>7 917 140-59-72 - Входящий звонок</t>
  </si>
  <si>
    <t>7 937 065-36-73 - Входящий звонок</t>
  </si>
  <si>
    <t>7 987 927-48-49 - Входящий звонок</t>
  </si>
  <si>
    <t>Александр - Палисад 2024 года пленка на переднюю часть, стойки и часть крыши</t>
  </si>
  <si>
    <t>Авито Глеб Шустов - пленка и маленький скол на стекле</t>
  </si>
  <si>
    <t>Машина в пленке, на крыше люк тоже оклеен, что-то упало на него и повредило пленку, надо исправить</t>
  </si>
  <si>
    <t>Артём К_О_Р_Е_К_Ц_И_Я - П_Л_Ё_Н_К_И</t>
  </si>
  <si>
    <t>Миша - Открытая линия Левша</t>
  </si>
  <si>
    <t>Миша</t>
  </si>
  <si>
    <t>пленка целиком и тонер</t>
  </si>
  <si>
    <t>Дмитрий Чанган 23 пленкой полностью для смены цвета</t>
  </si>
  <si>
    <t>В.</t>
  </si>
  <si>
    <t>интересовался целиковой оклейкой х4 (белый цвет, 2019 г.,+бронь лба 20000)  озвучил 260000./ интересовался дтл подвески гелика. озвучил 16000+5600 за мотор/  ответа не дал/ перезвоню позже</t>
  </si>
  <si>
    <t>Рустам -П_Л_Ё_Н_К_А</t>
  </si>
  <si>
    <t>Вольво В60 в пленку на 29.08</t>
  </si>
  <si>
    <t>7 987 819-29-68 - Входящий звонок</t>
  </si>
  <si>
    <t>Ревин Дмитрий</t>
  </si>
  <si>
    <t>Дима</t>
  </si>
  <si>
    <t>Ревин</t>
  </si>
  <si>
    <t>Андрей - оклейка пу пленкой Aito m5 полностью П_Л_Ё_Н_К_А</t>
  </si>
  <si>
    <t>изменение цвета</t>
  </si>
  <si>
    <t>Шкода, крыша в черный глянец</t>
  </si>
  <si>
    <t>Павел -омода с 5 полоска на капот и вариант фары, полоска на короткое + бампер</t>
  </si>
  <si>
    <t xml:space="preserve">плёнка капот и фары </t>
  </si>
  <si>
    <t>7 937 655-69-96 - Входящий звонок</t>
  </si>
  <si>
    <t>Роман Джили Монжаро капот, фары, крылья, зеркала, бампер, ручки</t>
  </si>
  <si>
    <t>Петр Чанган ЦС35 оклейка пленкой полностью</t>
  </si>
  <si>
    <t>КП на крузер 300</t>
  </si>
  <si>
    <t>7 927 759-60-61 - Входящий звонок</t>
  </si>
  <si>
    <t>7 927 686-24-90 - Входящий звонок</t>
  </si>
  <si>
    <t>7 963 115-68-76 - Входящий звонок</t>
  </si>
  <si>
    <t>БМВ Х5 пленка на консоль</t>
  </si>
  <si>
    <t>7 927 899-80-37 - Исходящий звонок</t>
  </si>
  <si>
    <t>7 927 725-23-02 - Входящий звонок</t>
  </si>
  <si>
    <t>Вадим, в 21 году клеил у нас пленку, попал в аварию, надо заменить пленку Ауди Q3 н004ко</t>
  </si>
  <si>
    <t>цветной полик или винил</t>
  </si>
  <si>
    <t>7 927 766-12-04 - Входящий звонок</t>
  </si>
  <si>
    <t>Танк 500 оклейка, керамика, антихром</t>
  </si>
  <si>
    <t>крышу в черную пленку BMW F31 (универсал)</t>
  </si>
  <si>
    <t>Max</t>
  </si>
  <si>
    <t>7 902 371-19-92 - Входящий звонок</t>
  </si>
  <si>
    <t>7 922 851-75-95 - Входящий звонок</t>
  </si>
  <si>
    <t>Руслан Сафин, Xtrail 2024 год полностью в бронепленку</t>
  </si>
  <si>
    <t>Сафин</t>
  </si>
  <si>
    <t>7 987 265-16-48 - Входящий звонок</t>
  </si>
  <si>
    <t>дарго/ пленка + тонер/ 12.08 к 9:00</t>
  </si>
  <si>
    <t>7 917 161-84-96 - Входящий звонок</t>
  </si>
  <si>
    <t>7 917 142-10-88 - Входящий звонок</t>
  </si>
  <si>
    <t>пленка Алексей от Дмитрия Баринова</t>
  </si>
  <si>
    <t>Чери Эксид РХ пленкой защитить дисплей и лакированные вставки салона (пленка своя)</t>
  </si>
  <si>
    <t>пленка целиком или стандарт</t>
  </si>
  <si>
    <t>полоса на капот</t>
  </si>
  <si>
    <t>Щипакин</t>
  </si>
  <si>
    <t>Антон Тугелла и CR-V - Г_А_Р_Т_И_Я</t>
  </si>
  <si>
    <t>Антон Тугелла и CR-V</t>
  </si>
  <si>
    <t>7 937 206-58-35 - Входящий звонок</t>
  </si>
  <si>
    <t xml:space="preserve">БМВ Х5 полностью </t>
  </si>
  <si>
    <t>RAV</t>
  </si>
  <si>
    <t>GV80 пленка</t>
  </si>
  <si>
    <t>Куликов</t>
  </si>
  <si>
    <t>Заклеить пленкой, переклеить молдинг</t>
  </si>
  <si>
    <t>7 987 394-47-87 - Входящий звонок</t>
  </si>
  <si>
    <t>Чанган 35 красный новый Елена защитить пленкой</t>
  </si>
  <si>
    <t>Чанган 35 новый тонировка задней полусферы и оклейка полиуретаном зон риска (капот, крылья, бампер, фары, противотуманки)</t>
  </si>
  <si>
    <t>olesya - Открытая линия Левша</t>
  </si>
  <si>
    <t>olesya</t>
  </si>
  <si>
    <t>John - Открытая линия Левша,  Е класс матовой пленкой</t>
  </si>
  <si>
    <t>John</t>
  </si>
  <si>
    <t>пленка стандарт</t>
  </si>
  <si>
    <t>чанган cs35plus: 1. капот полностью, крылья, бампер 2. капот полностью, крылья, бампер+стойки и крыша до панорамы</t>
  </si>
  <si>
    <t>7 963 910-91-55 - Входящий звонок</t>
  </si>
  <si>
    <t xml:space="preserve">Бронирование одной двери Воя фрии </t>
  </si>
  <si>
    <t>Джили Атлас пленка на переднюю часть, Только выходные, после лета</t>
  </si>
  <si>
    <t xml:space="preserve">П_Л_Ё_Н_К_А опять </t>
  </si>
  <si>
    <t>Андрей Пленка на Киа Спортаж 5 серый (капот, крылья, бампер, фары, крышв до люка, стойки, передние, задние двери и проемы дверей), установка сигнализации</t>
  </si>
  <si>
    <t>пленка exeed LX перед</t>
  </si>
  <si>
    <t>гарантия переклейка Mazda 6 5,08</t>
  </si>
  <si>
    <t>Камиль Гранта капот. полоса над лобовым, стойки, под ручками</t>
  </si>
  <si>
    <t>полоса на крышу рапид</t>
  </si>
  <si>
    <t>7 937 798-85-55 - Входящий звонок</t>
  </si>
  <si>
    <t>БМВ ХМ Вячеслав</t>
  </si>
  <si>
    <t>7 937 988-66-14 - Входящий звонок</t>
  </si>
  <si>
    <t>Антихром LC</t>
  </si>
  <si>
    <t>Покупают новую машину нужна консультация по пленке ПЕРЕЗВОНИТЬ!</t>
  </si>
  <si>
    <t>Роман Войя 23 года оклейка полностью и антихром рейлингов</t>
  </si>
  <si>
    <t>7 937 170-18-31 - Входящий звонок</t>
  </si>
  <si>
    <t>Оклейка машины жены пленкой в другом центре не устроила по качеству, нужна оценка профи. В дальнейшем планирует оклейку своего автомобиля.</t>
  </si>
  <si>
    <t>D.</t>
  </si>
  <si>
    <t>P_L_Ё_N_K_A</t>
  </si>
  <si>
    <t xml:space="preserve">Пленка Джетур </t>
  </si>
  <si>
    <t>7 927 710-08-07 - Входящий звонок</t>
  </si>
  <si>
    <t>Валерий -П_Л_Ё_Н_К_А</t>
  </si>
  <si>
    <t>7 927 902-24-72 - Входящий звонок</t>
  </si>
  <si>
    <t>Пленка на пластиковый капот</t>
  </si>
  <si>
    <t>Сергей перетянуть полностью</t>
  </si>
  <si>
    <t>гелик в пленку 2-3 дня на обдумывание</t>
  </si>
  <si>
    <t>Пленка Х5</t>
  </si>
  <si>
    <t>веста/ крыша в черный глянец/ павел</t>
  </si>
  <si>
    <t>переклеить пленку+растонировать авто (РЕНИК ПЕРЕЗВОНИТЕ КЛИЕНТУ 26.07 ДО 11:00)</t>
  </si>
  <si>
    <t>GLS пленка</t>
  </si>
  <si>
    <t>Войя 3 попал в ДТП и надо наклеить пленку на бампер матовый Сантек</t>
  </si>
  <si>
    <t>Элантра 19 года пленка на капот полностью</t>
  </si>
  <si>
    <t xml:space="preserve">пленка бампер аутлендер, машина в покраске </t>
  </si>
  <si>
    <t>Man / реник заберите чат. пленка</t>
  </si>
  <si>
    <t>Man</t>
  </si>
  <si>
    <t>Пленка пару дней обдумывает</t>
  </si>
  <si>
    <t xml:space="preserve">бампер в пленку без снятия Mazda cx-5 </t>
  </si>
  <si>
    <t>капот Q7</t>
  </si>
  <si>
    <t>Бампер, капот, фары, крылья Черри тигго про и стойки лобового</t>
  </si>
  <si>
    <t>7 929 714-25-68 - Входящий звонок</t>
  </si>
  <si>
    <t>ексид VX/ зоны риска</t>
  </si>
  <si>
    <t>монитор монжаро заклеить пленкой и глянцевые вставки</t>
  </si>
  <si>
    <t>BMW 3 Бронь фары</t>
  </si>
  <si>
    <t>Ауди Q8 полностью в пленку</t>
  </si>
  <si>
    <t>Пленка LC300</t>
  </si>
  <si>
    <t>7 985 180-10-92 - Входящий звонок</t>
  </si>
  <si>
    <t>мойка x5</t>
  </si>
  <si>
    <t>Станислав Морозов - П_Л_Ё_Н_К_А</t>
  </si>
  <si>
    <t>Морозов</t>
  </si>
  <si>
    <t>Черри Тигго 7 полоса на капот, фары, крыша полоска (белая машина)</t>
  </si>
  <si>
    <t>П_Л_Ё_Н_К_А пер. Б_А_М_П_Е_Р</t>
  </si>
  <si>
    <t>7 990 009-01-21 - Входящий звонок</t>
  </si>
  <si>
    <t xml:space="preserve">Пленка на этой недели </t>
  </si>
  <si>
    <t>джили атлас пленка</t>
  </si>
  <si>
    <t>Оклейка полная L9</t>
  </si>
  <si>
    <t>Снять пленку с зон риска и переклеить вкруг Мазда 6</t>
  </si>
  <si>
    <t>Макс - П_Л_Ё_Н_К_А А_В_Т_О_Б_О_К_С</t>
  </si>
  <si>
    <t xml:space="preserve">M Maxim - оклеить автобокс </t>
  </si>
  <si>
    <t>M</t>
  </si>
  <si>
    <t>Maxim</t>
  </si>
  <si>
    <t>7 937 987-55-02 - Входящий звонок</t>
  </si>
  <si>
    <t xml:space="preserve">Пленка + сетка радиатора Audi Q7 </t>
  </si>
  <si>
    <t xml:space="preserve">пленка на бампера и помыть мотор </t>
  </si>
  <si>
    <t>Артём - П_Л_Ё_Н_К_А  Zeeker 001 2024г. в бронепленку</t>
  </si>
  <si>
    <t>7 967 764-33-33 - Входящий звонок</t>
  </si>
  <si>
    <t>7 902 740-48-24 - Входящий звонок</t>
  </si>
  <si>
    <t>7 927 217-52-29 - Входящий звонок</t>
  </si>
  <si>
    <t>29.07 Geely monjaro 407 пленка</t>
  </si>
  <si>
    <t>7 937 645-19-10 - Входящий звонок</t>
  </si>
  <si>
    <t>Sergey М*** - П_Л_Ё_Н_К_А LI-7 Ц_Е_Л_И_К_О_М</t>
  </si>
  <si>
    <t>М***</t>
  </si>
  <si>
    <t xml:space="preserve">форестер оклейка своей пленкой/ </t>
  </si>
  <si>
    <t xml:space="preserve">притонировать зад. фары </t>
  </si>
  <si>
    <t>Beno</t>
  </si>
  <si>
    <t>♰</t>
  </si>
  <si>
    <t>Арризо</t>
  </si>
  <si>
    <t xml:space="preserve">Артём - пленка на крышу, но ей хана , в жучках сперва красить нужно </t>
  </si>
  <si>
    <t>7 927 016-90-23 - Входящий звонок</t>
  </si>
  <si>
    <t>7 985 071-55-07 - Входящий звонок</t>
  </si>
  <si>
    <t>7 917 111-18-90 - Входящий звонок</t>
  </si>
  <si>
    <t>7 932 400-60-69 - Входящий звонок</t>
  </si>
  <si>
    <t>Пленка Jetour T2</t>
  </si>
  <si>
    <t>дубликат</t>
  </si>
  <si>
    <t>Заявка с сайта ЛЕВША - форма Online-запись/ оклейка пленкой Реник заберите</t>
  </si>
  <si>
    <t>7 927 750-48-45 - Входящий звонок</t>
  </si>
  <si>
    <t>7 902 816-56-30 - Входящий звонок</t>
  </si>
  <si>
    <t>7 967 763-63-32 - Исходящий звонок</t>
  </si>
  <si>
    <t xml:space="preserve">Евгений Корсунцев - Черной пленкой закатать зеркала </t>
  </si>
  <si>
    <t>Корсунцев</t>
  </si>
  <si>
    <t>7 909 329-80-28 - Входящий звонок</t>
  </si>
  <si>
    <t xml:space="preserve">бронепленка на лобовое </t>
  </si>
  <si>
    <t>7 927 708-82-02 - Входящий звонок</t>
  </si>
  <si>
    <t>7 927 763-11-22 - Исходящий звонок</t>
  </si>
  <si>
    <t>7 927 202-08-55 - Входящий звонок</t>
  </si>
  <si>
    <t>7 927 763-11-22 - Входящий звонок</t>
  </si>
  <si>
    <t>7 927 709-13-68 - Входящий звонок</t>
  </si>
  <si>
    <t>7 996 720-80-07 - Входящий звонок</t>
  </si>
  <si>
    <t>7 906 346-12-21 - Входящий звонок</t>
  </si>
  <si>
    <t>7 987 432-42-91 - Входящий звонок</t>
  </si>
  <si>
    <t>7 937 185-83-31 - Входящий звонок</t>
  </si>
  <si>
    <t>Тонировка SantaFE</t>
  </si>
  <si>
    <t>7 927 000-88-48 - Исходящий звонок</t>
  </si>
  <si>
    <t>Тонировка лобовое приора Атермалка (думает)</t>
  </si>
  <si>
    <t>Филарет - П_Л_Ё_Н_К_А с Н_О_Г до Г_О_Л_О_В_Ы</t>
  </si>
  <si>
    <t>Филарет</t>
  </si>
  <si>
    <t>7 961 381-71-11 - Входящий звонок</t>
  </si>
  <si>
    <t>7 927 738-06-48 - Входящий звонок</t>
  </si>
  <si>
    <t>7 902 159-64-14 - Входящий звонок</t>
  </si>
  <si>
    <t>7 927 027-20-81 - Входящий звонок</t>
  </si>
  <si>
    <t>7 927 734-33-11 - Входящий звонок</t>
  </si>
  <si>
    <t>Пленка капот</t>
  </si>
  <si>
    <t xml:space="preserve">тонировка </t>
  </si>
  <si>
    <t>7 987 925-89-85 - Входящий звонок</t>
  </si>
  <si>
    <t>Степан - Открытая линия Левша</t>
  </si>
  <si>
    <t>Оклейка салона Атлас</t>
  </si>
  <si>
    <t>Nikusha - Открытая линия Левша</t>
  </si>
  <si>
    <t>Nikusha</t>
  </si>
  <si>
    <t>7 904 744-34-44 - Входящий звонок</t>
  </si>
  <si>
    <t>Дмитрий Калашников</t>
  </si>
  <si>
    <t>7 965 803-24-33 - Входящий звонок</t>
  </si>
  <si>
    <t>7 927 004-70-40 - Входящий звонок</t>
  </si>
  <si>
    <t>7 965 377-81-10 - Входящий звонок</t>
  </si>
  <si>
    <t>7 937 642-40-08 - Входящий звонок</t>
  </si>
  <si>
    <t>7 917 119-92-16 - Входящий звонок</t>
  </si>
  <si>
    <t>Вопрос по установке бампера. Клиент проинформирован. Ориентирован в работе на ренессанс.</t>
  </si>
  <si>
    <t>Дмитрий Лантратов</t>
  </si>
  <si>
    <t>оклеить черным поликом: крышу, сполер, стойки + рейлинги в покраску/ без рейлингов 70000/ цену озвучил. думает.</t>
  </si>
  <si>
    <t>стоимость оклейки стандарт на тугела</t>
  </si>
  <si>
    <t>7 987 856-57-31 - Входящий звонок</t>
  </si>
  <si>
    <t>7 999 702-22-24 - Входящий звонок</t>
  </si>
  <si>
    <t>пленка/ стандарт без ручек+стойки лобового и полоса на крышу / 15.07 к9:00 / на 2 дня</t>
  </si>
  <si>
    <t>7 917 965-20-18 - Входящий звонок</t>
  </si>
  <si>
    <t>пленка+тонировка</t>
  </si>
  <si>
    <t>7 927 657-04-31 - Входящий звонок</t>
  </si>
  <si>
    <t>Пленка для сестренки Омода</t>
  </si>
  <si>
    <t>7 937 070-12-21 - Входящий звонок</t>
  </si>
  <si>
    <t>оклейка автомобиля целиком цветныи полиуретаном (черный) машина 2013 г.в / со слов клиента нацелен серьезно этим заняться. позвонит нам когда будет в Самаре.</t>
  </si>
  <si>
    <t>7 846 921-25-87 - Входящий звонок</t>
  </si>
  <si>
    <t>7 917 116-91-92 - Входящий звонок</t>
  </si>
  <si>
    <t>7 927 909-00-90 - Входящий звонок</t>
  </si>
  <si>
    <t>Федоровна</t>
  </si>
  <si>
    <t>7 939 705-01-05 - Входящий звонок</t>
  </si>
  <si>
    <t>oleg</t>
  </si>
  <si>
    <t>zub</t>
  </si>
  <si>
    <t>полировка и оклейка фар</t>
  </si>
  <si>
    <t>Кустов</t>
  </si>
  <si>
    <t>Igor D. - Открытая линия Левша</t>
  </si>
  <si>
    <t>7 903 300-59-42 - Входящий звонок</t>
  </si>
  <si>
    <t>7 929 792-61-87 - Входящий звонок</t>
  </si>
  <si>
    <t>7 987 910-24-56 - Входящий звонок</t>
  </si>
  <si>
    <t>Пленка. ренесанс</t>
  </si>
  <si>
    <t>7 987 929-69-35 - Входящий звонок</t>
  </si>
  <si>
    <t>7 987 150-84-44 - Входящий звонок</t>
  </si>
  <si>
    <t>7 987 770-41-27 - Входящий звонок</t>
  </si>
  <si>
    <t>7 937 232-00-00 - Входящий звонок</t>
  </si>
  <si>
    <t>7 927 016-27-17 - Входящий звонок</t>
  </si>
  <si>
    <t>Дмитрий Тухтаманов - Открытая линия Левша</t>
  </si>
  <si>
    <t>Тухтаманов</t>
  </si>
  <si>
    <t>7 927 890-88-55 - Входящий звонок</t>
  </si>
  <si>
    <t>7 927 205-29-01 - Входящий звонок</t>
  </si>
  <si>
    <t>7 927 205-16-77 - Входящий звонок</t>
  </si>
  <si>
    <t xml:space="preserve">Анастасия </t>
  </si>
  <si>
    <t>N</t>
  </si>
  <si>
    <t>Броне-пленка лоб</t>
  </si>
  <si>
    <t>Кирилл Лапшин</t>
  </si>
  <si>
    <t>Пленка копот</t>
  </si>
  <si>
    <t xml:space="preserve">Елизавета </t>
  </si>
  <si>
    <t>7 927 703-40-39 - Входящий звонок</t>
  </si>
  <si>
    <t>7 987 957-07-77 - Входящий звонок</t>
  </si>
  <si>
    <t>7 937 999-78-31 - Входящий звонок</t>
  </si>
  <si>
    <t>7 917 011-14-91 - Входящий звонок</t>
  </si>
  <si>
    <t>7 927 200-80-13 - Входящий звонок</t>
  </si>
  <si>
    <t>7 927 114-13-92 - Входящий звонок</t>
  </si>
  <si>
    <t>7 917 159-09-40 - Входящий звонок</t>
  </si>
  <si>
    <t>7 908 418-42-08 - Входящий звонок</t>
  </si>
  <si>
    <t>7 931 230-61-90 - Входящий звонок</t>
  </si>
  <si>
    <t>7 987 984-69-38 - Входящий звонок</t>
  </si>
  <si>
    <t>7 987 433-16-48 - Входящий звонок</t>
  </si>
  <si>
    <t>7 927 735-71-71 - Исходящий звонок</t>
  </si>
  <si>
    <t>7 927 709-76-09 - Входящий звонок</t>
  </si>
  <si>
    <t>Алина Смоленкова - Открытая линия Левша</t>
  </si>
  <si>
    <t>Алина</t>
  </si>
  <si>
    <t>Смоленкова</t>
  </si>
  <si>
    <t>бронь на лоб CLA 30000; НК 2900 / спрашивал за друга который будет проездом в самаре. ждем решения по дате</t>
  </si>
  <si>
    <t>7 906 345-30-31 - Входящий звонок</t>
  </si>
  <si>
    <t>Вопрос по пленке</t>
  </si>
  <si>
    <t>7 937 064-02-87 - Входящий звонок</t>
  </si>
  <si>
    <t>7 927 606-69-37 - Входящий звонок</t>
  </si>
  <si>
    <t>7 927 741-34-36 - Входящий звонок</t>
  </si>
  <si>
    <t>7 963 911-97-25 - Входящий звонок</t>
  </si>
  <si>
    <t>7 927 715-59-99 - Входящий звонок</t>
  </si>
  <si>
    <t>7 960 812-22-66 - Входящий звонок</t>
  </si>
  <si>
    <t>Гидроцикл затянуть в пленку</t>
  </si>
  <si>
    <t>Головкин</t>
  </si>
  <si>
    <t>Валерия - Открытая линия Левша</t>
  </si>
  <si>
    <t>Валерия</t>
  </si>
  <si>
    <t>7 917 031-98-80 - Входящий звонок</t>
  </si>
  <si>
    <t>7 927 722-55-58 - Входящий звонок</t>
  </si>
  <si>
    <t>7 986 952-53-44 - Входящий звонок</t>
  </si>
  <si>
    <t>7 996 341-84-97 - Входящий звонок</t>
  </si>
  <si>
    <t>пленка. ренесанс</t>
  </si>
  <si>
    <t>Kirill</t>
  </si>
  <si>
    <t>Korzhencko</t>
  </si>
  <si>
    <t>обтянуть автомобиль пленкой</t>
  </si>
  <si>
    <t>7 902 006-10-15 - Входящий звонок</t>
  </si>
  <si>
    <t>7 917 159-16-88 - Входящий звонок</t>
  </si>
  <si>
    <t>7 903 582-28-71 - Входящий звонок</t>
  </si>
  <si>
    <t>7 986 955-67-06 - Исходящий звонок</t>
  </si>
  <si>
    <t>Man - Открытая линия Левша</t>
  </si>
  <si>
    <t>отрицательный</t>
  </si>
  <si>
    <t>7 902 372-99-49 - Входящий звонок</t>
  </si>
  <si>
    <t>7 927 712-87-45 - Входящий звонок</t>
  </si>
  <si>
    <t>7 927 901-59-14 - Входящий звонок</t>
  </si>
  <si>
    <t>Заклеить машину черной пленкой. Ренесанс</t>
  </si>
  <si>
    <t>Безруз</t>
  </si>
  <si>
    <t>стоимость машина пленка</t>
  </si>
  <si>
    <t>7 927 602-98-92 - Входящий звонок</t>
  </si>
  <si>
    <t>7 937 177-79-96 - Входящий звонок</t>
  </si>
  <si>
    <t>7 927 735-73-11 - Входящий звонок</t>
  </si>
  <si>
    <t>7 846 993-86-33 - Входящий звонок</t>
  </si>
  <si>
    <t>7 912 566-08-07 - Входящий звонок</t>
  </si>
  <si>
    <t xml:space="preserve">сделка по жетуру только со звонком.! </t>
  </si>
  <si>
    <t>Igor D. ОКЛЕЙКА _ _ _ ЦЕЛИКОМ _ _ _ JETOUR T2/ хочет оклеить матовый сатин целиком без бамперов и порогов (они пластиковые) озвучил 260000. Автомобиль еще не купил. набрать через неделю и уточнить информацию/ Каранов</t>
  </si>
  <si>
    <t>7 917 977-04-77 - Входящий звонок</t>
  </si>
  <si>
    <t>Пленка. Ренесанс</t>
  </si>
  <si>
    <t>7 904 731-31-03 - Входящий звонок</t>
  </si>
  <si>
    <t>Наклейка на бок Хонда для реника</t>
  </si>
  <si>
    <t>Антон Федотов - Открытая линия Левша</t>
  </si>
  <si>
    <t>Федотов</t>
  </si>
  <si>
    <t>Мерседес 888 дополнительно забронировать лобовое стекло и фары</t>
  </si>
  <si>
    <t xml:space="preserve">оклейка гак гс8/ стандарт без бампера+ пороги+зона погрузки+стойки лобового и крыша </t>
  </si>
  <si>
    <t>Александр - Открытая линия Левша</t>
  </si>
  <si>
    <t>стандарт без бампера+ стойки лоб и крыша/ не может принять в чт, как хочет клиент.</t>
  </si>
  <si>
    <t>Резниченко</t>
  </si>
  <si>
    <t>RX350 пленка капот запишется как купит авто</t>
  </si>
  <si>
    <t>Станислав Ван-Гуй</t>
  </si>
  <si>
    <t>7 927 606-56-56 - Входящий звонок</t>
  </si>
  <si>
    <t>7 927 011-99-65 - Входящий звонок</t>
  </si>
  <si>
    <t>7 937 999-59-40 - Входящий звонок</t>
  </si>
  <si>
    <t>7 903 302-13-86 - Входящий звонок</t>
  </si>
  <si>
    <t>Е 90 пленка или керамика приедет на осмотр после командировки</t>
  </si>
  <si>
    <t xml:space="preserve">Артур </t>
  </si>
  <si>
    <t>7 927 659-28-61 - Входящий звонок</t>
  </si>
  <si>
    <t>7 846 992-77-77 - Входящий звонок</t>
  </si>
  <si>
    <t>7 929 707-76-76 - Входящий звонок</t>
  </si>
  <si>
    <t xml:space="preserve">Akoposov - DTL MOTO и пленка на бак </t>
  </si>
  <si>
    <t>stanislav09111970 - Открытая линия Левша</t>
  </si>
  <si>
    <t>антихром вокруг окон х3/ 13.06 к9:00</t>
  </si>
  <si>
    <t>7 999 212-01-11 - Входящий звонок</t>
  </si>
  <si>
    <t>Александр Р. - Открытая линия Левша</t>
  </si>
  <si>
    <t>Р.</t>
  </si>
  <si>
    <t>7 960 044-63-04 - Входящий звонок</t>
  </si>
  <si>
    <t>тонировка kia cerato</t>
  </si>
  <si>
    <t>Евгений Репин</t>
  </si>
  <si>
    <t>7 927 658-03-65 - Входящий звонок</t>
  </si>
  <si>
    <t>Оклейка пленкой мотоцикла</t>
  </si>
  <si>
    <t xml:space="preserve">Игорь </t>
  </si>
  <si>
    <t>Игорь - Открытая линия Левша</t>
  </si>
  <si>
    <t>7 987 947-26-11 - Входящий звонок</t>
  </si>
  <si>
    <t>чанган юни к/ 06.06 к9:00 / зеркала, капот, крылья и т.д</t>
  </si>
  <si>
    <t>7 937 999-99-01 - Входящий звонок</t>
  </si>
  <si>
    <t>7 919 817-72-37 - Входящий звонок</t>
  </si>
  <si>
    <t>7 960 816-29-05 - Входящий звонок</t>
  </si>
  <si>
    <t>7 927 757-07-67 - Входящий звонок</t>
  </si>
  <si>
    <t>7 902 379-24-44 - Входящий звонок</t>
  </si>
  <si>
    <t>пленка lexus rx</t>
  </si>
  <si>
    <t>Тонировка 6.06. Лексус НХ</t>
  </si>
  <si>
    <t>7 995 844-97-77 - Входящий звонок</t>
  </si>
  <si>
    <t>пленка на монитор</t>
  </si>
  <si>
    <t>7 927 633-36-07 - Входящий звонок</t>
  </si>
  <si>
    <t>Denis - Открытая линия Левша</t>
  </si>
  <si>
    <t>7 937 649-39-31 - Входящий звонок</t>
  </si>
  <si>
    <t>тонировка</t>
  </si>
  <si>
    <t>антигравийка на лоб</t>
  </si>
  <si>
    <t xml:space="preserve">Лексус РХ / оклейка зон риска./ </t>
  </si>
  <si>
    <t>Арай</t>
  </si>
  <si>
    <t>хавал пленка частично полосами и керамика</t>
  </si>
  <si>
    <t>7 917 817-60-70 - Входящий звонок</t>
  </si>
  <si>
    <t>7 927 763-96-76 - Входящий звонок</t>
  </si>
  <si>
    <t>Маслеев Дмитрий - Открытая линия Левша</t>
  </si>
  <si>
    <t>Lada</t>
  </si>
  <si>
    <t>Granta</t>
  </si>
  <si>
    <t>7 960 812-55-56 - Входящий звонок</t>
  </si>
  <si>
    <t>7 846 921-50-42 - Входящий звонок</t>
  </si>
  <si>
    <t>7 927 717-33-04 - Входящий звонок</t>
  </si>
  <si>
    <t>7 846 374-42-00 - Входящий звонок</t>
  </si>
  <si>
    <t>7 927 751-83-53 - Входящий звонок</t>
  </si>
  <si>
    <t>7 922 625-24-29 - Входящий звонок</t>
  </si>
  <si>
    <t>7 937 202-66-42 - Входящий звонок</t>
  </si>
  <si>
    <t>7 927 659-96-64 - Входящий звонок</t>
  </si>
  <si>
    <t>Проконсультируйте по пленке пожалуйста</t>
  </si>
  <si>
    <t>7 917 812-29-50 - Входящий звонок</t>
  </si>
  <si>
    <t>7 937 066-16-59 - Входящий звонок</t>
  </si>
  <si>
    <t>7 962 603-10-20 - Входящий звонок</t>
  </si>
  <si>
    <t>Бронепленка Хендэ Стариа Сергей</t>
  </si>
  <si>
    <t>7 927 262-60-07 - Входящий звонок</t>
  </si>
  <si>
    <t>7 927 200-98-44 - Входящий звонок</t>
  </si>
  <si>
    <t>в пленку полностью Geely colray</t>
  </si>
  <si>
    <t>Василий</t>
  </si>
  <si>
    <t>Артамонов</t>
  </si>
  <si>
    <t>Переклейка дефекта</t>
  </si>
  <si>
    <t>7 927 201-92-85 - Входящий звонок</t>
  </si>
  <si>
    <t>Таня</t>
  </si>
  <si>
    <t>7 927 611-10-44 - Входящий звонок</t>
  </si>
  <si>
    <t>тонировка прадо 2 передних и полировка</t>
  </si>
  <si>
    <t>7 996 342-28-37 - Входящий звонок</t>
  </si>
  <si>
    <t>Оклеить пленкой перекладину на руле Соренто</t>
  </si>
  <si>
    <t>Игорь , оклейка changan uni t. капот, фары, передние крылья, пороги</t>
  </si>
  <si>
    <t xml:space="preserve">Заклеить пленкой шлем мотоцикла </t>
  </si>
  <si>
    <t>7 937 075-77-07 - Входящий звонок</t>
  </si>
  <si>
    <t>7 927 024-40-13 - Входящий звонок</t>
  </si>
  <si>
    <t>Глеб Таранков _ _ _ _ Плёнка, оклейки 40см капотом, углы крыльев, стойки вдоль лобового и кромка крыши на омоду s5</t>
  </si>
  <si>
    <t>Таранков</t>
  </si>
  <si>
    <t>обклеить машину пленкой самара</t>
  </si>
  <si>
    <t>Хавал Дарго белый полностью в пленку (крыша панорамная)</t>
  </si>
  <si>
    <t>Бронепленка</t>
  </si>
  <si>
    <t>7 846 995-05-26 - Входящий звонок</t>
  </si>
  <si>
    <t>7 927 906-46-61 - Входящий звонок</t>
  </si>
  <si>
    <t>Переклейка пленки на бампере по гарантии 12.06 Ли7 049</t>
  </si>
  <si>
    <t>Антигравийная пленка Ram 28/05</t>
  </si>
  <si>
    <t>Armen_ _ _ пленка!!!</t>
  </si>
  <si>
    <t>Armen</t>
  </si>
  <si>
    <t>Tovmasyan</t>
  </si>
  <si>
    <t>7 917 161-19-27 - Входящий звонок</t>
  </si>
  <si>
    <t>7 939 755-01-99 - Входящий звонок</t>
  </si>
  <si>
    <t>Монджаро</t>
  </si>
  <si>
    <t>Альфа Ромео в глянец</t>
  </si>
  <si>
    <t>7 927 215-75-87 - Входящий звонок</t>
  </si>
  <si>
    <t>stanislav09111970</t>
  </si>
  <si>
    <t>7 927 207-41-36 - Входящий звонок</t>
  </si>
  <si>
    <t>7 987 908-87-73 - Входящий звонок</t>
  </si>
  <si>
    <t>KanazSN - Открытая линия Левша</t>
  </si>
  <si>
    <t>KanazSN</t>
  </si>
  <si>
    <t>Nikolaiсh - Открытая линия Левша</t>
  </si>
  <si>
    <t>Nikolaiсh</t>
  </si>
  <si>
    <t>SUZUKI GRAND VITARA зоны риска</t>
  </si>
  <si>
    <t>Новый Кулрей зоны риска заклеить пленкой, капот полностью, зеркала, под ручками, полоса над лобовым, бампер, крылья</t>
  </si>
  <si>
    <t>Пленка ГЛС полностью глянец</t>
  </si>
  <si>
    <t>Сетка в радиатор и пленкой заклеить светящийся элемент</t>
  </si>
  <si>
    <t>чери ариза / оклейка оракалов 5000</t>
  </si>
  <si>
    <t>GLS в мат</t>
  </si>
  <si>
    <t>Кристина _ _ _ _ Пленка на крышу Solaril</t>
  </si>
  <si>
    <t>Кристина</t>
  </si>
  <si>
    <t>притонированая пленка на DOODGE RAM</t>
  </si>
  <si>
    <t>7 902 008-02-03 - Входящий звонок</t>
  </si>
  <si>
    <t>Чан Ган Пленка</t>
  </si>
  <si>
    <t>Суперб оклейка</t>
  </si>
  <si>
    <t>7 919 189-61-77 - Входящий звонок</t>
  </si>
  <si>
    <t>7 917 030-18-00 - Входящий звонок</t>
  </si>
  <si>
    <t>7 927 756-99-89 - Входящий звонок</t>
  </si>
  <si>
    <t>7 917 164-81-88 - Входящий звонок</t>
  </si>
  <si>
    <t>Андрей - Открытая линия Левша, тонировка пленка</t>
  </si>
  <si>
    <t>защитная пленка на машину</t>
  </si>
  <si>
    <t>пленка реклама</t>
  </si>
  <si>
    <t>7 927 793-13-40 - Входящий звонок</t>
  </si>
  <si>
    <t>7 996 735-59-80 - Входящий звонок</t>
  </si>
  <si>
    <t>7 937 177-45-79 - Входящий звонок</t>
  </si>
  <si>
    <t>7 960 810-05-80 - Входящий звонок</t>
  </si>
  <si>
    <t>7 927 791-20-67 - Входящий звонок</t>
  </si>
  <si>
    <t xml:space="preserve">рен мойка 15.05 15-00 </t>
  </si>
  <si>
    <t>7 927 655-15-73 - Входящий звонок</t>
  </si>
  <si>
    <t>7 987 942-99-95 - Входящий звонок</t>
  </si>
  <si>
    <t>подтвердил запись</t>
  </si>
  <si>
    <t>Valentin - Открытая линия Левша</t>
  </si>
  <si>
    <t>Valentin</t>
  </si>
  <si>
    <t>Юрий Щеглов - Открытая линия Левша</t>
  </si>
  <si>
    <t>Щеглов</t>
  </si>
  <si>
    <t>7 927 785-01-17 - Входящий звонок</t>
  </si>
  <si>
    <t>Маслеев</t>
  </si>
  <si>
    <t>7 918 764-94-05 - Входящий звонок</t>
  </si>
  <si>
    <t>7 927 753-10-83 - Входящий звонок</t>
  </si>
  <si>
    <t>7 987 152-88-68 - Входящий звонок</t>
  </si>
  <si>
    <t>7 927 753-71-99 - Входящий звонок</t>
  </si>
  <si>
    <t>ПЛЕНКА</t>
  </si>
  <si>
    <t>Капот Крета полосой 50 см, пороги</t>
  </si>
  <si>
    <t>Фольц Поло  полностью в пленку</t>
  </si>
  <si>
    <t>Anton</t>
  </si>
  <si>
    <t>Kruglov</t>
  </si>
  <si>
    <t>Дмитрий На Полную Оклейку - Открытая линия Левша</t>
  </si>
  <si>
    <t>Феськов</t>
  </si>
  <si>
    <t>Юрий Тихонов Капот целиком, передние стойки и крылья, передний бампер, полоса на крыше и зеркала. А также зоны риска под ручками, внутренние пороги и полоса в зоне погрузки. И тонировка Geely Okavango</t>
  </si>
  <si>
    <t>Тихонов</t>
  </si>
  <si>
    <t>Сатиновым полиуретаном Voyah (тёмно синий)</t>
  </si>
  <si>
    <t>Евгений Маркерт - Открытая линия Левша</t>
  </si>
  <si>
    <t>Маркерт</t>
  </si>
  <si>
    <t>Переклеить пленку на бампере</t>
  </si>
  <si>
    <t>7 927 608-40-88 - Входящий звонок</t>
  </si>
  <si>
    <t>7 915 934-52-24 - Входящий звонок</t>
  </si>
  <si>
    <t>LC300 стандарт и атермалка на 19-20 мая</t>
  </si>
  <si>
    <t>монжаро 444 пленка на 20. отмена</t>
  </si>
  <si>
    <t>оклейка фар и капота</t>
  </si>
  <si>
    <t>СХ5 пленка на капот - Открытая линия Левша</t>
  </si>
  <si>
    <t>СХ5 пленка на капот</t>
  </si>
  <si>
    <t>Алексей - Открытая линия Левша,  обтянуть пленкой капот нивы тревел</t>
  </si>
  <si>
    <t>79272649227 - Входящий звонок</t>
  </si>
  <si>
    <t>_ _ _ _ПЛЕНКА_ _ _ РАСЧЁТ!!!!  бронирования: капот полоса, крыша над лобовым полоса, крылья треугольники и под ручками на гранту</t>
  </si>
  <si>
    <t>оклеить машину в пленку самара</t>
  </si>
  <si>
    <t>7 927 208-22-08 - Входящий звонок</t>
  </si>
  <si>
    <t>Не берет трубку</t>
  </si>
  <si>
    <t>7 927 653-08-37 - Входящий звонок</t>
  </si>
  <si>
    <t>7 927 688-04-65 - Входящий звонок</t>
  </si>
  <si>
    <t>7 902 290-52-56 - Входящий звонок</t>
  </si>
  <si>
    <t>7 987 902-49-04 - Входящий звонок</t>
  </si>
  <si>
    <t>7 927 777-33-46 - Входящий звонок</t>
  </si>
  <si>
    <t>7 927 011-09-93 - Входящий звонок</t>
  </si>
  <si>
    <t>7 987 921-81-10 - Входящий звонок</t>
  </si>
  <si>
    <t>7 987 955-11-70 - Входящий звонок</t>
  </si>
  <si>
    <t>7 964 982-84-38 - Входящий звонок</t>
  </si>
  <si>
    <t>полировка стекла</t>
  </si>
  <si>
    <t>Артур Абдрашитов - Открытая линия Левша</t>
  </si>
  <si>
    <t>7 987 447-69-79 - Входящий звонок</t>
  </si>
  <si>
    <t>7 927 778-10-00 - Входящий звонок</t>
  </si>
  <si>
    <t>7 937 188-13-33 - Входящий звонок</t>
  </si>
  <si>
    <t>Никита - Открытая линия Левша Пленка красивая на кашкай</t>
  </si>
  <si>
    <t xml:space="preserve">Антон Антонов -Плёнка </t>
  </si>
  <si>
    <t>Антонов</t>
  </si>
  <si>
    <t>7 927 797-22-23 - Исходящий звонок</t>
  </si>
  <si>
    <t>7 987 164-41-70 - Входящий звонок</t>
  </si>
  <si>
    <t>7 937 999-23-36 - Входящий звонок</t>
  </si>
  <si>
    <t>7 917 158-35-85 - Входящий звонок</t>
  </si>
  <si>
    <t>оклейка танка</t>
  </si>
  <si>
    <t>7 927 654-00-88 - Входящий звонок</t>
  </si>
  <si>
    <t>7 987 159-80-19 - Входящий звонок</t>
  </si>
  <si>
    <t>Оклеить катер Альбакор 6м на 2м</t>
  </si>
  <si>
    <t>переклеить пленку</t>
  </si>
  <si>
    <t>Крышу Короллы обтянуть черной пленкой</t>
  </si>
  <si>
    <t>7 987 988-00-68 - Входящий звонок</t>
  </si>
  <si>
    <t>7 927 262-35-19 - Исходящий звонок</t>
  </si>
  <si>
    <t>7 927 609-38-26 - Входящий звонок</t>
  </si>
  <si>
    <t>7 927 751-91-15 - Исходящий звонок</t>
  </si>
  <si>
    <t>LC200 передний бампер</t>
  </si>
  <si>
    <t>Тугелла передний бампер в пленку, на остальное дилер уже наклеил пленку</t>
  </si>
  <si>
    <t>7 937 174-66-59 - Входящий звонок</t>
  </si>
  <si>
    <t>7 963 115-89-21 - Входящий звонок</t>
  </si>
  <si>
    <t>7 937 200-50-55 - Входящий звонок</t>
  </si>
  <si>
    <t>Daniel</t>
  </si>
  <si>
    <t>7 927 765-88-09 - Входящий звонок</t>
  </si>
  <si>
    <t>7 927 704-70-36 - Входящий звонок</t>
  </si>
  <si>
    <t>7 937 177-01-88 - Входящий звонок</t>
  </si>
  <si>
    <t>Роман - Открытая линия Левша, забронировать Тойота хайс 2015г.в</t>
  </si>
  <si>
    <t>7 927 007-85-55 - Входящий звонок</t>
  </si>
  <si>
    <t>7 987 159-64-89 - Входящий звонок</t>
  </si>
  <si>
    <t xml:space="preserve">Василий </t>
  </si>
  <si>
    <t>7 987 952-88-64 - Входящий звонок</t>
  </si>
  <si>
    <t>7 987 913-44-05 - Входящий звонок</t>
  </si>
  <si>
    <t>7 937 650-06-10 - Входящий звонок</t>
  </si>
  <si>
    <t>полировка</t>
  </si>
  <si>
    <t>130Nid - Открытая линия Левша</t>
  </si>
  <si>
    <t>130Nid</t>
  </si>
  <si>
    <t>7 927 701-23-94 - Входящий звонок</t>
  </si>
  <si>
    <t>7 917 113-17-70 - Входящий звонок</t>
  </si>
  <si>
    <t>Алексей - Открытая линия Левша, пленка GAC GS8 II</t>
  </si>
  <si>
    <t>7 937 982-05-07 - Входящий звонок</t>
  </si>
  <si>
    <t>7 927 653-28-48 - Входящий звонок</t>
  </si>
  <si>
    <t>рав4 / обтянуть пленкой</t>
  </si>
  <si>
    <t>оклейка пленкой элементов салона</t>
  </si>
  <si>
    <t>Alexey</t>
  </si>
  <si>
    <t>обтянуть пленкой</t>
  </si>
  <si>
    <t>7 960 808-45-26 - Входящий звонок</t>
  </si>
  <si>
    <t>7 917 109-04-08 - Входящий звонок</t>
  </si>
  <si>
    <t>Танк 300 оклеить пленкой, перезвоните!</t>
  </si>
  <si>
    <t>Оклейка пленкой</t>
  </si>
  <si>
    <t>Ли7 коррекция пленки</t>
  </si>
  <si>
    <t>7 927 003-69-70 - Входящий звонок</t>
  </si>
  <si>
    <t>туманки в плеку</t>
  </si>
  <si>
    <t>7 917 019-01-17 - Входящий звонок</t>
  </si>
  <si>
    <t xml:space="preserve">Михаил Воронин - ПЛЕНКА зона риска </t>
  </si>
  <si>
    <t>Воронин</t>
  </si>
  <si>
    <t>7 996 720-40-40 - Входящий звонок</t>
  </si>
  <si>
    <t>79272092661 - Открытая линия Левша</t>
  </si>
  <si>
    <t>мойка (мест нет)</t>
  </si>
  <si>
    <t>7 927 696-78-85 - Входящий звонок</t>
  </si>
  <si>
    <t>Поцарапали бампер в пленке, переклеить</t>
  </si>
  <si>
    <t>7 927 101-00-70 - Входящий звонок</t>
  </si>
  <si>
    <t>Evgenii Lapshov - Открытая линия Левша</t>
  </si>
  <si>
    <t>Л.</t>
  </si>
  <si>
    <t>7 917 949-73-76 - Входящий звонок</t>
  </si>
  <si>
    <t>7 917 018-45-19 - Входящий звонок</t>
  </si>
  <si>
    <t>7 927 739-70-94 - Входящий звонок</t>
  </si>
  <si>
    <t>7 927 017-68-56 - Входящий звонок</t>
  </si>
  <si>
    <t>Фарид - полиуретановой пленкой автомобиля хундай Санта фе</t>
  </si>
  <si>
    <t xml:space="preserve">шм, водительскую дверь в пленку, мойка </t>
  </si>
  <si>
    <t>Ильнур Мустафин - Открытая линия Левша</t>
  </si>
  <si>
    <t>Ильнур</t>
  </si>
  <si>
    <t>Мустафин</t>
  </si>
  <si>
    <t>Geely x50 оклейка бронепленкой фары, капот, крылья, полоса на крышу</t>
  </si>
  <si>
    <t>7 987 941-66-02 - Входящий звонок</t>
  </si>
  <si>
    <t>7 902 295-39-01 - Входящий звонок</t>
  </si>
  <si>
    <t xml:space="preserve">Капот и фары в пленку (есть маленький скол на капоте) Чанган СХ55+ </t>
  </si>
  <si>
    <t>7 927 716-86-14 - Исходящий звонок</t>
  </si>
  <si>
    <t>7 902 235-11-06 - Входящий звонок</t>
  </si>
  <si>
    <t>7 927 750-53-90 - Входящий звонок</t>
  </si>
  <si>
    <t>7 927 600-85-75 - Входящий звонок</t>
  </si>
  <si>
    <t>Тойота фортунер полностью в пленку и Танк 300 полностью</t>
  </si>
  <si>
    <t>20.04 10-00 Макан х232ет Тонировка задней полусферой Люмар, полная оклейка с изменением цвета начало июня</t>
  </si>
  <si>
    <t>7 927 735-27-19 - Входящий звонок</t>
  </si>
  <si>
    <t>Игнат - Открытая линия Левша</t>
  </si>
  <si>
    <t>Веста наклеить полоску над лобовым стеклом</t>
  </si>
  <si>
    <t>Юлия Ефимова</t>
  </si>
  <si>
    <t>7 927 906-00-46 - Входящий звонок</t>
  </si>
  <si>
    <t>7 927 764-15-19 - Входящий звонок</t>
  </si>
  <si>
    <t xml:space="preserve">Наташа Усачева - Оклейка плёнкой Geely </t>
  </si>
  <si>
    <t>Наташа</t>
  </si>
  <si>
    <t>Усачева</t>
  </si>
  <si>
    <t>ООО НЕТЛАЙН пленка на Камри, капот, крылья, фары и лобовое стекло</t>
  </si>
  <si>
    <t>7 927 688-09-80 - Входящий звонок</t>
  </si>
  <si>
    <t>Zhevlakov</t>
  </si>
  <si>
    <t>Салават Сайфутдинов -аТИГРАВИЙНАЯ ПЛЕНКА</t>
  </si>
  <si>
    <t>Салават</t>
  </si>
  <si>
    <t>Сайфутдинов</t>
  </si>
  <si>
    <t>7 927 744-51-51 - Входящий звонок</t>
  </si>
  <si>
    <t>пленка на Киа Рио полностью</t>
  </si>
  <si>
    <t>Оклеить крышу Весты в черный</t>
  </si>
  <si>
    <t>7 927 789-67-01 - Входящий звонок</t>
  </si>
  <si>
    <t>Заявка с сайта ЛЕВША - форма Заказать звонок, оклеить капот Солярис</t>
  </si>
  <si>
    <t>7 927 714-24-51 - Входящий звонок</t>
  </si>
  <si>
    <t>7 967 051-40-06 - Входящий звонок</t>
  </si>
  <si>
    <t>7 987 980-54-70 - Входящий звонок</t>
  </si>
  <si>
    <t>איופה</t>
  </si>
  <si>
    <t>7 917 115-40-14 - Входящий звонок</t>
  </si>
  <si>
    <t>7 927 900-13-06 - Входящий звонок</t>
  </si>
  <si>
    <t>Дмитрий Волков - Открытая линия Левша</t>
  </si>
  <si>
    <t>Волков</t>
  </si>
  <si>
    <t>7 937 998-50-01 - Входящий звонок</t>
  </si>
  <si>
    <t xml:space="preserve">Экран в салоне оклеивали или нет </t>
  </si>
  <si>
    <t>хим</t>
  </si>
  <si>
    <t>7 927 692-07-37 - Входящий звонок</t>
  </si>
  <si>
    <t>Оклейка китайского авто Випал (зоны риска)</t>
  </si>
  <si>
    <t>7 937 200-00-50 - Входящий звонок</t>
  </si>
  <si>
    <t>Пленка на двери правая передняя и задняя, передняя стойка наполовину обрезали пленку, задний бампер, капот. Антихром. Машину красили, пленку сняли, нужно заклеить, где нет пленки.</t>
  </si>
  <si>
    <t>7 927 723-33-03 - Входящий звонок</t>
  </si>
  <si>
    <t>демонтаж пленки с фар</t>
  </si>
  <si>
    <t>пленка на капот только покрашенного автомобиля</t>
  </si>
  <si>
    <t>Тонировка, бронирование стекол и фар Exceed VX</t>
  </si>
  <si>
    <t>Альберт</t>
  </si>
  <si>
    <t>Ivan Kriukov - Открытая линия Левша, +7 927 204-05-15 Иван Крюков</t>
  </si>
  <si>
    <t>7 937 792-36-26 - Входящий звонок</t>
  </si>
  <si>
    <t>GoldDen - Открытая линия Левша</t>
  </si>
  <si>
    <t>GoldDen</t>
  </si>
  <si>
    <t>Oo - Открытая линия Левша</t>
  </si>
  <si>
    <t>Oo</t>
  </si>
  <si>
    <t xml:space="preserve">оклейка в салорне </t>
  </si>
  <si>
    <t>7 968 861-70-11 - Входящий звонок</t>
  </si>
  <si>
    <t>7 927 655-06-54 - Входящий звонок</t>
  </si>
  <si>
    <t>пленка в салоне</t>
  </si>
  <si>
    <t>7 927 005-81-33 - Входящий звонок</t>
  </si>
  <si>
    <t>7 906 343-78-80 - Исходящий звонок</t>
  </si>
  <si>
    <t>Галыгин</t>
  </si>
  <si>
    <t>7 927 755-09-99 - Входящий звонок</t>
  </si>
  <si>
    <t>7 917 039-24-29 - Входящий звонок</t>
  </si>
  <si>
    <t>БМВ П30 крышу в черный винил</t>
  </si>
  <si>
    <t>7 927 746-84-54 - Входящий звонок</t>
  </si>
  <si>
    <t>7 937 648-88-83 - Исходящий звонок</t>
  </si>
  <si>
    <t>Черри Тигго крышу заклеить</t>
  </si>
  <si>
    <t>матовая обклейка Zeekr 1</t>
  </si>
  <si>
    <t>7 917 111-74-48 - Входящий звонок</t>
  </si>
  <si>
    <t>решетку в черную пленку</t>
  </si>
  <si>
    <t>Сатоши Накамото - Открытая линия Левша</t>
  </si>
  <si>
    <t>Сатоши</t>
  </si>
  <si>
    <t>Накамото</t>
  </si>
  <si>
    <t>7 927 759-29-59 - Входящий звонок</t>
  </si>
  <si>
    <t>7 917 112-98-49 - Входящий звонок</t>
  </si>
  <si>
    <t xml:space="preserve">Анастасия Голд -хочет гранту малышку в серый мат представляете? </t>
  </si>
  <si>
    <t>Голд</t>
  </si>
  <si>
    <t>FADI - Открытая линия Левша</t>
  </si>
  <si>
    <t>FADI</t>
  </si>
  <si>
    <t>Матовый монжаро</t>
  </si>
  <si>
    <t xml:space="preserve">оклейка пленкой 945 гос номер </t>
  </si>
  <si>
    <t>7 927 772-37-97 - Входящий звонок</t>
  </si>
  <si>
    <t>7 960 811-01-08 - Входящий звонок</t>
  </si>
  <si>
    <t>ПЛЕНКА перезвонить, оклейка на 16.04 Hongqi E-HS9 № р999вв163 до 26.04</t>
  </si>
  <si>
    <t>7 987 444-79-59 - Входящий звонок</t>
  </si>
  <si>
    <t>7 917 146-51-06 - Входящий звонок</t>
  </si>
  <si>
    <t>Оклейка внешней части порогов, крыша полоса над лобовым, под брызговиками ДЖили Эмгранд</t>
  </si>
  <si>
    <t>ВЕЖЛИВО ОТКАЗАТЬ</t>
  </si>
  <si>
    <t>Богдан Федотов - Открытая линия Левша,  dodge challenger (матовая и глянец) полная</t>
  </si>
  <si>
    <t>Богдан</t>
  </si>
  <si>
    <t>Сатоши Накамото - Открытая линия Левша, Хонда аккорд 2021год в пленку</t>
  </si>
  <si>
    <t>Оклейка соренто в глянец дубль</t>
  </si>
  <si>
    <t>мойка</t>
  </si>
  <si>
    <t>L9</t>
  </si>
  <si>
    <t>7 937 180-22-22 - Входящий звонок</t>
  </si>
  <si>
    <t>рапид в антихром</t>
  </si>
  <si>
    <t xml:space="preserve">пленка стандарт спортаж </t>
  </si>
  <si>
    <t>7 937 173-00-73 - Входящий звонок</t>
  </si>
  <si>
    <t>пленка мерс 450 приедет на реник во вторник</t>
  </si>
  <si>
    <t>7 927 757-55-85 - Входящий звонок</t>
  </si>
  <si>
    <t>оклейка пленкой полностью Рапид 3 года (для защиты)</t>
  </si>
  <si>
    <t>7 927 600-05-25 - Входящий звонок</t>
  </si>
  <si>
    <t>7 937 995-75-79 - Исходящий звонок</t>
  </si>
  <si>
    <t>Пленка Ауди ТТ, полностью в пленку фиолетового цвета</t>
  </si>
  <si>
    <t>7 927 022-05-70 - Входящий звонок</t>
  </si>
  <si>
    <t>V. V. V. - Открытая линия Левша</t>
  </si>
  <si>
    <t>V. V. V.</t>
  </si>
  <si>
    <t>7 917 811-10-17 - Исходящий звонок</t>
  </si>
  <si>
    <t>7 927 209-70-55 - Входящий звонок</t>
  </si>
  <si>
    <t>7 917 156-20-51 - Входящий звонок</t>
  </si>
  <si>
    <t>7 917 140-40-00 - Входящий звонок</t>
  </si>
  <si>
    <t>Андрей - Открытая линия Левша, Дастер пленка целиком</t>
  </si>
  <si>
    <t>7 927 206-55-15 - Входящий звонок</t>
  </si>
  <si>
    <t>машину еще не купила. какую машину хочет не говорит. интересовалась оклейкой и защитками</t>
  </si>
  <si>
    <t>7 927 900-10-10 - Входящий звонок</t>
  </si>
  <si>
    <t>нужна транспортировочная пленка</t>
  </si>
  <si>
    <t>7 906 346-51-81 - Входящий звонок</t>
  </si>
  <si>
    <t>7 917 946-44-50 - Входящий звонок</t>
  </si>
  <si>
    <t>7 918 227-15-45 - Входящий звонок</t>
  </si>
  <si>
    <t>7 917 955-57-88 - Входящий звонок</t>
  </si>
  <si>
    <t>7 927 716-46-86 - Входящий звонок</t>
  </si>
  <si>
    <t>7 927 260-63-18 - Исходящий звонок</t>
  </si>
  <si>
    <t>Пленка, забрендировать авто</t>
  </si>
  <si>
    <t>пленка/зоны риска/ капот, фары, полоса на лоб</t>
  </si>
  <si>
    <t>Коррекция, мониторы</t>
  </si>
  <si>
    <t xml:space="preserve">оклейка капота </t>
  </si>
  <si>
    <t>оклеить авто пленкой</t>
  </si>
  <si>
    <t xml:space="preserve">уточнение по записи </t>
  </si>
  <si>
    <t xml:space="preserve">БМВ с пробегом в матовой пленке. Новый владелец хочет снять матовую пленку. </t>
  </si>
  <si>
    <t>STANISLAV - Открытая линия Левша</t>
  </si>
  <si>
    <t>STANISLAV</t>
  </si>
  <si>
    <t>7 927 609-84-98 - Входящий звонок</t>
  </si>
  <si>
    <t>Каен в пленку Люмар</t>
  </si>
  <si>
    <t>7 961 380-31-80 - Входящий звонок</t>
  </si>
  <si>
    <t>Евгения - Открытая линия Левша</t>
  </si>
  <si>
    <t>Евгения</t>
  </si>
  <si>
    <t xml:space="preserve">по пленки Владислав </t>
  </si>
  <si>
    <t>7 917 167-77-79 - Входящий звонок</t>
  </si>
  <si>
    <t xml:space="preserve">пролир. эл-та и пленка пороги </t>
  </si>
  <si>
    <t>Горюнов</t>
  </si>
  <si>
    <t>Ли7 и Зикр варианты оклейки пленкой</t>
  </si>
  <si>
    <t>7 987 955-05-51 - Входящий звонок</t>
  </si>
  <si>
    <t>Оклейка пленкой гаг</t>
  </si>
  <si>
    <t xml:space="preserve">Артём </t>
  </si>
  <si>
    <t>7 937 881-00-06 - Входящий звонок</t>
  </si>
  <si>
    <t xml:space="preserve">пленка изменение цвета </t>
  </si>
  <si>
    <t>Рамиль Изменить Цвет Джинезис</t>
  </si>
  <si>
    <t>7 937 070-72-02 - Входящий звонок</t>
  </si>
  <si>
    <t>7 927 688-42-20 - Входящий звонок</t>
  </si>
  <si>
    <t>7 987 985-97-17 - Исходящий звонок</t>
  </si>
  <si>
    <t xml:space="preserve">пленка на двери </t>
  </si>
  <si>
    <t>Ренат - Открытая линия Левша</t>
  </si>
  <si>
    <t>Ренат</t>
  </si>
  <si>
    <t>оклейка капота фар и лобового Tank 300</t>
  </si>
  <si>
    <t>dreyvaleriy</t>
  </si>
  <si>
    <t>омода в матт, смотрите более раннее общение!!!</t>
  </si>
  <si>
    <t>7 927 739-22-93 - Исходящий звонок</t>
  </si>
  <si>
    <t>7 927 533-26-93 - Входящий звонок</t>
  </si>
  <si>
    <t>7 937 217-46-06 - Входящий звонок</t>
  </si>
  <si>
    <t>Влад Тимофеев - Комплекс по пленке и ШВИ</t>
  </si>
  <si>
    <t>Тимофеев</t>
  </si>
  <si>
    <t>мойка и пленка возможно</t>
  </si>
  <si>
    <t>13.01 Рен 16-00 Х1 109</t>
  </si>
  <si>
    <t>NSA - Открытая линия Левша</t>
  </si>
  <si>
    <t>NSA</t>
  </si>
  <si>
    <t>4.03 снять пленку. Реник</t>
  </si>
  <si>
    <t>Андрей Теплоногов - Открытая линия Левша</t>
  </si>
  <si>
    <t>Теплоногов</t>
  </si>
  <si>
    <t>15 число мойка тигуан и переклейка двери</t>
  </si>
  <si>
    <t>Танк 300 капот, крылья, оптика, крыша до люка, под ручками оплатить от юр лица</t>
  </si>
  <si>
    <t>пленка коррекция</t>
  </si>
  <si>
    <t>Денис Шепилов,  Gelly monjaro, установить сетку защитную на радиатор и зоны риска в пленку</t>
  </si>
  <si>
    <t>Шепилов</t>
  </si>
  <si>
    <t>пленка крыша Vesta SW</t>
  </si>
  <si>
    <t>Виктория - Открытая линия Левша</t>
  </si>
  <si>
    <t>Капот, фары, крылья, бампер, салон оклеить, затонировать Джили</t>
  </si>
  <si>
    <t>броня капот фары стойки и полоса на крышу</t>
  </si>
  <si>
    <t>Гак GS8 китай зоны риска - капот,крылья, фары, стойки и полоса на крышу, зона погрузки багажника</t>
  </si>
  <si>
    <t xml:space="preserve">пленка джили капот </t>
  </si>
  <si>
    <t>Митсу Аутлендер капот оклеить</t>
  </si>
  <si>
    <t>пленка на монджаро</t>
  </si>
  <si>
    <t>Танк 300 на 5.03</t>
  </si>
  <si>
    <t>Полная оклейка БМВ Х9 в глянец</t>
  </si>
  <si>
    <t>7 927 605-38-85 - Входящий звонок</t>
  </si>
  <si>
    <t>Михаил Николаевич Дастер</t>
  </si>
  <si>
    <t>7 927 457-01-17 - Входящий звонок</t>
  </si>
  <si>
    <t>Оклеить экран Эксид</t>
  </si>
  <si>
    <t>Иван Красников</t>
  </si>
  <si>
    <t>7 927 712-97-56 - Входящий звонок</t>
  </si>
  <si>
    <t>Сергей Данилов - Открытая линия Левша</t>
  </si>
  <si>
    <t>Данилов</t>
  </si>
  <si>
    <t>7 927 713-93-63 - Входящий звонок</t>
  </si>
  <si>
    <t xml:space="preserve">09,03 пленка прадо </t>
  </si>
  <si>
    <t>демонтировать пленку с авто</t>
  </si>
  <si>
    <t>Пленка Exeed LX - Открытая линия Левша</t>
  </si>
  <si>
    <t>Шумоизоляция 65.500 все кроме крыши не комплекс</t>
  </si>
  <si>
    <t>7 927 294-52-99 - Входящий звонок</t>
  </si>
  <si>
    <t>7 927 657-63-76 - Входящий звонок</t>
  </si>
  <si>
    <t>Чери тиго 4про Фары, Капот целиком, пороги от колеса до колеса, полоса над лобовым 41000</t>
  </si>
  <si>
    <t>7 927 013-60-00 - Входящий звонок</t>
  </si>
  <si>
    <t>А-Н-Т О-Н - Открытая линия Левша</t>
  </si>
  <si>
    <t>А-Н-Т</t>
  </si>
  <si>
    <t>О-Н</t>
  </si>
  <si>
    <t>пленка и шумка</t>
  </si>
  <si>
    <t>7 908 401-02-02 - Входящий звонок</t>
  </si>
  <si>
    <t>Тонировка лоб атермалка 5000, Бронь фар в темную 8000</t>
  </si>
  <si>
    <t>Даня - Открытая линия Левша</t>
  </si>
  <si>
    <t>Даня</t>
  </si>
  <si>
    <t>Александр Дрягин - Открытая линия Левша, поло в белую пленку</t>
  </si>
  <si>
    <t>Дрягин</t>
  </si>
  <si>
    <t>7 927 607-34-52 - Входящий звонок</t>
  </si>
  <si>
    <t>7 927 729-42-88 - Входящий звонок</t>
  </si>
  <si>
    <t>7 919 808-77-05 - Входящий звонок</t>
  </si>
  <si>
    <t>7 927 266-89-33 - Входящий звонок</t>
  </si>
  <si>
    <t>Оклейка Х5 капот, фары, туманки, передняя часть</t>
  </si>
  <si>
    <t>7 996 732-51-02 - Входящий звонок</t>
  </si>
  <si>
    <t>пленка Omoda c5</t>
  </si>
  <si>
    <t>ГЛЦ в 254 кузове оклейка полная, кроме крыши</t>
  </si>
  <si>
    <t>7 996 620-30-91 - Входящий звонок</t>
  </si>
  <si>
    <t>Какой То Лисян</t>
  </si>
  <si>
    <t>пленка стандарт или целиком</t>
  </si>
  <si>
    <t>Коррекция, заклеить вставку, установить регистратор</t>
  </si>
  <si>
    <t>Х5 2020 закатать полностью в пленку</t>
  </si>
  <si>
    <t>Валера Самарин - Открытая линия Левша</t>
  </si>
  <si>
    <t>Валера</t>
  </si>
  <si>
    <t>Самарин</t>
  </si>
  <si>
    <t>Бронирование Тугелла (капот, вары, крылья, стойки, крыша полоса) затонировать заднюю полусферу</t>
  </si>
  <si>
    <t>пленка и керамика  на вторник на 20,02</t>
  </si>
  <si>
    <t xml:space="preserve">Лисян Л7 матовой защитной пленкой оклейка </t>
  </si>
  <si>
    <t>посчитали пленку</t>
  </si>
  <si>
    <t xml:space="preserve">пленка стандарт </t>
  </si>
  <si>
    <t>Arkri</t>
  </si>
  <si>
    <t>Vaislence</t>
  </si>
  <si>
    <t xml:space="preserve">Монжаро новый - пленка и керамика </t>
  </si>
  <si>
    <t>Ульяна</t>
  </si>
  <si>
    <t>отправлял на почту предложение по оклейке "яндекс такси"</t>
  </si>
  <si>
    <t>7 927 010-94-81 - Входящий звонок</t>
  </si>
  <si>
    <t>79276538911 - Входящий звонок</t>
  </si>
  <si>
    <t>Заклеить панель пленкой  Спортаж</t>
  </si>
  <si>
    <t>Пленка целиком на спортаж 240-250</t>
  </si>
  <si>
    <t>79649885886 - Входящий звонок</t>
  </si>
  <si>
    <t>демонтировать поврежденную пленку и переклеить заново</t>
  </si>
  <si>
    <t>Оклеить машину пленкой на пару дней для акции</t>
  </si>
  <si>
    <t>79371730101 - Входящий звонок</t>
  </si>
  <si>
    <t>Брендирование Яндекс.Такси отправили запрос на почту info@levsha163.ru</t>
  </si>
  <si>
    <t>Корпус поворотника в хром пленку</t>
  </si>
  <si>
    <t>оклейка фар 6000 + полоса над лобовым 6000 / сказал, что перезвонит</t>
  </si>
  <si>
    <t>79869520811 - Входящий звонок</t>
  </si>
  <si>
    <t xml:space="preserve">наклеить на солярис какую то пленку которой у нас нет </t>
  </si>
  <si>
    <t>11,02 G/666</t>
  </si>
  <si>
    <t>79279091569 - Входящий звонок</t>
  </si>
  <si>
    <t>79270078000 - Входящий звонок</t>
  </si>
  <si>
    <t>пленка капот и полоса на крышу до люка</t>
  </si>
  <si>
    <t>бронировкание капота и полоса над лобовым</t>
  </si>
  <si>
    <t>79171593330 - Входящий звонок</t>
  </si>
  <si>
    <t>79370701221 - Входящий звонок</t>
  </si>
  <si>
    <t>села трубка</t>
  </si>
  <si>
    <t>Алексей Крайнов - Открытая линия Левша</t>
  </si>
  <si>
    <t>Крайнов</t>
  </si>
  <si>
    <t>79272082066 - Входящий звонок</t>
  </si>
  <si>
    <t>79879551520 - Входящий звонок</t>
  </si>
  <si>
    <t>79277133138 - Входящий звонок</t>
  </si>
  <si>
    <t xml:space="preserve">пленка целиком LC 300 </t>
  </si>
  <si>
    <t>пленка часть капота и часть крыши</t>
  </si>
  <si>
    <t>обтянуть капот пленкой</t>
  </si>
  <si>
    <t>пленка капот полоса и крыша гранта</t>
  </si>
  <si>
    <t>79371769208 - Входящий звонок</t>
  </si>
  <si>
    <t>Ekaterina Prokhorova - Открытая линия Левша</t>
  </si>
  <si>
    <t>Ekaterina</t>
  </si>
  <si>
    <t>Prokhorova</t>
  </si>
  <si>
    <t>Дмитрий Санта Фе - Открытая линия Левша</t>
  </si>
  <si>
    <t>Ошиблись номером</t>
  </si>
  <si>
    <t>Hyundai SantaFe № е515вт763</t>
  </si>
  <si>
    <t>79271497073 - Входящий звонок</t>
  </si>
  <si>
    <t xml:space="preserve">пленка винил </t>
  </si>
  <si>
    <t>Антигравийная пленка</t>
  </si>
  <si>
    <t>Не</t>
  </si>
  <si>
    <t>компания</t>
  </si>
  <si>
    <t>79219444530 - Входящий звонок</t>
  </si>
  <si>
    <t>Rav4 пленка на капот и стойки с полоской над лобовым 30000</t>
  </si>
  <si>
    <t xml:space="preserve">крыша в черный </t>
  </si>
  <si>
    <t>пленка L9 +фаркоп и рейлинги</t>
  </si>
  <si>
    <t>79879457507 - Входящий звонок</t>
  </si>
  <si>
    <t>79276523686 - Входящий звонок</t>
  </si>
  <si>
    <t>79171020244 - Входящий звонок</t>
  </si>
  <si>
    <t>79276054055 - Входящий звонок</t>
  </si>
  <si>
    <t>Красный 200 закатать в черную пленку 19 год 130тыс пробег</t>
  </si>
  <si>
    <t>79277100906 - Входящий звонок</t>
  </si>
  <si>
    <t>79211676090 - Входящий звонок</t>
  </si>
  <si>
    <t>Павел - Пленка</t>
  </si>
  <si>
    <t>sokovp - Открытая линия Левша</t>
  </si>
  <si>
    <t>sokovp</t>
  </si>
  <si>
    <t>пленка винил не актуально</t>
  </si>
  <si>
    <t>Djoni Black - Открытая линия Левша</t>
  </si>
  <si>
    <t>Djoni</t>
  </si>
  <si>
    <t>Black</t>
  </si>
  <si>
    <t>Сергей | предприниматель - Открытая линия Левша</t>
  </si>
  <si>
    <t>Сергей | предприниматель</t>
  </si>
  <si>
    <t>79171048476 - Входящий звонок</t>
  </si>
  <si>
    <t>79370610944 - Входящий звонок</t>
  </si>
  <si>
    <t>оклейка зон риска+стойки лобового и полоса над лобовы НК</t>
  </si>
  <si>
    <t>Сломаный бампер оклеить</t>
  </si>
  <si>
    <t>79276077950 - Входящий звонок</t>
  </si>
  <si>
    <t>запись на пленку и ШВИ</t>
  </si>
  <si>
    <t>Монжаро в матовую пленку оклеить (крыша панорамная) и антихром, тонировка задней полусферы Сантек</t>
  </si>
  <si>
    <t>пленка монжаро целиком + антихром нужно уложиться в 300к пока думает</t>
  </si>
  <si>
    <t xml:space="preserve">изменение цвета автомобиля </t>
  </si>
  <si>
    <t>рио в винил целиком 160-190р думает</t>
  </si>
  <si>
    <t>джили кулрей/ капот 20000, передняя часть крыльев 6000, ручки 2000, стойки лобового и крыша 11000./ если запишится в этом месяце, то сделаем за 30000 / сказал подумает</t>
  </si>
  <si>
    <t>79277173304 - Входящий звонок</t>
  </si>
  <si>
    <t xml:space="preserve">Станислав </t>
  </si>
  <si>
    <t>ТАнк 300 крышу в черный глянец или полеурилератан ))) 20000-25000</t>
  </si>
  <si>
    <t>) - Открытая линия Левша</t>
  </si>
  <si>
    <t>)</t>
  </si>
  <si>
    <t>Тонировка + чапот в пленку</t>
  </si>
  <si>
    <t>Мебель</t>
  </si>
  <si>
    <t>Проф</t>
  </si>
  <si>
    <t>шумоизоляция</t>
  </si>
  <si>
    <t>79031110867 - Входящий звонок</t>
  </si>
  <si>
    <t>BYD tang пленка</t>
  </si>
  <si>
    <t>запись была на 4 января оклейка Танка пленкой, перезапись на 23.01 в первой половине дня 9-10</t>
  </si>
  <si>
    <t xml:space="preserve">Тусан оклеить пленкой весь (капот, фары, стойки, двери, лобовое стекло и полоса над лобовым, антихром) </t>
  </si>
  <si>
    <t>Х3 тонировка антигравийка на кузов</t>
  </si>
  <si>
    <t>пленка целиком на Вояж Фри</t>
  </si>
  <si>
    <t>79271251825 - Входящий звонок</t>
  </si>
  <si>
    <t>крышу затянуть</t>
  </si>
  <si>
    <t>79023729949 - Входящий звонок</t>
  </si>
  <si>
    <t>интересовался оклейкой хавала джулион для организации. расмотрели 2 варианта. 1 (полоса капот, проемы дверей, полоса на крышу, ручки, зона погрузки, фары - 30000). 2 вариант  (капот целиком, проемы дверей, ручки, зона погрузки - 30000). перезвонил вечером</t>
  </si>
  <si>
    <t>79397054545 - Входящий звонок</t>
  </si>
  <si>
    <t>записан на пленку танк 300</t>
  </si>
  <si>
    <t>переклеить дверь RX</t>
  </si>
  <si>
    <t xml:space="preserve">пленка на хавал </t>
  </si>
  <si>
    <t xml:space="preserve">пленка на поло по заявке </t>
  </si>
  <si>
    <t>переклейка двери, пдр, это у вас на ренеке сделали</t>
  </si>
  <si>
    <t>обклеить машину пленкой</t>
  </si>
  <si>
    <t>БМВ 3gt передний бампер в пленку после покраски</t>
  </si>
  <si>
    <t>Оклеить вставки салона СХ5</t>
  </si>
  <si>
    <t xml:space="preserve">пленка стандарт LX Exxed </t>
  </si>
  <si>
    <t>79278186047 - Входящий звонок</t>
  </si>
  <si>
    <t>79277400112 - Входящий звонок</t>
  </si>
  <si>
    <t>Александр Ваганов - Открытая линия Левша</t>
  </si>
  <si>
    <t>Ваганов</t>
  </si>
  <si>
    <t>79379917109 - Исходящий звонок</t>
  </si>
  <si>
    <t>пленку на лоб. оказалось, что это ей не нужно</t>
  </si>
  <si>
    <t>79276929102 - Входящий звонок</t>
  </si>
  <si>
    <t>79171113030 - Входящий звонок</t>
  </si>
  <si>
    <t>79372047844 - Входящий звонок</t>
  </si>
  <si>
    <t>Хавал Джолион Пленка стандарт с допами</t>
  </si>
  <si>
    <t>Иван - Открытая линия Левша</t>
  </si>
  <si>
    <t>Владимир - Открытая линия Левша</t>
  </si>
  <si>
    <t>21,12 Camry 228</t>
  </si>
  <si>
    <t>Олеся - Открытая линия Левша</t>
  </si>
  <si>
    <t>Олеся</t>
  </si>
  <si>
    <t>отмена записи на оклейку</t>
  </si>
  <si>
    <t>оклейка крыши на рав 4 (не сделаем, но посмотреть нужно)</t>
  </si>
  <si>
    <t>EXEED LX мат. на центральной консоли</t>
  </si>
  <si>
    <t>Уточнение по записи</t>
  </si>
  <si>
    <t>демонтаж пленки веста 28,12</t>
  </si>
  <si>
    <t>Крыша рио в черный в итоге крыша отбой там вмятина натянули чехлы</t>
  </si>
  <si>
    <t>79376555323 - Входящий звонок</t>
  </si>
  <si>
    <t>целикова L7 мат 270000</t>
  </si>
  <si>
    <t>Антонина</t>
  </si>
  <si>
    <t>79270244013 - Входящий звонок</t>
  </si>
  <si>
    <t xml:space="preserve">полная оклейка / exceed / счет выставлен, договор отправлен/ ждем решения, у нас или в другом месте. </t>
  </si>
  <si>
    <t xml:space="preserve">приора целиком в пленку </t>
  </si>
  <si>
    <t>Филиппов</t>
  </si>
  <si>
    <t>обтянуть машину пленкой</t>
  </si>
  <si>
    <t>79376432572 - Входящий звонок</t>
  </si>
  <si>
    <t>пленка на лоб</t>
  </si>
  <si>
    <t>79270071481 - Входящий звонок</t>
  </si>
  <si>
    <t>пленка EXEED rx зона риска стандарт</t>
  </si>
  <si>
    <t xml:space="preserve">крыша в черный и тонировка </t>
  </si>
  <si>
    <t>79991709283 - Исходящий звонок</t>
  </si>
  <si>
    <t>79277938002 - Входящий звонок</t>
  </si>
  <si>
    <t>снять бронепленку с автомобиля Веста (на капоте полоса потрескалась)</t>
  </si>
  <si>
    <t>капот пленка</t>
  </si>
  <si>
    <t>пленка на фары,зеркала, крыша</t>
  </si>
  <si>
    <t>79277449237 - Входящий звонок</t>
  </si>
  <si>
    <t>Дмирий Exeed RX Пленка</t>
  </si>
  <si>
    <t>79272600894 - Входящий звонок</t>
  </si>
  <si>
    <t>79371802222 - Входящий звонок</t>
  </si>
  <si>
    <t>Омода в пленку полностью</t>
  </si>
  <si>
    <t xml:space="preserve">заклеить передние двери </t>
  </si>
  <si>
    <t>Григорий</t>
  </si>
  <si>
    <t>78463122170 - Входящий звонок</t>
  </si>
  <si>
    <t>79171553422 - Входящий звонок</t>
  </si>
  <si>
    <t>ягуар темно-синего цвета закатать в матовый сатин без панорамы / 280000 + антихром 20 000/ узнает по стоимости. до середины янаря точно не сделает. ждем решение</t>
  </si>
  <si>
    <t>звонил по сделке. повтор</t>
  </si>
  <si>
    <t>79272628281 - Входящий звонок</t>
  </si>
  <si>
    <t>Rapid полная винилом от150 до 250</t>
  </si>
  <si>
    <t>Василий - Открытая линия Левша, Honda Civic в пленку по кругу</t>
  </si>
  <si>
    <t>снегоход в пленку Скайдо Экспедишн</t>
  </si>
  <si>
    <t>Бронь лоб. стекл и панорамы Чанган СS95 48000</t>
  </si>
  <si>
    <t>79888440101 - Входящий звонок</t>
  </si>
  <si>
    <t>Vitaliy - Открытая линия Левша</t>
  </si>
  <si>
    <t>Vitaliy</t>
  </si>
  <si>
    <t xml:space="preserve">пленка морда или целиком </t>
  </si>
  <si>
    <t>Bogdanov</t>
  </si>
  <si>
    <t>стандарт целиком + полоса крыши и стойки стекла / думает</t>
  </si>
  <si>
    <t>79869583068 - Входящий звонок</t>
  </si>
  <si>
    <t>Звонок с Авито по пленке</t>
  </si>
  <si>
    <t>Оклейка зикер на просеку/ передумали</t>
  </si>
  <si>
    <t>Вычеслав Горелов - Открытая линия Левша</t>
  </si>
  <si>
    <t>Вычеслав</t>
  </si>
  <si>
    <t>Горелов</t>
  </si>
  <si>
    <t>пленка на лобовое</t>
  </si>
  <si>
    <t>черная антигравийка</t>
  </si>
  <si>
    <t>оклейка нива тревел</t>
  </si>
  <si>
    <t>Джили Атлас Про зоны риска и капот целиком</t>
  </si>
  <si>
    <t>79063446464 - Входящий звонок</t>
  </si>
  <si>
    <t>оклеить пленкой/ стандарт целиком без ручек + стойки лобового + полоска на лоб 92000. хочет в конце декабря. пока думает. в подарок антидождь и мойка</t>
  </si>
  <si>
    <t>jetoor антихром установка газ упоров</t>
  </si>
  <si>
    <t>79626031020 - Входящий звонок</t>
  </si>
  <si>
    <t>79327002042 - Входящий звонок</t>
  </si>
  <si>
    <t>давид</t>
  </si>
  <si>
    <t>79276163111 - Входящий звонок</t>
  </si>
  <si>
    <t>оклейка exceed RX / пол капота, пол крыльев, зеркала, ручки, стойки вокруг лба, пороги внутри, зона погрузки</t>
  </si>
  <si>
    <t>79128440587 - Входящий звонок</t>
  </si>
  <si>
    <t>L9 полная оклейка 270000</t>
  </si>
  <si>
    <t>оценка пленки на бмв 7 стандарт целиком + полоса над лоб, стойки лоб , пороги погруз площ.109000</t>
  </si>
  <si>
    <t xml:space="preserve">пленка желтая нужна для такси </t>
  </si>
  <si>
    <t>Рахим</t>
  </si>
  <si>
    <t>пленка на машину</t>
  </si>
  <si>
    <t xml:space="preserve">Vasiliy Malezhik -пленка винил на поло </t>
  </si>
  <si>
    <t>Vasiliy</t>
  </si>
  <si>
    <t>Malezhik</t>
  </si>
  <si>
    <t>Арина Полякова - Открытая линия Левша</t>
  </si>
  <si>
    <t>Полякова</t>
  </si>
  <si>
    <t xml:space="preserve">дмитрий пленку на крышу </t>
  </si>
  <si>
    <t>оклейка авто / Q8</t>
  </si>
  <si>
    <t>пленка примерно узнать цены тиго 4 про + макс т290 супер турбо гонка</t>
  </si>
  <si>
    <t>79178166064 - Исходящий звонок</t>
  </si>
  <si>
    <t>Роман - Открытая линия Левша</t>
  </si>
  <si>
    <t>оклеить полиуретановой пленкой</t>
  </si>
  <si>
    <t>Гак на оклейку / 27.11</t>
  </si>
  <si>
    <t>пленка капот крылья стойки полоса над лобовым</t>
  </si>
  <si>
    <t>Манжаро оклейка в пленку Стандарт целиком 81000</t>
  </si>
  <si>
    <t>Пленка на фары</t>
  </si>
  <si>
    <t>79270162717 - Входящий звонок</t>
  </si>
  <si>
    <t>Владислав Сахнов - Открытая линия Левша, закрыть защитной пленкой начало крыши в Exeed tlx, пол капота и в салоне закрыть глянцевый экран в матовую плёнку</t>
  </si>
  <si>
    <t>Сахнов</t>
  </si>
  <si>
    <t>79270002235 - Входящий звонок</t>
  </si>
  <si>
    <t xml:space="preserve">пленка тут и сейчас </t>
  </si>
  <si>
    <t xml:space="preserve">целиком Omoda C5 </t>
  </si>
  <si>
    <t xml:space="preserve">стоимость текстурной пленки </t>
  </si>
  <si>
    <t>79677713673 - Входящий звонок</t>
  </si>
  <si>
    <t>Илья - Открытая линия Левша</t>
  </si>
  <si>
    <t>крыша в черный</t>
  </si>
  <si>
    <t>пленка целиком</t>
  </si>
  <si>
    <t>Ярослав Александрович Кульбицкий</t>
  </si>
  <si>
    <t>79277186985 - Входящий звонок</t>
  </si>
  <si>
    <t>а 5 крышу в пленку +зеркала +анти хром</t>
  </si>
  <si>
    <t>Jumbo - X1 в мат</t>
  </si>
  <si>
    <t>Jumbo</t>
  </si>
  <si>
    <t>Илья рио в цветную пленку</t>
  </si>
  <si>
    <t>79219980133 - Входящий звонок</t>
  </si>
  <si>
    <t>зекер на полную оклейку. сказал, что дорого. Отработал возражение...думает</t>
  </si>
  <si>
    <t>оклеить корпус кондиционера. сказал, что да. Приедет на оценку, как сможет. До середины декабря мест нет</t>
  </si>
  <si>
    <t>79171637077 - Входящий звонок</t>
  </si>
  <si>
    <t>79179486280 - Входящий звонок</t>
  </si>
  <si>
    <t>79170121485 - Входящий звонок</t>
  </si>
  <si>
    <t>79297064414 - Входящий звонок</t>
  </si>
  <si>
    <t>детейлинг самара</t>
  </si>
  <si>
    <t>Z - Открытая линия Левша</t>
  </si>
  <si>
    <t>79879478287 - Исходящий звонок</t>
  </si>
  <si>
    <t>79372017950 - Входящий звонок</t>
  </si>
  <si>
    <t>Интересовался антигравийными пленками</t>
  </si>
  <si>
    <t>уточнение записи</t>
  </si>
  <si>
    <t>Виталий - Открытая линия Левша</t>
  </si>
  <si>
    <t>оклейка кузова автомобиля пленкой цена</t>
  </si>
  <si>
    <t>Оклейка зон риска колрэй целиком</t>
  </si>
  <si>
    <t>78462130000 - Входящий звонок</t>
  </si>
  <si>
    <t>целековая Zeekr в Lumar</t>
  </si>
  <si>
    <t>79372001111 - Входящий звонок</t>
  </si>
  <si>
    <t>Стандарт половину + стойки лба + полоса / 49000/ набрать 23.11 сказал, что с декабря повышение цен</t>
  </si>
  <si>
    <t>давид по тонировке</t>
  </si>
  <si>
    <t>Marat - Открытая линия Левша полировка фар, покрыть пленкой</t>
  </si>
  <si>
    <t>Marat</t>
  </si>
  <si>
    <t>оклейка салона / 22.11 к 10:00</t>
  </si>
  <si>
    <t>эдард / записан на оклейку капота и фар / 16.11 к 10:00</t>
  </si>
  <si>
    <t>Nebopomogetnam - Открытая линия Левша</t>
  </si>
  <si>
    <t>Nebopomogetnam</t>
  </si>
  <si>
    <t>79171556666 - Входящий звонок</t>
  </si>
  <si>
    <t>Бронь лобового, фар, лекало в салон</t>
  </si>
  <si>
    <t>отменила запись</t>
  </si>
  <si>
    <t>tank300 пленка танировка</t>
  </si>
  <si>
    <t xml:space="preserve">Lotus целиком глянец </t>
  </si>
  <si>
    <t>79270101391 - Входящий звонок</t>
  </si>
  <si>
    <t>79170313004 - Входящий звонок</t>
  </si>
  <si>
    <t>интересовался оклейка перед фар, туманки, пол капота, ручки дверей / крета / озвучил 20500 / сказал спасибо и сбросил</t>
  </si>
  <si>
    <t>пленка на фары и зрна посадки так и не надумала</t>
  </si>
  <si>
    <t>Света</t>
  </si>
  <si>
    <t>79277364111 - Входящий звонок</t>
  </si>
  <si>
    <t>78469792947 - Входящий звонок</t>
  </si>
  <si>
    <t>79661555000 - Входящий звонок</t>
  </si>
  <si>
    <t>79370757707 - Входящий звонок</t>
  </si>
  <si>
    <t>79874325555 - Входящий звонок</t>
  </si>
  <si>
    <t>Вадим Моисеев - Открытая линия Левша</t>
  </si>
  <si>
    <t>Моисеев</t>
  </si>
  <si>
    <t>бронирование передних фар+полировка/ не может определится с датой, но хочет именно  выходной</t>
  </si>
  <si>
    <t>Корекция пленки</t>
  </si>
  <si>
    <t xml:space="preserve">Это дубликат я с ним уже пытался общаться сказал чтобы приехал к нам на осмотр потому что не понятно что ему нужно сделать </t>
  </si>
  <si>
    <t>приклеить шильзики 20,11</t>
  </si>
  <si>
    <t>целиковая обклейка старой BMW X5 ва мат 2006</t>
  </si>
  <si>
    <t>пленка форы и зоны посадки 14к думает</t>
  </si>
  <si>
    <t>Оклейкап полностью</t>
  </si>
  <si>
    <t xml:space="preserve">крышу на ASX </t>
  </si>
  <si>
    <t>Nikolaj</t>
  </si>
  <si>
    <t>Vinnichenko</t>
  </si>
  <si>
    <t>капот, ручки, передняя часть крыльев</t>
  </si>
  <si>
    <t>79376547070 - Входящий звонок</t>
  </si>
  <si>
    <t xml:space="preserve">07,11 Staria в пленку </t>
  </si>
  <si>
    <t>Данил / танк 500 полностью в пленку / оказывается машина не его, а его родственика. Родственник думает. вопрос отложен на неопределенное время</t>
  </si>
  <si>
    <t>звонил по подтверждение записи / запись отменили</t>
  </si>
  <si>
    <t>манжаро/ коррекция перед.бампера / коррекция произведена</t>
  </si>
  <si>
    <t>антихром мерседес</t>
  </si>
  <si>
    <t>Алексей Сусманов - Открытая линия Левша</t>
  </si>
  <si>
    <t>Сусманов</t>
  </si>
  <si>
    <t>Хавал дарго в пленку и керамика</t>
  </si>
  <si>
    <t>79198041488 - Входящий звонок</t>
  </si>
  <si>
    <t>по готовности RR</t>
  </si>
  <si>
    <t>Лекало на L9 пригласил подъехать на замер</t>
  </si>
  <si>
    <t>Maxim Kaledin - Открытая линия Левша</t>
  </si>
  <si>
    <t>Каледин Максим Вячеславович</t>
  </si>
  <si>
    <t>79179528006 - Входящий звонок</t>
  </si>
  <si>
    <t>оружие пленкой оклеить</t>
  </si>
  <si>
    <t>Евгений Рыбин - Открытая линия Левша</t>
  </si>
  <si>
    <t>Рыбин</t>
  </si>
  <si>
    <t>79991581490 - Исходящий звонок</t>
  </si>
  <si>
    <t>Отмена записи</t>
  </si>
  <si>
    <t>79263897920 - Входящий звонок</t>
  </si>
  <si>
    <t xml:space="preserve">полная облейка </t>
  </si>
  <si>
    <t>79276050065 - Входящий звонок</t>
  </si>
  <si>
    <t xml:space="preserve">оклейка монитора в салоне </t>
  </si>
  <si>
    <t>Полировка бампера и пленка рио</t>
  </si>
  <si>
    <t>Тугелла пленка на бампер и атермальная тонировка</t>
  </si>
  <si>
    <t xml:space="preserve">Ауди Q7 </t>
  </si>
  <si>
    <t>оклейка бампера, полоску на капот</t>
  </si>
  <si>
    <t>79879379377 - Входящий звонок</t>
  </si>
  <si>
    <t>корекция пленки на тугела</t>
  </si>
  <si>
    <t>Екатерина - Открытая линия Левша</t>
  </si>
  <si>
    <t>оклейка виниловой пленкой Хонда Цивик 10 купе 17 года</t>
  </si>
  <si>
    <t>Туксон заклеить тунель</t>
  </si>
  <si>
    <t>Стекла на дисплеи Дашинг</t>
  </si>
  <si>
    <t>Пикап половину капота, стойки и полоску на крышу заклеить пленкой и 2 машины на шинку от фирмы</t>
  </si>
  <si>
    <t>79179454595 - Открытая линия Левша</t>
  </si>
  <si>
    <t>79053000968 - Входящий звонок</t>
  </si>
  <si>
    <t>‪+79272715118‬ - Открытая линия Левша</t>
  </si>
  <si>
    <t>‪+79272715118‬</t>
  </si>
  <si>
    <t>Х5 пленка</t>
  </si>
  <si>
    <t>RAV4 переклейка двери 20000</t>
  </si>
  <si>
    <t>79272066187 - Входящий звонок</t>
  </si>
  <si>
    <t>Корекция пленки перенос на четверг</t>
  </si>
  <si>
    <t>оклейка тонировка</t>
  </si>
  <si>
    <t>Х7 пленка полностью 260000</t>
  </si>
  <si>
    <t>По поводу поклейки пленки на Лотус</t>
  </si>
  <si>
    <t>оклейка ГЛС</t>
  </si>
  <si>
    <t>по пленке</t>
  </si>
  <si>
    <t xml:space="preserve">салон заклеить </t>
  </si>
  <si>
    <t xml:space="preserve">Виктория </t>
  </si>
  <si>
    <t xml:space="preserve">Оклеивание автомобиля винилом </t>
  </si>
  <si>
    <t>79171134202 - Входящий звонок</t>
  </si>
  <si>
    <t>пленка на ниву коротыш</t>
  </si>
  <si>
    <t>79171582494 - Входящий звонок</t>
  </si>
  <si>
    <t>79171563640 - Входящий звонок</t>
  </si>
  <si>
    <t>Перенос записи манжара</t>
  </si>
  <si>
    <t>Пленка на капот полоса гранта8000</t>
  </si>
  <si>
    <t>пленка зона риска VESTA</t>
  </si>
  <si>
    <t>пленка тугелла</t>
  </si>
  <si>
    <t>черная крыша на гранту</t>
  </si>
  <si>
    <t>Subscriber</t>
  </si>
  <si>
    <t>отклеилась. бронепленка на переднем бампере СНИЗУ. приедет 22.10 оставит авто до выполнения коррекции. В будни авто не нужно.</t>
  </si>
  <si>
    <t>клиент звонит с другого номера / сделка есть</t>
  </si>
  <si>
    <t>Пленка под ручки просека 19,10</t>
  </si>
  <si>
    <t>Интересующая услуга: Оклейка пленкой авто Сообщение: Планирую заклеить фары, полосу на крыше, пороги, места под ручками.</t>
  </si>
  <si>
    <t>хочет снять пленку с лобового стекла</t>
  </si>
  <si>
    <t>Коррекция пленки на фары</t>
  </si>
  <si>
    <t>Пленка на фокус 3 места соприкосновения бампера с кузовом (арки) 8000</t>
  </si>
  <si>
    <t>по готовности</t>
  </si>
  <si>
    <t>Веста хочет черный крыша, но дорого</t>
  </si>
  <si>
    <t>Rail</t>
  </si>
  <si>
    <t>Полная обклейка Jeep Wagoneer № м001мо63 и шм</t>
  </si>
  <si>
    <t>Алексей Водитель От Ингеля</t>
  </si>
  <si>
    <t xml:space="preserve">целиком в мат </t>
  </si>
  <si>
    <t>Рифат</t>
  </si>
  <si>
    <t>Сулейманов</t>
  </si>
  <si>
    <t xml:space="preserve">Х7 БМВ крышу панорамную в темный цвет </t>
  </si>
  <si>
    <t>79371849700 - Входящий звонок</t>
  </si>
  <si>
    <t>79277372532 - Входящий звонок</t>
  </si>
  <si>
    <t>оклейка стандарт + стойки вокруг лба, полоса над лобовым + аракалы / думает позвонить уточнить решение</t>
  </si>
  <si>
    <t>Рома - Открытая линия Левша</t>
  </si>
  <si>
    <t>Рома</t>
  </si>
  <si>
    <t>79050185066 - Входящий звонок</t>
  </si>
  <si>
    <t>Староквашев</t>
  </si>
  <si>
    <t>пленка на фары капот полосой и тонер зад пол сфера</t>
  </si>
  <si>
    <t xml:space="preserve">защитная пленка на етти / записан 14.10 с 13:00 - 14:00 / </t>
  </si>
  <si>
    <t>CE Company - Открытая линия Левша</t>
  </si>
  <si>
    <t>CE</t>
  </si>
  <si>
    <t>Company</t>
  </si>
  <si>
    <t>79277575766 - Входящий звонок</t>
  </si>
  <si>
    <t>79272667370 - Исходящий звонок</t>
  </si>
  <si>
    <t>Пленка а фару</t>
  </si>
  <si>
    <t>79372128977 - Входящий звонок</t>
  </si>
  <si>
    <t>79879505637 - Входящий звонок</t>
  </si>
  <si>
    <t>Напольное Евгений - Открытая линия Левша</t>
  </si>
  <si>
    <t>Напольное</t>
  </si>
  <si>
    <t>бронировка авто пленкой</t>
  </si>
  <si>
    <t>79033310124 - Входящий звонок</t>
  </si>
  <si>
    <t>Евгений - Открытая линия Левша</t>
  </si>
  <si>
    <t xml:space="preserve">вопрос по снятию пленки </t>
  </si>
  <si>
    <t>79277090659 - Входящий звонок</t>
  </si>
  <si>
    <t>Капот, стойка, крыша в пленку счет на юр. лицо</t>
  </si>
  <si>
    <t>китайская камри / переписываемя в мессенджере / хочет закрыть глянец в салоне / 10000 озвучил за все</t>
  </si>
  <si>
    <t>обклейка X7 без бамперров и крыши</t>
  </si>
  <si>
    <t>оклейка салона 16000 / на реник / лекала заказ артем! записан на 21.10</t>
  </si>
  <si>
    <t xml:space="preserve">танк 300 / оклейка: капот полностью, фары, полоса над лобовым, стойки вокруг лобового, дверн.проемы горизонтальные + атермалка перед.полусфера . Записан на 09.10 к 9:00 </t>
  </si>
  <si>
    <t>машину еще не купил, консультируется по керамике, пленке и т.д позвоним сам, как купит авто. Остановились вроде на керамике 2+1 германия и зоны риска целиком</t>
  </si>
  <si>
    <t>Сергей Валериевич Зудин - Открытая линия Левша</t>
  </si>
  <si>
    <t>Сергей Валериевич</t>
  </si>
  <si>
    <t>Зудин</t>
  </si>
  <si>
    <t>пленка гранта</t>
  </si>
  <si>
    <t>тонировка, фары в пленку, сетка в бампер / Александр / 12.10 на 10:00</t>
  </si>
  <si>
    <t>79377972777 - Входящий звонок</t>
  </si>
  <si>
    <t>Оклейка пленкой Раф-4 111</t>
  </si>
  <si>
    <t>79608317733 - Входящий звонок</t>
  </si>
  <si>
    <t>Evgenii</t>
  </si>
  <si>
    <t>Lapshov</t>
  </si>
  <si>
    <t>Любовь - Открытая линия Левша</t>
  </si>
  <si>
    <t>Любовь</t>
  </si>
  <si>
    <t>ivansadov1987 - Открытая линия Левша</t>
  </si>
  <si>
    <t>ivansadov1987</t>
  </si>
  <si>
    <t>79171657673 - Входящий звонок</t>
  </si>
  <si>
    <t>пленка на фары Forster</t>
  </si>
  <si>
    <t>снятие рекламы с автомобиля</t>
  </si>
  <si>
    <t>полоса на капот Logan</t>
  </si>
  <si>
    <t xml:space="preserve">пленка на пассат после покраски </t>
  </si>
  <si>
    <t>Восилжон</t>
  </si>
  <si>
    <t xml:space="preserve">Пленка тонировка </t>
  </si>
  <si>
    <t>пленка целиком GL</t>
  </si>
  <si>
    <t>79151890098 - Входящий звонок</t>
  </si>
  <si>
    <t>сам из деревни, хочет одним днем все сделать (стандарт целиком + полоса на крышу). К нам никогда не приедет, так как погонит машину в краснодар</t>
  </si>
  <si>
    <t>d</t>
  </si>
  <si>
    <t>удалить клей после тонировки. Не устраивает дата. Ближайшая на 9.10</t>
  </si>
  <si>
    <t>79198085413 - Входящий звонок</t>
  </si>
  <si>
    <t>Дмитрий крюк - Открытая линия Левша</t>
  </si>
  <si>
    <t>крюк</t>
  </si>
  <si>
    <t>79879416051 - Входящий звонок</t>
  </si>
  <si>
    <t>пленка на крышу в черный винил + антигравийкой</t>
  </si>
  <si>
    <t>79171045204 - Входящий звонок</t>
  </si>
  <si>
    <t>Игнель танки коррекция</t>
  </si>
  <si>
    <t>Дмитрий интересует оклейка автомобиля. Общаемся в чате</t>
  </si>
  <si>
    <t>Бампер в пленку</t>
  </si>
  <si>
    <t>KIA CEED 787 пленка</t>
  </si>
  <si>
    <t>Обклеить танк 300 зоны риска. Говорил Ваня-отработал говно! Озвучил в районе 100. Перезвонить и сказать точную стоимость / стандарт 45 000 / стандарт целиком 74 000</t>
  </si>
  <si>
    <t>79871505930 - Входящий звонок</t>
  </si>
  <si>
    <t>79277734100 - Входящий звонок</t>
  </si>
  <si>
    <t>Оклейка прадо (зон риска)</t>
  </si>
  <si>
    <t>79272027627 - Входящий звонок</t>
  </si>
  <si>
    <t>79083811255 - Входящий звонок</t>
  </si>
  <si>
    <t>79160073177 - Входящий звонок</t>
  </si>
  <si>
    <t>79967440071 - Входящий звонок</t>
  </si>
  <si>
    <t>79279013995 - Входящий звонок</t>
  </si>
  <si>
    <t>79376523999 - Входящий звонок</t>
  </si>
  <si>
    <t>79379930303 - Входящий звонок</t>
  </si>
  <si>
    <t>пленка на крышу</t>
  </si>
  <si>
    <t>ㅤ</t>
  </si>
  <si>
    <t>Бронирование порога Туарег</t>
  </si>
  <si>
    <t>Оклейка цветной пленкой частично Exceed RX, не нравятся святящиеся элементы - можно ли отключить их или замаскировать</t>
  </si>
  <si>
    <t>Над лобовым стеклом полосу Аутлендер</t>
  </si>
  <si>
    <t>затянуть авто в пленку - целиком (250 000 без крыши 230 000) или зоны риска "стандарт целиком" (64 000 ).</t>
  </si>
  <si>
    <t>Дарья / шкода карок / задняя полусфера 50% пленкой 6000 руб. / атермальная пленка перед 9000 / зоны риска целиком 64000 / мягкая полировка 10 000 / стекло 6000 / керамика 22 000 / прилетит в самару 9.09 и уточним спектр работ и дату заезда на тонировку.</t>
  </si>
  <si>
    <t>оклеить тачки винилом (такси). Дед сказал, что нет</t>
  </si>
  <si>
    <t>стандарт целиком+ крыша+ детейл полировка + керамика в 3 слоя германия</t>
  </si>
  <si>
    <t>Haval 7 полоса на капот или полностью</t>
  </si>
  <si>
    <t>передние фары в пленкку / Павел</t>
  </si>
  <si>
    <t>сантафе оклейка зон риска полная / Данила / записан на 10.10 на реник / выставить счет, заключить договор / 64 000 /</t>
  </si>
  <si>
    <t>79270266999 - Входящий звонок</t>
  </si>
  <si>
    <t>Anastaisha</t>
  </si>
  <si>
    <t>79276888536 - Входящий звонок</t>
  </si>
  <si>
    <t>заклеить передний бампер в пленку/ снять старую пленку 3000, оклеить 24000. полировка по состоянию / уточнить решение</t>
  </si>
  <si>
    <t>пленка, полировка / записан на 02.10 / максим</t>
  </si>
  <si>
    <t>79171441097 - Входящий звонок</t>
  </si>
  <si>
    <t>Алексей порш тайкан / весь в пленку+фары+лоб+мяг.полировка</t>
  </si>
  <si>
    <t>79277578492 - Входящий звонок</t>
  </si>
  <si>
    <t>Капот в пленку Х7</t>
  </si>
  <si>
    <t>Серж - Открытая линия Левша</t>
  </si>
  <si>
    <t>Серж</t>
  </si>
  <si>
    <t>Надежда - Открытая линия Левша</t>
  </si>
  <si>
    <t>Надежда</t>
  </si>
  <si>
    <t>Татьяна Артющенко - Открытая линия Левша</t>
  </si>
  <si>
    <t>Артющенко</t>
  </si>
  <si>
    <t>пленка на танк 500</t>
  </si>
  <si>
    <t>Матовая пленка графит</t>
  </si>
  <si>
    <t>79278967437 - Исходящий звонок</t>
  </si>
  <si>
    <t>А6 Ауди заклеить пленкой стеклянные элементы внутри</t>
  </si>
  <si>
    <t xml:space="preserve">Вопросы по пленочке </t>
  </si>
  <si>
    <t>оклейка капота</t>
  </si>
  <si>
    <t xml:space="preserve">по пленке X6 </t>
  </si>
  <si>
    <t>79277130148 - Входящий звонок</t>
  </si>
  <si>
    <t>НК /RAM / Реник 22.09 к 12:30</t>
  </si>
  <si>
    <t>Вячеслав Сучков - Открытая линия Левша</t>
  </si>
  <si>
    <t>Сучков</t>
  </si>
  <si>
    <t>. - Открытая линия Левша</t>
  </si>
  <si>
    <t>Mercedes GT AMG № м610сх82</t>
  </si>
  <si>
    <t>матовые лекала</t>
  </si>
  <si>
    <t>Андрей Крюков - Открытая линия Левша</t>
  </si>
  <si>
    <t>Крюков</t>
  </si>
  <si>
    <t>амода / оклейка полосы над лобовым в реник</t>
  </si>
  <si>
    <t>79179637110 - Входящий звонок</t>
  </si>
  <si>
    <t>Елена / хавал джулион 807 / оклейка "стандарт целиком /</t>
  </si>
  <si>
    <t xml:space="preserve">заклеить всю машину в пленку / думает / </t>
  </si>
  <si>
    <t>SD - Открытая линия Левша</t>
  </si>
  <si>
    <t>SD</t>
  </si>
  <si>
    <t>79371731373 - Входящий звонок</t>
  </si>
  <si>
    <t>Пленка а6</t>
  </si>
  <si>
    <t>79171260742 - Входящий звонок</t>
  </si>
  <si>
    <t>винил на студию фитнеса</t>
  </si>
  <si>
    <t>Пленка Ойбек бронь счет на</t>
  </si>
  <si>
    <t>Ойбек</t>
  </si>
  <si>
    <t>пленка на авто</t>
  </si>
  <si>
    <t xml:space="preserve">пленка на фары мать их </t>
  </si>
  <si>
    <t>Павел Воробьев</t>
  </si>
  <si>
    <t>79093292242 - Входящий звонок</t>
  </si>
  <si>
    <t>защитная пленка в нижний проем двери шкода кодиак / 1500 один проем</t>
  </si>
  <si>
    <t>79871523427 - Входящий звонок</t>
  </si>
  <si>
    <t>79276069330 - Входящий звонок</t>
  </si>
  <si>
    <t>79277272429 - Входящий звонок</t>
  </si>
  <si>
    <t>79379837580 - Входящий звонок</t>
  </si>
  <si>
    <t>омода С5 оклейка синим сатином или градиентом</t>
  </si>
  <si>
    <t>Оклейка Омода</t>
  </si>
  <si>
    <t>Шабаев</t>
  </si>
  <si>
    <t>79827716770 - Входящий звонок</t>
  </si>
  <si>
    <t>mazitovns - Открытая линия Левша</t>
  </si>
  <si>
    <t>mazitovns</t>
  </si>
  <si>
    <t>79376502810 - Входящий звонок</t>
  </si>
  <si>
    <t>79277566925 - Входящий звонок</t>
  </si>
  <si>
    <t>Пленка мат серая 180-200</t>
  </si>
  <si>
    <t>79879056762 - Входящий звонок</t>
  </si>
  <si>
    <t>79926613614 - Входящий звонок</t>
  </si>
  <si>
    <t>пленка рыжая машина</t>
  </si>
  <si>
    <t>Оценка GLE зоны погрузки</t>
  </si>
  <si>
    <t>Тундра в пленку корея 50 америка 62-64 16,09 хочет приехать посмотреть на работы</t>
  </si>
  <si>
    <t xml:space="preserve">santafe777 - пленка </t>
  </si>
  <si>
    <t>79277588422 - Входящий звонок</t>
  </si>
  <si>
    <t>пленка на бампер и мойка 30.09</t>
  </si>
  <si>
    <t>Пленка Стандарт</t>
  </si>
  <si>
    <t xml:space="preserve">заклеить крышу в ченый </t>
  </si>
  <si>
    <t>александр - Открытая линия Левша</t>
  </si>
  <si>
    <t>александр</t>
  </si>
  <si>
    <t>79149550610 - Входящий звонок</t>
  </si>
  <si>
    <t>79272080307 - Входящий звонок</t>
  </si>
  <si>
    <t>79277155999 - Входящий звонок</t>
  </si>
  <si>
    <t>Леонид</t>
  </si>
  <si>
    <t>79649831111 - Входящий звонок</t>
  </si>
  <si>
    <t>79171112244 - Входящий звонок</t>
  </si>
  <si>
    <t>79276996022 - Входящий звонок</t>
  </si>
  <si>
    <t>79277713711 - Входящий звонок</t>
  </si>
  <si>
    <t>Оклейка EXEED RX в матовую пленку комплекс</t>
  </si>
  <si>
    <t>пленка на туманки</t>
  </si>
  <si>
    <t>пленка за 3-4 тысячи</t>
  </si>
  <si>
    <t>79276530006 - Входящий звонок</t>
  </si>
  <si>
    <t>79170141140 - Исходящий звонок</t>
  </si>
  <si>
    <t>79027423753 - Открытая линия Левша</t>
  </si>
  <si>
    <t>79608287722 - Входящий звонок</t>
  </si>
  <si>
    <t>пленка на клавиатуру</t>
  </si>
  <si>
    <t>Beardless</t>
  </si>
  <si>
    <t>79879196466 - Входящий звонок</t>
  </si>
  <si>
    <t>79879407589 - Входящий звонок</t>
  </si>
  <si>
    <t>79279025644 - Входящий звонок</t>
  </si>
  <si>
    <t xml:space="preserve">ремонт пластика и полоса на капот </t>
  </si>
  <si>
    <t>плекна на лобовое</t>
  </si>
  <si>
    <t xml:space="preserve">omoda пленка </t>
  </si>
  <si>
    <t xml:space="preserve">exeed rx разговор по пленке </t>
  </si>
  <si>
    <t>целиком Tank 500</t>
  </si>
  <si>
    <t>79279074655 - Входящий звонок</t>
  </si>
  <si>
    <t>79277763048 - Входящий звонок</t>
  </si>
  <si>
    <t>79270062765 - Входящий звонок</t>
  </si>
  <si>
    <t>Бронепленка на фары квадрика</t>
  </si>
  <si>
    <t>79270060366 - Входящий звонок</t>
  </si>
  <si>
    <t>Николай - Открытая линия Левша</t>
  </si>
  <si>
    <t>polo пленка</t>
  </si>
  <si>
    <t>79608319610 - Входящий звонок</t>
  </si>
  <si>
    <t>79171531559 - Входящий звонок</t>
  </si>
  <si>
    <t>79023235855 - Входящий звонок</t>
  </si>
  <si>
    <t xml:space="preserve">пленка на крыше полоса капот полоса фары и зона под ручками </t>
  </si>
  <si>
    <t>Oksana♣️ - Открытая линия Левша</t>
  </si>
  <si>
    <t>Oksana♣️</t>
  </si>
  <si>
    <t>пленка на машину цена</t>
  </si>
  <si>
    <t>79377960960 - Входящий звонок</t>
  </si>
  <si>
    <t>79277433339 - Входящий звонок</t>
  </si>
  <si>
    <t>пленка на Гелик и молдинги приклеить на 14-30</t>
  </si>
  <si>
    <t>79372167576 - Входящий звонок</t>
  </si>
  <si>
    <t xml:space="preserve">polo300 - пленка </t>
  </si>
  <si>
    <t>пленка крылья переклеить</t>
  </si>
  <si>
    <t>Пленка на GLE</t>
  </si>
  <si>
    <t>Александр Приходько - Открытая линия Левша</t>
  </si>
  <si>
    <t>Приходько</t>
  </si>
  <si>
    <t>79674807425 - Входящий звонок</t>
  </si>
  <si>
    <t>79171038211 - Входящий звонок</t>
  </si>
  <si>
    <t>79118861430 - Входящий звонок</t>
  </si>
  <si>
    <t>79033003895 - Входящий звонок</t>
  </si>
  <si>
    <t>Александр Приходько - оклейка крыши в черный</t>
  </si>
  <si>
    <t>Artem - Открытая линия Левша</t>
  </si>
  <si>
    <t>Artem</t>
  </si>
  <si>
    <t xml:space="preserve">changan uni-k - пленка </t>
  </si>
  <si>
    <t>Евгений Маркерт - Открытая линия Левша,  BMW X7 в пленку закатать. Весь кузов + антихром молдингов всех. Пленка белая матовая + крыша черным</t>
  </si>
  <si>
    <t>самара полировка</t>
  </si>
  <si>
    <t>79277776112 - Входящий звонок</t>
  </si>
  <si>
    <t>sorento - пленка</t>
  </si>
  <si>
    <t xml:space="preserve">macan - пленка </t>
  </si>
  <si>
    <t>duster - пленка</t>
  </si>
  <si>
    <t>79270014144 - Входящий звонок</t>
  </si>
  <si>
    <t>79179505353 - Входящий звонок</t>
  </si>
  <si>
    <t>79063459608 - Входящий звонок</t>
  </si>
  <si>
    <t>79277801161 - Входящий звонок</t>
  </si>
  <si>
    <t>79178120032 - Входящий звонок</t>
  </si>
  <si>
    <t>Заклеить Танк в пленку</t>
  </si>
  <si>
    <t>Евген - Открытая линия Левша</t>
  </si>
  <si>
    <t>Евген</t>
  </si>
  <si>
    <t>79997236647 - Входящий звонок</t>
  </si>
  <si>
    <t>79179529851 - Входящий звонок</t>
  </si>
  <si>
    <t>Павел Ларин</t>
  </si>
  <si>
    <t>79377931706 - Входящий звонок</t>
  </si>
  <si>
    <t>Заклеить пленкой элементы салона или перекрасить</t>
  </si>
  <si>
    <t xml:space="preserve">пленка в салон </t>
  </si>
  <si>
    <t>A.D</t>
  </si>
  <si>
    <t>… - Открытая линия Левша</t>
  </si>
  <si>
    <t>…</t>
  </si>
  <si>
    <t>79023740474 - Входящий звонок</t>
  </si>
  <si>
    <t>пленка Q8 на 19,09</t>
  </si>
  <si>
    <t>целиком</t>
  </si>
  <si>
    <t>79371741877 - Входящий звонок</t>
  </si>
  <si>
    <t>79279015098 - Входящий звонок</t>
  </si>
  <si>
    <t>79270163088 - Входящий звонок</t>
  </si>
  <si>
    <t>Оченка на оклейку</t>
  </si>
  <si>
    <t>79277777147 - Входящий звонок</t>
  </si>
  <si>
    <t>79171404000 - Входящий звонок</t>
  </si>
  <si>
    <t>79397165696 - Входящий звонок</t>
  </si>
  <si>
    <t>79277011002 - Входящий звонок</t>
  </si>
  <si>
    <t>79276880885 - Входящий звонок</t>
  </si>
  <si>
    <t>79171595079 - Входящий звонок</t>
  </si>
  <si>
    <t>79171025553 - Входящий звонок</t>
  </si>
  <si>
    <t xml:space="preserve">Audi Q8 полная </t>
  </si>
  <si>
    <t xml:space="preserve">затянуть в пленку мазда </t>
  </si>
  <si>
    <t>79871596833 - Входящий звонок</t>
  </si>
  <si>
    <t>изменение цветав</t>
  </si>
  <si>
    <t>79277151008 - Входящий звонок</t>
  </si>
  <si>
    <t>Твердохлебов Василий - Открытая линия Левша</t>
  </si>
  <si>
    <t>79270127616 - Входящий звонок</t>
  </si>
  <si>
    <t>Оклейка автомобиля юр.лицу</t>
  </si>
  <si>
    <t xml:space="preserve">пленка  от ЮЛИ </t>
  </si>
  <si>
    <t xml:space="preserve">пленка стойки </t>
  </si>
  <si>
    <t>79276567743 - Входящий звонок</t>
  </si>
  <si>
    <t>79093296666 - Входящий звонок</t>
  </si>
  <si>
    <t>Alina - Открытая линия Левша</t>
  </si>
  <si>
    <t>Alina</t>
  </si>
  <si>
    <t>Владимир Владимирович - Открытая линия Левша</t>
  </si>
  <si>
    <t>Хариер оклейка полностью (бампер, оптика, капот, крылья, зеркала, под ручками, вокруг лобового)</t>
  </si>
  <si>
    <t>оклейка карбоном крыльев Форд Торнео Кастом (для защиты)</t>
  </si>
  <si>
    <t xml:space="preserve">cherry tigo пленка </t>
  </si>
  <si>
    <t>79277294288 - Входящий звонок</t>
  </si>
  <si>
    <t xml:space="preserve">Hongqi E-HS9 999 - пленка </t>
  </si>
  <si>
    <t>79871600008 - Входящий звонок</t>
  </si>
  <si>
    <t>фары рапид 1 шт.</t>
  </si>
  <si>
    <t xml:space="preserve">полная на камри </t>
  </si>
  <si>
    <t>пленка на экраны</t>
  </si>
  <si>
    <t xml:space="preserve">пленка на кузов </t>
  </si>
  <si>
    <t>79966194901 - Входящий звонок</t>
  </si>
  <si>
    <t>заклеить капот на Ниве Тревел</t>
  </si>
  <si>
    <t>79198011600 - Входящий звонок</t>
  </si>
  <si>
    <t>79879440679 - Входящий звонок</t>
  </si>
  <si>
    <t xml:space="preserve">переклейка стоек </t>
  </si>
  <si>
    <t>Людмила</t>
  </si>
  <si>
    <t xml:space="preserve">пороги в пленку дастер </t>
  </si>
  <si>
    <t>оклейка гидроцикла</t>
  </si>
  <si>
    <t xml:space="preserve">оклейка салона </t>
  </si>
  <si>
    <t>Катасонов</t>
  </si>
  <si>
    <t>вопрос по привозе авто</t>
  </si>
  <si>
    <t>Regina</t>
  </si>
  <si>
    <t>Зиновьев</t>
  </si>
  <si>
    <t>оклейка авто самара</t>
  </si>
  <si>
    <t>79277300528 - Исходящий звонок</t>
  </si>
  <si>
    <t>79956274505 - Входящий звонок</t>
  </si>
  <si>
    <t xml:space="preserve">вопросы по пленке </t>
  </si>
  <si>
    <t>79276579710 - Входящий звонок</t>
  </si>
  <si>
    <t>79198196147 - Входящий звонок</t>
  </si>
  <si>
    <t>Алла</t>
  </si>
  <si>
    <t>79377975195 - Входящий звонок</t>
  </si>
  <si>
    <t>79370602828 - Входящий звонок</t>
  </si>
  <si>
    <t>обклейка с дизайном</t>
  </si>
  <si>
    <t>79879490500 - Входящий звонок</t>
  </si>
  <si>
    <t>79371899153 - Входящий звонок</t>
  </si>
  <si>
    <t>обтянуть в черный мат</t>
  </si>
  <si>
    <t>sergey1981mih</t>
  </si>
  <si>
    <t xml:space="preserve">пленка спортаж </t>
  </si>
  <si>
    <t>х3 доклеить</t>
  </si>
  <si>
    <t>расклейка авто</t>
  </si>
  <si>
    <t>Наим</t>
  </si>
  <si>
    <t xml:space="preserve">оклейка в салоне </t>
  </si>
  <si>
    <t>79276521102 - Входящий звонок</t>
  </si>
  <si>
    <t xml:space="preserve">полная приора </t>
  </si>
  <si>
    <t>Рафаэль</t>
  </si>
  <si>
    <t>Салпиков</t>
  </si>
  <si>
    <t>пленку под ручками приклеить</t>
  </si>
  <si>
    <t>Данила</t>
  </si>
  <si>
    <t xml:space="preserve">пленка и стекло с мягкой полировочкой </t>
  </si>
  <si>
    <t>79879528712 - Входящий звонок</t>
  </si>
  <si>
    <t>Малик - Открытая линия Левша</t>
  </si>
  <si>
    <t>Малик</t>
  </si>
  <si>
    <t>79270208174 - Входящий звонок</t>
  </si>
  <si>
    <t>Artem Grishin - Открытая линия Левша</t>
  </si>
  <si>
    <t>Grishin</t>
  </si>
  <si>
    <t>79171550696 - Входящий звонок</t>
  </si>
  <si>
    <t>пленка капот бампер крылья</t>
  </si>
  <si>
    <t xml:space="preserve">антигравийная пленка </t>
  </si>
  <si>
    <t>79276000342 - Входящий звонок</t>
  </si>
  <si>
    <t>затянуть саблю на багажнике</t>
  </si>
  <si>
    <t xml:space="preserve">пленка на крышу калина </t>
  </si>
  <si>
    <t>vladislav163977720</t>
  </si>
  <si>
    <t>Частичная оклейка</t>
  </si>
  <si>
    <t>Иван Соловьёв - Открытая линия Левша</t>
  </si>
  <si>
    <t>Соловьёв</t>
  </si>
  <si>
    <t>79261386088 - Входящий звонок</t>
  </si>
  <si>
    <t>пленка целиком тиго 7 про</t>
  </si>
  <si>
    <t>полная или стандарт на мультивен</t>
  </si>
  <si>
    <t xml:space="preserve">пленка салон </t>
  </si>
  <si>
    <t>Пленка INFINITI QX 80</t>
  </si>
  <si>
    <t>пленка на cayenee и macan</t>
  </si>
  <si>
    <t>79228646191 - Входящий звонок</t>
  </si>
  <si>
    <t>79370634284 - Входящий звонок</t>
  </si>
  <si>
    <t>79608265041 - Входящий звонок</t>
  </si>
  <si>
    <t>79871530777 - Входящий звонок</t>
  </si>
  <si>
    <t>стекло на монитор</t>
  </si>
  <si>
    <t xml:space="preserve">дверь на пленку </t>
  </si>
  <si>
    <t>79277518857 - Входящий звонок</t>
  </si>
  <si>
    <t>Доклеить под ручками</t>
  </si>
  <si>
    <t>капот пленкой</t>
  </si>
  <si>
    <t>пленка оценка</t>
  </si>
  <si>
    <t>79270013736 - Входящий звонок</t>
  </si>
  <si>
    <t xml:space="preserve">пленка на дженезис капот </t>
  </si>
  <si>
    <t>пленка на капот фары и лоб</t>
  </si>
  <si>
    <t>Оклейка автобокса</t>
  </si>
  <si>
    <t>79276539269 - Входящий звонок</t>
  </si>
  <si>
    <t>Удаление пленки Убер</t>
  </si>
  <si>
    <t>холодильник обклеить</t>
  </si>
  <si>
    <t>79276570431 - Входящий звонок</t>
  </si>
  <si>
    <t>EVGENY KIRSANOV</t>
  </si>
  <si>
    <t>79631156876 - Входящий звонок</t>
  </si>
  <si>
    <t>целиком пленка</t>
  </si>
  <si>
    <t>H1 - пленка</t>
  </si>
  <si>
    <t>79991901707 - Входящий звонок</t>
  </si>
  <si>
    <t>защита порогов и арок</t>
  </si>
  <si>
    <t>+7 987 163-19-57</t>
  </si>
  <si>
    <t>79371772565 - Входящий звонок</t>
  </si>
  <si>
    <t>79608191117 - Входящий звонок</t>
  </si>
  <si>
    <t>Алексей Абдалкин - Открытая линия Левша</t>
  </si>
  <si>
    <t>Абдалкин</t>
  </si>
  <si>
    <t>Андрей Старожилов - Открытая линия Левша</t>
  </si>
  <si>
    <t>Старожилов</t>
  </si>
  <si>
    <t xml:space="preserve">merc a-класс - пленка </t>
  </si>
  <si>
    <t>79277371655 - Входящий звонок</t>
  </si>
  <si>
    <t>79178182316 - Входящий звонок</t>
  </si>
  <si>
    <t xml:space="preserve">camry - пленка </t>
  </si>
  <si>
    <t>79377987803 - Входящий звонок</t>
  </si>
  <si>
    <t>79171139543 - Входящий звонок</t>
  </si>
  <si>
    <t>79272946660 - Входящий звонок</t>
  </si>
  <si>
    <t>78469568425 - Входящий звонок</t>
  </si>
  <si>
    <t>79879473214 - Входящий звонок</t>
  </si>
  <si>
    <t>оклейка кузова пленкой цена</t>
  </si>
  <si>
    <t xml:space="preserve">демонтаж пленки с капота </t>
  </si>
  <si>
    <t>79171437745 - Входящий звонок</t>
  </si>
  <si>
    <t>пленкой магнитола</t>
  </si>
  <si>
    <t>пленка в салон</t>
  </si>
  <si>
    <t>79179430333 - Входящий звонок</t>
  </si>
  <si>
    <t>79851884041 - Входящий звонок</t>
  </si>
  <si>
    <t>х6 пленка</t>
  </si>
  <si>
    <t>x5 373 - рен пленка на капот</t>
  </si>
  <si>
    <t>вопросы по пленке</t>
  </si>
  <si>
    <t>79608392319 - Входящий звонок</t>
  </si>
  <si>
    <t>перезвонить</t>
  </si>
  <si>
    <t>dodge ram - оклейка элементов бампера</t>
  </si>
  <si>
    <t>79608082323 - Входящий звонок</t>
  </si>
  <si>
    <t>79879730802 - Входящий звонок</t>
  </si>
  <si>
    <t>kia mohave - пленка на капот</t>
  </si>
  <si>
    <t xml:space="preserve">solaris868 - просека пленка </t>
  </si>
  <si>
    <t>бронепленка в самаре</t>
  </si>
  <si>
    <t>79270050600 - Входящий звонок</t>
  </si>
  <si>
    <t>Елена Cla Оклейка - Открытая линия Левша</t>
  </si>
  <si>
    <t>Елена Cla Оклейка</t>
  </si>
  <si>
    <t>78463749101 - Входящий звонок</t>
  </si>
  <si>
    <t>целиковая оклейка</t>
  </si>
  <si>
    <t xml:space="preserve">целиковая обклейка </t>
  </si>
  <si>
    <t>79170348785 - Входящий звонок</t>
  </si>
  <si>
    <t>79277076025 - Входящий звонок</t>
  </si>
  <si>
    <t>79856126959 - Входящий звонок</t>
  </si>
  <si>
    <t xml:space="preserve">Евгений </t>
  </si>
  <si>
    <t>79376474883 - Входящий звонок</t>
  </si>
  <si>
    <t>79397127377 - Входящий звонок</t>
  </si>
  <si>
    <t>что то забронировать</t>
  </si>
  <si>
    <t>79991708396 - Входящий звонок</t>
  </si>
  <si>
    <t>Десятик Дмитрий - Открытая линия Левша</t>
  </si>
  <si>
    <t>Десятик</t>
  </si>
  <si>
    <t xml:space="preserve">переклейка рояли в черный </t>
  </si>
  <si>
    <t>79178116948 - Входящий звонок</t>
  </si>
  <si>
    <t>Валëк - Открытая линия Левша</t>
  </si>
  <si>
    <t>Валëк</t>
  </si>
  <si>
    <t>79277067086 - Входящий звонок</t>
  </si>
  <si>
    <t>79272093514 - Входящий звонок</t>
  </si>
  <si>
    <t>+7 927 704-80-58 - Открытая линия Левша</t>
  </si>
  <si>
    <t>+7 927 704-80-58</t>
  </si>
  <si>
    <t>haval пленка</t>
  </si>
  <si>
    <t>79272609078 - Входящий звонок</t>
  </si>
  <si>
    <t>79874447845 - Входящий звонок</t>
  </si>
  <si>
    <t>Matvey Andreevic - Открытая линия Левша</t>
  </si>
  <si>
    <t>Matvey</t>
  </si>
  <si>
    <t>Andreevic</t>
  </si>
  <si>
    <t>Matvey Andreevich - Открытая линия Левша</t>
  </si>
  <si>
    <t>Andreevich</t>
  </si>
  <si>
    <t>79277774196 - Входящий звонок</t>
  </si>
  <si>
    <t>bmw5 глянцевая пленка</t>
  </si>
  <si>
    <t>79022380570 - Входящий звонок</t>
  </si>
  <si>
    <t>приклеить на порог полосу черную</t>
  </si>
  <si>
    <t>+7 937 074-11-68 - Открытая линия Левша</t>
  </si>
  <si>
    <t>+7 937 074-11-68</t>
  </si>
  <si>
    <t>нанести пленку на машину</t>
  </si>
  <si>
    <t>Гордеев Сергей - Открытая линия Левша</t>
  </si>
  <si>
    <t>Гордеев</t>
  </si>
  <si>
    <t>пленка какая то</t>
  </si>
  <si>
    <t>79379991808 - Входящий звонок</t>
  </si>
  <si>
    <t>79379963333 - Входящий звонок</t>
  </si>
  <si>
    <t>79372134959 - Входящий звонок</t>
  </si>
  <si>
    <t xml:space="preserve">демонетаж пленки с капота </t>
  </si>
  <si>
    <t xml:space="preserve">пленка на салон </t>
  </si>
  <si>
    <t>79277250406 - Входящий звонок</t>
  </si>
  <si>
    <t>79198024653 - Входящий звонок</t>
  </si>
  <si>
    <t>78466123803 - Входящий звонок</t>
  </si>
  <si>
    <t>79277520338 - Входящий звонок</t>
  </si>
  <si>
    <t>79372053266 - Входящий звонок</t>
  </si>
  <si>
    <t>оклейка мазды</t>
  </si>
  <si>
    <t>Andrey Khramkov</t>
  </si>
  <si>
    <t>Ларгус брендирование</t>
  </si>
  <si>
    <t xml:space="preserve">Снять рекламу с фургона </t>
  </si>
  <si>
    <t>79276925758 - Входящий звонок</t>
  </si>
  <si>
    <t>79272074136 - Входящий звонок</t>
  </si>
  <si>
    <t>Alex - Открытая линия Левша</t>
  </si>
  <si>
    <t>детейлинг сервис</t>
  </si>
  <si>
    <t>пленка стандарт на карок</t>
  </si>
  <si>
    <t>a6 - пленка бампера и арок</t>
  </si>
  <si>
    <t>79033557055 - Входящий звонок</t>
  </si>
  <si>
    <t>79608163384 - Входящий звонок</t>
  </si>
  <si>
    <t xml:space="preserve">Евгений Акимов  пленка в салон </t>
  </si>
  <si>
    <t>Акимов</t>
  </si>
  <si>
    <t>79171078515 - Входящий звонок</t>
  </si>
  <si>
    <t xml:space="preserve">L200 650 - просека пленка/уст магнитолы </t>
  </si>
  <si>
    <t>Роман Городков</t>
  </si>
  <si>
    <t>bmw5 черная пленка на крышу</t>
  </si>
  <si>
    <t>79879072853 - Входящий звонок</t>
  </si>
  <si>
    <t>содрать желтую пленку со всего лкп</t>
  </si>
  <si>
    <t>79272085008 - Входящий звонок</t>
  </si>
  <si>
    <t>79276933916 - Входящий звонок</t>
  </si>
  <si>
    <t xml:space="preserve">prado999 - рен пленка </t>
  </si>
  <si>
    <t>79608103787 - Входящий звонок</t>
  </si>
  <si>
    <t>Сергей - Открытая линия Левша</t>
  </si>
  <si>
    <t>79277437055 - Входящий звонок</t>
  </si>
  <si>
    <t>79370787603 - Входящий звонок</t>
  </si>
  <si>
    <t>Коля Сметана - Открытая линия Левша</t>
  </si>
  <si>
    <t>Коля</t>
  </si>
  <si>
    <t>Сметана</t>
  </si>
  <si>
    <t>Плохо обработан менеджером</t>
  </si>
  <si>
    <t>79050187944 - Входящий звонок</t>
  </si>
  <si>
    <t>79179488887 - Входящий звонок</t>
  </si>
  <si>
    <t>Дмитрий Ерофеев</t>
  </si>
  <si>
    <t>79171676608 - Входящий звонок</t>
  </si>
  <si>
    <t>Алекс - Открытая линия Левша</t>
  </si>
  <si>
    <t>Алекс</t>
  </si>
  <si>
    <t>79963418497 - Входящий звонок</t>
  </si>
  <si>
    <t>79170373436 - Входящий звонок</t>
  </si>
  <si>
    <t>79277449048 - Входящий звонок</t>
  </si>
  <si>
    <t>79297158407 - Входящий звонок</t>
  </si>
  <si>
    <t>Денис Поставной - Открытая линия Левша</t>
  </si>
  <si>
    <t>Поставной</t>
  </si>
  <si>
    <t>79108247817 - Входящий звонок</t>
  </si>
  <si>
    <t>79053026150 - Входящий звонок</t>
  </si>
  <si>
    <t>79178168431 - Входящий звонок</t>
  </si>
  <si>
    <t>79879471491 - Исходящий звонок</t>
  </si>
  <si>
    <t>79376522331 - Входящий звонок</t>
  </si>
  <si>
    <t xml:space="preserve">Geely Monjaro - рен плекна/антидождь </t>
  </si>
  <si>
    <t>79276572919 - Входящий звонок</t>
  </si>
  <si>
    <t xml:space="preserve">sorento226 - просека мойка </t>
  </si>
  <si>
    <t>79170120048 - Входящий звонок</t>
  </si>
  <si>
    <t>Руслан Богданов - Открытая линия Левша</t>
  </si>
  <si>
    <t>Богданов</t>
  </si>
  <si>
    <t>обклеить сантехнику золотой пленкой</t>
  </si>
  <si>
    <t>79272097424 - Входящий звонок</t>
  </si>
  <si>
    <t>79270154647 - Входящий звонок</t>
  </si>
  <si>
    <t>79377943843 - Входящий звонок</t>
  </si>
  <si>
    <t>79874411441 - Входящий звонок</t>
  </si>
  <si>
    <t>79370798787 - Входящий звонок</t>
  </si>
  <si>
    <t>79277337199 - Входящий звонок</t>
  </si>
  <si>
    <t>Антон Шлыков - Открытая линия Левша</t>
  </si>
  <si>
    <t>Шлыков</t>
  </si>
  <si>
    <t>79276000257 - Входящий звонок</t>
  </si>
  <si>
    <t xml:space="preserve">снятие наклеек </t>
  </si>
  <si>
    <t>79171154014 - Входящий звонок</t>
  </si>
  <si>
    <t>пленка на кузов</t>
  </si>
  <si>
    <t xml:space="preserve">Наталья </t>
  </si>
  <si>
    <t xml:space="preserve">изменение цвета в автомобиле </t>
  </si>
  <si>
    <t>пленка на капот крышу и фары</t>
  </si>
  <si>
    <t xml:space="preserve">Людмила </t>
  </si>
  <si>
    <t>пленка под ручками</t>
  </si>
  <si>
    <t>79874382499 - Входящий звонок</t>
  </si>
  <si>
    <t>79277285838 - Входящий звонок</t>
  </si>
  <si>
    <t>79372061817 - Входящий звонок</t>
  </si>
  <si>
    <t>пленка звонок с Авито</t>
  </si>
  <si>
    <t>79277762688 - Входящий звонок</t>
  </si>
  <si>
    <t>79179405793 - Входящий звонок</t>
  </si>
  <si>
    <t>78462696461 - Входящий звонок</t>
  </si>
  <si>
    <t>79277496038 - Входящий звонок</t>
  </si>
  <si>
    <t>79031462211 - Входящий звонок</t>
  </si>
  <si>
    <t>79142318656 - Входящий звонок</t>
  </si>
  <si>
    <t>Роман Петров - Открытая линия Левша</t>
  </si>
  <si>
    <t>Петров</t>
  </si>
  <si>
    <t>79871581318 - Входящий звонок</t>
  </si>
  <si>
    <t xml:space="preserve">пленка на капот своя\ полоса на капот </t>
  </si>
  <si>
    <t>поенку на двери переклеить</t>
  </si>
  <si>
    <t xml:space="preserve">пленка наверное </t>
  </si>
  <si>
    <t>+7 927 261-12-11</t>
  </si>
  <si>
    <t>Дмитрий Джафаров - Открытая линия Левша</t>
  </si>
  <si>
    <t>Джафаров</t>
  </si>
  <si>
    <t xml:space="preserve">винил </t>
  </si>
  <si>
    <t>пленка и покрытие</t>
  </si>
  <si>
    <t>защита кузова</t>
  </si>
  <si>
    <t xml:space="preserve"> звонокзаклеить вставки на руле пленкой</t>
  </si>
  <si>
    <t>пленка на морду</t>
  </si>
  <si>
    <t>оклеить автомобиль пленкой цена</t>
  </si>
  <si>
    <t>атермальная пленка</t>
  </si>
  <si>
    <t>Пётр</t>
  </si>
  <si>
    <t>79279043364 - Исходящий звонок</t>
  </si>
  <si>
    <t>79370690263 - Входящий звонок</t>
  </si>
  <si>
    <t>79171256317 - Входящий звонок</t>
  </si>
  <si>
    <t>79171636150 - Входящий звонок</t>
  </si>
  <si>
    <t>79270066166 - Исходящий звонок</t>
  </si>
  <si>
    <t>79277962381 - Входящий звонок</t>
  </si>
  <si>
    <t>+7 937 200-92-55 - Открытая линия Левша</t>
  </si>
  <si>
    <t>+7 937 200-92-55</t>
  </si>
  <si>
    <t>полировка авто</t>
  </si>
  <si>
    <t>79276570505 - Входящий звонок</t>
  </si>
  <si>
    <t>оклеить часть окрашенного бампера</t>
  </si>
  <si>
    <t>79178184524 - Входящий звонок</t>
  </si>
  <si>
    <t>79397075445 - Входящий звонок</t>
  </si>
  <si>
    <t>пленка на джили коурей</t>
  </si>
  <si>
    <t>zheleznovgroup</t>
  </si>
  <si>
    <t>79170324777 - Входящий звонок</t>
  </si>
  <si>
    <t>79636183131 - Входящий звонок</t>
  </si>
  <si>
    <t>Шатов</t>
  </si>
  <si>
    <t xml:space="preserve">яхта пленка на выезд </t>
  </si>
  <si>
    <t>79674827949 - Входящий звонок</t>
  </si>
  <si>
    <t>R@ - Открытая линия Левша</t>
  </si>
  <si>
    <t>R@</t>
  </si>
  <si>
    <t>забронировать пленкой автомобиль</t>
  </si>
  <si>
    <t>79270021732 - Входящий звонок</t>
  </si>
  <si>
    <t>пленка на капот элантра 2006г.</t>
  </si>
  <si>
    <t xml:space="preserve">Pajero Sport333 - рен пленка </t>
  </si>
  <si>
    <t>79277333767 - Входящий звонок</t>
  </si>
  <si>
    <t>79272076065 - Входящий звонок</t>
  </si>
  <si>
    <t>79061453652 - Входящий звонок</t>
  </si>
  <si>
    <t>Асатур - Открытая линия Левша</t>
  </si>
  <si>
    <t>Асатур</t>
  </si>
  <si>
    <t>79277616421 - Входящий звонок</t>
  </si>
  <si>
    <t>79272013019 - Входящий звонок</t>
  </si>
  <si>
    <t>Мария Афанасьева - Открытая линия Левша</t>
  </si>
  <si>
    <t>Афанасьева</t>
  </si>
  <si>
    <t>79277167733 - Входящий звонок</t>
  </si>
  <si>
    <t>79277409197 - Входящий звонок</t>
  </si>
  <si>
    <t>79871604577 - Входящий звонок</t>
  </si>
  <si>
    <t>Мария Шеина</t>
  </si>
  <si>
    <t>пленка на мото</t>
  </si>
  <si>
    <t>79270096024 - Входящий звонок</t>
  </si>
  <si>
    <t>пленка в х7</t>
  </si>
  <si>
    <t>audi q7 пленка</t>
  </si>
  <si>
    <t>78469797086 - Входящий звонок</t>
  </si>
  <si>
    <t>79626022122 - Входящий звонок</t>
  </si>
  <si>
    <t>Х7 полная оклейка</t>
  </si>
  <si>
    <t>Gery Tigo8 Pro Max нанесение защитной пленки</t>
  </si>
  <si>
    <t>Вова</t>
  </si>
  <si>
    <t>Евстигнеев</t>
  </si>
  <si>
    <t>79179511858 - Входящий звонок</t>
  </si>
  <si>
    <t>ООО - Открытая линия Левша</t>
  </si>
  <si>
    <t>ООО</t>
  </si>
  <si>
    <t>79171013589 - Входящий звонок</t>
  </si>
  <si>
    <t>79171666093 - Входящий звонок</t>
  </si>
  <si>
    <t>пленка стандарт звонок с Авито</t>
  </si>
  <si>
    <t>79109645267 - Входящий звонок</t>
  </si>
  <si>
    <t>79277722044 - Входящий звонок</t>
  </si>
  <si>
    <t>полная на кадилак</t>
  </si>
  <si>
    <t>79379824939 - Входящий звонок</t>
  </si>
  <si>
    <t>79824373606 - Входящий звонок</t>
  </si>
  <si>
    <t>79370620549 - Входящий звонок</t>
  </si>
  <si>
    <t>винил сн\ть и наклейки наклеитиь</t>
  </si>
  <si>
    <t>79270011910 - Входящий звонок</t>
  </si>
  <si>
    <t>снятие пленки, полировка и хим локальная</t>
  </si>
  <si>
    <t>Куимов</t>
  </si>
  <si>
    <t>вело в пленку</t>
  </si>
  <si>
    <t>Пленка на ВЕЛО общался с ним</t>
  </si>
  <si>
    <t>Иванушкин</t>
  </si>
  <si>
    <t>79276528030 - Входящий звонок</t>
  </si>
  <si>
    <t>Пленка на LC 300</t>
  </si>
  <si>
    <t>Тагир</t>
  </si>
  <si>
    <t>79050147540 - Входящий звонок</t>
  </si>
  <si>
    <t>79277654272 - Входящий звонок</t>
  </si>
  <si>
    <t>Fadi Alsalem - Открытая линия Левша</t>
  </si>
  <si>
    <t>Fadi</t>
  </si>
  <si>
    <t>Alsalem</t>
  </si>
  <si>
    <t>79874300989 - Входящий звонок</t>
  </si>
  <si>
    <t>79171179903 - Входящий звонок</t>
  </si>
  <si>
    <t>притонирование фар</t>
  </si>
  <si>
    <t>79277153050 - Входящий звонок</t>
  </si>
  <si>
    <t>79270029046 - Исходящий звонок</t>
  </si>
  <si>
    <t xml:space="preserve">Екатерина </t>
  </si>
  <si>
    <t xml:space="preserve">крыша в черн. Sonata </t>
  </si>
  <si>
    <t>переклеить бампер зад.</t>
  </si>
  <si>
    <t>оклейка центральной консоли в салоне Exceed</t>
  </si>
  <si>
    <t>79136095581 - Входящий звонок</t>
  </si>
  <si>
    <t>79613872550 - Входящий звонок</t>
  </si>
  <si>
    <t>79377930896 - Входящий звонок</t>
  </si>
  <si>
    <t>79297028888 - Входящий звонок</t>
  </si>
  <si>
    <t>79871592371 - Входящий звонок</t>
  </si>
  <si>
    <t>79171424343 - Входящий звонок</t>
  </si>
  <si>
    <t>защитной пленкой велосипед заклеить</t>
  </si>
  <si>
    <t>79270029046 - Входящий звонок</t>
  </si>
  <si>
    <t>пленка на китайца</t>
  </si>
  <si>
    <t>пленка на LC300</t>
  </si>
  <si>
    <t>Ирина Чернова - Открытая линия Левша</t>
  </si>
  <si>
    <t>Чернова</t>
  </si>
  <si>
    <t>наклеить пленку на автомобиль</t>
  </si>
  <si>
    <t>капот, пороги, передние крылья (арки), багажник где номер Дастер и подкрасить сколы</t>
  </si>
  <si>
    <t>винил</t>
  </si>
  <si>
    <t>Алексей Беляков - Открытая линия Левша</t>
  </si>
  <si>
    <t>Беляков</t>
  </si>
  <si>
    <t>microkomment</t>
  </si>
  <si>
    <t>vmyatin</t>
  </si>
  <si>
    <t>пленка на пороги</t>
  </si>
  <si>
    <t>Vahag (Lupentoo Jewelry) - Открытая линия Левша</t>
  </si>
  <si>
    <t>Vahag (Lupentoo Jewelry)</t>
  </si>
  <si>
    <t>79879549970 - Входящий звонок</t>
  </si>
  <si>
    <t>пленка на фары</t>
  </si>
  <si>
    <t>sorento603 - просека пленка кузов/стекло бронь</t>
  </si>
  <si>
    <t>79270119165 - Входящий звонок</t>
  </si>
  <si>
    <t>79276927782 - Входящий звонок</t>
  </si>
  <si>
    <t>защитная пленка на монитор Эксида</t>
  </si>
  <si>
    <t>79277462007 - Входящий звонок</t>
  </si>
  <si>
    <t>79272605377 - Входящий звонок</t>
  </si>
  <si>
    <t>79272664520 - Входящий звонок</t>
  </si>
  <si>
    <t>Артём Шухмин - Открытая линия Левша</t>
  </si>
  <si>
    <t>Шухмин</t>
  </si>
  <si>
    <t>тахо в пленку целиком</t>
  </si>
  <si>
    <t>пленка цветная</t>
  </si>
  <si>
    <t>79276588800 - Входящий звонок</t>
  </si>
  <si>
    <t>Александр Марцев</t>
  </si>
  <si>
    <t>79277070711 - Входящий звонок</t>
  </si>
  <si>
    <t>79877701001 - Входящий звонок</t>
  </si>
  <si>
    <t>пленка черная на крышу</t>
  </si>
  <si>
    <t>прадо новый пленкаа</t>
  </si>
  <si>
    <t>Infiniti783 - рен пленка</t>
  </si>
  <si>
    <t>79171132076 - Входящий звонок</t>
  </si>
  <si>
    <t>демонтаж пленки</t>
  </si>
  <si>
    <t>79376502254 - Входящий звонок</t>
  </si>
  <si>
    <t>79372375965 - Входящий звонок</t>
  </si>
  <si>
    <t>79899733022 - Входящий звонок</t>
  </si>
  <si>
    <t>79198025225 - Входящий звонок</t>
  </si>
  <si>
    <t>бампер пленка</t>
  </si>
  <si>
    <t>rolls royce hulinam пленка</t>
  </si>
  <si>
    <t>79370606006 - Исходящий звонок</t>
  </si>
  <si>
    <t>79879573538 - Входящий звонок</t>
  </si>
  <si>
    <t>79013433702 - Входящий звонок</t>
  </si>
  <si>
    <t>79372052075 - Входящий звонок</t>
  </si>
  <si>
    <t>79171622131 - Входящий звонок</t>
  </si>
  <si>
    <t>Гелик, доклеить, что не заклеено</t>
  </si>
  <si>
    <t>79270151991 - Входящий звонок</t>
  </si>
  <si>
    <t>Гелик доклеить, что не оклеено, Эскалейд то же самое</t>
  </si>
  <si>
    <t>79588413244 - Входящий звонок</t>
  </si>
  <si>
    <t>79372058214 - Входящий звонок</t>
  </si>
  <si>
    <t>79371701831 - Входящий звонок</t>
  </si>
  <si>
    <t>79178187007 - Входящий звонок</t>
  </si>
  <si>
    <t>79276951963 - Входящий звонок</t>
  </si>
  <si>
    <t>Павел - Открытая линия Левша</t>
  </si>
  <si>
    <t>79674809368 - Входящий звонок</t>
  </si>
  <si>
    <t>79179486775 - Входящий звонок</t>
  </si>
  <si>
    <t>Z</t>
  </si>
  <si>
    <t>винил на бумер</t>
  </si>
  <si>
    <t>79875033337 - Входящий звонок</t>
  </si>
  <si>
    <t>79172547824 - Входящий звонок</t>
  </si>
  <si>
    <t xml:space="preserve">Pilot Honda </t>
  </si>
  <si>
    <t>79372025100 - Входящий звонок</t>
  </si>
  <si>
    <t>пленка капот и крылья БМВ 5</t>
  </si>
  <si>
    <t xml:space="preserve">пленка на крышу </t>
  </si>
  <si>
    <t xml:space="preserve">пленка на каен </t>
  </si>
  <si>
    <t>79277271800 - Входящий звонок</t>
  </si>
  <si>
    <t xml:space="preserve">Пленка на кузов </t>
  </si>
  <si>
    <t>Дубровин</t>
  </si>
  <si>
    <t>оклейка Тугела</t>
  </si>
  <si>
    <t xml:space="preserve">полоса на капот </t>
  </si>
  <si>
    <t>Риф</t>
  </si>
  <si>
    <t>79991728352 - Входящий звонок</t>
  </si>
  <si>
    <t>Рафаиль - Открытая линия Левша</t>
  </si>
  <si>
    <t>Рафаиль</t>
  </si>
  <si>
    <t>79639133913 - Входящий звонок</t>
  </si>
  <si>
    <t>79171512764 - Входящий звонок</t>
  </si>
  <si>
    <t>79171424470 - Входящий звонок</t>
  </si>
  <si>
    <t>Никита - Открытая линия Левша</t>
  </si>
  <si>
    <t>79171455501 - Входящий звонок</t>
  </si>
  <si>
    <t>79279071694 - Исходящий звонок</t>
  </si>
  <si>
    <t>тонирование фар</t>
  </si>
  <si>
    <t>79171094848 - Входящий звонок</t>
  </si>
  <si>
    <t>Паша Берилл - Открытая линия Левша</t>
  </si>
  <si>
    <t>Паша</t>
  </si>
  <si>
    <t>Берилл</t>
  </si>
  <si>
    <t>Андрей - Открытая линия Левша</t>
  </si>
  <si>
    <t>решотка покраска</t>
  </si>
  <si>
    <t>79270186957 - Входящий звонок</t>
  </si>
  <si>
    <t>Дмитрий Митрофанов - Открытая линия Левша</t>
  </si>
  <si>
    <t>Митрофанов</t>
  </si>
  <si>
    <t xml:space="preserve">хамалеон клеим? </t>
  </si>
  <si>
    <t>79171025827 - Входящий звонок</t>
  </si>
  <si>
    <t>пленка на капот</t>
  </si>
  <si>
    <t xml:space="preserve">тонирование задних фар </t>
  </si>
  <si>
    <t>пленка в матовую</t>
  </si>
  <si>
    <t>пленка га KIA</t>
  </si>
  <si>
    <t>79277776137 - Входящий звонок</t>
  </si>
  <si>
    <t>заклеить фасады детской мебели</t>
  </si>
  <si>
    <t>79674855766 - Входящий звонок</t>
  </si>
  <si>
    <t>79276093601 - Входящий звонок</t>
  </si>
  <si>
    <t>79171104670 - Входящий звонок</t>
  </si>
  <si>
    <t>тонировка и салон лекало</t>
  </si>
  <si>
    <t>79228838444 - Входящий звонок</t>
  </si>
  <si>
    <t>79277091577 - Входящий звонок</t>
  </si>
  <si>
    <t>79033086441 - Входящий звонок</t>
  </si>
  <si>
    <t>цена винила</t>
  </si>
  <si>
    <t>Дмитриевич</t>
  </si>
  <si>
    <t>пленка капот</t>
  </si>
  <si>
    <t>79277585688 - Входящий звонок</t>
  </si>
  <si>
    <t>79770726488 - Входящий звонок</t>
  </si>
  <si>
    <t>Лилия Огаркова - Открытая линия Левша</t>
  </si>
  <si>
    <t>Лилия</t>
  </si>
  <si>
    <t>Огаркова</t>
  </si>
  <si>
    <t>пленка крыша</t>
  </si>
  <si>
    <t>79276949421 - Входящий звонок</t>
  </si>
  <si>
    <t>79370600395 - Входящий звонок</t>
  </si>
  <si>
    <t>две двери в керамиук нанести</t>
  </si>
  <si>
    <t>79277644858 - Входящий звонок</t>
  </si>
  <si>
    <t>79991719732 - Входящий звонок</t>
  </si>
  <si>
    <t>79272055040 - Входящий звонок</t>
  </si>
  <si>
    <t>цветная пленка</t>
  </si>
  <si>
    <t>Корвус</t>
  </si>
  <si>
    <t>Сан</t>
  </si>
  <si>
    <t>79270144267 - Входящий звонок</t>
  </si>
  <si>
    <t>пленка и антидождь</t>
  </si>
  <si>
    <t>Михаил Сергеев - Открытая линия Левша</t>
  </si>
  <si>
    <t>Сергеев</t>
  </si>
  <si>
    <t>пленка на пороги Рио</t>
  </si>
  <si>
    <t>Пленка тонировка и ШМ</t>
  </si>
  <si>
    <t>Винил</t>
  </si>
  <si>
    <t xml:space="preserve">Галина Винил Китаец </t>
  </si>
  <si>
    <t>Анатолий Красный Тайкан Порш - Открытая линия Левша</t>
  </si>
  <si>
    <t>Анатолий Красный Тайкан Порш</t>
  </si>
  <si>
    <t>78462795530 - Входящий звонок</t>
  </si>
  <si>
    <t>снять пленку с бампера</t>
  </si>
  <si>
    <t>79277602222 - Входящий звонок</t>
  </si>
  <si>
    <t>79179579706 - Входящий звонок</t>
  </si>
  <si>
    <t>пленка на фары CX-5</t>
  </si>
  <si>
    <t>79874517210 - Входящий звонок</t>
  </si>
  <si>
    <t>79608295565 - Входящий звонок</t>
  </si>
  <si>
    <t>пленка капот полоса и фары</t>
  </si>
  <si>
    <t>79297012030 - Входящий звонок</t>
  </si>
  <si>
    <t>79272083123 - Входящий звонок</t>
  </si>
  <si>
    <t>79171502493 - Входящий звонок</t>
  </si>
  <si>
    <t>79371744785 - Входящий звонок</t>
  </si>
  <si>
    <t>пленка на макан</t>
  </si>
  <si>
    <t>пленка на капот полоса</t>
  </si>
  <si>
    <t xml:space="preserve">Николай </t>
  </si>
  <si>
    <t>фара пленка</t>
  </si>
  <si>
    <t>винил в салоне</t>
  </si>
  <si>
    <t>79276890805 - Входящий звонок</t>
  </si>
  <si>
    <t>79149000795 - Входящий звонок</t>
  </si>
  <si>
    <t>79998610602 - Входящий звонок</t>
  </si>
  <si>
    <t>79276162621 - Входящий звонок</t>
  </si>
  <si>
    <t>79272053234 - Входящий звонок</t>
  </si>
  <si>
    <t>Оклейка велосипеда</t>
  </si>
  <si>
    <t>пленка на мазду в круг</t>
  </si>
  <si>
    <t>89272003488 - Входящий звонок</t>
  </si>
  <si>
    <t xml:space="preserve">Вячеслав </t>
  </si>
  <si>
    <t>78462707800 - Входящий звонок</t>
  </si>
  <si>
    <t>79378822771 - Входящий звонок</t>
  </si>
  <si>
    <t>Denis Avachev - Открытая линия Левша</t>
  </si>
  <si>
    <t>Avachev</t>
  </si>
  <si>
    <t>79061266111 - Входящий звонок</t>
  </si>
  <si>
    <t xml:space="preserve">пленка на exeed полная </t>
  </si>
  <si>
    <t>79879078848 - Входящий звонок</t>
  </si>
  <si>
    <t>Обклейка винилом 2109</t>
  </si>
  <si>
    <t xml:space="preserve">Михаил Ваз Облеить Думает Под Оекламу </t>
  </si>
  <si>
    <t>Гелик 2020 года пленка или полировка-защитки</t>
  </si>
  <si>
    <t>79276882078 - Входящий звонок</t>
  </si>
  <si>
    <t>79277317127 - Входящий звонок</t>
  </si>
  <si>
    <t>обтянуть крышу</t>
  </si>
  <si>
    <t>антигравийная пленка</t>
  </si>
  <si>
    <t>Станислав Исаков</t>
  </si>
  <si>
    <t>79033027959 - Входящий звонок</t>
  </si>
  <si>
    <t>79272643418 - Исходящий звонок</t>
  </si>
  <si>
    <t>78465525001 - Входящий звонок</t>
  </si>
  <si>
    <t>79033010100 - Входящий звонок</t>
  </si>
  <si>
    <t>Александр Майоров - Открытая линия Левша</t>
  </si>
  <si>
    <t>Майоров</t>
  </si>
  <si>
    <t>79203666605 - Входящий звонок</t>
  </si>
  <si>
    <t>79171078787 - Входящий звонок</t>
  </si>
  <si>
    <t>79272652515 - Входящий звонок</t>
  </si>
  <si>
    <t>79649886687 - Входящий звонок</t>
  </si>
  <si>
    <t>ищет пленку самоклеющуюся</t>
  </si>
  <si>
    <t>Виниловая пленка</t>
  </si>
  <si>
    <t>Максим Бмв 4 Пленка</t>
  </si>
  <si>
    <t>+7 927 729-65-01 - Открытая линия Левша</t>
  </si>
  <si>
    <t>+7 927 729-65-01</t>
  </si>
  <si>
    <t>пленка стандарт и броня на лоб</t>
  </si>
  <si>
    <t>мойка 22.01.2023 и вырезать вин</t>
  </si>
  <si>
    <t>79276560262 - Входящий звонок</t>
  </si>
  <si>
    <t>LC 300 полностью в пленку на организацию</t>
  </si>
  <si>
    <t>Xpander Cross в пленку</t>
  </si>
  <si>
    <t>Х5 затонировать и морду в пленку, юр.лицо</t>
  </si>
  <si>
    <t>Audi Q7 4M полностью в пленку</t>
  </si>
  <si>
    <t>Макан в пленку капот</t>
  </si>
  <si>
    <t>повредили молдинги после оклейки</t>
  </si>
  <si>
    <t>Королла оклейка салона</t>
  </si>
  <si>
    <t>Пленка GLC повредили пленку на крыле и фаре, нужен демонтаж и новая оклейка</t>
  </si>
  <si>
    <t>TRX целиком</t>
  </si>
  <si>
    <t>черной пленкой затянуть зеркала Паджеро</t>
  </si>
  <si>
    <t>бронирование стекла и капота, ошибся городом Чери Тигго 7 ПРО</t>
  </si>
  <si>
    <t>Вольво 90 передок в пленку</t>
  </si>
  <si>
    <t>Надежда Чебанова - Открытая линия Левша</t>
  </si>
  <si>
    <t>Чебанова</t>
  </si>
  <si>
    <t xml:space="preserve">Пленка полностью на мерседес G63 </t>
  </si>
  <si>
    <t>пленка на кузов РР</t>
  </si>
  <si>
    <t>Вера</t>
  </si>
  <si>
    <t>гибридная пленка</t>
  </si>
  <si>
    <t>пленка и тонировка Тиго 8</t>
  </si>
  <si>
    <t>79277537610 - Входящий звонок</t>
  </si>
  <si>
    <t>гранта зоны риска</t>
  </si>
  <si>
    <t>антигравийная пленка Creta</t>
  </si>
  <si>
    <t>Гелик без номеров на оклейку</t>
  </si>
  <si>
    <t>оклейка вставок в салоне</t>
  </si>
  <si>
    <t>79879485488 - Входящий звонок</t>
  </si>
  <si>
    <t>Артем Кузнецов - Открытая линия Левша</t>
  </si>
  <si>
    <t>79277080600 - Входящий звонок</t>
  </si>
  <si>
    <t>79869500909 - Входящий звонок</t>
  </si>
  <si>
    <t>вячеслав</t>
  </si>
  <si>
    <t>пороги на октивии а5</t>
  </si>
  <si>
    <t>полная оклейка винилом Ауди А5</t>
  </si>
  <si>
    <t>пленка на мотоцикл на пластиковые</t>
  </si>
  <si>
    <t>79277153338 - Исходящий звонок</t>
  </si>
  <si>
    <t>Изобретательный Денис</t>
  </si>
  <si>
    <t>79272969800 - Входящий звонок</t>
  </si>
  <si>
    <t>79296146761 - Исходящий звонок</t>
  </si>
  <si>
    <t>Юнес Ильясов</t>
  </si>
  <si>
    <t>79142899064 - Входящий звонок</t>
  </si>
  <si>
    <t>79276992116 - Входящий звонок</t>
  </si>
  <si>
    <t>Mercedes GLC</t>
  </si>
  <si>
    <t>Семен Семенов - Открытая линия Левша</t>
  </si>
  <si>
    <t>Семен</t>
  </si>
  <si>
    <t>Семенов</t>
  </si>
  <si>
    <t>79270004183 - Входящий звонок</t>
  </si>
  <si>
    <t>79953441715 - Входящий звонок</t>
  </si>
  <si>
    <t>79292960775 - Входящий звонок</t>
  </si>
  <si>
    <t>79171018000 - Входящий звонок</t>
  </si>
  <si>
    <t xml:space="preserve">Мераб </t>
  </si>
  <si>
    <t>Ниссан Х-Трейл стойки и полоска на крышу</t>
  </si>
  <si>
    <t>79228111577 - Входящий звонок</t>
  </si>
  <si>
    <t>Эльнур Кяримов - Открытая линия Левша</t>
  </si>
  <si>
    <t>Эльнур</t>
  </si>
  <si>
    <t>Кяримов</t>
  </si>
  <si>
    <t>крыша в черный глянец</t>
  </si>
  <si>
    <t>Vadim</t>
  </si>
  <si>
    <t>гидроцикл в пленку</t>
  </si>
  <si>
    <t>зеркала в глянец</t>
  </si>
  <si>
    <t>Vyacheslav Kostyunin - Открытая линия Левша</t>
  </si>
  <si>
    <t>Vyacheslav</t>
  </si>
  <si>
    <t>Kostyunin</t>
  </si>
  <si>
    <t>79276001922 - Входящий звонок</t>
  </si>
  <si>
    <t xml:space="preserve">Ратмир </t>
  </si>
  <si>
    <t>79379916015 - Входящий звонок</t>
  </si>
  <si>
    <t>Пле</t>
  </si>
  <si>
    <t>Хавал Ф7Х оклейка частичная</t>
  </si>
  <si>
    <t>антигрвийная пленка</t>
  </si>
  <si>
    <t>Виталий Бондаренко - Открытая линия Левша</t>
  </si>
  <si>
    <t>Бондаренко</t>
  </si>
  <si>
    <t>ноутбук обтянуть пленкой</t>
  </si>
  <si>
    <t>капот, бампер, фары ГЛЦ</t>
  </si>
  <si>
    <t>79022909251 - Входящий звонок</t>
  </si>
  <si>
    <t>79277774758 - Входящий звонок</t>
  </si>
  <si>
    <t>79277251541 - Входящий звонок</t>
  </si>
  <si>
    <t>79608492547 - Входящий звонок</t>
  </si>
  <si>
    <t>79033011010 - Входящий звонок</t>
  </si>
  <si>
    <t>броня на боковые стекла</t>
  </si>
  <si>
    <t xml:space="preserve">пленка на тойоту </t>
  </si>
  <si>
    <t>+7 929 702-41-71</t>
  </si>
  <si>
    <t>Камри 70 и Киа Рио крышу в черную пленку</t>
  </si>
  <si>
    <t>79277176307 - Входящий звонок</t>
  </si>
  <si>
    <t>пленка на крышу черный глянец</t>
  </si>
  <si>
    <t>Обратный звонок</t>
  </si>
  <si>
    <t>оклейка кузова пленкой</t>
  </si>
  <si>
    <t>79372011102 - Входящий звонок</t>
  </si>
  <si>
    <t>Андрей Цедрик - Открытая линия Левша</t>
  </si>
  <si>
    <t>Цедрик</t>
  </si>
  <si>
    <t>79879560517 - Входящий звонок</t>
  </si>
  <si>
    <t>79276077763 - Входящий звонок</t>
  </si>
  <si>
    <t>Новую Гранту в пленку</t>
  </si>
  <si>
    <t>Amigo163 - Открытая линия Левша</t>
  </si>
  <si>
    <t>Amigo163</t>
  </si>
  <si>
    <t>79171109399 - Входящий звонок</t>
  </si>
  <si>
    <t>79277595750 - Входящий звонок</t>
  </si>
  <si>
    <t>79051197755 - Входящий звонок</t>
  </si>
  <si>
    <t>79376481253 - Входящий звонок</t>
  </si>
  <si>
    <t>79277569989 - Входящий звонок</t>
  </si>
  <si>
    <t>+7 960 845-12-02 - Открытая линия Левша</t>
  </si>
  <si>
    <t>+7 960 845-12-02</t>
  </si>
  <si>
    <t>Салох - Открытая линия Левша</t>
  </si>
  <si>
    <t>Салох</t>
  </si>
  <si>
    <t>пленка винил на крышу</t>
  </si>
  <si>
    <t>пленка на РАФ4</t>
  </si>
  <si>
    <t>наклейка на крышу</t>
  </si>
  <si>
    <t>79198056088 - Входящий звонок</t>
  </si>
  <si>
    <t>79869534904 - Входящий звонок</t>
  </si>
  <si>
    <t>79272995767 - Входящий звонок</t>
  </si>
  <si>
    <t>79277500109 - Входящий звонок</t>
  </si>
  <si>
    <t>79277059464 - Входящий звонок</t>
  </si>
  <si>
    <t>79222550022 - Исходящий звонок</t>
  </si>
  <si>
    <t>79270205006 - Входящий звонок</t>
  </si>
  <si>
    <t>г-жа</t>
  </si>
  <si>
    <t>79272672145 - Входящий звонок</t>
  </si>
  <si>
    <t>79171503765 - Входящий звонок</t>
  </si>
  <si>
    <t>78412292659 - Исходящий звонок</t>
  </si>
  <si>
    <t>79171129849 - Входящий звонок</t>
  </si>
  <si>
    <t>79947777771 - Входящий звонок</t>
  </si>
  <si>
    <t>Sheptunof</t>
  </si>
  <si>
    <t>Оклейка винилом</t>
  </si>
  <si>
    <t>константин</t>
  </si>
  <si>
    <t>тонировка, пленка</t>
  </si>
  <si>
    <t>Егор Яковлев - Открытая линия Левша</t>
  </si>
  <si>
    <t>Яковлев</t>
  </si>
  <si>
    <t>Пленка на кузов</t>
  </si>
  <si>
    <t>Марат</t>
  </si>
  <si>
    <t>79277551804 - Входящий звонок</t>
  </si>
  <si>
    <t>79198052414 - Исходящий звонок</t>
  </si>
  <si>
    <t>79879236135 - Исходящий звонок</t>
  </si>
  <si>
    <t>79879891402 - Входящий звонок</t>
  </si>
  <si>
    <t>Герман Поверенов - Открытая линия Левша</t>
  </si>
  <si>
    <t>Поверенов</t>
  </si>
  <si>
    <t>оклейка автомобиля пленкой</t>
  </si>
  <si>
    <t>79308984588 - Входящий звонок</t>
  </si>
  <si>
    <t>79276038929 - Входящий звонок</t>
  </si>
  <si>
    <t>79277088856 - Входящий звонок</t>
  </si>
  <si>
    <t>79256207263 - Входящий звонок</t>
  </si>
  <si>
    <t>79276188895 - Входящий звонок</t>
  </si>
  <si>
    <t>Вадим Доценко - Открытая линия Левша</t>
  </si>
  <si>
    <t>Доценко</t>
  </si>
  <si>
    <t>79120769443 - Входящий звонок</t>
  </si>
  <si>
    <t>79171075753 - Входящий звонок</t>
  </si>
  <si>
    <t>79235205559 - Входящий звонок</t>
  </si>
  <si>
    <t>78469250454 - Входящий звонок</t>
  </si>
  <si>
    <t>78469998569 - Входящий звонок</t>
  </si>
  <si>
    <t>79270007046 - Входящий звонок</t>
  </si>
  <si>
    <t>Пленка:Капот,</t>
  </si>
  <si>
    <t>Петр</t>
  </si>
  <si>
    <t>Архипов</t>
  </si>
  <si>
    <t>79277000418 - Входящий звонок</t>
  </si>
  <si>
    <t>Пленка винил</t>
  </si>
  <si>
    <t>Аквастиль63</t>
  </si>
  <si>
    <t>79370603884 - Входящий звонок</t>
  </si>
  <si>
    <t>Дарья Петрусь - Открытая линия Левша</t>
  </si>
  <si>
    <t>Петрусь</t>
  </si>
  <si>
    <t>79613834545 - Входящий звонок</t>
  </si>
  <si>
    <t>79397000000 - Входящий звонок</t>
  </si>
  <si>
    <t>мойка, антигравийная пленка</t>
  </si>
  <si>
    <t>79171444497 - Входящий звонок</t>
  </si>
  <si>
    <t xml:space="preserve">Пленка на заднее крыло </t>
  </si>
  <si>
    <t>79371891967 - Входящий звонок</t>
  </si>
  <si>
    <t>79270295888 - Входящий звонок</t>
  </si>
  <si>
    <t>Юрий - Открытая линия Левша</t>
  </si>
  <si>
    <t>79372151222 - Входящий звонок</t>
  </si>
  <si>
    <t>не компания - Открытая линия Левша</t>
  </si>
  <si>
    <t>не</t>
  </si>
  <si>
    <t>79163374795 - Входящий звонок</t>
  </si>
  <si>
    <t>78462271834 - Входящий звонок</t>
  </si>
  <si>
    <t>+7 937 171-24-34 - Открытая линия Левша</t>
  </si>
  <si>
    <t>+7 937 171-24-34</t>
  </si>
  <si>
    <t>оклейка авто пленкой</t>
  </si>
  <si>
    <t>79277033063 - Входящий звонок</t>
  </si>
  <si>
    <t>79198081173 - Входящий звонок</t>
  </si>
  <si>
    <t>79277032360 - Входящий звонок</t>
  </si>
  <si>
    <t>антигравийная пленка, тонировка, мягкая полировка, керамика</t>
  </si>
  <si>
    <t>79171515115 - Входящий звонок</t>
  </si>
  <si>
    <t>79371769029 - Входящий звонок</t>
  </si>
  <si>
    <t>79198002197 - Входящий звонок</t>
  </si>
  <si>
    <t>Артур Антипов - Открытая линия Левша</t>
  </si>
  <si>
    <t>Антипов</t>
  </si>
  <si>
    <t>79270230042 - Входящий звонок</t>
  </si>
  <si>
    <t>79276549994 - Входящий звонок</t>
  </si>
  <si>
    <t>79272074800 - Входящий звонок</t>
  </si>
  <si>
    <t>79328477777 - Входящий звонок</t>
  </si>
  <si>
    <t>79277516066 - Входящий звонок</t>
  </si>
  <si>
    <t xml:space="preserve">Пленка на бампер </t>
  </si>
  <si>
    <t>+7 988 952-32-17 - Открытая линия Левша</t>
  </si>
  <si>
    <t>+7 988 952-32-17</t>
  </si>
  <si>
    <t>79272609312 - Входящий звонок</t>
  </si>
  <si>
    <t>79179664000 - Входящий звонок</t>
  </si>
  <si>
    <t>Денис Баринов - Открытая линия Левша</t>
  </si>
  <si>
    <t>Баринов</t>
  </si>
  <si>
    <t>обклейка пленкой</t>
  </si>
  <si>
    <t>Василий Самсонов - Открытая линия Левша</t>
  </si>
  <si>
    <t>79171058236 - Входящий звонок</t>
  </si>
  <si>
    <t>79276195555 - Входящий звонок</t>
  </si>
  <si>
    <t>79171684667 - Входящий звонок</t>
  </si>
  <si>
    <t>покраска бампера, антигравийная пленка, мойка</t>
  </si>
  <si>
    <t>79270065346 - Входящий звонок</t>
  </si>
  <si>
    <t>+7 922 540-88-77 - Открытая линия Левша</t>
  </si>
  <si>
    <t>+7 922 540-88-77</t>
  </si>
  <si>
    <t>79171433831 - Входящий звонок</t>
  </si>
  <si>
    <t>79372037650 - Входящий звонок</t>
  </si>
  <si>
    <t>79879101390 - Входящий звонок</t>
  </si>
  <si>
    <t>79023754317 - Входящий звонок</t>
  </si>
  <si>
    <t>73432553795 - Входящий звонок</t>
  </si>
  <si>
    <t>Юлия - Открытая линия Левша</t>
  </si>
  <si>
    <t>79376408148 - Входящий звонок</t>
  </si>
  <si>
    <t>79279064479 - Входящий звонок</t>
  </si>
  <si>
    <t>Игорь Гнеденко - Открытая линия Левша</t>
  </si>
  <si>
    <t>Гнеденко</t>
  </si>
  <si>
    <t>79277040006 - Входящий звонок</t>
  </si>
  <si>
    <t>Ян - Открытая линия Левша</t>
  </si>
  <si>
    <t>79277015801 - Входящий звонок</t>
  </si>
  <si>
    <t>79963413255 - Входящий звонок</t>
  </si>
  <si>
    <t xml:space="preserve">Анатолий </t>
  </si>
  <si>
    <t>79276529925 - Входящий звонок</t>
  </si>
  <si>
    <t>Пленка на крышу</t>
  </si>
  <si>
    <t>Иванова</t>
  </si>
  <si>
    <t>78469532948 - Входящий звонок</t>
  </si>
  <si>
    <t>79170595119 - Входящий звонок</t>
  </si>
  <si>
    <t>ремонт скола</t>
  </si>
  <si>
    <t>Заявка с сайта ЛЕВША - форма Оформление заказа</t>
  </si>
  <si>
    <t>Денчик - Открытая линия Левша</t>
  </si>
  <si>
    <t>Денчик</t>
  </si>
  <si>
    <t>79379924088 - Входящий звонок</t>
  </si>
  <si>
    <t>Чеков</t>
  </si>
  <si>
    <t>Шумоизоляция в Самаре. Цена</t>
  </si>
  <si>
    <t>79278944009 - Входящий звонок</t>
  </si>
  <si>
    <t>РЖД Вагоны демонтаж пленки</t>
  </si>
  <si>
    <t>Пленка,антихром</t>
  </si>
  <si>
    <t>79277010199 - Входящий звонок</t>
  </si>
  <si>
    <t>Лекс</t>
  </si>
  <si>
    <t>Сав</t>
  </si>
  <si>
    <t>79277404963 - Входящий звонок</t>
  </si>
  <si>
    <t>79379946017 - Входящий звонок</t>
  </si>
  <si>
    <t>79991700237 - Входящий звонок</t>
  </si>
  <si>
    <t>79878176645 - Входящий звонок</t>
  </si>
  <si>
    <t>Ирина - Открытая линия Левша</t>
  </si>
  <si>
    <t>Алексеевна</t>
  </si>
  <si>
    <t>79272013199 - Входящий звонок</t>
  </si>
  <si>
    <t>79371896580 - Входящий звонок</t>
  </si>
  <si>
    <t>79667954419 - Входящий звонок</t>
  </si>
  <si>
    <t>79966247414 - Входящий звонок</t>
  </si>
  <si>
    <t xml:space="preserve">Тонировка и бронирование фар </t>
  </si>
  <si>
    <t>Слава</t>
  </si>
  <si>
    <t>Цветков</t>
  </si>
  <si>
    <t>79170132121 - Входящий звонок</t>
  </si>
  <si>
    <t>79270120149 - Входящий звонок</t>
  </si>
  <si>
    <t>79170157999 - Входящий звонок</t>
  </si>
  <si>
    <t>79994523206 - Входящий звонок</t>
  </si>
  <si>
    <t>79277843132 - Входящий звонок</t>
  </si>
  <si>
    <t>79171457353 - Входящий звонок</t>
  </si>
  <si>
    <t>79236270717 - Входящий звонок</t>
  </si>
  <si>
    <t>79376490021 - Входящий звонок</t>
  </si>
  <si>
    <t>Заявка с сайта ЛЕВША - форма Задать вопрос</t>
  </si>
  <si>
    <t>полировка, антигравийная пленка, тонировка</t>
  </si>
  <si>
    <t>Покраска капота</t>
  </si>
  <si>
    <t>антигравийная пленка, мойка</t>
  </si>
  <si>
    <t>79277432404 - Входящий звонок</t>
  </si>
  <si>
    <t>79371767595 - Входящий звонок</t>
  </si>
  <si>
    <t>Антон Павлов - Открытая линия Левша</t>
  </si>
  <si>
    <t>Павлов</t>
  </si>
  <si>
    <t>Виталий Синяев</t>
  </si>
  <si>
    <t>79276064646 - Входящий звонок</t>
  </si>
  <si>
    <t xml:space="preserve">Обклейка винила </t>
  </si>
  <si>
    <t>Ксения</t>
  </si>
  <si>
    <t>79879171251 - Входящий звонок</t>
  </si>
  <si>
    <t>79179650360 - Входящий звонок</t>
  </si>
  <si>
    <t>79227888029 - Входящий звонок</t>
  </si>
  <si>
    <t>Чекашкин</t>
  </si>
  <si>
    <t>Андрей Шкода Ети - Открытая линия Левша</t>
  </si>
  <si>
    <t>79297037333 - Входящий звонок</t>
  </si>
  <si>
    <t>обклейка машины бронированной пленкой цены</t>
  </si>
  <si>
    <t>79171535699 - Входящий звонок</t>
  </si>
  <si>
    <t>Владимир Горбунов - Открытая линия Левша</t>
  </si>
  <si>
    <t>Горбунов</t>
  </si>
  <si>
    <t>79379919111 - Входящий звонок</t>
  </si>
  <si>
    <t>79608251639 - Входящий звонок</t>
  </si>
  <si>
    <t>79276863615 - Входящий звонок</t>
  </si>
  <si>
    <t>79033036965 - Входящий звонок</t>
  </si>
  <si>
    <t>79272099301 - Входящий звонок</t>
  </si>
  <si>
    <t>79277516478 - Входящий звонок</t>
  </si>
  <si>
    <t>Сысоев</t>
  </si>
  <si>
    <t>79200554411 - Входящий звонок</t>
  </si>
  <si>
    <t>+7 999 171-22-12 - Открытая линия Левша</t>
  </si>
  <si>
    <t>+7 999 171-22-12</t>
  </si>
  <si>
    <t>бронирование пленкой автомобиля в самаре цена</t>
  </si>
  <si>
    <t>78463132173 - Входящий звонок</t>
  </si>
  <si>
    <t>Фёдор</t>
  </si>
  <si>
    <t>оклейка полиуретановой пленкой</t>
  </si>
  <si>
    <t>79622508579 - Входящий звонок</t>
  </si>
  <si>
    <t>79171146000 - Входящий звонок</t>
  </si>
  <si>
    <t>79270210033 - Входящий звонок</t>
  </si>
  <si>
    <t>Мария - Открытая линия Левша</t>
  </si>
  <si>
    <t>Майя - Открытая линия Левша</t>
  </si>
  <si>
    <t>Майя</t>
  </si>
  <si>
    <t>78469202924 - Входящий звонок</t>
  </si>
  <si>
    <t>79608233303 - Входящий звонок</t>
  </si>
  <si>
    <t>79879111114 - Входящий звонок</t>
  </si>
  <si>
    <t>79608496365 - Входящий звонок</t>
  </si>
  <si>
    <t>Ваня</t>
  </si>
  <si>
    <t>Малкин</t>
  </si>
  <si>
    <t>79879593958 - Входящий звонок</t>
  </si>
  <si>
    <t>14.08.2022</t>
  </si>
  <si>
    <t>79272670677 - Входящий звонок</t>
  </si>
  <si>
    <t>79170376107 - Входящий звонок</t>
  </si>
  <si>
    <t>79171496220 - Входящий звонок</t>
  </si>
  <si>
    <t>78462556121 - Входящий звонок</t>
  </si>
  <si>
    <t>Дима Матвеев - Открытая линия Левша</t>
  </si>
  <si>
    <t>Матвеев</t>
  </si>
  <si>
    <t>Ильдар - Открытая линия Левша</t>
  </si>
  <si>
    <t>Ильдар</t>
  </si>
  <si>
    <t>79277565266 - Входящий звонок</t>
  </si>
  <si>
    <t>79277329587 - Входящий звонок</t>
  </si>
  <si>
    <t>79171043256 - Входящий звонок</t>
  </si>
  <si>
    <t>79277015420 - Входящий звонок</t>
  </si>
  <si>
    <t>Глеб Шустов - Открытая линия Левша</t>
  </si>
  <si>
    <t>79270217631 - Входящий звонок</t>
  </si>
  <si>
    <t>Олег Коробкин</t>
  </si>
  <si>
    <t>79171589953 - Входящий звонок</t>
  </si>
  <si>
    <t>79376489011 - Входящий звонок</t>
  </si>
  <si>
    <t>Сергей Самарцев - Открытая линия Левша</t>
  </si>
  <si>
    <t>Самарцев</t>
  </si>
  <si>
    <t>Алексей Горбунов - Открытая линия Левша</t>
  </si>
  <si>
    <t>79272043602 - Входящий звонок</t>
  </si>
  <si>
    <t>79279388860 - Входящий звонок</t>
  </si>
  <si>
    <t>79967322606 - Входящий звонок</t>
  </si>
  <si>
    <t>79272644908 - Входящий звонок</t>
  </si>
  <si>
    <t>+7 927 264-49-08</t>
  </si>
  <si>
    <t>79370640974 - Входящий звонок</t>
  </si>
  <si>
    <t>Lis - Открытая линия Левша</t>
  </si>
  <si>
    <t>автосервис</t>
  </si>
  <si>
    <t>79272650233 - Входящий звонок</t>
  </si>
  <si>
    <t>79276219154 - Входящий звонок</t>
  </si>
  <si>
    <t>Niko - Открытая линия Левша</t>
  </si>
  <si>
    <t>Niko</t>
  </si>
  <si>
    <t>79869551080 - Входящий звонок</t>
  </si>
  <si>
    <t>Иван Солдаткин</t>
  </si>
  <si>
    <t>79270072956 - Входящий звонок</t>
  </si>
  <si>
    <t>79276532587 - Входящий звонок</t>
  </si>
  <si>
    <t>79879005939 - Входящий звонок</t>
  </si>
  <si>
    <t>79371870001 - Входящий звонок</t>
  </si>
  <si>
    <t>Защитная пленка</t>
  </si>
  <si>
    <t>79272615219 - Входящий звонок</t>
  </si>
  <si>
    <t>Роман Семёнов - Открытая линия Левша</t>
  </si>
  <si>
    <t>Семёнов</t>
  </si>
  <si>
    <t>АНАТОЛИЙ - Открытая линия Левша</t>
  </si>
  <si>
    <t>АНАТОЛИЙ</t>
  </si>
  <si>
    <t>79279011988 - Входящий звонок</t>
  </si>
  <si>
    <t>And Vainakh - Открытая линия Левша</t>
  </si>
  <si>
    <t>And</t>
  </si>
  <si>
    <t>Vainakh</t>
  </si>
  <si>
    <t>79613818999 - Входящий звонок</t>
  </si>
  <si>
    <t>Кузнецов Алексей - Открытая линия Левша</t>
  </si>
  <si>
    <t>79376503081 - Входящий звонок</t>
  </si>
  <si>
    <t>79135022844 - Входящий звонок</t>
  </si>
  <si>
    <t>79179595009 - Входящий звонок</t>
  </si>
  <si>
    <t>Виктория Коваленко</t>
  </si>
  <si>
    <t>79093434979 - Входящий звонок</t>
  </si>
  <si>
    <t>79874367644 - Входящий звонок</t>
  </si>
  <si>
    <t>Рамиль - Открытая линия Левша</t>
  </si>
  <si>
    <t>79270059536 - Входящий звонок</t>
  </si>
  <si>
    <t>Алексей Кодиак - Открытая линия Левша</t>
  </si>
  <si>
    <t>Skoda</t>
  </si>
  <si>
    <t>Kodiaq</t>
  </si>
  <si>
    <t>79371735334 - Входящий звонок</t>
  </si>
  <si>
    <t>79991715959 - Входящий звонок</t>
  </si>
  <si>
    <t>79379942004 - Входящий звонок</t>
  </si>
  <si>
    <t>79272041636 - Входящий звонок</t>
  </si>
  <si>
    <t>79297078387 - Входящий звонок</t>
  </si>
  <si>
    <t>Михаил Осипов</t>
  </si>
  <si>
    <t>79276871150 - Входящий звонок</t>
  </si>
  <si>
    <t>влад - Открытая линия Левша</t>
  </si>
  <si>
    <t>влад</t>
  </si>
  <si>
    <t>79379917577 - Входящий звонок</t>
  </si>
  <si>
    <t>Григорий  Данилов</t>
  </si>
  <si>
    <t>Лена Спирина - Открытая линия Левша</t>
  </si>
  <si>
    <t>Лена</t>
  </si>
  <si>
    <t>Спирина</t>
  </si>
  <si>
    <t>+7 937 794-38-43</t>
  </si>
  <si>
    <t>79371779955 - Входящий звонок</t>
  </si>
  <si>
    <t>79372033999 - Входящий звонок</t>
  </si>
  <si>
    <t>Иванов Виталий Ку7 009 - Открытая линия Левша</t>
  </si>
  <si>
    <t>Иванов Виталий Ку7 009</t>
  </si>
  <si>
    <t>79277653845 - Входящий звонок</t>
  </si>
  <si>
    <t>79277164686 - Входящий звонок</t>
  </si>
  <si>
    <t>79277286508 - Входящий звонок</t>
  </si>
  <si>
    <t>79372060766 - Входящий звонок</t>
  </si>
  <si>
    <t>79276030086 - Входящий звонок</t>
  </si>
  <si>
    <t>79171019001 - Входящий звонок</t>
  </si>
  <si>
    <t>79397504000 - Входящий звонок</t>
  </si>
  <si>
    <t>Анатолий Агатов - Открытая линия Левша</t>
  </si>
  <si>
    <t>Агатов</t>
  </si>
  <si>
    <t>79179555001 - Входящий звонок</t>
  </si>
  <si>
    <t>79277571186 - Входящий звонок</t>
  </si>
  <si>
    <t>Mers - Открытая линия Левша</t>
  </si>
  <si>
    <t>Mers</t>
  </si>
  <si>
    <t>79159753621 - Входящий звонок</t>
  </si>
  <si>
    <t>79277147770 - Входящий звонок</t>
  </si>
  <si>
    <t>79626151561 - Входящий звонок</t>
  </si>
  <si>
    <t>Максим Долотов - Открытая линия Левша</t>
  </si>
  <si>
    <t>Долотов</t>
  </si>
  <si>
    <t>79171422424 - Входящий звонок</t>
  </si>
  <si>
    <t>79853186968 - Входящий звонок</t>
  </si>
  <si>
    <t>79379995554 - Входящий звонок</t>
  </si>
  <si>
    <t>79997690838 - Входящий звонок</t>
  </si>
  <si>
    <t>79053037635 - Исходящий звонок</t>
  </si>
  <si>
    <t>79879144252 - Входящий звонок</t>
  </si>
  <si>
    <t>@Valery_Lukyanov - Открытая линия Левша</t>
  </si>
  <si>
    <t>@Valery_Lukyanov</t>
  </si>
  <si>
    <t>оклейка пленкой самара</t>
  </si>
  <si>
    <t>79376481706 - Входящий звонок</t>
  </si>
  <si>
    <t>78462024706 - Входящий звонок</t>
  </si>
  <si>
    <t>пленка от сколов на автомобиль цена</t>
  </si>
  <si>
    <t>79773630372 - Входящий звонок</t>
  </si>
  <si>
    <t>79934640511 - Входящий звонок</t>
  </si>
  <si>
    <t>Александр Законов - Открытая линия Левша</t>
  </si>
  <si>
    <t>Законов</t>
  </si>
  <si>
    <t>79297061518 - Входящий звонок</t>
  </si>
  <si>
    <t>79674805557 - Входящий звонок</t>
  </si>
  <si>
    <t>15.06.2022</t>
  </si>
  <si>
    <t>79277521035 - Входящий звонок</t>
  </si>
  <si>
    <t>79272008818 - Входящий звонок</t>
  </si>
  <si>
    <t>Заполнение CRM-формы "Форма обратной связи"</t>
  </si>
  <si>
    <t>Фарходжон</t>
  </si>
  <si>
    <t>Абдукаюмов</t>
  </si>
  <si>
    <t>Вадим - Открытая линия Левша</t>
  </si>
  <si>
    <t>79279020233 - Входящий звонок</t>
  </si>
  <si>
    <t>79270013590 - Входящий звонок</t>
  </si>
  <si>
    <t>79277988772 - Входящий звонок</t>
  </si>
  <si>
    <t>79397510759 - Входящий звонок</t>
  </si>
  <si>
    <t>Veronika - Открытая линия Левша</t>
  </si>
  <si>
    <t>Veronika</t>
  </si>
  <si>
    <t>79277573303 - Входящий звонок</t>
  </si>
  <si>
    <t>79270134944 - Входящий звонок</t>
  </si>
  <si>
    <t>79377905677 - Входящий звонок</t>
  </si>
  <si>
    <t>79270192999 - Входящий звонок</t>
  </si>
  <si>
    <t>Игорь Бойков - Открытая линия Левша</t>
  </si>
  <si>
    <t>Бойков</t>
  </si>
  <si>
    <t>79171620020 - Входящий звонок</t>
  </si>
  <si>
    <t>Влад Дуненков - Открытая линия Левша</t>
  </si>
  <si>
    <t>Дуненков</t>
  </si>
  <si>
    <t>79279040050 - Входящий звонок</t>
  </si>
  <si>
    <t>79276556515 - Входящий звонок</t>
  </si>
  <si>
    <t>79179500009 - Входящий звонок</t>
  </si>
  <si>
    <t>Andrey - Открытая линия Левша</t>
  </si>
  <si>
    <t>79272033157 - Исходящий звонок</t>
  </si>
  <si>
    <t>78463793212 - Входящий звонок</t>
  </si>
  <si>
    <t>79370775581 - Входящий звонок</t>
  </si>
  <si>
    <t>79613803780 - Входящий звонок</t>
  </si>
  <si>
    <t>79376550917 - Исходящий звонок</t>
  </si>
  <si>
    <t>79171106538 - Входящий звонок</t>
  </si>
  <si>
    <t>79023713273 - Входящий звонок</t>
  </si>
  <si>
    <t>79276563684 - Исходящий звонок</t>
  </si>
  <si>
    <t>79033000188 - Входящий звонок</t>
  </si>
  <si>
    <t>79277044340 - Исходящий звонок</t>
  </si>
  <si>
    <t>79178110138 - Входящий звонок</t>
  </si>
  <si>
    <t>79033015907 - Входящий звонок</t>
  </si>
  <si>
    <t>79093293390 - Входящий звонок</t>
  </si>
  <si>
    <t>Маркин</t>
  </si>
  <si>
    <t>79063459889 - Входящий звонок</t>
  </si>
  <si>
    <t>79277597717 - Входящий звонок</t>
  </si>
  <si>
    <t>79279040506 - Входящий звонок</t>
  </si>
  <si>
    <t>79279013930 - Входящий звонок</t>
  </si>
  <si>
    <t>Ильнур Зарипов - Открытая линия Левша</t>
  </si>
  <si>
    <t>Зарипов</t>
  </si>
  <si>
    <t>Гоибов Александр Ан - Открытая линия Левша</t>
  </si>
  <si>
    <t>Гоибов Александр Ан</t>
  </si>
  <si>
    <t>79639161050 - Входящий звонок</t>
  </si>
  <si>
    <t>наклеить молдинги на лексус</t>
  </si>
  <si>
    <t>Дмитрий Тревелер - Открытая линия Левша</t>
  </si>
  <si>
    <t>Тревелер</t>
  </si>
  <si>
    <t>79649363607 - Входящий звонок</t>
  </si>
  <si>
    <t>Пленка мотоцикл</t>
  </si>
  <si>
    <t>79370705048 - Входящий звонок</t>
  </si>
  <si>
    <t>79991714279 - Входящий звонок</t>
  </si>
  <si>
    <t>79198091802 - Входящий звонок</t>
  </si>
  <si>
    <t>79276857495 - Входящий звонок</t>
  </si>
  <si>
    <t>Андрей Петров - Открытая линия Левша</t>
  </si>
  <si>
    <t>Сергей Валерьевич - Открытая линия Левша</t>
  </si>
  <si>
    <t>79276002856 - Входящий звонок</t>
  </si>
  <si>
    <t>79276979058 - Входящий звонок</t>
  </si>
  <si>
    <t>79879057709 - Входящий звонок</t>
  </si>
  <si>
    <t>79276884746 - Входящий звонок</t>
  </si>
  <si>
    <t>79279063538 - Входящий звонок</t>
  </si>
  <si>
    <t>79168130477 - Входящий звонок</t>
  </si>
  <si>
    <t>79649887788 - Входящий звонок</t>
  </si>
  <si>
    <t>наклейка на капот элантра</t>
  </si>
  <si>
    <t>78462424721 - Входящий звонок</t>
  </si>
  <si>
    <t>79370646225 - Входящий звонок</t>
  </si>
  <si>
    <t>79376577007 - Входящий звонок</t>
  </si>
  <si>
    <t>79379945200 - Исходящий звонок</t>
  </si>
  <si>
    <t>79270094449 - Входящий звонок</t>
  </si>
  <si>
    <t>Володя Аксёнов - Открытая линия Левша</t>
  </si>
  <si>
    <t>Володя</t>
  </si>
  <si>
    <t>Аксёнов</t>
  </si>
  <si>
    <t>79033012090 - Входящий звонок</t>
  </si>
  <si>
    <t>79277293949 - Входящий звонок</t>
  </si>
  <si>
    <t>марк пленка</t>
  </si>
  <si>
    <t>79277003270 - Входящий звонок</t>
  </si>
  <si>
    <t>79277209798 - Входящий звонок</t>
  </si>
  <si>
    <t>Артем Ермолов - Открытая линия Левша</t>
  </si>
  <si>
    <t>Ермолов</t>
  </si>
  <si>
    <t>79179432556 - Входящий звонок</t>
  </si>
  <si>
    <t>79376555540 - Входящий звонок</t>
  </si>
  <si>
    <t>79649774505 - Входящий звонок</t>
  </si>
  <si>
    <t>Михаил - Открытая линия Левша</t>
  </si>
  <si>
    <t>79033001900 - Входящий звонок</t>
  </si>
  <si>
    <t>Вольфганг Иоганн - Открытая линия Левша</t>
  </si>
  <si>
    <t>Вольфганг</t>
  </si>
  <si>
    <t>Иоганн</t>
  </si>
  <si>
    <t>Владимир S Купе</t>
  </si>
  <si>
    <t>79871516261 - Входящий звонок</t>
  </si>
  <si>
    <t>VM - Открытая линия Левша</t>
  </si>
  <si>
    <t>VM</t>
  </si>
  <si>
    <t>79278958741 - Входящий звонок</t>
  </si>
  <si>
    <t>прадо пленка и керамика</t>
  </si>
  <si>
    <t>79171067422 - Входящий звонок</t>
  </si>
  <si>
    <t>79277300005 - Входящий звонок</t>
  </si>
  <si>
    <t>79649800002 - Входящий звонок</t>
  </si>
  <si>
    <t>Харлей Фет Боб</t>
  </si>
  <si>
    <t>Ека</t>
  </si>
  <si>
    <t>78462277919 - Входящий звонок</t>
  </si>
  <si>
    <t>оклейка велосипеда</t>
  </si>
  <si>
    <t>79277547222 - Входящий звонок</t>
  </si>
  <si>
    <t>79277033373 - Входящий звонок</t>
  </si>
  <si>
    <t>79179566276 - Входящий звонок</t>
  </si>
  <si>
    <t>гидрик в пленку</t>
  </si>
  <si>
    <t>79276048818 - Входящий звонок</t>
  </si>
  <si>
    <t>79874570984 - Входящий звонок</t>
  </si>
  <si>
    <t>79198199211 - Входящий звонок</t>
  </si>
  <si>
    <t>79171014466 - Входящий звонок</t>
  </si>
  <si>
    <t>79198002524 - Входящий звонок</t>
  </si>
  <si>
    <t>79371868263 - Входящий звонок</t>
  </si>
  <si>
    <t>79023777157 - Входящий звонок</t>
  </si>
  <si>
    <t>79869515868 - Входящий звонок</t>
  </si>
  <si>
    <t>79276069766 - Входящий звонок</t>
  </si>
  <si>
    <t>Логистика_UMI_Самара - Открытая линия Левша</t>
  </si>
  <si>
    <t>Логистика_UMI_Самара</t>
  </si>
  <si>
    <t>79371730005 - Входящий звонок</t>
  </si>
  <si>
    <t>79179456646 - Входящий звонок</t>
  </si>
  <si>
    <t>79021811826 - Входящий звонок</t>
  </si>
  <si>
    <t>79297120899 - Входящий звонок</t>
  </si>
  <si>
    <t>79170344763 - Входящий звонок</t>
  </si>
  <si>
    <t>79047100444 - Входящий звонок</t>
  </si>
  <si>
    <t>+7 987 152-62-65 - Открытая линия Левша</t>
  </si>
  <si>
    <t>+7 987 152-62-65</t>
  </si>
  <si>
    <t>+7 937 174-90-49 - Открытая линия Левша</t>
  </si>
  <si>
    <t>+7 937 174-90-49</t>
  </si>
  <si>
    <t>+7 917 948-55-98 - Открытая линия Левша</t>
  </si>
  <si>
    <t>+7 917 948-55-98</t>
  </si>
  <si>
    <t>Олег Каен 001 - Открытая линия Левша</t>
  </si>
  <si>
    <t>Олег Каен 001</t>
  </si>
  <si>
    <t>+7 927 296-08-52 - Открытая линия Левша</t>
  </si>
  <si>
    <t>+7 927 296-08-52</t>
  </si>
  <si>
    <t>+7 939 752-32-22 - Открытая линия Левша</t>
  </si>
  <si>
    <t>+7 939 752-32-22</t>
  </si>
  <si>
    <t>79272950555 - Входящий звонок</t>
  </si>
  <si>
    <t>79372091616 - Входящий звонок</t>
  </si>
  <si>
    <t>Заявка с сайта ЛЕВША</t>
  </si>
  <si>
    <t xml:space="preserve">Ефим Audi Q5 </t>
  </si>
  <si>
    <t xml:space="preserve">Юлия Лексус nx </t>
  </si>
  <si>
    <t>79171348415 - Входящий звонок</t>
  </si>
  <si>
    <t>Руслан RAV 4</t>
  </si>
  <si>
    <t>Павел Веста св</t>
  </si>
  <si>
    <t>79171156450 - Входящий звонок</t>
  </si>
  <si>
    <t>79274162491 - Входящий звонок</t>
  </si>
  <si>
    <t>79277399158 - Входящий звонок</t>
  </si>
  <si>
    <t>79370606376 - Входящий звонок</t>
  </si>
  <si>
    <t>79397546350 - Входящий звонок</t>
  </si>
  <si>
    <t>79277946553 - Входящий звонок</t>
  </si>
  <si>
    <t>Nikolai Lebedev - Открытая линия Левша</t>
  </si>
  <si>
    <t>Nikolai</t>
  </si>
  <si>
    <t>Lebedev</t>
  </si>
  <si>
    <t>79871631027 - Входящий звонок</t>
  </si>
  <si>
    <t xml:space="preserve">Михаил Датсун </t>
  </si>
  <si>
    <t>79163330999 - Входящий звонок</t>
  </si>
  <si>
    <t>Денис Тойота рав 4 22 год</t>
  </si>
  <si>
    <t>79379805419 - Входящий звонок</t>
  </si>
  <si>
    <t>79822069624 - Входящий звонок</t>
  </si>
  <si>
    <t>79171161214 - Входящий звонок</t>
  </si>
  <si>
    <t>A - Открытая линия Левша</t>
  </si>
  <si>
    <t>A</t>
  </si>
  <si>
    <t>Сергей По Грейт Вол Ховер Н3</t>
  </si>
  <si>
    <t>Валерий Садовский Lada 2171</t>
  </si>
  <si>
    <t>79271000000 - Входящий звонок</t>
  </si>
  <si>
    <t>73534239500 - Входящий звонок</t>
  </si>
  <si>
    <t>Владимир Geely Tugella</t>
  </si>
  <si>
    <t>Валерий Лада Приора</t>
  </si>
  <si>
    <t>79035950470 - Входящий звонок</t>
  </si>
  <si>
    <t>Иван Mercedes-Benz GLE</t>
  </si>
  <si>
    <t>79270162661 - Входящий звонок</t>
  </si>
  <si>
    <t>mikrocomment</t>
  </si>
  <si>
    <t>detailing</t>
  </si>
  <si>
    <t>79378000208 - Входящий звонок</t>
  </si>
  <si>
    <t>Дмитрий Haval Jolion</t>
  </si>
  <si>
    <t>79615350573 - Исходящий звонок</t>
  </si>
  <si>
    <t>79277265881 - Входящий звонок</t>
  </si>
  <si>
    <t>Максим Уткин - Открытая линия Левша</t>
  </si>
  <si>
    <t>Уткин</t>
  </si>
  <si>
    <t>79601678209 - Входящий звонок</t>
  </si>
  <si>
    <t>79276541100 - Входящий звонок</t>
  </si>
  <si>
    <t>79272609452 - Входящий звонок</t>
  </si>
  <si>
    <t>79879874968 - Входящий звонок</t>
  </si>
  <si>
    <t>79277179697 - Входящий звонок</t>
  </si>
  <si>
    <t>79279046515 - Входящий звонок</t>
  </si>
  <si>
    <t>Андрей  Нива 2011года</t>
  </si>
  <si>
    <t>79312613579 - Входящий звонок</t>
  </si>
  <si>
    <t>79372168804 - Входящий звонок</t>
  </si>
  <si>
    <t>79379946880 - Входящий звонок</t>
  </si>
  <si>
    <t>79169643636 - Входящий звонок</t>
  </si>
  <si>
    <t>79277595554 - Входящий звонок</t>
  </si>
  <si>
    <t>78462603813 - Входящий звонок</t>
  </si>
  <si>
    <t>79879476313 - Входящий звонок</t>
  </si>
  <si>
    <t>79171618800 - Входящий звонок</t>
  </si>
  <si>
    <t>79869558888 - Входящий звонок</t>
  </si>
  <si>
    <t>79272081516 - Входящий звонок</t>
  </si>
  <si>
    <t>79063420582 - Входящий звонок</t>
  </si>
  <si>
    <t>79272624431 - Входящий звонок</t>
  </si>
  <si>
    <t>79253211925 - Входящий звонок</t>
  </si>
  <si>
    <t xml:space="preserve">Стас </t>
  </si>
  <si>
    <t>79021809878 - Входящий звонок</t>
  </si>
  <si>
    <t xml:space="preserve">Григорий  </t>
  </si>
  <si>
    <t>79277462545 - Входящий звонок</t>
  </si>
  <si>
    <t>Дмитрий Субару Оутбэк - Открытая линия Левша</t>
  </si>
  <si>
    <t>Субару</t>
  </si>
  <si>
    <t>79677631700 - Входящий звонок</t>
  </si>
  <si>
    <t>Семен - Открытая линия Левша</t>
  </si>
  <si>
    <t>79270008069 - Входящий звонок</t>
  </si>
  <si>
    <t xml:space="preserve">Дмитрий прадо </t>
  </si>
  <si>
    <t xml:space="preserve">Евгений  </t>
  </si>
  <si>
    <t>79272072665 - Входящий звонок</t>
  </si>
  <si>
    <t>Юрий Форкунов - Открытая линия Левша</t>
  </si>
  <si>
    <t>Instagram Direct - Открытая линия Левша</t>
  </si>
  <si>
    <t>Форкунов</t>
  </si>
  <si>
    <t>79277368352 - Исходящий звонок</t>
  </si>
  <si>
    <t>79277904748 - Входящий звонок</t>
  </si>
  <si>
    <t>Влад Ярославцев - Открытая линия Левша</t>
  </si>
  <si>
    <t>Ярославцев</t>
  </si>
  <si>
    <t>79272019191 - Входящий звонок</t>
  </si>
  <si>
    <t>Юлий Киа рио х</t>
  </si>
  <si>
    <t>Елена - Открытая линия Левша</t>
  </si>
  <si>
    <t>Николай Opel astra h</t>
  </si>
  <si>
    <t>79874445767 - Входящий звонок</t>
  </si>
  <si>
    <t>GavrLive - Открытая линия Левша</t>
  </si>
  <si>
    <t>GavrLive</t>
  </si>
  <si>
    <t>79277375852 - Входящий звонок</t>
  </si>
  <si>
    <t>79649880088 - Входящий звонок</t>
  </si>
  <si>
    <t>79277387776 - Входящий звонок</t>
  </si>
  <si>
    <t>79276007676 - Входящий звонок</t>
  </si>
  <si>
    <t>Vitaly Strelkov - Открытая линия Левша</t>
  </si>
  <si>
    <t>Vitaly</t>
  </si>
  <si>
    <t>Strelkov</t>
  </si>
  <si>
    <t>79649838835 - Исходящий звонок</t>
  </si>
  <si>
    <t>79171013453 - Входящий звонок</t>
  </si>
  <si>
    <t>79371713379 - Входящий звонок</t>
  </si>
  <si>
    <t>79270152939 - Входящий звонок</t>
  </si>
  <si>
    <t>Игорь Нива 2124</t>
  </si>
  <si>
    <t xml:space="preserve">Анна Nissan qashquai </t>
  </si>
  <si>
    <t>Жека Меренков - Открытая линия Левша</t>
  </si>
  <si>
    <t>Жека</t>
  </si>
  <si>
    <t>Меренков</t>
  </si>
  <si>
    <t>79226221990 - Входящий звонок</t>
  </si>
  <si>
    <t>79879170576 - Входящий звонок</t>
  </si>
  <si>
    <t>IgorOK - Открытая линия Левша</t>
  </si>
  <si>
    <t>IgorOK</t>
  </si>
  <si>
    <t>79374019919 - Входящий звонок</t>
  </si>
  <si>
    <t xml:space="preserve">Деменков Дмитрий Викторович Субару </t>
  </si>
  <si>
    <t>поло</t>
  </si>
  <si>
    <t>79277095531 - Входящий звонок</t>
  </si>
  <si>
    <t>79198068406 - Входящий звонок</t>
  </si>
  <si>
    <t>79276899517 - Входящий звонок</t>
  </si>
  <si>
    <t>виталий аутлендер</t>
  </si>
  <si>
    <t>Владимир Шкода Карок</t>
  </si>
  <si>
    <t>79277413436 - Входящий звонок</t>
  </si>
  <si>
    <t xml:space="preserve">Роман hyundai solaris </t>
  </si>
  <si>
    <t>Павел Ворошилин - Открытая линия Левша</t>
  </si>
  <si>
    <t>Ворошилин</t>
  </si>
  <si>
    <t>Сёмкин Денис - Открытая линия Левша</t>
  </si>
  <si>
    <t>Сёмкин</t>
  </si>
  <si>
    <t>79226292030 - Входящий звонок</t>
  </si>
  <si>
    <t>Александр audi q5 sportback 2021</t>
  </si>
  <si>
    <t>79272635888 - Входящий звонок</t>
  </si>
  <si>
    <t>79171155825 - Входящий звонок</t>
  </si>
  <si>
    <t>79277244747 - Исходящий звонок</t>
  </si>
  <si>
    <t>Александр Subaru Forester</t>
  </si>
  <si>
    <t>9-ая Просека</t>
  </si>
  <si>
    <t>poisk_antigravplenka</t>
  </si>
  <si>
    <t>text2</t>
  </si>
  <si>
    <t>+пленка +автомобиль</t>
  </si>
  <si>
    <t>79279016176 - Входящий звонок</t>
  </si>
  <si>
    <t>Артём - Открытая линия Левша</t>
  </si>
  <si>
    <t>Владимир Агарков Mazda CX-5 2017+</t>
  </si>
  <si>
    <t>Хамидулла  Элантра 7</t>
  </si>
  <si>
    <t>Перцев Константин Камри 70</t>
  </si>
  <si>
    <t>удалить наклейки такси и отполировать</t>
  </si>
  <si>
    <t>Дмитрий  Mazda3</t>
  </si>
  <si>
    <t>79277717704 - Входящий звонок</t>
  </si>
  <si>
    <t>79276577802 - Входящий звонок</t>
  </si>
  <si>
    <t>Александр Ерзиков - Открытая линия Левша</t>
  </si>
  <si>
    <t>Ерзиков</t>
  </si>
  <si>
    <t>Станислав Lada Vesta SW Cross</t>
  </si>
  <si>
    <t>Александр Вредный - Открытая линия Левша</t>
  </si>
  <si>
    <t>Вредный</t>
  </si>
  <si>
    <t>Евгений Lada Vesta SW CROSS</t>
  </si>
  <si>
    <t>79328582404 - Исходящий звонок</t>
  </si>
  <si>
    <t>Константин Mazda CX-5</t>
  </si>
  <si>
    <t>Ильнар Зинатуллин - Открытая линия Левша</t>
  </si>
  <si>
    <t>Ильнар</t>
  </si>
  <si>
    <t>Зинатуллин</t>
  </si>
  <si>
    <t>Instagram для бизнеса - Открытая линия Левша</t>
  </si>
  <si>
    <t>79171613989 - Входящий звонок</t>
  </si>
  <si>
    <t>79608150993 - Входящий звонок</t>
  </si>
  <si>
    <t>79371887000 - Входящий звонок</t>
  </si>
  <si>
    <t>79608660081 - Исходящий звонок</t>
  </si>
  <si>
    <t>ФилиповАндрей</t>
  </si>
  <si>
    <t>Glc/062</t>
  </si>
  <si>
    <t>Evgeny 2.0 - Открытая линия Левша</t>
  </si>
  <si>
    <t>Evgeny</t>
  </si>
  <si>
    <t>79023717777 - Входящий звонок</t>
  </si>
  <si>
    <t>79276884220 - Входящий звонок</t>
  </si>
  <si>
    <t>78462129955 - Входящий звонок</t>
  </si>
  <si>
    <t>79379984435 - Входящий звонок</t>
  </si>
  <si>
    <t>79397142010 - Входящий звонок</t>
  </si>
  <si>
    <t>Елена Бобровская - Открытая линия Левша</t>
  </si>
  <si>
    <t>Бобровская</t>
  </si>
  <si>
    <t>79297020050 - Исходящий звонок</t>
  </si>
  <si>
    <t>79377949943 - Входящий звонок</t>
  </si>
  <si>
    <t>79991721022 - Входящий звонок</t>
  </si>
  <si>
    <t>Рамиль Газель 3302</t>
  </si>
  <si>
    <t>евгений лада калина 1 седан.</t>
  </si>
  <si>
    <t>Анастасия - Открытая линия Левша</t>
  </si>
  <si>
    <t>79371838008 - Входящий звонок</t>
  </si>
  <si>
    <t>79178242005 - Исходящий звонок</t>
  </si>
  <si>
    <t>Алексей Белов - Открытая линия Левша</t>
  </si>
  <si>
    <t>Белов</t>
  </si>
  <si>
    <t>79170331001 - Входящий звонок</t>
  </si>
  <si>
    <t>79277942222 - Входящий звонок</t>
  </si>
  <si>
    <t>Игорь nissan quashqai</t>
  </si>
  <si>
    <t>Максим Носов - Открытая линия Левша</t>
  </si>
  <si>
    <t>Носов</t>
  </si>
  <si>
    <t>78469593360 - Входящий звонок</t>
  </si>
  <si>
    <t>79279033500 - Входящий звонок</t>
  </si>
  <si>
    <t>Вячеслав Skoda Octavia</t>
  </si>
  <si>
    <t xml:space="preserve">Денис Хавал ф7 </t>
  </si>
  <si>
    <t>79171588880 - Исходящий звонок</t>
  </si>
  <si>
    <t>79376407700 - Входящий звонок</t>
  </si>
  <si>
    <t>79178175151 - Входящий звонок</t>
  </si>
  <si>
    <t>покрытие карбоном</t>
  </si>
  <si>
    <t>79023741884 - Входящий звонок</t>
  </si>
  <si>
    <t>79608088884 - Входящий звонок</t>
  </si>
  <si>
    <t>79277281977 - Входящий звонок</t>
  </si>
  <si>
    <t>Ольга GEELY COOLRAY</t>
  </si>
  <si>
    <t>Алексей Tucson nx4l</t>
  </si>
  <si>
    <t>79272972166 - Входящий звонок</t>
  </si>
  <si>
    <t>Hhh - Открытая линия Левша</t>
  </si>
  <si>
    <t>Hhh</t>
  </si>
  <si>
    <t>79874470150 - Входящий звонок</t>
  </si>
  <si>
    <t>79397166714 - Исходящий звонок</t>
  </si>
  <si>
    <t>Алексей Skoda Karoq</t>
  </si>
  <si>
    <t>79372005799 - Входящий звонок</t>
  </si>
  <si>
    <t>79178138130 - Входящий звонок</t>
  </si>
  <si>
    <t>79879045885 - Входящий звонок</t>
  </si>
  <si>
    <t>пленка под карбон</t>
  </si>
  <si>
    <t>Евгений Александрович - Открытая линия Левша</t>
  </si>
  <si>
    <t>Евгений</t>
  </si>
  <si>
    <t>Александрович</t>
  </si>
  <si>
    <t>79171112020 - Входящий звонок</t>
  </si>
  <si>
    <t>бампер мерседеса</t>
  </si>
  <si>
    <t>79270005846 - Входящий звонок</t>
  </si>
  <si>
    <t>Станислав - Открытая линия Левша</t>
  </si>
  <si>
    <t>79608114138 - Входящий звонок</t>
  </si>
  <si>
    <t>79279037178 - Входящий звонок</t>
  </si>
  <si>
    <t>79874474437 - Входящий звонок</t>
  </si>
  <si>
    <t>Аскар BMW X1</t>
  </si>
  <si>
    <t>СХ9</t>
  </si>
  <si>
    <t>78463727351 - Входящий звонок</t>
  </si>
  <si>
    <t>(direct)</t>
  </si>
  <si>
    <t>78463561409 - Входящий звонок</t>
  </si>
  <si>
    <t>79096009900 - Входящий звонок</t>
  </si>
  <si>
    <t>79871634577 - Входящий звонок</t>
  </si>
  <si>
    <t>Павел Воеводин - Открытая линия Левша</t>
  </si>
  <si>
    <t>Воеводин</t>
  </si>
  <si>
    <t>снять наклейку такси</t>
  </si>
  <si>
    <t>Сергей Мазда 6</t>
  </si>
  <si>
    <t>79171120005 - Входящий звонок</t>
  </si>
  <si>
    <t>удаление вмятин без покраски</t>
  </si>
  <si>
    <t>юрий - Открытая линия Левша</t>
  </si>
  <si>
    <t>юрий</t>
  </si>
  <si>
    <t>79950989662 - Входящий звонок</t>
  </si>
  <si>
    <t>Владислав - Открытая линия Левша</t>
  </si>
  <si>
    <t>79277184749 - Входящий звонок</t>
  </si>
  <si>
    <t>79277557793 - Входящий звонок</t>
  </si>
  <si>
    <t>Вячеслав - Открытая линия Левша</t>
  </si>
  <si>
    <t>❌❌❌Kosmos #13 #24 - Открытая линия Левша</t>
  </si>
  <si>
    <t>❌❌❌Kosmos #13 #24</t>
  </si>
  <si>
    <t>Виталий Hyndai I40</t>
  </si>
  <si>
    <t>Максим Митсубиси л200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</si>
  <si>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</si>
  <si>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</si>
  <si>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</si>
  <si>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</si>
  <si>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</si>
  <si>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</si>
  <si>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</si>
  <si>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</si>
  <si>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</si>
  <si>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</si>
  <si>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</si>
  <si>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</si>
  <si>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</si>
  <si>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</si>
  <si>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</si>
  <si>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</si>
  <si>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</si>
  <si>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</si>
  <si>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</si>
  <si>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</si>
  <si>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</si>
  <si>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</si>
  <si>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</si>
  <si>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</si>
  <si>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</si>
  <si>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</si>
  <si>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</si>
  <si>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</si>
  <si>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</si>
  <si>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</si>
  <si>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</si>
  <si>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</si>
  <si>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</si>
  <si>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</si>
  <si>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</si>
  <si>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</si>
  <si>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</si>
  <si>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</si>
  <si>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</si>
  <si>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</si>
  <si>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</si>
  <si>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</si>
  <si>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</si>
  <si>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</si>
  <si>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</si>
  <si>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</si>
  <si>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</si>
  <si>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</si>
  <si>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</si>
  <si>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</si>
  <si>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</si>
  <si>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</si>
  <si>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</si>
  <si>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</si>
  <si>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</si>
  <si>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</si>
  <si>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</si>
  <si>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</si>
  <si>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</si>
  <si>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</si>
  <si>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</si>
  <si>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</si>
  <si>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</si>
  <si>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</si>
  <si>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</si>
  <si>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</si>
  <si>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</si>
  <si>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</si>
  <si>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</si>
  <si>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</si>
  <si>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</si>
  <si>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</si>
  <si>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</si>
  <si>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</si>
  <si>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</si>
  <si>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</si>
  <si>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</si>
  <si>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</si>
  <si>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</si>
  <si>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</si>
  <si>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</si>
  <si>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</si>
  <si>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</si>
  <si>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</si>
  <si>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</si>
  <si>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</si>
  <si>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</si>
  <si>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</si>
  <si>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</si>
  <si>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</si>
  <si>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</si>
  <si>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</si>
  <si>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</si>
  <si>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</si>
  <si>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</si>
  <si>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</si>
  <si>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</si>
  <si>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</si>
  <si>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</si>
  <si>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</si>
  <si>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</si>
  <si>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</si>
  <si>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</si>
  <si>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</si>
  <si>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</si>
  <si>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</si>
  <si>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</si>
  <si>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</si>
  <si>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</si>
  <si>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</si>
  <si>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</si>
  <si>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</si>
  <si>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</si>
  <si>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</si>
  <si>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</si>
  <si>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</si>
  <si>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</si>
  <si>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</si>
  <si>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</si>
  <si>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</si>
  <si>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</si>
  <si>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</si>
  <si>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</si>
  <si>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</si>
  <si>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</si>
  <si>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</si>
  <si>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</si>
  <si>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</si>
  <si>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</si>
  <si>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</si>
  <si>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</si>
  <si>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</si>
  <si>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</si>
  <si>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</si>
  <si>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</si>
  <si>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</si>
  <si>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</si>
  <si>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</si>
  <si>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</si>
  <si>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</si>
  <si>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</si>
  <si>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</si>
  <si>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</si>
  <si>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</si>
  <si>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</si>
  <si>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</si>
  <si>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</si>
  <si>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</si>
  <si>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</si>
  <si>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</si>
  <si>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</si>
  <si>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</si>
  <si>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</si>
  <si>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</si>
  <si>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</si>
  <si>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</si>
  <si>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</si>
  <si>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</si>
  <si>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</si>
  <si>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</si>
  <si>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</si>
  <si>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</si>
  <si>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</si>
  <si>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</si>
  <si>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</si>
  <si>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</si>
  <si>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</si>
  <si>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</si>
  <si>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</si>
  <si>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</si>
  <si>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</si>
  <si>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</si>
  <si>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</si>
  <si>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</si>
  <si>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</si>
  <si>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</si>
  <si>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</si>
  <si>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</si>
  <si>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</si>
  <si>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</si>
  <si>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</si>
  <si>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</si>
  <si>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</si>
  <si>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</si>
  <si>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</si>
  <si>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</si>
  <si>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</si>
  <si>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</si>
  <si>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</si>
  <si>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</si>
  <si>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</si>
  <si>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</si>
  <si>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</si>
  <si>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</si>
  <si>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</si>
  <si>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</si>
  <si>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</si>
  <si>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</si>
  <si>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</si>
  <si>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</si>
  <si>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</si>
  <si>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</si>
  <si>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</si>
  <si>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</si>
  <si>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</si>
  <si>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</si>
  <si>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</si>
  <si>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</si>
  <si>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</si>
  <si>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</si>
  <si>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</si>
  <si>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</si>
  <si>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</si>
  <si>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</si>
  <si>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</si>
  <si>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</si>
  <si>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</si>
  <si>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</si>
  <si>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</si>
  <si>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</si>
  <si>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</si>
  <si>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</si>
  <si>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</si>
  <si>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</si>
  <si>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</si>
  <si>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</si>
  <si>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</si>
  <si>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</si>
  <si>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</si>
  <si>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</si>
  <si>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</si>
  <si>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</si>
  <si>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</si>
  <si>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</si>
  <si>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</si>
  <si>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</si>
  <si>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</si>
  <si>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</si>
  <si>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</si>
  <si>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</si>
  <si>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</si>
  <si>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</si>
  <si>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Левша — плёнка: лиды и спрос Wordstat по неделям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</si>
  <si>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</si>
  <si>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</si>
  <si>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</si>
  <si>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</si>
  <si>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</si>
  <si>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Левша — спрос на плёнку и лиды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</si>
  <si>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</si>
  <si>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</si>
  <si>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</si>
  <si>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</si>
  <si>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</si>
  <si>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</si>
  <si>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</si>
  <si>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</si>
  <si>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</si>
  <si>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</si>
  <si>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</si>
  <si>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Примечание: последняя неделя лидов 13–19.07.2026 исключена, так как соответствующего периода нет в выгрузке Wordstat.</t>
  </si>
  <si>
    <t>Недельная динамика спроса и лидов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</si>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</sst>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0.000000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8">
    <dxf>
      <numFmt numFmtId="165" formatCode="0.000000"/>
    </dxf>
    <dxf>
      <numFmt numFmtId="19" formatCode="dd/mm/yyyy"/>
    </dxf>
    <dxf>
      <numFmt numFmtId="19" formatCode="dd/mm/yyyy"/>
    </dxf>
    <dxf>
      <numFmt numFmtId="164" formatCode="dd/mm/yyyy\ hh:mm"/>
    </dxf>
    <dxf>
      <font>
        <b/>
      </font>
    </dxf>
    <dxf>
      <numFmt numFmtId="166" formatCode="0.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Лиды, качественные лиды и запросы </a:t>
            </a:r>
            <a:r>
              <a:rPr lang="en-US"/>
              <a:t>Wordstat </a:t>
            </a:r>
            <a:r>
              <a:rPr lang="ru-RU"/>
              <a:t>по неделям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1</c:v>
                </c:pt>
                <c:pt idx="1">
                  <c:v>16</c:v>
                </c:pt>
                <c:pt idx="2">
                  <c:v>20</c:v>
                </c:pt>
                <c:pt idx="3">
                  <c:v>23</c:v>
                </c:pt>
                <c:pt idx="4">
                  <c:v>19</c:v>
                </c:pt>
                <c:pt idx="5">
                  <c:v>13</c:v>
                </c:pt>
                <c:pt idx="6">
                  <c:v>17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22</c:v>
                </c:pt>
                <c:pt idx="11">
                  <c:v>11</c:v>
                </c:pt>
                <c:pt idx="12">
                  <c:v>24</c:v>
                </c:pt>
                <c:pt idx="13">
                  <c:v>22</c:v>
                </c:pt>
                <c:pt idx="14">
                  <c:v>19</c:v>
                </c:pt>
                <c:pt idx="15">
                  <c:v>13</c:v>
                </c:pt>
                <c:pt idx="16">
                  <c:v>21</c:v>
                </c:pt>
                <c:pt idx="17">
                  <c:v>12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23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12</c:v>
                </c:pt>
                <c:pt idx="48">
                  <c:v>8</c:v>
                </c:pt>
                <c:pt idx="49">
                  <c:v>12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14</c:v>
                </c:pt>
                <c:pt idx="57">
                  <c:v>11</c:v>
                </c:pt>
                <c:pt idx="58">
                  <c:v>10</c:v>
                </c:pt>
                <c:pt idx="59">
                  <c:v>15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27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30</c:v>
                </c:pt>
                <c:pt idx="71">
                  <c:v>25</c:v>
                </c:pt>
                <c:pt idx="72">
                  <c:v>22</c:v>
                </c:pt>
                <c:pt idx="73">
                  <c:v>18</c:v>
                </c:pt>
                <c:pt idx="74">
                  <c:v>17</c:v>
                </c:pt>
                <c:pt idx="75">
                  <c:v>38</c:v>
                </c:pt>
                <c:pt idx="76">
                  <c:v>21</c:v>
                </c:pt>
                <c:pt idx="77">
                  <c:v>15</c:v>
                </c:pt>
                <c:pt idx="78">
                  <c:v>30</c:v>
                </c:pt>
                <c:pt idx="79">
                  <c:v>22</c:v>
                </c:pt>
                <c:pt idx="80">
                  <c:v>14</c:v>
                </c:pt>
                <c:pt idx="81">
                  <c:v>24</c:v>
                </c:pt>
                <c:pt idx="82">
                  <c:v>20</c:v>
                </c:pt>
                <c:pt idx="83">
                  <c:v>19</c:v>
                </c:pt>
                <c:pt idx="84">
                  <c:v>22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26</c:v>
                </c:pt>
                <c:pt idx="89">
                  <c:v>30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24</c:v>
                </c:pt>
                <c:pt idx="94">
                  <c:v>20</c:v>
                </c:pt>
                <c:pt idx="95">
                  <c:v>37</c:v>
                </c:pt>
                <c:pt idx="96">
                  <c:v>24</c:v>
                </c:pt>
                <c:pt idx="97">
                  <c:v>19</c:v>
                </c:pt>
                <c:pt idx="98">
                  <c:v>19</c:v>
                </c:pt>
                <c:pt idx="99">
                  <c:v>26</c:v>
                </c:pt>
                <c:pt idx="100">
                  <c:v>16</c:v>
                </c:pt>
                <c:pt idx="101">
                  <c:v>14</c:v>
                </c:pt>
                <c:pt idx="102">
                  <c:v>11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18</c:v>
                </c:pt>
                <c:pt idx="108">
                  <c:v>15</c:v>
                </c:pt>
                <c:pt idx="109">
                  <c:v>25</c:v>
                </c:pt>
                <c:pt idx="110">
                  <c:v>19</c:v>
                </c:pt>
                <c:pt idx="111">
                  <c:v>23</c:v>
                </c:pt>
                <c:pt idx="112">
                  <c:v>23</c:v>
                </c:pt>
                <c:pt idx="113">
                  <c:v>22</c:v>
                </c:pt>
                <c:pt idx="114">
                  <c:v>25</c:v>
                </c:pt>
                <c:pt idx="115">
                  <c:v>33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39</c:v>
                </c:pt>
                <c:pt idx="122">
                  <c:v>29</c:v>
                </c:pt>
                <c:pt idx="123">
                  <c:v>33</c:v>
                </c:pt>
                <c:pt idx="124">
                  <c:v>32</c:v>
                </c:pt>
                <c:pt idx="125">
                  <c:v>38</c:v>
                </c:pt>
                <c:pt idx="126">
                  <c:v>25</c:v>
                </c:pt>
                <c:pt idx="127">
                  <c:v>26</c:v>
                </c:pt>
                <c:pt idx="128">
                  <c:v>25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41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19</c:v>
                </c:pt>
                <c:pt idx="139">
                  <c:v>31</c:v>
                </c:pt>
                <c:pt idx="140">
                  <c:v>28</c:v>
                </c:pt>
                <c:pt idx="141">
                  <c:v>20</c:v>
                </c:pt>
                <c:pt idx="142">
                  <c:v>17</c:v>
                </c:pt>
                <c:pt idx="143">
                  <c:v>29</c:v>
                </c:pt>
                <c:pt idx="144">
                  <c:v>19</c:v>
                </c:pt>
                <c:pt idx="145">
                  <c:v>22</c:v>
                </c:pt>
                <c:pt idx="146">
                  <c:v>18</c:v>
                </c:pt>
                <c:pt idx="147">
                  <c:v>19</c:v>
                </c:pt>
                <c:pt idx="148">
                  <c:v>24</c:v>
                </c:pt>
                <c:pt idx="149">
                  <c:v>16</c:v>
                </c:pt>
                <c:pt idx="150">
                  <c:v>23</c:v>
                </c:pt>
                <c:pt idx="151">
                  <c:v>20</c:v>
                </c:pt>
                <c:pt idx="152">
                  <c:v>19</c:v>
                </c:pt>
                <c:pt idx="153">
                  <c:v>6</c:v>
                </c:pt>
                <c:pt idx="154">
                  <c:v>11</c:v>
                </c:pt>
                <c:pt idx="155">
                  <c:v>14</c:v>
                </c:pt>
                <c:pt idx="156">
                  <c:v>12</c:v>
                </c:pt>
                <c:pt idx="157">
                  <c:v>2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14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23</c:v>
                </c:pt>
                <c:pt idx="167">
                  <c:v>17</c:v>
                </c:pt>
                <c:pt idx="168">
                  <c:v>20</c:v>
                </c:pt>
                <c:pt idx="169">
                  <c:v>23</c:v>
                </c:pt>
                <c:pt idx="170">
                  <c:v>20</c:v>
                </c:pt>
                <c:pt idx="171">
                  <c:v>16</c:v>
                </c:pt>
                <c:pt idx="172">
                  <c:v>22</c:v>
                </c:pt>
                <c:pt idx="173">
                  <c:v>30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27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20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29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27</c:v>
                </c:pt>
                <c:pt idx="203">
                  <c:v>32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25</c:v>
                </c:pt>
                <c:pt idx="217">
                  <c:v>23</c:v>
                </c:pt>
                <c:pt idx="218">
                  <c:v>21</c:v>
                </c:pt>
                <c:pt idx="219">
                  <c:v>30</c:v>
                </c:pt>
                <c:pt idx="220">
                  <c:v>25</c:v>
                </c:pt>
                <c:pt idx="221">
                  <c:v>23</c:v>
                </c:pt>
                <c:pt idx="222">
                  <c:v>24</c:v>
                </c:pt>
                <c:pt idx="223">
                  <c:v>28</c:v>
                </c:pt>
                <c:pt idx="224">
                  <c:v>23</c:v>
                </c:pt>
                <c:pt idx="225">
                  <c:v>22</c:v>
                </c:pt>
                <c:pt idx="226">
                  <c:v>19</c:v>
                </c:pt>
                <c:pt idx="227">
                  <c:v>21</c:v>
                </c:pt>
                <c:pt idx="228">
                  <c:v>22</c:v>
                </c:pt>
                <c:pt idx="229">
                  <c:v>32</c:v>
                </c:pt>
                <c:pt idx="230">
                  <c:v>36</c:v>
                </c:pt>
                <c:pt idx="231">
                  <c:v>44</c:v>
                </c:pt>
                <c:pt idx="232">
                  <c:v>23</c:v>
                </c:pt>
                <c:pt idx="233">
                  <c:v>47</c:v>
                </c:pt>
                <c:pt idx="234">
                  <c:v>27</c:v>
                </c:pt>
                <c:pt idx="235">
                  <c:v>25</c:v>
                </c:pt>
                <c:pt idx="23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12</c:v>
                </c:pt>
                <c:pt idx="2">
                  <c:v>19</c:v>
                </c:pt>
                <c:pt idx="3">
                  <c:v>21</c:v>
                </c:pt>
                <c:pt idx="4">
                  <c:v>18</c:v>
                </c:pt>
                <c:pt idx="5">
                  <c:v>13</c:v>
                </c:pt>
                <c:pt idx="6">
                  <c:v>17</c:v>
                </c:pt>
                <c:pt idx="7">
                  <c:v>17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11</c:v>
                </c:pt>
                <c:pt idx="12">
                  <c:v>24</c:v>
                </c:pt>
                <c:pt idx="13">
                  <c:v>21</c:v>
                </c:pt>
                <c:pt idx="14">
                  <c:v>18</c:v>
                </c:pt>
                <c:pt idx="15">
                  <c:v>13</c:v>
                </c:pt>
                <c:pt idx="16">
                  <c:v>21</c:v>
                </c:pt>
                <c:pt idx="17">
                  <c:v>11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10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22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11</c:v>
                </c:pt>
                <c:pt idx="48">
                  <c:v>8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13</c:v>
                </c:pt>
                <c:pt idx="57">
                  <c:v>11</c:v>
                </c:pt>
                <c:pt idx="58">
                  <c:v>10</c:v>
                </c:pt>
                <c:pt idx="59">
                  <c:v>13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26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29</c:v>
                </c:pt>
                <c:pt idx="71">
                  <c:v>25</c:v>
                </c:pt>
                <c:pt idx="72">
                  <c:v>22</c:v>
                </c:pt>
                <c:pt idx="73">
                  <c:v>17</c:v>
                </c:pt>
                <c:pt idx="74">
                  <c:v>14</c:v>
                </c:pt>
                <c:pt idx="75">
                  <c:v>36</c:v>
                </c:pt>
                <c:pt idx="76">
                  <c:v>20</c:v>
                </c:pt>
                <c:pt idx="77">
                  <c:v>14</c:v>
                </c:pt>
                <c:pt idx="78">
                  <c:v>29</c:v>
                </c:pt>
                <c:pt idx="79">
                  <c:v>21</c:v>
                </c:pt>
                <c:pt idx="80">
                  <c:v>14</c:v>
                </c:pt>
                <c:pt idx="81">
                  <c:v>24</c:v>
                </c:pt>
                <c:pt idx="82">
                  <c:v>19</c:v>
                </c:pt>
                <c:pt idx="83">
                  <c:v>18</c:v>
                </c:pt>
                <c:pt idx="84">
                  <c:v>21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25</c:v>
                </c:pt>
                <c:pt idx="89">
                  <c:v>29</c:v>
                </c:pt>
                <c:pt idx="90">
                  <c:v>28</c:v>
                </c:pt>
                <c:pt idx="91">
                  <c:v>30</c:v>
                </c:pt>
                <c:pt idx="92">
                  <c:v>32</c:v>
                </c:pt>
                <c:pt idx="93">
                  <c:v>24</c:v>
                </c:pt>
                <c:pt idx="94">
                  <c:v>18</c:v>
                </c:pt>
                <c:pt idx="95">
                  <c:v>35</c:v>
                </c:pt>
                <c:pt idx="96">
                  <c:v>22</c:v>
                </c:pt>
                <c:pt idx="97">
                  <c:v>18</c:v>
                </c:pt>
                <c:pt idx="98">
                  <c:v>17</c:v>
                </c:pt>
                <c:pt idx="99">
                  <c:v>26</c:v>
                </c:pt>
                <c:pt idx="100">
                  <c:v>15</c:v>
                </c:pt>
                <c:pt idx="101">
                  <c:v>14</c:v>
                </c:pt>
                <c:pt idx="102">
                  <c:v>10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17</c:v>
                </c:pt>
                <c:pt idx="108">
                  <c:v>14</c:v>
                </c:pt>
                <c:pt idx="109">
                  <c:v>24</c:v>
                </c:pt>
                <c:pt idx="110">
                  <c:v>18</c:v>
                </c:pt>
                <c:pt idx="111">
                  <c:v>22</c:v>
                </c:pt>
                <c:pt idx="112">
                  <c:v>23</c:v>
                </c:pt>
                <c:pt idx="113">
                  <c:v>20</c:v>
                </c:pt>
                <c:pt idx="114">
                  <c:v>24</c:v>
                </c:pt>
                <c:pt idx="115">
                  <c:v>31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38</c:v>
                </c:pt>
                <c:pt idx="122">
                  <c:v>29</c:v>
                </c:pt>
                <c:pt idx="123">
                  <c:v>31</c:v>
                </c:pt>
                <c:pt idx="124">
                  <c:v>31</c:v>
                </c:pt>
                <c:pt idx="125">
                  <c:v>38</c:v>
                </c:pt>
                <c:pt idx="126">
                  <c:v>25</c:v>
                </c:pt>
                <c:pt idx="127">
                  <c:v>24</c:v>
                </c:pt>
                <c:pt idx="128">
                  <c:v>24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40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18</c:v>
                </c:pt>
                <c:pt idx="139">
                  <c:v>29</c:v>
                </c:pt>
                <c:pt idx="140">
                  <c:v>28</c:v>
                </c:pt>
                <c:pt idx="141">
                  <c:v>20</c:v>
                </c:pt>
                <c:pt idx="142">
                  <c:v>16</c:v>
                </c:pt>
                <c:pt idx="143">
                  <c:v>29</c:v>
                </c:pt>
                <c:pt idx="144">
                  <c:v>16</c:v>
                </c:pt>
                <c:pt idx="145">
                  <c:v>22</c:v>
                </c:pt>
                <c:pt idx="146">
                  <c:v>18</c:v>
                </c:pt>
                <c:pt idx="147">
                  <c:v>18</c:v>
                </c:pt>
                <c:pt idx="148">
                  <c:v>23</c:v>
                </c:pt>
                <c:pt idx="149">
                  <c:v>16</c:v>
                </c:pt>
                <c:pt idx="150">
                  <c:v>20</c:v>
                </c:pt>
                <c:pt idx="151">
                  <c:v>20</c:v>
                </c:pt>
                <c:pt idx="152">
                  <c:v>18</c:v>
                </c:pt>
                <c:pt idx="153">
                  <c:v>6</c:v>
                </c:pt>
                <c:pt idx="154">
                  <c:v>10</c:v>
                </c:pt>
                <c:pt idx="155">
                  <c:v>13</c:v>
                </c:pt>
                <c:pt idx="156">
                  <c:v>12</c:v>
                </c:pt>
                <c:pt idx="157">
                  <c:v>1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13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22</c:v>
                </c:pt>
                <c:pt idx="167">
                  <c:v>16</c:v>
                </c:pt>
                <c:pt idx="168">
                  <c:v>20</c:v>
                </c:pt>
                <c:pt idx="169">
                  <c:v>23</c:v>
                </c:pt>
                <c:pt idx="170">
                  <c:v>18</c:v>
                </c:pt>
                <c:pt idx="171">
                  <c:v>16</c:v>
                </c:pt>
                <c:pt idx="172">
                  <c:v>22</c:v>
                </c:pt>
                <c:pt idx="173">
                  <c:v>28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26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19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27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26</c:v>
                </c:pt>
                <c:pt idx="203">
                  <c:v>31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23</c:v>
                </c:pt>
                <c:pt idx="217">
                  <c:v>22</c:v>
                </c:pt>
                <c:pt idx="218">
                  <c:v>20</c:v>
                </c:pt>
                <c:pt idx="219">
                  <c:v>29</c:v>
                </c:pt>
                <c:pt idx="220">
                  <c:v>25</c:v>
                </c:pt>
                <c:pt idx="221">
                  <c:v>23</c:v>
                </c:pt>
                <c:pt idx="222">
                  <c:v>23</c:v>
                </c:pt>
                <c:pt idx="223">
                  <c:v>27</c:v>
                </c:pt>
                <c:pt idx="224">
                  <c:v>23</c:v>
                </c:pt>
                <c:pt idx="225">
                  <c:v>22</c:v>
                </c:pt>
                <c:pt idx="226">
                  <c:v>18</c:v>
                </c:pt>
                <c:pt idx="227">
                  <c:v>21</c:v>
                </c:pt>
                <c:pt idx="228">
                  <c:v>20</c:v>
                </c:pt>
                <c:pt idx="229">
                  <c:v>31</c:v>
                </c:pt>
                <c:pt idx="230">
                  <c:v>32</c:v>
                </c:pt>
                <c:pt idx="231">
                  <c:v>34</c:v>
                </c:pt>
                <c:pt idx="232">
                  <c:v>22</c:v>
                </c:pt>
                <c:pt idx="233">
                  <c:v>43</c:v>
                </c:pt>
                <c:pt idx="234">
                  <c:v>25</c:v>
                </c:pt>
                <c:pt idx="235">
                  <c:v>23</c:v>
                </c:pt>
                <c:pt idx="23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1</c:v>
                </c:pt>
                <c:pt idx="1">
                  <c:v>16</c:v>
                </c:pt>
                <c:pt idx="2">
                  <c:v>20</c:v>
                </c:pt>
                <c:pt idx="3">
                  <c:v>23</c:v>
                </c:pt>
                <c:pt idx="4">
                  <c:v>19</c:v>
                </c:pt>
                <c:pt idx="5">
                  <c:v>13</c:v>
                </c:pt>
                <c:pt idx="6">
                  <c:v>17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22</c:v>
                </c:pt>
                <c:pt idx="11">
                  <c:v>11</c:v>
                </c:pt>
                <c:pt idx="12">
                  <c:v>24</c:v>
                </c:pt>
                <c:pt idx="13">
                  <c:v>22</c:v>
                </c:pt>
                <c:pt idx="14">
                  <c:v>19</c:v>
                </c:pt>
                <c:pt idx="15">
                  <c:v>13</c:v>
                </c:pt>
                <c:pt idx="16">
                  <c:v>21</c:v>
                </c:pt>
                <c:pt idx="17">
                  <c:v>12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23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12</c:v>
                </c:pt>
                <c:pt idx="48">
                  <c:v>8</c:v>
                </c:pt>
                <c:pt idx="49">
                  <c:v>12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14</c:v>
                </c:pt>
                <c:pt idx="57">
                  <c:v>11</c:v>
                </c:pt>
                <c:pt idx="58">
                  <c:v>10</c:v>
                </c:pt>
                <c:pt idx="59">
                  <c:v>15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27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30</c:v>
                </c:pt>
                <c:pt idx="71">
                  <c:v>25</c:v>
                </c:pt>
                <c:pt idx="72">
                  <c:v>22</c:v>
                </c:pt>
                <c:pt idx="73">
                  <c:v>18</c:v>
                </c:pt>
                <c:pt idx="74">
                  <c:v>17</c:v>
                </c:pt>
                <c:pt idx="75">
                  <c:v>38</c:v>
                </c:pt>
                <c:pt idx="76">
                  <c:v>21</c:v>
                </c:pt>
                <c:pt idx="77">
                  <c:v>15</c:v>
                </c:pt>
                <c:pt idx="78">
                  <c:v>30</c:v>
                </c:pt>
                <c:pt idx="79">
                  <c:v>22</c:v>
                </c:pt>
                <c:pt idx="80">
                  <c:v>14</c:v>
                </c:pt>
                <c:pt idx="81">
                  <c:v>24</c:v>
                </c:pt>
                <c:pt idx="82">
                  <c:v>20</c:v>
                </c:pt>
                <c:pt idx="83">
                  <c:v>19</c:v>
                </c:pt>
                <c:pt idx="84">
                  <c:v>22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26</c:v>
                </c:pt>
                <c:pt idx="89">
                  <c:v>30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24</c:v>
                </c:pt>
                <c:pt idx="94">
                  <c:v>20</c:v>
                </c:pt>
                <c:pt idx="95">
                  <c:v>37</c:v>
                </c:pt>
                <c:pt idx="96">
                  <c:v>24</c:v>
                </c:pt>
                <c:pt idx="97">
                  <c:v>19</c:v>
                </c:pt>
                <c:pt idx="98">
                  <c:v>19</c:v>
                </c:pt>
                <c:pt idx="99">
                  <c:v>26</c:v>
                </c:pt>
                <c:pt idx="100">
                  <c:v>16</c:v>
                </c:pt>
                <c:pt idx="101">
                  <c:v>14</c:v>
                </c:pt>
                <c:pt idx="102">
                  <c:v>11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18</c:v>
                </c:pt>
                <c:pt idx="108">
                  <c:v>15</c:v>
                </c:pt>
                <c:pt idx="109">
                  <c:v>25</c:v>
                </c:pt>
                <c:pt idx="110">
                  <c:v>19</c:v>
                </c:pt>
                <c:pt idx="111">
                  <c:v>23</c:v>
                </c:pt>
                <c:pt idx="112">
                  <c:v>23</c:v>
                </c:pt>
                <c:pt idx="113">
                  <c:v>22</c:v>
                </c:pt>
                <c:pt idx="114">
                  <c:v>25</c:v>
                </c:pt>
                <c:pt idx="115">
                  <c:v>33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39</c:v>
                </c:pt>
                <c:pt idx="122">
                  <c:v>29</c:v>
                </c:pt>
                <c:pt idx="123">
                  <c:v>33</c:v>
                </c:pt>
                <c:pt idx="124">
                  <c:v>32</c:v>
                </c:pt>
                <c:pt idx="125">
                  <c:v>38</c:v>
                </c:pt>
                <c:pt idx="126">
                  <c:v>25</c:v>
                </c:pt>
                <c:pt idx="127">
                  <c:v>26</c:v>
                </c:pt>
                <c:pt idx="128">
                  <c:v>25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41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19</c:v>
                </c:pt>
                <c:pt idx="139">
                  <c:v>31</c:v>
                </c:pt>
                <c:pt idx="140">
                  <c:v>28</c:v>
                </c:pt>
                <c:pt idx="141">
                  <c:v>20</c:v>
                </c:pt>
                <c:pt idx="142">
                  <c:v>17</c:v>
                </c:pt>
                <c:pt idx="143">
                  <c:v>29</c:v>
                </c:pt>
                <c:pt idx="144">
                  <c:v>19</c:v>
                </c:pt>
                <c:pt idx="145">
                  <c:v>22</c:v>
                </c:pt>
                <c:pt idx="146">
                  <c:v>18</c:v>
                </c:pt>
                <c:pt idx="147">
                  <c:v>19</c:v>
                </c:pt>
                <c:pt idx="148">
                  <c:v>24</c:v>
                </c:pt>
                <c:pt idx="149">
                  <c:v>16</c:v>
                </c:pt>
                <c:pt idx="150">
                  <c:v>23</c:v>
                </c:pt>
                <c:pt idx="151">
                  <c:v>20</c:v>
                </c:pt>
                <c:pt idx="152">
                  <c:v>19</c:v>
                </c:pt>
                <c:pt idx="153">
                  <c:v>6</c:v>
                </c:pt>
                <c:pt idx="154">
                  <c:v>11</c:v>
                </c:pt>
                <c:pt idx="155">
                  <c:v>14</c:v>
                </c:pt>
                <c:pt idx="156">
                  <c:v>12</c:v>
                </c:pt>
                <c:pt idx="157">
                  <c:v>2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14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23</c:v>
                </c:pt>
                <c:pt idx="167">
                  <c:v>17</c:v>
                </c:pt>
                <c:pt idx="168">
                  <c:v>20</c:v>
                </c:pt>
                <c:pt idx="169">
                  <c:v>23</c:v>
                </c:pt>
                <c:pt idx="170">
                  <c:v>20</c:v>
                </c:pt>
                <c:pt idx="171">
                  <c:v>16</c:v>
                </c:pt>
                <c:pt idx="172">
                  <c:v>22</c:v>
                </c:pt>
                <c:pt idx="173">
                  <c:v>30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27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20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29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27</c:v>
                </c:pt>
                <c:pt idx="203">
                  <c:v>32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25</c:v>
                </c:pt>
                <c:pt idx="217">
                  <c:v>23</c:v>
                </c:pt>
                <c:pt idx="218">
                  <c:v>21</c:v>
                </c:pt>
                <c:pt idx="219">
                  <c:v>30</c:v>
                </c:pt>
                <c:pt idx="220">
                  <c:v>25</c:v>
                </c:pt>
                <c:pt idx="221">
                  <c:v>23</c:v>
                </c:pt>
                <c:pt idx="222">
                  <c:v>24</c:v>
                </c:pt>
                <c:pt idx="223">
                  <c:v>28</c:v>
                </c:pt>
                <c:pt idx="224">
                  <c:v>23</c:v>
                </c:pt>
                <c:pt idx="225">
                  <c:v>22</c:v>
                </c:pt>
                <c:pt idx="226">
                  <c:v>19</c:v>
                </c:pt>
                <c:pt idx="227">
                  <c:v>21</c:v>
                </c:pt>
                <c:pt idx="228">
                  <c:v>22</c:v>
                </c:pt>
                <c:pt idx="229">
                  <c:v>32</c:v>
                </c:pt>
                <c:pt idx="230">
                  <c:v>36</c:v>
                </c:pt>
                <c:pt idx="231">
                  <c:v>44</c:v>
                </c:pt>
                <c:pt idx="232">
                  <c:v>23</c:v>
                </c:pt>
                <c:pt idx="233">
                  <c:v>47</c:v>
                </c:pt>
                <c:pt idx="234">
                  <c:v>27</c:v>
                </c:pt>
                <c:pt idx="235">
                  <c:v>25</c:v>
                </c:pt>
                <c:pt idx="236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12</c:v>
                </c:pt>
                <c:pt idx="2">
                  <c:v>19</c:v>
                </c:pt>
                <c:pt idx="3">
                  <c:v>21</c:v>
                </c:pt>
                <c:pt idx="4">
                  <c:v>18</c:v>
                </c:pt>
                <c:pt idx="5">
                  <c:v>13</c:v>
                </c:pt>
                <c:pt idx="6">
                  <c:v>17</c:v>
                </c:pt>
                <c:pt idx="7">
                  <c:v>17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11</c:v>
                </c:pt>
                <c:pt idx="12">
                  <c:v>24</c:v>
                </c:pt>
                <c:pt idx="13">
                  <c:v>21</c:v>
                </c:pt>
                <c:pt idx="14">
                  <c:v>18</c:v>
                </c:pt>
                <c:pt idx="15">
                  <c:v>13</c:v>
                </c:pt>
                <c:pt idx="16">
                  <c:v>21</c:v>
                </c:pt>
                <c:pt idx="17">
                  <c:v>11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10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22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11</c:v>
                </c:pt>
                <c:pt idx="48">
                  <c:v>8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13</c:v>
                </c:pt>
                <c:pt idx="57">
                  <c:v>11</c:v>
                </c:pt>
                <c:pt idx="58">
                  <c:v>10</c:v>
                </c:pt>
                <c:pt idx="59">
                  <c:v>13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26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29</c:v>
                </c:pt>
                <c:pt idx="71">
                  <c:v>25</c:v>
                </c:pt>
                <c:pt idx="72">
                  <c:v>22</c:v>
                </c:pt>
                <c:pt idx="73">
                  <c:v>17</c:v>
                </c:pt>
                <c:pt idx="74">
                  <c:v>14</c:v>
                </c:pt>
                <c:pt idx="75">
                  <c:v>36</c:v>
                </c:pt>
                <c:pt idx="76">
                  <c:v>20</c:v>
                </c:pt>
                <c:pt idx="77">
                  <c:v>14</c:v>
                </c:pt>
                <c:pt idx="78">
                  <c:v>29</c:v>
                </c:pt>
                <c:pt idx="79">
                  <c:v>21</c:v>
                </c:pt>
                <c:pt idx="80">
                  <c:v>14</c:v>
                </c:pt>
                <c:pt idx="81">
                  <c:v>24</c:v>
                </c:pt>
                <c:pt idx="82">
                  <c:v>19</c:v>
                </c:pt>
                <c:pt idx="83">
                  <c:v>18</c:v>
                </c:pt>
                <c:pt idx="84">
                  <c:v>21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25</c:v>
                </c:pt>
                <c:pt idx="89">
                  <c:v>29</c:v>
                </c:pt>
                <c:pt idx="90">
                  <c:v>28</c:v>
                </c:pt>
                <c:pt idx="91">
                  <c:v>30</c:v>
                </c:pt>
                <c:pt idx="92">
                  <c:v>32</c:v>
                </c:pt>
                <c:pt idx="93">
                  <c:v>24</c:v>
                </c:pt>
                <c:pt idx="94">
                  <c:v>18</c:v>
                </c:pt>
                <c:pt idx="95">
                  <c:v>35</c:v>
                </c:pt>
                <c:pt idx="96">
                  <c:v>22</c:v>
                </c:pt>
                <c:pt idx="97">
                  <c:v>18</c:v>
                </c:pt>
                <c:pt idx="98">
                  <c:v>17</c:v>
                </c:pt>
                <c:pt idx="99">
                  <c:v>26</c:v>
                </c:pt>
                <c:pt idx="100">
                  <c:v>15</c:v>
                </c:pt>
                <c:pt idx="101">
                  <c:v>14</c:v>
                </c:pt>
                <c:pt idx="102">
                  <c:v>10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17</c:v>
                </c:pt>
                <c:pt idx="108">
                  <c:v>14</c:v>
                </c:pt>
                <c:pt idx="109">
                  <c:v>24</c:v>
                </c:pt>
                <c:pt idx="110">
                  <c:v>18</c:v>
                </c:pt>
                <c:pt idx="111">
                  <c:v>22</c:v>
                </c:pt>
                <c:pt idx="112">
                  <c:v>23</c:v>
                </c:pt>
                <c:pt idx="113">
                  <c:v>20</c:v>
                </c:pt>
                <c:pt idx="114">
                  <c:v>24</c:v>
                </c:pt>
                <c:pt idx="115">
                  <c:v>31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38</c:v>
                </c:pt>
                <c:pt idx="122">
                  <c:v>29</c:v>
                </c:pt>
                <c:pt idx="123">
                  <c:v>31</c:v>
                </c:pt>
                <c:pt idx="124">
                  <c:v>31</c:v>
                </c:pt>
                <c:pt idx="125">
                  <c:v>38</c:v>
                </c:pt>
                <c:pt idx="126">
                  <c:v>25</c:v>
                </c:pt>
                <c:pt idx="127">
                  <c:v>24</c:v>
                </c:pt>
                <c:pt idx="128">
                  <c:v>24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40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18</c:v>
                </c:pt>
                <c:pt idx="139">
                  <c:v>29</c:v>
                </c:pt>
                <c:pt idx="140">
                  <c:v>28</c:v>
                </c:pt>
                <c:pt idx="141">
                  <c:v>20</c:v>
                </c:pt>
                <c:pt idx="142">
                  <c:v>16</c:v>
                </c:pt>
                <c:pt idx="143">
                  <c:v>29</c:v>
                </c:pt>
                <c:pt idx="144">
                  <c:v>16</c:v>
                </c:pt>
                <c:pt idx="145">
                  <c:v>22</c:v>
                </c:pt>
                <c:pt idx="146">
                  <c:v>18</c:v>
                </c:pt>
                <c:pt idx="147">
                  <c:v>18</c:v>
                </c:pt>
                <c:pt idx="148">
                  <c:v>23</c:v>
                </c:pt>
                <c:pt idx="149">
                  <c:v>16</c:v>
                </c:pt>
                <c:pt idx="150">
                  <c:v>20</c:v>
                </c:pt>
                <c:pt idx="151">
                  <c:v>20</c:v>
                </c:pt>
                <c:pt idx="152">
                  <c:v>18</c:v>
                </c:pt>
                <c:pt idx="153">
                  <c:v>6</c:v>
                </c:pt>
                <c:pt idx="154">
                  <c:v>10</c:v>
                </c:pt>
                <c:pt idx="155">
                  <c:v>13</c:v>
                </c:pt>
                <c:pt idx="156">
                  <c:v>12</c:v>
                </c:pt>
                <c:pt idx="157">
                  <c:v>1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13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22</c:v>
                </c:pt>
                <c:pt idx="167">
                  <c:v>16</c:v>
                </c:pt>
                <c:pt idx="168">
                  <c:v>20</c:v>
                </c:pt>
                <c:pt idx="169">
                  <c:v>23</c:v>
                </c:pt>
                <c:pt idx="170">
                  <c:v>18</c:v>
                </c:pt>
                <c:pt idx="171">
                  <c:v>16</c:v>
                </c:pt>
                <c:pt idx="172">
                  <c:v>22</c:v>
                </c:pt>
                <c:pt idx="173">
                  <c:v>28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26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19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27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26</c:v>
                </c:pt>
                <c:pt idx="203">
                  <c:v>31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23</c:v>
                </c:pt>
                <c:pt idx="217">
                  <c:v>22</c:v>
                </c:pt>
                <c:pt idx="218">
                  <c:v>20</c:v>
                </c:pt>
                <c:pt idx="219">
                  <c:v>29</c:v>
                </c:pt>
                <c:pt idx="220">
                  <c:v>25</c:v>
                </c:pt>
                <c:pt idx="221">
                  <c:v>23</c:v>
                </c:pt>
                <c:pt idx="222">
                  <c:v>23</c:v>
                </c:pt>
                <c:pt idx="223">
                  <c:v>27</c:v>
                </c:pt>
                <c:pt idx="224">
                  <c:v>23</c:v>
                </c:pt>
                <c:pt idx="225">
                  <c:v>22</c:v>
                </c:pt>
                <c:pt idx="226">
                  <c:v>18</c:v>
                </c:pt>
                <c:pt idx="227">
                  <c:v>21</c:v>
                </c:pt>
                <c:pt idx="228">
                  <c:v>20</c:v>
                </c:pt>
                <c:pt idx="229">
                  <c:v>31</c:v>
                </c:pt>
                <c:pt idx="230">
                  <c:v>32</c:v>
                </c:pt>
                <c:pt idx="231">
                  <c:v>34</c:v>
                </c:pt>
                <c:pt idx="232">
                  <c:v>22</c:v>
                </c:pt>
                <c:pt idx="233">
                  <c:v>43</c:v>
                </c:pt>
                <c:pt idx="234">
                  <c:v>25</c:v>
                </c:pt>
                <c:pt idx="235">
                  <c:v>23</c:v>
                </c:pt>
                <c:pt idx="23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4DF28-6654-43CF-865C-00EFB15D3871}" name="tblWeekly" displayName="tblWeekly" ref="A4:G241" totalsRowShown="0">
  <autoFilter ref="A4:G241" xr:uid="{A0E2AAE1-5A4D-47B5-AE7B-377FA1C171B0}"/>
  <tableColumns count="7">
    <tableColumn id="1" xr3:uid="{CF920647-B8E5-4076-8B13-642F579B4069}" name="Начало недели" dataDxfId="7"/>
    <tableColumn id="2" xr3:uid="{D1AA069E-B5CC-4FD6-9CFB-4149EFAEDA28}" name="Конец недели" dataDxfId="6"/>
    <tableColumn id="3" xr3:uid="{EBEB993A-D282-4020-BEE3-B221F490DE21}" name="Период Wordstat"/>
    <tableColumn id="4" xr3:uid="{08401C05-F269-443F-910F-D302EADC6382}" name="Все лиды">
      <calculatedColumnFormula>COUNTIFS('Исходник — лиды'!$H$2:$H$4774,"&gt;="&amp;A5,'Исходник — лиды'!$H$2:$H$4774,"&lt;"&amp;B5+1)</calculatedColumnFormula>
    </tableColumn>
    <tableColumn id="5" xr3:uid="{084551EE-DD54-4313-B3BD-01E7FB2D8A87}" name="Качественные лиды">
      <calculatedColumnFormula>COUNTIFS('Исходник — лиды'!$H$2:$H$4774,"&gt;="&amp;A5,'Исходник — лиды'!$H$2:$H$4774,"&lt;"&amp;B5+1,'Исходник — лиды'!$C$2:$C$4774,"Качественный лид")</calculatedColumnFormula>
    </tableColumn>
    <tableColumn id="6" xr3:uid="{9E5A5876-D460-407D-9F96-762D10748A95}" name="Запросы Wordstat"/>
    <tableColumn id="7" xr3:uid="{A133E31A-6063-4D64-922C-26C805E62A84}" name="Доля качественных" dataDxfId="5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B3984-1F38-4D51-9613-A81CAE4BC96F}" name="tblLeads" displayName="tblLeads" ref="A1:Z4774" totalsRowShown="0" headerRowDxfId="4">
  <autoFilter ref="A1:Z4774" xr:uid="{BEEF7E2D-9231-4F06-ABA4-C772FF983CA7}"/>
  <tableColumns count="26">
    <tableColumn id="1" xr3:uid="{6412038F-6ABE-41BE-882F-0C4E9C3014A2}" name="Название лида"/>
    <tableColumn id="2" xr3:uid="{6830FE73-BA59-44F3-A0E0-7EB4FF0D417F}" name="Источник"/>
    <tableColumn id="3" xr3:uid="{2B2804FD-B930-447E-9D4F-79FDD299C87A}" name="Стадия"/>
    <tableColumn id="4" xr3:uid="{E31E271C-02D1-4B32-A905-C31F162C4B08}" name="Обращение"/>
    <tableColumn id="5" xr3:uid="{08084A9F-E86D-44F3-B061-14FEECE06BE6}" name="Имя"/>
    <tableColumn id="6" xr3:uid="{5509FAA3-31C4-483F-957E-34E9A292D54F}" name="Отчество"/>
    <tableColumn id="7" xr3:uid="{54A732F6-26A4-40EC-BAC3-08B28F682868}" name="Фамилия"/>
    <tableColumn id="8" xr3:uid="{2A33799A-62F3-4826-A3FD-E7034F60F9CA}" name="Дата создания" dataDxfId="3"/>
    <tableColumn id="9" xr3:uid="{7F4759AC-6425-4577-A700-E4B9B3EB8A42}" name="Ответственный"/>
    <tableColumn id="10" xr3:uid="{0EDF95FE-AEBB-4EE4-B78C-6FB039EA597A}" name="Путь клиента"/>
    <tableColumn id="11" xr3:uid="{62F43611-5FEE-4214-9F5B-729F26AB1C7D}" name="UTM Source"/>
    <tableColumn id="12" xr3:uid="{A95F65CD-016F-4A8D-9B0C-8F336C1F24DA}" name="UTM Medium"/>
    <tableColumn id="13" xr3:uid="{D96A583D-7812-4193-9496-62E9E708D94C}" name="UTM Campaign"/>
    <tableColumn id="14" xr3:uid="{A280A890-2253-4610-81D3-C18329406E2D}" name="UTM Content"/>
    <tableColumn id="15" xr3:uid="{D267F2AC-027E-4FEB-B575-67ED801A534B}" name="UTM Term"/>
    <tableColumn id="16" xr3:uid="{E35F16F7-FDF9-47E7-A5FE-F8985A7528D8}" name="ДКТ: client_id"/>
    <tableColumn id="17" xr3:uid="{89BB7CEA-027E-4257-AA88-7778CFE70B54}" name="ДКТ: client_cid"/>
    <tableColumn id="18" xr3:uid="{0AB35DE8-EE83-478B-88EB-69FBE9A99F5A}" name="ДКТ: ya_client_id"/>
    <tableColumn id="19" xr3:uid="{1D703801-3492-490A-95AE-76B729FB99DA}" name="ДКТ: Город"/>
    <tableColumn id="20" xr3:uid="{290CDD3E-2B64-4BD0-8F4A-85325848D12C}" name="ДКТ: Источник"/>
    <tableColumn id="21" xr3:uid="{1FA53AF6-34D2-495E-8AE0-95B1A774F61C}" name="ДКТ: Канал"/>
    <tableColumn id="22" xr3:uid="{693D1B51-0C46-44D5-B247-64C95AA28CDB}" name="ДКТ: Кампания"/>
    <tableColumn id="23" xr3:uid="{07705C33-BCD6-4A04-BB6A-301AEE40CC7A}" name="ДКТ: Содержимое"/>
    <tableColumn id="24" xr3:uid="{CA84184C-4401-41F7-8316-B572491B3A4F}" name="ДКТ: Что искал"/>
    <tableColumn id="25" xr3:uid="{EFB50039-02F1-43FC-93D5-8954B5C2B7B6}" name="ДКТ: Время на сайте"/>
    <tableColumn id="26" xr3:uid="{E51AE5CC-4AA1-443E-B386-EAB35133CD2E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99CD4-B019-4023-9345-7861C71DD228}" name="tblWordstat" displayName="tblWordstat" ref="A1:E238" totalsRowShown="0">
  <autoFilter ref="A1:E238" xr:uid="{99491D13-AEC4-4B12-8CF5-E4C5BEF70DF7}"/>
  <tableColumns count="5">
    <tableColumn id="1" xr3:uid="{016DB456-A430-4852-AEA7-ED022C4E1D9A}" name="Начало недели" dataDxfId="2"/>
    <tableColumn id="2" xr3:uid="{5842EF78-7F5C-4DA0-B33B-2BF17EE8C07B}" name="Конец недели" dataDxfId="1"/>
    <tableColumn id="3" xr3:uid="{8B31F2CD-BEFF-402F-BA82-A88AD5D45BBC}" name="Период Wordstat"/>
    <tableColumn id="4" xr3:uid="{1822A165-10B2-42D0-A9FA-5692DFABE234}" name="Число запросов"/>
    <tableColumn id="5" xr3:uid="{E9C24DD5-B2B6-446F-8F32-A40C7B185D41}" name="Доля от всех запросов, %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10" t="s">
        <v>5525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4" customHeight="1" x14ac:dyDescent="0.25">
      <c r="A2" s="11" t="s">
        <v>5526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5" spans="1:14" x14ac:dyDescent="0.25">
      <c r="A35" s="12" t="s">
        <v>5527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3" t="s">
        <v>5512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7" customHeight="1" x14ac:dyDescent="0.25">
      <c r="A2" s="14" t="s">
        <v>5513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x14ac:dyDescent="0.25">
      <c r="A4" s="15" t="s">
        <v>5514</v>
      </c>
      <c r="B4" s="15"/>
      <c r="D4" s="15" t="s">
        <v>5515</v>
      </c>
      <c r="E4" s="15"/>
      <c r="G4" s="15" t="s">
        <v>5516</v>
      </c>
      <c r="H4" s="15"/>
      <c r="J4" s="15" t="s">
        <v>5517</v>
      </c>
      <c r="K4" s="15"/>
    </row>
    <row r="5" spans="1:12" x14ac:dyDescent="0.25">
      <c r="A5" s="16">
        <f>SUM('Недельная сводка'!D5:D241)</f>
        <v>4733</v>
      </c>
      <c r="B5" s="16"/>
      <c r="D5" s="16">
        <f>SUM('Недельная сводка'!E5:E241)</f>
        <v>4592</v>
      </c>
      <c r="E5" s="16"/>
      <c r="G5" s="16">
        <f>SUM('Недельная сводка'!F5:F241)</f>
        <v>11212</v>
      </c>
      <c r="H5" s="16"/>
      <c r="J5" s="16">
        <v>237</v>
      </c>
      <c r="K5" s="16"/>
    </row>
    <row r="6" spans="1:12" x14ac:dyDescent="0.25">
      <c r="A6" s="16"/>
      <c r="B6" s="16"/>
      <c r="D6" s="16"/>
      <c r="E6" s="16"/>
      <c r="G6" s="16"/>
      <c r="H6" s="16"/>
      <c r="J6" s="16"/>
      <c r="K6" s="16"/>
    </row>
    <row r="8" spans="1:12" x14ac:dyDescent="0.25">
      <c r="A8" s="17" t="s">
        <v>5518</v>
      </c>
      <c r="B8" s="17"/>
      <c r="C8" s="17"/>
      <c r="D8" s="17"/>
    </row>
    <row r="9" spans="1:12" x14ac:dyDescent="0.25">
      <c r="A9" s="9" t="s">
        <v>5519</v>
      </c>
      <c r="B9" s="9" t="s">
        <v>5520</v>
      </c>
      <c r="C9" s="9" t="s">
        <v>5521</v>
      </c>
    </row>
    <row r="10" spans="1:12" x14ac:dyDescent="0.25">
      <c r="A10" s="7" t="s">
        <v>5522</v>
      </c>
      <c r="B10" s="8">
        <f>CORREL('Недельная сводка'!F5:F241,'Недельная сводка'!D5:D241)</f>
        <v>0.45366232931384248</v>
      </c>
      <c r="C10" s="7" t="str">
        <f>IF(ABS(B10)&lt;0.3,"Слабая",IF(ABS(B10)&lt;0.7,"Умеренная","Сильная"))</f>
        <v>Умеренная</v>
      </c>
    </row>
    <row r="11" spans="1:12" x14ac:dyDescent="0.25">
      <c r="A11" s="7" t="s">
        <v>5523</v>
      </c>
      <c r="B11" s="8">
        <f>CORREL('Недельная сводка'!F5:F241,'Недельная сводка'!E5:E241)</f>
        <v>0.45919228002214457</v>
      </c>
      <c r="C11" s="7" t="str">
        <f>IF(ABS(B11)&lt;0.3,"Слабая",IF(ABS(B11)&lt;0.7,"Умеренная","Сильная"))</f>
        <v>Умеренная</v>
      </c>
    </row>
    <row r="13" spans="1:12" x14ac:dyDescent="0.25">
      <c r="A13" s="12" t="s">
        <v>5524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tabSelected="1"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2" width="13.7109375" customWidth="1"/>
    <col min="3" max="3" width="36.7109375" customWidth="1"/>
    <col min="4" max="7" width="18.7109375" customWidth="1"/>
  </cols>
  <sheetData>
    <row r="1" spans="1:7" ht="27.95" customHeight="1" x14ac:dyDescent="0.35">
      <c r="A1" s="18" t="s">
        <v>5506</v>
      </c>
      <c r="B1" s="18"/>
      <c r="C1" s="18"/>
      <c r="D1" s="18"/>
      <c r="E1" s="18"/>
      <c r="F1" s="18"/>
      <c r="G1" s="18"/>
    </row>
    <row r="2" spans="1:7" ht="24" customHeight="1" x14ac:dyDescent="0.25">
      <c r="A2" s="14" t="s">
        <v>5507</v>
      </c>
      <c r="B2" s="14"/>
      <c r="C2" s="14"/>
      <c r="D2" s="14"/>
      <c r="E2" s="14"/>
      <c r="F2" s="14"/>
      <c r="G2" s="14"/>
    </row>
    <row r="4" spans="1:7" x14ac:dyDescent="0.25">
      <c r="A4" t="s">
        <v>5264</v>
      </c>
      <c r="B4" t="s">
        <v>5265</v>
      </c>
      <c r="C4" t="s">
        <v>5266</v>
      </c>
      <c r="D4" t="s">
        <v>5508</v>
      </c>
      <c r="E4" t="s">
        <v>5509</v>
      </c>
      <c r="F4" t="s">
        <v>5510</v>
      </c>
      <c r="G4" t="s">
        <v>5511</v>
      </c>
    </row>
    <row r="5" spans="1:7" x14ac:dyDescent="0.25">
      <c r="A5" s="4">
        <v>44557</v>
      </c>
      <c r="B5" s="4">
        <v>44563</v>
      </c>
      <c r="C5" t="s">
        <v>5269</v>
      </c>
      <c r="D5">
        <f>COUNTIFS('Исходник — лиды'!$H$2:$H$4774,"&gt;="&amp;A5,'Исходник — лиды'!$H$2:$H$4774,"&lt;"&amp;B5+1)</f>
        <v>1</v>
      </c>
      <c r="E5">
        <f>COUNTIFS('Исходник — лиды'!$H$2:$H$4774,"&gt;="&amp;A5,'Исходник — лиды'!$H$2:$H$4774,"&lt;"&amp;B5+1,'Исходник — лиды'!$C$2:$C$4774,"Качественный лид")</f>
        <v>0</v>
      </c>
      <c r="F5">
        <v>23</v>
      </c>
      <c r="G5" s="6">
        <f t="shared" ref="G5:G68" si="0">IFERROR(E5/D5,0)</f>
        <v>0</v>
      </c>
    </row>
    <row r="6" spans="1:7" x14ac:dyDescent="0.25">
      <c r="A6" s="4">
        <v>44564</v>
      </c>
      <c r="B6" s="4">
        <v>44570</v>
      </c>
      <c r="C6" t="s">
        <v>5270</v>
      </c>
      <c r="D6">
        <f>COUNTIFS('Исходник — лиды'!$H$2:$H$4774,"&gt;="&amp;A6,'Исходник — лиды'!$H$2:$H$4774,"&lt;"&amp;B6+1)</f>
        <v>16</v>
      </c>
      <c r="E6">
        <f>COUNTIFS('Исходник — лиды'!$H$2:$H$4774,"&gt;="&amp;A6,'Исходник — лиды'!$H$2:$H$4774,"&lt;"&amp;B6+1,'Исходник — лиды'!$C$2:$C$4774,"Качественный лид")</f>
        <v>12</v>
      </c>
      <c r="F6">
        <v>31</v>
      </c>
      <c r="G6" s="6">
        <f t="shared" si="0"/>
        <v>0.75</v>
      </c>
    </row>
    <row r="7" spans="1:7" x14ac:dyDescent="0.25">
      <c r="A7" s="4">
        <v>44571</v>
      </c>
      <c r="B7" s="4">
        <v>44577</v>
      </c>
      <c r="C7" t="s">
        <v>5271</v>
      </c>
      <c r="D7">
        <f>COUNTIFS('Исходник — лиды'!$H$2:$H$4774,"&gt;="&amp;A7,'Исходник — лиды'!$H$2:$H$4774,"&lt;"&amp;B7+1)</f>
        <v>20</v>
      </c>
      <c r="E7">
        <f>COUNTIFS('Исходник — лиды'!$H$2:$H$4774,"&gt;="&amp;A7,'Исходник — лиды'!$H$2:$H$4774,"&lt;"&amp;B7+1,'Исходник — лиды'!$C$2:$C$4774,"Качественный лид")</f>
        <v>19</v>
      </c>
      <c r="F7">
        <v>17</v>
      </c>
      <c r="G7" s="6">
        <f t="shared" si="0"/>
        <v>0.95</v>
      </c>
    </row>
    <row r="8" spans="1:7" x14ac:dyDescent="0.25">
      <c r="A8" s="4">
        <v>44578</v>
      </c>
      <c r="B8" s="4">
        <v>44584</v>
      </c>
      <c r="C8" t="s">
        <v>5272</v>
      </c>
      <c r="D8">
        <f>COUNTIFS('Исходник — лиды'!$H$2:$H$4774,"&gt;="&amp;A8,'Исходник — лиды'!$H$2:$H$4774,"&lt;"&amp;B8+1)</f>
        <v>23</v>
      </c>
      <c r="E8">
        <f>COUNTIFS('Исходник — лиды'!$H$2:$H$4774,"&gt;="&amp;A8,'Исходник — лиды'!$H$2:$H$4774,"&lt;"&amp;B8+1,'Исходник — лиды'!$C$2:$C$4774,"Качественный лид")</f>
        <v>21</v>
      </c>
      <c r="F8">
        <v>25</v>
      </c>
      <c r="G8" s="6">
        <f t="shared" si="0"/>
        <v>0.91304347826086951</v>
      </c>
    </row>
    <row r="9" spans="1:7" x14ac:dyDescent="0.25">
      <c r="A9" s="4">
        <v>44585</v>
      </c>
      <c r="B9" s="4">
        <v>44591</v>
      </c>
      <c r="C9" t="s">
        <v>5273</v>
      </c>
      <c r="D9">
        <f>COUNTIFS('Исходник — лиды'!$H$2:$H$4774,"&gt;="&amp;A9,'Исходник — лиды'!$H$2:$H$4774,"&lt;"&amp;B9+1)</f>
        <v>19</v>
      </c>
      <c r="E9">
        <f>COUNTIFS('Исходник — лиды'!$H$2:$H$4774,"&gt;="&amp;A9,'Исходник — лиды'!$H$2:$H$4774,"&lt;"&amp;B9+1,'Исходник — лиды'!$C$2:$C$4774,"Качественный лид")</f>
        <v>18</v>
      </c>
      <c r="F9">
        <v>34</v>
      </c>
      <c r="G9" s="6">
        <f t="shared" si="0"/>
        <v>0.94736842105263153</v>
      </c>
    </row>
    <row r="10" spans="1:7" x14ac:dyDescent="0.25">
      <c r="A10" s="4">
        <v>44592</v>
      </c>
      <c r="B10" s="4">
        <v>44598</v>
      </c>
      <c r="C10" t="s">
        <v>5274</v>
      </c>
      <c r="D10">
        <f>COUNTIFS('Исходник — лиды'!$H$2:$H$4774,"&gt;="&amp;A10,'Исходник — лиды'!$H$2:$H$4774,"&lt;"&amp;B10+1)</f>
        <v>13</v>
      </c>
      <c r="E10">
        <f>COUNTIFS('Исходник — лиды'!$H$2:$H$4774,"&gt;="&amp;A10,'Исходник — лиды'!$H$2:$H$4774,"&lt;"&amp;B10+1,'Исходник — лиды'!$C$2:$C$4774,"Качественный лид")</f>
        <v>13</v>
      </c>
      <c r="F10">
        <v>35</v>
      </c>
      <c r="G10" s="6">
        <f t="shared" si="0"/>
        <v>1</v>
      </c>
    </row>
    <row r="11" spans="1:7" x14ac:dyDescent="0.25">
      <c r="A11" s="4">
        <v>44599</v>
      </c>
      <c r="B11" s="4">
        <v>44605</v>
      </c>
      <c r="C11" t="s">
        <v>5275</v>
      </c>
      <c r="D11">
        <f>COUNTIFS('Исходник — лиды'!$H$2:$H$4774,"&gt;="&amp;A11,'Исходник — лиды'!$H$2:$H$4774,"&lt;"&amp;B11+1)</f>
        <v>17</v>
      </c>
      <c r="E11">
        <f>COUNTIFS('Исходник — лиды'!$H$2:$H$4774,"&gt;="&amp;A11,'Исходник — лиды'!$H$2:$H$4774,"&lt;"&amp;B11+1,'Исходник — лиды'!$C$2:$C$4774,"Качественный лид")</f>
        <v>17</v>
      </c>
      <c r="F11">
        <v>60</v>
      </c>
      <c r="G11" s="6">
        <f t="shared" si="0"/>
        <v>1</v>
      </c>
    </row>
    <row r="12" spans="1:7" x14ac:dyDescent="0.25">
      <c r="A12" s="4">
        <v>44606</v>
      </c>
      <c r="B12" s="4">
        <v>44612</v>
      </c>
      <c r="C12" t="s">
        <v>5276</v>
      </c>
      <c r="D12">
        <f>COUNTIFS('Исходник — лиды'!$H$2:$H$4774,"&gt;="&amp;A12,'Исходник — лиды'!$H$2:$H$4774,"&lt;"&amp;B12+1)</f>
        <v>18</v>
      </c>
      <c r="E12">
        <f>COUNTIFS('Исходник — лиды'!$H$2:$H$4774,"&gt;="&amp;A12,'Исходник — лиды'!$H$2:$H$4774,"&lt;"&amp;B12+1,'Исходник — лиды'!$C$2:$C$4774,"Качественный лид")</f>
        <v>17</v>
      </c>
      <c r="F12">
        <v>43</v>
      </c>
      <c r="G12" s="6">
        <f t="shared" si="0"/>
        <v>0.94444444444444442</v>
      </c>
    </row>
    <row r="13" spans="1:7" x14ac:dyDescent="0.25">
      <c r="A13" s="4">
        <v>44613</v>
      </c>
      <c r="B13" s="4">
        <v>44619</v>
      </c>
      <c r="C13" t="s">
        <v>5277</v>
      </c>
      <c r="D13">
        <f>COUNTIFS('Исходник — лиды'!$H$2:$H$4774,"&gt;="&amp;A13,'Исходник — лиды'!$H$2:$H$4774,"&lt;"&amp;B13+1)</f>
        <v>15</v>
      </c>
      <c r="E13">
        <f>COUNTIFS('Исходник — лиды'!$H$2:$H$4774,"&gt;="&amp;A13,'Исходник — лиды'!$H$2:$H$4774,"&lt;"&amp;B13+1,'Исходник — лиды'!$C$2:$C$4774,"Качественный лид")</f>
        <v>12</v>
      </c>
      <c r="F13">
        <v>27</v>
      </c>
      <c r="G13" s="6">
        <f t="shared" si="0"/>
        <v>0.8</v>
      </c>
    </row>
    <row r="14" spans="1:7" x14ac:dyDescent="0.25">
      <c r="A14" s="4">
        <v>44620</v>
      </c>
      <c r="B14" s="4">
        <v>44626</v>
      </c>
      <c r="C14" t="s">
        <v>5278</v>
      </c>
      <c r="D14">
        <f>COUNTIFS('Исходник — лиды'!$H$2:$H$4774,"&gt;="&amp;A14,'Исходник — лиды'!$H$2:$H$4774,"&lt;"&amp;B14+1)</f>
        <v>14</v>
      </c>
      <c r="E14">
        <f>COUNTIFS('Исходник — лиды'!$H$2:$H$4774,"&gt;="&amp;A14,'Исходник — лиды'!$H$2:$H$4774,"&lt;"&amp;B14+1,'Исходник — лиды'!$C$2:$C$4774,"Качественный лид")</f>
        <v>14</v>
      </c>
      <c r="F14">
        <v>32</v>
      </c>
      <c r="G14" s="6">
        <f t="shared" si="0"/>
        <v>1</v>
      </c>
    </row>
    <row r="15" spans="1:7" x14ac:dyDescent="0.25">
      <c r="A15" s="4">
        <v>44627</v>
      </c>
      <c r="B15" s="4">
        <v>44633</v>
      </c>
      <c r="C15" t="s">
        <v>5279</v>
      </c>
      <c r="D15">
        <f>COUNTIFS('Исходник — лиды'!$H$2:$H$4774,"&gt;="&amp;A15,'Исходник — лиды'!$H$2:$H$4774,"&lt;"&amp;B15+1)</f>
        <v>22</v>
      </c>
      <c r="E15">
        <f>COUNTIFS('Исходник — лиды'!$H$2:$H$4774,"&gt;="&amp;A15,'Исходник — лиды'!$H$2:$H$4774,"&lt;"&amp;B15+1,'Исходник — лиды'!$C$2:$C$4774,"Качественный лид")</f>
        <v>20</v>
      </c>
      <c r="F15">
        <v>23</v>
      </c>
      <c r="G15" s="6">
        <f t="shared" si="0"/>
        <v>0.90909090909090906</v>
      </c>
    </row>
    <row r="16" spans="1:7" x14ac:dyDescent="0.25">
      <c r="A16" s="4">
        <v>44634</v>
      </c>
      <c r="B16" s="4">
        <v>44640</v>
      </c>
      <c r="C16" t="s">
        <v>5280</v>
      </c>
      <c r="D16">
        <f>COUNTIFS('Исходник — лиды'!$H$2:$H$4774,"&gt;="&amp;A16,'Исходник — лиды'!$H$2:$H$4774,"&lt;"&amp;B16+1)</f>
        <v>11</v>
      </c>
      <c r="E16">
        <f>COUNTIFS('Исходник — лиды'!$H$2:$H$4774,"&gt;="&amp;A16,'Исходник — лиды'!$H$2:$H$4774,"&lt;"&amp;B16+1,'Исходник — лиды'!$C$2:$C$4774,"Качественный лид")</f>
        <v>11</v>
      </c>
      <c r="F16">
        <v>31</v>
      </c>
      <c r="G16" s="6">
        <f t="shared" si="0"/>
        <v>1</v>
      </c>
    </row>
    <row r="17" spans="1:7" x14ac:dyDescent="0.25">
      <c r="A17" s="4">
        <v>44641</v>
      </c>
      <c r="B17" s="4">
        <v>44647</v>
      </c>
      <c r="C17" t="s">
        <v>5281</v>
      </c>
      <c r="D17">
        <f>COUNTIFS('Исходник — лиды'!$H$2:$H$4774,"&gt;="&amp;A17,'Исходник — лиды'!$H$2:$H$4774,"&lt;"&amp;B17+1)</f>
        <v>24</v>
      </c>
      <c r="E17">
        <f>COUNTIFS('Исходник — лиды'!$H$2:$H$4774,"&gt;="&amp;A17,'Исходник — лиды'!$H$2:$H$4774,"&lt;"&amp;B17+1,'Исходник — лиды'!$C$2:$C$4774,"Качественный лид")</f>
        <v>24</v>
      </c>
      <c r="F17">
        <v>55</v>
      </c>
      <c r="G17" s="6">
        <f t="shared" si="0"/>
        <v>1</v>
      </c>
    </row>
    <row r="18" spans="1:7" x14ac:dyDescent="0.25">
      <c r="A18" s="4">
        <v>44648</v>
      </c>
      <c r="B18" s="4">
        <v>44654</v>
      </c>
      <c r="C18" t="s">
        <v>5282</v>
      </c>
      <c r="D18">
        <f>COUNTIFS('Исходник — лиды'!$H$2:$H$4774,"&gt;="&amp;A18,'Исходник — лиды'!$H$2:$H$4774,"&lt;"&amp;B18+1)</f>
        <v>22</v>
      </c>
      <c r="E18">
        <f>COUNTIFS('Исходник — лиды'!$H$2:$H$4774,"&gt;="&amp;A18,'Исходник — лиды'!$H$2:$H$4774,"&lt;"&amp;B18+1,'Исходник — лиды'!$C$2:$C$4774,"Качественный лид")</f>
        <v>21</v>
      </c>
      <c r="F18">
        <v>32</v>
      </c>
      <c r="G18" s="6">
        <f t="shared" si="0"/>
        <v>0.95454545454545459</v>
      </c>
    </row>
    <row r="19" spans="1:7" x14ac:dyDescent="0.25">
      <c r="A19" s="4">
        <v>44655</v>
      </c>
      <c r="B19" s="4">
        <v>44661</v>
      </c>
      <c r="C19" t="s">
        <v>5283</v>
      </c>
      <c r="D19">
        <f>COUNTIFS('Исходник — лиды'!$H$2:$H$4774,"&gt;="&amp;A19,'Исходник — лиды'!$H$2:$H$4774,"&lt;"&amp;B19+1)</f>
        <v>19</v>
      </c>
      <c r="E19">
        <f>COUNTIFS('Исходник — лиды'!$H$2:$H$4774,"&gt;="&amp;A19,'Исходник — лиды'!$H$2:$H$4774,"&lt;"&amp;B19+1,'Исходник — лиды'!$C$2:$C$4774,"Качественный лид")</f>
        <v>18</v>
      </c>
      <c r="F19">
        <v>39</v>
      </c>
      <c r="G19" s="6">
        <f t="shared" si="0"/>
        <v>0.94736842105263153</v>
      </c>
    </row>
    <row r="20" spans="1:7" x14ac:dyDescent="0.25">
      <c r="A20" s="4">
        <v>44662</v>
      </c>
      <c r="B20" s="4">
        <v>44668</v>
      </c>
      <c r="C20" t="s">
        <v>5284</v>
      </c>
      <c r="D20">
        <f>COUNTIFS('Исходник — лиды'!$H$2:$H$4774,"&gt;="&amp;A20,'Исходник — лиды'!$H$2:$H$4774,"&lt;"&amp;B20+1)</f>
        <v>13</v>
      </c>
      <c r="E20">
        <f>COUNTIFS('Исходник — лиды'!$H$2:$H$4774,"&gt;="&amp;A20,'Исходник — лиды'!$H$2:$H$4774,"&lt;"&amp;B20+1,'Исходник — лиды'!$C$2:$C$4774,"Качественный лид")</f>
        <v>13</v>
      </c>
      <c r="F20">
        <v>57</v>
      </c>
      <c r="G20" s="6">
        <f t="shared" si="0"/>
        <v>1</v>
      </c>
    </row>
    <row r="21" spans="1:7" x14ac:dyDescent="0.25">
      <c r="A21" s="4">
        <v>44669</v>
      </c>
      <c r="B21" s="4">
        <v>44675</v>
      </c>
      <c r="C21" t="s">
        <v>5285</v>
      </c>
      <c r="D21">
        <f>COUNTIFS('Исходник — лиды'!$H$2:$H$4774,"&gt;="&amp;A21,'Исходник — лиды'!$H$2:$H$4774,"&lt;"&amp;B21+1)</f>
        <v>21</v>
      </c>
      <c r="E21">
        <f>COUNTIFS('Исходник — лиды'!$H$2:$H$4774,"&gt;="&amp;A21,'Исходник — лиды'!$H$2:$H$4774,"&lt;"&amp;B21+1,'Исходник — лиды'!$C$2:$C$4774,"Качественный лид")</f>
        <v>21</v>
      </c>
      <c r="F21">
        <v>62</v>
      </c>
      <c r="G21" s="6">
        <f t="shared" si="0"/>
        <v>1</v>
      </c>
    </row>
    <row r="22" spans="1:7" x14ac:dyDescent="0.25">
      <c r="A22" s="4">
        <v>44676</v>
      </c>
      <c r="B22" s="4">
        <v>44682</v>
      </c>
      <c r="C22" t="s">
        <v>5286</v>
      </c>
      <c r="D22">
        <f>COUNTIFS('Исходник — лиды'!$H$2:$H$4774,"&gt;="&amp;A22,'Исходник — лиды'!$H$2:$H$4774,"&lt;"&amp;B22+1)</f>
        <v>12</v>
      </c>
      <c r="E22">
        <f>COUNTIFS('Исходник — лиды'!$H$2:$H$4774,"&gt;="&amp;A22,'Исходник — лиды'!$H$2:$H$4774,"&lt;"&amp;B22+1,'Исходник — лиды'!$C$2:$C$4774,"Качественный лид")</f>
        <v>11</v>
      </c>
      <c r="F22">
        <v>52</v>
      </c>
      <c r="G22" s="6">
        <f t="shared" si="0"/>
        <v>0.91666666666666663</v>
      </c>
    </row>
    <row r="23" spans="1:7" x14ac:dyDescent="0.25">
      <c r="A23" s="4">
        <v>44683</v>
      </c>
      <c r="B23" s="4">
        <v>44689</v>
      </c>
      <c r="C23" t="s">
        <v>5287</v>
      </c>
      <c r="D23">
        <f>COUNTIFS('Исходник — лиды'!$H$2:$H$4774,"&gt;="&amp;A23,'Исходник — лиды'!$H$2:$H$4774,"&lt;"&amp;B23+1)</f>
        <v>10</v>
      </c>
      <c r="E23">
        <f>COUNTIFS('Исходник — лиды'!$H$2:$H$4774,"&gt;="&amp;A23,'Исходник — лиды'!$H$2:$H$4774,"&lt;"&amp;B23+1,'Исходник — лиды'!$C$2:$C$4774,"Качественный лид")</f>
        <v>10</v>
      </c>
      <c r="F23">
        <v>42</v>
      </c>
      <c r="G23" s="6">
        <f t="shared" si="0"/>
        <v>1</v>
      </c>
    </row>
    <row r="24" spans="1:7" x14ac:dyDescent="0.25">
      <c r="A24" s="4">
        <v>44690</v>
      </c>
      <c r="B24" s="4">
        <v>44696</v>
      </c>
      <c r="C24" t="s">
        <v>5288</v>
      </c>
      <c r="D24">
        <f>COUNTIFS('Исходник — лиды'!$H$2:$H$4774,"&gt;="&amp;A24,'Исходник — лиды'!$H$2:$H$4774,"&lt;"&amp;B24+1)</f>
        <v>9</v>
      </c>
      <c r="E24">
        <f>COUNTIFS('Исходник — лиды'!$H$2:$H$4774,"&gt;="&amp;A24,'Исходник — лиды'!$H$2:$H$4774,"&lt;"&amp;B24+1,'Исходник — лиды'!$C$2:$C$4774,"Качественный лид")</f>
        <v>8</v>
      </c>
      <c r="F24">
        <v>71</v>
      </c>
      <c r="G24" s="6">
        <f t="shared" si="0"/>
        <v>0.88888888888888884</v>
      </c>
    </row>
    <row r="25" spans="1:7" x14ac:dyDescent="0.25">
      <c r="A25" s="4">
        <v>44697</v>
      </c>
      <c r="B25" s="4">
        <v>44703</v>
      </c>
      <c r="C25" t="s">
        <v>5289</v>
      </c>
      <c r="D25">
        <f>COUNTIFS('Исходник — лиды'!$H$2:$H$4774,"&gt;="&amp;A25,'Исходник — лиды'!$H$2:$H$4774,"&lt;"&amp;B25+1)</f>
        <v>11</v>
      </c>
      <c r="E25">
        <f>COUNTIFS('Исходник — лиды'!$H$2:$H$4774,"&gt;="&amp;A25,'Исходник — лиды'!$H$2:$H$4774,"&lt;"&amp;B25+1,'Исходник — лиды'!$C$2:$C$4774,"Качественный лид")</f>
        <v>11</v>
      </c>
      <c r="F25">
        <v>47</v>
      </c>
      <c r="G25" s="6">
        <f t="shared" si="0"/>
        <v>1</v>
      </c>
    </row>
    <row r="26" spans="1:7" x14ac:dyDescent="0.25">
      <c r="A26" s="4">
        <v>44704</v>
      </c>
      <c r="B26" s="4">
        <v>44710</v>
      </c>
      <c r="C26" t="s">
        <v>5290</v>
      </c>
      <c r="D26">
        <f>COUNTIFS('Исходник — лиды'!$H$2:$H$4774,"&gt;="&amp;A26,'Исходник — лиды'!$H$2:$H$4774,"&lt;"&amp;B26+1)</f>
        <v>11</v>
      </c>
      <c r="E26">
        <f>COUNTIFS('Исходник — лиды'!$H$2:$H$4774,"&gt;="&amp;A26,'Исходник — лиды'!$H$2:$H$4774,"&lt;"&amp;B26+1,'Исходник — лиды'!$C$2:$C$4774,"Качественный лид")</f>
        <v>10</v>
      </c>
      <c r="F26">
        <v>59</v>
      </c>
      <c r="G26" s="6">
        <f t="shared" si="0"/>
        <v>0.90909090909090906</v>
      </c>
    </row>
    <row r="27" spans="1:7" x14ac:dyDescent="0.25">
      <c r="A27" s="4">
        <v>44711</v>
      </c>
      <c r="B27" s="4">
        <v>44717</v>
      </c>
      <c r="C27" t="s">
        <v>5291</v>
      </c>
      <c r="D27">
        <f>COUNTIFS('Исходник — лиды'!$H$2:$H$4774,"&gt;="&amp;A27,'Исходник — лиды'!$H$2:$H$4774,"&lt;"&amp;B27+1)</f>
        <v>14</v>
      </c>
      <c r="E27">
        <f>COUNTIFS('Исходник — лиды'!$H$2:$H$4774,"&gt;="&amp;A27,'Исходник — лиды'!$H$2:$H$4774,"&lt;"&amp;B27+1,'Исходник — лиды'!$C$2:$C$4774,"Качественный лид")</f>
        <v>14</v>
      </c>
      <c r="F27">
        <v>44</v>
      </c>
      <c r="G27" s="6">
        <f t="shared" si="0"/>
        <v>1</v>
      </c>
    </row>
    <row r="28" spans="1:7" x14ac:dyDescent="0.25">
      <c r="A28" s="4">
        <v>44718</v>
      </c>
      <c r="B28" s="4">
        <v>44724</v>
      </c>
      <c r="C28" t="s">
        <v>5292</v>
      </c>
      <c r="D28">
        <f>COUNTIFS('Исходник — лиды'!$H$2:$H$4774,"&gt;="&amp;A28,'Исходник — лиды'!$H$2:$H$4774,"&lt;"&amp;B28+1)</f>
        <v>14</v>
      </c>
      <c r="E28">
        <f>COUNTIFS('Исходник — лиды'!$H$2:$H$4774,"&gt;="&amp;A28,'Исходник — лиды'!$H$2:$H$4774,"&lt;"&amp;B28+1,'Исходник — лиды'!$C$2:$C$4774,"Качественный лид")</f>
        <v>14</v>
      </c>
      <c r="F28">
        <v>51</v>
      </c>
      <c r="G28" s="6">
        <f t="shared" si="0"/>
        <v>1</v>
      </c>
    </row>
    <row r="29" spans="1:7" x14ac:dyDescent="0.25">
      <c r="A29" s="4">
        <v>44725</v>
      </c>
      <c r="B29" s="4">
        <v>44731</v>
      </c>
      <c r="C29" t="s">
        <v>5293</v>
      </c>
      <c r="D29">
        <f>COUNTIFS('Исходник — лиды'!$H$2:$H$4774,"&gt;="&amp;A29,'Исходник — лиды'!$H$2:$H$4774,"&lt;"&amp;B29+1)</f>
        <v>19</v>
      </c>
      <c r="E29">
        <f>COUNTIFS('Исходник — лиды'!$H$2:$H$4774,"&gt;="&amp;A29,'Исходник — лиды'!$H$2:$H$4774,"&lt;"&amp;B29+1,'Исходник — лиды'!$C$2:$C$4774,"Качественный лид")</f>
        <v>19</v>
      </c>
      <c r="F29">
        <v>41</v>
      </c>
      <c r="G29" s="6">
        <f t="shared" si="0"/>
        <v>1</v>
      </c>
    </row>
    <row r="30" spans="1:7" x14ac:dyDescent="0.25">
      <c r="A30" s="4">
        <v>44732</v>
      </c>
      <c r="B30" s="4">
        <v>44738</v>
      </c>
      <c r="C30" t="s">
        <v>5294</v>
      </c>
      <c r="D30">
        <f>COUNTIFS('Исходник — лиды'!$H$2:$H$4774,"&gt;="&amp;A30,'Исходник — лиды'!$H$2:$H$4774,"&lt;"&amp;B30+1)</f>
        <v>12</v>
      </c>
      <c r="E30">
        <f>COUNTIFS('Исходник — лиды'!$H$2:$H$4774,"&gt;="&amp;A30,'Исходник — лиды'!$H$2:$H$4774,"&lt;"&amp;B30+1,'Исходник — лиды'!$C$2:$C$4774,"Качественный лид")</f>
        <v>12</v>
      </c>
      <c r="F30">
        <v>48</v>
      </c>
      <c r="G30" s="6">
        <f t="shared" si="0"/>
        <v>1</v>
      </c>
    </row>
    <row r="31" spans="1:7" x14ac:dyDescent="0.25">
      <c r="A31" s="4">
        <v>44739</v>
      </c>
      <c r="B31" s="4">
        <v>44745</v>
      </c>
      <c r="C31" t="s">
        <v>5295</v>
      </c>
      <c r="D31">
        <f>COUNTIFS('Исходник — лиды'!$H$2:$H$4774,"&gt;="&amp;A31,'Исходник — лиды'!$H$2:$H$4774,"&lt;"&amp;B31+1)</f>
        <v>6</v>
      </c>
      <c r="E31">
        <f>COUNTIFS('Исходник — лиды'!$H$2:$H$4774,"&gt;="&amp;A31,'Исходник — лиды'!$H$2:$H$4774,"&lt;"&amp;B31+1,'Исходник — лиды'!$C$2:$C$4774,"Качественный лид")</f>
        <v>6</v>
      </c>
      <c r="F31">
        <v>30</v>
      </c>
      <c r="G31" s="6">
        <f t="shared" si="0"/>
        <v>1</v>
      </c>
    </row>
    <row r="32" spans="1:7" x14ac:dyDescent="0.25">
      <c r="A32" s="4">
        <v>44746</v>
      </c>
      <c r="B32" s="4">
        <v>44752</v>
      </c>
      <c r="C32" t="s">
        <v>5296</v>
      </c>
      <c r="D32">
        <f>COUNTIFS('Исходник — лиды'!$H$2:$H$4774,"&gt;="&amp;A32,'Исходник — лиды'!$H$2:$H$4774,"&lt;"&amp;B32+1)</f>
        <v>8</v>
      </c>
      <c r="E32">
        <f>COUNTIFS('Исходник — лиды'!$H$2:$H$4774,"&gt;="&amp;A32,'Исходник — лиды'!$H$2:$H$4774,"&lt;"&amp;B32+1,'Исходник — лиды'!$C$2:$C$4774,"Качественный лид")</f>
        <v>8</v>
      </c>
      <c r="F32">
        <v>56</v>
      </c>
      <c r="G32" s="6">
        <f t="shared" si="0"/>
        <v>1</v>
      </c>
    </row>
    <row r="33" spans="1:7" x14ac:dyDescent="0.25">
      <c r="A33" s="4">
        <v>44753</v>
      </c>
      <c r="B33" s="4">
        <v>44759</v>
      </c>
      <c r="C33" t="s">
        <v>5297</v>
      </c>
      <c r="D33">
        <f>COUNTIFS('Исходник — лиды'!$H$2:$H$4774,"&gt;="&amp;A33,'Исходник — лиды'!$H$2:$H$4774,"&lt;"&amp;B33+1)</f>
        <v>12</v>
      </c>
      <c r="E33">
        <f>COUNTIFS('Исходник — лиды'!$H$2:$H$4774,"&gt;="&amp;A33,'Исходник — лиды'!$H$2:$H$4774,"&lt;"&amp;B33+1,'Исходник — лиды'!$C$2:$C$4774,"Качественный лид")</f>
        <v>12</v>
      </c>
      <c r="F33">
        <v>62</v>
      </c>
      <c r="G33" s="6">
        <f t="shared" si="0"/>
        <v>1</v>
      </c>
    </row>
    <row r="34" spans="1:7" x14ac:dyDescent="0.25">
      <c r="A34" s="4">
        <v>44760</v>
      </c>
      <c r="B34" s="4">
        <v>44766</v>
      </c>
      <c r="C34" t="s">
        <v>5298</v>
      </c>
      <c r="D34">
        <f>COUNTIFS('Исходник — лиды'!$H$2:$H$4774,"&gt;="&amp;A34,'Исходник — лиды'!$H$2:$H$4774,"&lt;"&amp;B34+1)</f>
        <v>18</v>
      </c>
      <c r="E34">
        <f>COUNTIFS('Исходник — лиды'!$H$2:$H$4774,"&gt;="&amp;A34,'Исходник — лиды'!$H$2:$H$4774,"&lt;"&amp;B34+1,'Исходник — лиды'!$C$2:$C$4774,"Качественный лид")</f>
        <v>18</v>
      </c>
      <c r="F34">
        <v>36</v>
      </c>
      <c r="G34" s="6">
        <f t="shared" si="0"/>
        <v>1</v>
      </c>
    </row>
    <row r="35" spans="1:7" x14ac:dyDescent="0.25">
      <c r="A35" s="4">
        <v>44767</v>
      </c>
      <c r="B35" s="4">
        <v>44773</v>
      </c>
      <c r="C35" t="s">
        <v>5299</v>
      </c>
      <c r="D35">
        <f>COUNTIFS('Исходник — лиды'!$H$2:$H$4774,"&gt;="&amp;A35,'Исходник — лиды'!$H$2:$H$4774,"&lt;"&amp;B35+1)</f>
        <v>18</v>
      </c>
      <c r="E35">
        <f>COUNTIFS('Исходник — лиды'!$H$2:$H$4774,"&gt;="&amp;A35,'Исходник — лиды'!$H$2:$H$4774,"&lt;"&amp;B35+1,'Исходник — лиды'!$C$2:$C$4774,"Качественный лид")</f>
        <v>18</v>
      </c>
      <c r="F35">
        <v>28</v>
      </c>
      <c r="G35" s="6">
        <f t="shared" si="0"/>
        <v>1</v>
      </c>
    </row>
    <row r="36" spans="1:7" x14ac:dyDescent="0.25">
      <c r="A36" s="4">
        <v>44774</v>
      </c>
      <c r="B36" s="4">
        <v>44780</v>
      </c>
      <c r="C36" t="s">
        <v>5300</v>
      </c>
      <c r="D36">
        <f>COUNTIFS('Исходник — лиды'!$H$2:$H$4774,"&gt;="&amp;A36,'Исходник — лиды'!$H$2:$H$4774,"&lt;"&amp;B36+1)</f>
        <v>7</v>
      </c>
      <c r="E36">
        <f>COUNTIFS('Исходник — лиды'!$H$2:$H$4774,"&gt;="&amp;A36,'Исходник — лиды'!$H$2:$H$4774,"&lt;"&amp;B36+1,'Исходник — лиды'!$C$2:$C$4774,"Качественный лид")</f>
        <v>7</v>
      </c>
      <c r="F36">
        <v>52</v>
      </c>
      <c r="G36" s="6">
        <f t="shared" si="0"/>
        <v>1</v>
      </c>
    </row>
    <row r="37" spans="1:7" x14ac:dyDescent="0.25">
      <c r="A37" s="4">
        <v>44781</v>
      </c>
      <c r="B37" s="4">
        <v>44787</v>
      </c>
      <c r="C37" t="s">
        <v>5301</v>
      </c>
      <c r="D37">
        <f>COUNTIFS('Исходник — лиды'!$H$2:$H$4774,"&gt;="&amp;A37,'Исходник — лиды'!$H$2:$H$4774,"&lt;"&amp;B37+1)</f>
        <v>19</v>
      </c>
      <c r="E37">
        <f>COUNTIFS('Исходник — лиды'!$H$2:$H$4774,"&gt;="&amp;A37,'Исходник — лиды'!$H$2:$H$4774,"&lt;"&amp;B37+1,'Исходник — лиды'!$C$2:$C$4774,"Качественный лид")</f>
        <v>19</v>
      </c>
      <c r="F37">
        <v>64</v>
      </c>
      <c r="G37" s="6">
        <f t="shared" si="0"/>
        <v>1</v>
      </c>
    </row>
    <row r="38" spans="1:7" x14ac:dyDescent="0.25">
      <c r="A38" s="4">
        <v>44788</v>
      </c>
      <c r="B38" s="4">
        <v>44794</v>
      </c>
      <c r="C38" t="s">
        <v>5302</v>
      </c>
      <c r="D38">
        <f>COUNTIFS('Исходник — лиды'!$H$2:$H$4774,"&gt;="&amp;A38,'Исходник — лиды'!$H$2:$H$4774,"&lt;"&amp;B38+1)</f>
        <v>23</v>
      </c>
      <c r="E38">
        <f>COUNTIFS('Исходник — лиды'!$H$2:$H$4774,"&gt;="&amp;A38,'Исходник — лиды'!$H$2:$H$4774,"&lt;"&amp;B38+1,'Исходник — лиды'!$C$2:$C$4774,"Качественный лид")</f>
        <v>22</v>
      </c>
      <c r="F38">
        <v>42</v>
      </c>
      <c r="G38" s="6">
        <f t="shared" si="0"/>
        <v>0.95652173913043481</v>
      </c>
    </row>
    <row r="39" spans="1:7" x14ac:dyDescent="0.25">
      <c r="A39" s="4">
        <v>44795</v>
      </c>
      <c r="B39" s="4">
        <v>44801</v>
      </c>
      <c r="C39" t="s">
        <v>5303</v>
      </c>
      <c r="D39">
        <f>COUNTIFS('Исходник — лиды'!$H$2:$H$4774,"&gt;="&amp;A39,'Исходник — лиды'!$H$2:$H$4774,"&lt;"&amp;B39+1)</f>
        <v>20</v>
      </c>
      <c r="E39">
        <f>COUNTIFS('Исходник — лиды'!$H$2:$H$4774,"&gt;="&amp;A39,'Исходник — лиды'!$H$2:$H$4774,"&lt;"&amp;B39+1,'Исходник — лиды'!$C$2:$C$4774,"Качественный лид")</f>
        <v>20</v>
      </c>
      <c r="F39">
        <v>42</v>
      </c>
      <c r="G39" s="6">
        <f t="shared" si="0"/>
        <v>1</v>
      </c>
    </row>
    <row r="40" spans="1:7" x14ac:dyDescent="0.25">
      <c r="A40" s="4">
        <v>44802</v>
      </c>
      <c r="B40" s="4">
        <v>44808</v>
      </c>
      <c r="C40" t="s">
        <v>5304</v>
      </c>
      <c r="D40">
        <f>COUNTIFS('Исходник — лиды'!$H$2:$H$4774,"&gt;="&amp;A40,'Исходник — лиды'!$H$2:$H$4774,"&lt;"&amp;B40+1)</f>
        <v>21</v>
      </c>
      <c r="E40">
        <f>COUNTIFS('Исходник — лиды'!$H$2:$H$4774,"&gt;="&amp;A40,'Исходник — лиды'!$H$2:$H$4774,"&lt;"&amp;B40+1,'Исходник — лиды'!$C$2:$C$4774,"Качественный лид")</f>
        <v>21</v>
      </c>
      <c r="F40">
        <v>50</v>
      </c>
      <c r="G40" s="6">
        <f t="shared" si="0"/>
        <v>1</v>
      </c>
    </row>
    <row r="41" spans="1:7" x14ac:dyDescent="0.25">
      <c r="A41" s="4">
        <v>44809</v>
      </c>
      <c r="B41" s="4">
        <v>44815</v>
      </c>
      <c r="C41" t="s">
        <v>5305</v>
      </c>
      <c r="D41">
        <f>COUNTIFS('Исходник — лиды'!$H$2:$H$4774,"&gt;="&amp;A41,'Исходник — лиды'!$H$2:$H$4774,"&lt;"&amp;B41+1)</f>
        <v>18</v>
      </c>
      <c r="E41">
        <f>COUNTIFS('Исходник — лиды'!$H$2:$H$4774,"&gt;="&amp;A41,'Исходник — лиды'!$H$2:$H$4774,"&lt;"&amp;B41+1,'Исходник — лиды'!$C$2:$C$4774,"Качественный лид")</f>
        <v>18</v>
      </c>
      <c r="F41">
        <v>39</v>
      </c>
      <c r="G41" s="6">
        <f t="shared" si="0"/>
        <v>1</v>
      </c>
    </row>
    <row r="42" spans="1:7" x14ac:dyDescent="0.25">
      <c r="A42" s="4">
        <v>44816</v>
      </c>
      <c r="B42" s="4">
        <v>44822</v>
      </c>
      <c r="C42" t="s">
        <v>5306</v>
      </c>
      <c r="D42">
        <f>COUNTIFS('Исходник — лиды'!$H$2:$H$4774,"&gt;="&amp;A42,'Исходник — лиды'!$H$2:$H$4774,"&lt;"&amp;B42+1)</f>
        <v>18</v>
      </c>
      <c r="E42">
        <f>COUNTIFS('Исходник — лиды'!$H$2:$H$4774,"&gt;="&amp;A42,'Исходник — лиды'!$H$2:$H$4774,"&lt;"&amp;B42+1,'Исходник — лиды'!$C$2:$C$4774,"Качественный лид")</f>
        <v>18</v>
      </c>
      <c r="F42">
        <v>30</v>
      </c>
      <c r="G42" s="6">
        <f t="shared" si="0"/>
        <v>1</v>
      </c>
    </row>
    <row r="43" spans="1:7" x14ac:dyDescent="0.25">
      <c r="A43" s="4">
        <v>44823</v>
      </c>
      <c r="B43" s="4">
        <v>44829</v>
      </c>
      <c r="C43" t="s">
        <v>5307</v>
      </c>
      <c r="D43">
        <f>COUNTIFS('Исходник — лиды'!$H$2:$H$4774,"&gt;="&amp;A43,'Исходник — лиды'!$H$2:$H$4774,"&lt;"&amp;B43+1)</f>
        <v>19</v>
      </c>
      <c r="E43">
        <f>COUNTIFS('Исходник — лиды'!$H$2:$H$4774,"&gt;="&amp;A43,'Исходник — лиды'!$H$2:$H$4774,"&lt;"&amp;B43+1,'Исходник — лиды'!$C$2:$C$4774,"Качественный лид")</f>
        <v>19</v>
      </c>
      <c r="F43">
        <v>33</v>
      </c>
      <c r="G43" s="6">
        <f t="shared" si="0"/>
        <v>1</v>
      </c>
    </row>
    <row r="44" spans="1:7" x14ac:dyDescent="0.25">
      <c r="A44" s="4">
        <v>44830</v>
      </c>
      <c r="B44" s="4">
        <v>44836</v>
      </c>
      <c r="C44" t="s">
        <v>5308</v>
      </c>
      <c r="D44">
        <f>COUNTIFS('Исходник — лиды'!$H$2:$H$4774,"&gt;="&amp;A44,'Исходник — лиды'!$H$2:$H$4774,"&lt;"&amp;B44+1)</f>
        <v>12</v>
      </c>
      <c r="E44">
        <f>COUNTIFS('Исходник — лиды'!$H$2:$H$4774,"&gt;="&amp;A44,'Исходник — лиды'!$H$2:$H$4774,"&lt;"&amp;B44+1,'Исходник — лиды'!$C$2:$C$4774,"Качественный лид")</f>
        <v>12</v>
      </c>
      <c r="F44">
        <v>17</v>
      </c>
      <c r="G44" s="6">
        <f t="shared" si="0"/>
        <v>1</v>
      </c>
    </row>
    <row r="45" spans="1:7" x14ac:dyDescent="0.25">
      <c r="A45" s="4">
        <v>44837</v>
      </c>
      <c r="B45" s="4">
        <v>44843</v>
      </c>
      <c r="C45" t="s">
        <v>5309</v>
      </c>
      <c r="D45">
        <f>COUNTIFS('Исходник — лиды'!$H$2:$H$4774,"&gt;="&amp;A45,'Исходник — лиды'!$H$2:$H$4774,"&lt;"&amp;B45+1)</f>
        <v>13</v>
      </c>
      <c r="E45">
        <f>COUNTIFS('Исходник — лиды'!$H$2:$H$4774,"&gt;="&amp;A45,'Исходник — лиды'!$H$2:$H$4774,"&lt;"&amp;B45+1,'Исходник — лиды'!$C$2:$C$4774,"Качественный лид")</f>
        <v>13</v>
      </c>
      <c r="F45">
        <v>23</v>
      </c>
      <c r="G45" s="6">
        <f t="shared" si="0"/>
        <v>1</v>
      </c>
    </row>
    <row r="46" spans="1:7" x14ac:dyDescent="0.25">
      <c r="A46" s="4">
        <v>44844</v>
      </c>
      <c r="B46" s="4">
        <v>44850</v>
      </c>
      <c r="C46" t="s">
        <v>5310</v>
      </c>
      <c r="D46">
        <f>COUNTIFS('Исходник — лиды'!$H$2:$H$4774,"&gt;="&amp;A46,'Исходник — лиды'!$H$2:$H$4774,"&lt;"&amp;B46+1)</f>
        <v>9</v>
      </c>
      <c r="E46">
        <f>COUNTIFS('Исходник — лиды'!$H$2:$H$4774,"&gt;="&amp;A46,'Исходник — лиды'!$H$2:$H$4774,"&lt;"&amp;B46+1,'Исходник — лиды'!$C$2:$C$4774,"Качественный лид")</f>
        <v>9</v>
      </c>
      <c r="F46">
        <v>26</v>
      </c>
      <c r="G46" s="6">
        <f t="shared" si="0"/>
        <v>1</v>
      </c>
    </row>
    <row r="47" spans="1:7" x14ac:dyDescent="0.25">
      <c r="A47" s="4">
        <v>44851</v>
      </c>
      <c r="B47" s="4">
        <v>44857</v>
      </c>
      <c r="C47" t="s">
        <v>5311</v>
      </c>
      <c r="D47">
        <f>COUNTIFS('Исходник — лиды'!$H$2:$H$4774,"&gt;="&amp;A47,'Исходник — лиды'!$H$2:$H$4774,"&lt;"&amp;B47+1)</f>
        <v>16</v>
      </c>
      <c r="E47">
        <f>COUNTIFS('Исходник — лиды'!$H$2:$H$4774,"&gt;="&amp;A47,'Исходник — лиды'!$H$2:$H$4774,"&lt;"&amp;B47+1,'Исходник — лиды'!$C$2:$C$4774,"Качественный лид")</f>
        <v>16</v>
      </c>
      <c r="F47">
        <v>36</v>
      </c>
      <c r="G47" s="6">
        <f t="shared" si="0"/>
        <v>1</v>
      </c>
    </row>
    <row r="48" spans="1:7" x14ac:dyDescent="0.25">
      <c r="A48" s="4">
        <v>44858</v>
      </c>
      <c r="B48" s="4">
        <v>44864</v>
      </c>
      <c r="C48" t="s">
        <v>5312</v>
      </c>
      <c r="D48">
        <f>COUNTIFS('Исходник — лиды'!$H$2:$H$4774,"&gt;="&amp;A48,'Исходник — лиды'!$H$2:$H$4774,"&lt;"&amp;B48+1)</f>
        <v>11</v>
      </c>
      <c r="E48">
        <f>COUNTIFS('Исходник — лиды'!$H$2:$H$4774,"&gt;="&amp;A48,'Исходник — лиды'!$H$2:$H$4774,"&lt;"&amp;B48+1,'Исходник — лиды'!$C$2:$C$4774,"Качественный лид")</f>
        <v>11</v>
      </c>
      <c r="F48">
        <v>37</v>
      </c>
      <c r="G48" s="6">
        <f t="shared" si="0"/>
        <v>1</v>
      </c>
    </row>
    <row r="49" spans="1:7" x14ac:dyDescent="0.25">
      <c r="A49" s="4">
        <v>44865</v>
      </c>
      <c r="B49" s="4">
        <v>44871</v>
      </c>
      <c r="C49" t="s">
        <v>5313</v>
      </c>
      <c r="D49">
        <f>COUNTIFS('Исходник — лиды'!$H$2:$H$4774,"&gt;="&amp;A49,'Исходник — лиды'!$H$2:$H$4774,"&lt;"&amp;B49+1)</f>
        <v>17</v>
      </c>
      <c r="E49">
        <f>COUNTIFS('Исходник — лиды'!$H$2:$H$4774,"&gt;="&amp;A49,'Исходник — лиды'!$H$2:$H$4774,"&lt;"&amp;B49+1,'Исходник — лиды'!$C$2:$C$4774,"Качественный лид")</f>
        <v>17</v>
      </c>
      <c r="F49">
        <v>30</v>
      </c>
      <c r="G49" s="6">
        <f t="shared" si="0"/>
        <v>1</v>
      </c>
    </row>
    <row r="50" spans="1:7" x14ac:dyDescent="0.25">
      <c r="A50" s="4">
        <v>44872</v>
      </c>
      <c r="B50" s="4">
        <v>44878</v>
      </c>
      <c r="C50" t="s">
        <v>5314</v>
      </c>
      <c r="D50">
        <f>COUNTIFS('Исходник — лиды'!$H$2:$H$4774,"&gt;="&amp;A50,'Исходник — лиды'!$H$2:$H$4774,"&lt;"&amp;B50+1)</f>
        <v>10</v>
      </c>
      <c r="E50">
        <f>COUNTIFS('Исходник — лиды'!$H$2:$H$4774,"&gt;="&amp;A50,'Исходник — лиды'!$H$2:$H$4774,"&lt;"&amp;B50+1,'Исходник — лиды'!$C$2:$C$4774,"Качественный лид")</f>
        <v>10</v>
      </c>
      <c r="F50">
        <v>24</v>
      </c>
      <c r="G50" s="6">
        <f t="shared" si="0"/>
        <v>1</v>
      </c>
    </row>
    <row r="51" spans="1:7" x14ac:dyDescent="0.25">
      <c r="A51" s="4">
        <v>44879</v>
      </c>
      <c r="B51" s="4">
        <v>44885</v>
      </c>
      <c r="C51" t="s">
        <v>5315</v>
      </c>
      <c r="D51">
        <f>COUNTIFS('Исходник — лиды'!$H$2:$H$4774,"&gt;="&amp;A51,'Исходник — лиды'!$H$2:$H$4774,"&lt;"&amp;B51+1)</f>
        <v>6</v>
      </c>
      <c r="E51">
        <f>COUNTIFS('Исходник — лиды'!$H$2:$H$4774,"&gt;="&amp;A51,'Исходник — лиды'!$H$2:$H$4774,"&lt;"&amp;B51+1,'Исходник — лиды'!$C$2:$C$4774,"Качественный лид")</f>
        <v>6</v>
      </c>
      <c r="F51">
        <v>27</v>
      </c>
      <c r="G51" s="6">
        <f t="shared" si="0"/>
        <v>1</v>
      </c>
    </row>
    <row r="52" spans="1:7" x14ac:dyDescent="0.25">
      <c r="A52" s="4">
        <v>44886</v>
      </c>
      <c r="B52" s="4">
        <v>44892</v>
      </c>
      <c r="C52" t="s">
        <v>5316</v>
      </c>
      <c r="D52">
        <f>COUNTIFS('Исходник — лиды'!$H$2:$H$4774,"&gt;="&amp;A52,'Исходник — лиды'!$H$2:$H$4774,"&lt;"&amp;B52+1)</f>
        <v>12</v>
      </c>
      <c r="E52">
        <f>COUNTIFS('Исходник — лиды'!$H$2:$H$4774,"&gt;="&amp;A52,'Исходник — лиды'!$H$2:$H$4774,"&lt;"&amp;B52+1,'Исходник — лиды'!$C$2:$C$4774,"Качественный лид")</f>
        <v>11</v>
      </c>
      <c r="F52">
        <v>33</v>
      </c>
      <c r="G52" s="6">
        <f t="shared" si="0"/>
        <v>0.91666666666666663</v>
      </c>
    </row>
    <row r="53" spans="1:7" x14ac:dyDescent="0.25">
      <c r="A53" s="4">
        <v>44893</v>
      </c>
      <c r="B53" s="4">
        <v>44899</v>
      </c>
      <c r="C53" t="s">
        <v>5317</v>
      </c>
      <c r="D53">
        <f>COUNTIFS('Исходник — лиды'!$H$2:$H$4774,"&gt;="&amp;A53,'Исходник — лиды'!$H$2:$H$4774,"&lt;"&amp;B53+1)</f>
        <v>8</v>
      </c>
      <c r="E53">
        <f>COUNTIFS('Исходник — лиды'!$H$2:$H$4774,"&gt;="&amp;A53,'Исходник — лиды'!$H$2:$H$4774,"&lt;"&amp;B53+1,'Исходник — лиды'!$C$2:$C$4774,"Качественный лид")</f>
        <v>8</v>
      </c>
      <c r="F53">
        <v>28</v>
      </c>
      <c r="G53" s="6">
        <f t="shared" si="0"/>
        <v>1</v>
      </c>
    </row>
    <row r="54" spans="1:7" x14ac:dyDescent="0.25">
      <c r="A54" s="4">
        <v>44900</v>
      </c>
      <c r="B54" s="4">
        <v>44906</v>
      </c>
      <c r="C54" t="s">
        <v>5318</v>
      </c>
      <c r="D54">
        <f>COUNTIFS('Исходник — лиды'!$H$2:$H$4774,"&gt;="&amp;A54,'Исходник — лиды'!$H$2:$H$4774,"&lt;"&amp;B54+1)</f>
        <v>12</v>
      </c>
      <c r="E54">
        <f>COUNTIFS('Исходник — лиды'!$H$2:$H$4774,"&gt;="&amp;A54,'Исходник — лиды'!$H$2:$H$4774,"&lt;"&amp;B54+1,'Исходник — лиды'!$C$2:$C$4774,"Качественный лид")</f>
        <v>11</v>
      </c>
      <c r="F54">
        <v>20</v>
      </c>
      <c r="G54" s="6">
        <f t="shared" si="0"/>
        <v>0.91666666666666663</v>
      </c>
    </row>
    <row r="55" spans="1:7" x14ac:dyDescent="0.25">
      <c r="A55" s="4">
        <v>44907</v>
      </c>
      <c r="B55" s="4">
        <v>44913</v>
      </c>
      <c r="C55" t="s">
        <v>5319</v>
      </c>
      <c r="D55">
        <f>COUNTIFS('Исходник — лиды'!$H$2:$H$4774,"&gt;="&amp;A55,'Исходник — лиды'!$H$2:$H$4774,"&lt;"&amp;B55+1)</f>
        <v>11</v>
      </c>
      <c r="E55">
        <f>COUNTIFS('Исходник — лиды'!$H$2:$H$4774,"&gt;="&amp;A55,'Исходник — лиды'!$H$2:$H$4774,"&lt;"&amp;B55+1,'Исходник — лиды'!$C$2:$C$4774,"Качественный лид")</f>
        <v>11</v>
      </c>
      <c r="F55">
        <v>28</v>
      </c>
      <c r="G55" s="6">
        <f t="shared" si="0"/>
        <v>1</v>
      </c>
    </row>
    <row r="56" spans="1:7" x14ac:dyDescent="0.25">
      <c r="A56" s="4">
        <v>44914</v>
      </c>
      <c r="B56" s="4">
        <v>44920</v>
      </c>
      <c r="C56" t="s">
        <v>5320</v>
      </c>
      <c r="D56">
        <f>COUNTIFS('Исходник — лиды'!$H$2:$H$4774,"&gt;="&amp;A56,'Исходник — лиды'!$H$2:$H$4774,"&lt;"&amp;B56+1)</f>
        <v>12</v>
      </c>
      <c r="E56">
        <f>COUNTIFS('Исходник — лиды'!$H$2:$H$4774,"&gt;="&amp;A56,'Исходник — лиды'!$H$2:$H$4774,"&lt;"&amp;B56+1,'Исходник — лиды'!$C$2:$C$4774,"Качественный лид")</f>
        <v>12</v>
      </c>
      <c r="F56">
        <v>30</v>
      </c>
      <c r="G56" s="6">
        <f t="shared" si="0"/>
        <v>1</v>
      </c>
    </row>
    <row r="57" spans="1:7" x14ac:dyDescent="0.25">
      <c r="A57" s="4">
        <v>44921</v>
      </c>
      <c r="B57" s="4">
        <v>44927</v>
      </c>
      <c r="C57" t="s">
        <v>5321</v>
      </c>
      <c r="D57">
        <f>COUNTIFS('Исходник — лиды'!$H$2:$H$4774,"&gt;="&amp;A57,'Исходник — лиды'!$H$2:$H$4774,"&lt;"&amp;B57+1)</f>
        <v>9</v>
      </c>
      <c r="E57">
        <f>COUNTIFS('Исходник — лиды'!$H$2:$H$4774,"&gt;="&amp;A57,'Исходник — лиды'!$H$2:$H$4774,"&lt;"&amp;B57+1,'Исходник — лиды'!$C$2:$C$4774,"Качественный лид")</f>
        <v>9</v>
      </c>
      <c r="F57">
        <v>14</v>
      </c>
      <c r="G57" s="6">
        <f t="shared" si="0"/>
        <v>1</v>
      </c>
    </row>
    <row r="58" spans="1:7" x14ac:dyDescent="0.25">
      <c r="A58" s="4">
        <v>44928</v>
      </c>
      <c r="B58" s="4">
        <v>44934</v>
      </c>
      <c r="C58" t="s">
        <v>5322</v>
      </c>
      <c r="D58">
        <f>COUNTIFS('Исходник — лиды'!$H$2:$H$4774,"&gt;="&amp;A58,'Исходник — лиды'!$H$2:$H$4774,"&lt;"&amp;B58+1)</f>
        <v>7</v>
      </c>
      <c r="E58">
        <f>COUNTIFS('Исходник — лиды'!$H$2:$H$4774,"&gt;="&amp;A58,'Исходник — лиды'!$H$2:$H$4774,"&lt;"&amp;B58+1,'Исходник — лиды'!$C$2:$C$4774,"Качественный лид")</f>
        <v>7</v>
      </c>
      <c r="F58">
        <v>26</v>
      </c>
      <c r="G58" s="6">
        <f t="shared" si="0"/>
        <v>1</v>
      </c>
    </row>
    <row r="59" spans="1:7" x14ac:dyDescent="0.25">
      <c r="A59" s="4">
        <v>44935</v>
      </c>
      <c r="B59" s="4">
        <v>44941</v>
      </c>
      <c r="C59" t="s">
        <v>5323</v>
      </c>
      <c r="D59">
        <f>COUNTIFS('Исходник — лиды'!$H$2:$H$4774,"&gt;="&amp;A59,'Исходник — лиды'!$H$2:$H$4774,"&lt;"&amp;B59+1)</f>
        <v>10</v>
      </c>
      <c r="E59">
        <f>COUNTIFS('Исходник — лиды'!$H$2:$H$4774,"&gt;="&amp;A59,'Исходник — лиды'!$H$2:$H$4774,"&lt;"&amp;B59+1,'Исходник — лиды'!$C$2:$C$4774,"Качественный лид")</f>
        <v>10</v>
      </c>
      <c r="F59">
        <v>19</v>
      </c>
      <c r="G59" s="6">
        <f t="shared" si="0"/>
        <v>1</v>
      </c>
    </row>
    <row r="60" spans="1:7" x14ac:dyDescent="0.25">
      <c r="A60" s="4">
        <v>44942</v>
      </c>
      <c r="B60" s="4">
        <v>44948</v>
      </c>
      <c r="C60" t="s">
        <v>5324</v>
      </c>
      <c r="D60">
        <f>COUNTIFS('Исходник — лиды'!$H$2:$H$4774,"&gt;="&amp;A60,'Исходник — лиды'!$H$2:$H$4774,"&lt;"&amp;B60+1)</f>
        <v>10</v>
      </c>
      <c r="E60">
        <f>COUNTIFS('Исходник — лиды'!$H$2:$H$4774,"&gt;="&amp;A60,'Исходник — лиды'!$H$2:$H$4774,"&lt;"&amp;B60+1,'Исходник — лиды'!$C$2:$C$4774,"Качественный лид")</f>
        <v>10</v>
      </c>
      <c r="F60">
        <v>25</v>
      </c>
      <c r="G60" s="6">
        <f t="shared" si="0"/>
        <v>1</v>
      </c>
    </row>
    <row r="61" spans="1:7" x14ac:dyDescent="0.25">
      <c r="A61" s="4">
        <v>44949</v>
      </c>
      <c r="B61" s="4">
        <v>44955</v>
      </c>
      <c r="C61" t="s">
        <v>5325</v>
      </c>
      <c r="D61">
        <f>COUNTIFS('Исходник — лиды'!$H$2:$H$4774,"&gt;="&amp;A61,'Исходник — лиды'!$H$2:$H$4774,"&lt;"&amp;B61+1)</f>
        <v>14</v>
      </c>
      <c r="E61">
        <f>COUNTIFS('Исходник — лиды'!$H$2:$H$4774,"&gt;="&amp;A61,'Исходник — лиды'!$H$2:$H$4774,"&lt;"&amp;B61+1,'Исходник — лиды'!$C$2:$C$4774,"Качественный лид")</f>
        <v>13</v>
      </c>
      <c r="F61">
        <v>44</v>
      </c>
      <c r="G61" s="6">
        <f t="shared" si="0"/>
        <v>0.9285714285714286</v>
      </c>
    </row>
    <row r="62" spans="1:7" x14ac:dyDescent="0.25">
      <c r="A62" s="4">
        <v>44956</v>
      </c>
      <c r="B62" s="4">
        <v>44962</v>
      </c>
      <c r="C62" t="s">
        <v>5326</v>
      </c>
      <c r="D62">
        <f>COUNTIFS('Исходник — лиды'!$H$2:$H$4774,"&gt;="&amp;A62,'Исходник — лиды'!$H$2:$H$4774,"&lt;"&amp;B62+1)</f>
        <v>11</v>
      </c>
      <c r="E62">
        <f>COUNTIFS('Исходник — лиды'!$H$2:$H$4774,"&gt;="&amp;A62,'Исходник — лиды'!$H$2:$H$4774,"&lt;"&amp;B62+1,'Исходник — лиды'!$C$2:$C$4774,"Качественный лид")</f>
        <v>11</v>
      </c>
      <c r="F62">
        <v>27</v>
      </c>
      <c r="G62" s="6">
        <f t="shared" si="0"/>
        <v>1</v>
      </c>
    </row>
    <row r="63" spans="1:7" x14ac:dyDescent="0.25">
      <c r="A63" s="4">
        <v>44963</v>
      </c>
      <c r="B63" s="4">
        <v>44969</v>
      </c>
      <c r="C63" t="s">
        <v>5327</v>
      </c>
      <c r="D63">
        <f>COUNTIFS('Исходник — лиды'!$H$2:$H$4774,"&gt;="&amp;A63,'Исходник — лиды'!$H$2:$H$4774,"&lt;"&amp;B63+1)</f>
        <v>10</v>
      </c>
      <c r="E63">
        <f>COUNTIFS('Исходник — лиды'!$H$2:$H$4774,"&gt;="&amp;A63,'Исходник — лиды'!$H$2:$H$4774,"&lt;"&amp;B63+1,'Исходник — лиды'!$C$2:$C$4774,"Качественный лид")</f>
        <v>10</v>
      </c>
      <c r="F63">
        <v>28</v>
      </c>
      <c r="G63" s="6">
        <f t="shared" si="0"/>
        <v>1</v>
      </c>
    </row>
    <row r="64" spans="1:7" x14ac:dyDescent="0.25">
      <c r="A64" s="4">
        <v>44970</v>
      </c>
      <c r="B64" s="4">
        <v>44976</v>
      </c>
      <c r="C64" t="s">
        <v>5328</v>
      </c>
      <c r="D64">
        <f>COUNTIFS('Исходник — лиды'!$H$2:$H$4774,"&gt;="&amp;A64,'Исходник — лиды'!$H$2:$H$4774,"&lt;"&amp;B64+1)</f>
        <v>15</v>
      </c>
      <c r="E64">
        <f>COUNTIFS('Исходник — лиды'!$H$2:$H$4774,"&gt;="&amp;A64,'Исходник — лиды'!$H$2:$H$4774,"&lt;"&amp;B64+1,'Исходник — лиды'!$C$2:$C$4774,"Качественный лид")</f>
        <v>13</v>
      </c>
      <c r="F64">
        <v>32</v>
      </c>
      <c r="G64" s="6">
        <f t="shared" si="0"/>
        <v>0.8666666666666667</v>
      </c>
    </row>
    <row r="65" spans="1:7" x14ac:dyDescent="0.25">
      <c r="A65" s="4">
        <v>44977</v>
      </c>
      <c r="B65" s="4">
        <v>44983</v>
      </c>
      <c r="C65" t="s">
        <v>5329</v>
      </c>
      <c r="D65">
        <f>COUNTIFS('Исходник — лиды'!$H$2:$H$4774,"&gt;="&amp;A65,'Исходник — лиды'!$H$2:$H$4774,"&lt;"&amp;B65+1)</f>
        <v>7</v>
      </c>
      <c r="E65">
        <f>COUNTIFS('Исходник — лиды'!$H$2:$H$4774,"&gt;="&amp;A65,'Исходник — лиды'!$H$2:$H$4774,"&lt;"&amp;B65+1,'Исходник — лиды'!$C$2:$C$4774,"Качественный лид")</f>
        <v>7</v>
      </c>
      <c r="F65">
        <v>44</v>
      </c>
      <c r="G65" s="6">
        <f t="shared" si="0"/>
        <v>1</v>
      </c>
    </row>
    <row r="66" spans="1:7" x14ac:dyDescent="0.25">
      <c r="A66" s="4">
        <v>44984</v>
      </c>
      <c r="B66" s="4">
        <v>44990</v>
      </c>
      <c r="C66" t="s">
        <v>5330</v>
      </c>
      <c r="D66">
        <f>COUNTIFS('Исходник — лиды'!$H$2:$H$4774,"&gt;="&amp;A66,'Исходник — лиды'!$H$2:$H$4774,"&lt;"&amp;B66+1)</f>
        <v>14</v>
      </c>
      <c r="E66">
        <f>COUNTIFS('Исходник — лиды'!$H$2:$H$4774,"&gt;="&amp;A66,'Исходник — лиды'!$H$2:$H$4774,"&lt;"&amp;B66+1,'Исходник — лиды'!$C$2:$C$4774,"Качественный лид")</f>
        <v>14</v>
      </c>
      <c r="F66">
        <v>30</v>
      </c>
      <c r="G66" s="6">
        <f t="shared" si="0"/>
        <v>1</v>
      </c>
    </row>
    <row r="67" spans="1:7" x14ac:dyDescent="0.25">
      <c r="A67" s="4">
        <v>44991</v>
      </c>
      <c r="B67" s="4">
        <v>44997</v>
      </c>
      <c r="C67" t="s">
        <v>5331</v>
      </c>
      <c r="D67">
        <f>COUNTIFS('Исходник — лиды'!$H$2:$H$4774,"&gt;="&amp;A67,'Исходник — лиды'!$H$2:$H$4774,"&lt;"&amp;B67+1)</f>
        <v>15</v>
      </c>
      <c r="E67">
        <f>COUNTIFS('Исходник — лиды'!$H$2:$H$4774,"&gt;="&amp;A67,'Исходник — лиды'!$H$2:$H$4774,"&lt;"&amp;B67+1,'Исходник — лиды'!$C$2:$C$4774,"Качественный лид")</f>
        <v>15</v>
      </c>
      <c r="F67">
        <v>37</v>
      </c>
      <c r="G67" s="6">
        <f t="shared" si="0"/>
        <v>1</v>
      </c>
    </row>
    <row r="68" spans="1:7" x14ac:dyDescent="0.25">
      <c r="A68" s="4">
        <v>44998</v>
      </c>
      <c r="B68" s="4">
        <v>45004</v>
      </c>
      <c r="C68" t="s">
        <v>5332</v>
      </c>
      <c r="D68">
        <f>COUNTIFS('Исходник — лиды'!$H$2:$H$4774,"&gt;="&amp;A68,'Исходник — лиды'!$H$2:$H$4774,"&lt;"&amp;B68+1)</f>
        <v>17</v>
      </c>
      <c r="E68">
        <f>COUNTIFS('Исходник — лиды'!$H$2:$H$4774,"&gt;="&amp;A68,'Исходник — лиды'!$H$2:$H$4774,"&lt;"&amp;B68+1,'Исходник — лиды'!$C$2:$C$4774,"Качественный лид")</f>
        <v>17</v>
      </c>
      <c r="F68">
        <v>59</v>
      </c>
      <c r="G68" s="6">
        <f t="shared" si="0"/>
        <v>1</v>
      </c>
    </row>
    <row r="69" spans="1:7" x14ac:dyDescent="0.25">
      <c r="A69" s="4">
        <v>45005</v>
      </c>
      <c r="B69" s="4">
        <v>45011</v>
      </c>
      <c r="C69" t="s">
        <v>5333</v>
      </c>
      <c r="D69">
        <f>COUNTIFS('Исходник — лиды'!$H$2:$H$4774,"&gt;="&amp;A69,'Исходник — лиды'!$H$2:$H$4774,"&lt;"&amp;B69+1)</f>
        <v>27</v>
      </c>
      <c r="E69">
        <f>COUNTIFS('Исходник — лиды'!$H$2:$H$4774,"&gt;="&amp;A69,'Исходник — лиды'!$H$2:$H$4774,"&lt;"&amp;B69+1,'Исходник — лиды'!$C$2:$C$4774,"Качественный лид")</f>
        <v>26</v>
      </c>
      <c r="F69">
        <v>34</v>
      </c>
      <c r="G69" s="6">
        <f t="shared" ref="G69:G132" si="1">IFERROR(E69/D69,0)</f>
        <v>0.96296296296296291</v>
      </c>
    </row>
    <row r="70" spans="1:7" x14ac:dyDescent="0.25">
      <c r="A70" s="4">
        <v>45012</v>
      </c>
      <c r="B70" s="4">
        <v>45018</v>
      </c>
      <c r="C70" t="s">
        <v>5334</v>
      </c>
      <c r="D70">
        <f>COUNTIFS('Исходник — лиды'!$H$2:$H$4774,"&gt;="&amp;A70,'Исходник — лиды'!$H$2:$H$4774,"&lt;"&amp;B70+1)</f>
        <v>27</v>
      </c>
      <c r="E70">
        <f>COUNTIFS('Исходник — лиды'!$H$2:$H$4774,"&gt;="&amp;A70,'Исходник — лиды'!$H$2:$H$4774,"&lt;"&amp;B70+1,'Исходник — лиды'!$C$2:$C$4774,"Качественный лид")</f>
        <v>27</v>
      </c>
      <c r="F70">
        <v>56</v>
      </c>
      <c r="G70" s="6">
        <f t="shared" si="1"/>
        <v>1</v>
      </c>
    </row>
    <row r="71" spans="1:7" x14ac:dyDescent="0.25">
      <c r="A71" s="4">
        <v>45019</v>
      </c>
      <c r="B71" s="4">
        <v>45025</v>
      </c>
      <c r="C71" t="s">
        <v>5335</v>
      </c>
      <c r="D71">
        <f>COUNTIFS('Исходник — лиды'!$H$2:$H$4774,"&gt;="&amp;A71,'Исходник — лиды'!$H$2:$H$4774,"&lt;"&amp;B71+1)</f>
        <v>21</v>
      </c>
      <c r="E71">
        <f>COUNTIFS('Исходник — лиды'!$H$2:$H$4774,"&gt;="&amp;A71,'Исходник — лиды'!$H$2:$H$4774,"&lt;"&amp;B71+1,'Исходник — лиды'!$C$2:$C$4774,"Качественный лид")</f>
        <v>21</v>
      </c>
      <c r="F71">
        <v>43</v>
      </c>
      <c r="G71" s="6">
        <f t="shared" si="1"/>
        <v>1</v>
      </c>
    </row>
    <row r="72" spans="1:7" x14ac:dyDescent="0.25">
      <c r="A72" s="4">
        <v>45026</v>
      </c>
      <c r="B72" s="4">
        <v>45032</v>
      </c>
      <c r="C72" t="s">
        <v>5336</v>
      </c>
      <c r="D72">
        <f>COUNTIFS('Исходник — лиды'!$H$2:$H$4774,"&gt;="&amp;A72,'Исходник — лиды'!$H$2:$H$4774,"&lt;"&amp;B72+1)</f>
        <v>18</v>
      </c>
      <c r="E72">
        <f>COUNTIFS('Исходник — лиды'!$H$2:$H$4774,"&gt;="&amp;A72,'Исходник — лиды'!$H$2:$H$4774,"&lt;"&amp;B72+1,'Исходник — лиды'!$C$2:$C$4774,"Качественный лид")</f>
        <v>18</v>
      </c>
      <c r="F72">
        <v>51</v>
      </c>
      <c r="G72" s="6">
        <f t="shared" si="1"/>
        <v>1</v>
      </c>
    </row>
    <row r="73" spans="1:7" x14ac:dyDescent="0.25">
      <c r="A73" s="4">
        <v>45033</v>
      </c>
      <c r="B73" s="4">
        <v>45039</v>
      </c>
      <c r="C73" t="s">
        <v>5337</v>
      </c>
      <c r="D73">
        <f>COUNTIFS('Исходник — лиды'!$H$2:$H$4774,"&gt;="&amp;A73,'Исходник — лиды'!$H$2:$H$4774,"&lt;"&amp;B73+1)</f>
        <v>29</v>
      </c>
      <c r="E73">
        <f>COUNTIFS('Исходник — лиды'!$H$2:$H$4774,"&gt;="&amp;A73,'Исходник — лиды'!$H$2:$H$4774,"&lt;"&amp;B73+1,'Исходник — лиды'!$C$2:$C$4774,"Качественный лид")</f>
        <v>29</v>
      </c>
      <c r="F73">
        <v>61</v>
      </c>
      <c r="G73" s="6">
        <f t="shared" si="1"/>
        <v>1</v>
      </c>
    </row>
    <row r="74" spans="1:7" x14ac:dyDescent="0.25">
      <c r="A74" s="4">
        <v>45040</v>
      </c>
      <c r="B74" s="4">
        <v>45046</v>
      </c>
      <c r="C74" t="s">
        <v>5338</v>
      </c>
      <c r="D74">
        <f>COUNTIFS('Исходник — лиды'!$H$2:$H$4774,"&gt;="&amp;A74,'Исходник — лиды'!$H$2:$H$4774,"&lt;"&amp;B74+1)</f>
        <v>26</v>
      </c>
      <c r="E74">
        <f>COUNTIFS('Исходник — лиды'!$H$2:$H$4774,"&gt;="&amp;A74,'Исходник — лиды'!$H$2:$H$4774,"&lt;"&amp;B74+1,'Исходник — лиды'!$C$2:$C$4774,"Качественный лид")</f>
        <v>26</v>
      </c>
      <c r="F74">
        <v>62</v>
      </c>
      <c r="G74" s="6">
        <f t="shared" si="1"/>
        <v>1</v>
      </c>
    </row>
    <row r="75" spans="1:7" x14ac:dyDescent="0.25">
      <c r="A75" s="4">
        <v>45047</v>
      </c>
      <c r="B75" s="4">
        <v>45053</v>
      </c>
      <c r="C75" t="s">
        <v>5339</v>
      </c>
      <c r="D75">
        <f>COUNTIFS('Исходник — лиды'!$H$2:$H$4774,"&gt;="&amp;A75,'Исходник — лиды'!$H$2:$H$4774,"&lt;"&amp;B75+1)</f>
        <v>30</v>
      </c>
      <c r="E75">
        <f>COUNTIFS('Исходник — лиды'!$H$2:$H$4774,"&gt;="&amp;A75,'Исходник — лиды'!$H$2:$H$4774,"&lt;"&amp;B75+1,'Исходник — лиды'!$C$2:$C$4774,"Качественный лид")</f>
        <v>29</v>
      </c>
      <c r="F75">
        <v>52</v>
      </c>
      <c r="G75" s="6">
        <f t="shared" si="1"/>
        <v>0.96666666666666667</v>
      </c>
    </row>
    <row r="76" spans="1:7" x14ac:dyDescent="0.25">
      <c r="A76" s="4">
        <v>45054</v>
      </c>
      <c r="B76" s="4">
        <v>45060</v>
      </c>
      <c r="C76" t="s">
        <v>5340</v>
      </c>
      <c r="D76">
        <f>COUNTIFS('Исходник — лиды'!$H$2:$H$4774,"&gt;="&amp;A76,'Исходник — лиды'!$H$2:$H$4774,"&lt;"&amp;B76+1)</f>
        <v>25</v>
      </c>
      <c r="E76">
        <f>COUNTIFS('Исходник — лиды'!$H$2:$H$4774,"&gt;="&amp;A76,'Исходник — лиды'!$H$2:$H$4774,"&lt;"&amp;B76+1,'Исходник — лиды'!$C$2:$C$4774,"Качественный лид")</f>
        <v>25</v>
      </c>
      <c r="F76">
        <v>50</v>
      </c>
      <c r="G76" s="6">
        <f t="shared" si="1"/>
        <v>1</v>
      </c>
    </row>
    <row r="77" spans="1:7" x14ac:dyDescent="0.25">
      <c r="A77" s="4">
        <v>45061</v>
      </c>
      <c r="B77" s="4">
        <v>45067</v>
      </c>
      <c r="C77" t="s">
        <v>5341</v>
      </c>
      <c r="D77">
        <f>COUNTIFS('Исходник — лиды'!$H$2:$H$4774,"&gt;="&amp;A77,'Исходник — лиды'!$H$2:$H$4774,"&lt;"&amp;B77+1)</f>
        <v>22</v>
      </c>
      <c r="E77">
        <f>COUNTIFS('Исходник — лиды'!$H$2:$H$4774,"&gt;="&amp;A77,'Исходник — лиды'!$H$2:$H$4774,"&lt;"&amp;B77+1,'Исходник — лиды'!$C$2:$C$4774,"Качественный лид")</f>
        <v>22</v>
      </c>
      <c r="F77">
        <v>71</v>
      </c>
      <c r="G77" s="6">
        <f t="shared" si="1"/>
        <v>1</v>
      </c>
    </row>
    <row r="78" spans="1:7" x14ac:dyDescent="0.25">
      <c r="A78" s="4">
        <v>45068</v>
      </c>
      <c r="B78" s="4">
        <v>45074</v>
      </c>
      <c r="C78" t="s">
        <v>5342</v>
      </c>
      <c r="D78">
        <f>COUNTIFS('Исходник — лиды'!$H$2:$H$4774,"&gt;="&amp;A78,'Исходник — лиды'!$H$2:$H$4774,"&lt;"&amp;B78+1)</f>
        <v>18</v>
      </c>
      <c r="E78">
        <f>COUNTIFS('Исходник — лиды'!$H$2:$H$4774,"&gt;="&amp;A78,'Исходник — лиды'!$H$2:$H$4774,"&lt;"&amp;B78+1,'Исходник — лиды'!$C$2:$C$4774,"Качественный лид")</f>
        <v>17</v>
      </c>
      <c r="F78">
        <v>56</v>
      </c>
      <c r="G78" s="6">
        <f t="shared" si="1"/>
        <v>0.94444444444444442</v>
      </c>
    </row>
    <row r="79" spans="1:7" x14ac:dyDescent="0.25">
      <c r="A79" s="4">
        <v>45075</v>
      </c>
      <c r="B79" s="4">
        <v>45081</v>
      </c>
      <c r="C79" t="s">
        <v>5343</v>
      </c>
      <c r="D79">
        <f>COUNTIFS('Исходник — лиды'!$H$2:$H$4774,"&gt;="&amp;A79,'Исходник — лиды'!$H$2:$H$4774,"&lt;"&amp;B79+1)</f>
        <v>17</v>
      </c>
      <c r="E79">
        <f>COUNTIFS('Исходник — лиды'!$H$2:$H$4774,"&gt;="&amp;A79,'Исходник — лиды'!$H$2:$H$4774,"&lt;"&amp;B79+1,'Исходник — лиды'!$C$2:$C$4774,"Качественный лид")</f>
        <v>14</v>
      </c>
      <c r="F79">
        <v>57</v>
      </c>
      <c r="G79" s="6">
        <f t="shared" si="1"/>
        <v>0.82352941176470584</v>
      </c>
    </row>
    <row r="80" spans="1:7" x14ac:dyDescent="0.25">
      <c r="A80" s="4">
        <v>45082</v>
      </c>
      <c r="B80" s="4">
        <v>45088</v>
      </c>
      <c r="C80" t="s">
        <v>5344</v>
      </c>
      <c r="D80">
        <f>COUNTIFS('Исходник — лиды'!$H$2:$H$4774,"&gt;="&amp;A80,'Исходник — лиды'!$H$2:$H$4774,"&lt;"&amp;B80+1)</f>
        <v>38</v>
      </c>
      <c r="E80">
        <f>COUNTIFS('Исходник — лиды'!$H$2:$H$4774,"&gt;="&amp;A80,'Исходник — лиды'!$H$2:$H$4774,"&lt;"&amp;B80+1,'Исходник — лиды'!$C$2:$C$4774,"Качественный лид")</f>
        <v>36</v>
      </c>
      <c r="F80">
        <v>45</v>
      </c>
      <c r="G80" s="6">
        <f t="shared" si="1"/>
        <v>0.94736842105263153</v>
      </c>
    </row>
    <row r="81" spans="1:7" x14ac:dyDescent="0.25">
      <c r="A81" s="4">
        <v>45089</v>
      </c>
      <c r="B81" s="4">
        <v>45095</v>
      </c>
      <c r="C81" t="s">
        <v>5345</v>
      </c>
      <c r="D81">
        <f>COUNTIFS('Исходник — лиды'!$H$2:$H$4774,"&gt;="&amp;A81,'Исходник — лиды'!$H$2:$H$4774,"&lt;"&amp;B81+1)</f>
        <v>21</v>
      </c>
      <c r="E81">
        <f>COUNTIFS('Исходник — лиды'!$H$2:$H$4774,"&gt;="&amp;A81,'Исходник — лиды'!$H$2:$H$4774,"&lt;"&amp;B81+1,'Исходник — лиды'!$C$2:$C$4774,"Качественный лид")</f>
        <v>20</v>
      </c>
      <c r="F81">
        <v>43</v>
      </c>
      <c r="G81" s="6">
        <f t="shared" si="1"/>
        <v>0.95238095238095233</v>
      </c>
    </row>
    <row r="82" spans="1:7" x14ac:dyDescent="0.25">
      <c r="A82" s="4">
        <v>45096</v>
      </c>
      <c r="B82" s="4">
        <v>45102</v>
      </c>
      <c r="C82" t="s">
        <v>5346</v>
      </c>
      <c r="D82">
        <f>COUNTIFS('Исходник — лиды'!$H$2:$H$4774,"&gt;="&amp;A82,'Исходник — лиды'!$H$2:$H$4774,"&lt;"&amp;B82+1)</f>
        <v>15</v>
      </c>
      <c r="E82">
        <f>COUNTIFS('Исходник — лиды'!$H$2:$H$4774,"&gt;="&amp;A82,'Исходник — лиды'!$H$2:$H$4774,"&lt;"&amp;B82+1,'Исходник — лиды'!$C$2:$C$4774,"Качественный лид")</f>
        <v>14</v>
      </c>
      <c r="F82">
        <v>34</v>
      </c>
      <c r="G82" s="6">
        <f t="shared" si="1"/>
        <v>0.93333333333333335</v>
      </c>
    </row>
    <row r="83" spans="1:7" x14ac:dyDescent="0.25">
      <c r="A83" s="4">
        <v>45103</v>
      </c>
      <c r="B83" s="4">
        <v>45109</v>
      </c>
      <c r="C83" t="s">
        <v>5347</v>
      </c>
      <c r="D83">
        <f>COUNTIFS('Исходник — лиды'!$H$2:$H$4774,"&gt;="&amp;A83,'Исходник — лиды'!$H$2:$H$4774,"&lt;"&amp;B83+1)</f>
        <v>30</v>
      </c>
      <c r="E83">
        <f>COUNTIFS('Исходник — лиды'!$H$2:$H$4774,"&gt;="&amp;A83,'Исходник — лиды'!$H$2:$H$4774,"&lt;"&amp;B83+1,'Исходник — лиды'!$C$2:$C$4774,"Качественный лид")</f>
        <v>29</v>
      </c>
      <c r="F83">
        <v>64</v>
      </c>
      <c r="G83" s="6">
        <f t="shared" si="1"/>
        <v>0.96666666666666667</v>
      </c>
    </row>
    <row r="84" spans="1:7" x14ac:dyDescent="0.25">
      <c r="A84" s="4">
        <v>45110</v>
      </c>
      <c r="B84" s="4">
        <v>45116</v>
      </c>
      <c r="C84" t="s">
        <v>5348</v>
      </c>
      <c r="D84">
        <f>COUNTIFS('Исходник — лиды'!$H$2:$H$4774,"&gt;="&amp;A84,'Исходник — лиды'!$H$2:$H$4774,"&lt;"&amp;B84+1)</f>
        <v>22</v>
      </c>
      <c r="E84">
        <f>COUNTIFS('Исходник — лиды'!$H$2:$H$4774,"&gt;="&amp;A84,'Исходник — лиды'!$H$2:$H$4774,"&lt;"&amp;B84+1,'Исходник — лиды'!$C$2:$C$4774,"Качественный лид")</f>
        <v>21</v>
      </c>
      <c r="F84">
        <v>63</v>
      </c>
      <c r="G84" s="6">
        <f t="shared" si="1"/>
        <v>0.95454545454545459</v>
      </c>
    </row>
    <row r="85" spans="1:7" x14ac:dyDescent="0.25">
      <c r="A85" s="4">
        <v>45117</v>
      </c>
      <c r="B85" s="4">
        <v>45123</v>
      </c>
      <c r="C85" t="s">
        <v>5349</v>
      </c>
      <c r="D85">
        <f>COUNTIFS('Исходник — лиды'!$H$2:$H$4774,"&gt;="&amp;A85,'Исходник — лиды'!$H$2:$H$4774,"&lt;"&amp;B85+1)</f>
        <v>14</v>
      </c>
      <c r="E85">
        <f>COUNTIFS('Исходник — лиды'!$H$2:$H$4774,"&gt;="&amp;A85,'Исходник — лиды'!$H$2:$H$4774,"&lt;"&amp;B85+1,'Исходник — лиды'!$C$2:$C$4774,"Качественный лид")</f>
        <v>14</v>
      </c>
      <c r="F85">
        <v>45</v>
      </c>
      <c r="G85" s="6">
        <f t="shared" si="1"/>
        <v>1</v>
      </c>
    </row>
    <row r="86" spans="1:7" x14ac:dyDescent="0.25">
      <c r="A86" s="4">
        <v>45124</v>
      </c>
      <c r="B86" s="4">
        <v>45130</v>
      </c>
      <c r="C86" t="s">
        <v>5350</v>
      </c>
      <c r="D86">
        <f>COUNTIFS('Исходник — лиды'!$H$2:$H$4774,"&gt;="&amp;A86,'Исходник — лиды'!$H$2:$H$4774,"&lt;"&amp;B86+1)</f>
        <v>24</v>
      </c>
      <c r="E86">
        <f>COUNTIFS('Исходник — лиды'!$H$2:$H$4774,"&gt;="&amp;A86,'Исходник — лиды'!$H$2:$H$4774,"&lt;"&amp;B86+1,'Исходник — лиды'!$C$2:$C$4774,"Качественный лид")</f>
        <v>24</v>
      </c>
      <c r="F86">
        <v>54</v>
      </c>
      <c r="G86" s="6">
        <f t="shared" si="1"/>
        <v>1</v>
      </c>
    </row>
    <row r="87" spans="1:7" x14ac:dyDescent="0.25">
      <c r="A87" s="4">
        <v>45131</v>
      </c>
      <c r="B87" s="4">
        <v>45137</v>
      </c>
      <c r="C87" t="s">
        <v>5351</v>
      </c>
      <c r="D87">
        <f>COUNTIFS('Исходник — лиды'!$H$2:$H$4774,"&gt;="&amp;A87,'Исходник — лиды'!$H$2:$H$4774,"&lt;"&amp;B87+1)</f>
        <v>20</v>
      </c>
      <c r="E87">
        <f>COUNTIFS('Исходник — лиды'!$H$2:$H$4774,"&gt;="&amp;A87,'Исходник — лиды'!$H$2:$H$4774,"&lt;"&amp;B87+1,'Исходник — лиды'!$C$2:$C$4774,"Качественный лид")</f>
        <v>19</v>
      </c>
      <c r="F87">
        <v>49</v>
      </c>
      <c r="G87" s="6">
        <f t="shared" si="1"/>
        <v>0.95</v>
      </c>
    </row>
    <row r="88" spans="1:7" x14ac:dyDescent="0.25">
      <c r="A88" s="4">
        <v>45138</v>
      </c>
      <c r="B88" s="4">
        <v>45144</v>
      </c>
      <c r="C88" t="s">
        <v>5352</v>
      </c>
      <c r="D88">
        <f>COUNTIFS('Исходник — лиды'!$H$2:$H$4774,"&gt;="&amp;A88,'Исходник — лиды'!$H$2:$H$4774,"&lt;"&amp;B88+1)</f>
        <v>19</v>
      </c>
      <c r="E88">
        <f>COUNTIFS('Исходник — лиды'!$H$2:$H$4774,"&gt;="&amp;A88,'Исходник — лиды'!$H$2:$H$4774,"&lt;"&amp;B88+1,'Исходник — лиды'!$C$2:$C$4774,"Качественный лид")</f>
        <v>18</v>
      </c>
      <c r="F88">
        <v>54</v>
      </c>
      <c r="G88" s="6">
        <f t="shared" si="1"/>
        <v>0.94736842105263153</v>
      </c>
    </row>
    <row r="89" spans="1:7" x14ac:dyDescent="0.25">
      <c r="A89" s="4">
        <v>45145</v>
      </c>
      <c r="B89" s="4">
        <v>45151</v>
      </c>
      <c r="C89" t="s">
        <v>5353</v>
      </c>
      <c r="D89">
        <f>COUNTIFS('Исходник — лиды'!$H$2:$H$4774,"&gt;="&amp;A89,'Исходник — лиды'!$H$2:$H$4774,"&lt;"&amp;B89+1)</f>
        <v>22</v>
      </c>
      <c r="E89">
        <f>COUNTIFS('Исходник — лиды'!$H$2:$H$4774,"&gt;="&amp;A89,'Исходник — лиды'!$H$2:$H$4774,"&lt;"&amp;B89+1,'Исходник — лиды'!$C$2:$C$4774,"Качественный лид")</f>
        <v>21</v>
      </c>
      <c r="F89">
        <v>48</v>
      </c>
      <c r="G89" s="6">
        <f t="shared" si="1"/>
        <v>0.95454545454545459</v>
      </c>
    </row>
    <row r="90" spans="1:7" x14ac:dyDescent="0.25">
      <c r="A90" s="4">
        <v>45152</v>
      </c>
      <c r="B90" s="4">
        <v>45158</v>
      </c>
      <c r="C90" t="s">
        <v>5354</v>
      </c>
      <c r="D90">
        <f>COUNTIFS('Исходник — лиды'!$H$2:$H$4774,"&gt;="&amp;A90,'Исходник — лиды'!$H$2:$H$4774,"&lt;"&amp;B90+1)</f>
        <v>19</v>
      </c>
      <c r="E90">
        <f>COUNTIFS('Исходник — лиды'!$H$2:$H$4774,"&gt;="&amp;A90,'Исходник — лиды'!$H$2:$H$4774,"&lt;"&amp;B90+1,'Исходник — лиды'!$C$2:$C$4774,"Качественный лид")</f>
        <v>19</v>
      </c>
      <c r="F90">
        <v>53</v>
      </c>
      <c r="G90" s="6">
        <f t="shared" si="1"/>
        <v>1</v>
      </c>
    </row>
    <row r="91" spans="1:7" x14ac:dyDescent="0.25">
      <c r="A91" s="4">
        <v>45159</v>
      </c>
      <c r="B91" s="4">
        <v>45165</v>
      </c>
      <c r="C91" t="s">
        <v>5355</v>
      </c>
      <c r="D91">
        <f>COUNTIFS('Исходник — лиды'!$H$2:$H$4774,"&gt;="&amp;A91,'Исходник — лиды'!$H$2:$H$4774,"&lt;"&amp;B91+1)</f>
        <v>27</v>
      </c>
      <c r="E91">
        <f>COUNTIFS('Исходник — лиды'!$H$2:$H$4774,"&gt;="&amp;A91,'Исходник — лиды'!$H$2:$H$4774,"&lt;"&amp;B91+1,'Исходник — лиды'!$C$2:$C$4774,"Качественный лид")</f>
        <v>27</v>
      </c>
      <c r="F91">
        <v>38</v>
      </c>
      <c r="G91" s="6">
        <f t="shared" si="1"/>
        <v>1</v>
      </c>
    </row>
    <row r="92" spans="1:7" x14ac:dyDescent="0.25">
      <c r="A92" s="4">
        <v>45166</v>
      </c>
      <c r="B92" s="4">
        <v>45172</v>
      </c>
      <c r="C92" t="s">
        <v>5356</v>
      </c>
      <c r="D92">
        <f>COUNTIFS('Исходник — лиды'!$H$2:$H$4774,"&gt;="&amp;A92,'Исходник — лиды'!$H$2:$H$4774,"&lt;"&amp;B92+1)</f>
        <v>21</v>
      </c>
      <c r="E92">
        <f>COUNTIFS('Исходник — лиды'!$H$2:$H$4774,"&gt;="&amp;A92,'Исходник — лиды'!$H$2:$H$4774,"&lt;"&amp;B92+1,'Исходник — лиды'!$C$2:$C$4774,"Качественный лид")</f>
        <v>21</v>
      </c>
      <c r="F92">
        <v>30</v>
      </c>
      <c r="G92" s="6">
        <f t="shared" si="1"/>
        <v>1</v>
      </c>
    </row>
    <row r="93" spans="1:7" x14ac:dyDescent="0.25">
      <c r="A93" s="4">
        <v>45173</v>
      </c>
      <c r="B93" s="4">
        <v>45179</v>
      </c>
      <c r="C93" t="s">
        <v>5357</v>
      </c>
      <c r="D93">
        <f>COUNTIFS('Исходник — лиды'!$H$2:$H$4774,"&gt;="&amp;A93,'Исходник — лиды'!$H$2:$H$4774,"&lt;"&amp;B93+1)</f>
        <v>26</v>
      </c>
      <c r="E93">
        <f>COUNTIFS('Исходник — лиды'!$H$2:$H$4774,"&gt;="&amp;A93,'Исходник — лиды'!$H$2:$H$4774,"&lt;"&amp;B93+1,'Исходник — лиды'!$C$2:$C$4774,"Качественный лид")</f>
        <v>25</v>
      </c>
      <c r="F93">
        <v>58</v>
      </c>
      <c r="G93" s="6">
        <f t="shared" si="1"/>
        <v>0.96153846153846156</v>
      </c>
    </row>
    <row r="94" spans="1:7" x14ac:dyDescent="0.25">
      <c r="A94" s="4">
        <v>45180</v>
      </c>
      <c r="B94" s="4">
        <v>45186</v>
      </c>
      <c r="C94" t="s">
        <v>5358</v>
      </c>
      <c r="D94">
        <f>COUNTIFS('Исходник — лиды'!$H$2:$H$4774,"&gt;="&amp;A94,'Исходник — лиды'!$H$2:$H$4774,"&lt;"&amp;B94+1)</f>
        <v>30</v>
      </c>
      <c r="E94">
        <f>COUNTIFS('Исходник — лиды'!$H$2:$H$4774,"&gt;="&amp;A94,'Исходник — лиды'!$H$2:$H$4774,"&lt;"&amp;B94+1,'Исходник — лиды'!$C$2:$C$4774,"Качественный лид")</f>
        <v>29</v>
      </c>
      <c r="F94">
        <v>36</v>
      </c>
      <c r="G94" s="6">
        <f t="shared" si="1"/>
        <v>0.96666666666666667</v>
      </c>
    </row>
    <row r="95" spans="1:7" x14ac:dyDescent="0.25">
      <c r="A95" s="4">
        <v>45187</v>
      </c>
      <c r="B95" s="4">
        <v>45193</v>
      </c>
      <c r="C95" t="s">
        <v>5359</v>
      </c>
      <c r="D95">
        <f>COUNTIFS('Исходник — лиды'!$H$2:$H$4774,"&gt;="&amp;A95,'Исходник — лиды'!$H$2:$H$4774,"&lt;"&amp;B95+1)</f>
        <v>30</v>
      </c>
      <c r="E95">
        <f>COUNTIFS('Исходник — лиды'!$H$2:$H$4774,"&gt;="&amp;A95,'Исходник — лиды'!$H$2:$H$4774,"&lt;"&amp;B95+1,'Исходник — лиды'!$C$2:$C$4774,"Качественный лид")</f>
        <v>28</v>
      </c>
      <c r="F95">
        <v>35</v>
      </c>
      <c r="G95" s="6">
        <f t="shared" si="1"/>
        <v>0.93333333333333335</v>
      </c>
    </row>
    <row r="96" spans="1:7" x14ac:dyDescent="0.25">
      <c r="A96" s="4">
        <v>45194</v>
      </c>
      <c r="B96" s="4">
        <v>45200</v>
      </c>
      <c r="C96" t="s">
        <v>5360</v>
      </c>
      <c r="D96">
        <f>COUNTIFS('Исходник — лиды'!$H$2:$H$4774,"&gt;="&amp;A96,'Исходник — лиды'!$H$2:$H$4774,"&lt;"&amp;B96+1)</f>
        <v>31</v>
      </c>
      <c r="E96">
        <f>COUNTIFS('Исходник — лиды'!$H$2:$H$4774,"&gt;="&amp;A96,'Исходник — лиды'!$H$2:$H$4774,"&lt;"&amp;B96+1,'Исходник — лиды'!$C$2:$C$4774,"Качественный лид")</f>
        <v>30</v>
      </c>
      <c r="F96">
        <v>46</v>
      </c>
      <c r="G96" s="6">
        <f t="shared" si="1"/>
        <v>0.967741935483871</v>
      </c>
    </row>
    <row r="97" spans="1:7" x14ac:dyDescent="0.25">
      <c r="A97" s="4">
        <v>45201</v>
      </c>
      <c r="B97" s="4">
        <v>45207</v>
      </c>
      <c r="C97" t="s">
        <v>5361</v>
      </c>
      <c r="D97">
        <f>COUNTIFS('Исходник — лиды'!$H$2:$H$4774,"&gt;="&amp;A97,'Исходник — лиды'!$H$2:$H$4774,"&lt;"&amp;B97+1)</f>
        <v>32</v>
      </c>
      <c r="E97">
        <f>COUNTIFS('Исходник — лиды'!$H$2:$H$4774,"&gt;="&amp;A97,'Исходник — лиды'!$H$2:$H$4774,"&lt;"&amp;B97+1,'Исходник — лиды'!$C$2:$C$4774,"Качественный лид")</f>
        <v>32</v>
      </c>
      <c r="F97">
        <v>44</v>
      </c>
      <c r="G97" s="6">
        <f t="shared" si="1"/>
        <v>1</v>
      </c>
    </row>
    <row r="98" spans="1:7" x14ac:dyDescent="0.25">
      <c r="A98" s="4">
        <v>45208</v>
      </c>
      <c r="B98" s="4">
        <v>45214</v>
      </c>
      <c r="C98" t="s">
        <v>5362</v>
      </c>
      <c r="D98">
        <f>COUNTIFS('Исходник — лиды'!$H$2:$H$4774,"&gt;="&amp;A98,'Исходник — лиды'!$H$2:$H$4774,"&lt;"&amp;B98+1)</f>
        <v>24</v>
      </c>
      <c r="E98">
        <f>COUNTIFS('Исходник — лиды'!$H$2:$H$4774,"&gt;="&amp;A98,'Исходник — лиды'!$H$2:$H$4774,"&lt;"&amp;B98+1,'Исходник — лиды'!$C$2:$C$4774,"Качественный лид")</f>
        <v>24</v>
      </c>
      <c r="F98">
        <v>49</v>
      </c>
      <c r="G98" s="6">
        <f t="shared" si="1"/>
        <v>1</v>
      </c>
    </row>
    <row r="99" spans="1:7" x14ac:dyDescent="0.25">
      <c r="A99" s="4">
        <v>45215</v>
      </c>
      <c r="B99" s="4">
        <v>45221</v>
      </c>
      <c r="C99" t="s">
        <v>5363</v>
      </c>
      <c r="D99">
        <f>COUNTIFS('Исходник — лиды'!$H$2:$H$4774,"&gt;="&amp;A99,'Исходник — лиды'!$H$2:$H$4774,"&lt;"&amp;B99+1)</f>
        <v>20</v>
      </c>
      <c r="E99">
        <f>COUNTIFS('Исходник — лиды'!$H$2:$H$4774,"&gt;="&amp;A99,'Исходник — лиды'!$H$2:$H$4774,"&lt;"&amp;B99+1,'Исходник — лиды'!$C$2:$C$4774,"Качественный лид")</f>
        <v>18</v>
      </c>
      <c r="F99">
        <v>25</v>
      </c>
      <c r="G99" s="6">
        <f t="shared" si="1"/>
        <v>0.9</v>
      </c>
    </row>
    <row r="100" spans="1:7" x14ac:dyDescent="0.25">
      <c r="A100" s="4">
        <v>45222</v>
      </c>
      <c r="B100" s="4">
        <v>45228</v>
      </c>
      <c r="C100" t="s">
        <v>5364</v>
      </c>
      <c r="D100">
        <f>COUNTIFS('Исходник — лиды'!$H$2:$H$4774,"&gt;="&amp;A100,'Исходник — лиды'!$H$2:$H$4774,"&lt;"&amp;B100+1)</f>
        <v>37</v>
      </c>
      <c r="E100">
        <f>COUNTIFS('Исходник — лиды'!$H$2:$H$4774,"&gt;="&amp;A100,'Исходник — лиды'!$H$2:$H$4774,"&lt;"&amp;B100+1,'Исходник — лиды'!$C$2:$C$4774,"Качественный лид")</f>
        <v>35</v>
      </c>
      <c r="F100">
        <v>52</v>
      </c>
      <c r="G100" s="6">
        <f t="shared" si="1"/>
        <v>0.94594594594594594</v>
      </c>
    </row>
    <row r="101" spans="1:7" x14ac:dyDescent="0.25">
      <c r="A101" s="4">
        <v>45229</v>
      </c>
      <c r="B101" s="4">
        <v>45235</v>
      </c>
      <c r="C101" t="s">
        <v>5365</v>
      </c>
      <c r="D101">
        <f>COUNTIFS('Исходник — лиды'!$H$2:$H$4774,"&gt;="&amp;A101,'Исходник — лиды'!$H$2:$H$4774,"&lt;"&amp;B101+1)</f>
        <v>24</v>
      </c>
      <c r="E101">
        <f>COUNTIFS('Исходник — лиды'!$H$2:$H$4774,"&gt;="&amp;A101,'Исходник — лиды'!$H$2:$H$4774,"&lt;"&amp;B101+1,'Исходник — лиды'!$C$2:$C$4774,"Качественный лид")</f>
        <v>22</v>
      </c>
      <c r="F101">
        <v>48</v>
      </c>
      <c r="G101" s="6">
        <f t="shared" si="1"/>
        <v>0.91666666666666663</v>
      </c>
    </row>
    <row r="102" spans="1:7" x14ac:dyDescent="0.25">
      <c r="A102" s="4">
        <v>45236</v>
      </c>
      <c r="B102" s="4">
        <v>45242</v>
      </c>
      <c r="C102" t="s">
        <v>5366</v>
      </c>
      <c r="D102">
        <f>COUNTIFS('Исходник — лиды'!$H$2:$H$4774,"&gt;="&amp;A102,'Исходник — лиды'!$H$2:$H$4774,"&lt;"&amp;B102+1)</f>
        <v>19</v>
      </c>
      <c r="E102">
        <f>COUNTIFS('Исходник — лиды'!$H$2:$H$4774,"&gt;="&amp;A102,'Исходник — лиды'!$H$2:$H$4774,"&lt;"&amp;B102+1,'Исходник — лиды'!$C$2:$C$4774,"Качественный лид")</f>
        <v>18</v>
      </c>
      <c r="F102">
        <v>28</v>
      </c>
      <c r="G102" s="6">
        <f t="shared" si="1"/>
        <v>0.94736842105263153</v>
      </c>
    </row>
    <row r="103" spans="1:7" x14ac:dyDescent="0.25">
      <c r="A103" s="4">
        <v>45243</v>
      </c>
      <c r="B103" s="4">
        <v>45249</v>
      </c>
      <c r="C103" t="s">
        <v>5367</v>
      </c>
      <c r="D103">
        <f>COUNTIFS('Исходник — лиды'!$H$2:$H$4774,"&gt;="&amp;A103,'Исходник — лиды'!$H$2:$H$4774,"&lt;"&amp;B103+1)</f>
        <v>19</v>
      </c>
      <c r="E103">
        <f>COUNTIFS('Исходник — лиды'!$H$2:$H$4774,"&gt;="&amp;A103,'Исходник — лиды'!$H$2:$H$4774,"&lt;"&amp;B103+1,'Исходник — лиды'!$C$2:$C$4774,"Качественный лид")</f>
        <v>17</v>
      </c>
      <c r="F103">
        <v>42</v>
      </c>
      <c r="G103" s="6">
        <f t="shared" si="1"/>
        <v>0.89473684210526316</v>
      </c>
    </row>
    <row r="104" spans="1:7" x14ac:dyDescent="0.25">
      <c r="A104" s="4">
        <v>45250</v>
      </c>
      <c r="B104" s="4">
        <v>45256</v>
      </c>
      <c r="C104" t="s">
        <v>5368</v>
      </c>
      <c r="D104">
        <f>COUNTIFS('Исходник — лиды'!$H$2:$H$4774,"&gt;="&amp;A104,'Исходник — лиды'!$H$2:$H$4774,"&lt;"&amp;B104+1)</f>
        <v>26</v>
      </c>
      <c r="E104">
        <f>COUNTIFS('Исходник — лиды'!$H$2:$H$4774,"&gt;="&amp;A104,'Исходник — лиды'!$H$2:$H$4774,"&lt;"&amp;B104+1,'Исходник — лиды'!$C$2:$C$4774,"Качественный лид")</f>
        <v>26</v>
      </c>
      <c r="F104">
        <v>49</v>
      </c>
      <c r="G104" s="6">
        <f t="shared" si="1"/>
        <v>1</v>
      </c>
    </row>
    <row r="105" spans="1:7" x14ac:dyDescent="0.25">
      <c r="A105" s="4">
        <v>45257</v>
      </c>
      <c r="B105" s="4">
        <v>45263</v>
      </c>
      <c r="C105" t="s">
        <v>5369</v>
      </c>
      <c r="D105">
        <f>COUNTIFS('Исходник — лиды'!$H$2:$H$4774,"&gt;="&amp;A105,'Исходник — лиды'!$H$2:$H$4774,"&lt;"&amp;B105+1)</f>
        <v>16</v>
      </c>
      <c r="E105">
        <f>COUNTIFS('Исходник — лиды'!$H$2:$H$4774,"&gt;="&amp;A105,'Исходник — лиды'!$H$2:$H$4774,"&lt;"&amp;B105+1,'Исходник — лиды'!$C$2:$C$4774,"Качественный лид")</f>
        <v>15</v>
      </c>
      <c r="F105">
        <v>35</v>
      </c>
      <c r="G105" s="6">
        <f t="shared" si="1"/>
        <v>0.9375</v>
      </c>
    </row>
    <row r="106" spans="1:7" x14ac:dyDescent="0.25">
      <c r="A106" s="4">
        <v>45264</v>
      </c>
      <c r="B106" s="4">
        <v>45270</v>
      </c>
      <c r="C106" t="s">
        <v>5370</v>
      </c>
      <c r="D106">
        <f>COUNTIFS('Исходник — лиды'!$H$2:$H$4774,"&gt;="&amp;A106,'Исходник — лиды'!$H$2:$H$4774,"&lt;"&amp;B106+1)</f>
        <v>14</v>
      </c>
      <c r="E106">
        <f>COUNTIFS('Исходник — лиды'!$H$2:$H$4774,"&gt;="&amp;A106,'Исходник — лиды'!$H$2:$H$4774,"&lt;"&amp;B106+1,'Исходник — лиды'!$C$2:$C$4774,"Качественный лид")</f>
        <v>14</v>
      </c>
      <c r="F106">
        <v>39</v>
      </c>
      <c r="G106" s="6">
        <f t="shared" si="1"/>
        <v>1</v>
      </c>
    </row>
    <row r="107" spans="1:7" x14ac:dyDescent="0.25">
      <c r="A107" s="4">
        <v>45271</v>
      </c>
      <c r="B107" s="4">
        <v>45277</v>
      </c>
      <c r="C107" t="s">
        <v>5371</v>
      </c>
      <c r="D107">
        <f>COUNTIFS('Исходник — лиды'!$H$2:$H$4774,"&gt;="&amp;A107,'Исходник — лиды'!$H$2:$H$4774,"&lt;"&amp;B107+1)</f>
        <v>11</v>
      </c>
      <c r="E107">
        <f>COUNTIFS('Исходник — лиды'!$H$2:$H$4774,"&gt;="&amp;A107,'Исходник — лиды'!$H$2:$H$4774,"&lt;"&amp;B107+1,'Исходник — лиды'!$C$2:$C$4774,"Качественный лид")</f>
        <v>10</v>
      </c>
      <c r="F107">
        <v>30</v>
      </c>
      <c r="G107" s="6">
        <f t="shared" si="1"/>
        <v>0.90909090909090906</v>
      </c>
    </row>
    <row r="108" spans="1:7" x14ac:dyDescent="0.25">
      <c r="A108" s="4">
        <v>45278</v>
      </c>
      <c r="B108" s="4">
        <v>45284</v>
      </c>
      <c r="C108" t="s">
        <v>5372</v>
      </c>
      <c r="D108">
        <f>COUNTIFS('Исходник — лиды'!$H$2:$H$4774,"&gt;="&amp;A108,'Исходник — лиды'!$H$2:$H$4774,"&lt;"&amp;B108+1)</f>
        <v>14</v>
      </c>
      <c r="E108">
        <f>COUNTIFS('Исходник — лиды'!$H$2:$H$4774,"&gt;="&amp;A108,'Исходник — лиды'!$H$2:$H$4774,"&lt;"&amp;B108+1,'Исходник — лиды'!$C$2:$C$4774,"Качественный лид")</f>
        <v>14</v>
      </c>
      <c r="F108">
        <v>28</v>
      </c>
      <c r="G108" s="6">
        <f t="shared" si="1"/>
        <v>1</v>
      </c>
    </row>
    <row r="109" spans="1:7" x14ac:dyDescent="0.25">
      <c r="A109" s="4">
        <v>45285</v>
      </c>
      <c r="B109" s="4">
        <v>45291</v>
      </c>
      <c r="C109" t="s">
        <v>5373</v>
      </c>
      <c r="D109">
        <f>COUNTIFS('Исходник — лиды'!$H$2:$H$4774,"&gt;="&amp;A109,'Исходник — лиды'!$H$2:$H$4774,"&lt;"&amp;B109+1)</f>
        <v>13</v>
      </c>
      <c r="E109">
        <f>COUNTIFS('Исходник — лиды'!$H$2:$H$4774,"&gt;="&amp;A109,'Исходник — лиды'!$H$2:$H$4774,"&lt;"&amp;B109+1,'Исходник — лиды'!$C$2:$C$4774,"Качественный лид")</f>
        <v>13</v>
      </c>
      <c r="F109">
        <v>15</v>
      </c>
      <c r="G109" s="6">
        <f t="shared" si="1"/>
        <v>1</v>
      </c>
    </row>
    <row r="110" spans="1:7" x14ac:dyDescent="0.25">
      <c r="A110" s="4">
        <v>45292</v>
      </c>
      <c r="B110" s="4">
        <v>45298</v>
      </c>
      <c r="C110" t="s">
        <v>5374</v>
      </c>
      <c r="D110">
        <f>COUNTIFS('Исходник — лиды'!$H$2:$H$4774,"&gt;="&amp;A110,'Исходник — лиды'!$H$2:$H$4774,"&lt;"&amp;B110+1)</f>
        <v>7</v>
      </c>
      <c r="E110">
        <f>COUNTIFS('Исходник — лиды'!$H$2:$H$4774,"&gt;="&amp;A110,'Исходник — лиды'!$H$2:$H$4774,"&lt;"&amp;B110+1,'Исходник — лиды'!$C$2:$C$4774,"Качественный лид")</f>
        <v>7</v>
      </c>
      <c r="F110">
        <v>20</v>
      </c>
      <c r="G110" s="6">
        <f t="shared" si="1"/>
        <v>1</v>
      </c>
    </row>
    <row r="111" spans="1:7" x14ac:dyDescent="0.25">
      <c r="A111" s="4">
        <v>45299</v>
      </c>
      <c r="B111" s="4">
        <v>45305</v>
      </c>
      <c r="C111" t="s">
        <v>5375</v>
      </c>
      <c r="D111">
        <f>COUNTIFS('Исходник — лиды'!$H$2:$H$4774,"&gt;="&amp;A111,'Исходник — лиды'!$H$2:$H$4774,"&lt;"&amp;B111+1)</f>
        <v>14</v>
      </c>
      <c r="E111">
        <f>COUNTIFS('Исходник — лиды'!$H$2:$H$4774,"&gt;="&amp;A111,'Исходник — лиды'!$H$2:$H$4774,"&lt;"&amp;B111+1,'Исходник — лиды'!$C$2:$C$4774,"Качественный лид")</f>
        <v>14</v>
      </c>
      <c r="F111">
        <v>20</v>
      </c>
      <c r="G111" s="6">
        <f t="shared" si="1"/>
        <v>1</v>
      </c>
    </row>
    <row r="112" spans="1:7" x14ac:dyDescent="0.25">
      <c r="A112" s="4">
        <v>45306</v>
      </c>
      <c r="B112" s="4">
        <v>45312</v>
      </c>
      <c r="C112" t="s">
        <v>5376</v>
      </c>
      <c r="D112">
        <f>COUNTIFS('Исходник — лиды'!$H$2:$H$4774,"&gt;="&amp;A112,'Исходник — лиды'!$H$2:$H$4774,"&lt;"&amp;B112+1)</f>
        <v>18</v>
      </c>
      <c r="E112">
        <f>COUNTIFS('Исходник — лиды'!$H$2:$H$4774,"&gt;="&amp;A112,'Исходник — лиды'!$H$2:$H$4774,"&lt;"&amp;B112+1,'Исходник — лиды'!$C$2:$C$4774,"Качественный лид")</f>
        <v>17</v>
      </c>
      <c r="F112">
        <v>35</v>
      </c>
      <c r="G112" s="6">
        <f t="shared" si="1"/>
        <v>0.94444444444444442</v>
      </c>
    </row>
    <row r="113" spans="1:7" x14ac:dyDescent="0.25">
      <c r="A113" s="4">
        <v>45313</v>
      </c>
      <c r="B113" s="4">
        <v>45319</v>
      </c>
      <c r="C113" t="s">
        <v>5377</v>
      </c>
      <c r="D113">
        <f>COUNTIFS('Исходник — лиды'!$H$2:$H$4774,"&gt;="&amp;A113,'Исходник — лиды'!$H$2:$H$4774,"&lt;"&amp;B113+1)</f>
        <v>15</v>
      </c>
      <c r="E113">
        <f>COUNTIFS('Исходник — лиды'!$H$2:$H$4774,"&gt;="&amp;A113,'Исходник — лиды'!$H$2:$H$4774,"&lt;"&amp;B113+1,'Исходник — лиды'!$C$2:$C$4774,"Качественный лид")</f>
        <v>14</v>
      </c>
      <c r="F113">
        <v>27</v>
      </c>
      <c r="G113" s="6">
        <f t="shared" si="1"/>
        <v>0.93333333333333335</v>
      </c>
    </row>
    <row r="114" spans="1:7" x14ac:dyDescent="0.25">
      <c r="A114" s="4">
        <v>45320</v>
      </c>
      <c r="B114" s="4">
        <v>45326</v>
      </c>
      <c r="C114" t="s">
        <v>5378</v>
      </c>
      <c r="D114">
        <f>COUNTIFS('Исходник — лиды'!$H$2:$H$4774,"&gt;="&amp;A114,'Исходник — лиды'!$H$2:$H$4774,"&lt;"&amp;B114+1)</f>
        <v>25</v>
      </c>
      <c r="E114">
        <f>COUNTIFS('Исходник — лиды'!$H$2:$H$4774,"&gt;="&amp;A114,'Исходник — лиды'!$H$2:$H$4774,"&lt;"&amp;B114+1,'Исходник — лиды'!$C$2:$C$4774,"Качественный лид")</f>
        <v>24</v>
      </c>
      <c r="F114">
        <v>31</v>
      </c>
      <c r="G114" s="6">
        <f t="shared" si="1"/>
        <v>0.96</v>
      </c>
    </row>
    <row r="115" spans="1:7" x14ac:dyDescent="0.25">
      <c r="A115" s="4">
        <v>45327</v>
      </c>
      <c r="B115" s="4">
        <v>45333</v>
      </c>
      <c r="C115" t="s">
        <v>5379</v>
      </c>
      <c r="D115">
        <f>COUNTIFS('Исходник — лиды'!$H$2:$H$4774,"&gt;="&amp;A115,'Исходник — лиды'!$H$2:$H$4774,"&lt;"&amp;B115+1)</f>
        <v>19</v>
      </c>
      <c r="E115">
        <f>COUNTIFS('Исходник — лиды'!$H$2:$H$4774,"&gt;="&amp;A115,'Исходник — лиды'!$H$2:$H$4774,"&lt;"&amp;B115+1,'Исходник — лиды'!$C$2:$C$4774,"Качественный лид")</f>
        <v>18</v>
      </c>
      <c r="F115">
        <v>56</v>
      </c>
      <c r="G115" s="6">
        <f t="shared" si="1"/>
        <v>0.94736842105263153</v>
      </c>
    </row>
    <row r="116" spans="1:7" x14ac:dyDescent="0.25">
      <c r="A116" s="4">
        <v>45334</v>
      </c>
      <c r="B116" s="4">
        <v>45340</v>
      </c>
      <c r="C116" t="s">
        <v>5380</v>
      </c>
      <c r="D116">
        <f>COUNTIFS('Исходник — лиды'!$H$2:$H$4774,"&gt;="&amp;A116,'Исходник — лиды'!$H$2:$H$4774,"&lt;"&amp;B116+1)</f>
        <v>23</v>
      </c>
      <c r="E116">
        <f>COUNTIFS('Исходник — лиды'!$H$2:$H$4774,"&gt;="&amp;A116,'Исходник — лиды'!$H$2:$H$4774,"&lt;"&amp;B116+1,'Исходник — лиды'!$C$2:$C$4774,"Качественный лид")</f>
        <v>22</v>
      </c>
      <c r="F116">
        <v>33</v>
      </c>
      <c r="G116" s="6">
        <f t="shared" si="1"/>
        <v>0.95652173913043481</v>
      </c>
    </row>
    <row r="117" spans="1:7" x14ac:dyDescent="0.25">
      <c r="A117" s="4">
        <v>45341</v>
      </c>
      <c r="B117" s="4">
        <v>45347</v>
      </c>
      <c r="C117" t="s">
        <v>5381</v>
      </c>
      <c r="D117">
        <f>COUNTIFS('Исходник — лиды'!$H$2:$H$4774,"&gt;="&amp;A117,'Исходник — лиды'!$H$2:$H$4774,"&lt;"&amp;B117+1)</f>
        <v>23</v>
      </c>
      <c r="E117">
        <f>COUNTIFS('Исходник — лиды'!$H$2:$H$4774,"&gt;="&amp;A117,'Исходник — лиды'!$H$2:$H$4774,"&lt;"&amp;B117+1,'Исходник — лиды'!$C$2:$C$4774,"Качественный лид")</f>
        <v>23</v>
      </c>
      <c r="F117">
        <v>47</v>
      </c>
      <c r="G117" s="6">
        <f t="shared" si="1"/>
        <v>1</v>
      </c>
    </row>
    <row r="118" spans="1:7" x14ac:dyDescent="0.25">
      <c r="A118" s="4">
        <v>45348</v>
      </c>
      <c r="B118" s="4">
        <v>45354</v>
      </c>
      <c r="C118" t="s">
        <v>5382</v>
      </c>
      <c r="D118">
        <f>COUNTIFS('Исходник — лиды'!$H$2:$H$4774,"&gt;="&amp;A118,'Исходник — лиды'!$H$2:$H$4774,"&lt;"&amp;B118+1)</f>
        <v>22</v>
      </c>
      <c r="E118">
        <f>COUNTIFS('Исходник — лиды'!$H$2:$H$4774,"&gt;="&amp;A118,'Исходник — лиды'!$H$2:$H$4774,"&lt;"&amp;B118+1,'Исходник — лиды'!$C$2:$C$4774,"Качественный лид")</f>
        <v>20</v>
      </c>
      <c r="F118">
        <v>64</v>
      </c>
      <c r="G118" s="6">
        <f t="shared" si="1"/>
        <v>0.90909090909090906</v>
      </c>
    </row>
    <row r="119" spans="1:7" x14ac:dyDescent="0.25">
      <c r="A119" s="4">
        <v>45355</v>
      </c>
      <c r="B119" s="4">
        <v>45361</v>
      </c>
      <c r="C119" t="s">
        <v>5383</v>
      </c>
      <c r="D119">
        <f>COUNTIFS('Исходник — лиды'!$H$2:$H$4774,"&gt;="&amp;A119,'Исходник — лиды'!$H$2:$H$4774,"&lt;"&amp;B119+1)</f>
        <v>25</v>
      </c>
      <c r="E119">
        <f>COUNTIFS('Исходник — лиды'!$H$2:$H$4774,"&gt;="&amp;A119,'Исходник — лиды'!$H$2:$H$4774,"&lt;"&amp;B119+1,'Исходник — лиды'!$C$2:$C$4774,"Качественный лид")</f>
        <v>24</v>
      </c>
      <c r="F119">
        <v>52</v>
      </c>
      <c r="G119" s="6">
        <f t="shared" si="1"/>
        <v>0.96</v>
      </c>
    </row>
    <row r="120" spans="1:7" x14ac:dyDescent="0.25">
      <c r="A120" s="4">
        <v>45362</v>
      </c>
      <c r="B120" s="4">
        <v>45368</v>
      </c>
      <c r="C120" t="s">
        <v>5384</v>
      </c>
      <c r="D120">
        <f>COUNTIFS('Исходник — лиды'!$H$2:$H$4774,"&gt;="&amp;A120,'Исходник — лиды'!$H$2:$H$4774,"&lt;"&amp;B120+1)</f>
        <v>33</v>
      </c>
      <c r="E120">
        <f>COUNTIFS('Исходник — лиды'!$H$2:$H$4774,"&gt;="&amp;A120,'Исходник — лиды'!$H$2:$H$4774,"&lt;"&amp;B120+1,'Исходник — лиды'!$C$2:$C$4774,"Качественный лид")</f>
        <v>31</v>
      </c>
      <c r="F120">
        <v>37</v>
      </c>
      <c r="G120" s="6">
        <f t="shared" si="1"/>
        <v>0.93939393939393945</v>
      </c>
    </row>
    <row r="121" spans="1:7" x14ac:dyDescent="0.25">
      <c r="A121" s="4">
        <v>45369</v>
      </c>
      <c r="B121" s="4">
        <v>45375</v>
      </c>
      <c r="C121" t="s">
        <v>5385</v>
      </c>
      <c r="D121">
        <f>COUNTIFS('Исходник — лиды'!$H$2:$H$4774,"&gt;="&amp;A121,'Исходник — лиды'!$H$2:$H$4774,"&lt;"&amp;B121+1)</f>
        <v>19</v>
      </c>
      <c r="E121">
        <f>COUNTIFS('Исходник — лиды'!$H$2:$H$4774,"&gt;="&amp;A121,'Исходник — лиды'!$H$2:$H$4774,"&lt;"&amp;B121+1,'Исходник — лиды'!$C$2:$C$4774,"Качественный лид")</f>
        <v>19</v>
      </c>
      <c r="F121">
        <v>41</v>
      </c>
      <c r="G121" s="6">
        <f t="shared" si="1"/>
        <v>1</v>
      </c>
    </row>
    <row r="122" spans="1:7" x14ac:dyDescent="0.25">
      <c r="A122" s="4">
        <v>45376</v>
      </c>
      <c r="B122" s="4">
        <v>45382</v>
      </c>
      <c r="C122" t="s">
        <v>5386</v>
      </c>
      <c r="D122">
        <f>COUNTIFS('Исходник — лиды'!$H$2:$H$4774,"&gt;="&amp;A122,'Исходник — лиды'!$H$2:$H$4774,"&lt;"&amp;B122+1)</f>
        <v>29</v>
      </c>
      <c r="E122">
        <f>COUNTIFS('Исходник — лиды'!$H$2:$H$4774,"&gt;="&amp;A122,'Исходник — лиды'!$H$2:$H$4774,"&lt;"&amp;B122+1,'Исходник — лиды'!$C$2:$C$4774,"Качественный лид")</f>
        <v>29</v>
      </c>
      <c r="F122">
        <v>80</v>
      </c>
      <c r="G122" s="6">
        <f t="shared" si="1"/>
        <v>1</v>
      </c>
    </row>
    <row r="123" spans="1:7" x14ac:dyDescent="0.25">
      <c r="A123" s="4">
        <v>45383</v>
      </c>
      <c r="B123" s="4">
        <v>45389</v>
      </c>
      <c r="C123" t="s">
        <v>5387</v>
      </c>
      <c r="D123">
        <f>COUNTIFS('Исходник — лиды'!$H$2:$H$4774,"&gt;="&amp;A123,'Исходник — лиды'!$H$2:$H$4774,"&lt;"&amp;B123+1)</f>
        <v>20</v>
      </c>
      <c r="E123">
        <f>COUNTIFS('Исходник — лиды'!$H$2:$H$4774,"&gt;="&amp;A123,'Исходник — лиды'!$H$2:$H$4774,"&lt;"&amp;B123+1,'Исходник — лиды'!$C$2:$C$4774,"Качественный лид")</f>
        <v>20</v>
      </c>
      <c r="F123">
        <v>70</v>
      </c>
      <c r="G123" s="6">
        <f t="shared" si="1"/>
        <v>1</v>
      </c>
    </row>
    <row r="124" spans="1:7" x14ac:dyDescent="0.25">
      <c r="A124" s="4">
        <v>45390</v>
      </c>
      <c r="B124" s="4">
        <v>45396</v>
      </c>
      <c r="C124" t="s">
        <v>5388</v>
      </c>
      <c r="D124">
        <f>COUNTIFS('Исходник — лиды'!$H$2:$H$4774,"&gt;="&amp;A124,'Исходник — лиды'!$H$2:$H$4774,"&lt;"&amp;B124+1)</f>
        <v>21</v>
      </c>
      <c r="E124">
        <f>COUNTIFS('Исходник — лиды'!$H$2:$H$4774,"&gt;="&amp;A124,'Исходник — лиды'!$H$2:$H$4774,"&lt;"&amp;B124+1,'Исходник — лиды'!$C$2:$C$4774,"Качественный лид")</f>
        <v>21</v>
      </c>
      <c r="F124">
        <v>55</v>
      </c>
      <c r="G124" s="6">
        <f t="shared" si="1"/>
        <v>1</v>
      </c>
    </row>
    <row r="125" spans="1:7" x14ac:dyDescent="0.25">
      <c r="A125" s="4">
        <v>45397</v>
      </c>
      <c r="B125" s="4">
        <v>45403</v>
      </c>
      <c r="C125" t="s">
        <v>5389</v>
      </c>
      <c r="D125">
        <f>COUNTIFS('Исходник — лиды'!$H$2:$H$4774,"&gt;="&amp;A125,'Исходник — лиды'!$H$2:$H$4774,"&lt;"&amp;B125+1)</f>
        <v>26</v>
      </c>
      <c r="E125">
        <f>COUNTIFS('Исходник — лиды'!$H$2:$H$4774,"&gt;="&amp;A125,'Исходник — лиды'!$H$2:$H$4774,"&lt;"&amp;B125+1,'Исходник — лиды'!$C$2:$C$4774,"Качественный лид")</f>
        <v>26</v>
      </c>
      <c r="F125">
        <v>78</v>
      </c>
      <c r="G125" s="6">
        <f t="shared" si="1"/>
        <v>1</v>
      </c>
    </row>
    <row r="126" spans="1:7" x14ac:dyDescent="0.25">
      <c r="A126" s="4">
        <v>45404</v>
      </c>
      <c r="B126" s="4">
        <v>45410</v>
      </c>
      <c r="C126" t="s">
        <v>5390</v>
      </c>
      <c r="D126">
        <f>COUNTIFS('Исходник — лиды'!$H$2:$H$4774,"&gt;="&amp;A126,'Исходник — лиды'!$H$2:$H$4774,"&lt;"&amp;B126+1)</f>
        <v>39</v>
      </c>
      <c r="E126">
        <f>COUNTIFS('Исходник — лиды'!$H$2:$H$4774,"&gt;="&amp;A126,'Исходник — лиды'!$H$2:$H$4774,"&lt;"&amp;B126+1,'Исходник — лиды'!$C$2:$C$4774,"Качественный лид")</f>
        <v>38</v>
      </c>
      <c r="F126">
        <v>83</v>
      </c>
      <c r="G126" s="6">
        <f t="shared" si="1"/>
        <v>0.97435897435897434</v>
      </c>
    </row>
    <row r="127" spans="1:7" x14ac:dyDescent="0.25">
      <c r="A127" s="4">
        <v>45411</v>
      </c>
      <c r="B127" s="4">
        <v>45417</v>
      </c>
      <c r="C127" t="s">
        <v>5391</v>
      </c>
      <c r="D127">
        <f>COUNTIFS('Исходник — лиды'!$H$2:$H$4774,"&gt;="&amp;A127,'Исходник — лиды'!$H$2:$H$4774,"&lt;"&amp;B127+1)</f>
        <v>29</v>
      </c>
      <c r="E127">
        <f>COUNTIFS('Исходник — лиды'!$H$2:$H$4774,"&gt;="&amp;A127,'Исходник — лиды'!$H$2:$H$4774,"&lt;"&amp;B127+1,'Исходник — лиды'!$C$2:$C$4774,"Качественный лид")</f>
        <v>29</v>
      </c>
      <c r="F127">
        <v>73</v>
      </c>
      <c r="G127" s="6">
        <f t="shared" si="1"/>
        <v>1</v>
      </c>
    </row>
    <row r="128" spans="1:7" x14ac:dyDescent="0.25">
      <c r="A128" s="4">
        <v>45418</v>
      </c>
      <c r="B128" s="4">
        <v>45424</v>
      </c>
      <c r="C128" t="s">
        <v>5392</v>
      </c>
      <c r="D128">
        <f>COUNTIFS('Исходник — лиды'!$H$2:$H$4774,"&gt;="&amp;A128,'Исходник — лиды'!$H$2:$H$4774,"&lt;"&amp;B128+1)</f>
        <v>33</v>
      </c>
      <c r="E128">
        <f>COUNTIFS('Исходник — лиды'!$H$2:$H$4774,"&gt;="&amp;A128,'Исходник — лиды'!$H$2:$H$4774,"&lt;"&amp;B128+1,'Исходник — лиды'!$C$2:$C$4774,"Качественный лид")</f>
        <v>31</v>
      </c>
      <c r="F128">
        <v>39</v>
      </c>
      <c r="G128" s="6">
        <f t="shared" si="1"/>
        <v>0.93939393939393945</v>
      </c>
    </row>
    <row r="129" spans="1:7" x14ac:dyDescent="0.25">
      <c r="A129" s="4">
        <v>45425</v>
      </c>
      <c r="B129" s="4">
        <v>45431</v>
      </c>
      <c r="C129" t="s">
        <v>5393</v>
      </c>
      <c r="D129">
        <f>COUNTIFS('Исходник — лиды'!$H$2:$H$4774,"&gt;="&amp;A129,'Исходник — лиды'!$H$2:$H$4774,"&lt;"&amp;B129+1)</f>
        <v>32</v>
      </c>
      <c r="E129">
        <f>COUNTIFS('Исходник — лиды'!$H$2:$H$4774,"&gt;="&amp;A129,'Исходник — лиды'!$H$2:$H$4774,"&lt;"&amp;B129+1,'Исходник — лиды'!$C$2:$C$4774,"Качественный лид")</f>
        <v>31</v>
      </c>
      <c r="F129">
        <v>50</v>
      </c>
      <c r="G129" s="6">
        <f t="shared" si="1"/>
        <v>0.96875</v>
      </c>
    </row>
    <row r="130" spans="1:7" x14ac:dyDescent="0.25">
      <c r="A130" s="4">
        <v>45432</v>
      </c>
      <c r="B130" s="4">
        <v>45438</v>
      </c>
      <c r="C130" t="s">
        <v>5394</v>
      </c>
      <c r="D130">
        <f>COUNTIFS('Исходник — лиды'!$H$2:$H$4774,"&gt;="&amp;A130,'Исходник — лиды'!$H$2:$H$4774,"&lt;"&amp;B130+1)</f>
        <v>38</v>
      </c>
      <c r="E130">
        <f>COUNTIFS('Исходник — лиды'!$H$2:$H$4774,"&gt;="&amp;A130,'Исходник — лиды'!$H$2:$H$4774,"&lt;"&amp;B130+1,'Исходник — лиды'!$C$2:$C$4774,"Качественный лид")</f>
        <v>38</v>
      </c>
      <c r="F130">
        <v>63</v>
      </c>
      <c r="G130" s="6">
        <f t="shared" si="1"/>
        <v>1</v>
      </c>
    </row>
    <row r="131" spans="1:7" x14ac:dyDescent="0.25">
      <c r="A131" s="4">
        <v>45439</v>
      </c>
      <c r="B131" s="4">
        <v>45445</v>
      </c>
      <c r="C131" t="s">
        <v>5395</v>
      </c>
      <c r="D131">
        <f>COUNTIFS('Исходник — лиды'!$H$2:$H$4774,"&gt;="&amp;A131,'Исходник — лиды'!$H$2:$H$4774,"&lt;"&amp;B131+1)</f>
        <v>25</v>
      </c>
      <c r="E131">
        <f>COUNTIFS('Исходник — лиды'!$H$2:$H$4774,"&gt;="&amp;A131,'Исходник — лиды'!$H$2:$H$4774,"&lt;"&amp;B131+1,'Исходник — лиды'!$C$2:$C$4774,"Качественный лид")</f>
        <v>25</v>
      </c>
      <c r="F131">
        <v>50</v>
      </c>
      <c r="G131" s="6">
        <f t="shared" si="1"/>
        <v>1</v>
      </c>
    </row>
    <row r="132" spans="1:7" x14ac:dyDescent="0.25">
      <c r="A132" s="4">
        <v>45446</v>
      </c>
      <c r="B132" s="4">
        <v>45452</v>
      </c>
      <c r="C132" t="s">
        <v>5396</v>
      </c>
      <c r="D132">
        <f>COUNTIFS('Исходник — лиды'!$H$2:$H$4774,"&gt;="&amp;A132,'Исходник — лиды'!$H$2:$H$4774,"&lt;"&amp;B132+1)</f>
        <v>26</v>
      </c>
      <c r="E132">
        <f>COUNTIFS('Исходник — лиды'!$H$2:$H$4774,"&gt;="&amp;A132,'Исходник — лиды'!$H$2:$H$4774,"&lt;"&amp;B132+1,'Исходник — лиды'!$C$2:$C$4774,"Качественный лид")</f>
        <v>24</v>
      </c>
      <c r="F132">
        <v>63</v>
      </c>
      <c r="G132" s="6">
        <f t="shared" si="1"/>
        <v>0.92307692307692313</v>
      </c>
    </row>
    <row r="133" spans="1:7" x14ac:dyDescent="0.25">
      <c r="A133" s="4">
        <v>45453</v>
      </c>
      <c r="B133" s="4">
        <v>45459</v>
      </c>
      <c r="C133" t="s">
        <v>5397</v>
      </c>
      <c r="D133">
        <f>COUNTIFS('Исходник — лиды'!$H$2:$H$4774,"&gt;="&amp;A133,'Исходник — лиды'!$H$2:$H$4774,"&lt;"&amp;B133+1)</f>
        <v>25</v>
      </c>
      <c r="E133">
        <f>COUNTIFS('Исходник — лиды'!$H$2:$H$4774,"&gt;="&amp;A133,'Исходник — лиды'!$H$2:$H$4774,"&lt;"&amp;B133+1,'Исходник — лиды'!$C$2:$C$4774,"Качественный лид")</f>
        <v>24</v>
      </c>
      <c r="F133">
        <v>43</v>
      </c>
      <c r="G133" s="6">
        <f t="shared" ref="G133:G196" si="2">IFERROR(E133/D133,0)</f>
        <v>0.96</v>
      </c>
    </row>
    <row r="134" spans="1:7" x14ac:dyDescent="0.25">
      <c r="A134" s="4">
        <v>45460</v>
      </c>
      <c r="B134" s="4">
        <v>45466</v>
      </c>
      <c r="C134" t="s">
        <v>5398</v>
      </c>
      <c r="D134">
        <f>COUNTIFS('Исходник — лиды'!$H$2:$H$4774,"&gt;="&amp;A134,'Исходник — лиды'!$H$2:$H$4774,"&lt;"&amp;B134+1)</f>
        <v>27</v>
      </c>
      <c r="E134">
        <f>COUNTIFS('Исходник — лиды'!$H$2:$H$4774,"&gt;="&amp;A134,'Исходник — лиды'!$H$2:$H$4774,"&lt;"&amp;B134+1,'Исходник — лиды'!$C$2:$C$4774,"Качественный лид")</f>
        <v>27</v>
      </c>
      <c r="F134">
        <v>83</v>
      </c>
      <c r="G134" s="6">
        <f t="shared" si="2"/>
        <v>1</v>
      </c>
    </row>
    <row r="135" spans="1:7" x14ac:dyDescent="0.25">
      <c r="A135" s="4">
        <v>45467</v>
      </c>
      <c r="B135" s="4">
        <v>45473</v>
      </c>
      <c r="C135" t="s">
        <v>5399</v>
      </c>
      <c r="D135">
        <f>COUNTIFS('Исходник — лиды'!$H$2:$H$4774,"&gt;="&amp;A135,'Исходник — лиды'!$H$2:$H$4774,"&lt;"&amp;B135+1)</f>
        <v>31</v>
      </c>
      <c r="E135">
        <f>COUNTIFS('Исходник — лиды'!$H$2:$H$4774,"&gt;="&amp;A135,'Исходник — лиды'!$H$2:$H$4774,"&lt;"&amp;B135+1,'Исходник — лиды'!$C$2:$C$4774,"Качественный лид")</f>
        <v>31</v>
      </c>
      <c r="F135">
        <v>52</v>
      </c>
      <c r="G135" s="6">
        <f t="shared" si="2"/>
        <v>1</v>
      </c>
    </row>
    <row r="136" spans="1:7" x14ac:dyDescent="0.25">
      <c r="A136" s="4">
        <v>45474</v>
      </c>
      <c r="B136" s="4">
        <v>45480</v>
      </c>
      <c r="C136" t="s">
        <v>5400</v>
      </c>
      <c r="D136">
        <f>COUNTIFS('Исходник — лиды'!$H$2:$H$4774,"&gt;="&amp;A136,'Исходник — лиды'!$H$2:$H$4774,"&lt;"&amp;B136+1)</f>
        <v>28</v>
      </c>
      <c r="E136">
        <f>COUNTIFS('Исходник — лиды'!$H$2:$H$4774,"&gt;="&amp;A136,'Исходник — лиды'!$H$2:$H$4774,"&lt;"&amp;B136+1,'Исходник — лиды'!$C$2:$C$4774,"Качественный лид")</f>
        <v>28</v>
      </c>
      <c r="F136">
        <v>54</v>
      </c>
      <c r="G136" s="6">
        <f t="shared" si="2"/>
        <v>1</v>
      </c>
    </row>
    <row r="137" spans="1:7" x14ac:dyDescent="0.25">
      <c r="A137" s="4">
        <v>45481</v>
      </c>
      <c r="B137" s="4">
        <v>45487</v>
      </c>
      <c r="C137" t="s">
        <v>5401</v>
      </c>
      <c r="D137">
        <f>COUNTIFS('Исходник — лиды'!$H$2:$H$4774,"&gt;="&amp;A137,'Исходник — лиды'!$H$2:$H$4774,"&lt;"&amp;B137+1)</f>
        <v>41</v>
      </c>
      <c r="E137">
        <f>COUNTIFS('Исходник — лиды'!$H$2:$H$4774,"&gt;="&amp;A137,'Исходник — лиды'!$H$2:$H$4774,"&lt;"&amp;B137+1,'Исходник — лиды'!$C$2:$C$4774,"Качественный лид")</f>
        <v>40</v>
      </c>
      <c r="F137">
        <v>62</v>
      </c>
      <c r="G137" s="6">
        <f t="shared" si="2"/>
        <v>0.97560975609756095</v>
      </c>
    </row>
    <row r="138" spans="1:7" x14ac:dyDescent="0.25">
      <c r="A138" s="4">
        <v>45488</v>
      </c>
      <c r="B138" s="4">
        <v>45494</v>
      </c>
      <c r="C138" t="s">
        <v>5402</v>
      </c>
      <c r="D138">
        <f>COUNTIFS('Исходник — лиды'!$H$2:$H$4774,"&gt;="&amp;A138,'Исходник — лиды'!$H$2:$H$4774,"&lt;"&amp;B138+1)</f>
        <v>23</v>
      </c>
      <c r="E138">
        <f>COUNTIFS('Исходник — лиды'!$H$2:$H$4774,"&gt;="&amp;A138,'Исходник — лиды'!$H$2:$H$4774,"&lt;"&amp;B138+1,'Исходник — лиды'!$C$2:$C$4774,"Качественный лид")</f>
        <v>23</v>
      </c>
      <c r="F138">
        <v>56</v>
      </c>
      <c r="G138" s="6">
        <f t="shared" si="2"/>
        <v>1</v>
      </c>
    </row>
    <row r="139" spans="1:7" x14ac:dyDescent="0.25">
      <c r="A139" s="4">
        <v>45495</v>
      </c>
      <c r="B139" s="4">
        <v>45501</v>
      </c>
      <c r="C139" t="s">
        <v>5403</v>
      </c>
      <c r="D139">
        <f>COUNTIFS('Исходник — лиды'!$H$2:$H$4774,"&gt;="&amp;A139,'Исходник — лиды'!$H$2:$H$4774,"&lt;"&amp;B139+1)</f>
        <v>18</v>
      </c>
      <c r="E139">
        <f>COUNTIFS('Исходник — лиды'!$H$2:$H$4774,"&gt;="&amp;A139,'Исходник — лиды'!$H$2:$H$4774,"&lt;"&amp;B139+1,'Исходник — лиды'!$C$2:$C$4774,"Качественный лид")</f>
        <v>18</v>
      </c>
      <c r="F139">
        <v>61</v>
      </c>
      <c r="G139" s="6">
        <f t="shared" si="2"/>
        <v>1</v>
      </c>
    </row>
    <row r="140" spans="1:7" x14ac:dyDescent="0.25">
      <c r="A140" s="4">
        <v>45502</v>
      </c>
      <c r="B140" s="4">
        <v>45508</v>
      </c>
      <c r="C140" t="s">
        <v>5404</v>
      </c>
      <c r="D140">
        <f>COUNTIFS('Исходник — лиды'!$H$2:$H$4774,"&gt;="&amp;A140,'Исходник — лиды'!$H$2:$H$4774,"&lt;"&amp;B140+1)</f>
        <v>29</v>
      </c>
      <c r="E140">
        <f>COUNTIFS('Исходник — лиды'!$H$2:$H$4774,"&gt;="&amp;A140,'Исходник — лиды'!$H$2:$H$4774,"&lt;"&amp;B140+1,'Исходник — лиды'!$C$2:$C$4774,"Качественный лид")</f>
        <v>29</v>
      </c>
      <c r="F140">
        <v>46</v>
      </c>
      <c r="G140" s="6">
        <f t="shared" si="2"/>
        <v>1</v>
      </c>
    </row>
    <row r="141" spans="1:7" x14ac:dyDescent="0.25">
      <c r="A141" s="4">
        <v>45509</v>
      </c>
      <c r="B141" s="4">
        <v>45515</v>
      </c>
      <c r="C141" t="s">
        <v>5405</v>
      </c>
      <c r="D141">
        <f>COUNTIFS('Исходник — лиды'!$H$2:$H$4774,"&gt;="&amp;A141,'Исходник — лиды'!$H$2:$H$4774,"&lt;"&amp;B141+1)</f>
        <v>25</v>
      </c>
      <c r="E141">
        <f>COUNTIFS('Исходник — лиды'!$H$2:$H$4774,"&gt;="&amp;A141,'Исходник — лиды'!$H$2:$H$4774,"&lt;"&amp;B141+1,'Исходник — лиды'!$C$2:$C$4774,"Качественный лид")</f>
        <v>25</v>
      </c>
      <c r="F141">
        <v>48</v>
      </c>
      <c r="G141" s="6">
        <f t="shared" si="2"/>
        <v>1</v>
      </c>
    </row>
    <row r="142" spans="1:7" x14ac:dyDescent="0.25">
      <c r="A142" s="4">
        <v>45516</v>
      </c>
      <c r="B142" s="4">
        <v>45522</v>
      </c>
      <c r="C142" t="s">
        <v>5406</v>
      </c>
      <c r="D142">
        <f>COUNTIFS('Исходник — лиды'!$H$2:$H$4774,"&gt;="&amp;A142,'Исходник — лиды'!$H$2:$H$4774,"&lt;"&amp;B142+1)</f>
        <v>22</v>
      </c>
      <c r="E142">
        <f>COUNTIFS('Исходник — лиды'!$H$2:$H$4774,"&gt;="&amp;A142,'Исходник — лиды'!$H$2:$H$4774,"&lt;"&amp;B142+1,'Исходник — лиды'!$C$2:$C$4774,"Качественный лид")</f>
        <v>22</v>
      </c>
      <c r="F142">
        <v>41</v>
      </c>
      <c r="G142" s="6">
        <f t="shared" si="2"/>
        <v>1</v>
      </c>
    </row>
    <row r="143" spans="1:7" x14ac:dyDescent="0.25">
      <c r="A143" s="4">
        <v>45523</v>
      </c>
      <c r="B143" s="4">
        <v>45529</v>
      </c>
      <c r="C143" t="s">
        <v>5407</v>
      </c>
      <c r="D143">
        <f>COUNTIFS('Исходник — лиды'!$H$2:$H$4774,"&gt;="&amp;A143,'Исходник — лиды'!$H$2:$H$4774,"&lt;"&amp;B143+1)</f>
        <v>19</v>
      </c>
      <c r="E143">
        <f>COUNTIFS('Исходник — лиды'!$H$2:$H$4774,"&gt;="&amp;A143,'Исходник — лиды'!$H$2:$H$4774,"&lt;"&amp;B143+1,'Исходник — лиды'!$C$2:$C$4774,"Качественный лид")</f>
        <v>18</v>
      </c>
      <c r="F143">
        <v>42</v>
      </c>
      <c r="G143" s="6">
        <f t="shared" si="2"/>
        <v>0.94736842105263153</v>
      </c>
    </row>
    <row r="144" spans="1:7" x14ac:dyDescent="0.25">
      <c r="A144" s="4">
        <v>45530</v>
      </c>
      <c r="B144" s="4">
        <v>45536</v>
      </c>
      <c r="C144" t="s">
        <v>5408</v>
      </c>
      <c r="D144">
        <f>COUNTIFS('Исходник — лиды'!$H$2:$H$4774,"&gt;="&amp;A144,'Исходник — лиды'!$H$2:$H$4774,"&lt;"&amp;B144+1)</f>
        <v>31</v>
      </c>
      <c r="E144">
        <f>COUNTIFS('Исходник — лиды'!$H$2:$H$4774,"&gt;="&amp;A144,'Исходник — лиды'!$H$2:$H$4774,"&lt;"&amp;B144+1,'Исходник — лиды'!$C$2:$C$4774,"Качественный лид")</f>
        <v>29</v>
      </c>
      <c r="F144">
        <v>62</v>
      </c>
      <c r="G144" s="6">
        <f t="shared" si="2"/>
        <v>0.93548387096774188</v>
      </c>
    </row>
    <row r="145" spans="1:7" x14ac:dyDescent="0.25">
      <c r="A145" s="4">
        <v>45537</v>
      </c>
      <c r="B145" s="4">
        <v>45543</v>
      </c>
      <c r="C145" t="s">
        <v>5409</v>
      </c>
      <c r="D145">
        <f>COUNTIFS('Исходник — лиды'!$H$2:$H$4774,"&gt;="&amp;A145,'Исходник — лиды'!$H$2:$H$4774,"&lt;"&amp;B145+1)</f>
        <v>28</v>
      </c>
      <c r="E145">
        <f>COUNTIFS('Исходник — лиды'!$H$2:$H$4774,"&gt;="&amp;A145,'Исходник — лиды'!$H$2:$H$4774,"&lt;"&amp;B145+1,'Исходник — лиды'!$C$2:$C$4774,"Качественный лид")</f>
        <v>28</v>
      </c>
      <c r="F145">
        <v>37</v>
      </c>
      <c r="G145" s="6">
        <f t="shared" si="2"/>
        <v>1</v>
      </c>
    </row>
    <row r="146" spans="1:7" x14ac:dyDescent="0.25">
      <c r="A146" s="4">
        <v>45544</v>
      </c>
      <c r="B146" s="4">
        <v>45550</v>
      </c>
      <c r="C146" t="s">
        <v>5410</v>
      </c>
      <c r="D146">
        <f>COUNTIFS('Исходник — лиды'!$H$2:$H$4774,"&gt;="&amp;A146,'Исходник — лиды'!$H$2:$H$4774,"&lt;"&amp;B146+1)</f>
        <v>20</v>
      </c>
      <c r="E146">
        <f>COUNTIFS('Исходник — лиды'!$H$2:$H$4774,"&gt;="&amp;A146,'Исходник — лиды'!$H$2:$H$4774,"&lt;"&amp;B146+1,'Исходник — лиды'!$C$2:$C$4774,"Качественный лид")</f>
        <v>20</v>
      </c>
      <c r="F146">
        <v>50</v>
      </c>
      <c r="G146" s="6">
        <f t="shared" si="2"/>
        <v>1</v>
      </c>
    </row>
    <row r="147" spans="1:7" x14ac:dyDescent="0.25">
      <c r="A147" s="4">
        <v>45551</v>
      </c>
      <c r="B147" s="4">
        <v>45557</v>
      </c>
      <c r="C147" t="s">
        <v>5411</v>
      </c>
      <c r="D147">
        <f>COUNTIFS('Исходник — лиды'!$H$2:$H$4774,"&gt;="&amp;A147,'Исходник — лиды'!$H$2:$H$4774,"&lt;"&amp;B147+1)</f>
        <v>17</v>
      </c>
      <c r="E147">
        <f>COUNTIFS('Исходник — лиды'!$H$2:$H$4774,"&gt;="&amp;A147,'Исходник — лиды'!$H$2:$H$4774,"&lt;"&amp;B147+1,'Исходник — лиды'!$C$2:$C$4774,"Качественный лид")</f>
        <v>16</v>
      </c>
      <c r="F147">
        <v>70</v>
      </c>
      <c r="G147" s="6">
        <f t="shared" si="2"/>
        <v>0.94117647058823528</v>
      </c>
    </row>
    <row r="148" spans="1:7" x14ac:dyDescent="0.25">
      <c r="A148" s="4">
        <v>45558</v>
      </c>
      <c r="B148" s="4">
        <v>45564</v>
      </c>
      <c r="C148" t="s">
        <v>5412</v>
      </c>
      <c r="D148">
        <f>COUNTIFS('Исходник — лиды'!$H$2:$H$4774,"&gt;="&amp;A148,'Исходник — лиды'!$H$2:$H$4774,"&lt;"&amp;B148+1)</f>
        <v>29</v>
      </c>
      <c r="E148">
        <f>COUNTIFS('Исходник — лиды'!$H$2:$H$4774,"&gt;="&amp;A148,'Исходник — лиды'!$H$2:$H$4774,"&lt;"&amp;B148+1,'Исходник — лиды'!$C$2:$C$4774,"Качественный лид")</f>
        <v>29</v>
      </c>
      <c r="F148">
        <v>66</v>
      </c>
      <c r="G148" s="6">
        <f t="shared" si="2"/>
        <v>1</v>
      </c>
    </row>
    <row r="149" spans="1:7" x14ac:dyDescent="0.25">
      <c r="A149" s="4">
        <v>45565</v>
      </c>
      <c r="B149" s="4">
        <v>45571</v>
      </c>
      <c r="C149" t="s">
        <v>5413</v>
      </c>
      <c r="D149">
        <f>COUNTIFS('Исходник — лиды'!$H$2:$H$4774,"&gt;="&amp;A149,'Исходник — лиды'!$H$2:$H$4774,"&lt;"&amp;B149+1)</f>
        <v>19</v>
      </c>
      <c r="E149">
        <f>COUNTIFS('Исходник — лиды'!$H$2:$H$4774,"&gt;="&amp;A149,'Исходник — лиды'!$H$2:$H$4774,"&lt;"&amp;B149+1,'Исходник — лиды'!$C$2:$C$4774,"Качественный лид")</f>
        <v>16</v>
      </c>
      <c r="F149">
        <v>52</v>
      </c>
      <c r="G149" s="6">
        <f t="shared" si="2"/>
        <v>0.84210526315789469</v>
      </c>
    </row>
    <row r="150" spans="1:7" x14ac:dyDescent="0.25">
      <c r="A150" s="4">
        <v>45572</v>
      </c>
      <c r="B150" s="4">
        <v>45578</v>
      </c>
      <c r="C150" t="s">
        <v>5414</v>
      </c>
      <c r="D150">
        <f>COUNTIFS('Исходник — лиды'!$H$2:$H$4774,"&gt;="&amp;A150,'Исходник — лиды'!$H$2:$H$4774,"&lt;"&amp;B150+1)</f>
        <v>22</v>
      </c>
      <c r="E150">
        <f>COUNTIFS('Исходник — лиды'!$H$2:$H$4774,"&gt;="&amp;A150,'Исходник — лиды'!$H$2:$H$4774,"&lt;"&amp;B150+1,'Исходник — лиды'!$C$2:$C$4774,"Качественный лид")</f>
        <v>22</v>
      </c>
      <c r="F150">
        <v>41</v>
      </c>
      <c r="G150" s="6">
        <f t="shared" si="2"/>
        <v>1</v>
      </c>
    </row>
    <row r="151" spans="1:7" x14ac:dyDescent="0.25">
      <c r="A151" s="4">
        <v>45579</v>
      </c>
      <c r="B151" s="4">
        <v>45585</v>
      </c>
      <c r="C151" t="s">
        <v>5415</v>
      </c>
      <c r="D151">
        <f>COUNTIFS('Исходник — лиды'!$H$2:$H$4774,"&gt;="&amp;A151,'Исходник — лиды'!$H$2:$H$4774,"&lt;"&amp;B151+1)</f>
        <v>18</v>
      </c>
      <c r="E151">
        <f>COUNTIFS('Исходник — лиды'!$H$2:$H$4774,"&gt;="&amp;A151,'Исходник — лиды'!$H$2:$H$4774,"&lt;"&amp;B151+1,'Исходник — лиды'!$C$2:$C$4774,"Качественный лид")</f>
        <v>18</v>
      </c>
      <c r="F151">
        <v>63</v>
      </c>
      <c r="G151" s="6">
        <f t="shared" si="2"/>
        <v>1</v>
      </c>
    </row>
    <row r="152" spans="1:7" x14ac:dyDescent="0.25">
      <c r="A152" s="4">
        <v>45586</v>
      </c>
      <c r="B152" s="4">
        <v>45592</v>
      </c>
      <c r="C152" t="s">
        <v>5416</v>
      </c>
      <c r="D152">
        <f>COUNTIFS('Исходник — лиды'!$H$2:$H$4774,"&gt;="&amp;A152,'Исходник — лиды'!$H$2:$H$4774,"&lt;"&amp;B152+1)</f>
        <v>19</v>
      </c>
      <c r="E152">
        <f>COUNTIFS('Исходник — лиды'!$H$2:$H$4774,"&gt;="&amp;A152,'Исходник — лиды'!$H$2:$H$4774,"&lt;"&amp;B152+1,'Исходник — лиды'!$C$2:$C$4774,"Качественный лид")</f>
        <v>18</v>
      </c>
      <c r="F152">
        <v>50</v>
      </c>
      <c r="G152" s="6">
        <f t="shared" si="2"/>
        <v>0.94736842105263153</v>
      </c>
    </row>
    <row r="153" spans="1:7" x14ac:dyDescent="0.25">
      <c r="A153" s="4">
        <v>45593</v>
      </c>
      <c r="B153" s="4">
        <v>45599</v>
      </c>
      <c r="C153" t="s">
        <v>5417</v>
      </c>
      <c r="D153">
        <f>COUNTIFS('Исходник — лиды'!$H$2:$H$4774,"&gt;="&amp;A153,'Исходник — лиды'!$H$2:$H$4774,"&lt;"&amp;B153+1)</f>
        <v>24</v>
      </c>
      <c r="E153">
        <f>COUNTIFS('Исходник — лиды'!$H$2:$H$4774,"&gt;="&amp;A153,'Исходник — лиды'!$H$2:$H$4774,"&lt;"&amp;B153+1,'Исходник — лиды'!$C$2:$C$4774,"Качественный лид")</f>
        <v>23</v>
      </c>
      <c r="F153">
        <v>46</v>
      </c>
      <c r="G153" s="6">
        <f t="shared" si="2"/>
        <v>0.95833333333333337</v>
      </c>
    </row>
    <row r="154" spans="1:7" x14ac:dyDescent="0.25">
      <c r="A154" s="4">
        <v>45600</v>
      </c>
      <c r="B154" s="4">
        <v>45606</v>
      </c>
      <c r="C154" t="s">
        <v>5418</v>
      </c>
      <c r="D154">
        <f>COUNTIFS('Исходник — лиды'!$H$2:$H$4774,"&gt;="&amp;A154,'Исходник — лиды'!$H$2:$H$4774,"&lt;"&amp;B154+1)</f>
        <v>16</v>
      </c>
      <c r="E154">
        <f>COUNTIFS('Исходник — лиды'!$H$2:$H$4774,"&gt;="&amp;A154,'Исходник — лиды'!$H$2:$H$4774,"&lt;"&amp;B154+1,'Исходник — лиды'!$C$2:$C$4774,"Качественный лид")</f>
        <v>16</v>
      </c>
      <c r="F154">
        <v>38</v>
      </c>
      <c r="G154" s="6">
        <f t="shared" si="2"/>
        <v>1</v>
      </c>
    </row>
    <row r="155" spans="1:7" x14ac:dyDescent="0.25">
      <c r="A155" s="4">
        <v>45607</v>
      </c>
      <c r="B155" s="4">
        <v>45613</v>
      </c>
      <c r="C155" t="s">
        <v>5419</v>
      </c>
      <c r="D155">
        <f>COUNTIFS('Исходник — лиды'!$H$2:$H$4774,"&gt;="&amp;A155,'Исходник — лиды'!$H$2:$H$4774,"&lt;"&amp;B155+1)</f>
        <v>23</v>
      </c>
      <c r="E155">
        <f>COUNTIFS('Исходник — лиды'!$H$2:$H$4774,"&gt;="&amp;A155,'Исходник — лиды'!$H$2:$H$4774,"&lt;"&amp;B155+1,'Исходник — лиды'!$C$2:$C$4774,"Качественный лид")</f>
        <v>20</v>
      </c>
      <c r="F155">
        <v>26</v>
      </c>
      <c r="G155" s="6">
        <f t="shared" si="2"/>
        <v>0.86956521739130432</v>
      </c>
    </row>
    <row r="156" spans="1:7" x14ac:dyDescent="0.25">
      <c r="A156" s="4">
        <v>45614</v>
      </c>
      <c r="B156" s="4">
        <v>45620</v>
      </c>
      <c r="C156" t="s">
        <v>5420</v>
      </c>
      <c r="D156">
        <f>COUNTIFS('Исходник — лиды'!$H$2:$H$4774,"&gt;="&amp;A156,'Исходник — лиды'!$H$2:$H$4774,"&lt;"&amp;B156+1)</f>
        <v>20</v>
      </c>
      <c r="E156">
        <f>COUNTIFS('Исходник — лиды'!$H$2:$H$4774,"&gt;="&amp;A156,'Исходник — лиды'!$H$2:$H$4774,"&lt;"&amp;B156+1,'Исходник — лиды'!$C$2:$C$4774,"Качественный лид")</f>
        <v>20</v>
      </c>
      <c r="F156">
        <v>39</v>
      </c>
      <c r="G156" s="6">
        <f t="shared" si="2"/>
        <v>1</v>
      </c>
    </row>
    <row r="157" spans="1:7" x14ac:dyDescent="0.25">
      <c r="A157" s="4">
        <v>45621</v>
      </c>
      <c r="B157" s="4">
        <v>45627</v>
      </c>
      <c r="C157" t="s">
        <v>5421</v>
      </c>
      <c r="D157">
        <f>COUNTIFS('Исходник — лиды'!$H$2:$H$4774,"&gt;="&amp;A157,'Исходник — лиды'!$H$2:$H$4774,"&lt;"&amp;B157+1)</f>
        <v>19</v>
      </c>
      <c r="E157">
        <f>COUNTIFS('Исходник — лиды'!$H$2:$H$4774,"&gt;="&amp;A157,'Исходник — лиды'!$H$2:$H$4774,"&lt;"&amp;B157+1,'Исходник — лиды'!$C$2:$C$4774,"Качественный лид")</f>
        <v>18</v>
      </c>
      <c r="F157">
        <v>43</v>
      </c>
      <c r="G157" s="6">
        <f t="shared" si="2"/>
        <v>0.94736842105263153</v>
      </c>
    </row>
    <row r="158" spans="1:7" x14ac:dyDescent="0.25">
      <c r="A158" s="4">
        <v>45628</v>
      </c>
      <c r="B158" s="4">
        <v>45634</v>
      </c>
      <c r="C158" t="s">
        <v>5422</v>
      </c>
      <c r="D158">
        <f>COUNTIFS('Исходник — лиды'!$H$2:$H$4774,"&gt;="&amp;A158,'Исходник — лиды'!$H$2:$H$4774,"&lt;"&amp;B158+1)</f>
        <v>6</v>
      </c>
      <c r="E158">
        <f>COUNTIFS('Исходник — лиды'!$H$2:$H$4774,"&gt;="&amp;A158,'Исходник — лиды'!$H$2:$H$4774,"&lt;"&amp;B158+1,'Исходник — лиды'!$C$2:$C$4774,"Качественный лид")</f>
        <v>6</v>
      </c>
      <c r="F158">
        <v>47</v>
      </c>
      <c r="G158" s="6">
        <f t="shared" si="2"/>
        <v>1</v>
      </c>
    </row>
    <row r="159" spans="1:7" x14ac:dyDescent="0.25">
      <c r="A159" s="4">
        <v>45635</v>
      </c>
      <c r="B159" s="4">
        <v>45641</v>
      </c>
      <c r="C159" t="s">
        <v>5423</v>
      </c>
      <c r="D159">
        <f>COUNTIFS('Исходник — лиды'!$H$2:$H$4774,"&gt;="&amp;A159,'Исходник — лиды'!$H$2:$H$4774,"&lt;"&amp;B159+1)</f>
        <v>11</v>
      </c>
      <c r="E159">
        <f>COUNTIFS('Исходник — лиды'!$H$2:$H$4774,"&gt;="&amp;A159,'Исходник — лиды'!$H$2:$H$4774,"&lt;"&amp;B159+1,'Исходник — лиды'!$C$2:$C$4774,"Качественный лид")</f>
        <v>10</v>
      </c>
      <c r="F159">
        <v>39</v>
      </c>
      <c r="G159" s="6">
        <f t="shared" si="2"/>
        <v>0.90909090909090906</v>
      </c>
    </row>
    <row r="160" spans="1:7" x14ac:dyDescent="0.25">
      <c r="A160" s="4">
        <v>45642</v>
      </c>
      <c r="B160" s="4">
        <v>45648</v>
      </c>
      <c r="C160" t="s">
        <v>5424</v>
      </c>
      <c r="D160">
        <f>COUNTIFS('Исходник — лиды'!$H$2:$H$4774,"&gt;="&amp;A160,'Исходник — лиды'!$H$2:$H$4774,"&lt;"&amp;B160+1)</f>
        <v>14</v>
      </c>
      <c r="E160">
        <f>COUNTIFS('Исходник — лиды'!$H$2:$H$4774,"&gt;="&amp;A160,'Исходник — лиды'!$H$2:$H$4774,"&lt;"&amp;B160+1,'Исходник — лиды'!$C$2:$C$4774,"Качественный лид")</f>
        <v>13</v>
      </c>
      <c r="F160">
        <v>28</v>
      </c>
      <c r="G160" s="6">
        <f t="shared" si="2"/>
        <v>0.9285714285714286</v>
      </c>
    </row>
    <row r="161" spans="1:7" x14ac:dyDescent="0.25">
      <c r="A161" s="4">
        <v>45649</v>
      </c>
      <c r="B161" s="4">
        <v>45655</v>
      </c>
      <c r="C161" t="s">
        <v>5425</v>
      </c>
      <c r="D161">
        <f>COUNTIFS('Исходник — лиды'!$H$2:$H$4774,"&gt;="&amp;A161,'Исходник — лиды'!$H$2:$H$4774,"&lt;"&amp;B161+1)</f>
        <v>12</v>
      </c>
      <c r="E161">
        <f>COUNTIFS('Исходник — лиды'!$H$2:$H$4774,"&gt;="&amp;A161,'Исходник — лиды'!$H$2:$H$4774,"&lt;"&amp;B161+1,'Исходник — лиды'!$C$2:$C$4774,"Качественный лид")</f>
        <v>12</v>
      </c>
      <c r="F161">
        <v>27</v>
      </c>
      <c r="G161" s="6">
        <f t="shared" si="2"/>
        <v>1</v>
      </c>
    </row>
    <row r="162" spans="1:7" x14ac:dyDescent="0.25">
      <c r="A162" s="4">
        <v>45656</v>
      </c>
      <c r="B162" s="4">
        <v>45662</v>
      </c>
      <c r="C162" t="s">
        <v>5426</v>
      </c>
      <c r="D162">
        <f>COUNTIFS('Исходник — лиды'!$H$2:$H$4774,"&gt;="&amp;A162,'Исходник — лиды'!$H$2:$H$4774,"&lt;"&amp;B162+1)</f>
        <v>2</v>
      </c>
      <c r="E162">
        <f>COUNTIFS('Исходник — лиды'!$H$2:$H$4774,"&gt;="&amp;A162,'Исходник — лиды'!$H$2:$H$4774,"&lt;"&amp;B162+1,'Исходник — лиды'!$C$2:$C$4774,"Качественный лид")</f>
        <v>1</v>
      </c>
      <c r="F162">
        <v>16</v>
      </c>
      <c r="G162" s="6">
        <f t="shared" si="2"/>
        <v>0.5</v>
      </c>
    </row>
    <row r="163" spans="1:7" x14ac:dyDescent="0.25">
      <c r="A163" s="4">
        <v>45663</v>
      </c>
      <c r="B163" s="4">
        <v>45669</v>
      </c>
      <c r="C163" t="s">
        <v>5427</v>
      </c>
      <c r="D163">
        <f>COUNTIFS('Исходник — лиды'!$H$2:$H$4774,"&gt;="&amp;A163,'Исходник — лиды'!$H$2:$H$4774,"&lt;"&amp;B163+1)</f>
        <v>8</v>
      </c>
      <c r="E163">
        <f>COUNTIFS('Исходник — лиды'!$H$2:$H$4774,"&gt;="&amp;A163,'Исходник — лиды'!$H$2:$H$4774,"&lt;"&amp;B163+1,'Исходник — лиды'!$C$2:$C$4774,"Качественный лид")</f>
        <v>8</v>
      </c>
      <c r="F163">
        <v>46</v>
      </c>
      <c r="G163" s="6">
        <f t="shared" si="2"/>
        <v>1</v>
      </c>
    </row>
    <row r="164" spans="1:7" x14ac:dyDescent="0.25">
      <c r="A164" s="4">
        <v>45670</v>
      </c>
      <c r="B164" s="4">
        <v>45676</v>
      </c>
      <c r="C164" t="s">
        <v>5428</v>
      </c>
      <c r="D164">
        <f>COUNTIFS('Исходник — лиды'!$H$2:$H$4774,"&gt;="&amp;A164,'Исходник — лиды'!$H$2:$H$4774,"&lt;"&amp;B164+1)</f>
        <v>17</v>
      </c>
      <c r="E164">
        <f>COUNTIFS('Исходник — лиды'!$H$2:$H$4774,"&gt;="&amp;A164,'Исходник — лиды'!$H$2:$H$4774,"&lt;"&amp;B164+1,'Исходник — лиды'!$C$2:$C$4774,"Качественный лид")</f>
        <v>17</v>
      </c>
      <c r="F164">
        <v>45</v>
      </c>
      <c r="G164" s="6">
        <f t="shared" si="2"/>
        <v>1</v>
      </c>
    </row>
    <row r="165" spans="1:7" x14ac:dyDescent="0.25">
      <c r="A165" s="4">
        <v>45677</v>
      </c>
      <c r="B165" s="4">
        <v>45683</v>
      </c>
      <c r="C165" t="s">
        <v>5429</v>
      </c>
      <c r="D165">
        <f>COUNTIFS('Исходник — лиды'!$H$2:$H$4774,"&gt;="&amp;A165,'Исходник — лиды'!$H$2:$H$4774,"&lt;"&amp;B165+1)</f>
        <v>14</v>
      </c>
      <c r="E165">
        <f>COUNTIFS('Исходник — лиды'!$H$2:$H$4774,"&gt;="&amp;A165,'Исходник — лиды'!$H$2:$H$4774,"&lt;"&amp;B165+1,'Исходник — лиды'!$C$2:$C$4774,"Качественный лид")</f>
        <v>14</v>
      </c>
      <c r="F165">
        <v>29</v>
      </c>
      <c r="G165" s="6">
        <f t="shared" si="2"/>
        <v>1</v>
      </c>
    </row>
    <row r="166" spans="1:7" x14ac:dyDescent="0.25">
      <c r="A166" s="4">
        <v>45684</v>
      </c>
      <c r="B166" s="4">
        <v>45690</v>
      </c>
      <c r="C166" t="s">
        <v>5430</v>
      </c>
      <c r="D166">
        <f>COUNTIFS('Исходник — лиды'!$H$2:$H$4774,"&gt;="&amp;A166,'Исходник — лиды'!$H$2:$H$4774,"&lt;"&amp;B166+1)</f>
        <v>14</v>
      </c>
      <c r="E166">
        <f>COUNTIFS('Исходник — лиды'!$H$2:$H$4774,"&gt;="&amp;A166,'Исходник — лиды'!$H$2:$H$4774,"&lt;"&amp;B166+1,'Исходник — лиды'!$C$2:$C$4774,"Качественный лид")</f>
        <v>13</v>
      </c>
      <c r="F166">
        <v>43</v>
      </c>
      <c r="G166" s="6">
        <f t="shared" si="2"/>
        <v>0.9285714285714286</v>
      </c>
    </row>
    <row r="167" spans="1:7" x14ac:dyDescent="0.25">
      <c r="A167" s="4">
        <v>45691</v>
      </c>
      <c r="B167" s="4">
        <v>45697</v>
      </c>
      <c r="C167" t="s">
        <v>5431</v>
      </c>
      <c r="D167">
        <f>COUNTIFS('Исходник — лиды'!$H$2:$H$4774,"&gt;="&amp;A167,'Исходник — лиды'!$H$2:$H$4774,"&lt;"&amp;B167+1)</f>
        <v>16</v>
      </c>
      <c r="E167">
        <f>COUNTIFS('Исходник — лиды'!$H$2:$H$4774,"&gt;="&amp;A167,'Исходник — лиды'!$H$2:$H$4774,"&lt;"&amp;B167+1,'Исходник — лиды'!$C$2:$C$4774,"Качественный лид")</f>
        <v>16</v>
      </c>
      <c r="F167">
        <v>42</v>
      </c>
      <c r="G167" s="6">
        <f t="shared" si="2"/>
        <v>1</v>
      </c>
    </row>
    <row r="168" spans="1:7" x14ac:dyDescent="0.25">
      <c r="A168" s="4">
        <v>45698</v>
      </c>
      <c r="B168" s="4">
        <v>45704</v>
      </c>
      <c r="C168" t="s">
        <v>5432</v>
      </c>
      <c r="D168">
        <f>COUNTIFS('Исходник — лиды'!$H$2:$H$4774,"&gt;="&amp;A168,'Исходник — лиды'!$H$2:$H$4774,"&lt;"&amp;B168+1)</f>
        <v>14</v>
      </c>
      <c r="E168">
        <f>COUNTIFS('Исходник — лиды'!$H$2:$H$4774,"&gt;="&amp;A168,'Исходник — лиды'!$H$2:$H$4774,"&lt;"&amp;B168+1,'Исходник — лиды'!$C$2:$C$4774,"Качественный лид")</f>
        <v>14</v>
      </c>
      <c r="F168">
        <v>48</v>
      </c>
      <c r="G168" s="6">
        <f t="shared" si="2"/>
        <v>1</v>
      </c>
    </row>
    <row r="169" spans="1:7" x14ac:dyDescent="0.25">
      <c r="A169" s="4">
        <v>45705</v>
      </c>
      <c r="B169" s="4">
        <v>45711</v>
      </c>
      <c r="C169" t="s">
        <v>5433</v>
      </c>
      <c r="D169">
        <f>COUNTIFS('Исходник — лиды'!$H$2:$H$4774,"&gt;="&amp;A169,'Исходник — лиды'!$H$2:$H$4774,"&lt;"&amp;B169+1)</f>
        <v>13</v>
      </c>
      <c r="E169">
        <f>COUNTIFS('Исходник — лиды'!$H$2:$H$4774,"&gt;="&amp;A169,'Исходник — лиды'!$H$2:$H$4774,"&lt;"&amp;B169+1,'Исходник — лиды'!$C$2:$C$4774,"Качественный лид")</f>
        <v>13</v>
      </c>
      <c r="F169">
        <v>32</v>
      </c>
      <c r="G169" s="6">
        <f t="shared" si="2"/>
        <v>1</v>
      </c>
    </row>
    <row r="170" spans="1:7" x14ac:dyDescent="0.25">
      <c r="A170" s="4">
        <v>45712</v>
      </c>
      <c r="B170" s="4">
        <v>45718</v>
      </c>
      <c r="C170" t="s">
        <v>5434</v>
      </c>
      <c r="D170">
        <f>COUNTIFS('Исходник — лиды'!$H$2:$H$4774,"&gt;="&amp;A170,'Исходник — лиды'!$H$2:$H$4774,"&lt;"&amp;B170+1)</f>
        <v>22</v>
      </c>
      <c r="E170">
        <f>COUNTIFS('Исходник — лиды'!$H$2:$H$4774,"&gt;="&amp;A170,'Исходник — лиды'!$H$2:$H$4774,"&lt;"&amp;B170+1,'Исходник — лиды'!$C$2:$C$4774,"Качественный лид")</f>
        <v>22</v>
      </c>
      <c r="F170">
        <v>26</v>
      </c>
      <c r="G170" s="6">
        <f t="shared" si="2"/>
        <v>1</v>
      </c>
    </row>
    <row r="171" spans="1:7" x14ac:dyDescent="0.25">
      <c r="A171" s="4">
        <v>45719</v>
      </c>
      <c r="B171" s="4">
        <v>45725</v>
      </c>
      <c r="C171" t="s">
        <v>5435</v>
      </c>
      <c r="D171">
        <f>COUNTIFS('Исходник — лиды'!$H$2:$H$4774,"&gt;="&amp;A171,'Исходник — лиды'!$H$2:$H$4774,"&lt;"&amp;B171+1)</f>
        <v>23</v>
      </c>
      <c r="E171">
        <f>COUNTIFS('Исходник — лиды'!$H$2:$H$4774,"&gt;="&amp;A171,'Исходник — лиды'!$H$2:$H$4774,"&lt;"&amp;B171+1,'Исходник — лиды'!$C$2:$C$4774,"Качественный лид")</f>
        <v>22</v>
      </c>
      <c r="F171">
        <v>40</v>
      </c>
      <c r="G171" s="6">
        <f t="shared" si="2"/>
        <v>0.95652173913043481</v>
      </c>
    </row>
    <row r="172" spans="1:7" x14ac:dyDescent="0.25">
      <c r="A172" s="4">
        <v>45726</v>
      </c>
      <c r="B172" s="4">
        <v>45732</v>
      </c>
      <c r="C172" t="s">
        <v>5436</v>
      </c>
      <c r="D172">
        <f>COUNTIFS('Исходник — лиды'!$H$2:$H$4774,"&gt;="&amp;A172,'Исходник — лиды'!$H$2:$H$4774,"&lt;"&amp;B172+1)</f>
        <v>17</v>
      </c>
      <c r="E172">
        <f>COUNTIFS('Исходник — лиды'!$H$2:$H$4774,"&gt;="&amp;A172,'Исходник — лиды'!$H$2:$H$4774,"&lt;"&amp;B172+1,'Исходник — лиды'!$C$2:$C$4774,"Качественный лид")</f>
        <v>16</v>
      </c>
      <c r="F172">
        <v>54</v>
      </c>
      <c r="G172" s="6">
        <f t="shared" si="2"/>
        <v>0.94117647058823528</v>
      </c>
    </row>
    <row r="173" spans="1:7" x14ac:dyDescent="0.25">
      <c r="A173" s="4">
        <v>45733</v>
      </c>
      <c r="B173" s="4">
        <v>45739</v>
      </c>
      <c r="C173" t="s">
        <v>5437</v>
      </c>
      <c r="D173">
        <f>COUNTIFS('Исходник — лиды'!$H$2:$H$4774,"&gt;="&amp;A173,'Исходник — лиды'!$H$2:$H$4774,"&lt;"&amp;B173+1)</f>
        <v>20</v>
      </c>
      <c r="E173">
        <f>COUNTIFS('Исходник — лиды'!$H$2:$H$4774,"&gt;="&amp;A173,'Исходник — лиды'!$H$2:$H$4774,"&lt;"&amp;B173+1,'Исходник — лиды'!$C$2:$C$4774,"Качественный лид")</f>
        <v>20</v>
      </c>
      <c r="F173">
        <v>62</v>
      </c>
      <c r="G173" s="6">
        <f t="shared" si="2"/>
        <v>1</v>
      </c>
    </row>
    <row r="174" spans="1:7" x14ac:dyDescent="0.25">
      <c r="A174" s="4">
        <v>45740</v>
      </c>
      <c r="B174" s="4">
        <v>45746</v>
      </c>
      <c r="C174" t="s">
        <v>5438</v>
      </c>
      <c r="D174">
        <f>COUNTIFS('Исходник — лиды'!$H$2:$H$4774,"&gt;="&amp;A174,'Исходник — лиды'!$H$2:$H$4774,"&lt;"&amp;B174+1)</f>
        <v>23</v>
      </c>
      <c r="E174">
        <f>COUNTIFS('Исходник — лиды'!$H$2:$H$4774,"&gt;="&amp;A174,'Исходник — лиды'!$H$2:$H$4774,"&lt;"&amp;B174+1,'Исходник — лиды'!$C$2:$C$4774,"Качественный лид")</f>
        <v>23</v>
      </c>
      <c r="F174">
        <v>77</v>
      </c>
      <c r="G174" s="6">
        <f t="shared" si="2"/>
        <v>1</v>
      </c>
    </row>
    <row r="175" spans="1:7" x14ac:dyDescent="0.25">
      <c r="A175" s="4">
        <v>45747</v>
      </c>
      <c r="B175" s="4">
        <v>45753</v>
      </c>
      <c r="C175" t="s">
        <v>5439</v>
      </c>
      <c r="D175">
        <f>COUNTIFS('Исходник — лиды'!$H$2:$H$4774,"&gt;="&amp;A175,'Исходник — лиды'!$H$2:$H$4774,"&lt;"&amp;B175+1)</f>
        <v>20</v>
      </c>
      <c r="E175">
        <f>COUNTIFS('Исходник — лиды'!$H$2:$H$4774,"&gt;="&amp;A175,'Исходник — лиды'!$H$2:$H$4774,"&lt;"&amp;B175+1,'Исходник — лиды'!$C$2:$C$4774,"Качественный лид")</f>
        <v>18</v>
      </c>
      <c r="F175">
        <v>81</v>
      </c>
      <c r="G175" s="6">
        <f t="shared" si="2"/>
        <v>0.9</v>
      </c>
    </row>
    <row r="176" spans="1:7" x14ac:dyDescent="0.25">
      <c r="A176" s="4">
        <v>45754</v>
      </c>
      <c r="B176" s="4">
        <v>45760</v>
      </c>
      <c r="C176" t="s">
        <v>5440</v>
      </c>
      <c r="D176">
        <f>COUNTIFS('Исходник — лиды'!$H$2:$H$4774,"&gt;="&amp;A176,'Исходник — лиды'!$H$2:$H$4774,"&lt;"&amp;B176+1)</f>
        <v>16</v>
      </c>
      <c r="E176">
        <f>COUNTIFS('Исходник — лиды'!$H$2:$H$4774,"&gt;="&amp;A176,'Исходник — лиды'!$H$2:$H$4774,"&lt;"&amp;B176+1,'Исходник — лиды'!$C$2:$C$4774,"Качественный лид")</f>
        <v>16</v>
      </c>
      <c r="F176">
        <v>68</v>
      </c>
      <c r="G176" s="6">
        <f t="shared" si="2"/>
        <v>1</v>
      </c>
    </row>
    <row r="177" spans="1:7" x14ac:dyDescent="0.25">
      <c r="A177" s="4">
        <v>45761</v>
      </c>
      <c r="B177" s="4">
        <v>45767</v>
      </c>
      <c r="C177" t="s">
        <v>5441</v>
      </c>
      <c r="D177">
        <f>COUNTIFS('Исходник — лиды'!$H$2:$H$4774,"&gt;="&amp;A177,'Исходник — лиды'!$H$2:$H$4774,"&lt;"&amp;B177+1)</f>
        <v>22</v>
      </c>
      <c r="E177">
        <f>COUNTIFS('Исходник — лиды'!$H$2:$H$4774,"&gt;="&amp;A177,'Исходник — лиды'!$H$2:$H$4774,"&lt;"&amp;B177+1,'Исходник — лиды'!$C$2:$C$4774,"Качественный лид")</f>
        <v>22</v>
      </c>
      <c r="F177">
        <v>65</v>
      </c>
      <c r="G177" s="6">
        <f t="shared" si="2"/>
        <v>1</v>
      </c>
    </row>
    <row r="178" spans="1:7" x14ac:dyDescent="0.25">
      <c r="A178" s="4">
        <v>45768</v>
      </c>
      <c r="B178" s="4">
        <v>45774</v>
      </c>
      <c r="C178" t="s">
        <v>5442</v>
      </c>
      <c r="D178">
        <f>COUNTIFS('Исходник — лиды'!$H$2:$H$4774,"&gt;="&amp;A178,'Исходник — лиды'!$H$2:$H$4774,"&lt;"&amp;B178+1)</f>
        <v>30</v>
      </c>
      <c r="E178">
        <f>COUNTIFS('Исходник — лиды'!$H$2:$H$4774,"&gt;="&amp;A178,'Исходник — лиды'!$H$2:$H$4774,"&lt;"&amp;B178+1,'Исходник — лиды'!$C$2:$C$4774,"Качественный лид")</f>
        <v>28</v>
      </c>
      <c r="F178">
        <v>62</v>
      </c>
      <c r="G178" s="6">
        <f t="shared" si="2"/>
        <v>0.93333333333333335</v>
      </c>
    </row>
    <row r="179" spans="1:7" x14ac:dyDescent="0.25">
      <c r="A179" s="4">
        <v>45775</v>
      </c>
      <c r="B179" s="4">
        <v>45781</v>
      </c>
      <c r="C179" t="s">
        <v>5443</v>
      </c>
      <c r="D179">
        <f>COUNTIFS('Исходник — лиды'!$H$2:$H$4774,"&gt;="&amp;A179,'Исходник — лиды'!$H$2:$H$4774,"&lt;"&amp;B179+1)</f>
        <v>12</v>
      </c>
      <c r="E179">
        <f>COUNTIFS('Исходник — лиды'!$H$2:$H$4774,"&gt;="&amp;A179,'Исходник — лиды'!$H$2:$H$4774,"&lt;"&amp;B179+1,'Исходник — лиды'!$C$2:$C$4774,"Качественный лид")</f>
        <v>12</v>
      </c>
      <c r="F179">
        <v>52</v>
      </c>
      <c r="G179" s="6">
        <f t="shared" si="2"/>
        <v>1</v>
      </c>
    </row>
    <row r="180" spans="1:7" x14ac:dyDescent="0.25">
      <c r="A180" s="4">
        <v>45782</v>
      </c>
      <c r="B180" s="4">
        <v>45788</v>
      </c>
      <c r="C180" t="s">
        <v>5444</v>
      </c>
      <c r="D180">
        <f>COUNTIFS('Исходник — лиды'!$H$2:$H$4774,"&gt;="&amp;A180,'Исходник — лиды'!$H$2:$H$4774,"&lt;"&amp;B180+1)</f>
        <v>20</v>
      </c>
      <c r="E180">
        <f>COUNTIFS('Исходник — лиды'!$H$2:$H$4774,"&gt;="&amp;A180,'Исходник — лиды'!$H$2:$H$4774,"&lt;"&amp;B180+1,'Исходник — лиды'!$C$2:$C$4774,"Качественный лид")</f>
        <v>20</v>
      </c>
      <c r="F180">
        <v>43</v>
      </c>
      <c r="G180" s="6">
        <f t="shared" si="2"/>
        <v>1</v>
      </c>
    </row>
    <row r="181" spans="1:7" x14ac:dyDescent="0.25">
      <c r="A181" s="4">
        <v>45789</v>
      </c>
      <c r="B181" s="4">
        <v>45795</v>
      </c>
      <c r="C181" t="s">
        <v>5445</v>
      </c>
      <c r="D181">
        <f>COUNTIFS('Исходник — лиды'!$H$2:$H$4774,"&gt;="&amp;A181,'Исходник — лиды'!$H$2:$H$4774,"&lt;"&amp;B181+1)</f>
        <v>19</v>
      </c>
      <c r="E181">
        <f>COUNTIFS('Исходник — лиды'!$H$2:$H$4774,"&gt;="&amp;A181,'Исходник — лиды'!$H$2:$H$4774,"&lt;"&amp;B181+1,'Исходник — лиды'!$C$2:$C$4774,"Качественный лид")</f>
        <v>19</v>
      </c>
      <c r="F181">
        <v>54</v>
      </c>
      <c r="G181" s="6">
        <f t="shared" si="2"/>
        <v>1</v>
      </c>
    </row>
    <row r="182" spans="1:7" x14ac:dyDescent="0.25">
      <c r="A182" s="4">
        <v>45796</v>
      </c>
      <c r="B182" s="4">
        <v>45802</v>
      </c>
      <c r="C182" t="s">
        <v>5446</v>
      </c>
      <c r="D182">
        <f>COUNTIFS('Исходник — лиды'!$H$2:$H$4774,"&gt;="&amp;A182,'Исходник — лиды'!$H$2:$H$4774,"&lt;"&amp;B182+1)</f>
        <v>21</v>
      </c>
      <c r="E182">
        <f>COUNTIFS('Исходник — лиды'!$H$2:$H$4774,"&gt;="&amp;A182,'Исходник — лиды'!$H$2:$H$4774,"&lt;"&amp;B182+1,'Исходник — лиды'!$C$2:$C$4774,"Качественный лид")</f>
        <v>21</v>
      </c>
      <c r="F182">
        <v>50</v>
      </c>
      <c r="G182" s="6">
        <f t="shared" si="2"/>
        <v>1</v>
      </c>
    </row>
    <row r="183" spans="1:7" x14ac:dyDescent="0.25">
      <c r="A183" s="4">
        <v>45803</v>
      </c>
      <c r="B183" s="4">
        <v>45809</v>
      </c>
      <c r="C183" t="s">
        <v>5447</v>
      </c>
      <c r="D183">
        <f>COUNTIFS('Исходник — лиды'!$H$2:$H$4774,"&gt;="&amp;A183,'Исходник — лиды'!$H$2:$H$4774,"&lt;"&amp;B183+1)</f>
        <v>22</v>
      </c>
      <c r="E183">
        <f>COUNTIFS('Исходник — лиды'!$H$2:$H$4774,"&gt;="&amp;A183,'Исходник — лиды'!$H$2:$H$4774,"&lt;"&amp;B183+1,'Исходник — лиды'!$C$2:$C$4774,"Качественный лид")</f>
        <v>22</v>
      </c>
      <c r="F183">
        <v>63</v>
      </c>
      <c r="G183" s="6">
        <f t="shared" si="2"/>
        <v>1</v>
      </c>
    </row>
    <row r="184" spans="1:7" x14ac:dyDescent="0.25">
      <c r="A184" s="4">
        <v>45810</v>
      </c>
      <c r="B184" s="4">
        <v>45816</v>
      </c>
      <c r="C184" t="s">
        <v>5448</v>
      </c>
      <c r="D184">
        <f>COUNTIFS('Исходник — лиды'!$H$2:$H$4774,"&gt;="&amp;A184,'Исходник — лиды'!$H$2:$H$4774,"&lt;"&amp;B184+1)</f>
        <v>27</v>
      </c>
      <c r="E184">
        <f>COUNTIFS('Исходник — лиды'!$H$2:$H$4774,"&gt;="&amp;A184,'Исходник — лиды'!$H$2:$H$4774,"&lt;"&amp;B184+1,'Исходник — лиды'!$C$2:$C$4774,"Качественный лид")</f>
        <v>27</v>
      </c>
      <c r="F184">
        <v>76</v>
      </c>
      <c r="G184" s="6">
        <f t="shared" si="2"/>
        <v>1</v>
      </c>
    </row>
    <row r="185" spans="1:7" x14ac:dyDescent="0.25">
      <c r="A185" s="4">
        <v>45817</v>
      </c>
      <c r="B185" s="4">
        <v>45823</v>
      </c>
      <c r="C185" t="s">
        <v>5449</v>
      </c>
      <c r="D185">
        <f>COUNTIFS('Исходник — лиды'!$H$2:$H$4774,"&gt;="&amp;A185,'Исходник — лиды'!$H$2:$H$4774,"&lt;"&amp;B185+1)</f>
        <v>7</v>
      </c>
      <c r="E185">
        <f>COUNTIFS('Исходник — лиды'!$H$2:$H$4774,"&gt;="&amp;A185,'Исходник — лиды'!$H$2:$H$4774,"&lt;"&amp;B185+1,'Исходник — лиды'!$C$2:$C$4774,"Качественный лид")</f>
        <v>7</v>
      </c>
      <c r="F185">
        <v>82</v>
      </c>
      <c r="G185" s="6">
        <f t="shared" si="2"/>
        <v>1</v>
      </c>
    </row>
    <row r="186" spans="1:7" x14ac:dyDescent="0.25">
      <c r="A186" s="4">
        <v>45824</v>
      </c>
      <c r="B186" s="4">
        <v>45830</v>
      </c>
      <c r="C186" t="s">
        <v>5450</v>
      </c>
      <c r="D186">
        <f>COUNTIFS('Исходник — лиды'!$H$2:$H$4774,"&gt;="&amp;A186,'Исходник — лиды'!$H$2:$H$4774,"&lt;"&amp;B186+1)</f>
        <v>27</v>
      </c>
      <c r="E186">
        <f>COUNTIFS('Исходник — лиды'!$H$2:$H$4774,"&gt;="&amp;A186,'Исходник — лиды'!$H$2:$H$4774,"&lt;"&amp;B186+1,'Исходник — лиды'!$C$2:$C$4774,"Качественный лид")</f>
        <v>26</v>
      </c>
      <c r="F186">
        <v>61</v>
      </c>
      <c r="G186" s="6">
        <f t="shared" si="2"/>
        <v>0.96296296296296291</v>
      </c>
    </row>
    <row r="187" spans="1:7" x14ac:dyDescent="0.25">
      <c r="A187" s="4">
        <v>45831</v>
      </c>
      <c r="B187" s="4">
        <v>45837</v>
      </c>
      <c r="C187" t="s">
        <v>5451</v>
      </c>
      <c r="D187">
        <f>COUNTIFS('Исходник — лиды'!$H$2:$H$4774,"&gt;="&amp;A187,'Исходник — лиды'!$H$2:$H$4774,"&lt;"&amp;B187+1)</f>
        <v>35</v>
      </c>
      <c r="E187">
        <f>COUNTIFS('Исходник — лиды'!$H$2:$H$4774,"&gt;="&amp;A187,'Исходник — лиды'!$H$2:$H$4774,"&lt;"&amp;B187+1,'Исходник — лиды'!$C$2:$C$4774,"Качественный лид")</f>
        <v>35</v>
      </c>
      <c r="F187">
        <v>69</v>
      </c>
      <c r="G187" s="6">
        <f t="shared" si="2"/>
        <v>1</v>
      </c>
    </row>
    <row r="188" spans="1:7" x14ac:dyDescent="0.25">
      <c r="A188" s="4">
        <v>45838</v>
      </c>
      <c r="B188" s="4">
        <v>45844</v>
      </c>
      <c r="C188" t="s">
        <v>5452</v>
      </c>
      <c r="D188">
        <f>COUNTIFS('Исходник — лиды'!$H$2:$H$4774,"&gt;="&amp;A188,'Исходник — лиды'!$H$2:$H$4774,"&lt;"&amp;B188+1)</f>
        <v>27</v>
      </c>
      <c r="E188">
        <f>COUNTIFS('Исходник — лиды'!$H$2:$H$4774,"&gt;="&amp;A188,'Исходник — лиды'!$H$2:$H$4774,"&lt;"&amp;B188+1,'Исходник — лиды'!$C$2:$C$4774,"Качественный лид")</f>
        <v>27</v>
      </c>
      <c r="F188">
        <v>80</v>
      </c>
      <c r="G188" s="6">
        <f t="shared" si="2"/>
        <v>1</v>
      </c>
    </row>
    <row r="189" spans="1:7" x14ac:dyDescent="0.25">
      <c r="A189" s="4">
        <v>45845</v>
      </c>
      <c r="B189" s="4">
        <v>45851</v>
      </c>
      <c r="C189" t="s">
        <v>5453</v>
      </c>
      <c r="D189">
        <f>COUNTIFS('Исходник — лиды'!$H$2:$H$4774,"&gt;="&amp;A189,'Исходник — лиды'!$H$2:$H$4774,"&lt;"&amp;B189+1)</f>
        <v>26</v>
      </c>
      <c r="E189">
        <f>COUNTIFS('Исходник — лиды'!$H$2:$H$4774,"&gt;="&amp;A189,'Исходник — лиды'!$H$2:$H$4774,"&lt;"&amp;B189+1,'Исходник — лиды'!$C$2:$C$4774,"Качественный лид")</f>
        <v>26</v>
      </c>
      <c r="F189">
        <v>72</v>
      </c>
      <c r="G189" s="6">
        <f t="shared" si="2"/>
        <v>1</v>
      </c>
    </row>
    <row r="190" spans="1:7" x14ac:dyDescent="0.25">
      <c r="A190" s="4">
        <v>45852</v>
      </c>
      <c r="B190" s="4">
        <v>45858</v>
      </c>
      <c r="C190" t="s">
        <v>5454</v>
      </c>
      <c r="D190">
        <f>COUNTIFS('Исходник — лиды'!$H$2:$H$4774,"&gt;="&amp;A190,'Исходник — лиды'!$H$2:$H$4774,"&lt;"&amp;B190+1)</f>
        <v>33</v>
      </c>
      <c r="E190">
        <f>COUNTIFS('Исходник — лиды'!$H$2:$H$4774,"&gt;="&amp;A190,'Исходник — лиды'!$H$2:$H$4774,"&lt;"&amp;B190+1,'Исходник — лиды'!$C$2:$C$4774,"Качественный лид")</f>
        <v>33</v>
      </c>
      <c r="F190">
        <v>80</v>
      </c>
      <c r="G190" s="6">
        <f t="shared" si="2"/>
        <v>1</v>
      </c>
    </row>
    <row r="191" spans="1:7" x14ac:dyDescent="0.25">
      <c r="A191" s="4">
        <v>45859</v>
      </c>
      <c r="B191" s="4">
        <v>45865</v>
      </c>
      <c r="C191" t="s">
        <v>5455</v>
      </c>
      <c r="D191">
        <f>COUNTIFS('Исходник — лиды'!$H$2:$H$4774,"&gt;="&amp;A191,'Исходник — лиды'!$H$2:$H$4774,"&lt;"&amp;B191+1)</f>
        <v>25</v>
      </c>
      <c r="E191">
        <f>COUNTIFS('Исходник — лиды'!$H$2:$H$4774,"&gt;="&amp;A191,'Исходник — лиды'!$H$2:$H$4774,"&lt;"&amp;B191+1,'Исходник — лиды'!$C$2:$C$4774,"Качественный лид")</f>
        <v>25</v>
      </c>
      <c r="F191">
        <v>70</v>
      </c>
      <c r="G191" s="6">
        <f t="shared" si="2"/>
        <v>1</v>
      </c>
    </row>
    <row r="192" spans="1:7" x14ac:dyDescent="0.25">
      <c r="A192" s="4">
        <v>45866</v>
      </c>
      <c r="B192" s="4">
        <v>45872</v>
      </c>
      <c r="C192" t="s">
        <v>5456</v>
      </c>
      <c r="D192">
        <f>COUNTIFS('Исходник — лиды'!$H$2:$H$4774,"&gt;="&amp;A192,'Исходник — лиды'!$H$2:$H$4774,"&lt;"&amp;B192+1)</f>
        <v>30</v>
      </c>
      <c r="E192">
        <f>COUNTIFS('Исходник — лиды'!$H$2:$H$4774,"&gt;="&amp;A192,'Исходник — лиды'!$H$2:$H$4774,"&lt;"&amp;B192+1,'Исходник — лиды'!$C$2:$C$4774,"Качественный лид")</f>
        <v>30</v>
      </c>
      <c r="F192">
        <v>64</v>
      </c>
      <c r="G192" s="6">
        <f t="shared" si="2"/>
        <v>1</v>
      </c>
    </row>
    <row r="193" spans="1:7" x14ac:dyDescent="0.25">
      <c r="A193" s="4">
        <v>45873</v>
      </c>
      <c r="B193" s="4">
        <v>45879</v>
      </c>
      <c r="C193" t="s">
        <v>5457</v>
      </c>
      <c r="D193">
        <f>COUNTIFS('Исходник — лиды'!$H$2:$H$4774,"&gt;="&amp;A193,'Исходник — лиды'!$H$2:$H$4774,"&lt;"&amp;B193+1)</f>
        <v>10</v>
      </c>
      <c r="E193">
        <f>COUNTIFS('Исходник — лиды'!$H$2:$H$4774,"&gt;="&amp;A193,'Исходник — лиды'!$H$2:$H$4774,"&lt;"&amp;B193+1,'Исходник — лиды'!$C$2:$C$4774,"Качественный лид")</f>
        <v>10</v>
      </c>
      <c r="F193">
        <v>82</v>
      </c>
      <c r="G193" s="6">
        <f t="shared" si="2"/>
        <v>1</v>
      </c>
    </row>
    <row r="194" spans="1:7" x14ac:dyDescent="0.25">
      <c r="A194" s="4">
        <v>45880</v>
      </c>
      <c r="B194" s="4">
        <v>45886</v>
      </c>
      <c r="C194" t="s">
        <v>5458</v>
      </c>
      <c r="D194">
        <f>COUNTIFS('Исходник — лиды'!$H$2:$H$4774,"&gt;="&amp;A194,'Исходник — лиды'!$H$2:$H$4774,"&lt;"&amp;B194+1)</f>
        <v>20</v>
      </c>
      <c r="E194">
        <f>COUNTIFS('Исходник — лиды'!$H$2:$H$4774,"&gt;="&amp;A194,'Исходник — лиды'!$H$2:$H$4774,"&lt;"&amp;B194+1,'Исходник — лиды'!$C$2:$C$4774,"Качественный лид")</f>
        <v>19</v>
      </c>
      <c r="F194">
        <v>75</v>
      </c>
      <c r="G194" s="6">
        <f t="shared" si="2"/>
        <v>0.95</v>
      </c>
    </row>
    <row r="195" spans="1:7" x14ac:dyDescent="0.25">
      <c r="A195" s="4">
        <v>45887</v>
      </c>
      <c r="B195" s="4">
        <v>45893</v>
      </c>
      <c r="C195" t="s">
        <v>5459</v>
      </c>
      <c r="D195">
        <f>COUNTIFS('Исходник — лиды'!$H$2:$H$4774,"&gt;="&amp;A195,'Исходник — лиды'!$H$2:$H$4774,"&lt;"&amp;B195+1)</f>
        <v>16</v>
      </c>
      <c r="E195">
        <f>COUNTIFS('Исходник — лиды'!$H$2:$H$4774,"&gt;="&amp;A195,'Исходник — лиды'!$H$2:$H$4774,"&lt;"&amp;B195+1,'Исходник — лиды'!$C$2:$C$4774,"Качественный лид")</f>
        <v>16</v>
      </c>
      <c r="F195">
        <v>80</v>
      </c>
      <c r="G195" s="6">
        <f t="shared" si="2"/>
        <v>1</v>
      </c>
    </row>
    <row r="196" spans="1:7" x14ac:dyDescent="0.25">
      <c r="A196" s="4">
        <v>45894</v>
      </c>
      <c r="B196" s="4">
        <v>45900</v>
      </c>
      <c r="C196" t="s">
        <v>5460</v>
      </c>
      <c r="D196">
        <f>COUNTIFS('Исходник — лиды'!$H$2:$H$4774,"&gt;="&amp;A196,'Исходник — лиды'!$H$2:$H$4774,"&lt;"&amp;B196+1)</f>
        <v>27</v>
      </c>
      <c r="E196">
        <f>COUNTIFS('Исходник — лиды'!$H$2:$H$4774,"&gt;="&amp;A196,'Исходник — лиды'!$H$2:$H$4774,"&lt;"&amp;B196+1,'Исходник — лиды'!$C$2:$C$4774,"Качественный лид")</f>
        <v>27</v>
      </c>
      <c r="F196">
        <v>42</v>
      </c>
      <c r="G196" s="6">
        <f t="shared" si="2"/>
        <v>1</v>
      </c>
    </row>
    <row r="197" spans="1:7" x14ac:dyDescent="0.25">
      <c r="A197" s="4">
        <v>45901</v>
      </c>
      <c r="B197" s="4">
        <v>45907</v>
      </c>
      <c r="C197" t="s">
        <v>5461</v>
      </c>
      <c r="D197">
        <f>COUNTIFS('Исходник — лиды'!$H$2:$H$4774,"&gt;="&amp;A197,'Исходник — лиды'!$H$2:$H$4774,"&lt;"&amp;B197+1)</f>
        <v>17</v>
      </c>
      <c r="E197">
        <f>COUNTIFS('Исходник — лиды'!$H$2:$H$4774,"&gt;="&amp;A197,'Исходник — лиды'!$H$2:$H$4774,"&lt;"&amp;B197+1,'Исходник — лиды'!$C$2:$C$4774,"Качественный лид")</f>
        <v>17</v>
      </c>
      <c r="F197">
        <v>61</v>
      </c>
      <c r="G197" s="6">
        <f t="shared" ref="G197:G241" si="3">IFERROR(E197/D197,0)</f>
        <v>1</v>
      </c>
    </row>
    <row r="198" spans="1:7" x14ac:dyDescent="0.25">
      <c r="A198" s="4">
        <v>45908</v>
      </c>
      <c r="B198" s="4">
        <v>45914</v>
      </c>
      <c r="C198" t="s">
        <v>5462</v>
      </c>
      <c r="D198">
        <f>COUNTIFS('Исходник — лиды'!$H$2:$H$4774,"&gt;="&amp;A198,'Исходник — лиды'!$H$2:$H$4774,"&lt;"&amp;B198+1)</f>
        <v>16</v>
      </c>
      <c r="E198">
        <f>COUNTIFS('Исходник — лиды'!$H$2:$H$4774,"&gt;="&amp;A198,'Исходник — лиды'!$H$2:$H$4774,"&lt;"&amp;B198+1,'Исходник — лиды'!$C$2:$C$4774,"Качественный лид")</f>
        <v>16</v>
      </c>
      <c r="F198">
        <v>76</v>
      </c>
      <c r="G198" s="6">
        <f t="shared" si="3"/>
        <v>1</v>
      </c>
    </row>
    <row r="199" spans="1:7" x14ac:dyDescent="0.25">
      <c r="A199" s="4">
        <v>45915</v>
      </c>
      <c r="B199" s="4">
        <v>45921</v>
      </c>
      <c r="C199" t="s">
        <v>5463</v>
      </c>
      <c r="D199">
        <f>COUNTIFS('Исходник — лиды'!$H$2:$H$4774,"&gt;="&amp;A199,'Исходник — лиды'!$H$2:$H$4774,"&lt;"&amp;B199+1)</f>
        <v>24</v>
      </c>
      <c r="E199">
        <f>COUNTIFS('Исходник — лиды'!$H$2:$H$4774,"&gt;="&amp;A199,'Исходник — лиды'!$H$2:$H$4774,"&lt;"&amp;B199+1,'Исходник — лиды'!$C$2:$C$4774,"Качественный лид")</f>
        <v>24</v>
      </c>
      <c r="F199">
        <v>57</v>
      </c>
      <c r="G199" s="6">
        <f t="shared" si="3"/>
        <v>1</v>
      </c>
    </row>
    <row r="200" spans="1:7" x14ac:dyDescent="0.25">
      <c r="A200" s="4">
        <v>45922</v>
      </c>
      <c r="B200" s="4">
        <v>45928</v>
      </c>
      <c r="C200" t="s">
        <v>5464</v>
      </c>
      <c r="D200">
        <f>COUNTIFS('Исходник — лиды'!$H$2:$H$4774,"&gt;="&amp;A200,'Исходник — лиды'!$H$2:$H$4774,"&lt;"&amp;B200+1)</f>
        <v>35</v>
      </c>
      <c r="E200">
        <f>COUNTIFS('Исходник — лиды'!$H$2:$H$4774,"&gt;="&amp;A200,'Исходник — лиды'!$H$2:$H$4774,"&lt;"&amp;B200+1,'Исходник — лиды'!$C$2:$C$4774,"Качественный лид")</f>
        <v>35</v>
      </c>
      <c r="F200">
        <v>62</v>
      </c>
      <c r="G200" s="6">
        <f t="shared" si="3"/>
        <v>1</v>
      </c>
    </row>
    <row r="201" spans="1:7" x14ac:dyDescent="0.25">
      <c r="A201" s="4">
        <v>45929</v>
      </c>
      <c r="B201" s="4">
        <v>45935</v>
      </c>
      <c r="C201" t="s">
        <v>5465</v>
      </c>
      <c r="D201">
        <f>COUNTIFS('Исходник — лиды'!$H$2:$H$4774,"&gt;="&amp;A201,'Исходник — лиды'!$H$2:$H$4774,"&lt;"&amp;B201+1)</f>
        <v>29</v>
      </c>
      <c r="E201">
        <f>COUNTIFS('Исходник — лиды'!$H$2:$H$4774,"&gt;="&amp;A201,'Исходник — лиды'!$H$2:$H$4774,"&lt;"&amp;B201+1,'Исходник — лиды'!$C$2:$C$4774,"Качественный лид")</f>
        <v>27</v>
      </c>
      <c r="F201">
        <v>80</v>
      </c>
      <c r="G201" s="6">
        <f t="shared" si="3"/>
        <v>0.93103448275862066</v>
      </c>
    </row>
    <row r="202" spans="1:7" x14ac:dyDescent="0.25">
      <c r="A202" s="4">
        <v>45936</v>
      </c>
      <c r="B202" s="4">
        <v>45942</v>
      </c>
      <c r="C202" t="s">
        <v>5466</v>
      </c>
      <c r="D202">
        <f>COUNTIFS('Исходник — лиды'!$H$2:$H$4774,"&gt;="&amp;A202,'Исходник — лиды'!$H$2:$H$4774,"&lt;"&amp;B202+1)</f>
        <v>31</v>
      </c>
      <c r="E202">
        <f>COUNTIFS('Исходник — лиды'!$H$2:$H$4774,"&gt;="&amp;A202,'Исходник — лиды'!$H$2:$H$4774,"&lt;"&amp;B202+1,'Исходник — лиды'!$C$2:$C$4774,"Качественный лид")</f>
        <v>31</v>
      </c>
      <c r="F202">
        <v>81</v>
      </c>
      <c r="G202" s="6">
        <f t="shared" si="3"/>
        <v>1</v>
      </c>
    </row>
    <row r="203" spans="1:7" x14ac:dyDescent="0.25">
      <c r="A203" s="4">
        <v>45943</v>
      </c>
      <c r="B203" s="4">
        <v>45949</v>
      </c>
      <c r="C203" t="s">
        <v>5467</v>
      </c>
      <c r="D203">
        <f>COUNTIFS('Исходник — лиды'!$H$2:$H$4774,"&gt;="&amp;A203,'Исходник — лиды'!$H$2:$H$4774,"&lt;"&amp;B203+1)</f>
        <v>21</v>
      </c>
      <c r="E203">
        <f>COUNTIFS('Исходник — лиды'!$H$2:$H$4774,"&gt;="&amp;A203,'Исходник — лиды'!$H$2:$H$4774,"&lt;"&amp;B203+1,'Исходник — лиды'!$C$2:$C$4774,"Качественный лид")</f>
        <v>21</v>
      </c>
      <c r="F203">
        <v>34</v>
      </c>
      <c r="G203" s="6">
        <f t="shared" si="3"/>
        <v>1</v>
      </c>
    </row>
    <row r="204" spans="1:7" x14ac:dyDescent="0.25">
      <c r="A204" s="4">
        <v>45950</v>
      </c>
      <c r="B204" s="4">
        <v>45956</v>
      </c>
      <c r="C204" t="s">
        <v>5468</v>
      </c>
      <c r="D204">
        <f>COUNTIFS('Исходник — лиды'!$H$2:$H$4774,"&gt;="&amp;A204,'Исходник — лиды'!$H$2:$H$4774,"&lt;"&amp;B204+1)</f>
        <v>11</v>
      </c>
      <c r="E204">
        <f>COUNTIFS('Исходник — лиды'!$H$2:$H$4774,"&gt;="&amp;A204,'Исходник — лиды'!$H$2:$H$4774,"&lt;"&amp;B204+1,'Исходник — лиды'!$C$2:$C$4774,"Качественный лид")</f>
        <v>11</v>
      </c>
      <c r="F204">
        <v>29</v>
      </c>
      <c r="G204" s="6">
        <f t="shared" si="3"/>
        <v>1</v>
      </c>
    </row>
    <row r="205" spans="1:7" x14ac:dyDescent="0.25">
      <c r="A205" s="4">
        <v>45957</v>
      </c>
      <c r="B205" s="4">
        <v>45963</v>
      </c>
      <c r="C205" t="s">
        <v>5469</v>
      </c>
      <c r="D205">
        <f>COUNTIFS('Исходник — лиды'!$H$2:$H$4774,"&gt;="&amp;A205,'Исходник — лиды'!$H$2:$H$4774,"&lt;"&amp;B205+1)</f>
        <v>19</v>
      </c>
      <c r="E205">
        <f>COUNTIFS('Исходник — лиды'!$H$2:$H$4774,"&gt;="&amp;A205,'Исходник — лиды'!$H$2:$H$4774,"&lt;"&amp;B205+1,'Исходник — лиды'!$C$2:$C$4774,"Качественный лид")</f>
        <v>19</v>
      </c>
      <c r="F205">
        <v>65</v>
      </c>
      <c r="G205" s="6">
        <f t="shared" si="3"/>
        <v>1</v>
      </c>
    </row>
    <row r="206" spans="1:7" x14ac:dyDescent="0.25">
      <c r="A206" s="4">
        <v>45964</v>
      </c>
      <c r="B206" s="4">
        <v>45970</v>
      </c>
      <c r="C206" t="s">
        <v>5470</v>
      </c>
      <c r="D206">
        <f>COUNTIFS('Исходник — лиды'!$H$2:$H$4774,"&gt;="&amp;A206,'Исходник — лиды'!$H$2:$H$4774,"&lt;"&amp;B206+1)</f>
        <v>12</v>
      </c>
      <c r="E206">
        <f>COUNTIFS('Исходник — лиды'!$H$2:$H$4774,"&gt;="&amp;A206,'Исходник — лиды'!$H$2:$H$4774,"&lt;"&amp;B206+1,'Исходник — лиды'!$C$2:$C$4774,"Качественный лид")</f>
        <v>12</v>
      </c>
      <c r="F206">
        <v>68</v>
      </c>
      <c r="G206" s="6">
        <f t="shared" si="3"/>
        <v>1</v>
      </c>
    </row>
    <row r="207" spans="1:7" x14ac:dyDescent="0.25">
      <c r="A207" s="4">
        <v>45971</v>
      </c>
      <c r="B207" s="4">
        <v>45977</v>
      </c>
      <c r="C207" t="s">
        <v>5471</v>
      </c>
      <c r="D207">
        <f>COUNTIFS('Исходник — лиды'!$H$2:$H$4774,"&gt;="&amp;A207,'Исходник — лиды'!$H$2:$H$4774,"&lt;"&amp;B207+1)</f>
        <v>27</v>
      </c>
      <c r="E207">
        <f>COUNTIFS('Исходник — лиды'!$H$2:$H$4774,"&gt;="&amp;A207,'Исходник — лиды'!$H$2:$H$4774,"&lt;"&amp;B207+1,'Исходник — лиды'!$C$2:$C$4774,"Качественный лид")</f>
        <v>26</v>
      </c>
      <c r="F207">
        <v>48</v>
      </c>
      <c r="G207" s="6">
        <f t="shared" si="3"/>
        <v>0.96296296296296291</v>
      </c>
    </row>
    <row r="208" spans="1:7" x14ac:dyDescent="0.25">
      <c r="A208" s="4">
        <v>45978</v>
      </c>
      <c r="B208" s="4">
        <v>45984</v>
      </c>
      <c r="C208" t="s">
        <v>5472</v>
      </c>
      <c r="D208">
        <f>COUNTIFS('Исходник — лиды'!$H$2:$H$4774,"&gt;="&amp;A208,'Исходник — лиды'!$H$2:$H$4774,"&lt;"&amp;B208+1)</f>
        <v>32</v>
      </c>
      <c r="E208">
        <f>COUNTIFS('Исходник — лиды'!$H$2:$H$4774,"&gt;="&amp;A208,'Исходник — лиды'!$H$2:$H$4774,"&lt;"&amp;B208+1,'Исходник — лиды'!$C$2:$C$4774,"Качественный лид")</f>
        <v>31</v>
      </c>
      <c r="F208">
        <v>51</v>
      </c>
      <c r="G208" s="6">
        <f t="shared" si="3"/>
        <v>0.96875</v>
      </c>
    </row>
    <row r="209" spans="1:7" x14ac:dyDescent="0.25">
      <c r="A209" s="4">
        <v>45985</v>
      </c>
      <c r="B209" s="4">
        <v>45991</v>
      </c>
      <c r="C209" t="s">
        <v>5473</v>
      </c>
      <c r="D209">
        <f>COUNTIFS('Исходник — лиды'!$H$2:$H$4774,"&gt;="&amp;A209,'Исходник — лиды'!$H$2:$H$4774,"&lt;"&amp;B209+1)</f>
        <v>17</v>
      </c>
      <c r="E209">
        <f>COUNTIFS('Исходник — лиды'!$H$2:$H$4774,"&gt;="&amp;A209,'Исходник — лиды'!$H$2:$H$4774,"&lt;"&amp;B209+1,'Исходник — лиды'!$C$2:$C$4774,"Качественный лид")</f>
        <v>17</v>
      </c>
      <c r="F209">
        <v>34</v>
      </c>
      <c r="G209" s="6">
        <f t="shared" si="3"/>
        <v>1</v>
      </c>
    </row>
    <row r="210" spans="1:7" x14ac:dyDescent="0.25">
      <c r="A210" s="4">
        <v>45992</v>
      </c>
      <c r="B210" s="4">
        <v>45998</v>
      </c>
      <c r="C210" t="s">
        <v>5474</v>
      </c>
      <c r="D210">
        <f>COUNTIFS('Исходник — лиды'!$H$2:$H$4774,"&gt;="&amp;A210,'Исходник — лиды'!$H$2:$H$4774,"&lt;"&amp;B210+1)</f>
        <v>20</v>
      </c>
      <c r="E210">
        <f>COUNTIFS('Исходник — лиды'!$H$2:$H$4774,"&gt;="&amp;A210,'Исходник — лиды'!$H$2:$H$4774,"&lt;"&amp;B210+1,'Исходник — лиды'!$C$2:$C$4774,"Качественный лид")</f>
        <v>20</v>
      </c>
      <c r="F210">
        <v>37</v>
      </c>
      <c r="G210" s="6">
        <f t="shared" si="3"/>
        <v>1</v>
      </c>
    </row>
    <row r="211" spans="1:7" x14ac:dyDescent="0.25">
      <c r="A211" s="4">
        <v>45999</v>
      </c>
      <c r="B211" s="4">
        <v>46005</v>
      </c>
      <c r="C211" t="s">
        <v>5475</v>
      </c>
      <c r="D211">
        <f>COUNTIFS('Исходник — лиды'!$H$2:$H$4774,"&gt;="&amp;A211,'Исходник — лиды'!$H$2:$H$4774,"&lt;"&amp;B211+1)</f>
        <v>20</v>
      </c>
      <c r="E211">
        <f>COUNTIFS('Исходник — лиды'!$H$2:$H$4774,"&gt;="&amp;A211,'Исходник — лиды'!$H$2:$H$4774,"&lt;"&amp;B211+1,'Исходник — лиды'!$C$2:$C$4774,"Качественный лид")</f>
        <v>20</v>
      </c>
      <c r="F211">
        <v>45</v>
      </c>
      <c r="G211" s="6">
        <f t="shared" si="3"/>
        <v>1</v>
      </c>
    </row>
    <row r="212" spans="1:7" x14ac:dyDescent="0.25">
      <c r="A212" s="4">
        <v>46006</v>
      </c>
      <c r="B212" s="4">
        <v>46012</v>
      </c>
      <c r="C212" t="s">
        <v>5476</v>
      </c>
      <c r="D212">
        <f>COUNTIFS('Исходник — лиды'!$H$2:$H$4774,"&gt;="&amp;A212,'Исходник — лиды'!$H$2:$H$4774,"&lt;"&amp;B212+1)</f>
        <v>14</v>
      </c>
      <c r="E212">
        <f>COUNTIFS('Исходник — лиды'!$H$2:$H$4774,"&gt;="&amp;A212,'Исходник — лиды'!$H$2:$H$4774,"&lt;"&amp;B212+1,'Исходник — лиды'!$C$2:$C$4774,"Качественный лид")</f>
        <v>14</v>
      </c>
      <c r="F212">
        <v>22</v>
      </c>
      <c r="G212" s="6">
        <f t="shared" si="3"/>
        <v>1</v>
      </c>
    </row>
    <row r="213" spans="1:7" x14ac:dyDescent="0.25">
      <c r="A213" s="4">
        <v>46013</v>
      </c>
      <c r="B213" s="4">
        <v>46019</v>
      </c>
      <c r="C213" t="s">
        <v>5477</v>
      </c>
      <c r="D213">
        <f>COUNTIFS('Исходник — лиды'!$H$2:$H$4774,"&gt;="&amp;A213,'Исходник — лиды'!$H$2:$H$4774,"&lt;"&amp;B213+1)</f>
        <v>12</v>
      </c>
      <c r="E213">
        <f>COUNTIFS('Исходник — лиды'!$H$2:$H$4774,"&gt;="&amp;A213,'Исходник — лиды'!$H$2:$H$4774,"&lt;"&amp;B213+1,'Исходник — лиды'!$C$2:$C$4774,"Качественный лид")</f>
        <v>12</v>
      </c>
      <c r="F213">
        <v>22</v>
      </c>
      <c r="G213" s="6">
        <f t="shared" si="3"/>
        <v>1</v>
      </c>
    </row>
    <row r="214" spans="1:7" x14ac:dyDescent="0.25">
      <c r="A214" s="4">
        <v>46020</v>
      </c>
      <c r="B214" s="4">
        <v>46026</v>
      </c>
      <c r="C214" t="s">
        <v>5478</v>
      </c>
      <c r="D214">
        <f>COUNTIFS('Исходник — лиды'!$H$2:$H$4774,"&gt;="&amp;A214,'Исходник — лиды'!$H$2:$H$4774,"&lt;"&amp;B214+1)</f>
        <v>2</v>
      </c>
      <c r="E214">
        <f>COUNTIFS('Исходник — лиды'!$H$2:$H$4774,"&gt;="&amp;A214,'Исходник — лиды'!$H$2:$H$4774,"&lt;"&amp;B214+1,'Исходник — лиды'!$C$2:$C$4774,"Качественный лид")</f>
        <v>2</v>
      </c>
      <c r="F214">
        <v>23</v>
      </c>
      <c r="G214" s="6">
        <f t="shared" si="3"/>
        <v>1</v>
      </c>
    </row>
    <row r="215" spans="1:7" x14ac:dyDescent="0.25">
      <c r="A215" s="4">
        <v>46027</v>
      </c>
      <c r="B215" s="4">
        <v>46033</v>
      </c>
      <c r="C215" t="s">
        <v>5479</v>
      </c>
      <c r="D215">
        <f>COUNTIFS('Исходник — лиды'!$H$2:$H$4774,"&gt;="&amp;A215,'Исходник — лиды'!$H$2:$H$4774,"&lt;"&amp;B215+1)</f>
        <v>13</v>
      </c>
      <c r="E215">
        <f>COUNTIFS('Исходник — лиды'!$H$2:$H$4774,"&gt;="&amp;A215,'Исходник — лиды'!$H$2:$H$4774,"&lt;"&amp;B215+1,'Исходник — лиды'!$C$2:$C$4774,"Качественный лид")</f>
        <v>13</v>
      </c>
      <c r="F215">
        <v>23</v>
      </c>
      <c r="G215" s="6">
        <f t="shared" si="3"/>
        <v>1</v>
      </c>
    </row>
    <row r="216" spans="1:7" x14ac:dyDescent="0.25">
      <c r="A216" s="4">
        <v>46034</v>
      </c>
      <c r="B216" s="4">
        <v>46040</v>
      </c>
      <c r="C216" t="s">
        <v>5480</v>
      </c>
      <c r="D216">
        <f>COUNTIFS('Исходник — лиды'!$H$2:$H$4774,"&gt;="&amp;A216,'Исходник — лиды'!$H$2:$H$4774,"&lt;"&amp;B216+1)</f>
        <v>20</v>
      </c>
      <c r="E216">
        <f>COUNTIFS('Исходник — лиды'!$H$2:$H$4774,"&gt;="&amp;A216,'Исходник — лиды'!$H$2:$H$4774,"&lt;"&amp;B216+1,'Исходник — лиды'!$C$2:$C$4774,"Качественный лид")</f>
        <v>20</v>
      </c>
      <c r="F216">
        <v>20</v>
      </c>
      <c r="G216" s="6">
        <f t="shared" si="3"/>
        <v>1</v>
      </c>
    </row>
    <row r="217" spans="1:7" x14ac:dyDescent="0.25">
      <c r="A217" s="4">
        <v>46041</v>
      </c>
      <c r="B217" s="4">
        <v>46047</v>
      </c>
      <c r="C217" t="s">
        <v>5481</v>
      </c>
      <c r="D217">
        <f>COUNTIFS('Исходник — лиды'!$H$2:$H$4774,"&gt;="&amp;A217,'Исходник — лиды'!$H$2:$H$4774,"&lt;"&amp;B217+1)</f>
        <v>9</v>
      </c>
      <c r="E217">
        <f>COUNTIFS('Исходник — лиды'!$H$2:$H$4774,"&gt;="&amp;A217,'Исходник — лиды'!$H$2:$H$4774,"&lt;"&amp;B217+1,'Исходник — лиды'!$C$2:$C$4774,"Качественный лид")</f>
        <v>9</v>
      </c>
      <c r="F217">
        <v>37</v>
      </c>
      <c r="G217" s="6">
        <f t="shared" si="3"/>
        <v>1</v>
      </c>
    </row>
    <row r="218" spans="1:7" x14ac:dyDescent="0.25">
      <c r="A218" s="4">
        <v>46048</v>
      </c>
      <c r="B218" s="4">
        <v>46054</v>
      </c>
      <c r="C218" t="s">
        <v>5482</v>
      </c>
      <c r="D218">
        <f>COUNTIFS('Исходник — лиды'!$H$2:$H$4774,"&gt;="&amp;A218,'Исходник — лиды'!$H$2:$H$4774,"&lt;"&amp;B218+1)</f>
        <v>13</v>
      </c>
      <c r="E218">
        <f>COUNTIFS('Исходник — лиды'!$H$2:$H$4774,"&gt;="&amp;A218,'Исходник — лиды'!$H$2:$H$4774,"&lt;"&amp;B218+1,'Исходник — лиды'!$C$2:$C$4774,"Качественный лид")</f>
        <v>13</v>
      </c>
      <c r="F218">
        <v>39</v>
      </c>
      <c r="G218" s="6">
        <f t="shared" si="3"/>
        <v>1</v>
      </c>
    </row>
    <row r="219" spans="1:7" x14ac:dyDescent="0.25">
      <c r="A219" s="4">
        <v>46055</v>
      </c>
      <c r="B219" s="4">
        <v>46061</v>
      </c>
      <c r="C219" t="s">
        <v>5483</v>
      </c>
      <c r="D219">
        <f>COUNTIFS('Исходник — лиды'!$H$2:$H$4774,"&gt;="&amp;A219,'Исходник — лиды'!$H$2:$H$4774,"&lt;"&amp;B219+1)</f>
        <v>12</v>
      </c>
      <c r="E219">
        <f>COUNTIFS('Исходник — лиды'!$H$2:$H$4774,"&gt;="&amp;A219,'Исходник — лиды'!$H$2:$H$4774,"&lt;"&amp;B219+1,'Исходник — лиды'!$C$2:$C$4774,"Качественный лид")</f>
        <v>12</v>
      </c>
      <c r="F219">
        <v>42</v>
      </c>
      <c r="G219" s="6">
        <f t="shared" si="3"/>
        <v>1</v>
      </c>
    </row>
    <row r="220" spans="1:7" x14ac:dyDescent="0.25">
      <c r="A220" s="4">
        <v>46062</v>
      </c>
      <c r="B220" s="4">
        <v>46068</v>
      </c>
      <c r="C220" t="s">
        <v>5484</v>
      </c>
      <c r="D220">
        <f>COUNTIFS('Исходник — лиды'!$H$2:$H$4774,"&gt;="&amp;A220,'Исходник — лиды'!$H$2:$H$4774,"&lt;"&amp;B220+1)</f>
        <v>12</v>
      </c>
      <c r="E220">
        <f>COUNTIFS('Исходник — лиды'!$H$2:$H$4774,"&gt;="&amp;A220,'Исходник — лиды'!$H$2:$H$4774,"&lt;"&amp;B220+1,'Исходник — лиды'!$C$2:$C$4774,"Качественный лид")</f>
        <v>12</v>
      </c>
      <c r="F220">
        <v>33</v>
      </c>
      <c r="G220" s="6">
        <f t="shared" si="3"/>
        <v>1</v>
      </c>
    </row>
    <row r="221" spans="1:7" x14ac:dyDescent="0.25">
      <c r="A221" s="4">
        <v>46069</v>
      </c>
      <c r="B221" s="4">
        <v>46075</v>
      </c>
      <c r="C221" t="s">
        <v>5485</v>
      </c>
      <c r="D221">
        <f>COUNTIFS('Исходник — лиды'!$H$2:$H$4774,"&gt;="&amp;A221,'Исходник — лиды'!$H$2:$H$4774,"&lt;"&amp;B221+1)</f>
        <v>25</v>
      </c>
      <c r="E221">
        <f>COUNTIFS('Исходник — лиды'!$H$2:$H$4774,"&gt;="&amp;A221,'Исходник — лиды'!$H$2:$H$4774,"&lt;"&amp;B221+1,'Исходник — лиды'!$C$2:$C$4774,"Качественный лид")</f>
        <v>23</v>
      </c>
      <c r="F221">
        <v>28</v>
      </c>
      <c r="G221" s="6">
        <f t="shared" si="3"/>
        <v>0.92</v>
      </c>
    </row>
    <row r="222" spans="1:7" x14ac:dyDescent="0.25">
      <c r="A222" s="4">
        <v>46076</v>
      </c>
      <c r="B222" s="4">
        <v>46082</v>
      </c>
      <c r="C222" t="s">
        <v>5486</v>
      </c>
      <c r="D222">
        <f>COUNTIFS('Исходник — лиды'!$H$2:$H$4774,"&gt;="&amp;A222,'Исходник — лиды'!$H$2:$H$4774,"&lt;"&amp;B222+1)</f>
        <v>23</v>
      </c>
      <c r="E222">
        <f>COUNTIFS('Исходник — лиды'!$H$2:$H$4774,"&gt;="&amp;A222,'Исходник — лиды'!$H$2:$H$4774,"&lt;"&amp;B222+1,'Исходник — лиды'!$C$2:$C$4774,"Качественный лид")</f>
        <v>22</v>
      </c>
      <c r="F222">
        <v>35</v>
      </c>
      <c r="G222" s="6">
        <f t="shared" si="3"/>
        <v>0.95652173913043481</v>
      </c>
    </row>
    <row r="223" spans="1:7" x14ac:dyDescent="0.25">
      <c r="A223" s="4">
        <v>46083</v>
      </c>
      <c r="B223" s="4">
        <v>46089</v>
      </c>
      <c r="C223" t="s">
        <v>5487</v>
      </c>
      <c r="D223">
        <f>COUNTIFS('Исходник — лиды'!$H$2:$H$4774,"&gt;="&amp;A223,'Исходник — лиды'!$H$2:$H$4774,"&lt;"&amp;B223+1)</f>
        <v>21</v>
      </c>
      <c r="E223">
        <f>COUNTIFS('Исходник — лиды'!$H$2:$H$4774,"&gt;="&amp;A223,'Исходник — лиды'!$H$2:$H$4774,"&lt;"&amp;B223+1,'Исходник — лиды'!$C$2:$C$4774,"Качественный лид")</f>
        <v>20</v>
      </c>
      <c r="F223">
        <v>31</v>
      </c>
      <c r="G223" s="6">
        <f t="shared" si="3"/>
        <v>0.95238095238095233</v>
      </c>
    </row>
    <row r="224" spans="1:7" x14ac:dyDescent="0.25">
      <c r="A224" s="4">
        <v>46090</v>
      </c>
      <c r="B224" s="4">
        <v>46096</v>
      </c>
      <c r="C224" t="s">
        <v>5488</v>
      </c>
      <c r="D224">
        <f>COUNTIFS('Исходник — лиды'!$H$2:$H$4774,"&gt;="&amp;A224,'Исходник — лиды'!$H$2:$H$4774,"&lt;"&amp;B224+1)</f>
        <v>30</v>
      </c>
      <c r="E224">
        <f>COUNTIFS('Исходник — лиды'!$H$2:$H$4774,"&gt;="&amp;A224,'Исходник — лиды'!$H$2:$H$4774,"&lt;"&amp;B224+1,'Исходник — лиды'!$C$2:$C$4774,"Качественный лид")</f>
        <v>29</v>
      </c>
      <c r="F224">
        <v>30</v>
      </c>
      <c r="G224" s="6">
        <f t="shared" si="3"/>
        <v>0.96666666666666667</v>
      </c>
    </row>
    <row r="225" spans="1:7" x14ac:dyDescent="0.25">
      <c r="A225" s="4">
        <v>46097</v>
      </c>
      <c r="B225" s="4">
        <v>46103</v>
      </c>
      <c r="C225" t="s">
        <v>5489</v>
      </c>
      <c r="D225">
        <f>COUNTIFS('Исходник — лиды'!$H$2:$H$4774,"&gt;="&amp;A225,'Исходник — лиды'!$H$2:$H$4774,"&lt;"&amp;B225+1)</f>
        <v>25</v>
      </c>
      <c r="E225">
        <f>COUNTIFS('Исходник — лиды'!$H$2:$H$4774,"&gt;="&amp;A225,'Исходник — лиды'!$H$2:$H$4774,"&lt;"&amp;B225+1,'Исходник — лиды'!$C$2:$C$4774,"Качественный лид")</f>
        <v>25</v>
      </c>
      <c r="F225">
        <v>56</v>
      </c>
      <c r="G225" s="6">
        <f t="shared" si="3"/>
        <v>1</v>
      </c>
    </row>
    <row r="226" spans="1:7" x14ac:dyDescent="0.25">
      <c r="A226" s="4">
        <v>46104</v>
      </c>
      <c r="B226" s="4">
        <v>46110</v>
      </c>
      <c r="C226" t="s">
        <v>5490</v>
      </c>
      <c r="D226">
        <f>COUNTIFS('Исходник — лиды'!$H$2:$H$4774,"&gt;="&amp;A226,'Исходник — лиды'!$H$2:$H$4774,"&lt;"&amp;B226+1)</f>
        <v>23</v>
      </c>
      <c r="E226">
        <f>COUNTIFS('Исходник — лиды'!$H$2:$H$4774,"&gt;="&amp;A226,'Исходник — лиды'!$H$2:$H$4774,"&lt;"&amp;B226+1,'Исходник — лиды'!$C$2:$C$4774,"Качественный лид")</f>
        <v>23</v>
      </c>
      <c r="F226">
        <v>43</v>
      </c>
      <c r="G226" s="6">
        <f t="shared" si="3"/>
        <v>1</v>
      </c>
    </row>
    <row r="227" spans="1:7" x14ac:dyDescent="0.25">
      <c r="A227" s="4">
        <v>46111</v>
      </c>
      <c r="B227" s="4">
        <v>46117</v>
      </c>
      <c r="C227" t="s">
        <v>5491</v>
      </c>
      <c r="D227">
        <f>COUNTIFS('Исходник — лиды'!$H$2:$H$4774,"&gt;="&amp;A227,'Исходник — лиды'!$H$2:$H$4774,"&lt;"&amp;B227+1)</f>
        <v>24</v>
      </c>
      <c r="E227">
        <f>COUNTIFS('Исходник — лиды'!$H$2:$H$4774,"&gt;="&amp;A227,'Исходник — лиды'!$H$2:$H$4774,"&lt;"&amp;B227+1,'Исходник — лиды'!$C$2:$C$4774,"Качественный лид")</f>
        <v>23</v>
      </c>
      <c r="F227">
        <v>87</v>
      </c>
      <c r="G227" s="6">
        <f t="shared" si="3"/>
        <v>0.95833333333333337</v>
      </c>
    </row>
    <row r="228" spans="1:7" x14ac:dyDescent="0.25">
      <c r="A228" s="4">
        <v>46118</v>
      </c>
      <c r="B228" s="4">
        <v>46124</v>
      </c>
      <c r="C228" t="s">
        <v>5492</v>
      </c>
      <c r="D228">
        <f>COUNTIFS('Исходник — лиды'!$H$2:$H$4774,"&gt;="&amp;A228,'Исходник — лиды'!$H$2:$H$4774,"&lt;"&amp;B228+1)</f>
        <v>28</v>
      </c>
      <c r="E228">
        <f>COUNTIFS('Исходник — лиды'!$H$2:$H$4774,"&gt;="&amp;A228,'Исходник — лиды'!$H$2:$H$4774,"&lt;"&amp;B228+1,'Исходник — лиды'!$C$2:$C$4774,"Качественный лид")</f>
        <v>27</v>
      </c>
      <c r="F228">
        <v>60</v>
      </c>
      <c r="G228" s="6">
        <f t="shared" si="3"/>
        <v>0.9642857142857143</v>
      </c>
    </row>
    <row r="229" spans="1:7" x14ac:dyDescent="0.25">
      <c r="A229" s="4">
        <v>46125</v>
      </c>
      <c r="B229" s="4">
        <v>46131</v>
      </c>
      <c r="C229" t="s">
        <v>5493</v>
      </c>
      <c r="D229">
        <f>COUNTIFS('Исходник — лиды'!$H$2:$H$4774,"&gt;="&amp;A229,'Исходник — лиды'!$H$2:$H$4774,"&lt;"&amp;B229+1)</f>
        <v>23</v>
      </c>
      <c r="E229">
        <f>COUNTIFS('Исходник — лиды'!$H$2:$H$4774,"&gt;="&amp;A229,'Исходник — лиды'!$H$2:$H$4774,"&lt;"&amp;B229+1,'Исходник — лиды'!$C$2:$C$4774,"Качественный лид")</f>
        <v>23</v>
      </c>
      <c r="F229">
        <v>56</v>
      </c>
      <c r="G229" s="6">
        <f t="shared" si="3"/>
        <v>1</v>
      </c>
    </row>
    <row r="230" spans="1:7" x14ac:dyDescent="0.25">
      <c r="A230" s="4">
        <v>46132</v>
      </c>
      <c r="B230" s="4">
        <v>46138</v>
      </c>
      <c r="C230" t="s">
        <v>5494</v>
      </c>
      <c r="D230">
        <f>COUNTIFS('Исходник — лиды'!$H$2:$H$4774,"&gt;="&amp;A230,'Исходник — лиды'!$H$2:$H$4774,"&lt;"&amp;B230+1)</f>
        <v>22</v>
      </c>
      <c r="E230">
        <f>COUNTIFS('Исходник — лиды'!$H$2:$H$4774,"&gt;="&amp;A230,'Исходник — лиды'!$H$2:$H$4774,"&lt;"&amp;B230+1,'Исходник — лиды'!$C$2:$C$4774,"Качественный лид")</f>
        <v>22</v>
      </c>
      <c r="F230">
        <v>83</v>
      </c>
      <c r="G230" s="6">
        <f t="shared" si="3"/>
        <v>1</v>
      </c>
    </row>
    <row r="231" spans="1:7" x14ac:dyDescent="0.25">
      <c r="A231" s="4">
        <v>46139</v>
      </c>
      <c r="B231" s="4">
        <v>46145</v>
      </c>
      <c r="C231" t="s">
        <v>5495</v>
      </c>
      <c r="D231">
        <f>COUNTIFS('Исходник — лиды'!$H$2:$H$4774,"&gt;="&amp;A231,'Исходник — лиды'!$H$2:$H$4774,"&lt;"&amp;B231+1)</f>
        <v>19</v>
      </c>
      <c r="E231">
        <f>COUNTIFS('Исходник — лиды'!$H$2:$H$4774,"&gt;="&amp;A231,'Исходник — лиды'!$H$2:$H$4774,"&lt;"&amp;B231+1,'Исходник — лиды'!$C$2:$C$4774,"Качественный лид")</f>
        <v>18</v>
      </c>
      <c r="F231">
        <v>78</v>
      </c>
      <c r="G231" s="6">
        <f t="shared" si="3"/>
        <v>0.94736842105263153</v>
      </c>
    </row>
    <row r="232" spans="1:7" x14ac:dyDescent="0.25">
      <c r="A232" s="4">
        <v>46146</v>
      </c>
      <c r="B232" s="4">
        <v>46152</v>
      </c>
      <c r="C232" t="s">
        <v>5496</v>
      </c>
      <c r="D232">
        <f>COUNTIFS('Исходник — лиды'!$H$2:$H$4774,"&gt;="&amp;A232,'Исходник — лиды'!$H$2:$H$4774,"&lt;"&amp;B232+1)</f>
        <v>21</v>
      </c>
      <c r="E232">
        <f>COUNTIFS('Исходник — лиды'!$H$2:$H$4774,"&gt;="&amp;A232,'Исходник — лиды'!$H$2:$H$4774,"&lt;"&amp;B232+1,'Исходник — лиды'!$C$2:$C$4774,"Качественный лид")</f>
        <v>21</v>
      </c>
      <c r="F232">
        <v>64</v>
      </c>
      <c r="G232" s="6">
        <f t="shared" si="3"/>
        <v>1</v>
      </c>
    </row>
    <row r="233" spans="1:7" x14ac:dyDescent="0.25">
      <c r="A233" s="4">
        <v>46153</v>
      </c>
      <c r="B233" s="4">
        <v>46159</v>
      </c>
      <c r="C233" t="s">
        <v>5497</v>
      </c>
      <c r="D233">
        <f>COUNTIFS('Исходник — лиды'!$H$2:$H$4774,"&gt;="&amp;A233,'Исходник — лиды'!$H$2:$H$4774,"&lt;"&amp;B233+1)</f>
        <v>22</v>
      </c>
      <c r="E233">
        <f>COUNTIFS('Исходник — лиды'!$H$2:$H$4774,"&gt;="&amp;A233,'Исходник — лиды'!$H$2:$H$4774,"&lt;"&amp;B233+1,'Исходник — лиды'!$C$2:$C$4774,"Качественный лид")</f>
        <v>20</v>
      </c>
      <c r="F233">
        <v>71</v>
      </c>
      <c r="G233" s="6">
        <f t="shared" si="3"/>
        <v>0.90909090909090906</v>
      </c>
    </row>
    <row r="234" spans="1:7" x14ac:dyDescent="0.25">
      <c r="A234" s="4">
        <v>46160</v>
      </c>
      <c r="B234" s="4">
        <v>46166</v>
      </c>
      <c r="C234" t="s">
        <v>5498</v>
      </c>
      <c r="D234">
        <f>COUNTIFS('Исходник — лиды'!$H$2:$H$4774,"&gt;="&amp;A234,'Исходник — лиды'!$H$2:$H$4774,"&lt;"&amp;B234+1)</f>
        <v>32</v>
      </c>
      <c r="E234">
        <f>COUNTIFS('Исходник — лиды'!$H$2:$H$4774,"&gt;="&amp;A234,'Исходник — лиды'!$H$2:$H$4774,"&lt;"&amp;B234+1,'Исходник — лиды'!$C$2:$C$4774,"Качественный лид")</f>
        <v>31</v>
      </c>
      <c r="F234">
        <v>89</v>
      </c>
      <c r="G234" s="6">
        <f t="shared" si="3"/>
        <v>0.96875</v>
      </c>
    </row>
    <row r="235" spans="1:7" x14ac:dyDescent="0.25">
      <c r="A235" s="4">
        <v>46167</v>
      </c>
      <c r="B235" s="4">
        <v>46173</v>
      </c>
      <c r="C235" t="s">
        <v>5499</v>
      </c>
      <c r="D235">
        <f>COUNTIFS('Исходник — лиды'!$H$2:$H$4774,"&gt;="&amp;A235,'Исходник — лиды'!$H$2:$H$4774,"&lt;"&amp;B235+1)</f>
        <v>36</v>
      </c>
      <c r="E235">
        <f>COUNTIFS('Исходник — лиды'!$H$2:$H$4774,"&gt;="&amp;A235,'Исходник — лиды'!$H$2:$H$4774,"&lt;"&amp;B235+1,'Исходник — лиды'!$C$2:$C$4774,"Качественный лид")</f>
        <v>32</v>
      </c>
      <c r="F235">
        <v>62</v>
      </c>
      <c r="G235" s="6">
        <f t="shared" si="3"/>
        <v>0.88888888888888884</v>
      </c>
    </row>
    <row r="236" spans="1:7" x14ac:dyDescent="0.25">
      <c r="A236" s="4">
        <v>46174</v>
      </c>
      <c r="B236" s="4">
        <v>46180</v>
      </c>
      <c r="C236" t="s">
        <v>5500</v>
      </c>
      <c r="D236">
        <f>COUNTIFS('Исходник — лиды'!$H$2:$H$4774,"&gt;="&amp;A236,'Исходник — лиды'!$H$2:$H$4774,"&lt;"&amp;B236+1)</f>
        <v>44</v>
      </c>
      <c r="E236">
        <f>COUNTIFS('Исходник — лиды'!$H$2:$H$4774,"&gt;="&amp;A236,'Исходник — лиды'!$H$2:$H$4774,"&lt;"&amp;B236+1,'Исходник — лиды'!$C$2:$C$4774,"Качественный лид")</f>
        <v>34</v>
      </c>
      <c r="F236">
        <v>89</v>
      </c>
      <c r="G236" s="6">
        <f t="shared" si="3"/>
        <v>0.77272727272727271</v>
      </c>
    </row>
    <row r="237" spans="1:7" x14ac:dyDescent="0.25">
      <c r="A237" s="4">
        <v>46181</v>
      </c>
      <c r="B237" s="4">
        <v>46187</v>
      </c>
      <c r="C237" t="s">
        <v>5501</v>
      </c>
      <c r="D237">
        <f>COUNTIFS('Исходник — лиды'!$H$2:$H$4774,"&gt;="&amp;A237,'Исходник — лиды'!$H$2:$H$4774,"&lt;"&amp;B237+1)</f>
        <v>23</v>
      </c>
      <c r="E237">
        <f>COUNTIFS('Исходник — лиды'!$H$2:$H$4774,"&gt;="&amp;A237,'Исходник — лиды'!$H$2:$H$4774,"&lt;"&amp;B237+1,'Исходник — лиды'!$C$2:$C$4774,"Качественный лид")</f>
        <v>22</v>
      </c>
      <c r="F237">
        <v>61</v>
      </c>
      <c r="G237" s="6">
        <f t="shared" si="3"/>
        <v>0.95652173913043481</v>
      </c>
    </row>
    <row r="238" spans="1:7" x14ac:dyDescent="0.25">
      <c r="A238" s="4">
        <v>46188</v>
      </c>
      <c r="B238" s="4">
        <v>46194</v>
      </c>
      <c r="C238" t="s">
        <v>5502</v>
      </c>
      <c r="D238">
        <f>COUNTIFS('Исходник — лиды'!$H$2:$H$4774,"&gt;="&amp;A238,'Исходник — лиды'!$H$2:$H$4774,"&lt;"&amp;B238+1)</f>
        <v>47</v>
      </c>
      <c r="E238">
        <f>COUNTIFS('Исходник — лиды'!$H$2:$H$4774,"&gt;="&amp;A238,'Исходник — лиды'!$H$2:$H$4774,"&lt;"&amp;B238+1,'Исходник — лиды'!$C$2:$C$4774,"Качественный лид")</f>
        <v>43</v>
      </c>
      <c r="F238">
        <v>53</v>
      </c>
      <c r="G238" s="6">
        <f t="shared" si="3"/>
        <v>0.91489361702127658</v>
      </c>
    </row>
    <row r="239" spans="1:7" x14ac:dyDescent="0.25">
      <c r="A239" s="4">
        <v>46195</v>
      </c>
      <c r="B239" s="4">
        <v>46201</v>
      </c>
      <c r="C239" t="s">
        <v>5503</v>
      </c>
      <c r="D239">
        <f>COUNTIFS('Исходник — лиды'!$H$2:$H$4774,"&gt;="&amp;A239,'Исходник — лиды'!$H$2:$H$4774,"&lt;"&amp;B239+1)</f>
        <v>27</v>
      </c>
      <c r="E239">
        <f>COUNTIFS('Исходник — лиды'!$H$2:$H$4774,"&gt;="&amp;A239,'Исходник — лиды'!$H$2:$H$4774,"&lt;"&amp;B239+1,'Исходник — лиды'!$C$2:$C$4774,"Качественный лид")</f>
        <v>25</v>
      </c>
      <c r="F239">
        <v>39</v>
      </c>
      <c r="G239" s="6">
        <f t="shared" si="3"/>
        <v>0.92592592592592593</v>
      </c>
    </row>
    <row r="240" spans="1:7" x14ac:dyDescent="0.25">
      <c r="A240" s="4">
        <v>46202</v>
      </c>
      <c r="B240" s="4">
        <v>46208</v>
      </c>
      <c r="C240" t="s">
        <v>5504</v>
      </c>
      <c r="D240">
        <f>COUNTIFS('Исходник — лиды'!$H$2:$H$4774,"&gt;="&amp;A240,'Исходник — лиды'!$H$2:$H$4774,"&lt;"&amp;B240+1)</f>
        <v>25</v>
      </c>
      <c r="E240">
        <f>COUNTIFS('Исходник — лиды'!$H$2:$H$4774,"&gt;="&amp;A240,'Исходник — лиды'!$H$2:$H$4774,"&lt;"&amp;B240+1,'Исходник — лиды'!$C$2:$C$4774,"Качественный лид")</f>
        <v>23</v>
      </c>
      <c r="F240">
        <v>52</v>
      </c>
      <c r="G240" s="6">
        <f t="shared" si="3"/>
        <v>0.92</v>
      </c>
    </row>
    <row r="241" spans="1:7" x14ac:dyDescent="0.25">
      <c r="A241" s="4">
        <v>46209</v>
      </c>
      <c r="B241" s="4">
        <v>46215</v>
      </c>
      <c r="C241" t="s">
        <v>5505</v>
      </c>
      <c r="D241">
        <f>COUNTIFS('Исходник — лиды'!$H$2:$H$4774,"&gt;="&amp;A241,'Исходник — лиды'!$H$2:$H$4774,"&lt;"&amp;B241+1)</f>
        <v>30</v>
      </c>
      <c r="E241">
        <f>COUNTIFS('Исходник — лиды'!$H$2:$H$4774,"&gt;="&amp;A241,'Исходник — лиды'!$H$2:$H$4774,"&lt;"&amp;B241+1,'Исходник — лиды'!$C$2:$C$4774,"Качественный лид")</f>
        <v>27</v>
      </c>
      <c r="F241">
        <v>85</v>
      </c>
      <c r="G241" s="6">
        <f t="shared" si="3"/>
        <v>0.9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4774"/>
  <sheetViews>
    <sheetView workbookViewId="0"/>
  </sheetViews>
  <sheetFormatPr defaultRowHeight="15" x14ac:dyDescent="0.25"/>
  <cols>
    <col min="1" max="3" width="28.7109375" customWidth="1"/>
    <col min="4" max="4" width="14.28515625" bestFit="1" customWidth="1"/>
    <col min="5" max="5" width="28.7109375" customWidth="1"/>
    <col min="6" max="6" width="11.5703125" bestFit="1" customWidth="1"/>
    <col min="7" max="7" width="21.425781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20.140625" bestFit="1" customWidth="1"/>
    <col min="14" max="14" width="15.140625" bestFit="1" customWidth="1"/>
    <col min="15" max="15" width="28.7109375" customWidth="1"/>
    <col min="16" max="16" width="25.85546875" bestFit="1" customWidth="1"/>
    <col min="17" max="17" width="16.5703125" bestFit="1" customWidth="1"/>
    <col min="18" max="18" width="18.7109375" bestFit="1" customWidth="1"/>
    <col min="19" max="19" width="16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26</v>
      </c>
      <c r="B2" t="s">
        <v>27</v>
      </c>
      <c r="C2" t="s">
        <v>28</v>
      </c>
      <c r="H2" s="2">
        <v>46222.864178240743</v>
      </c>
      <c r="I2" t="s">
        <v>29</v>
      </c>
      <c r="Z2">
        <v>114236</v>
      </c>
    </row>
    <row r="3" spans="1:26" x14ac:dyDescent="0.25">
      <c r="A3" t="s">
        <v>30</v>
      </c>
      <c r="B3" t="s">
        <v>27</v>
      </c>
      <c r="C3" t="s">
        <v>28</v>
      </c>
      <c r="H3" s="2">
        <v>46222.6015625</v>
      </c>
      <c r="I3" t="s">
        <v>31</v>
      </c>
      <c r="Z3">
        <v>114227</v>
      </c>
    </row>
    <row r="4" spans="1:26" x14ac:dyDescent="0.25">
      <c r="A4" t="s">
        <v>32</v>
      </c>
      <c r="B4" t="s">
        <v>27</v>
      </c>
      <c r="C4" t="s">
        <v>28</v>
      </c>
      <c r="H4" s="2">
        <v>46222.423877314817</v>
      </c>
      <c r="I4" t="s">
        <v>31</v>
      </c>
      <c r="Z4">
        <v>114223</v>
      </c>
    </row>
    <row r="5" spans="1:26" x14ac:dyDescent="0.25">
      <c r="A5" t="s">
        <v>33</v>
      </c>
      <c r="B5" t="s">
        <v>27</v>
      </c>
      <c r="C5" t="s">
        <v>28</v>
      </c>
      <c r="H5" s="2">
        <v>46221.782268518517</v>
      </c>
      <c r="I5" t="s">
        <v>31</v>
      </c>
      <c r="K5" t="s">
        <v>34</v>
      </c>
      <c r="L5" t="s">
        <v>35</v>
      </c>
      <c r="M5">
        <v>708209804</v>
      </c>
      <c r="N5">
        <v>17657889986</v>
      </c>
      <c r="O5" t="s">
        <v>36</v>
      </c>
      <c r="P5" t="s">
        <v>37</v>
      </c>
      <c r="R5">
        <v>1.78438576963087E+18</v>
      </c>
      <c r="S5" t="s">
        <v>38</v>
      </c>
      <c r="T5" t="s">
        <v>34</v>
      </c>
      <c r="U5" t="s">
        <v>35</v>
      </c>
      <c r="V5">
        <v>708209804</v>
      </c>
      <c r="W5">
        <v>17657889986</v>
      </c>
      <c r="X5" t="s">
        <v>36</v>
      </c>
      <c r="Y5">
        <v>78</v>
      </c>
      <c r="Z5">
        <v>114216</v>
      </c>
    </row>
    <row r="6" spans="1:26" x14ac:dyDescent="0.25">
      <c r="A6" t="s">
        <v>39</v>
      </c>
      <c r="B6" t="s">
        <v>27</v>
      </c>
      <c r="C6" t="s">
        <v>28</v>
      </c>
      <c r="H6" s="2">
        <v>46221.711342592593</v>
      </c>
      <c r="I6" t="s">
        <v>31</v>
      </c>
      <c r="K6" t="s">
        <v>40</v>
      </c>
      <c r="L6" t="s">
        <v>41</v>
      </c>
      <c r="M6" t="s">
        <v>42</v>
      </c>
      <c r="N6" t="s">
        <v>42</v>
      </c>
      <c r="O6" t="s">
        <v>42</v>
      </c>
      <c r="P6" t="s">
        <v>43</v>
      </c>
      <c r="R6">
        <v>1.7843031099750598E+17</v>
      </c>
      <c r="S6" t="s">
        <v>38</v>
      </c>
      <c r="T6" t="s">
        <v>40</v>
      </c>
      <c r="U6" t="s">
        <v>41</v>
      </c>
      <c r="V6" t="s">
        <v>42</v>
      </c>
      <c r="W6" t="s">
        <v>42</v>
      </c>
      <c r="X6" t="s">
        <v>42</v>
      </c>
      <c r="Y6">
        <v>281</v>
      </c>
      <c r="Z6">
        <v>114212</v>
      </c>
    </row>
    <row r="7" spans="1:26" x14ac:dyDescent="0.25">
      <c r="A7" t="s">
        <v>33</v>
      </c>
      <c r="B7" t="s">
        <v>27</v>
      </c>
      <c r="C7" t="s">
        <v>28</v>
      </c>
      <c r="H7" s="2">
        <v>46221.666446759256</v>
      </c>
      <c r="I7" t="s">
        <v>31</v>
      </c>
      <c r="K7" t="s">
        <v>40</v>
      </c>
      <c r="L7" t="s">
        <v>41</v>
      </c>
      <c r="M7" t="s">
        <v>42</v>
      </c>
      <c r="N7" t="s">
        <v>42</v>
      </c>
      <c r="O7" t="s">
        <v>42</v>
      </c>
      <c r="P7" t="s">
        <v>44</v>
      </c>
      <c r="R7">
        <v>1.7843759467119099E+18</v>
      </c>
      <c r="S7" t="s">
        <v>38</v>
      </c>
      <c r="T7" t="s">
        <v>40</v>
      </c>
      <c r="U7" t="s">
        <v>41</v>
      </c>
      <c r="V7" t="s">
        <v>42</v>
      </c>
      <c r="W7" t="s">
        <v>42</v>
      </c>
      <c r="X7" t="s">
        <v>42</v>
      </c>
      <c r="Y7">
        <v>3</v>
      </c>
      <c r="Z7">
        <v>114211</v>
      </c>
    </row>
    <row r="8" spans="1:26" x14ac:dyDescent="0.25">
      <c r="A8" t="s">
        <v>45</v>
      </c>
      <c r="B8" t="s">
        <v>46</v>
      </c>
      <c r="C8" t="s">
        <v>28</v>
      </c>
      <c r="E8" t="s">
        <v>47</v>
      </c>
      <c r="H8" s="2">
        <v>46221.495266203703</v>
      </c>
      <c r="I8" t="s">
        <v>31</v>
      </c>
      <c r="K8" t="s">
        <v>48</v>
      </c>
      <c r="Z8">
        <v>114204</v>
      </c>
    </row>
    <row r="9" spans="1:26" x14ac:dyDescent="0.25">
      <c r="A9" t="s">
        <v>33</v>
      </c>
      <c r="B9" t="s">
        <v>27</v>
      </c>
      <c r="C9" t="s">
        <v>28</v>
      </c>
      <c r="H9" s="2">
        <v>46221.481504629628</v>
      </c>
      <c r="I9" t="s">
        <v>31</v>
      </c>
      <c r="K9" t="s">
        <v>34</v>
      </c>
      <c r="L9" t="s">
        <v>41</v>
      </c>
      <c r="M9" t="s">
        <v>42</v>
      </c>
      <c r="N9" t="s">
        <v>49</v>
      </c>
      <c r="O9" t="s">
        <v>42</v>
      </c>
      <c r="P9" t="s">
        <v>50</v>
      </c>
      <c r="R9">
        <v>1.7843599557347799E+18</v>
      </c>
      <c r="S9" t="s">
        <v>51</v>
      </c>
      <c r="T9" t="s">
        <v>34</v>
      </c>
      <c r="U9" t="s">
        <v>41</v>
      </c>
      <c r="V9" t="s">
        <v>42</v>
      </c>
      <c r="W9" t="s">
        <v>49</v>
      </c>
      <c r="X9" t="s">
        <v>42</v>
      </c>
      <c r="Y9">
        <v>25</v>
      </c>
      <c r="Z9">
        <v>114202</v>
      </c>
    </row>
    <row r="10" spans="1:26" x14ac:dyDescent="0.25">
      <c r="A10" t="s">
        <v>52</v>
      </c>
      <c r="B10" t="s">
        <v>27</v>
      </c>
      <c r="C10" t="s">
        <v>53</v>
      </c>
      <c r="H10" s="2">
        <v>46220.563101851854</v>
      </c>
      <c r="I10" t="s">
        <v>54</v>
      </c>
      <c r="Z10">
        <v>114175</v>
      </c>
    </row>
    <row r="11" spans="1:26" x14ac:dyDescent="0.25">
      <c r="A11" t="s">
        <v>55</v>
      </c>
      <c r="B11" t="s">
        <v>27</v>
      </c>
      <c r="C11" t="s">
        <v>28</v>
      </c>
      <c r="H11" s="2">
        <v>46220.496493055558</v>
      </c>
      <c r="I11" t="s">
        <v>56</v>
      </c>
      <c r="Z11">
        <v>114172</v>
      </c>
    </row>
    <row r="12" spans="1:26" x14ac:dyDescent="0.25">
      <c r="A12" t="s">
        <v>57</v>
      </c>
      <c r="B12" t="s">
        <v>58</v>
      </c>
      <c r="C12" t="s">
        <v>28</v>
      </c>
      <c r="E12" t="s">
        <v>59</v>
      </c>
      <c r="H12" s="2">
        <v>46220.372118055559</v>
      </c>
      <c r="I12" t="s">
        <v>54</v>
      </c>
      <c r="Z12">
        <v>114164</v>
      </c>
    </row>
    <row r="13" spans="1:26" x14ac:dyDescent="0.25">
      <c r="A13" t="s">
        <v>60</v>
      </c>
      <c r="B13" t="s">
        <v>58</v>
      </c>
      <c r="C13" t="s">
        <v>53</v>
      </c>
      <c r="E13" t="s">
        <v>61</v>
      </c>
      <c r="H13" s="2">
        <v>46219.893564814818</v>
      </c>
      <c r="I13" t="s">
        <v>54</v>
      </c>
      <c r="Z13">
        <v>114160</v>
      </c>
    </row>
    <row r="14" spans="1:26" x14ac:dyDescent="0.25">
      <c r="A14" t="s">
        <v>62</v>
      </c>
      <c r="B14" t="s">
        <v>27</v>
      </c>
      <c r="C14" t="s">
        <v>53</v>
      </c>
      <c r="H14" s="2">
        <v>46219.710011574076</v>
      </c>
      <c r="I14" t="s">
        <v>54</v>
      </c>
      <c r="Z14">
        <v>114154</v>
      </c>
    </row>
    <row r="15" spans="1:26" x14ac:dyDescent="0.25">
      <c r="A15" t="s">
        <v>63</v>
      </c>
      <c r="B15" t="s">
        <v>27</v>
      </c>
      <c r="C15" t="s">
        <v>28</v>
      </c>
      <c r="H15" s="2">
        <v>46219.521724537037</v>
      </c>
      <c r="I15" t="s">
        <v>56</v>
      </c>
      <c r="K15" t="s">
        <v>34</v>
      </c>
      <c r="L15" t="s">
        <v>35</v>
      </c>
      <c r="M15">
        <v>708209804</v>
      </c>
      <c r="N15">
        <v>17657889986</v>
      </c>
      <c r="O15" t="s">
        <v>64</v>
      </c>
      <c r="P15" t="s">
        <v>65</v>
      </c>
      <c r="R15">
        <v>1.78419064197872E+18</v>
      </c>
      <c r="S15" t="s">
        <v>66</v>
      </c>
      <c r="T15" t="s">
        <v>34</v>
      </c>
      <c r="U15" t="s">
        <v>35</v>
      </c>
      <c r="V15">
        <v>708209804</v>
      </c>
      <c r="W15">
        <v>17657889986</v>
      </c>
      <c r="X15" t="s">
        <v>64</v>
      </c>
      <c r="Y15">
        <v>4</v>
      </c>
      <c r="Z15">
        <v>114137</v>
      </c>
    </row>
    <row r="16" spans="1:26" x14ac:dyDescent="0.25">
      <c r="A16" t="s">
        <v>67</v>
      </c>
      <c r="B16" t="s">
        <v>27</v>
      </c>
      <c r="C16" t="s">
        <v>53</v>
      </c>
      <c r="H16" s="2">
        <v>46219.443460648145</v>
      </c>
      <c r="I16" t="s">
        <v>54</v>
      </c>
      <c r="Z16">
        <v>114129</v>
      </c>
    </row>
    <row r="17" spans="1:26" x14ac:dyDescent="0.25">
      <c r="A17" t="s">
        <v>68</v>
      </c>
      <c r="B17" t="s">
        <v>58</v>
      </c>
      <c r="C17" t="s">
        <v>28</v>
      </c>
      <c r="E17" t="s">
        <v>69</v>
      </c>
      <c r="G17" t="s">
        <v>70</v>
      </c>
      <c r="H17" s="2">
        <v>46219.409317129626</v>
      </c>
      <c r="I17" t="s">
        <v>56</v>
      </c>
      <c r="Z17">
        <v>114125</v>
      </c>
    </row>
    <row r="18" spans="1:26" x14ac:dyDescent="0.25">
      <c r="A18" t="s">
        <v>71</v>
      </c>
      <c r="B18" t="s">
        <v>58</v>
      </c>
      <c r="C18" t="s">
        <v>53</v>
      </c>
      <c r="E18" t="s">
        <v>72</v>
      </c>
      <c r="H18" s="2">
        <v>46219.36822916667</v>
      </c>
      <c r="I18" t="s">
        <v>54</v>
      </c>
      <c r="Z18">
        <v>114121</v>
      </c>
    </row>
    <row r="19" spans="1:26" x14ac:dyDescent="0.25">
      <c r="A19" t="s">
        <v>73</v>
      </c>
      <c r="B19" t="s">
        <v>74</v>
      </c>
      <c r="C19" t="s">
        <v>75</v>
      </c>
      <c r="E19" t="s">
        <v>76</v>
      </c>
      <c r="G19" t="s">
        <v>77</v>
      </c>
      <c r="H19" s="2">
        <v>46218.800810185188</v>
      </c>
      <c r="I19" t="s">
        <v>29</v>
      </c>
      <c r="Z19">
        <v>114114</v>
      </c>
    </row>
    <row r="20" spans="1:26" x14ac:dyDescent="0.25">
      <c r="A20" t="s">
        <v>78</v>
      </c>
      <c r="B20" t="s">
        <v>27</v>
      </c>
      <c r="C20" t="s">
        <v>75</v>
      </c>
      <c r="H20" s="2">
        <v>46218.713078703702</v>
      </c>
      <c r="I20" t="s">
        <v>29</v>
      </c>
      <c r="Z20">
        <v>114106</v>
      </c>
    </row>
    <row r="21" spans="1:26" x14ac:dyDescent="0.25">
      <c r="A21" t="s">
        <v>79</v>
      </c>
      <c r="B21" t="s">
        <v>27</v>
      </c>
      <c r="C21" t="s">
        <v>75</v>
      </c>
      <c r="H21" s="2">
        <v>46218.703819444447</v>
      </c>
      <c r="I21" t="s">
        <v>80</v>
      </c>
      <c r="K21" t="s">
        <v>34</v>
      </c>
      <c r="L21" t="s">
        <v>35</v>
      </c>
      <c r="M21">
        <v>708209804</v>
      </c>
      <c r="N21">
        <v>17657889986</v>
      </c>
      <c r="O21" t="s">
        <v>81</v>
      </c>
      <c r="P21" t="s">
        <v>82</v>
      </c>
      <c r="R21">
        <v>1.78411996211854E+18</v>
      </c>
      <c r="S21" t="s">
        <v>83</v>
      </c>
      <c r="T21" t="s">
        <v>34</v>
      </c>
      <c r="U21" t="s">
        <v>35</v>
      </c>
      <c r="V21">
        <v>708209804</v>
      </c>
      <c r="W21">
        <v>17657889986</v>
      </c>
      <c r="X21" t="s">
        <v>81</v>
      </c>
      <c r="Y21">
        <v>6</v>
      </c>
      <c r="Z21">
        <v>114105</v>
      </c>
    </row>
    <row r="22" spans="1:26" x14ac:dyDescent="0.25">
      <c r="A22" t="s">
        <v>84</v>
      </c>
      <c r="B22" t="s">
        <v>85</v>
      </c>
      <c r="C22" t="s">
        <v>28</v>
      </c>
      <c r="H22" s="2">
        <v>46218.542222222219</v>
      </c>
      <c r="I22" t="s">
        <v>80</v>
      </c>
      <c r="Z22">
        <v>114091</v>
      </c>
    </row>
    <row r="23" spans="1:26" x14ac:dyDescent="0.25">
      <c r="A23" t="s">
        <v>86</v>
      </c>
      <c r="B23" t="s">
        <v>27</v>
      </c>
      <c r="C23" t="s">
        <v>28</v>
      </c>
      <c r="H23" s="2">
        <v>46218.528726851851</v>
      </c>
      <c r="I23" t="s">
        <v>56</v>
      </c>
      <c r="K23" t="s">
        <v>34</v>
      </c>
      <c r="L23" t="s">
        <v>35</v>
      </c>
      <c r="M23">
        <v>708209804</v>
      </c>
      <c r="N23">
        <v>17710448884</v>
      </c>
      <c r="O23" t="s">
        <v>87</v>
      </c>
      <c r="P23" t="s">
        <v>88</v>
      </c>
      <c r="R23">
        <v>1.78410483770318E+18</v>
      </c>
      <c r="S23" t="s">
        <v>38</v>
      </c>
      <c r="T23" t="s">
        <v>34</v>
      </c>
      <c r="U23" t="s">
        <v>35</v>
      </c>
      <c r="V23">
        <v>708209804</v>
      </c>
      <c r="W23">
        <v>17710448884</v>
      </c>
      <c r="X23" t="s">
        <v>87</v>
      </c>
      <c r="Y23">
        <v>4</v>
      </c>
      <c r="Z23">
        <v>114089</v>
      </c>
    </row>
    <row r="24" spans="1:26" x14ac:dyDescent="0.25">
      <c r="A24" t="s">
        <v>89</v>
      </c>
      <c r="B24" t="s">
        <v>27</v>
      </c>
      <c r="C24" t="s">
        <v>28</v>
      </c>
      <c r="H24" s="2">
        <v>46218.44940972222</v>
      </c>
      <c r="I24" t="s">
        <v>29</v>
      </c>
      <c r="Z24">
        <v>114081</v>
      </c>
    </row>
    <row r="25" spans="1:26" x14ac:dyDescent="0.25">
      <c r="A25" t="s">
        <v>90</v>
      </c>
      <c r="B25" t="s">
        <v>27</v>
      </c>
      <c r="C25" t="s">
        <v>28</v>
      </c>
      <c r="H25" s="2">
        <v>46218.425451388888</v>
      </c>
      <c r="I25" t="s">
        <v>29</v>
      </c>
      <c r="K25" t="s">
        <v>40</v>
      </c>
      <c r="L25" t="s">
        <v>41</v>
      </c>
      <c r="M25" t="s">
        <v>42</v>
      </c>
      <c r="N25" t="s">
        <v>42</v>
      </c>
      <c r="O25" t="s">
        <v>42</v>
      </c>
      <c r="P25" t="s">
        <v>91</v>
      </c>
      <c r="R25">
        <v>1.78409592674222E+18</v>
      </c>
      <c r="S25" t="s">
        <v>83</v>
      </c>
      <c r="T25" t="s">
        <v>40</v>
      </c>
      <c r="U25" t="s">
        <v>41</v>
      </c>
      <c r="V25" t="s">
        <v>42</v>
      </c>
      <c r="W25" t="s">
        <v>42</v>
      </c>
      <c r="X25" t="s">
        <v>42</v>
      </c>
      <c r="Y25">
        <v>15</v>
      </c>
      <c r="Z25">
        <v>114077</v>
      </c>
    </row>
    <row r="26" spans="1:26" x14ac:dyDescent="0.25">
      <c r="A26" t="s">
        <v>92</v>
      </c>
      <c r="B26" t="s">
        <v>58</v>
      </c>
      <c r="C26" t="s">
        <v>75</v>
      </c>
      <c r="E26" t="s">
        <v>72</v>
      </c>
      <c r="H26" s="2">
        <v>46217.832569444443</v>
      </c>
      <c r="I26" t="s">
        <v>29</v>
      </c>
      <c r="Z26">
        <v>114067</v>
      </c>
    </row>
    <row r="27" spans="1:26" x14ac:dyDescent="0.25">
      <c r="A27" t="s">
        <v>93</v>
      </c>
      <c r="B27" t="s">
        <v>74</v>
      </c>
      <c r="C27" t="s">
        <v>75</v>
      </c>
      <c r="E27" t="s">
        <v>76</v>
      </c>
      <c r="G27" t="s">
        <v>77</v>
      </c>
      <c r="H27" s="2">
        <v>46217.742893518516</v>
      </c>
      <c r="I27" t="s">
        <v>80</v>
      </c>
      <c r="Z27">
        <v>114063</v>
      </c>
    </row>
    <row r="28" spans="1:26" x14ac:dyDescent="0.25">
      <c r="A28" t="s">
        <v>94</v>
      </c>
      <c r="B28" t="s">
        <v>27</v>
      </c>
      <c r="C28" t="s">
        <v>28</v>
      </c>
      <c r="H28" s="2">
        <v>46217.644699074073</v>
      </c>
      <c r="I28" t="s">
        <v>29</v>
      </c>
      <c r="Z28">
        <v>114053</v>
      </c>
    </row>
    <row r="29" spans="1:26" x14ac:dyDescent="0.25">
      <c r="A29" t="s">
        <v>95</v>
      </c>
      <c r="B29" t="s">
        <v>27</v>
      </c>
      <c r="C29" t="s">
        <v>28</v>
      </c>
      <c r="H29" s="2">
        <v>46217.641909722224</v>
      </c>
      <c r="I29" t="s">
        <v>29</v>
      </c>
      <c r="Z29">
        <v>114052</v>
      </c>
    </row>
    <row r="30" spans="1:26" x14ac:dyDescent="0.25">
      <c r="A30" t="s">
        <v>96</v>
      </c>
      <c r="B30" t="s">
        <v>27</v>
      </c>
      <c r="C30" t="s">
        <v>28</v>
      </c>
      <c r="H30" s="2">
        <v>46217.562280092592</v>
      </c>
      <c r="I30" t="s">
        <v>31</v>
      </c>
      <c r="K30" t="s">
        <v>40</v>
      </c>
      <c r="L30" t="s">
        <v>41</v>
      </c>
      <c r="M30" t="s">
        <v>42</v>
      </c>
      <c r="N30" t="s">
        <v>42</v>
      </c>
      <c r="O30" t="s">
        <v>42</v>
      </c>
      <c r="P30" t="s">
        <v>97</v>
      </c>
      <c r="R30">
        <v>1.7803124921325801E+18</v>
      </c>
      <c r="S30" t="s">
        <v>38</v>
      </c>
      <c r="T30" t="s">
        <v>40</v>
      </c>
      <c r="U30" t="s">
        <v>41</v>
      </c>
      <c r="V30" t="s">
        <v>42</v>
      </c>
      <c r="W30" t="s">
        <v>42</v>
      </c>
      <c r="X30" t="s">
        <v>42</v>
      </c>
      <c r="Y30">
        <v>3</v>
      </c>
      <c r="Z30">
        <v>114044</v>
      </c>
    </row>
    <row r="31" spans="1:26" x14ac:dyDescent="0.25">
      <c r="A31" t="s">
        <v>98</v>
      </c>
      <c r="B31" t="s">
        <v>58</v>
      </c>
      <c r="C31" t="s">
        <v>75</v>
      </c>
      <c r="E31" t="s">
        <v>99</v>
      </c>
      <c r="H31" s="2">
        <v>46217.553993055553</v>
      </c>
      <c r="I31" t="s">
        <v>29</v>
      </c>
      <c r="Z31">
        <v>114042</v>
      </c>
    </row>
    <row r="32" spans="1:26" x14ac:dyDescent="0.25">
      <c r="A32" t="s">
        <v>100</v>
      </c>
      <c r="B32" t="s">
        <v>58</v>
      </c>
      <c r="C32" t="s">
        <v>75</v>
      </c>
      <c r="E32" t="s">
        <v>101</v>
      </c>
      <c r="H32" s="2">
        <v>46217.541608796295</v>
      </c>
      <c r="I32" t="s">
        <v>29</v>
      </c>
      <c r="Z32">
        <v>114041</v>
      </c>
    </row>
    <row r="33" spans="1:26" x14ac:dyDescent="0.25">
      <c r="A33" t="s">
        <v>102</v>
      </c>
      <c r="B33" t="s">
        <v>58</v>
      </c>
      <c r="C33" t="s">
        <v>28</v>
      </c>
      <c r="E33" t="s">
        <v>103</v>
      </c>
      <c r="H33" s="2">
        <v>46217.518900462965</v>
      </c>
      <c r="I33" t="s">
        <v>31</v>
      </c>
      <c r="Z33">
        <v>114040</v>
      </c>
    </row>
    <row r="34" spans="1:26" x14ac:dyDescent="0.25">
      <c r="A34" t="s">
        <v>104</v>
      </c>
      <c r="B34" t="s">
        <v>27</v>
      </c>
      <c r="C34" t="s">
        <v>28</v>
      </c>
      <c r="H34" s="2">
        <v>46217.513958333337</v>
      </c>
      <c r="I34" t="s">
        <v>31</v>
      </c>
      <c r="Z34">
        <v>114038</v>
      </c>
    </row>
    <row r="35" spans="1:26" x14ac:dyDescent="0.25">
      <c r="A35" t="s">
        <v>105</v>
      </c>
      <c r="B35" t="s">
        <v>27</v>
      </c>
      <c r="C35" t="s">
        <v>28</v>
      </c>
      <c r="H35" s="2">
        <v>46217.503842592596</v>
      </c>
      <c r="I35" t="s">
        <v>29</v>
      </c>
      <c r="K35" t="s">
        <v>34</v>
      </c>
      <c r="L35" t="s">
        <v>41</v>
      </c>
      <c r="M35" t="s">
        <v>42</v>
      </c>
      <c r="N35" t="s">
        <v>49</v>
      </c>
      <c r="O35" t="s">
        <v>42</v>
      </c>
      <c r="P35" t="s">
        <v>106</v>
      </c>
      <c r="R35">
        <v>1.78401556743231E+18</v>
      </c>
      <c r="S35" t="s">
        <v>38</v>
      </c>
      <c r="T35" t="s">
        <v>34</v>
      </c>
      <c r="U35" t="s">
        <v>41</v>
      </c>
      <c r="V35" t="s">
        <v>42</v>
      </c>
      <c r="W35" t="s">
        <v>49</v>
      </c>
      <c r="X35" t="s">
        <v>42</v>
      </c>
      <c r="Y35">
        <v>60</v>
      </c>
      <c r="Z35">
        <v>114036</v>
      </c>
    </row>
    <row r="36" spans="1:26" x14ac:dyDescent="0.25">
      <c r="A36" t="s">
        <v>107</v>
      </c>
      <c r="B36" t="s">
        <v>58</v>
      </c>
      <c r="C36" t="s">
        <v>75</v>
      </c>
      <c r="E36" t="s">
        <v>108</v>
      </c>
      <c r="H36" s="2">
        <v>46217.376122685186</v>
      </c>
      <c r="I36" t="s">
        <v>29</v>
      </c>
      <c r="Z36">
        <v>114022</v>
      </c>
    </row>
    <row r="37" spans="1:26" x14ac:dyDescent="0.25">
      <c r="A37" t="s">
        <v>109</v>
      </c>
      <c r="B37" t="s">
        <v>58</v>
      </c>
      <c r="C37" t="s">
        <v>75</v>
      </c>
      <c r="E37" t="s">
        <v>110</v>
      </c>
      <c r="H37" s="2">
        <v>46217.373657407406</v>
      </c>
      <c r="I37" t="s">
        <v>29</v>
      </c>
      <c r="Z37">
        <v>114021</v>
      </c>
    </row>
    <row r="38" spans="1:26" x14ac:dyDescent="0.25">
      <c r="A38" t="s">
        <v>111</v>
      </c>
      <c r="B38" t="s">
        <v>27</v>
      </c>
      <c r="C38" t="s">
        <v>28</v>
      </c>
      <c r="H38" s="2">
        <v>46216.748888888891</v>
      </c>
      <c r="I38" t="s">
        <v>29</v>
      </c>
      <c r="Z38">
        <v>114014</v>
      </c>
    </row>
    <row r="39" spans="1:26" x14ac:dyDescent="0.25">
      <c r="A39" t="s">
        <v>112</v>
      </c>
      <c r="B39" t="s">
        <v>27</v>
      </c>
      <c r="C39" t="s">
        <v>28</v>
      </c>
      <c r="H39" s="2">
        <v>46216.655775462961</v>
      </c>
      <c r="I39" t="s">
        <v>31</v>
      </c>
      <c r="Z39">
        <v>114008</v>
      </c>
    </row>
    <row r="40" spans="1:26" x14ac:dyDescent="0.25">
      <c r="A40" t="s">
        <v>113</v>
      </c>
      <c r="B40" t="s">
        <v>27</v>
      </c>
      <c r="C40" t="s">
        <v>28</v>
      </c>
      <c r="H40" s="2">
        <v>46216.459849537037</v>
      </c>
      <c r="I40" t="s">
        <v>31</v>
      </c>
      <c r="K40" t="s">
        <v>34</v>
      </c>
      <c r="L40" t="s">
        <v>41</v>
      </c>
      <c r="M40" t="s">
        <v>42</v>
      </c>
      <c r="N40" t="s">
        <v>49</v>
      </c>
      <c r="O40" t="s">
        <v>42</v>
      </c>
      <c r="P40" t="s">
        <v>114</v>
      </c>
      <c r="S40" t="s">
        <v>38</v>
      </c>
      <c r="T40" t="s">
        <v>34</v>
      </c>
      <c r="U40" t="s">
        <v>41</v>
      </c>
      <c r="V40" t="s">
        <v>42</v>
      </c>
      <c r="W40" t="s">
        <v>49</v>
      </c>
      <c r="X40" t="s">
        <v>42</v>
      </c>
      <c r="Y40">
        <v>0</v>
      </c>
      <c r="Z40">
        <v>113991</v>
      </c>
    </row>
    <row r="41" spans="1:26" x14ac:dyDescent="0.25">
      <c r="A41" t="s">
        <v>115</v>
      </c>
      <c r="B41" t="s">
        <v>27</v>
      </c>
      <c r="C41" t="s">
        <v>28</v>
      </c>
      <c r="H41" s="2">
        <v>46216.369537037041</v>
      </c>
      <c r="I41" t="s">
        <v>29</v>
      </c>
      <c r="K41" t="s">
        <v>40</v>
      </c>
      <c r="L41" t="s">
        <v>41</v>
      </c>
      <c r="M41" t="s">
        <v>42</v>
      </c>
      <c r="N41" t="s">
        <v>42</v>
      </c>
      <c r="O41" t="s">
        <v>42</v>
      </c>
      <c r="P41" t="s">
        <v>116</v>
      </c>
      <c r="R41">
        <v>1.7820275657146501E+18</v>
      </c>
      <c r="S41" t="s">
        <v>38</v>
      </c>
      <c r="T41" t="s">
        <v>40</v>
      </c>
      <c r="U41" t="s">
        <v>41</v>
      </c>
      <c r="V41" t="s">
        <v>42</v>
      </c>
      <c r="W41" t="s">
        <v>42</v>
      </c>
      <c r="X41" t="s">
        <v>42</v>
      </c>
      <c r="Y41">
        <v>3</v>
      </c>
      <c r="Z41">
        <v>113984</v>
      </c>
    </row>
    <row r="42" spans="1:26" x14ac:dyDescent="0.25">
      <c r="A42" t="s">
        <v>117</v>
      </c>
      <c r="B42" t="s">
        <v>46</v>
      </c>
      <c r="C42" t="s">
        <v>28</v>
      </c>
      <c r="E42" t="s">
        <v>118</v>
      </c>
      <c r="H42" s="2">
        <v>46214.433472222219</v>
      </c>
      <c r="I42" t="s">
        <v>56</v>
      </c>
      <c r="K42" t="s">
        <v>48</v>
      </c>
      <c r="Z42">
        <v>113970</v>
      </c>
    </row>
    <row r="43" spans="1:26" x14ac:dyDescent="0.25">
      <c r="A43" t="s">
        <v>119</v>
      </c>
      <c r="B43" t="s">
        <v>58</v>
      </c>
      <c r="C43" t="s">
        <v>28</v>
      </c>
      <c r="E43" t="s">
        <v>101</v>
      </c>
      <c r="H43" s="2">
        <v>46214.382708333331</v>
      </c>
      <c r="I43" t="s">
        <v>56</v>
      </c>
      <c r="Z43">
        <v>113965</v>
      </c>
    </row>
    <row r="44" spans="1:26" x14ac:dyDescent="0.25">
      <c r="A44" t="s">
        <v>120</v>
      </c>
      <c r="B44" t="s">
        <v>27</v>
      </c>
      <c r="C44" t="s">
        <v>53</v>
      </c>
      <c r="H44" s="2">
        <v>46213.806967592594</v>
      </c>
      <c r="I44" t="s">
        <v>54</v>
      </c>
      <c r="Z44">
        <v>113959</v>
      </c>
    </row>
    <row r="45" spans="1:26" x14ac:dyDescent="0.25">
      <c r="A45" t="s">
        <v>121</v>
      </c>
      <c r="B45" t="s">
        <v>27</v>
      </c>
      <c r="C45" t="s">
        <v>28</v>
      </c>
      <c r="H45" s="2">
        <v>46213.688437500001</v>
      </c>
      <c r="I45" t="s">
        <v>56</v>
      </c>
      <c r="Z45">
        <v>113946</v>
      </c>
    </row>
    <row r="46" spans="1:26" x14ac:dyDescent="0.25">
      <c r="A46" t="s">
        <v>122</v>
      </c>
      <c r="B46" t="s">
        <v>27</v>
      </c>
      <c r="C46" t="s">
        <v>28</v>
      </c>
      <c r="H46" s="2">
        <v>46213.598379629628</v>
      </c>
      <c r="I46" t="s">
        <v>56</v>
      </c>
      <c r="K46" t="s">
        <v>34</v>
      </c>
      <c r="L46" t="s">
        <v>41</v>
      </c>
      <c r="M46" t="s">
        <v>42</v>
      </c>
      <c r="N46" t="s">
        <v>49</v>
      </c>
      <c r="O46" t="s">
        <v>42</v>
      </c>
      <c r="P46" t="s">
        <v>123</v>
      </c>
      <c r="R46">
        <v>1.76605222789442E+18</v>
      </c>
      <c r="S46" t="s">
        <v>124</v>
      </c>
      <c r="T46" t="s">
        <v>34</v>
      </c>
      <c r="U46" t="s">
        <v>41</v>
      </c>
      <c r="V46" t="s">
        <v>42</v>
      </c>
      <c r="W46" t="s">
        <v>49</v>
      </c>
      <c r="X46" t="s">
        <v>42</v>
      </c>
      <c r="Y46">
        <v>1657</v>
      </c>
      <c r="Z46">
        <v>113935</v>
      </c>
    </row>
    <row r="47" spans="1:26" x14ac:dyDescent="0.25">
      <c r="A47" t="s">
        <v>125</v>
      </c>
      <c r="B47" t="s">
        <v>27</v>
      </c>
      <c r="C47" t="s">
        <v>28</v>
      </c>
      <c r="H47" s="2">
        <v>46212.743784722225</v>
      </c>
      <c r="I47" t="s">
        <v>29</v>
      </c>
      <c r="Z47">
        <v>113920</v>
      </c>
    </row>
    <row r="48" spans="1:26" x14ac:dyDescent="0.25">
      <c r="A48" t="s">
        <v>126</v>
      </c>
      <c r="B48" t="s">
        <v>27</v>
      </c>
      <c r="C48" t="s">
        <v>28</v>
      </c>
      <c r="H48" s="2">
        <v>46212.732499999998</v>
      </c>
      <c r="I48" t="s">
        <v>56</v>
      </c>
      <c r="K48" t="s">
        <v>40</v>
      </c>
      <c r="L48" t="s">
        <v>41</v>
      </c>
      <c r="M48" t="s">
        <v>42</v>
      </c>
      <c r="N48" t="s">
        <v>42</v>
      </c>
      <c r="O48" t="s">
        <v>42</v>
      </c>
      <c r="P48" t="s">
        <v>127</v>
      </c>
      <c r="R48">
        <v>1.7836040641169001E+18</v>
      </c>
      <c r="S48" t="s">
        <v>128</v>
      </c>
      <c r="T48" t="s">
        <v>40</v>
      </c>
      <c r="U48" t="s">
        <v>41</v>
      </c>
      <c r="V48" t="s">
        <v>42</v>
      </c>
      <c r="W48" t="s">
        <v>42</v>
      </c>
      <c r="X48" t="s">
        <v>42</v>
      </c>
      <c r="Y48">
        <v>3</v>
      </c>
      <c r="Z48">
        <v>113919</v>
      </c>
    </row>
    <row r="49" spans="1:26" x14ac:dyDescent="0.25">
      <c r="A49" t="s">
        <v>129</v>
      </c>
      <c r="B49" t="s">
        <v>27</v>
      </c>
      <c r="C49" t="s">
        <v>28</v>
      </c>
      <c r="H49" s="2">
        <v>46212.468877314815</v>
      </c>
      <c r="I49" t="s">
        <v>29</v>
      </c>
      <c r="K49" t="s">
        <v>34</v>
      </c>
      <c r="L49" t="s">
        <v>35</v>
      </c>
      <c r="M49">
        <v>708209804</v>
      </c>
      <c r="N49">
        <v>17710448884</v>
      </c>
      <c r="O49" t="s">
        <v>130</v>
      </c>
      <c r="P49" t="s">
        <v>131</v>
      </c>
      <c r="R49">
        <v>1.78358118831056E+18</v>
      </c>
      <c r="S49" t="s">
        <v>38</v>
      </c>
      <c r="T49" t="s">
        <v>34</v>
      </c>
      <c r="U49" t="s">
        <v>35</v>
      </c>
      <c r="V49">
        <v>708209804</v>
      </c>
      <c r="W49">
        <v>17710448884</v>
      </c>
      <c r="X49" t="s">
        <v>130</v>
      </c>
      <c r="Y49">
        <v>82</v>
      </c>
      <c r="Z49">
        <v>113902</v>
      </c>
    </row>
    <row r="50" spans="1:26" x14ac:dyDescent="0.25">
      <c r="A50" t="s">
        <v>132</v>
      </c>
      <c r="B50" t="s">
        <v>58</v>
      </c>
      <c r="C50" t="s">
        <v>28</v>
      </c>
      <c r="E50" t="s">
        <v>133</v>
      </c>
      <c r="H50" s="2">
        <v>46211.992199074077</v>
      </c>
      <c r="I50" t="s">
        <v>29</v>
      </c>
      <c r="Z50">
        <v>113895</v>
      </c>
    </row>
    <row r="51" spans="1:26" x14ac:dyDescent="0.25">
      <c r="A51" t="s">
        <v>134</v>
      </c>
      <c r="B51" t="s">
        <v>58</v>
      </c>
      <c r="C51" t="s">
        <v>28</v>
      </c>
      <c r="E51" t="s">
        <v>135</v>
      </c>
      <c r="H51" s="2">
        <v>46211.79115740741</v>
      </c>
      <c r="I51" t="s">
        <v>29</v>
      </c>
      <c r="Z51">
        <v>113891</v>
      </c>
    </row>
    <row r="52" spans="1:26" x14ac:dyDescent="0.25">
      <c r="A52" t="s">
        <v>136</v>
      </c>
      <c r="C52" t="s">
        <v>28</v>
      </c>
      <c r="E52" t="s">
        <v>59</v>
      </c>
      <c r="H52" s="2">
        <v>46211.694976851853</v>
      </c>
      <c r="I52" t="s">
        <v>80</v>
      </c>
      <c r="K52" t="s">
        <v>137</v>
      </c>
      <c r="L52" t="s">
        <v>35</v>
      </c>
      <c r="M52">
        <v>708209804</v>
      </c>
      <c r="N52">
        <v>17710448884</v>
      </c>
      <c r="O52" t="s">
        <v>87</v>
      </c>
      <c r="Z52">
        <v>113882</v>
      </c>
    </row>
    <row r="53" spans="1:26" x14ac:dyDescent="0.25">
      <c r="A53" t="s">
        <v>138</v>
      </c>
      <c r="B53" t="s">
        <v>27</v>
      </c>
      <c r="C53" t="s">
        <v>28</v>
      </c>
      <c r="H53" s="2">
        <v>46211.569351851853</v>
      </c>
      <c r="I53" t="s">
        <v>29</v>
      </c>
      <c r="K53" t="s">
        <v>34</v>
      </c>
      <c r="L53" t="s">
        <v>35</v>
      </c>
      <c r="M53">
        <v>708209804</v>
      </c>
      <c r="N53">
        <v>17710448884</v>
      </c>
      <c r="O53" t="s">
        <v>139</v>
      </c>
      <c r="P53" t="s">
        <v>140</v>
      </c>
      <c r="R53">
        <v>1.7835035524762199E+18</v>
      </c>
      <c r="S53" t="s">
        <v>141</v>
      </c>
      <c r="T53" t="s">
        <v>34</v>
      </c>
      <c r="U53" t="s">
        <v>35</v>
      </c>
      <c r="V53">
        <v>708209804</v>
      </c>
      <c r="W53">
        <v>17710448884</v>
      </c>
      <c r="X53" t="s">
        <v>139</v>
      </c>
      <c r="Y53">
        <v>34</v>
      </c>
      <c r="Z53">
        <v>113878</v>
      </c>
    </row>
    <row r="54" spans="1:26" x14ac:dyDescent="0.25">
      <c r="A54" t="s">
        <v>142</v>
      </c>
      <c r="C54" t="s">
        <v>28</v>
      </c>
      <c r="E54" t="s">
        <v>143</v>
      </c>
      <c r="H54" s="2">
        <v>46210.961597222224</v>
      </c>
      <c r="I54" t="s">
        <v>29</v>
      </c>
      <c r="K54" t="s">
        <v>137</v>
      </c>
      <c r="L54" t="s">
        <v>35</v>
      </c>
      <c r="M54">
        <v>708209804</v>
      </c>
      <c r="N54">
        <v>17657889986</v>
      </c>
      <c r="O54" t="s">
        <v>144</v>
      </c>
      <c r="Z54">
        <v>113867</v>
      </c>
    </row>
    <row r="55" spans="1:26" x14ac:dyDescent="0.25">
      <c r="A55" t="s">
        <v>145</v>
      </c>
      <c r="C55" t="s">
        <v>28</v>
      </c>
      <c r="E55" t="s">
        <v>146</v>
      </c>
      <c r="H55" s="2">
        <v>46210.937372685185</v>
      </c>
      <c r="I55" t="s">
        <v>29</v>
      </c>
      <c r="K55" t="s">
        <v>137</v>
      </c>
      <c r="L55" t="s">
        <v>35</v>
      </c>
      <c r="M55">
        <v>708209804</v>
      </c>
      <c r="N55">
        <v>17657889986</v>
      </c>
      <c r="O55" t="s">
        <v>147</v>
      </c>
      <c r="Z55">
        <v>113866</v>
      </c>
    </row>
    <row r="56" spans="1:26" x14ac:dyDescent="0.25">
      <c r="A56" t="s">
        <v>148</v>
      </c>
      <c r="C56" t="s">
        <v>28</v>
      </c>
      <c r="E56" t="s">
        <v>149</v>
      </c>
      <c r="H56" s="2">
        <v>46210.812222222223</v>
      </c>
      <c r="I56" t="s">
        <v>29</v>
      </c>
      <c r="K56" t="s">
        <v>137</v>
      </c>
      <c r="L56" t="s">
        <v>35</v>
      </c>
      <c r="M56">
        <v>708209804</v>
      </c>
      <c r="N56">
        <v>17710448884</v>
      </c>
      <c r="O56" t="s">
        <v>87</v>
      </c>
      <c r="Z56">
        <v>113861</v>
      </c>
    </row>
    <row r="57" spans="1:26" x14ac:dyDescent="0.25">
      <c r="A57" t="s">
        <v>33</v>
      </c>
      <c r="B57" t="s">
        <v>27</v>
      </c>
      <c r="C57" t="s">
        <v>28</v>
      </c>
      <c r="H57" s="2">
        <v>46210.79346064815</v>
      </c>
      <c r="I57" t="s">
        <v>31</v>
      </c>
      <c r="Z57">
        <v>113860</v>
      </c>
    </row>
    <row r="58" spans="1:26" x14ac:dyDescent="0.25">
      <c r="A58" t="s">
        <v>150</v>
      </c>
      <c r="B58" t="s">
        <v>27</v>
      </c>
      <c r="C58" t="s">
        <v>28</v>
      </c>
      <c r="H58" s="2">
        <v>46210.650995370372</v>
      </c>
      <c r="I58" t="s">
        <v>31</v>
      </c>
      <c r="Z58">
        <v>113846</v>
      </c>
    </row>
    <row r="59" spans="1:26" x14ac:dyDescent="0.25">
      <c r="A59" t="s">
        <v>151</v>
      </c>
      <c r="B59" t="s">
        <v>27</v>
      </c>
      <c r="C59" t="s">
        <v>28</v>
      </c>
      <c r="H59" s="2">
        <v>46210.513912037037</v>
      </c>
      <c r="I59" t="s">
        <v>29</v>
      </c>
      <c r="Z59">
        <v>113835</v>
      </c>
    </row>
    <row r="60" spans="1:26" x14ac:dyDescent="0.25">
      <c r="A60" t="s">
        <v>33</v>
      </c>
      <c r="B60" t="s">
        <v>27</v>
      </c>
      <c r="C60" t="s">
        <v>28</v>
      </c>
      <c r="H60" s="2">
        <v>46210.480405092596</v>
      </c>
      <c r="I60" t="s">
        <v>31</v>
      </c>
      <c r="K60" t="s">
        <v>40</v>
      </c>
      <c r="L60" t="s">
        <v>41</v>
      </c>
      <c r="M60" t="s">
        <v>42</v>
      </c>
      <c r="N60" t="s">
        <v>42</v>
      </c>
      <c r="O60" t="s">
        <v>42</v>
      </c>
      <c r="P60" t="s">
        <v>152</v>
      </c>
      <c r="S60" t="s">
        <v>153</v>
      </c>
      <c r="T60" t="s">
        <v>40</v>
      </c>
      <c r="U60" t="s">
        <v>41</v>
      </c>
      <c r="V60" t="s">
        <v>42</v>
      </c>
      <c r="W60" t="s">
        <v>42</v>
      </c>
      <c r="X60" t="s">
        <v>42</v>
      </c>
      <c r="Y60">
        <v>0</v>
      </c>
      <c r="Z60">
        <v>113830</v>
      </c>
    </row>
    <row r="61" spans="1:26" x14ac:dyDescent="0.25">
      <c r="A61" t="s">
        <v>154</v>
      </c>
      <c r="C61" t="s">
        <v>155</v>
      </c>
      <c r="E61" t="s">
        <v>156</v>
      </c>
      <c r="H61" s="2">
        <v>46209.697152777779</v>
      </c>
      <c r="I61" t="s">
        <v>31</v>
      </c>
      <c r="K61" t="s">
        <v>137</v>
      </c>
      <c r="L61" t="s">
        <v>35</v>
      </c>
      <c r="M61">
        <v>708209804</v>
      </c>
      <c r="N61">
        <v>17710448884</v>
      </c>
      <c r="O61" t="s">
        <v>157</v>
      </c>
      <c r="Z61">
        <v>113811</v>
      </c>
    </row>
    <row r="62" spans="1:26" x14ac:dyDescent="0.25">
      <c r="A62" t="s">
        <v>158</v>
      </c>
      <c r="B62" t="s">
        <v>27</v>
      </c>
      <c r="C62" t="s">
        <v>28</v>
      </c>
      <c r="H62" s="2">
        <v>46209.696018518516</v>
      </c>
      <c r="I62" t="s">
        <v>31</v>
      </c>
      <c r="K62" t="s">
        <v>34</v>
      </c>
      <c r="L62" t="s">
        <v>35</v>
      </c>
      <c r="M62">
        <v>708209804</v>
      </c>
      <c r="N62">
        <v>17710448884</v>
      </c>
      <c r="O62" t="s">
        <v>159</v>
      </c>
      <c r="P62" t="s">
        <v>160</v>
      </c>
      <c r="R62">
        <v>1.78334165998048E+18</v>
      </c>
      <c r="S62" t="s">
        <v>38</v>
      </c>
      <c r="T62" t="s">
        <v>34</v>
      </c>
      <c r="U62" t="s">
        <v>35</v>
      </c>
      <c r="V62">
        <v>708209804</v>
      </c>
      <c r="W62">
        <v>17710448884</v>
      </c>
      <c r="X62" t="s">
        <v>159</v>
      </c>
      <c r="Y62">
        <v>6</v>
      </c>
      <c r="Z62">
        <v>113810</v>
      </c>
    </row>
    <row r="63" spans="1:26" x14ac:dyDescent="0.25">
      <c r="A63" t="s">
        <v>161</v>
      </c>
      <c r="B63" t="s">
        <v>27</v>
      </c>
      <c r="C63" t="s">
        <v>28</v>
      </c>
      <c r="H63" s="2">
        <v>46209.654085648152</v>
      </c>
      <c r="I63" t="s">
        <v>31</v>
      </c>
      <c r="Z63">
        <v>113802</v>
      </c>
    </row>
    <row r="64" spans="1:26" x14ac:dyDescent="0.25">
      <c r="A64" t="s">
        <v>162</v>
      </c>
      <c r="B64" t="s">
        <v>27</v>
      </c>
      <c r="C64" t="s">
        <v>53</v>
      </c>
      <c r="H64" s="2">
        <v>46209.598391203705</v>
      </c>
      <c r="I64" t="s">
        <v>54</v>
      </c>
      <c r="Z64">
        <v>113799</v>
      </c>
    </row>
    <row r="65" spans="1:26" x14ac:dyDescent="0.25">
      <c r="A65" t="s">
        <v>163</v>
      </c>
      <c r="B65" t="s">
        <v>27</v>
      </c>
      <c r="C65" t="s">
        <v>28</v>
      </c>
      <c r="H65" s="2">
        <v>46209.5780787037</v>
      </c>
      <c r="I65" t="s">
        <v>31</v>
      </c>
      <c r="K65" t="s">
        <v>40</v>
      </c>
      <c r="L65" t="s">
        <v>41</v>
      </c>
      <c r="M65" t="s">
        <v>42</v>
      </c>
      <c r="N65" t="s">
        <v>42</v>
      </c>
      <c r="O65" t="s">
        <v>42</v>
      </c>
      <c r="P65" t="s">
        <v>164</v>
      </c>
      <c r="R65">
        <v>1.7833315556374001E+18</v>
      </c>
      <c r="S65" t="s">
        <v>165</v>
      </c>
      <c r="T65" t="s">
        <v>40</v>
      </c>
      <c r="U65" t="s">
        <v>41</v>
      </c>
      <c r="V65" t="s">
        <v>42</v>
      </c>
      <c r="W65" t="s">
        <v>42</v>
      </c>
      <c r="X65" t="s">
        <v>42</v>
      </c>
      <c r="Y65">
        <v>3</v>
      </c>
      <c r="Z65">
        <v>113796</v>
      </c>
    </row>
    <row r="66" spans="1:26" x14ac:dyDescent="0.25">
      <c r="A66" t="s">
        <v>33</v>
      </c>
      <c r="C66" t="s">
        <v>28</v>
      </c>
      <c r="E66" t="s">
        <v>166</v>
      </c>
      <c r="H66" s="2">
        <v>46209.571574074071</v>
      </c>
      <c r="I66" t="s">
        <v>31</v>
      </c>
      <c r="K66" t="s">
        <v>137</v>
      </c>
      <c r="L66" t="s">
        <v>35</v>
      </c>
      <c r="M66">
        <v>708209804</v>
      </c>
      <c r="N66">
        <v>17657889986</v>
      </c>
      <c r="O66" t="s">
        <v>167</v>
      </c>
      <c r="Z66">
        <v>113793</v>
      </c>
    </row>
    <row r="67" spans="1:26" x14ac:dyDescent="0.25">
      <c r="A67" t="s">
        <v>150</v>
      </c>
      <c r="B67" t="s">
        <v>58</v>
      </c>
      <c r="C67" t="s">
        <v>28</v>
      </c>
      <c r="E67" t="s">
        <v>168</v>
      </c>
      <c r="G67" t="s">
        <v>169</v>
      </c>
      <c r="H67" s="2">
        <v>46209.548460648148</v>
      </c>
      <c r="I67" t="s">
        <v>31</v>
      </c>
      <c r="Z67">
        <v>113791</v>
      </c>
    </row>
    <row r="68" spans="1:26" x14ac:dyDescent="0.25">
      <c r="A68" t="s">
        <v>170</v>
      </c>
      <c r="C68" t="s">
        <v>28</v>
      </c>
      <c r="E68" t="s">
        <v>171</v>
      </c>
      <c r="H68" s="2">
        <v>46209.547847222224</v>
      </c>
      <c r="I68" t="s">
        <v>31</v>
      </c>
      <c r="K68" t="s">
        <v>137</v>
      </c>
      <c r="L68" t="s">
        <v>35</v>
      </c>
      <c r="M68">
        <v>708209804</v>
      </c>
      <c r="N68">
        <v>17710448884</v>
      </c>
      <c r="O68" t="s">
        <v>172</v>
      </c>
      <c r="Z68">
        <v>113790</v>
      </c>
    </row>
    <row r="69" spans="1:26" x14ac:dyDescent="0.25">
      <c r="A69" t="s">
        <v>173</v>
      </c>
      <c r="B69" t="s">
        <v>46</v>
      </c>
      <c r="C69" t="s">
        <v>28</v>
      </c>
      <c r="E69" t="s">
        <v>101</v>
      </c>
      <c r="H69" s="2">
        <v>46209.539699074077</v>
      </c>
      <c r="I69" t="s">
        <v>31</v>
      </c>
      <c r="K69" t="s">
        <v>48</v>
      </c>
      <c r="Z69">
        <v>113787</v>
      </c>
    </row>
    <row r="70" spans="1:26" x14ac:dyDescent="0.25">
      <c r="A70" t="s">
        <v>174</v>
      </c>
      <c r="B70" t="s">
        <v>27</v>
      </c>
      <c r="C70" t="s">
        <v>28</v>
      </c>
      <c r="H70" s="2">
        <v>46209.47488425926</v>
      </c>
      <c r="I70" t="s">
        <v>31</v>
      </c>
      <c r="Z70">
        <v>113779</v>
      </c>
    </row>
    <row r="71" spans="1:26" x14ac:dyDescent="0.25">
      <c r="A71" t="s">
        <v>175</v>
      </c>
      <c r="C71" t="s">
        <v>28</v>
      </c>
      <c r="E71" t="s">
        <v>72</v>
      </c>
      <c r="H71" s="2">
        <v>46209.445393518516</v>
      </c>
      <c r="I71" t="s">
        <v>80</v>
      </c>
      <c r="K71" t="s">
        <v>137</v>
      </c>
      <c r="L71" t="s">
        <v>35</v>
      </c>
      <c r="M71">
        <v>708209804</v>
      </c>
      <c r="N71">
        <v>17710448884</v>
      </c>
      <c r="O71" t="s">
        <v>157</v>
      </c>
      <c r="Z71">
        <v>113777</v>
      </c>
    </row>
    <row r="72" spans="1:26" x14ac:dyDescent="0.25">
      <c r="A72" t="s">
        <v>176</v>
      </c>
      <c r="B72" t="s">
        <v>27</v>
      </c>
      <c r="C72" t="s">
        <v>28</v>
      </c>
      <c r="H72" s="2">
        <v>46208.888090277775</v>
      </c>
      <c r="I72" t="s">
        <v>54</v>
      </c>
      <c r="Z72">
        <v>113771</v>
      </c>
    </row>
    <row r="73" spans="1:26" x14ac:dyDescent="0.25">
      <c r="A73" t="s">
        <v>177</v>
      </c>
      <c r="B73" t="s">
        <v>27</v>
      </c>
      <c r="C73" t="s">
        <v>28</v>
      </c>
      <c r="H73" s="2">
        <v>46208.702986111108</v>
      </c>
      <c r="I73" t="s">
        <v>56</v>
      </c>
      <c r="K73" t="s">
        <v>178</v>
      </c>
      <c r="L73" t="s">
        <v>42</v>
      </c>
      <c r="M73" t="s">
        <v>42</v>
      </c>
      <c r="N73" t="s">
        <v>42</v>
      </c>
      <c r="O73" t="s">
        <v>42</v>
      </c>
      <c r="P73" t="s">
        <v>179</v>
      </c>
      <c r="R73">
        <v>1.78325589134896E+18</v>
      </c>
      <c r="S73" t="s">
        <v>38</v>
      </c>
      <c r="T73" t="s">
        <v>178</v>
      </c>
      <c r="U73" t="s">
        <v>42</v>
      </c>
      <c r="V73" t="s">
        <v>42</v>
      </c>
      <c r="W73" t="s">
        <v>42</v>
      </c>
      <c r="X73" t="s">
        <v>42</v>
      </c>
      <c r="Y73">
        <v>4</v>
      </c>
      <c r="Z73">
        <v>113766</v>
      </c>
    </row>
    <row r="74" spans="1:26" x14ac:dyDescent="0.25">
      <c r="A74" t="s">
        <v>180</v>
      </c>
      <c r="B74" t="s">
        <v>27</v>
      </c>
      <c r="C74" t="s">
        <v>28</v>
      </c>
      <c r="H74" s="2">
        <v>46208.702291666668</v>
      </c>
      <c r="I74" t="s">
        <v>54</v>
      </c>
      <c r="K74" t="s">
        <v>34</v>
      </c>
      <c r="L74" t="s">
        <v>35</v>
      </c>
      <c r="M74">
        <v>119789135</v>
      </c>
      <c r="N74">
        <v>16990012918</v>
      </c>
      <c r="O74" t="s">
        <v>157</v>
      </c>
      <c r="P74" t="s">
        <v>181</v>
      </c>
      <c r="R74">
        <v>1.7832558102869601E+18</v>
      </c>
      <c r="S74" t="s">
        <v>38</v>
      </c>
      <c r="T74" t="s">
        <v>34</v>
      </c>
      <c r="U74" t="s">
        <v>35</v>
      </c>
      <c r="V74">
        <v>119789135</v>
      </c>
      <c r="W74">
        <v>16990012918</v>
      </c>
      <c r="X74" t="s">
        <v>157</v>
      </c>
      <c r="Y74">
        <v>7</v>
      </c>
      <c r="Z74">
        <v>113764</v>
      </c>
    </row>
    <row r="75" spans="1:26" x14ac:dyDescent="0.25">
      <c r="A75" t="s">
        <v>182</v>
      </c>
      <c r="C75" t="s">
        <v>28</v>
      </c>
      <c r="E75" t="s">
        <v>183</v>
      </c>
      <c r="H75" s="2">
        <v>46207.976805555554</v>
      </c>
      <c r="I75" t="s">
        <v>56</v>
      </c>
      <c r="K75" t="s">
        <v>137</v>
      </c>
      <c r="Z75">
        <v>113748</v>
      </c>
    </row>
    <row r="76" spans="1:26" x14ac:dyDescent="0.25">
      <c r="A76" t="s">
        <v>184</v>
      </c>
      <c r="C76" t="s">
        <v>185</v>
      </c>
      <c r="E76" t="s">
        <v>186</v>
      </c>
      <c r="H76" s="2">
        <v>46207.871701388889</v>
      </c>
      <c r="I76" t="s">
        <v>54</v>
      </c>
      <c r="K76" t="s">
        <v>137</v>
      </c>
      <c r="L76" t="s">
        <v>35</v>
      </c>
      <c r="M76">
        <v>708209804</v>
      </c>
      <c r="N76">
        <v>17657889986</v>
      </c>
      <c r="O76" t="s">
        <v>187</v>
      </c>
      <c r="Z76">
        <v>113747</v>
      </c>
    </row>
    <row r="77" spans="1:26" x14ac:dyDescent="0.25">
      <c r="A77" t="s">
        <v>188</v>
      </c>
      <c r="C77" t="s">
        <v>28</v>
      </c>
      <c r="E77" t="s">
        <v>186</v>
      </c>
      <c r="H77" s="2">
        <v>46207.840671296297</v>
      </c>
      <c r="I77" t="s">
        <v>54</v>
      </c>
      <c r="K77" t="s">
        <v>137</v>
      </c>
      <c r="L77" t="s">
        <v>35</v>
      </c>
      <c r="M77">
        <v>708209804</v>
      </c>
      <c r="N77">
        <v>17657889986</v>
      </c>
      <c r="O77" t="s">
        <v>189</v>
      </c>
      <c r="Z77">
        <v>113746</v>
      </c>
    </row>
    <row r="78" spans="1:26" x14ac:dyDescent="0.25">
      <c r="A78" t="s">
        <v>190</v>
      </c>
      <c r="B78" t="s">
        <v>27</v>
      </c>
      <c r="C78" t="s">
        <v>28</v>
      </c>
      <c r="H78" s="2">
        <v>46207.570625</v>
      </c>
      <c r="I78" t="s">
        <v>56</v>
      </c>
      <c r="Z78">
        <v>113735</v>
      </c>
    </row>
    <row r="79" spans="1:26" x14ac:dyDescent="0.25">
      <c r="A79" t="s">
        <v>191</v>
      </c>
      <c r="B79" t="s">
        <v>27</v>
      </c>
      <c r="C79" t="s">
        <v>28</v>
      </c>
      <c r="H79" s="2">
        <v>46207.486979166664</v>
      </c>
      <c r="I79" t="s">
        <v>54</v>
      </c>
      <c r="Z79">
        <v>113730</v>
      </c>
    </row>
    <row r="80" spans="1:26" x14ac:dyDescent="0.25">
      <c r="A80" t="s">
        <v>192</v>
      </c>
      <c r="B80" t="s">
        <v>27</v>
      </c>
      <c r="C80" t="s">
        <v>28</v>
      </c>
      <c r="H80" s="2">
        <v>46206.568136574075</v>
      </c>
      <c r="I80" t="s">
        <v>56</v>
      </c>
      <c r="Z80">
        <v>113709</v>
      </c>
    </row>
    <row r="81" spans="1:26" x14ac:dyDescent="0.25">
      <c r="A81" t="s">
        <v>193</v>
      </c>
      <c r="B81" t="s">
        <v>27</v>
      </c>
      <c r="C81" t="s">
        <v>28</v>
      </c>
      <c r="H81" s="2">
        <v>46205.783368055556</v>
      </c>
      <c r="I81" t="s">
        <v>31</v>
      </c>
      <c r="Z81">
        <v>113684</v>
      </c>
    </row>
    <row r="82" spans="1:26" x14ac:dyDescent="0.25">
      <c r="A82" t="s">
        <v>194</v>
      </c>
      <c r="B82" t="s">
        <v>27</v>
      </c>
      <c r="C82" t="s">
        <v>28</v>
      </c>
      <c r="H82" s="2">
        <v>46205.765289351853</v>
      </c>
      <c r="I82" t="s">
        <v>31</v>
      </c>
      <c r="Z82">
        <v>113683</v>
      </c>
    </row>
    <row r="83" spans="1:26" x14ac:dyDescent="0.25">
      <c r="A83" t="s">
        <v>195</v>
      </c>
      <c r="B83" t="s">
        <v>27</v>
      </c>
      <c r="C83" t="s">
        <v>28</v>
      </c>
      <c r="H83" s="2">
        <v>46205.739502314813</v>
      </c>
      <c r="I83" t="s">
        <v>29</v>
      </c>
      <c r="K83" t="s">
        <v>40</v>
      </c>
      <c r="L83" t="s">
        <v>41</v>
      </c>
      <c r="M83" t="s">
        <v>42</v>
      </c>
      <c r="N83" t="s">
        <v>42</v>
      </c>
      <c r="O83" t="s">
        <v>42</v>
      </c>
      <c r="P83" t="s">
        <v>196</v>
      </c>
      <c r="R83">
        <v>1.7829993954220001E+18</v>
      </c>
      <c r="S83" t="s">
        <v>83</v>
      </c>
      <c r="T83" t="s">
        <v>40</v>
      </c>
      <c r="U83" t="s">
        <v>41</v>
      </c>
      <c r="V83" t="s">
        <v>42</v>
      </c>
      <c r="W83" t="s">
        <v>42</v>
      </c>
      <c r="X83" t="s">
        <v>42</v>
      </c>
      <c r="Y83">
        <v>315</v>
      </c>
      <c r="Z83">
        <v>113681</v>
      </c>
    </row>
    <row r="84" spans="1:26" x14ac:dyDescent="0.25">
      <c r="A84" t="s">
        <v>197</v>
      </c>
      <c r="C84" t="s">
        <v>28</v>
      </c>
      <c r="E84" t="s">
        <v>198</v>
      </c>
      <c r="H84" s="2">
        <v>46205.719247685185</v>
      </c>
      <c r="I84" t="s">
        <v>29</v>
      </c>
      <c r="K84" t="s">
        <v>137</v>
      </c>
      <c r="L84" t="s">
        <v>35</v>
      </c>
      <c r="M84">
        <v>708209804</v>
      </c>
      <c r="N84">
        <v>17657889986</v>
      </c>
      <c r="O84" t="s">
        <v>199</v>
      </c>
      <c r="Z84">
        <v>113680</v>
      </c>
    </row>
    <row r="85" spans="1:26" x14ac:dyDescent="0.25">
      <c r="A85" t="s">
        <v>200</v>
      </c>
      <c r="B85" t="s">
        <v>27</v>
      </c>
      <c r="C85" t="s">
        <v>28</v>
      </c>
      <c r="H85" s="2">
        <v>46205.619363425925</v>
      </c>
      <c r="I85" t="s">
        <v>31</v>
      </c>
      <c r="Z85">
        <v>113676</v>
      </c>
    </row>
    <row r="86" spans="1:26" x14ac:dyDescent="0.25">
      <c r="A86" t="s">
        <v>201</v>
      </c>
      <c r="B86" t="s">
        <v>27</v>
      </c>
      <c r="C86" t="s">
        <v>28</v>
      </c>
      <c r="H86" s="2">
        <v>46204.661678240744</v>
      </c>
      <c r="I86" t="s">
        <v>31</v>
      </c>
      <c r="K86" t="s">
        <v>34</v>
      </c>
      <c r="L86" t="s">
        <v>35</v>
      </c>
      <c r="M86">
        <v>708209804</v>
      </c>
      <c r="N86">
        <v>17657889986</v>
      </c>
      <c r="O86" t="s">
        <v>144</v>
      </c>
      <c r="P86" t="s">
        <v>202</v>
      </c>
      <c r="R86">
        <v>1.78290673982654E+18</v>
      </c>
      <c r="S86" t="s">
        <v>83</v>
      </c>
      <c r="T86" t="s">
        <v>34</v>
      </c>
      <c r="U86" t="s">
        <v>35</v>
      </c>
      <c r="V86">
        <v>708209804</v>
      </c>
      <c r="W86">
        <v>17657889986</v>
      </c>
      <c r="X86" t="s">
        <v>144</v>
      </c>
      <c r="Y86">
        <v>5</v>
      </c>
      <c r="Z86">
        <v>113647</v>
      </c>
    </row>
    <row r="87" spans="1:26" x14ac:dyDescent="0.25">
      <c r="A87" t="s">
        <v>203</v>
      </c>
      <c r="C87" t="s">
        <v>28</v>
      </c>
      <c r="E87" t="s">
        <v>101</v>
      </c>
      <c r="H87" s="2">
        <v>46204.645995370367</v>
      </c>
      <c r="I87" t="s">
        <v>80</v>
      </c>
      <c r="K87" t="s">
        <v>137</v>
      </c>
      <c r="L87" t="s">
        <v>35</v>
      </c>
      <c r="M87">
        <v>708209804</v>
      </c>
      <c r="N87">
        <v>17710448884</v>
      </c>
      <c r="O87" t="s">
        <v>87</v>
      </c>
      <c r="Z87">
        <v>113646</v>
      </c>
    </row>
    <row r="88" spans="1:26" x14ac:dyDescent="0.25">
      <c r="A88" t="s">
        <v>194</v>
      </c>
      <c r="B88" t="s">
        <v>27</v>
      </c>
      <c r="C88" t="s">
        <v>28</v>
      </c>
      <c r="H88" s="2">
        <v>46204.483495370368</v>
      </c>
      <c r="I88" t="s">
        <v>31</v>
      </c>
      <c r="Z88">
        <v>113633</v>
      </c>
    </row>
    <row r="89" spans="1:26" x14ac:dyDescent="0.25">
      <c r="A89" t="s">
        <v>204</v>
      </c>
      <c r="B89" t="s">
        <v>27</v>
      </c>
      <c r="C89" t="s">
        <v>28</v>
      </c>
      <c r="H89" s="2">
        <v>46204.448842592596</v>
      </c>
      <c r="I89" t="s">
        <v>29</v>
      </c>
      <c r="Z89">
        <v>113625</v>
      </c>
    </row>
    <row r="90" spans="1:26" x14ac:dyDescent="0.25">
      <c r="A90" t="s">
        <v>205</v>
      </c>
      <c r="B90" t="s">
        <v>27</v>
      </c>
      <c r="C90" t="s">
        <v>28</v>
      </c>
      <c r="H90" s="2">
        <v>46204.423564814817</v>
      </c>
      <c r="I90" t="s">
        <v>29</v>
      </c>
      <c r="K90" t="s">
        <v>40</v>
      </c>
      <c r="L90" t="s">
        <v>41</v>
      </c>
      <c r="M90" t="s">
        <v>42</v>
      </c>
      <c r="N90" t="s">
        <v>42</v>
      </c>
      <c r="O90" t="s">
        <v>42</v>
      </c>
      <c r="P90" t="s">
        <v>206</v>
      </c>
      <c r="R90">
        <v>1.7611201928882499E+17</v>
      </c>
      <c r="T90" t="s">
        <v>40</v>
      </c>
      <c r="U90" t="s">
        <v>41</v>
      </c>
      <c r="V90" t="s">
        <v>42</v>
      </c>
      <c r="W90" t="s">
        <v>42</v>
      </c>
      <c r="X90" t="s">
        <v>42</v>
      </c>
      <c r="Y90">
        <v>2</v>
      </c>
      <c r="Z90">
        <v>113622</v>
      </c>
    </row>
    <row r="91" spans="1:26" x14ac:dyDescent="0.25">
      <c r="A91" t="s">
        <v>207</v>
      </c>
      <c r="C91" t="s">
        <v>28</v>
      </c>
      <c r="E91" t="s">
        <v>208</v>
      </c>
      <c r="H91" s="2">
        <v>46203.454351851855</v>
      </c>
      <c r="I91" t="s">
        <v>31</v>
      </c>
      <c r="K91" t="s">
        <v>137</v>
      </c>
      <c r="L91" t="s">
        <v>35</v>
      </c>
      <c r="M91">
        <v>708209804</v>
      </c>
      <c r="N91">
        <v>17710448884</v>
      </c>
      <c r="O91" t="s">
        <v>87</v>
      </c>
      <c r="Z91">
        <v>113601</v>
      </c>
    </row>
    <row r="92" spans="1:26" x14ac:dyDescent="0.25">
      <c r="A92" t="s">
        <v>33</v>
      </c>
      <c r="C92" t="s">
        <v>28</v>
      </c>
      <c r="E92" t="s">
        <v>209</v>
      </c>
      <c r="H92" s="2">
        <v>46203.44903935185</v>
      </c>
      <c r="I92" t="s">
        <v>31</v>
      </c>
      <c r="K92" t="s">
        <v>137</v>
      </c>
      <c r="L92" t="s">
        <v>35</v>
      </c>
      <c r="M92">
        <v>708209804</v>
      </c>
      <c r="N92">
        <v>17710448884</v>
      </c>
      <c r="O92" t="s">
        <v>210</v>
      </c>
      <c r="Z92">
        <v>113600</v>
      </c>
    </row>
    <row r="93" spans="1:26" x14ac:dyDescent="0.25">
      <c r="A93" t="s">
        <v>211</v>
      </c>
      <c r="B93" t="s">
        <v>74</v>
      </c>
      <c r="C93" t="s">
        <v>28</v>
      </c>
      <c r="E93" t="s">
        <v>212</v>
      </c>
      <c r="G93" t="s">
        <v>213</v>
      </c>
      <c r="H93" s="2">
        <v>46203.410717592589</v>
      </c>
      <c r="I93" t="s">
        <v>31</v>
      </c>
      <c r="Z93">
        <v>113597</v>
      </c>
    </row>
    <row r="94" spans="1:26" x14ac:dyDescent="0.25">
      <c r="A94" t="s">
        <v>214</v>
      </c>
      <c r="B94" t="s">
        <v>27</v>
      </c>
      <c r="C94" t="s">
        <v>28</v>
      </c>
      <c r="H94" s="2">
        <v>46202.777581018519</v>
      </c>
      <c r="I94" t="s">
        <v>56</v>
      </c>
      <c r="K94" t="s">
        <v>34</v>
      </c>
      <c r="L94" t="s">
        <v>35</v>
      </c>
      <c r="M94">
        <v>708209804</v>
      </c>
      <c r="N94">
        <v>17710448884</v>
      </c>
      <c r="O94" t="s">
        <v>157</v>
      </c>
      <c r="P94" t="s">
        <v>215</v>
      </c>
      <c r="R94">
        <v>1.78274391657982E+18</v>
      </c>
      <c r="S94" t="s">
        <v>38</v>
      </c>
      <c r="T94" t="s">
        <v>34</v>
      </c>
      <c r="U94" t="s">
        <v>35</v>
      </c>
      <c r="V94">
        <v>708209804</v>
      </c>
      <c r="W94">
        <v>17710448884</v>
      </c>
      <c r="X94" t="s">
        <v>157</v>
      </c>
      <c r="Y94">
        <v>4</v>
      </c>
      <c r="Z94">
        <v>113591</v>
      </c>
    </row>
    <row r="95" spans="1:26" x14ac:dyDescent="0.25">
      <c r="A95" t="s">
        <v>216</v>
      </c>
      <c r="B95" t="s">
        <v>27</v>
      </c>
      <c r="C95" t="s">
        <v>28</v>
      </c>
      <c r="H95" s="2">
        <v>46202.76158564815</v>
      </c>
      <c r="I95" t="s">
        <v>54</v>
      </c>
      <c r="Z95">
        <v>113587</v>
      </c>
    </row>
    <row r="96" spans="1:26" x14ac:dyDescent="0.25">
      <c r="A96" t="s">
        <v>217</v>
      </c>
      <c r="C96" t="s">
        <v>155</v>
      </c>
      <c r="E96" t="s">
        <v>218</v>
      </c>
      <c r="H96" s="2">
        <v>46202.666724537034</v>
      </c>
      <c r="I96" t="s">
        <v>56</v>
      </c>
      <c r="K96" t="s">
        <v>137</v>
      </c>
      <c r="L96" t="s">
        <v>35</v>
      </c>
      <c r="M96">
        <v>708209804</v>
      </c>
      <c r="N96">
        <v>17710448884</v>
      </c>
      <c r="O96" t="s">
        <v>219</v>
      </c>
      <c r="Z96">
        <v>113583</v>
      </c>
    </row>
    <row r="97" spans="1:26" x14ac:dyDescent="0.25">
      <c r="A97" t="s">
        <v>220</v>
      </c>
      <c r="C97" t="s">
        <v>28</v>
      </c>
      <c r="E97" t="s">
        <v>59</v>
      </c>
      <c r="H97" s="2">
        <v>46201.788263888891</v>
      </c>
      <c r="I97" t="s">
        <v>56</v>
      </c>
      <c r="K97" t="s">
        <v>137</v>
      </c>
      <c r="L97" t="s">
        <v>35</v>
      </c>
      <c r="M97">
        <v>708209804</v>
      </c>
      <c r="N97">
        <v>17657889986</v>
      </c>
      <c r="O97" t="s">
        <v>221</v>
      </c>
      <c r="Z97">
        <v>113553</v>
      </c>
    </row>
    <row r="98" spans="1:26" x14ac:dyDescent="0.25">
      <c r="A98" t="s">
        <v>222</v>
      </c>
      <c r="B98" t="s">
        <v>74</v>
      </c>
      <c r="C98" t="s">
        <v>28</v>
      </c>
      <c r="E98" t="s">
        <v>223</v>
      </c>
      <c r="G98" t="s">
        <v>224</v>
      </c>
      <c r="H98" s="2">
        <v>46201.569351851853</v>
      </c>
      <c r="I98" t="s">
        <v>56</v>
      </c>
      <c r="Z98">
        <v>113548</v>
      </c>
    </row>
    <row r="99" spans="1:26" x14ac:dyDescent="0.25">
      <c r="A99" t="s">
        <v>225</v>
      </c>
      <c r="B99" t="s">
        <v>27</v>
      </c>
      <c r="C99" t="s">
        <v>28</v>
      </c>
      <c r="H99" s="2">
        <v>46201.440358796295</v>
      </c>
      <c r="I99" t="s">
        <v>56</v>
      </c>
      <c r="Z99">
        <v>113544</v>
      </c>
    </row>
    <row r="100" spans="1:26" x14ac:dyDescent="0.25">
      <c r="A100" t="s">
        <v>226</v>
      </c>
      <c r="C100" t="s">
        <v>28</v>
      </c>
      <c r="E100" t="s">
        <v>227</v>
      </c>
      <c r="H100" s="2">
        <v>46200.643101851849</v>
      </c>
      <c r="I100" t="s">
        <v>80</v>
      </c>
      <c r="K100" t="s">
        <v>137</v>
      </c>
      <c r="L100" t="s">
        <v>35</v>
      </c>
      <c r="M100">
        <v>708209804</v>
      </c>
      <c r="N100">
        <v>17710448884</v>
      </c>
      <c r="O100" t="s">
        <v>87</v>
      </c>
      <c r="Z100">
        <v>113535</v>
      </c>
    </row>
    <row r="101" spans="1:26" x14ac:dyDescent="0.25">
      <c r="A101" t="s">
        <v>228</v>
      </c>
      <c r="B101" t="s">
        <v>27</v>
      </c>
      <c r="C101" t="s">
        <v>28</v>
      </c>
      <c r="H101" s="2">
        <v>46200.634780092594</v>
      </c>
      <c r="I101" t="s">
        <v>80</v>
      </c>
      <c r="Z101">
        <v>113534</v>
      </c>
    </row>
    <row r="102" spans="1:26" x14ac:dyDescent="0.25">
      <c r="A102" t="s">
        <v>229</v>
      </c>
      <c r="B102" t="s">
        <v>27</v>
      </c>
      <c r="C102" t="s">
        <v>28</v>
      </c>
      <c r="H102" s="2">
        <v>46200.407824074071</v>
      </c>
      <c r="I102" t="s">
        <v>31</v>
      </c>
      <c r="K102" t="s">
        <v>34</v>
      </c>
      <c r="L102" t="s">
        <v>35</v>
      </c>
      <c r="M102">
        <v>708209804</v>
      </c>
      <c r="N102">
        <v>17710448884</v>
      </c>
      <c r="O102" t="s">
        <v>157</v>
      </c>
      <c r="P102" t="s">
        <v>230</v>
      </c>
      <c r="S102" t="s">
        <v>83</v>
      </c>
      <c r="T102" t="s">
        <v>34</v>
      </c>
      <c r="U102" t="s">
        <v>35</v>
      </c>
      <c r="V102">
        <v>708209804</v>
      </c>
      <c r="W102">
        <v>17710448884</v>
      </c>
      <c r="X102" t="s">
        <v>157</v>
      </c>
      <c r="Y102">
        <v>0</v>
      </c>
      <c r="Z102">
        <v>113525</v>
      </c>
    </row>
    <row r="103" spans="1:26" x14ac:dyDescent="0.25">
      <c r="A103" t="s">
        <v>231</v>
      </c>
      <c r="C103" t="s">
        <v>28</v>
      </c>
      <c r="E103" t="s">
        <v>232</v>
      </c>
      <c r="H103" s="2">
        <v>46199.865173611113</v>
      </c>
      <c r="I103" t="s">
        <v>80</v>
      </c>
      <c r="K103" t="s">
        <v>137</v>
      </c>
      <c r="L103" t="s">
        <v>35</v>
      </c>
      <c r="M103">
        <v>708209804</v>
      </c>
      <c r="N103">
        <v>17657889986</v>
      </c>
      <c r="O103" t="s">
        <v>233</v>
      </c>
      <c r="Z103">
        <v>113522</v>
      </c>
    </row>
    <row r="104" spans="1:26" x14ac:dyDescent="0.25">
      <c r="A104" t="s">
        <v>234</v>
      </c>
      <c r="B104" t="s">
        <v>27</v>
      </c>
      <c r="C104" t="s">
        <v>28</v>
      </c>
      <c r="H104" s="2">
        <v>46199.529166666667</v>
      </c>
      <c r="I104" t="s">
        <v>56</v>
      </c>
      <c r="K104" t="s">
        <v>178</v>
      </c>
      <c r="L104" t="s">
        <v>42</v>
      </c>
      <c r="M104" t="s">
        <v>42</v>
      </c>
      <c r="N104" t="s">
        <v>42</v>
      </c>
      <c r="O104" t="s">
        <v>42</v>
      </c>
      <c r="P104" t="s">
        <v>235</v>
      </c>
      <c r="R104">
        <v>1.7824632867175601E+18</v>
      </c>
      <c r="S104" t="s">
        <v>38</v>
      </c>
      <c r="T104" t="s">
        <v>178</v>
      </c>
      <c r="U104" t="s">
        <v>42</v>
      </c>
      <c r="V104" t="s">
        <v>42</v>
      </c>
      <c r="W104" t="s">
        <v>42</v>
      </c>
      <c r="X104" t="s">
        <v>42</v>
      </c>
      <c r="Y104">
        <v>3</v>
      </c>
      <c r="Z104">
        <v>113504</v>
      </c>
    </row>
    <row r="105" spans="1:26" x14ac:dyDescent="0.25">
      <c r="A105" t="s">
        <v>236</v>
      </c>
      <c r="B105" t="s">
        <v>27</v>
      </c>
      <c r="C105" t="s">
        <v>28</v>
      </c>
      <c r="H105" s="2">
        <v>46199.496238425927</v>
      </c>
      <c r="I105" t="s">
        <v>31</v>
      </c>
      <c r="Z105">
        <v>113501</v>
      </c>
    </row>
    <row r="106" spans="1:26" x14ac:dyDescent="0.25">
      <c r="A106" t="s">
        <v>237</v>
      </c>
      <c r="B106" t="s">
        <v>27</v>
      </c>
      <c r="C106" t="s">
        <v>28</v>
      </c>
      <c r="H106" s="2">
        <v>46199.432951388888</v>
      </c>
      <c r="I106" t="s">
        <v>56</v>
      </c>
      <c r="Z106">
        <v>113498</v>
      </c>
    </row>
    <row r="107" spans="1:26" x14ac:dyDescent="0.25">
      <c r="A107" t="s">
        <v>238</v>
      </c>
      <c r="C107" t="s">
        <v>28</v>
      </c>
      <c r="E107" t="s">
        <v>239</v>
      </c>
      <c r="H107" s="2">
        <v>46198.631724537037</v>
      </c>
      <c r="I107" t="s">
        <v>80</v>
      </c>
      <c r="K107" t="s">
        <v>137</v>
      </c>
      <c r="L107" t="s">
        <v>35</v>
      </c>
      <c r="M107">
        <v>708209804</v>
      </c>
      <c r="N107">
        <v>17710448884</v>
      </c>
      <c r="O107" t="s">
        <v>87</v>
      </c>
      <c r="Z107">
        <v>113469</v>
      </c>
    </row>
    <row r="108" spans="1:26" x14ac:dyDescent="0.25">
      <c r="A108" t="s">
        <v>240</v>
      </c>
      <c r="B108" t="s">
        <v>27</v>
      </c>
      <c r="C108" t="s">
        <v>28</v>
      </c>
      <c r="H108" s="2">
        <v>46198.584548611114</v>
      </c>
      <c r="I108" t="s">
        <v>31</v>
      </c>
      <c r="K108" t="s">
        <v>40</v>
      </c>
      <c r="L108" t="s">
        <v>41</v>
      </c>
      <c r="M108" t="s">
        <v>42</v>
      </c>
      <c r="N108" t="s">
        <v>42</v>
      </c>
      <c r="O108" t="s">
        <v>42</v>
      </c>
      <c r="P108" t="s">
        <v>241</v>
      </c>
      <c r="R108">
        <v>1.75654174229056E+18</v>
      </c>
      <c r="S108" t="s">
        <v>165</v>
      </c>
      <c r="T108" t="s">
        <v>40</v>
      </c>
      <c r="U108" t="s">
        <v>41</v>
      </c>
      <c r="V108" t="s">
        <v>42</v>
      </c>
      <c r="W108" t="s">
        <v>42</v>
      </c>
      <c r="X108" t="s">
        <v>42</v>
      </c>
      <c r="Y108">
        <v>3</v>
      </c>
      <c r="Z108">
        <v>113463</v>
      </c>
    </row>
    <row r="109" spans="1:26" x14ac:dyDescent="0.25">
      <c r="A109" t="s">
        <v>242</v>
      </c>
      <c r="B109" t="s">
        <v>27</v>
      </c>
      <c r="C109" t="s">
        <v>28</v>
      </c>
      <c r="H109" s="2">
        <v>46198.575011574074</v>
      </c>
      <c r="I109" t="s">
        <v>54</v>
      </c>
      <c r="Z109">
        <v>113459</v>
      </c>
    </row>
    <row r="110" spans="1:26" x14ac:dyDescent="0.25">
      <c r="A110" t="s">
        <v>243</v>
      </c>
      <c r="B110" t="s">
        <v>27</v>
      </c>
      <c r="C110" t="s">
        <v>28</v>
      </c>
      <c r="H110" s="2">
        <v>46198.453668981485</v>
      </c>
      <c r="I110" t="s">
        <v>54</v>
      </c>
      <c r="Z110">
        <v>113450</v>
      </c>
    </row>
    <row r="111" spans="1:26" x14ac:dyDescent="0.25">
      <c r="A111" t="s">
        <v>244</v>
      </c>
      <c r="B111" t="s">
        <v>27</v>
      </c>
      <c r="C111" t="s">
        <v>75</v>
      </c>
      <c r="H111" s="2">
        <v>46198.408668981479</v>
      </c>
      <c r="I111" t="s">
        <v>31</v>
      </c>
      <c r="Z111">
        <v>113448</v>
      </c>
    </row>
    <row r="112" spans="1:26" x14ac:dyDescent="0.25">
      <c r="A112" t="s">
        <v>245</v>
      </c>
      <c r="B112" t="s">
        <v>27</v>
      </c>
      <c r="C112" t="s">
        <v>28</v>
      </c>
      <c r="H112" s="2">
        <v>46197.729120370372</v>
      </c>
      <c r="I112" t="s">
        <v>54</v>
      </c>
      <c r="Z112">
        <v>113431</v>
      </c>
    </row>
    <row r="113" spans="1:26" x14ac:dyDescent="0.25">
      <c r="A113" t="s">
        <v>246</v>
      </c>
      <c r="B113" t="s">
        <v>46</v>
      </c>
      <c r="C113" t="s">
        <v>155</v>
      </c>
      <c r="E113" t="s">
        <v>186</v>
      </c>
      <c r="H113" s="2">
        <v>46197.675474537034</v>
      </c>
      <c r="I113" t="s">
        <v>31</v>
      </c>
      <c r="K113" t="s">
        <v>48</v>
      </c>
      <c r="Z113">
        <v>113426</v>
      </c>
    </row>
    <row r="114" spans="1:26" x14ac:dyDescent="0.25">
      <c r="A114" t="s">
        <v>247</v>
      </c>
      <c r="B114" t="s">
        <v>27</v>
      </c>
      <c r="C114" t="s">
        <v>28</v>
      </c>
      <c r="H114" s="2">
        <v>46197.671840277777</v>
      </c>
      <c r="I114" t="s">
        <v>54</v>
      </c>
      <c r="K114" t="s">
        <v>34</v>
      </c>
      <c r="L114" t="s">
        <v>35</v>
      </c>
      <c r="M114">
        <v>708209804</v>
      </c>
      <c r="N114">
        <v>17710448884</v>
      </c>
      <c r="O114" t="s">
        <v>248</v>
      </c>
      <c r="P114" t="s">
        <v>249</v>
      </c>
      <c r="R114">
        <v>1.7823027862677801E+18</v>
      </c>
      <c r="S114" t="s">
        <v>38</v>
      </c>
      <c r="T114" t="s">
        <v>34</v>
      </c>
      <c r="U114" t="s">
        <v>35</v>
      </c>
      <c r="V114">
        <v>708209804</v>
      </c>
      <c r="W114">
        <v>17710448884</v>
      </c>
      <c r="X114" t="s">
        <v>248</v>
      </c>
      <c r="Y114">
        <v>6</v>
      </c>
      <c r="Z114">
        <v>113425</v>
      </c>
    </row>
    <row r="115" spans="1:26" x14ac:dyDescent="0.25">
      <c r="A115" t="s">
        <v>194</v>
      </c>
      <c r="B115" t="s">
        <v>27</v>
      </c>
      <c r="C115" t="s">
        <v>28</v>
      </c>
      <c r="H115" s="2">
        <v>46197.511342592596</v>
      </c>
      <c r="I115" t="s">
        <v>31</v>
      </c>
      <c r="Z115">
        <v>113417</v>
      </c>
    </row>
    <row r="116" spans="1:26" x14ac:dyDescent="0.25">
      <c r="A116" t="s">
        <v>250</v>
      </c>
      <c r="C116" t="s">
        <v>28</v>
      </c>
      <c r="E116" t="s">
        <v>101</v>
      </c>
      <c r="H116" s="2">
        <v>46197.499745370369</v>
      </c>
      <c r="I116" t="s">
        <v>54</v>
      </c>
      <c r="K116" t="s">
        <v>137</v>
      </c>
      <c r="L116" t="s">
        <v>35</v>
      </c>
      <c r="M116">
        <v>708209804</v>
      </c>
      <c r="N116">
        <v>17710448884</v>
      </c>
      <c r="O116" t="s">
        <v>251</v>
      </c>
      <c r="Z116">
        <v>113416</v>
      </c>
    </row>
    <row r="117" spans="1:26" x14ac:dyDescent="0.25">
      <c r="A117" t="s">
        <v>252</v>
      </c>
      <c r="B117" t="s">
        <v>27</v>
      </c>
      <c r="C117" t="s">
        <v>28</v>
      </c>
      <c r="H117" s="2">
        <v>46197.41741898148</v>
      </c>
      <c r="I117" t="s">
        <v>31</v>
      </c>
      <c r="K117" t="s">
        <v>40</v>
      </c>
      <c r="L117" t="s">
        <v>41</v>
      </c>
      <c r="M117" t="s">
        <v>42</v>
      </c>
      <c r="N117" t="s">
        <v>42</v>
      </c>
      <c r="O117" t="s">
        <v>42</v>
      </c>
      <c r="P117" t="s">
        <v>253</v>
      </c>
      <c r="R117">
        <v>1.78228072054526E+18</v>
      </c>
      <c r="S117" t="s">
        <v>38</v>
      </c>
      <c r="T117" t="s">
        <v>40</v>
      </c>
      <c r="U117" t="s">
        <v>41</v>
      </c>
      <c r="V117" t="s">
        <v>42</v>
      </c>
      <c r="W117" t="s">
        <v>42</v>
      </c>
      <c r="X117" t="s">
        <v>42</v>
      </c>
      <c r="Y117">
        <v>92</v>
      </c>
      <c r="Z117">
        <v>113405</v>
      </c>
    </row>
    <row r="118" spans="1:26" x14ac:dyDescent="0.25">
      <c r="A118" t="s">
        <v>254</v>
      </c>
      <c r="B118" t="s">
        <v>27</v>
      </c>
      <c r="C118" t="s">
        <v>28</v>
      </c>
      <c r="H118" s="2">
        <v>46196.736539351848</v>
      </c>
      <c r="I118" t="s">
        <v>54</v>
      </c>
      <c r="Z118">
        <v>113393</v>
      </c>
    </row>
    <row r="119" spans="1:26" x14ac:dyDescent="0.25">
      <c r="A119" t="s">
        <v>255</v>
      </c>
      <c r="C119" t="s">
        <v>28</v>
      </c>
      <c r="E119" t="s">
        <v>256</v>
      </c>
      <c r="H119" s="2">
        <v>46196.453831018516</v>
      </c>
      <c r="I119" t="s">
        <v>56</v>
      </c>
      <c r="K119" t="s">
        <v>137</v>
      </c>
      <c r="L119" t="s">
        <v>35</v>
      </c>
      <c r="M119">
        <v>708209804</v>
      </c>
      <c r="N119">
        <v>17657889986</v>
      </c>
      <c r="O119" t="s">
        <v>257</v>
      </c>
      <c r="Z119">
        <v>113376</v>
      </c>
    </row>
    <row r="120" spans="1:26" x14ac:dyDescent="0.25">
      <c r="A120" t="s">
        <v>258</v>
      </c>
      <c r="C120" t="s">
        <v>28</v>
      </c>
      <c r="H120" s="2">
        <v>46196.394965277781</v>
      </c>
      <c r="I120" t="s">
        <v>54</v>
      </c>
      <c r="K120" t="s">
        <v>137</v>
      </c>
      <c r="Z120">
        <v>113370</v>
      </c>
    </row>
    <row r="121" spans="1:26" x14ac:dyDescent="0.25">
      <c r="A121" t="s">
        <v>259</v>
      </c>
      <c r="B121" t="s">
        <v>74</v>
      </c>
      <c r="C121" t="s">
        <v>28</v>
      </c>
      <c r="E121" t="s">
        <v>260</v>
      </c>
      <c r="G121" t="s">
        <v>261</v>
      </c>
      <c r="H121" s="2">
        <v>46195.798113425924</v>
      </c>
      <c r="I121" t="s">
        <v>54</v>
      </c>
      <c r="Z121">
        <v>113368</v>
      </c>
    </row>
    <row r="122" spans="1:26" x14ac:dyDescent="0.25">
      <c r="A122" t="s">
        <v>262</v>
      </c>
      <c r="B122" t="s">
        <v>27</v>
      </c>
      <c r="C122" t="s">
        <v>28</v>
      </c>
      <c r="H122" s="2">
        <v>46195.519085648149</v>
      </c>
      <c r="I122" t="s">
        <v>56</v>
      </c>
      <c r="Z122">
        <v>113357</v>
      </c>
    </row>
    <row r="123" spans="1:26" x14ac:dyDescent="0.25">
      <c r="A123" t="s">
        <v>263</v>
      </c>
      <c r="B123" t="s">
        <v>27</v>
      </c>
      <c r="C123" t="s">
        <v>28</v>
      </c>
      <c r="H123" s="2">
        <v>46195.493287037039</v>
      </c>
      <c r="I123" t="s">
        <v>54</v>
      </c>
      <c r="K123" t="s">
        <v>40</v>
      </c>
      <c r="L123" t="s">
        <v>41</v>
      </c>
      <c r="M123" t="s">
        <v>42</v>
      </c>
      <c r="N123" t="s">
        <v>42</v>
      </c>
      <c r="O123" t="s">
        <v>42</v>
      </c>
      <c r="P123" t="s">
        <v>264</v>
      </c>
      <c r="S123" t="s">
        <v>38</v>
      </c>
      <c r="T123" t="s">
        <v>40</v>
      </c>
      <c r="U123" t="s">
        <v>41</v>
      </c>
      <c r="V123" t="s">
        <v>42</v>
      </c>
      <c r="W123" t="s">
        <v>42</v>
      </c>
      <c r="X123" t="s">
        <v>42</v>
      </c>
      <c r="Y123">
        <v>0</v>
      </c>
      <c r="Z123">
        <v>113355</v>
      </c>
    </row>
    <row r="124" spans="1:26" x14ac:dyDescent="0.25">
      <c r="A124" t="s">
        <v>265</v>
      </c>
      <c r="C124" t="s">
        <v>28</v>
      </c>
      <c r="E124" t="s">
        <v>266</v>
      </c>
      <c r="H124" s="2">
        <v>46194.788402777776</v>
      </c>
      <c r="I124" t="s">
        <v>80</v>
      </c>
      <c r="K124" t="s">
        <v>137</v>
      </c>
      <c r="L124" t="s">
        <v>35</v>
      </c>
      <c r="M124">
        <v>708209804</v>
      </c>
      <c r="N124">
        <v>17710448884</v>
      </c>
      <c r="O124" t="s">
        <v>267</v>
      </c>
      <c r="Z124">
        <v>113342</v>
      </c>
    </row>
    <row r="125" spans="1:26" x14ac:dyDescent="0.25">
      <c r="A125" t="s">
        <v>268</v>
      </c>
      <c r="B125" t="s">
        <v>27</v>
      </c>
      <c r="C125" t="s">
        <v>28</v>
      </c>
      <c r="H125" s="2">
        <v>46194.778587962966</v>
      </c>
      <c r="I125" t="s">
        <v>31</v>
      </c>
      <c r="Z125">
        <v>113340</v>
      </c>
    </row>
    <row r="126" spans="1:26" x14ac:dyDescent="0.25">
      <c r="A126" t="s">
        <v>269</v>
      </c>
      <c r="B126" t="s">
        <v>27</v>
      </c>
      <c r="C126" t="s">
        <v>28</v>
      </c>
      <c r="H126" s="2">
        <v>46194.772800925923</v>
      </c>
      <c r="I126" t="s">
        <v>31</v>
      </c>
      <c r="Z126">
        <v>113338</v>
      </c>
    </row>
    <row r="127" spans="1:26" x14ac:dyDescent="0.25">
      <c r="A127" t="s">
        <v>270</v>
      </c>
      <c r="B127" t="s">
        <v>27</v>
      </c>
      <c r="C127" t="s">
        <v>28</v>
      </c>
      <c r="H127" s="2">
        <v>46194.506678240738</v>
      </c>
      <c r="I127" t="s">
        <v>31</v>
      </c>
      <c r="Z127">
        <v>113325</v>
      </c>
    </row>
    <row r="128" spans="1:26" x14ac:dyDescent="0.25">
      <c r="A128" t="s">
        <v>271</v>
      </c>
      <c r="B128" t="s">
        <v>74</v>
      </c>
      <c r="C128" t="s">
        <v>28</v>
      </c>
      <c r="E128" t="s">
        <v>272</v>
      </c>
      <c r="G128" t="s">
        <v>273</v>
      </c>
      <c r="H128" s="2">
        <v>46193.902557870373</v>
      </c>
      <c r="I128" t="s">
        <v>31</v>
      </c>
      <c r="Z128">
        <v>113317</v>
      </c>
    </row>
    <row r="129" spans="1:26" x14ac:dyDescent="0.25">
      <c r="A129" t="s">
        <v>274</v>
      </c>
      <c r="B129" t="s">
        <v>27</v>
      </c>
      <c r="C129" t="s">
        <v>28</v>
      </c>
      <c r="H129" s="2">
        <v>46193.71361111111</v>
      </c>
      <c r="I129" t="s">
        <v>56</v>
      </c>
      <c r="Z129">
        <v>113312</v>
      </c>
    </row>
    <row r="130" spans="1:26" x14ac:dyDescent="0.25">
      <c r="A130" t="s">
        <v>275</v>
      </c>
      <c r="B130" t="s">
        <v>27</v>
      </c>
      <c r="C130" t="s">
        <v>28</v>
      </c>
      <c r="H130" s="2">
        <v>46193.661932870367</v>
      </c>
      <c r="I130" t="s">
        <v>31</v>
      </c>
      <c r="Z130">
        <v>113311</v>
      </c>
    </row>
    <row r="131" spans="1:26" x14ac:dyDescent="0.25">
      <c r="A131" t="s">
        <v>276</v>
      </c>
      <c r="B131" t="s">
        <v>27</v>
      </c>
      <c r="C131" t="s">
        <v>28</v>
      </c>
      <c r="H131" s="2">
        <v>46193.605046296296</v>
      </c>
      <c r="I131" t="s">
        <v>56</v>
      </c>
      <c r="Z131">
        <v>113309</v>
      </c>
    </row>
    <row r="132" spans="1:26" x14ac:dyDescent="0.25">
      <c r="A132" t="s">
        <v>277</v>
      </c>
      <c r="C132" t="s">
        <v>28</v>
      </c>
      <c r="E132" t="s">
        <v>278</v>
      </c>
      <c r="H132" s="2">
        <v>46193.486655092594</v>
      </c>
      <c r="I132" t="s">
        <v>31</v>
      </c>
      <c r="K132" t="s">
        <v>137</v>
      </c>
      <c r="L132" t="s">
        <v>35</v>
      </c>
      <c r="M132">
        <v>708209804</v>
      </c>
      <c r="N132">
        <v>17710448884</v>
      </c>
      <c r="O132" t="s">
        <v>87</v>
      </c>
      <c r="Z132">
        <v>113302</v>
      </c>
    </row>
    <row r="133" spans="1:26" x14ac:dyDescent="0.25">
      <c r="A133" t="s">
        <v>279</v>
      </c>
      <c r="B133" t="s">
        <v>74</v>
      </c>
      <c r="C133" t="s">
        <v>28</v>
      </c>
      <c r="E133" t="s">
        <v>209</v>
      </c>
      <c r="G133" t="s">
        <v>280</v>
      </c>
      <c r="H133" s="2">
        <v>46193.476435185185</v>
      </c>
      <c r="I133" t="s">
        <v>56</v>
      </c>
      <c r="Z133">
        <v>113301</v>
      </c>
    </row>
    <row r="134" spans="1:26" x14ac:dyDescent="0.25">
      <c r="A134" t="s">
        <v>281</v>
      </c>
      <c r="C134" t="s">
        <v>28</v>
      </c>
      <c r="E134" t="s">
        <v>61</v>
      </c>
      <c r="H134" s="2">
        <v>46192.755937499998</v>
      </c>
      <c r="I134" t="s">
        <v>80</v>
      </c>
      <c r="K134" t="s">
        <v>137</v>
      </c>
      <c r="L134" t="s">
        <v>35</v>
      </c>
      <c r="M134">
        <v>708209804</v>
      </c>
      <c r="N134">
        <v>17710448884</v>
      </c>
      <c r="O134" t="s">
        <v>282</v>
      </c>
      <c r="Z134">
        <v>113288</v>
      </c>
    </row>
    <row r="135" spans="1:26" x14ac:dyDescent="0.25">
      <c r="A135" t="s">
        <v>283</v>
      </c>
      <c r="B135" t="s">
        <v>27</v>
      </c>
      <c r="C135" t="s">
        <v>28</v>
      </c>
      <c r="H135" s="2">
        <v>46192.74496527778</v>
      </c>
      <c r="I135" t="s">
        <v>31</v>
      </c>
      <c r="Z135">
        <v>113285</v>
      </c>
    </row>
    <row r="136" spans="1:26" x14ac:dyDescent="0.25">
      <c r="A136" t="s">
        <v>284</v>
      </c>
      <c r="B136" t="s">
        <v>27</v>
      </c>
      <c r="C136" t="s">
        <v>28</v>
      </c>
      <c r="H136" s="2">
        <v>46192.715509259258</v>
      </c>
      <c r="I136" t="s">
        <v>54</v>
      </c>
      <c r="Z136">
        <v>113283</v>
      </c>
    </row>
    <row r="137" spans="1:26" x14ac:dyDescent="0.25">
      <c r="A137" t="s">
        <v>285</v>
      </c>
      <c r="B137" t="s">
        <v>27</v>
      </c>
      <c r="C137" t="s">
        <v>28</v>
      </c>
      <c r="H137" s="2">
        <v>46192.693252314813</v>
      </c>
      <c r="I137" t="s">
        <v>31</v>
      </c>
      <c r="Z137">
        <v>113281</v>
      </c>
    </row>
    <row r="138" spans="1:26" x14ac:dyDescent="0.25">
      <c r="A138" t="s">
        <v>286</v>
      </c>
      <c r="B138" t="s">
        <v>27</v>
      </c>
      <c r="C138" t="s">
        <v>28</v>
      </c>
      <c r="H138" s="2">
        <v>46192.634016203701</v>
      </c>
      <c r="I138" t="s">
        <v>54</v>
      </c>
      <c r="Z138">
        <v>113277</v>
      </c>
    </row>
    <row r="139" spans="1:26" x14ac:dyDescent="0.25">
      <c r="A139" t="s">
        <v>287</v>
      </c>
      <c r="B139" t="s">
        <v>74</v>
      </c>
      <c r="C139" t="s">
        <v>28</v>
      </c>
      <c r="E139" t="s">
        <v>278</v>
      </c>
      <c r="G139" t="s">
        <v>288</v>
      </c>
      <c r="H139" s="2">
        <v>46192.597557870373</v>
      </c>
      <c r="I139" t="s">
        <v>31</v>
      </c>
      <c r="Z139">
        <v>113276</v>
      </c>
    </row>
    <row r="140" spans="1:26" x14ac:dyDescent="0.25">
      <c r="A140" t="s">
        <v>289</v>
      </c>
      <c r="C140" t="s">
        <v>28</v>
      </c>
      <c r="E140" t="s">
        <v>290</v>
      </c>
      <c r="H140" s="2">
        <v>46191.402337962965</v>
      </c>
      <c r="I140" t="s">
        <v>80</v>
      </c>
      <c r="K140" t="s">
        <v>137</v>
      </c>
      <c r="L140" t="s">
        <v>35</v>
      </c>
      <c r="M140">
        <v>708209804</v>
      </c>
      <c r="N140">
        <v>17710448884</v>
      </c>
      <c r="O140" t="s">
        <v>87</v>
      </c>
      <c r="Z140">
        <v>113234</v>
      </c>
    </row>
    <row r="141" spans="1:26" x14ac:dyDescent="0.25">
      <c r="A141" t="s">
        <v>291</v>
      </c>
      <c r="B141" t="s">
        <v>27</v>
      </c>
      <c r="C141" t="s">
        <v>28</v>
      </c>
      <c r="H141" s="2">
        <v>46190.803749999999</v>
      </c>
      <c r="I141" t="s">
        <v>56</v>
      </c>
      <c r="Z141">
        <v>113227</v>
      </c>
    </row>
    <row r="142" spans="1:26" x14ac:dyDescent="0.25">
      <c r="A142" t="s">
        <v>292</v>
      </c>
      <c r="B142" t="s">
        <v>27</v>
      </c>
      <c r="C142" t="s">
        <v>28</v>
      </c>
      <c r="H142" s="2">
        <v>46190.770520833335</v>
      </c>
      <c r="I142" t="s">
        <v>56</v>
      </c>
      <c r="Z142">
        <v>113226</v>
      </c>
    </row>
    <row r="143" spans="1:26" x14ac:dyDescent="0.25">
      <c r="A143" t="s">
        <v>293</v>
      </c>
      <c r="B143" t="s">
        <v>27</v>
      </c>
      <c r="C143" t="s">
        <v>28</v>
      </c>
      <c r="H143" s="2">
        <v>46190.686655092592</v>
      </c>
      <c r="I143" t="s">
        <v>56</v>
      </c>
      <c r="Z143">
        <v>113221</v>
      </c>
    </row>
    <row r="144" spans="1:26" x14ac:dyDescent="0.25">
      <c r="A144" t="s">
        <v>294</v>
      </c>
      <c r="B144" t="s">
        <v>27</v>
      </c>
      <c r="C144" t="s">
        <v>28</v>
      </c>
      <c r="H144" s="2">
        <v>46190.633472222224</v>
      </c>
      <c r="I144" t="s">
        <v>54</v>
      </c>
      <c r="Z144">
        <v>113218</v>
      </c>
    </row>
    <row r="145" spans="1:26" x14ac:dyDescent="0.25">
      <c r="A145" t="s">
        <v>295</v>
      </c>
      <c r="B145" t="s">
        <v>27</v>
      </c>
      <c r="C145" t="s">
        <v>28</v>
      </c>
      <c r="H145" s="2">
        <v>46190.547071759262</v>
      </c>
      <c r="I145" t="s">
        <v>56</v>
      </c>
      <c r="Z145">
        <v>113212</v>
      </c>
    </row>
    <row r="146" spans="1:26" x14ac:dyDescent="0.25">
      <c r="A146" t="s">
        <v>296</v>
      </c>
      <c r="B146" t="s">
        <v>297</v>
      </c>
      <c r="C146" t="s">
        <v>28</v>
      </c>
      <c r="E146" t="s">
        <v>298</v>
      </c>
      <c r="H146" s="2">
        <v>46190.458506944444</v>
      </c>
      <c r="I146" t="s">
        <v>54</v>
      </c>
      <c r="K146" t="s">
        <v>137</v>
      </c>
      <c r="L146" t="s">
        <v>35</v>
      </c>
      <c r="M146">
        <v>708209804</v>
      </c>
      <c r="N146">
        <v>17710448884</v>
      </c>
      <c r="O146" t="s">
        <v>299</v>
      </c>
      <c r="Z146">
        <v>113203</v>
      </c>
    </row>
    <row r="147" spans="1:26" x14ac:dyDescent="0.25">
      <c r="A147" t="s">
        <v>300</v>
      </c>
      <c r="B147" t="s">
        <v>27</v>
      </c>
      <c r="C147" t="s">
        <v>28</v>
      </c>
      <c r="H147" s="2">
        <v>46190.41097222222</v>
      </c>
      <c r="I147" t="s">
        <v>56</v>
      </c>
      <c r="Z147">
        <v>113200</v>
      </c>
    </row>
    <row r="148" spans="1:26" x14ac:dyDescent="0.25">
      <c r="A148" t="s">
        <v>301</v>
      </c>
      <c r="B148" t="s">
        <v>27</v>
      </c>
      <c r="C148" t="s">
        <v>28</v>
      </c>
      <c r="H148" s="2">
        <v>46189.651365740741</v>
      </c>
      <c r="I148" t="s">
        <v>54</v>
      </c>
      <c r="Z148">
        <v>113190</v>
      </c>
    </row>
    <row r="149" spans="1:26" x14ac:dyDescent="0.25">
      <c r="A149" t="s">
        <v>302</v>
      </c>
      <c r="B149" t="s">
        <v>303</v>
      </c>
      <c r="C149" t="s">
        <v>28</v>
      </c>
      <c r="E149" t="s">
        <v>304</v>
      </c>
      <c r="H149" s="2">
        <v>46189.650289351855</v>
      </c>
      <c r="I149" t="s">
        <v>54</v>
      </c>
      <c r="Z149">
        <v>113189</v>
      </c>
    </row>
    <row r="150" spans="1:26" x14ac:dyDescent="0.25">
      <c r="A150" t="s">
        <v>305</v>
      </c>
      <c r="B150" t="s">
        <v>306</v>
      </c>
      <c r="C150" t="s">
        <v>28</v>
      </c>
      <c r="E150" t="s">
        <v>72</v>
      </c>
      <c r="H150" s="2">
        <v>46189.646527777775</v>
      </c>
      <c r="I150" t="s">
        <v>54</v>
      </c>
      <c r="K150" t="s">
        <v>178</v>
      </c>
      <c r="Z150">
        <v>113187</v>
      </c>
    </row>
    <row r="151" spans="1:26" x14ac:dyDescent="0.25">
      <c r="A151" t="s">
        <v>307</v>
      </c>
      <c r="B151" t="s">
        <v>27</v>
      </c>
      <c r="C151" t="s">
        <v>28</v>
      </c>
      <c r="H151" s="2">
        <v>46189.520092592589</v>
      </c>
      <c r="I151" t="s">
        <v>54</v>
      </c>
      <c r="Z151">
        <v>113166</v>
      </c>
    </row>
    <row r="152" spans="1:26" x14ac:dyDescent="0.25">
      <c r="A152" t="s">
        <v>308</v>
      </c>
      <c r="B152" t="s">
        <v>303</v>
      </c>
      <c r="C152" t="s">
        <v>75</v>
      </c>
      <c r="E152" s="1" t="s">
        <v>309</v>
      </c>
      <c r="H152" s="2">
        <v>46189.497569444444</v>
      </c>
      <c r="I152" t="s">
        <v>56</v>
      </c>
      <c r="Z152">
        <v>113165</v>
      </c>
    </row>
    <row r="153" spans="1:26" x14ac:dyDescent="0.25">
      <c r="A153" t="s">
        <v>310</v>
      </c>
      <c r="B153" t="s">
        <v>303</v>
      </c>
      <c r="C153" t="s">
        <v>28</v>
      </c>
      <c r="E153" s="1" t="s">
        <v>309</v>
      </c>
      <c r="H153" s="2">
        <v>46189.448738425926</v>
      </c>
      <c r="I153" t="s">
        <v>54</v>
      </c>
      <c r="Z153">
        <v>113160</v>
      </c>
    </row>
    <row r="154" spans="1:26" x14ac:dyDescent="0.25">
      <c r="A154" t="s">
        <v>311</v>
      </c>
      <c r="B154" t="s">
        <v>303</v>
      </c>
      <c r="C154" t="s">
        <v>28</v>
      </c>
      <c r="E154" s="1" t="s">
        <v>309</v>
      </c>
      <c r="H154" s="2">
        <v>46189.44871527778</v>
      </c>
      <c r="I154" t="s">
        <v>54</v>
      </c>
      <c r="Z154">
        <v>113159</v>
      </c>
    </row>
    <row r="155" spans="1:26" x14ac:dyDescent="0.25">
      <c r="A155" t="s">
        <v>312</v>
      </c>
      <c r="B155" t="s">
        <v>85</v>
      </c>
      <c r="C155" t="s">
        <v>313</v>
      </c>
      <c r="E155" t="s">
        <v>260</v>
      </c>
      <c r="H155" s="2">
        <v>46189.365185185183</v>
      </c>
      <c r="I155" t="s">
        <v>314</v>
      </c>
      <c r="Z155">
        <v>113152</v>
      </c>
    </row>
    <row r="156" spans="1:26" x14ac:dyDescent="0.25">
      <c r="A156" t="s">
        <v>315</v>
      </c>
      <c r="B156" t="s">
        <v>74</v>
      </c>
      <c r="C156" t="s">
        <v>28</v>
      </c>
      <c r="E156" t="s">
        <v>186</v>
      </c>
      <c r="G156" t="s">
        <v>316</v>
      </c>
      <c r="H156" s="2">
        <v>46189.014097222222</v>
      </c>
      <c r="I156" t="s">
        <v>54</v>
      </c>
      <c r="Z156">
        <v>113149</v>
      </c>
    </row>
    <row r="157" spans="1:26" x14ac:dyDescent="0.25">
      <c r="A157" t="s">
        <v>317</v>
      </c>
      <c r="B157" t="s">
        <v>46</v>
      </c>
      <c r="C157" t="s">
        <v>28</v>
      </c>
      <c r="E157" t="s">
        <v>318</v>
      </c>
      <c r="H157" s="2">
        <v>46189.013252314813</v>
      </c>
      <c r="I157" t="s">
        <v>54</v>
      </c>
      <c r="K157" t="s">
        <v>48</v>
      </c>
      <c r="Z157">
        <v>113148</v>
      </c>
    </row>
    <row r="158" spans="1:26" x14ac:dyDescent="0.25">
      <c r="A158" t="s">
        <v>319</v>
      </c>
      <c r="B158" t="s">
        <v>297</v>
      </c>
      <c r="C158" t="s">
        <v>313</v>
      </c>
      <c r="E158" t="s">
        <v>198</v>
      </c>
      <c r="H158" s="2">
        <v>46188.902962962966</v>
      </c>
      <c r="I158" t="s">
        <v>314</v>
      </c>
      <c r="K158" t="s">
        <v>34</v>
      </c>
      <c r="L158" t="s">
        <v>35</v>
      </c>
      <c r="M158">
        <v>708209804</v>
      </c>
      <c r="N158">
        <v>17710448884</v>
      </c>
      <c r="O158" t="s">
        <v>320</v>
      </c>
      <c r="Z158">
        <v>113147</v>
      </c>
    </row>
    <row r="159" spans="1:26" x14ac:dyDescent="0.25">
      <c r="A159" t="s">
        <v>321</v>
      </c>
      <c r="B159" t="s">
        <v>27</v>
      </c>
      <c r="C159" t="s">
        <v>28</v>
      </c>
      <c r="H159" s="2">
        <v>46188.799375000002</v>
      </c>
      <c r="I159" t="s">
        <v>56</v>
      </c>
      <c r="Z159">
        <v>113143</v>
      </c>
    </row>
    <row r="160" spans="1:26" x14ac:dyDescent="0.25">
      <c r="A160" t="s">
        <v>322</v>
      </c>
      <c r="B160" t="s">
        <v>27</v>
      </c>
      <c r="C160" t="s">
        <v>28</v>
      </c>
      <c r="H160" s="2">
        <v>46188.787743055553</v>
      </c>
      <c r="I160" t="s">
        <v>56</v>
      </c>
      <c r="Z160">
        <v>113142</v>
      </c>
    </row>
    <row r="161" spans="1:26" x14ac:dyDescent="0.25">
      <c r="A161" t="s">
        <v>323</v>
      </c>
      <c r="B161" t="s">
        <v>306</v>
      </c>
      <c r="C161" t="s">
        <v>28</v>
      </c>
      <c r="E161" t="s">
        <v>324</v>
      </c>
      <c r="H161" s="2">
        <v>46188.699074074073</v>
      </c>
      <c r="I161" t="s">
        <v>56</v>
      </c>
      <c r="Z161">
        <v>113135</v>
      </c>
    </row>
    <row r="162" spans="1:26" x14ac:dyDescent="0.25">
      <c r="A162" t="s">
        <v>325</v>
      </c>
      <c r="B162" t="s">
        <v>27</v>
      </c>
      <c r="C162" t="s">
        <v>28</v>
      </c>
      <c r="H162" s="2">
        <v>46188.665127314816</v>
      </c>
      <c r="I162" t="s">
        <v>31</v>
      </c>
      <c r="Z162">
        <v>113132</v>
      </c>
    </row>
    <row r="163" spans="1:26" x14ac:dyDescent="0.25">
      <c r="A163" t="s">
        <v>326</v>
      </c>
      <c r="B163" t="s">
        <v>27</v>
      </c>
      <c r="C163" t="s">
        <v>28</v>
      </c>
      <c r="H163" s="2">
        <v>46188.657766203702</v>
      </c>
      <c r="I163" t="s">
        <v>56</v>
      </c>
      <c r="Z163">
        <v>113131</v>
      </c>
    </row>
    <row r="164" spans="1:26" x14ac:dyDescent="0.25">
      <c r="A164" t="s">
        <v>327</v>
      </c>
      <c r="B164" t="s">
        <v>27</v>
      </c>
      <c r="C164" t="s">
        <v>28</v>
      </c>
      <c r="H164" s="2">
        <v>46188.656527777777</v>
      </c>
      <c r="I164" t="s">
        <v>31</v>
      </c>
      <c r="Z164">
        <v>113130</v>
      </c>
    </row>
    <row r="165" spans="1:26" x14ac:dyDescent="0.25">
      <c r="A165" t="s">
        <v>328</v>
      </c>
      <c r="B165" t="s">
        <v>27</v>
      </c>
      <c r="C165" t="s">
        <v>28</v>
      </c>
      <c r="H165" s="2">
        <v>46188.636134259257</v>
      </c>
      <c r="I165" t="s">
        <v>56</v>
      </c>
      <c r="Z165">
        <v>113125</v>
      </c>
    </row>
    <row r="166" spans="1:26" x14ac:dyDescent="0.25">
      <c r="A166" t="s">
        <v>329</v>
      </c>
      <c r="B166" t="s">
        <v>27</v>
      </c>
      <c r="C166" t="s">
        <v>28</v>
      </c>
      <c r="H166" s="2">
        <v>46188.60597222222</v>
      </c>
      <c r="I166" t="s">
        <v>80</v>
      </c>
      <c r="Z166">
        <v>113123</v>
      </c>
    </row>
    <row r="167" spans="1:26" x14ac:dyDescent="0.25">
      <c r="A167" t="s">
        <v>330</v>
      </c>
      <c r="B167" t="s">
        <v>27</v>
      </c>
      <c r="C167" t="s">
        <v>28</v>
      </c>
      <c r="H167" s="2">
        <v>46188.590613425928</v>
      </c>
      <c r="I167" t="s">
        <v>31</v>
      </c>
      <c r="Z167">
        <v>113118</v>
      </c>
    </row>
    <row r="168" spans="1:26" x14ac:dyDescent="0.25">
      <c r="A168" t="s">
        <v>331</v>
      </c>
      <c r="B168" t="s">
        <v>303</v>
      </c>
      <c r="C168" t="s">
        <v>28</v>
      </c>
      <c r="E168" s="1" t="s">
        <v>309</v>
      </c>
      <c r="H168" s="2">
        <v>46188.501203703701</v>
      </c>
      <c r="I168" t="s">
        <v>31</v>
      </c>
      <c r="Z168">
        <v>113105</v>
      </c>
    </row>
    <row r="169" spans="1:26" x14ac:dyDescent="0.25">
      <c r="A169" t="s">
        <v>332</v>
      </c>
      <c r="B169" t="s">
        <v>303</v>
      </c>
      <c r="C169" t="s">
        <v>333</v>
      </c>
      <c r="E169" s="1" t="s">
        <v>309</v>
      </c>
      <c r="H169" s="2">
        <v>46188.501203703701</v>
      </c>
      <c r="I169" t="s">
        <v>31</v>
      </c>
      <c r="Z169">
        <v>113103</v>
      </c>
    </row>
    <row r="170" spans="1:26" x14ac:dyDescent="0.25">
      <c r="A170" t="s">
        <v>334</v>
      </c>
      <c r="B170" t="s">
        <v>303</v>
      </c>
      <c r="C170" t="s">
        <v>28</v>
      </c>
      <c r="E170" s="1" t="s">
        <v>309</v>
      </c>
      <c r="H170" s="2">
        <v>46188.501192129632</v>
      </c>
      <c r="I170" t="s">
        <v>31</v>
      </c>
      <c r="Z170">
        <v>113102</v>
      </c>
    </row>
    <row r="171" spans="1:26" x14ac:dyDescent="0.25">
      <c r="A171" t="s">
        <v>335</v>
      </c>
      <c r="B171" t="s">
        <v>303</v>
      </c>
      <c r="C171" t="s">
        <v>28</v>
      </c>
      <c r="E171" s="1" t="s">
        <v>309</v>
      </c>
      <c r="H171" s="2">
        <v>46186.656388888892</v>
      </c>
      <c r="I171" t="s">
        <v>31</v>
      </c>
      <c r="Z171">
        <v>113064</v>
      </c>
    </row>
    <row r="172" spans="1:26" x14ac:dyDescent="0.25">
      <c r="A172" t="s">
        <v>336</v>
      </c>
      <c r="B172" t="s">
        <v>74</v>
      </c>
      <c r="C172" t="s">
        <v>28</v>
      </c>
      <c r="E172" t="s">
        <v>101</v>
      </c>
      <c r="G172" t="s">
        <v>337</v>
      </c>
      <c r="H172" s="2">
        <v>46186.468171296299</v>
      </c>
      <c r="I172" t="s">
        <v>31</v>
      </c>
      <c r="Z172">
        <v>113050</v>
      </c>
    </row>
    <row r="173" spans="1:26" x14ac:dyDescent="0.25">
      <c r="A173" t="s">
        <v>338</v>
      </c>
      <c r="B173" t="s">
        <v>74</v>
      </c>
      <c r="C173" t="s">
        <v>28</v>
      </c>
      <c r="E173" t="s">
        <v>339</v>
      </c>
      <c r="G173" t="s">
        <v>340</v>
      </c>
      <c r="H173" s="2">
        <v>46184.952835648146</v>
      </c>
      <c r="I173" t="s">
        <v>54</v>
      </c>
      <c r="Z173">
        <v>113028</v>
      </c>
    </row>
    <row r="174" spans="1:26" x14ac:dyDescent="0.25">
      <c r="A174" t="s">
        <v>341</v>
      </c>
      <c r="B174" t="s">
        <v>27</v>
      </c>
      <c r="C174" t="s">
        <v>28</v>
      </c>
      <c r="H174" s="2">
        <v>46184.670289351852</v>
      </c>
      <c r="I174" t="s">
        <v>54</v>
      </c>
      <c r="Z174">
        <v>113017</v>
      </c>
    </row>
    <row r="175" spans="1:26" x14ac:dyDescent="0.25">
      <c r="A175" t="s">
        <v>342</v>
      </c>
      <c r="B175" t="s">
        <v>27</v>
      </c>
      <c r="C175" t="s">
        <v>28</v>
      </c>
      <c r="H175" s="2">
        <v>46184.626296296294</v>
      </c>
      <c r="I175" t="s">
        <v>54</v>
      </c>
      <c r="Z175">
        <v>113010</v>
      </c>
    </row>
    <row r="176" spans="1:26" x14ac:dyDescent="0.25">
      <c r="A176" t="s">
        <v>343</v>
      </c>
      <c r="B176" t="s">
        <v>27</v>
      </c>
      <c r="C176" t="s">
        <v>28</v>
      </c>
      <c r="H176" s="2">
        <v>46184.51185185185</v>
      </c>
      <c r="I176" t="s">
        <v>56</v>
      </c>
      <c r="Z176">
        <v>113002</v>
      </c>
    </row>
    <row r="177" spans="1:26" x14ac:dyDescent="0.25">
      <c r="A177" t="s">
        <v>344</v>
      </c>
      <c r="B177" t="s">
        <v>303</v>
      </c>
      <c r="C177" t="s">
        <v>28</v>
      </c>
      <c r="E177" s="1" t="s">
        <v>309</v>
      </c>
      <c r="H177" s="2">
        <v>46184.50136574074</v>
      </c>
      <c r="I177" t="s">
        <v>56</v>
      </c>
      <c r="Z177">
        <v>113001</v>
      </c>
    </row>
    <row r="178" spans="1:26" x14ac:dyDescent="0.25">
      <c r="A178" t="s">
        <v>345</v>
      </c>
      <c r="B178" t="s">
        <v>303</v>
      </c>
      <c r="C178" t="s">
        <v>28</v>
      </c>
      <c r="E178" s="1" t="s">
        <v>309</v>
      </c>
      <c r="H178" s="2">
        <v>46183.676504629628</v>
      </c>
      <c r="I178" t="s">
        <v>56</v>
      </c>
      <c r="Z178">
        <v>112979</v>
      </c>
    </row>
    <row r="179" spans="1:26" x14ac:dyDescent="0.25">
      <c r="A179" t="s">
        <v>346</v>
      </c>
      <c r="B179" t="s">
        <v>303</v>
      </c>
      <c r="C179" t="s">
        <v>28</v>
      </c>
      <c r="E179" s="1" t="s">
        <v>309</v>
      </c>
      <c r="H179" s="2">
        <v>46183.676469907405</v>
      </c>
      <c r="I179" t="s">
        <v>56</v>
      </c>
      <c r="Z179">
        <v>112978</v>
      </c>
    </row>
    <row r="180" spans="1:26" x14ac:dyDescent="0.25">
      <c r="A180" t="s">
        <v>347</v>
      </c>
      <c r="B180" t="s">
        <v>27</v>
      </c>
      <c r="C180" t="s">
        <v>28</v>
      </c>
      <c r="H180" s="2">
        <v>46183.473368055558</v>
      </c>
      <c r="I180" t="s">
        <v>54</v>
      </c>
      <c r="Z180">
        <v>112963</v>
      </c>
    </row>
    <row r="181" spans="1:26" x14ac:dyDescent="0.25">
      <c r="A181" t="s">
        <v>348</v>
      </c>
      <c r="B181" t="s">
        <v>27</v>
      </c>
      <c r="C181" t="s">
        <v>28</v>
      </c>
      <c r="H181" s="2">
        <v>46183.436724537038</v>
      </c>
      <c r="I181" t="s">
        <v>56</v>
      </c>
      <c r="Z181">
        <v>112961</v>
      </c>
    </row>
    <row r="182" spans="1:26" x14ac:dyDescent="0.25">
      <c r="A182" t="s">
        <v>349</v>
      </c>
      <c r="B182" t="s">
        <v>27</v>
      </c>
      <c r="C182" t="s">
        <v>28</v>
      </c>
      <c r="H182" s="2">
        <v>46182.883460648147</v>
      </c>
      <c r="I182" t="s">
        <v>56</v>
      </c>
      <c r="Z182">
        <v>112955</v>
      </c>
    </row>
    <row r="183" spans="1:26" x14ac:dyDescent="0.25">
      <c r="A183" t="s">
        <v>350</v>
      </c>
      <c r="B183" t="s">
        <v>27</v>
      </c>
      <c r="C183" t="s">
        <v>28</v>
      </c>
      <c r="H183" s="2">
        <v>46182.778819444444</v>
      </c>
      <c r="I183" t="s">
        <v>31</v>
      </c>
      <c r="Z183">
        <v>112953</v>
      </c>
    </row>
    <row r="184" spans="1:26" x14ac:dyDescent="0.25">
      <c r="A184" t="s">
        <v>351</v>
      </c>
      <c r="B184" t="s">
        <v>27</v>
      </c>
      <c r="C184" t="s">
        <v>28</v>
      </c>
      <c r="H184" s="2">
        <v>46182.709224537037</v>
      </c>
      <c r="I184" t="s">
        <v>31</v>
      </c>
      <c r="Z184">
        <v>112948</v>
      </c>
    </row>
    <row r="185" spans="1:26" x14ac:dyDescent="0.25">
      <c r="A185" t="s">
        <v>352</v>
      </c>
      <c r="B185" t="s">
        <v>27</v>
      </c>
      <c r="C185" t="s">
        <v>28</v>
      </c>
      <c r="H185" s="2">
        <v>46182.682916666665</v>
      </c>
      <c r="I185" t="s">
        <v>31</v>
      </c>
      <c r="Z185">
        <v>112944</v>
      </c>
    </row>
    <row r="186" spans="1:26" x14ac:dyDescent="0.25">
      <c r="A186" t="s">
        <v>353</v>
      </c>
      <c r="B186" t="s">
        <v>27</v>
      </c>
      <c r="C186" t="s">
        <v>28</v>
      </c>
      <c r="H186" s="2">
        <v>46182.487187500003</v>
      </c>
      <c r="I186" t="s">
        <v>31</v>
      </c>
      <c r="Z186">
        <v>112933</v>
      </c>
    </row>
    <row r="187" spans="1:26" x14ac:dyDescent="0.25">
      <c r="A187" t="s">
        <v>354</v>
      </c>
      <c r="B187" t="s">
        <v>27</v>
      </c>
      <c r="C187" t="s">
        <v>28</v>
      </c>
      <c r="H187" s="2">
        <v>46182.432974537034</v>
      </c>
      <c r="I187" t="s">
        <v>31</v>
      </c>
      <c r="Z187">
        <v>112924</v>
      </c>
    </row>
    <row r="188" spans="1:26" x14ac:dyDescent="0.25">
      <c r="A188" t="s">
        <v>355</v>
      </c>
      <c r="B188" t="s">
        <v>74</v>
      </c>
      <c r="C188" t="s">
        <v>75</v>
      </c>
      <c r="E188" t="s">
        <v>356</v>
      </c>
      <c r="G188" t="s">
        <v>357</v>
      </c>
      <c r="H188" s="2">
        <v>46181.783877314818</v>
      </c>
      <c r="I188" t="s">
        <v>80</v>
      </c>
      <c r="Z188">
        <v>112917</v>
      </c>
    </row>
    <row r="189" spans="1:26" x14ac:dyDescent="0.25">
      <c r="A189" t="s">
        <v>33</v>
      </c>
      <c r="B189" t="s">
        <v>27</v>
      </c>
      <c r="C189" t="s">
        <v>28</v>
      </c>
      <c r="H189" s="2">
        <v>46181.783391203702</v>
      </c>
      <c r="I189" t="s">
        <v>31</v>
      </c>
      <c r="Z189">
        <v>112916</v>
      </c>
    </row>
    <row r="190" spans="1:26" x14ac:dyDescent="0.25">
      <c r="A190" t="s">
        <v>358</v>
      </c>
      <c r="B190" t="s">
        <v>27</v>
      </c>
      <c r="C190" t="s">
        <v>28</v>
      </c>
      <c r="H190" s="2">
        <v>46181.767164351855</v>
      </c>
      <c r="I190" t="s">
        <v>56</v>
      </c>
      <c r="Z190">
        <v>112914</v>
      </c>
    </row>
    <row r="191" spans="1:26" x14ac:dyDescent="0.25">
      <c r="A191" t="s">
        <v>359</v>
      </c>
      <c r="B191" t="s">
        <v>27</v>
      </c>
      <c r="C191" t="s">
        <v>28</v>
      </c>
      <c r="H191" s="2">
        <v>46181.619664351849</v>
      </c>
      <c r="I191" t="s">
        <v>56</v>
      </c>
      <c r="Z191">
        <v>112901</v>
      </c>
    </row>
    <row r="192" spans="1:26" x14ac:dyDescent="0.25">
      <c r="A192" t="s">
        <v>360</v>
      </c>
      <c r="B192" t="s">
        <v>303</v>
      </c>
      <c r="C192" t="s">
        <v>28</v>
      </c>
      <c r="E192" s="1" t="s">
        <v>309</v>
      </c>
      <c r="H192" s="2">
        <v>46181.463125000002</v>
      </c>
      <c r="I192" t="s">
        <v>56</v>
      </c>
      <c r="Z192">
        <v>112882</v>
      </c>
    </row>
    <row r="193" spans="1:26" x14ac:dyDescent="0.25">
      <c r="A193" t="s">
        <v>361</v>
      </c>
      <c r="B193" t="s">
        <v>303</v>
      </c>
      <c r="C193" t="s">
        <v>28</v>
      </c>
      <c r="E193" s="1" t="s">
        <v>309</v>
      </c>
      <c r="H193" s="2">
        <v>46181.463101851848</v>
      </c>
      <c r="I193" t="s">
        <v>31</v>
      </c>
      <c r="Z193">
        <v>112880</v>
      </c>
    </row>
    <row r="194" spans="1:26" x14ac:dyDescent="0.25">
      <c r="A194" t="s">
        <v>362</v>
      </c>
      <c r="B194" t="s">
        <v>74</v>
      </c>
      <c r="C194" t="s">
        <v>75</v>
      </c>
      <c r="E194" t="s">
        <v>198</v>
      </c>
      <c r="G194" t="s">
        <v>363</v>
      </c>
      <c r="H194" s="2">
        <v>46180.793981481482</v>
      </c>
      <c r="I194" t="s">
        <v>31</v>
      </c>
      <c r="Z194">
        <v>112870</v>
      </c>
    </row>
    <row r="195" spans="1:26" x14ac:dyDescent="0.25">
      <c r="A195" t="s">
        <v>364</v>
      </c>
      <c r="B195" t="s">
        <v>303</v>
      </c>
      <c r="C195" t="s">
        <v>28</v>
      </c>
      <c r="E195" s="1" t="s">
        <v>309</v>
      </c>
      <c r="H195" s="2">
        <v>46180.6952662037</v>
      </c>
      <c r="I195" t="s">
        <v>54</v>
      </c>
      <c r="Z195">
        <v>112863</v>
      </c>
    </row>
    <row r="196" spans="1:26" x14ac:dyDescent="0.25">
      <c r="A196" t="s">
        <v>365</v>
      </c>
      <c r="B196" t="s">
        <v>303</v>
      </c>
      <c r="C196" t="s">
        <v>28</v>
      </c>
      <c r="E196" s="1" t="s">
        <v>309</v>
      </c>
      <c r="H196" s="2">
        <v>46180.695219907408</v>
      </c>
      <c r="I196" t="s">
        <v>54</v>
      </c>
      <c r="Z196">
        <v>112860</v>
      </c>
    </row>
    <row r="197" spans="1:26" x14ac:dyDescent="0.25">
      <c r="A197" t="s">
        <v>366</v>
      </c>
      <c r="B197" t="s">
        <v>46</v>
      </c>
      <c r="C197" t="s">
        <v>28</v>
      </c>
      <c r="E197" t="s">
        <v>367</v>
      </c>
      <c r="H197" s="2">
        <v>46180.668298611112</v>
      </c>
      <c r="I197" t="s">
        <v>54</v>
      </c>
      <c r="K197" t="s">
        <v>48</v>
      </c>
      <c r="Z197">
        <v>112857</v>
      </c>
    </row>
    <row r="198" spans="1:26" x14ac:dyDescent="0.25">
      <c r="A198" t="s">
        <v>368</v>
      </c>
      <c r="B198" t="s">
        <v>27</v>
      </c>
      <c r="C198" t="s">
        <v>28</v>
      </c>
      <c r="H198" s="2">
        <v>46179.597581018519</v>
      </c>
      <c r="I198" t="s">
        <v>31</v>
      </c>
      <c r="Z198">
        <v>112842</v>
      </c>
    </row>
    <row r="199" spans="1:26" x14ac:dyDescent="0.25">
      <c r="A199" t="s">
        <v>369</v>
      </c>
      <c r="B199" t="s">
        <v>74</v>
      </c>
      <c r="C199" t="s">
        <v>28</v>
      </c>
      <c r="E199" t="s">
        <v>370</v>
      </c>
      <c r="G199" t="s">
        <v>371</v>
      </c>
      <c r="H199" s="2">
        <v>46178.833287037036</v>
      </c>
      <c r="I199" t="s">
        <v>31</v>
      </c>
      <c r="Z199">
        <v>112822</v>
      </c>
    </row>
    <row r="200" spans="1:26" x14ac:dyDescent="0.25">
      <c r="A200" t="s">
        <v>372</v>
      </c>
      <c r="B200" t="s">
        <v>74</v>
      </c>
      <c r="C200" t="s">
        <v>28</v>
      </c>
      <c r="E200" t="s">
        <v>373</v>
      </c>
      <c r="G200" t="s">
        <v>374</v>
      </c>
      <c r="H200" s="2">
        <v>46178.831145833334</v>
      </c>
      <c r="I200" t="s">
        <v>31</v>
      </c>
      <c r="Z200">
        <v>112821</v>
      </c>
    </row>
    <row r="201" spans="1:26" x14ac:dyDescent="0.25">
      <c r="A201" t="s">
        <v>375</v>
      </c>
      <c r="B201" t="s">
        <v>74</v>
      </c>
      <c r="C201" t="s">
        <v>28</v>
      </c>
      <c r="E201" t="s">
        <v>376</v>
      </c>
      <c r="G201" t="s">
        <v>377</v>
      </c>
      <c r="H201" s="2">
        <v>46178.797951388886</v>
      </c>
      <c r="I201" t="s">
        <v>54</v>
      </c>
      <c r="Z201">
        <v>112816</v>
      </c>
    </row>
    <row r="202" spans="1:26" x14ac:dyDescent="0.25">
      <c r="A202" t="s">
        <v>378</v>
      </c>
      <c r="B202" t="s">
        <v>27</v>
      </c>
      <c r="C202" t="s">
        <v>28</v>
      </c>
      <c r="H202" s="2">
        <v>46178.676192129627</v>
      </c>
      <c r="I202" t="s">
        <v>56</v>
      </c>
      <c r="Z202">
        <v>112810</v>
      </c>
    </row>
    <row r="203" spans="1:26" x14ac:dyDescent="0.25">
      <c r="A203" t="s">
        <v>379</v>
      </c>
      <c r="B203" t="s">
        <v>27</v>
      </c>
      <c r="C203" t="s">
        <v>28</v>
      </c>
      <c r="H203" s="2">
        <v>46178.612974537034</v>
      </c>
      <c r="I203" t="s">
        <v>54</v>
      </c>
      <c r="Z203">
        <v>112808</v>
      </c>
    </row>
    <row r="204" spans="1:26" x14ac:dyDescent="0.25">
      <c r="A204" t="s">
        <v>380</v>
      </c>
      <c r="B204" t="s">
        <v>27</v>
      </c>
      <c r="C204" t="s">
        <v>28</v>
      </c>
      <c r="H204" s="2">
        <v>46178.527743055558</v>
      </c>
      <c r="I204" t="s">
        <v>54</v>
      </c>
      <c r="Z204">
        <v>112806</v>
      </c>
    </row>
    <row r="205" spans="1:26" x14ac:dyDescent="0.25">
      <c r="A205" t="s">
        <v>381</v>
      </c>
      <c r="B205" t="s">
        <v>27</v>
      </c>
      <c r="C205" t="s">
        <v>28</v>
      </c>
      <c r="H205" s="2">
        <v>46178.496493055558</v>
      </c>
      <c r="I205" t="s">
        <v>56</v>
      </c>
      <c r="Z205">
        <v>112802</v>
      </c>
    </row>
    <row r="206" spans="1:26" x14ac:dyDescent="0.25">
      <c r="A206" t="s">
        <v>382</v>
      </c>
      <c r="B206" t="s">
        <v>303</v>
      </c>
      <c r="C206" t="s">
        <v>28</v>
      </c>
      <c r="E206" s="1" t="s">
        <v>309</v>
      </c>
      <c r="H206" s="2">
        <v>46178.482418981483</v>
      </c>
      <c r="I206" t="s">
        <v>56</v>
      </c>
      <c r="Z206">
        <v>112801</v>
      </c>
    </row>
    <row r="207" spans="1:26" x14ac:dyDescent="0.25">
      <c r="A207" t="s">
        <v>383</v>
      </c>
      <c r="B207" t="s">
        <v>27</v>
      </c>
      <c r="C207" t="s">
        <v>28</v>
      </c>
      <c r="H207" s="2">
        <v>46178.470509259256</v>
      </c>
      <c r="I207" t="s">
        <v>54</v>
      </c>
      <c r="Z207">
        <v>112800</v>
      </c>
    </row>
    <row r="208" spans="1:26" x14ac:dyDescent="0.25">
      <c r="A208" t="s">
        <v>384</v>
      </c>
      <c r="B208" t="s">
        <v>46</v>
      </c>
      <c r="C208" t="s">
        <v>28</v>
      </c>
      <c r="E208" t="s">
        <v>385</v>
      </c>
      <c r="H208" s="2">
        <v>46178.439618055556</v>
      </c>
      <c r="I208" t="s">
        <v>54</v>
      </c>
      <c r="K208" t="s">
        <v>48</v>
      </c>
      <c r="Z208">
        <v>112798</v>
      </c>
    </row>
    <row r="209" spans="1:26" x14ac:dyDescent="0.25">
      <c r="A209" t="s">
        <v>386</v>
      </c>
      <c r="B209" t="s">
        <v>27</v>
      </c>
      <c r="C209" t="s">
        <v>28</v>
      </c>
      <c r="H209" s="2">
        <v>46178.395810185182</v>
      </c>
      <c r="I209" t="s">
        <v>56</v>
      </c>
      <c r="Z209">
        <v>112795</v>
      </c>
    </row>
    <row r="210" spans="1:26" x14ac:dyDescent="0.25">
      <c r="A210" t="s">
        <v>387</v>
      </c>
      <c r="B210" t="s">
        <v>306</v>
      </c>
      <c r="C210" t="s">
        <v>28</v>
      </c>
      <c r="E210" t="s">
        <v>388</v>
      </c>
      <c r="H210" s="2">
        <v>46178.314652777779</v>
      </c>
      <c r="I210" t="s">
        <v>54</v>
      </c>
      <c r="Z210">
        <v>112793</v>
      </c>
    </row>
    <row r="211" spans="1:26" x14ac:dyDescent="0.25">
      <c r="A211" t="s">
        <v>389</v>
      </c>
      <c r="B211" t="s">
        <v>27</v>
      </c>
      <c r="C211" t="s">
        <v>28</v>
      </c>
      <c r="H211" s="2">
        <v>46177.766446759262</v>
      </c>
      <c r="I211" t="s">
        <v>54</v>
      </c>
      <c r="Z211">
        <v>112786</v>
      </c>
    </row>
    <row r="212" spans="1:26" x14ac:dyDescent="0.25">
      <c r="A212" t="s">
        <v>390</v>
      </c>
      <c r="B212" t="s">
        <v>27</v>
      </c>
      <c r="C212" t="s">
        <v>28</v>
      </c>
      <c r="H212" s="2">
        <v>46177.713437500002</v>
      </c>
      <c r="I212" t="s">
        <v>56</v>
      </c>
      <c r="Z212">
        <v>112781</v>
      </c>
    </row>
    <row r="213" spans="1:26" x14ac:dyDescent="0.25">
      <c r="A213" t="s">
        <v>391</v>
      </c>
      <c r="B213" t="s">
        <v>27</v>
      </c>
      <c r="C213" t="s">
        <v>28</v>
      </c>
      <c r="H213" s="2">
        <v>46177.708877314813</v>
      </c>
      <c r="I213" t="s">
        <v>56</v>
      </c>
      <c r="Z213">
        <v>112780</v>
      </c>
    </row>
    <row r="214" spans="1:26" x14ac:dyDescent="0.25">
      <c r="A214" t="s">
        <v>392</v>
      </c>
      <c r="B214" t="s">
        <v>27</v>
      </c>
      <c r="C214" t="s">
        <v>28</v>
      </c>
      <c r="H214" s="2">
        <v>46177.660694444443</v>
      </c>
      <c r="I214" t="s">
        <v>54</v>
      </c>
      <c r="Z214">
        <v>112775</v>
      </c>
    </row>
    <row r="215" spans="1:26" x14ac:dyDescent="0.25">
      <c r="A215" t="s">
        <v>393</v>
      </c>
      <c r="B215" t="s">
        <v>27</v>
      </c>
      <c r="C215" t="s">
        <v>155</v>
      </c>
      <c r="H215" s="2">
        <v>46177.65892361111</v>
      </c>
      <c r="I215" t="s">
        <v>54</v>
      </c>
      <c r="Z215">
        <v>112774</v>
      </c>
    </row>
    <row r="216" spans="1:26" x14ac:dyDescent="0.25">
      <c r="A216" t="s">
        <v>394</v>
      </c>
      <c r="B216" t="s">
        <v>303</v>
      </c>
      <c r="C216" t="s">
        <v>28</v>
      </c>
      <c r="E216" s="1" t="s">
        <v>309</v>
      </c>
      <c r="H216" s="2">
        <v>46177.599803240744</v>
      </c>
      <c r="I216" t="s">
        <v>54</v>
      </c>
      <c r="Z216">
        <v>112769</v>
      </c>
    </row>
    <row r="217" spans="1:26" x14ac:dyDescent="0.25">
      <c r="A217" t="s">
        <v>395</v>
      </c>
      <c r="B217" t="s">
        <v>27</v>
      </c>
      <c r="C217" t="s">
        <v>28</v>
      </c>
      <c r="H217" s="2">
        <v>46177.591469907406</v>
      </c>
      <c r="I217" t="s">
        <v>54</v>
      </c>
      <c r="Z217">
        <v>112768</v>
      </c>
    </row>
    <row r="218" spans="1:26" x14ac:dyDescent="0.25">
      <c r="A218" t="s">
        <v>396</v>
      </c>
      <c r="B218" t="s">
        <v>303</v>
      </c>
      <c r="C218" t="s">
        <v>28</v>
      </c>
      <c r="E218" s="1" t="s">
        <v>309</v>
      </c>
      <c r="H218" s="2">
        <v>46177.585821759261</v>
      </c>
      <c r="I218" t="s">
        <v>54</v>
      </c>
      <c r="Z218">
        <v>112766</v>
      </c>
    </row>
    <row r="219" spans="1:26" x14ac:dyDescent="0.25">
      <c r="A219" t="s">
        <v>397</v>
      </c>
      <c r="B219" t="s">
        <v>27</v>
      </c>
      <c r="C219" t="s">
        <v>28</v>
      </c>
      <c r="H219" s="2">
        <v>46176.677384259259</v>
      </c>
      <c r="I219" t="s">
        <v>31</v>
      </c>
      <c r="Z219">
        <v>112736</v>
      </c>
    </row>
    <row r="220" spans="1:26" x14ac:dyDescent="0.25">
      <c r="A220" t="s">
        <v>398</v>
      </c>
      <c r="B220" t="s">
        <v>27</v>
      </c>
      <c r="C220" t="s">
        <v>28</v>
      </c>
      <c r="H220" s="2">
        <v>46176.562303240738</v>
      </c>
      <c r="I220" t="s">
        <v>56</v>
      </c>
      <c r="Z220">
        <v>112730</v>
      </c>
    </row>
    <row r="221" spans="1:26" x14ac:dyDescent="0.25">
      <c r="A221" t="s">
        <v>399</v>
      </c>
      <c r="B221" t="s">
        <v>27</v>
      </c>
      <c r="C221" t="s">
        <v>28</v>
      </c>
      <c r="H221" s="2">
        <v>46176.510601851849</v>
      </c>
      <c r="I221" t="s">
        <v>56</v>
      </c>
      <c r="Z221">
        <v>112728</v>
      </c>
    </row>
    <row r="222" spans="1:26" x14ac:dyDescent="0.25">
      <c r="A222" t="s">
        <v>400</v>
      </c>
      <c r="B222" t="s">
        <v>303</v>
      </c>
      <c r="C222" t="s">
        <v>155</v>
      </c>
      <c r="E222" s="1" t="s">
        <v>309</v>
      </c>
      <c r="H222" s="2">
        <v>46176.45722222222</v>
      </c>
      <c r="I222" t="s">
        <v>31</v>
      </c>
      <c r="Z222">
        <v>112719</v>
      </c>
    </row>
    <row r="223" spans="1:26" x14ac:dyDescent="0.25">
      <c r="A223" t="s">
        <v>401</v>
      </c>
      <c r="B223" t="s">
        <v>74</v>
      </c>
      <c r="C223" t="s">
        <v>28</v>
      </c>
      <c r="E223" t="s">
        <v>101</v>
      </c>
      <c r="G223" t="s">
        <v>402</v>
      </c>
      <c r="H223" s="2">
        <v>46176.454675925925</v>
      </c>
      <c r="I223" t="s">
        <v>31</v>
      </c>
      <c r="Z223">
        <v>112718</v>
      </c>
    </row>
    <row r="224" spans="1:26" x14ac:dyDescent="0.25">
      <c r="A224" t="s">
        <v>403</v>
      </c>
      <c r="B224" t="s">
        <v>27</v>
      </c>
      <c r="C224" t="s">
        <v>155</v>
      </c>
      <c r="H224" s="2">
        <v>46175.704004629632</v>
      </c>
      <c r="I224" t="s">
        <v>31</v>
      </c>
      <c r="Z224">
        <v>112703</v>
      </c>
    </row>
    <row r="225" spans="1:26" x14ac:dyDescent="0.25">
      <c r="A225" t="s">
        <v>404</v>
      </c>
      <c r="B225" t="s">
        <v>303</v>
      </c>
      <c r="C225" t="s">
        <v>155</v>
      </c>
      <c r="E225" s="1" t="s">
        <v>309</v>
      </c>
      <c r="H225" s="2">
        <v>46175.676307870373</v>
      </c>
      <c r="I225" t="s">
        <v>31</v>
      </c>
      <c r="Z225">
        <v>112701</v>
      </c>
    </row>
    <row r="226" spans="1:26" x14ac:dyDescent="0.25">
      <c r="A226" t="s">
        <v>405</v>
      </c>
      <c r="B226" t="s">
        <v>27</v>
      </c>
      <c r="C226" t="s">
        <v>28</v>
      </c>
      <c r="H226" s="2">
        <v>46175.484189814815</v>
      </c>
      <c r="I226" t="s">
        <v>31</v>
      </c>
      <c r="Z226">
        <v>112680</v>
      </c>
    </row>
    <row r="227" spans="1:26" x14ac:dyDescent="0.25">
      <c r="A227" t="s">
        <v>406</v>
      </c>
      <c r="B227" t="s">
        <v>27</v>
      </c>
      <c r="C227" t="s">
        <v>28</v>
      </c>
      <c r="H227" s="2">
        <v>46175.457002314812</v>
      </c>
      <c r="I227" t="s">
        <v>56</v>
      </c>
      <c r="Z227">
        <v>112678</v>
      </c>
    </row>
    <row r="228" spans="1:26" x14ac:dyDescent="0.25">
      <c r="A228" t="s">
        <v>407</v>
      </c>
      <c r="B228" t="s">
        <v>27</v>
      </c>
      <c r="C228" t="s">
        <v>28</v>
      </c>
      <c r="H228" s="2">
        <v>46175.448113425926</v>
      </c>
      <c r="I228" t="s">
        <v>56</v>
      </c>
      <c r="Z228">
        <v>112676</v>
      </c>
    </row>
    <row r="229" spans="1:26" x14ac:dyDescent="0.25">
      <c r="A229" t="s">
        <v>408</v>
      </c>
      <c r="B229" t="s">
        <v>27</v>
      </c>
      <c r="C229" t="s">
        <v>28</v>
      </c>
      <c r="H229" s="2">
        <v>46175.428032407406</v>
      </c>
      <c r="I229" t="s">
        <v>31</v>
      </c>
      <c r="Z229">
        <v>112670</v>
      </c>
    </row>
    <row r="230" spans="1:26" x14ac:dyDescent="0.25">
      <c r="A230" t="s">
        <v>409</v>
      </c>
      <c r="B230" t="s">
        <v>303</v>
      </c>
      <c r="C230" t="s">
        <v>28</v>
      </c>
      <c r="E230" s="1" t="s">
        <v>309</v>
      </c>
      <c r="H230" s="2">
        <v>46174.92114583333</v>
      </c>
      <c r="I230" t="s">
        <v>56</v>
      </c>
      <c r="Z230">
        <v>112667</v>
      </c>
    </row>
    <row r="231" spans="1:26" x14ac:dyDescent="0.25">
      <c r="A231" t="s">
        <v>410</v>
      </c>
      <c r="B231" t="s">
        <v>27</v>
      </c>
      <c r="C231" t="s">
        <v>28</v>
      </c>
      <c r="H231" s="2">
        <v>46174.512546296297</v>
      </c>
      <c r="I231" t="s">
        <v>31</v>
      </c>
      <c r="Z231">
        <v>112658</v>
      </c>
    </row>
    <row r="232" spans="1:26" x14ac:dyDescent="0.25">
      <c r="A232" t="s">
        <v>411</v>
      </c>
      <c r="B232" t="s">
        <v>303</v>
      </c>
      <c r="C232" t="s">
        <v>155</v>
      </c>
      <c r="E232" s="1" t="s">
        <v>309</v>
      </c>
      <c r="H232" s="2">
        <v>46174.494270833333</v>
      </c>
      <c r="I232" t="s">
        <v>54</v>
      </c>
      <c r="Z232">
        <v>112655</v>
      </c>
    </row>
    <row r="233" spans="1:26" x14ac:dyDescent="0.25">
      <c r="A233" t="s">
        <v>412</v>
      </c>
      <c r="B233" t="s">
        <v>27</v>
      </c>
      <c r="C233" t="s">
        <v>155</v>
      </c>
      <c r="H233" s="2">
        <v>46174.428796296299</v>
      </c>
      <c r="I233" t="s">
        <v>31</v>
      </c>
      <c r="Z233">
        <v>112651</v>
      </c>
    </row>
    <row r="234" spans="1:26" x14ac:dyDescent="0.25">
      <c r="A234" t="s">
        <v>400</v>
      </c>
      <c r="B234" t="s">
        <v>27</v>
      </c>
      <c r="C234" t="s">
        <v>155</v>
      </c>
      <c r="H234" s="2">
        <v>46174.425520833334</v>
      </c>
      <c r="I234" t="s">
        <v>31</v>
      </c>
      <c r="Z234">
        <v>112649</v>
      </c>
    </row>
    <row r="235" spans="1:26" x14ac:dyDescent="0.25">
      <c r="A235" t="s">
        <v>413</v>
      </c>
      <c r="B235" t="s">
        <v>303</v>
      </c>
      <c r="C235" t="s">
        <v>28</v>
      </c>
      <c r="E235" s="1" t="s">
        <v>309</v>
      </c>
      <c r="H235" s="2">
        <v>46174.411932870367</v>
      </c>
      <c r="I235" t="s">
        <v>31</v>
      </c>
      <c r="Z235">
        <v>112648</v>
      </c>
    </row>
    <row r="236" spans="1:26" x14ac:dyDescent="0.25">
      <c r="A236" t="s">
        <v>414</v>
      </c>
      <c r="B236" t="s">
        <v>303</v>
      </c>
      <c r="C236" t="s">
        <v>155</v>
      </c>
      <c r="E236" s="1" t="s">
        <v>309</v>
      </c>
      <c r="H236" s="2">
        <v>46174.411921296298</v>
      </c>
      <c r="I236" t="s">
        <v>80</v>
      </c>
      <c r="Z236">
        <v>112647</v>
      </c>
    </row>
    <row r="237" spans="1:26" x14ac:dyDescent="0.25">
      <c r="A237" t="s">
        <v>400</v>
      </c>
      <c r="B237" t="s">
        <v>303</v>
      </c>
      <c r="C237" t="s">
        <v>185</v>
      </c>
      <c r="E237" s="1" t="s">
        <v>309</v>
      </c>
      <c r="H237" s="2">
        <v>46174.411909722221</v>
      </c>
      <c r="I237" t="s">
        <v>31</v>
      </c>
      <c r="Z237">
        <v>112646</v>
      </c>
    </row>
    <row r="238" spans="1:26" x14ac:dyDescent="0.25">
      <c r="A238" t="s">
        <v>415</v>
      </c>
      <c r="B238" t="s">
        <v>27</v>
      </c>
      <c r="C238" t="s">
        <v>28</v>
      </c>
      <c r="H238" s="2">
        <v>46173.753495370373</v>
      </c>
      <c r="I238" t="s">
        <v>54</v>
      </c>
      <c r="Z238">
        <v>112637</v>
      </c>
    </row>
    <row r="239" spans="1:26" x14ac:dyDescent="0.25">
      <c r="A239" t="s">
        <v>416</v>
      </c>
      <c r="B239" t="s">
        <v>27</v>
      </c>
      <c r="C239" t="s">
        <v>28</v>
      </c>
      <c r="H239" s="2">
        <v>46173.734201388892</v>
      </c>
      <c r="I239" t="s">
        <v>54</v>
      </c>
      <c r="Z239">
        <v>112633</v>
      </c>
    </row>
    <row r="240" spans="1:26" x14ac:dyDescent="0.25">
      <c r="A240" t="s">
        <v>417</v>
      </c>
      <c r="B240" t="s">
        <v>27</v>
      </c>
      <c r="C240" t="s">
        <v>28</v>
      </c>
      <c r="H240" s="2">
        <v>46173.731874999998</v>
      </c>
      <c r="I240" t="s">
        <v>54</v>
      </c>
      <c r="Z240">
        <v>112632</v>
      </c>
    </row>
    <row r="241" spans="1:26" x14ac:dyDescent="0.25">
      <c r="A241" t="s">
        <v>418</v>
      </c>
      <c r="B241" t="s">
        <v>27</v>
      </c>
      <c r="C241" t="s">
        <v>28</v>
      </c>
      <c r="E241" s="1" t="s">
        <v>309</v>
      </c>
      <c r="H241" s="2">
        <v>46173.72314814815</v>
      </c>
      <c r="I241" t="s">
        <v>54</v>
      </c>
      <c r="Z241">
        <v>112631</v>
      </c>
    </row>
    <row r="242" spans="1:26" x14ac:dyDescent="0.25">
      <c r="A242" t="s">
        <v>419</v>
      </c>
      <c r="B242" t="s">
        <v>27</v>
      </c>
      <c r="C242" t="s">
        <v>185</v>
      </c>
      <c r="H242" s="2">
        <v>46173.717476851853</v>
      </c>
      <c r="I242" t="s">
        <v>54</v>
      </c>
      <c r="Z242">
        <v>112630</v>
      </c>
    </row>
    <row r="243" spans="1:26" x14ac:dyDescent="0.25">
      <c r="A243" t="s">
        <v>420</v>
      </c>
      <c r="B243" t="s">
        <v>303</v>
      </c>
      <c r="C243" t="s">
        <v>28</v>
      </c>
      <c r="E243" s="1" t="s">
        <v>309</v>
      </c>
      <c r="H243" s="2">
        <v>46173.690740740742</v>
      </c>
      <c r="I243" t="s">
        <v>54</v>
      </c>
      <c r="Z243">
        <v>112629</v>
      </c>
    </row>
    <row r="244" spans="1:26" x14ac:dyDescent="0.25">
      <c r="A244" t="s">
        <v>421</v>
      </c>
      <c r="B244" t="s">
        <v>27</v>
      </c>
      <c r="C244" t="s">
        <v>28</v>
      </c>
      <c r="H244" s="2">
        <v>46173.584502314814</v>
      </c>
      <c r="I244" t="s">
        <v>54</v>
      </c>
      <c r="Z244">
        <v>112619</v>
      </c>
    </row>
    <row r="245" spans="1:26" x14ac:dyDescent="0.25">
      <c r="A245" t="s">
        <v>207</v>
      </c>
      <c r="B245" t="s">
        <v>27</v>
      </c>
      <c r="C245" t="s">
        <v>28</v>
      </c>
      <c r="H245" s="2">
        <v>46173.43917824074</v>
      </c>
      <c r="I245" t="s">
        <v>31</v>
      </c>
      <c r="Z245">
        <v>112611</v>
      </c>
    </row>
    <row r="246" spans="1:26" x14ac:dyDescent="0.25">
      <c r="A246" t="s">
        <v>422</v>
      </c>
      <c r="B246" t="s">
        <v>27</v>
      </c>
      <c r="C246" t="s">
        <v>28</v>
      </c>
      <c r="H246" s="2">
        <v>46173.438680555555</v>
      </c>
      <c r="I246" t="s">
        <v>54</v>
      </c>
      <c r="Z246">
        <v>112610</v>
      </c>
    </row>
    <row r="247" spans="1:26" x14ac:dyDescent="0.25">
      <c r="A247" t="s">
        <v>33</v>
      </c>
      <c r="B247" t="s">
        <v>303</v>
      </c>
      <c r="C247" t="s">
        <v>28</v>
      </c>
      <c r="E247" s="1" t="s">
        <v>309</v>
      </c>
      <c r="H247" s="2">
        <v>46172.937395833331</v>
      </c>
      <c r="I247" t="s">
        <v>31</v>
      </c>
      <c r="Z247">
        <v>112606</v>
      </c>
    </row>
    <row r="248" spans="1:26" x14ac:dyDescent="0.25">
      <c r="A248" t="s">
        <v>423</v>
      </c>
      <c r="B248" t="s">
        <v>303</v>
      </c>
      <c r="C248" t="s">
        <v>28</v>
      </c>
      <c r="E248" s="1" t="s">
        <v>309</v>
      </c>
      <c r="H248" s="2">
        <v>46172.937372685185</v>
      </c>
      <c r="I248" t="s">
        <v>80</v>
      </c>
      <c r="Z248">
        <v>112605</v>
      </c>
    </row>
    <row r="249" spans="1:26" x14ac:dyDescent="0.25">
      <c r="A249" t="s">
        <v>424</v>
      </c>
      <c r="B249" t="s">
        <v>27</v>
      </c>
      <c r="C249" t="s">
        <v>28</v>
      </c>
      <c r="H249" s="2">
        <v>46172.608275462961</v>
      </c>
      <c r="I249" t="s">
        <v>54</v>
      </c>
      <c r="Z249">
        <v>112598</v>
      </c>
    </row>
    <row r="250" spans="1:26" x14ac:dyDescent="0.25">
      <c r="A250" t="s">
        <v>425</v>
      </c>
      <c r="B250" t="s">
        <v>27</v>
      </c>
      <c r="C250" t="s">
        <v>28</v>
      </c>
      <c r="H250" s="2">
        <v>46172.592465277776</v>
      </c>
      <c r="I250" t="s">
        <v>54</v>
      </c>
      <c r="Z250">
        <v>112597</v>
      </c>
    </row>
    <row r="251" spans="1:26" x14ac:dyDescent="0.25">
      <c r="A251" t="s">
        <v>426</v>
      </c>
      <c r="B251" t="s">
        <v>46</v>
      </c>
      <c r="C251" t="s">
        <v>28</v>
      </c>
      <c r="E251" t="s">
        <v>427</v>
      </c>
      <c r="H251" s="2">
        <v>46171.947488425925</v>
      </c>
      <c r="I251" t="s">
        <v>56</v>
      </c>
      <c r="K251" t="s">
        <v>48</v>
      </c>
      <c r="Z251">
        <v>112589</v>
      </c>
    </row>
    <row r="252" spans="1:26" x14ac:dyDescent="0.25">
      <c r="A252" t="s">
        <v>428</v>
      </c>
      <c r="B252" t="s">
        <v>27</v>
      </c>
      <c r="C252" t="s">
        <v>28</v>
      </c>
      <c r="H252" s="2">
        <v>46171.749432870369</v>
      </c>
      <c r="I252" t="s">
        <v>56</v>
      </c>
      <c r="Z252">
        <v>112586</v>
      </c>
    </row>
    <row r="253" spans="1:26" x14ac:dyDescent="0.25">
      <c r="A253" t="s">
        <v>429</v>
      </c>
      <c r="B253" t="s">
        <v>27</v>
      </c>
      <c r="C253" t="s">
        <v>28</v>
      </c>
      <c r="H253" s="2">
        <v>46171.489537037036</v>
      </c>
      <c r="I253" t="s">
        <v>54</v>
      </c>
      <c r="Z253">
        <v>112568</v>
      </c>
    </row>
    <row r="254" spans="1:26" x14ac:dyDescent="0.25">
      <c r="A254" t="s">
        <v>430</v>
      </c>
      <c r="B254" t="s">
        <v>27</v>
      </c>
      <c r="C254" t="s">
        <v>185</v>
      </c>
      <c r="H254" s="2">
        <v>46171.43273148148</v>
      </c>
      <c r="I254" t="s">
        <v>54</v>
      </c>
      <c r="Z254">
        <v>112564</v>
      </c>
    </row>
    <row r="255" spans="1:26" x14ac:dyDescent="0.25">
      <c r="A255" t="s">
        <v>431</v>
      </c>
      <c r="B255" t="s">
        <v>303</v>
      </c>
      <c r="C255" t="s">
        <v>28</v>
      </c>
      <c r="E255" s="1" t="s">
        <v>309</v>
      </c>
      <c r="H255" s="2">
        <v>46171.412060185183</v>
      </c>
      <c r="I255" t="s">
        <v>54</v>
      </c>
      <c r="Z255">
        <v>112562</v>
      </c>
    </row>
    <row r="256" spans="1:26" x14ac:dyDescent="0.25">
      <c r="A256" t="s">
        <v>432</v>
      </c>
      <c r="B256" t="s">
        <v>27</v>
      </c>
      <c r="C256" t="s">
        <v>28</v>
      </c>
      <c r="H256" s="2">
        <v>46170.780046296299</v>
      </c>
      <c r="I256" t="s">
        <v>31</v>
      </c>
      <c r="Z256">
        <v>112556</v>
      </c>
    </row>
    <row r="257" spans="1:26" x14ac:dyDescent="0.25">
      <c r="A257" t="s">
        <v>433</v>
      </c>
      <c r="B257" t="s">
        <v>27</v>
      </c>
      <c r="C257" t="s">
        <v>28</v>
      </c>
      <c r="H257" s="2">
        <v>46170.721215277779</v>
      </c>
      <c r="I257" t="s">
        <v>56</v>
      </c>
      <c r="Z257">
        <v>112555</v>
      </c>
    </row>
    <row r="258" spans="1:26" x14ac:dyDescent="0.25">
      <c r="A258" t="s">
        <v>434</v>
      </c>
      <c r="B258" t="s">
        <v>74</v>
      </c>
      <c r="C258" t="s">
        <v>28</v>
      </c>
      <c r="E258" t="s">
        <v>435</v>
      </c>
      <c r="G258" t="s">
        <v>436</v>
      </c>
      <c r="H258" s="2">
        <v>46170.524583333332</v>
      </c>
      <c r="I258" t="s">
        <v>31</v>
      </c>
      <c r="Z258">
        <v>112545</v>
      </c>
    </row>
    <row r="259" spans="1:26" x14ac:dyDescent="0.25">
      <c r="A259" t="s">
        <v>437</v>
      </c>
      <c r="B259" t="s">
        <v>303</v>
      </c>
      <c r="C259" t="s">
        <v>155</v>
      </c>
      <c r="E259" s="1" t="s">
        <v>309</v>
      </c>
      <c r="H259" s="2">
        <v>46170.464259259257</v>
      </c>
      <c r="I259" t="s">
        <v>56</v>
      </c>
      <c r="Z259">
        <v>112542</v>
      </c>
    </row>
    <row r="260" spans="1:26" x14ac:dyDescent="0.25">
      <c r="A260" t="s">
        <v>438</v>
      </c>
      <c r="B260" t="s">
        <v>27</v>
      </c>
      <c r="C260" t="s">
        <v>28</v>
      </c>
      <c r="H260" s="2">
        <v>46170.439826388887</v>
      </c>
      <c r="I260" t="s">
        <v>56</v>
      </c>
      <c r="Z260">
        <v>112541</v>
      </c>
    </row>
    <row r="261" spans="1:26" x14ac:dyDescent="0.25">
      <c r="A261" t="s">
        <v>439</v>
      </c>
      <c r="B261" t="s">
        <v>46</v>
      </c>
      <c r="C261" t="s">
        <v>28</v>
      </c>
      <c r="E261" t="s">
        <v>440</v>
      </c>
      <c r="H261" s="2">
        <v>46169.915405092594</v>
      </c>
      <c r="I261" t="s">
        <v>56</v>
      </c>
      <c r="K261" t="s">
        <v>48</v>
      </c>
      <c r="Z261">
        <v>112537</v>
      </c>
    </row>
    <row r="262" spans="1:26" x14ac:dyDescent="0.25">
      <c r="A262" t="s">
        <v>441</v>
      </c>
      <c r="B262" t="s">
        <v>27</v>
      </c>
      <c r="C262" t="s">
        <v>28</v>
      </c>
      <c r="H262" s="2">
        <v>46169.885231481479</v>
      </c>
      <c r="I262" t="s">
        <v>56</v>
      </c>
      <c r="Z262">
        <v>112534</v>
      </c>
    </row>
    <row r="263" spans="1:26" x14ac:dyDescent="0.25">
      <c r="A263" t="s">
        <v>442</v>
      </c>
      <c r="B263" t="s">
        <v>74</v>
      </c>
      <c r="C263" t="s">
        <v>28</v>
      </c>
      <c r="E263" t="s">
        <v>370</v>
      </c>
      <c r="G263" t="s">
        <v>443</v>
      </c>
      <c r="H263" s="2">
        <v>46169.857858796298</v>
      </c>
      <c r="I263" t="s">
        <v>56</v>
      </c>
      <c r="Z263">
        <v>112533</v>
      </c>
    </row>
    <row r="264" spans="1:26" x14ac:dyDescent="0.25">
      <c r="A264" t="s">
        <v>444</v>
      </c>
      <c r="B264" t="s">
        <v>27</v>
      </c>
      <c r="C264" t="s">
        <v>28</v>
      </c>
      <c r="H264" s="2">
        <v>46169.85261574074</v>
      </c>
      <c r="I264" t="s">
        <v>56</v>
      </c>
      <c r="Z264">
        <v>112532</v>
      </c>
    </row>
    <row r="265" spans="1:26" x14ac:dyDescent="0.25">
      <c r="A265" t="s">
        <v>445</v>
      </c>
      <c r="B265" t="s">
        <v>27</v>
      </c>
      <c r="C265" t="s">
        <v>28</v>
      </c>
      <c r="H265" s="2">
        <v>46169.832233796296</v>
      </c>
      <c r="I265" t="s">
        <v>31</v>
      </c>
      <c r="Z265">
        <v>112529</v>
      </c>
    </row>
    <row r="266" spans="1:26" x14ac:dyDescent="0.25">
      <c r="A266" t="s">
        <v>446</v>
      </c>
      <c r="B266" t="s">
        <v>27</v>
      </c>
      <c r="C266" t="s">
        <v>28</v>
      </c>
      <c r="H266" s="2">
        <v>46169.784791666665</v>
      </c>
      <c r="I266" t="s">
        <v>31</v>
      </c>
      <c r="Z266">
        <v>112527</v>
      </c>
    </row>
    <row r="267" spans="1:26" x14ac:dyDescent="0.25">
      <c r="A267" t="s">
        <v>447</v>
      </c>
      <c r="B267" t="s">
        <v>303</v>
      </c>
      <c r="C267" t="s">
        <v>28</v>
      </c>
      <c r="E267" s="1" t="s">
        <v>309</v>
      </c>
      <c r="H267" s="2">
        <v>46169.483946759261</v>
      </c>
      <c r="I267" t="s">
        <v>56</v>
      </c>
      <c r="Z267">
        <v>112508</v>
      </c>
    </row>
    <row r="268" spans="1:26" x14ac:dyDescent="0.25">
      <c r="A268" t="s">
        <v>448</v>
      </c>
      <c r="B268" t="s">
        <v>46</v>
      </c>
      <c r="C268" t="s">
        <v>28</v>
      </c>
      <c r="E268" t="s">
        <v>449</v>
      </c>
      <c r="H268" s="2">
        <v>46169.483287037037</v>
      </c>
      <c r="I268" t="s">
        <v>56</v>
      </c>
      <c r="K268" t="s">
        <v>48</v>
      </c>
      <c r="Z268">
        <v>112507</v>
      </c>
    </row>
    <row r="269" spans="1:26" x14ac:dyDescent="0.25">
      <c r="A269" t="s">
        <v>414</v>
      </c>
      <c r="B269" t="s">
        <v>303</v>
      </c>
      <c r="C269" t="s">
        <v>155</v>
      </c>
      <c r="E269" s="1" t="s">
        <v>309</v>
      </c>
      <c r="H269" s="2">
        <v>46168.610532407409</v>
      </c>
      <c r="I269" t="s">
        <v>31</v>
      </c>
      <c r="Z269">
        <v>112494</v>
      </c>
    </row>
    <row r="270" spans="1:26" x14ac:dyDescent="0.25">
      <c r="A270" t="s">
        <v>450</v>
      </c>
      <c r="B270" t="s">
        <v>303</v>
      </c>
      <c r="C270" t="s">
        <v>28</v>
      </c>
      <c r="E270" s="1" t="s">
        <v>309</v>
      </c>
      <c r="H270" s="2">
        <v>46168.555127314816</v>
      </c>
      <c r="I270" t="s">
        <v>31</v>
      </c>
      <c r="Z270">
        <v>112493</v>
      </c>
    </row>
    <row r="271" spans="1:26" x14ac:dyDescent="0.25">
      <c r="A271" t="s">
        <v>451</v>
      </c>
      <c r="B271" t="s">
        <v>27</v>
      </c>
      <c r="C271" t="s">
        <v>28</v>
      </c>
      <c r="H271" s="2">
        <v>46168.439722222225</v>
      </c>
      <c r="I271" t="s">
        <v>31</v>
      </c>
      <c r="Z271">
        <v>112481</v>
      </c>
    </row>
    <row r="272" spans="1:26" x14ac:dyDescent="0.25">
      <c r="A272" t="s">
        <v>452</v>
      </c>
      <c r="B272" t="s">
        <v>27</v>
      </c>
      <c r="C272" t="s">
        <v>28</v>
      </c>
      <c r="H272" s="2">
        <v>46167.545231481483</v>
      </c>
      <c r="I272" t="s">
        <v>31</v>
      </c>
      <c r="Z272">
        <v>112457</v>
      </c>
    </row>
    <row r="273" spans="1:26" x14ac:dyDescent="0.25">
      <c r="A273" t="s">
        <v>453</v>
      </c>
      <c r="B273" t="s">
        <v>27</v>
      </c>
      <c r="C273" t="s">
        <v>28</v>
      </c>
      <c r="H273" s="2">
        <v>46167.487592592595</v>
      </c>
      <c r="I273" t="s">
        <v>31</v>
      </c>
      <c r="Z273">
        <v>112448</v>
      </c>
    </row>
    <row r="274" spans="1:26" x14ac:dyDescent="0.25">
      <c r="A274" t="s">
        <v>454</v>
      </c>
      <c r="B274" t="s">
        <v>74</v>
      </c>
      <c r="C274" t="s">
        <v>28</v>
      </c>
      <c r="E274" t="s">
        <v>101</v>
      </c>
      <c r="G274" t="s">
        <v>455</v>
      </c>
      <c r="H274" s="2">
        <v>46166.907025462962</v>
      </c>
      <c r="I274" t="s">
        <v>31</v>
      </c>
      <c r="Z274">
        <v>112442</v>
      </c>
    </row>
    <row r="275" spans="1:26" x14ac:dyDescent="0.25">
      <c r="A275" t="s">
        <v>456</v>
      </c>
      <c r="B275" t="s">
        <v>27</v>
      </c>
      <c r="C275" t="s">
        <v>28</v>
      </c>
      <c r="H275" s="2">
        <v>46166.770266203705</v>
      </c>
      <c r="I275" t="s">
        <v>54</v>
      </c>
      <c r="Z275">
        <v>112438</v>
      </c>
    </row>
    <row r="276" spans="1:26" x14ac:dyDescent="0.25">
      <c r="A276" t="s">
        <v>457</v>
      </c>
      <c r="B276" t="s">
        <v>74</v>
      </c>
      <c r="C276" t="s">
        <v>28</v>
      </c>
      <c r="E276" t="s">
        <v>458</v>
      </c>
      <c r="G276" t="s">
        <v>459</v>
      </c>
      <c r="H276" s="2">
        <v>46166.769571759258</v>
      </c>
      <c r="I276" t="s">
        <v>54</v>
      </c>
      <c r="K276" t="s">
        <v>34</v>
      </c>
      <c r="L276" t="s">
        <v>35</v>
      </c>
      <c r="M276" t="s">
        <v>460</v>
      </c>
      <c r="N276">
        <v>17138766920</v>
      </c>
      <c r="O276" t="s">
        <v>461</v>
      </c>
      <c r="Z276">
        <v>112437</v>
      </c>
    </row>
    <row r="277" spans="1:26" x14ac:dyDescent="0.25">
      <c r="A277" t="s">
        <v>462</v>
      </c>
      <c r="B277" t="s">
        <v>27</v>
      </c>
      <c r="C277" t="s">
        <v>28</v>
      </c>
      <c r="H277" s="2">
        <v>46164.659571759257</v>
      </c>
      <c r="I277" t="s">
        <v>31</v>
      </c>
      <c r="Z277">
        <v>112386</v>
      </c>
    </row>
    <row r="278" spans="1:26" x14ac:dyDescent="0.25">
      <c r="A278" t="s">
        <v>463</v>
      </c>
      <c r="B278" t="s">
        <v>27</v>
      </c>
      <c r="C278" t="s">
        <v>28</v>
      </c>
      <c r="H278" s="2">
        <v>46164.519687499997</v>
      </c>
      <c r="I278" t="s">
        <v>56</v>
      </c>
      <c r="Z278">
        <v>112379</v>
      </c>
    </row>
    <row r="279" spans="1:26" x14ac:dyDescent="0.25">
      <c r="A279" t="s">
        <v>464</v>
      </c>
      <c r="B279" t="s">
        <v>27</v>
      </c>
      <c r="C279" t="s">
        <v>28</v>
      </c>
      <c r="H279" s="2">
        <v>46164.481956018521</v>
      </c>
      <c r="I279" t="s">
        <v>31</v>
      </c>
      <c r="Z279">
        <v>112374</v>
      </c>
    </row>
    <row r="280" spans="1:26" x14ac:dyDescent="0.25">
      <c r="A280" t="s">
        <v>465</v>
      </c>
      <c r="B280" t="s">
        <v>27</v>
      </c>
      <c r="C280" t="s">
        <v>28</v>
      </c>
      <c r="H280" s="2">
        <v>46163.812395833331</v>
      </c>
      <c r="I280" t="s">
        <v>56</v>
      </c>
      <c r="Z280">
        <v>112356</v>
      </c>
    </row>
    <row r="281" spans="1:26" x14ac:dyDescent="0.25">
      <c r="A281" t="s">
        <v>466</v>
      </c>
      <c r="B281" t="s">
        <v>27</v>
      </c>
      <c r="C281" t="s">
        <v>28</v>
      </c>
      <c r="H281" s="2">
        <v>46163.668946759259</v>
      </c>
      <c r="I281" t="s">
        <v>31</v>
      </c>
      <c r="Z281">
        <v>112349</v>
      </c>
    </row>
    <row r="282" spans="1:26" x14ac:dyDescent="0.25">
      <c r="A282" t="s">
        <v>467</v>
      </c>
      <c r="B282" t="s">
        <v>27</v>
      </c>
      <c r="C282" t="s">
        <v>28</v>
      </c>
      <c r="H282" s="2">
        <v>46163.655405092592</v>
      </c>
      <c r="I282" t="s">
        <v>31</v>
      </c>
      <c r="Z282">
        <v>112348</v>
      </c>
    </row>
    <row r="283" spans="1:26" x14ac:dyDescent="0.25">
      <c r="A283" t="s">
        <v>468</v>
      </c>
      <c r="B283" t="s">
        <v>27</v>
      </c>
      <c r="C283" t="s">
        <v>28</v>
      </c>
      <c r="H283" s="2">
        <v>46163.647997685184</v>
      </c>
      <c r="I283" t="s">
        <v>56</v>
      </c>
      <c r="Z283">
        <v>112345</v>
      </c>
    </row>
    <row r="284" spans="1:26" x14ac:dyDescent="0.25">
      <c r="A284" t="s">
        <v>469</v>
      </c>
      <c r="B284" t="s">
        <v>74</v>
      </c>
      <c r="C284" t="s">
        <v>28</v>
      </c>
      <c r="E284" t="s">
        <v>101</v>
      </c>
      <c r="G284" t="s">
        <v>470</v>
      </c>
      <c r="H284" s="2">
        <v>46163.599918981483</v>
      </c>
      <c r="I284" t="s">
        <v>56</v>
      </c>
      <c r="Z284">
        <v>112340</v>
      </c>
    </row>
    <row r="285" spans="1:26" x14ac:dyDescent="0.25">
      <c r="A285" t="s">
        <v>471</v>
      </c>
      <c r="B285" t="s">
        <v>27</v>
      </c>
      <c r="C285" t="s">
        <v>28</v>
      </c>
      <c r="H285" s="2">
        <v>46163.461273148147</v>
      </c>
      <c r="I285" t="s">
        <v>56</v>
      </c>
      <c r="Z285">
        <v>112328</v>
      </c>
    </row>
    <row r="286" spans="1:26" x14ac:dyDescent="0.25">
      <c r="A286" t="s">
        <v>472</v>
      </c>
      <c r="B286" t="s">
        <v>27</v>
      </c>
      <c r="C286" t="s">
        <v>28</v>
      </c>
      <c r="H286" s="2">
        <v>46163.414259259262</v>
      </c>
      <c r="I286" t="s">
        <v>56</v>
      </c>
      <c r="Z286">
        <v>112323</v>
      </c>
    </row>
    <row r="287" spans="1:26" x14ac:dyDescent="0.25">
      <c r="A287" t="s">
        <v>473</v>
      </c>
      <c r="B287" t="s">
        <v>27</v>
      </c>
      <c r="C287" t="s">
        <v>28</v>
      </c>
      <c r="H287" s="2">
        <v>46163.380879629629</v>
      </c>
      <c r="I287" t="s">
        <v>31</v>
      </c>
      <c r="Z287">
        <v>112320</v>
      </c>
    </row>
    <row r="288" spans="1:26" x14ac:dyDescent="0.25">
      <c r="A288" t="s">
        <v>474</v>
      </c>
      <c r="B288" t="s">
        <v>27</v>
      </c>
      <c r="C288" t="s">
        <v>28</v>
      </c>
      <c r="H288" s="2">
        <v>46162.775324074071</v>
      </c>
      <c r="I288" t="s">
        <v>54</v>
      </c>
      <c r="Z288">
        <v>112316</v>
      </c>
    </row>
    <row r="289" spans="1:26" x14ac:dyDescent="0.25">
      <c r="A289" t="s">
        <v>475</v>
      </c>
      <c r="B289" t="s">
        <v>46</v>
      </c>
      <c r="C289" t="s">
        <v>28</v>
      </c>
      <c r="E289" t="s">
        <v>370</v>
      </c>
      <c r="H289" s="2">
        <v>46162.765347222223</v>
      </c>
      <c r="I289" t="s">
        <v>31</v>
      </c>
      <c r="K289" t="s">
        <v>48</v>
      </c>
      <c r="Z289">
        <v>112312</v>
      </c>
    </row>
    <row r="290" spans="1:26" x14ac:dyDescent="0.25">
      <c r="A290" t="s">
        <v>33</v>
      </c>
      <c r="B290" t="s">
        <v>27</v>
      </c>
      <c r="C290" t="s">
        <v>28</v>
      </c>
      <c r="H290" s="2">
        <v>46162.752824074072</v>
      </c>
      <c r="I290" t="s">
        <v>31</v>
      </c>
      <c r="Z290">
        <v>112309</v>
      </c>
    </row>
    <row r="291" spans="1:26" x14ac:dyDescent="0.25">
      <c r="A291" t="s">
        <v>476</v>
      </c>
      <c r="B291" t="s">
        <v>27</v>
      </c>
      <c r="C291" t="s">
        <v>28</v>
      </c>
      <c r="H291" s="2">
        <v>46162.511504629627</v>
      </c>
      <c r="I291" t="s">
        <v>31</v>
      </c>
      <c r="Z291">
        <v>112296</v>
      </c>
    </row>
    <row r="292" spans="1:26" x14ac:dyDescent="0.25">
      <c r="A292" t="s">
        <v>477</v>
      </c>
      <c r="B292" t="s">
        <v>27</v>
      </c>
      <c r="C292" t="s">
        <v>28</v>
      </c>
      <c r="H292" s="2">
        <v>46162.454131944447</v>
      </c>
      <c r="I292" t="s">
        <v>31</v>
      </c>
      <c r="Z292">
        <v>112288</v>
      </c>
    </row>
    <row r="293" spans="1:26" x14ac:dyDescent="0.25">
      <c r="A293" t="s">
        <v>478</v>
      </c>
      <c r="B293" t="s">
        <v>27</v>
      </c>
      <c r="C293" t="s">
        <v>28</v>
      </c>
      <c r="H293" s="2">
        <v>46162.373229166667</v>
      </c>
      <c r="I293" t="s">
        <v>31</v>
      </c>
      <c r="Z293">
        <v>112281</v>
      </c>
    </row>
    <row r="294" spans="1:26" x14ac:dyDescent="0.25">
      <c r="A294" t="s">
        <v>479</v>
      </c>
      <c r="B294" t="s">
        <v>27</v>
      </c>
      <c r="C294" t="s">
        <v>28</v>
      </c>
      <c r="H294" s="2">
        <v>46161.788518518515</v>
      </c>
      <c r="I294" t="s">
        <v>31</v>
      </c>
      <c r="Z294">
        <v>112277</v>
      </c>
    </row>
    <row r="295" spans="1:26" x14ac:dyDescent="0.25">
      <c r="A295" t="s">
        <v>33</v>
      </c>
      <c r="B295" t="s">
        <v>27</v>
      </c>
      <c r="C295" t="s">
        <v>28</v>
      </c>
      <c r="H295" s="2">
        <v>46161.656111111108</v>
      </c>
      <c r="I295" t="s">
        <v>31</v>
      </c>
      <c r="Z295">
        <v>112268</v>
      </c>
    </row>
    <row r="296" spans="1:26" x14ac:dyDescent="0.25">
      <c r="A296" t="s">
        <v>480</v>
      </c>
      <c r="B296" t="s">
        <v>27</v>
      </c>
      <c r="C296" t="s">
        <v>28</v>
      </c>
      <c r="H296" s="2">
        <v>46161.612627314818</v>
      </c>
      <c r="I296" t="s">
        <v>31</v>
      </c>
      <c r="Z296">
        <v>112265</v>
      </c>
    </row>
    <row r="297" spans="1:26" x14ac:dyDescent="0.25">
      <c r="A297" t="s">
        <v>481</v>
      </c>
      <c r="B297" t="s">
        <v>27</v>
      </c>
      <c r="C297" t="s">
        <v>28</v>
      </c>
      <c r="H297" s="2">
        <v>46161.587025462963</v>
      </c>
      <c r="I297" t="s">
        <v>54</v>
      </c>
      <c r="Z297">
        <v>112263</v>
      </c>
    </row>
    <row r="298" spans="1:26" x14ac:dyDescent="0.25">
      <c r="A298" t="s">
        <v>482</v>
      </c>
      <c r="B298" t="s">
        <v>303</v>
      </c>
      <c r="C298" t="s">
        <v>155</v>
      </c>
      <c r="E298" s="1" t="s">
        <v>309</v>
      </c>
      <c r="H298" s="2">
        <v>46161.470023148147</v>
      </c>
      <c r="I298" t="s">
        <v>31</v>
      </c>
      <c r="Z298">
        <v>112247</v>
      </c>
    </row>
    <row r="299" spans="1:26" x14ac:dyDescent="0.25">
      <c r="A299" t="s">
        <v>483</v>
      </c>
      <c r="B299" t="s">
        <v>27</v>
      </c>
      <c r="C299" t="s">
        <v>28</v>
      </c>
      <c r="H299" s="2">
        <v>46160.821574074071</v>
      </c>
      <c r="I299" t="s">
        <v>54</v>
      </c>
      <c r="Z299">
        <v>112238</v>
      </c>
    </row>
    <row r="300" spans="1:26" x14ac:dyDescent="0.25">
      <c r="A300" t="s">
        <v>484</v>
      </c>
      <c r="B300" t="s">
        <v>27</v>
      </c>
      <c r="C300" t="s">
        <v>28</v>
      </c>
      <c r="H300" s="2">
        <v>46160.750358796293</v>
      </c>
      <c r="I300" t="s">
        <v>54</v>
      </c>
      <c r="Z300">
        <v>112232</v>
      </c>
    </row>
    <row r="301" spans="1:26" x14ac:dyDescent="0.25">
      <c r="A301" t="s">
        <v>485</v>
      </c>
      <c r="B301" t="s">
        <v>27</v>
      </c>
      <c r="C301" t="s">
        <v>28</v>
      </c>
      <c r="H301" s="2">
        <v>46160.684502314813</v>
      </c>
      <c r="I301" t="s">
        <v>56</v>
      </c>
      <c r="Z301">
        <v>112224</v>
      </c>
    </row>
    <row r="302" spans="1:26" x14ac:dyDescent="0.25">
      <c r="A302" t="s">
        <v>486</v>
      </c>
      <c r="B302" t="s">
        <v>27</v>
      </c>
      <c r="C302" t="s">
        <v>28</v>
      </c>
      <c r="H302" s="2">
        <v>46160.614293981482</v>
      </c>
      <c r="I302" t="s">
        <v>54</v>
      </c>
      <c r="Z302">
        <v>112216</v>
      </c>
    </row>
    <row r="303" spans="1:26" x14ac:dyDescent="0.25">
      <c r="A303" t="s">
        <v>487</v>
      </c>
      <c r="B303" t="s">
        <v>306</v>
      </c>
      <c r="C303" t="s">
        <v>28</v>
      </c>
      <c r="H303" s="2">
        <v>46160.464212962965</v>
      </c>
      <c r="I303" t="s">
        <v>56</v>
      </c>
      <c r="K303" t="s">
        <v>488</v>
      </c>
      <c r="L303" t="s">
        <v>489</v>
      </c>
      <c r="N303" t="s">
        <v>490</v>
      </c>
      <c r="Z303">
        <v>112199</v>
      </c>
    </row>
    <row r="304" spans="1:26" x14ac:dyDescent="0.25">
      <c r="A304" t="s">
        <v>491</v>
      </c>
      <c r="B304" t="s">
        <v>303</v>
      </c>
      <c r="C304" t="s">
        <v>28</v>
      </c>
      <c r="E304" s="1" t="s">
        <v>309</v>
      </c>
      <c r="H304" s="2">
        <v>46160.456365740742</v>
      </c>
      <c r="I304" t="s">
        <v>54</v>
      </c>
      <c r="Z304">
        <v>112198</v>
      </c>
    </row>
    <row r="305" spans="1:26" x14ac:dyDescent="0.25">
      <c r="A305" t="s">
        <v>492</v>
      </c>
      <c r="B305" t="s">
        <v>27</v>
      </c>
      <c r="C305" t="s">
        <v>28</v>
      </c>
      <c r="H305" s="2">
        <v>46160.41028935185</v>
      </c>
      <c r="I305" t="s">
        <v>56</v>
      </c>
      <c r="Z305">
        <v>112196</v>
      </c>
    </row>
    <row r="306" spans="1:26" x14ac:dyDescent="0.25">
      <c r="A306" t="s">
        <v>493</v>
      </c>
      <c r="B306" t="s">
        <v>27</v>
      </c>
      <c r="C306" t="s">
        <v>28</v>
      </c>
      <c r="H306" s="2">
        <v>46159.673032407409</v>
      </c>
      <c r="I306" t="s">
        <v>56</v>
      </c>
      <c r="Z306">
        <v>112187</v>
      </c>
    </row>
    <row r="307" spans="1:26" x14ac:dyDescent="0.25">
      <c r="A307" t="s">
        <v>494</v>
      </c>
      <c r="B307" t="s">
        <v>27</v>
      </c>
      <c r="C307" t="s">
        <v>28</v>
      </c>
      <c r="H307" s="2">
        <v>46159.622534722221</v>
      </c>
      <c r="I307" t="s">
        <v>54</v>
      </c>
      <c r="Z307">
        <v>112181</v>
      </c>
    </row>
    <row r="308" spans="1:26" x14ac:dyDescent="0.25">
      <c r="A308" t="s">
        <v>495</v>
      </c>
      <c r="B308" t="s">
        <v>27</v>
      </c>
      <c r="C308" t="s">
        <v>28</v>
      </c>
      <c r="H308" s="2">
        <v>46159.514039351852</v>
      </c>
      <c r="I308" t="s">
        <v>54</v>
      </c>
      <c r="Z308">
        <v>112178</v>
      </c>
    </row>
    <row r="309" spans="1:26" x14ac:dyDescent="0.25">
      <c r="A309" t="s">
        <v>496</v>
      </c>
      <c r="B309" t="s">
        <v>74</v>
      </c>
      <c r="C309" t="s">
        <v>28</v>
      </c>
      <c r="E309" t="s">
        <v>370</v>
      </c>
      <c r="G309" t="s">
        <v>497</v>
      </c>
      <c r="H309" s="2">
        <v>46159.48300925926</v>
      </c>
      <c r="I309" t="s">
        <v>54</v>
      </c>
      <c r="Z309">
        <v>112174</v>
      </c>
    </row>
    <row r="310" spans="1:26" x14ac:dyDescent="0.25">
      <c r="A310" t="s">
        <v>498</v>
      </c>
      <c r="B310" t="s">
        <v>27</v>
      </c>
      <c r="C310" t="s">
        <v>28</v>
      </c>
      <c r="H310" s="2">
        <v>46159.423055555555</v>
      </c>
      <c r="I310" t="s">
        <v>56</v>
      </c>
      <c r="Z310">
        <v>112170</v>
      </c>
    </row>
    <row r="311" spans="1:26" x14ac:dyDescent="0.25">
      <c r="A311" t="s">
        <v>499</v>
      </c>
      <c r="B311" t="s">
        <v>27</v>
      </c>
      <c r="C311" t="s">
        <v>28</v>
      </c>
      <c r="H311" s="2">
        <v>46159.376099537039</v>
      </c>
      <c r="I311" t="s">
        <v>56</v>
      </c>
      <c r="Z311">
        <v>112168</v>
      </c>
    </row>
    <row r="312" spans="1:26" x14ac:dyDescent="0.25">
      <c r="A312" t="s">
        <v>33</v>
      </c>
      <c r="B312" t="s">
        <v>74</v>
      </c>
      <c r="C312" t="s">
        <v>28</v>
      </c>
      <c r="E312" t="s">
        <v>146</v>
      </c>
      <c r="G312" t="s">
        <v>500</v>
      </c>
      <c r="H312" s="2">
        <v>46158.446967592594</v>
      </c>
      <c r="I312" t="s">
        <v>31</v>
      </c>
      <c r="Z312">
        <v>112144</v>
      </c>
    </row>
    <row r="313" spans="1:26" x14ac:dyDescent="0.25">
      <c r="A313" t="s">
        <v>33</v>
      </c>
      <c r="B313" t="s">
        <v>27</v>
      </c>
      <c r="C313" t="s">
        <v>28</v>
      </c>
      <c r="H313" s="2">
        <v>46157.588958333334</v>
      </c>
      <c r="I313" t="s">
        <v>31</v>
      </c>
      <c r="Z313">
        <v>112122</v>
      </c>
    </row>
    <row r="314" spans="1:26" x14ac:dyDescent="0.25">
      <c r="A314" t="s">
        <v>501</v>
      </c>
      <c r="B314" t="s">
        <v>74</v>
      </c>
      <c r="C314" t="s">
        <v>28</v>
      </c>
      <c r="E314" t="s">
        <v>168</v>
      </c>
      <c r="G314" t="s">
        <v>502</v>
      </c>
      <c r="H314" s="2">
        <v>46156.933298611111</v>
      </c>
      <c r="I314" t="s">
        <v>31</v>
      </c>
      <c r="Z314">
        <v>112094</v>
      </c>
    </row>
    <row r="315" spans="1:26" x14ac:dyDescent="0.25">
      <c r="A315" t="s">
        <v>33</v>
      </c>
      <c r="B315" t="s">
        <v>27</v>
      </c>
      <c r="C315" t="s">
        <v>28</v>
      </c>
      <c r="H315" s="2">
        <v>46156.770324074074</v>
      </c>
      <c r="I315" t="s">
        <v>31</v>
      </c>
      <c r="Z315">
        <v>112085</v>
      </c>
    </row>
    <row r="316" spans="1:26" x14ac:dyDescent="0.25">
      <c r="A316" t="s">
        <v>503</v>
      </c>
      <c r="B316" t="s">
        <v>27</v>
      </c>
      <c r="C316" t="s">
        <v>53</v>
      </c>
      <c r="H316" s="2">
        <v>46156.670335648145</v>
      </c>
      <c r="I316" t="s">
        <v>54</v>
      </c>
      <c r="Z316">
        <v>112074</v>
      </c>
    </row>
    <row r="317" spans="1:26" x14ac:dyDescent="0.25">
      <c r="A317" t="s">
        <v>504</v>
      </c>
      <c r="B317" t="s">
        <v>27</v>
      </c>
      <c r="C317" t="s">
        <v>28</v>
      </c>
      <c r="H317" s="2">
        <v>46156.597326388888</v>
      </c>
      <c r="I317" t="s">
        <v>31</v>
      </c>
      <c r="Z317">
        <v>112069</v>
      </c>
    </row>
    <row r="318" spans="1:26" x14ac:dyDescent="0.25">
      <c r="A318" t="s">
        <v>505</v>
      </c>
      <c r="B318" t="s">
        <v>27</v>
      </c>
      <c r="C318" t="s">
        <v>28</v>
      </c>
      <c r="H318" s="2">
        <v>46156.486157407409</v>
      </c>
      <c r="I318" t="s">
        <v>54</v>
      </c>
      <c r="Z318">
        <v>112059</v>
      </c>
    </row>
    <row r="319" spans="1:26" x14ac:dyDescent="0.25">
      <c r="A319" t="s">
        <v>506</v>
      </c>
      <c r="B319" t="s">
        <v>27</v>
      </c>
      <c r="C319" t="s">
        <v>28</v>
      </c>
      <c r="H319" s="2">
        <v>46155.759340277778</v>
      </c>
      <c r="I319" t="s">
        <v>54</v>
      </c>
      <c r="Z319">
        <v>112038</v>
      </c>
    </row>
    <row r="320" spans="1:26" x14ac:dyDescent="0.25">
      <c r="A320" t="s">
        <v>507</v>
      </c>
      <c r="B320" t="s">
        <v>74</v>
      </c>
      <c r="C320" t="s">
        <v>28</v>
      </c>
      <c r="E320" t="s">
        <v>72</v>
      </c>
      <c r="G320" t="s">
        <v>508</v>
      </c>
      <c r="H320" s="2">
        <v>46155.629837962966</v>
      </c>
      <c r="I320" t="s">
        <v>31</v>
      </c>
      <c r="Z320">
        <v>112029</v>
      </c>
    </row>
    <row r="321" spans="1:26" x14ac:dyDescent="0.25">
      <c r="A321" t="s">
        <v>509</v>
      </c>
      <c r="B321" t="s">
        <v>27</v>
      </c>
      <c r="C321" t="s">
        <v>28</v>
      </c>
      <c r="H321" s="2">
        <v>46155.476620370369</v>
      </c>
      <c r="I321" t="s">
        <v>31</v>
      </c>
      <c r="Z321">
        <v>112018</v>
      </c>
    </row>
    <row r="322" spans="1:26" x14ac:dyDescent="0.25">
      <c r="A322" t="s">
        <v>510</v>
      </c>
      <c r="B322" t="s">
        <v>46</v>
      </c>
      <c r="C322" t="s">
        <v>28</v>
      </c>
      <c r="E322" t="s">
        <v>370</v>
      </c>
      <c r="H322" s="2">
        <v>46155.44195601852</v>
      </c>
      <c r="I322" t="s">
        <v>31</v>
      </c>
      <c r="K322" t="s">
        <v>48</v>
      </c>
      <c r="Z322">
        <v>112014</v>
      </c>
    </row>
    <row r="323" spans="1:26" x14ac:dyDescent="0.25">
      <c r="A323" t="s">
        <v>511</v>
      </c>
      <c r="B323" t="s">
        <v>306</v>
      </c>
      <c r="C323" t="s">
        <v>75</v>
      </c>
      <c r="E323" t="s">
        <v>370</v>
      </c>
      <c r="H323" s="2">
        <v>46155.411006944443</v>
      </c>
      <c r="I323" t="s">
        <v>31</v>
      </c>
      <c r="Z323">
        <v>112011</v>
      </c>
    </row>
    <row r="324" spans="1:26" x14ac:dyDescent="0.25">
      <c r="A324" t="s">
        <v>512</v>
      </c>
      <c r="B324" t="s">
        <v>27</v>
      </c>
      <c r="C324" t="s">
        <v>28</v>
      </c>
      <c r="H324" s="2">
        <v>46154.677800925929</v>
      </c>
      <c r="I324" t="s">
        <v>54</v>
      </c>
      <c r="Z324">
        <v>111993</v>
      </c>
    </row>
    <row r="325" spans="1:26" x14ac:dyDescent="0.25">
      <c r="A325" t="s">
        <v>513</v>
      </c>
      <c r="B325" t="s">
        <v>27</v>
      </c>
      <c r="C325" t="s">
        <v>28</v>
      </c>
      <c r="H325" s="2">
        <v>46153.566192129627</v>
      </c>
      <c r="I325" t="s">
        <v>54</v>
      </c>
      <c r="Z325">
        <v>111950</v>
      </c>
    </row>
    <row r="326" spans="1:26" x14ac:dyDescent="0.25">
      <c r="A326" t="s">
        <v>514</v>
      </c>
      <c r="B326" t="s">
        <v>74</v>
      </c>
      <c r="C326" t="s">
        <v>28</v>
      </c>
      <c r="E326" t="s">
        <v>515</v>
      </c>
      <c r="G326" t="s">
        <v>516</v>
      </c>
      <c r="H326" s="2">
        <v>46153.51226851852</v>
      </c>
      <c r="I326" t="s">
        <v>54</v>
      </c>
      <c r="Z326">
        <v>111947</v>
      </c>
    </row>
    <row r="327" spans="1:26" x14ac:dyDescent="0.25">
      <c r="A327" t="s">
        <v>517</v>
      </c>
      <c r="B327" t="s">
        <v>27</v>
      </c>
      <c r="C327" t="s">
        <v>28</v>
      </c>
      <c r="H327" s="2">
        <v>46153.452430555553</v>
      </c>
      <c r="I327" t="s">
        <v>54</v>
      </c>
      <c r="Z327">
        <v>111942</v>
      </c>
    </row>
    <row r="328" spans="1:26" x14ac:dyDescent="0.25">
      <c r="A328" t="s">
        <v>518</v>
      </c>
      <c r="B328" t="s">
        <v>46</v>
      </c>
      <c r="C328" t="s">
        <v>28</v>
      </c>
      <c r="E328" t="s">
        <v>72</v>
      </c>
      <c r="H328" s="2">
        <v>46151.616574074076</v>
      </c>
      <c r="I328" t="s">
        <v>31</v>
      </c>
      <c r="K328" t="s">
        <v>48</v>
      </c>
      <c r="Z328">
        <v>111901</v>
      </c>
    </row>
    <row r="329" spans="1:26" x14ac:dyDescent="0.25">
      <c r="A329" t="s">
        <v>519</v>
      </c>
      <c r="B329" t="s">
        <v>27</v>
      </c>
      <c r="C329" t="s">
        <v>28</v>
      </c>
      <c r="H329" s="2">
        <v>46150.825960648152</v>
      </c>
      <c r="I329" t="s">
        <v>54</v>
      </c>
      <c r="Z329">
        <v>111887</v>
      </c>
    </row>
    <row r="330" spans="1:26" x14ac:dyDescent="0.25">
      <c r="A330" t="s">
        <v>520</v>
      </c>
      <c r="B330" t="s">
        <v>27</v>
      </c>
      <c r="C330" t="s">
        <v>28</v>
      </c>
      <c r="H330" s="2">
        <v>46150.498252314814</v>
      </c>
      <c r="I330" t="s">
        <v>31</v>
      </c>
      <c r="Z330">
        <v>111870</v>
      </c>
    </row>
    <row r="331" spans="1:26" x14ac:dyDescent="0.25">
      <c r="A331" t="s">
        <v>521</v>
      </c>
      <c r="B331" t="s">
        <v>27</v>
      </c>
      <c r="C331" t="s">
        <v>28</v>
      </c>
      <c r="H331" s="2">
        <v>46150.494814814818</v>
      </c>
      <c r="I331" t="s">
        <v>31</v>
      </c>
      <c r="Z331">
        <v>111869</v>
      </c>
    </row>
    <row r="332" spans="1:26" x14ac:dyDescent="0.25">
      <c r="A332" t="s">
        <v>522</v>
      </c>
      <c r="B332" t="s">
        <v>27</v>
      </c>
      <c r="C332" t="s">
        <v>28</v>
      </c>
      <c r="H332" s="2">
        <v>46150.463703703703</v>
      </c>
      <c r="I332" t="s">
        <v>31</v>
      </c>
      <c r="Z332">
        <v>111866</v>
      </c>
    </row>
    <row r="333" spans="1:26" x14ac:dyDescent="0.25">
      <c r="A333" t="s">
        <v>523</v>
      </c>
      <c r="B333" t="s">
        <v>306</v>
      </c>
      <c r="C333" t="s">
        <v>28</v>
      </c>
      <c r="E333" t="s">
        <v>370</v>
      </c>
      <c r="H333" s="2">
        <v>46149.48505787037</v>
      </c>
      <c r="I333" t="s">
        <v>31</v>
      </c>
      <c r="Z333">
        <v>111840</v>
      </c>
    </row>
    <row r="334" spans="1:26" x14ac:dyDescent="0.25">
      <c r="A334" t="s">
        <v>524</v>
      </c>
      <c r="B334" t="s">
        <v>27</v>
      </c>
      <c r="C334" t="s">
        <v>28</v>
      </c>
      <c r="H334" s="2">
        <v>46149.453611111108</v>
      </c>
      <c r="I334" t="s">
        <v>31</v>
      </c>
      <c r="Z334">
        <v>111838</v>
      </c>
    </row>
    <row r="335" spans="1:26" x14ac:dyDescent="0.25">
      <c r="A335" t="s">
        <v>525</v>
      </c>
      <c r="B335" t="s">
        <v>27</v>
      </c>
      <c r="C335" t="s">
        <v>28</v>
      </c>
      <c r="H335" s="2">
        <v>46148.683761574073</v>
      </c>
      <c r="I335" t="s">
        <v>56</v>
      </c>
      <c r="Z335">
        <v>111825</v>
      </c>
    </row>
    <row r="336" spans="1:26" x14ac:dyDescent="0.25">
      <c r="A336" t="s">
        <v>526</v>
      </c>
      <c r="B336" t="s">
        <v>27</v>
      </c>
      <c r="C336" t="s">
        <v>28</v>
      </c>
      <c r="H336" s="2">
        <v>46148.68236111111</v>
      </c>
      <c r="I336" t="s">
        <v>56</v>
      </c>
      <c r="Z336">
        <v>111823</v>
      </c>
    </row>
    <row r="337" spans="1:26" x14ac:dyDescent="0.25">
      <c r="A337" t="s">
        <v>527</v>
      </c>
      <c r="B337" t="s">
        <v>27</v>
      </c>
      <c r="C337" t="s">
        <v>28</v>
      </c>
      <c r="H337" s="2">
        <v>46148.608587962961</v>
      </c>
      <c r="I337" t="s">
        <v>54</v>
      </c>
      <c r="Z337">
        <v>111813</v>
      </c>
    </row>
    <row r="338" spans="1:26" x14ac:dyDescent="0.25">
      <c r="A338" t="s">
        <v>528</v>
      </c>
      <c r="B338" t="s">
        <v>27</v>
      </c>
      <c r="C338" t="s">
        <v>28</v>
      </c>
      <c r="H338" s="2">
        <v>46148.568298611113</v>
      </c>
      <c r="I338" t="s">
        <v>56</v>
      </c>
      <c r="Z338">
        <v>111807</v>
      </c>
    </row>
    <row r="339" spans="1:26" x14ac:dyDescent="0.25">
      <c r="A339" t="s">
        <v>529</v>
      </c>
      <c r="B339" t="s">
        <v>27</v>
      </c>
      <c r="C339" t="s">
        <v>28</v>
      </c>
      <c r="H339" s="2">
        <v>46147.710787037038</v>
      </c>
      <c r="I339" t="s">
        <v>54</v>
      </c>
      <c r="Z339">
        <v>111776</v>
      </c>
    </row>
    <row r="340" spans="1:26" x14ac:dyDescent="0.25">
      <c r="A340" t="s">
        <v>530</v>
      </c>
      <c r="B340" t="s">
        <v>27</v>
      </c>
      <c r="C340" t="s">
        <v>28</v>
      </c>
      <c r="H340" s="2">
        <v>46147.590763888889</v>
      </c>
      <c r="I340" t="s">
        <v>56</v>
      </c>
      <c r="Z340">
        <v>111771</v>
      </c>
    </row>
    <row r="341" spans="1:26" x14ac:dyDescent="0.25">
      <c r="A341" t="s">
        <v>531</v>
      </c>
      <c r="B341" t="s">
        <v>27</v>
      </c>
      <c r="C341" t="s">
        <v>28</v>
      </c>
      <c r="H341" s="2">
        <v>46147.556990740741</v>
      </c>
      <c r="I341" t="s">
        <v>54</v>
      </c>
      <c r="Z341">
        <v>111769</v>
      </c>
    </row>
    <row r="342" spans="1:26" x14ac:dyDescent="0.25">
      <c r="A342" t="s">
        <v>532</v>
      </c>
      <c r="B342" t="s">
        <v>27</v>
      </c>
      <c r="C342" t="s">
        <v>28</v>
      </c>
      <c r="H342" s="2">
        <v>46146.597858796296</v>
      </c>
      <c r="I342" t="s">
        <v>31</v>
      </c>
      <c r="Z342">
        <v>111723</v>
      </c>
    </row>
    <row r="343" spans="1:26" x14ac:dyDescent="0.25">
      <c r="A343" t="s">
        <v>533</v>
      </c>
      <c r="B343" t="s">
        <v>27</v>
      </c>
      <c r="C343" t="s">
        <v>28</v>
      </c>
      <c r="H343" s="2">
        <v>46146.576215277775</v>
      </c>
      <c r="I343" t="s">
        <v>31</v>
      </c>
      <c r="Z343">
        <v>111717</v>
      </c>
    </row>
    <row r="344" spans="1:26" x14ac:dyDescent="0.25">
      <c r="A344" t="s">
        <v>534</v>
      </c>
      <c r="B344" t="s">
        <v>27</v>
      </c>
      <c r="C344" t="s">
        <v>28</v>
      </c>
      <c r="H344" s="2">
        <v>46146.521967592591</v>
      </c>
      <c r="I344" t="s">
        <v>56</v>
      </c>
      <c r="Z344">
        <v>111714</v>
      </c>
    </row>
    <row r="345" spans="1:26" x14ac:dyDescent="0.25">
      <c r="A345" t="s">
        <v>535</v>
      </c>
      <c r="B345" t="s">
        <v>27</v>
      </c>
      <c r="C345" t="s">
        <v>28</v>
      </c>
      <c r="H345" s="2">
        <v>46146.493969907409</v>
      </c>
      <c r="I345" t="s">
        <v>56</v>
      </c>
      <c r="Z345">
        <v>111710</v>
      </c>
    </row>
    <row r="346" spans="1:26" x14ac:dyDescent="0.25">
      <c r="A346" t="s">
        <v>536</v>
      </c>
      <c r="B346" t="s">
        <v>27</v>
      </c>
      <c r="C346" t="s">
        <v>28</v>
      </c>
      <c r="H346" s="2">
        <v>46146.439988425926</v>
      </c>
      <c r="I346" t="s">
        <v>56</v>
      </c>
      <c r="Z346">
        <v>111703</v>
      </c>
    </row>
    <row r="347" spans="1:26" x14ac:dyDescent="0.25">
      <c r="A347" t="s">
        <v>537</v>
      </c>
      <c r="B347" t="s">
        <v>27</v>
      </c>
      <c r="C347" t="s">
        <v>28</v>
      </c>
      <c r="H347" s="2">
        <v>46146.426631944443</v>
      </c>
      <c r="I347" t="s">
        <v>31</v>
      </c>
      <c r="Z347">
        <v>111700</v>
      </c>
    </row>
    <row r="348" spans="1:26" x14ac:dyDescent="0.25">
      <c r="A348" t="s">
        <v>538</v>
      </c>
      <c r="B348" t="s">
        <v>27</v>
      </c>
      <c r="C348" t="s">
        <v>28</v>
      </c>
      <c r="H348" s="2">
        <v>46146.401759259257</v>
      </c>
      <c r="I348" t="s">
        <v>31</v>
      </c>
      <c r="Z348">
        <v>111697</v>
      </c>
    </row>
    <row r="349" spans="1:26" x14ac:dyDescent="0.25">
      <c r="A349" t="s">
        <v>539</v>
      </c>
      <c r="B349" t="s">
        <v>74</v>
      </c>
      <c r="C349" t="s">
        <v>28</v>
      </c>
      <c r="E349" t="s">
        <v>72</v>
      </c>
      <c r="G349" t="s">
        <v>540</v>
      </c>
      <c r="H349" s="2">
        <v>46144.890833333331</v>
      </c>
      <c r="I349" t="s">
        <v>56</v>
      </c>
      <c r="Z349">
        <v>111665</v>
      </c>
    </row>
    <row r="350" spans="1:26" x14ac:dyDescent="0.25">
      <c r="A350" t="s">
        <v>541</v>
      </c>
      <c r="B350" t="s">
        <v>27</v>
      </c>
      <c r="C350" t="s">
        <v>28</v>
      </c>
      <c r="H350" s="2">
        <v>46144.853263888886</v>
      </c>
      <c r="I350" t="s">
        <v>31</v>
      </c>
      <c r="Z350">
        <v>111664</v>
      </c>
    </row>
    <row r="351" spans="1:26" x14ac:dyDescent="0.25">
      <c r="A351" t="s">
        <v>542</v>
      </c>
      <c r="B351" t="s">
        <v>46</v>
      </c>
      <c r="C351" t="s">
        <v>28</v>
      </c>
      <c r="E351" t="s">
        <v>543</v>
      </c>
      <c r="H351" s="2">
        <v>46144.148206018515</v>
      </c>
      <c r="I351" t="s">
        <v>54</v>
      </c>
      <c r="K351" t="s">
        <v>48</v>
      </c>
      <c r="Z351">
        <v>111640</v>
      </c>
    </row>
    <row r="352" spans="1:26" x14ac:dyDescent="0.25">
      <c r="A352" t="s">
        <v>544</v>
      </c>
      <c r="B352" t="s">
        <v>46</v>
      </c>
      <c r="C352" t="s">
        <v>28</v>
      </c>
      <c r="E352" t="s">
        <v>545</v>
      </c>
      <c r="H352" s="2">
        <v>46143.769768518519</v>
      </c>
      <c r="I352" t="s">
        <v>54</v>
      </c>
      <c r="K352" t="s">
        <v>48</v>
      </c>
      <c r="Z352">
        <v>111637</v>
      </c>
    </row>
    <row r="353" spans="1:26" x14ac:dyDescent="0.25">
      <c r="A353" t="s">
        <v>33</v>
      </c>
      <c r="B353" t="s">
        <v>27</v>
      </c>
      <c r="C353" t="s">
        <v>28</v>
      </c>
      <c r="H353" s="2">
        <v>46143.552129629628</v>
      </c>
      <c r="I353" t="s">
        <v>31</v>
      </c>
      <c r="Z353">
        <v>111627</v>
      </c>
    </row>
    <row r="354" spans="1:26" x14ac:dyDescent="0.25">
      <c r="A354" t="s">
        <v>546</v>
      </c>
      <c r="B354" t="s">
        <v>27</v>
      </c>
      <c r="C354" t="s">
        <v>28</v>
      </c>
      <c r="H354" s="2">
        <v>46142.693356481483</v>
      </c>
      <c r="I354" t="s">
        <v>54</v>
      </c>
      <c r="Z354">
        <v>111611</v>
      </c>
    </row>
    <row r="355" spans="1:26" x14ac:dyDescent="0.25">
      <c r="A355" t="s">
        <v>547</v>
      </c>
      <c r="B355" t="s">
        <v>27</v>
      </c>
      <c r="C355" t="s">
        <v>28</v>
      </c>
      <c r="H355" s="2">
        <v>46142.457280092596</v>
      </c>
      <c r="I355" t="s">
        <v>54</v>
      </c>
      <c r="Z355">
        <v>111595</v>
      </c>
    </row>
    <row r="356" spans="1:26" x14ac:dyDescent="0.25">
      <c r="A356" t="s">
        <v>548</v>
      </c>
      <c r="B356" t="s">
        <v>27</v>
      </c>
      <c r="C356" t="s">
        <v>28</v>
      </c>
      <c r="H356" s="2">
        <v>46142.392418981479</v>
      </c>
      <c r="I356" t="s">
        <v>54</v>
      </c>
      <c r="Z356">
        <v>111587</v>
      </c>
    </row>
    <row r="357" spans="1:26" x14ac:dyDescent="0.25">
      <c r="A357" t="s">
        <v>549</v>
      </c>
      <c r="B357" t="s">
        <v>306</v>
      </c>
      <c r="C357" t="s">
        <v>28</v>
      </c>
      <c r="E357" t="s">
        <v>550</v>
      </c>
      <c r="H357" s="2">
        <v>46141.890613425923</v>
      </c>
      <c r="I357" t="s">
        <v>56</v>
      </c>
      <c r="Z357">
        <v>111586</v>
      </c>
    </row>
    <row r="358" spans="1:26" x14ac:dyDescent="0.25">
      <c r="A358" t="s">
        <v>551</v>
      </c>
      <c r="B358" t="s">
        <v>27</v>
      </c>
      <c r="C358" t="s">
        <v>28</v>
      </c>
      <c r="H358" s="2">
        <v>46141.565185185187</v>
      </c>
      <c r="I358" t="s">
        <v>54</v>
      </c>
      <c r="Z358">
        <v>111566</v>
      </c>
    </row>
    <row r="359" spans="1:26" x14ac:dyDescent="0.25">
      <c r="A359" t="s">
        <v>552</v>
      </c>
      <c r="B359" t="s">
        <v>27</v>
      </c>
      <c r="C359" t="s">
        <v>28</v>
      </c>
      <c r="H359" s="2">
        <v>46141.564479166664</v>
      </c>
      <c r="I359" t="s">
        <v>54</v>
      </c>
      <c r="Z359">
        <v>111565</v>
      </c>
    </row>
    <row r="360" spans="1:26" x14ac:dyDescent="0.25">
      <c r="A360" t="s">
        <v>553</v>
      </c>
      <c r="B360" t="s">
        <v>27</v>
      </c>
      <c r="C360" t="s">
        <v>28</v>
      </c>
      <c r="H360" s="2">
        <v>46141.544340277775</v>
      </c>
      <c r="I360" t="s">
        <v>54</v>
      </c>
      <c r="Z360">
        <v>111563</v>
      </c>
    </row>
    <row r="361" spans="1:26" x14ac:dyDescent="0.25">
      <c r="A361" t="s">
        <v>554</v>
      </c>
      <c r="B361" t="s">
        <v>27</v>
      </c>
      <c r="C361" t="s">
        <v>28</v>
      </c>
      <c r="H361" s="2">
        <v>46140.641562500001</v>
      </c>
      <c r="I361" t="s">
        <v>56</v>
      </c>
      <c r="Z361">
        <v>111526</v>
      </c>
    </row>
    <row r="362" spans="1:26" x14ac:dyDescent="0.25">
      <c r="A362" t="s">
        <v>555</v>
      </c>
      <c r="B362" t="s">
        <v>27</v>
      </c>
      <c r="C362" t="s">
        <v>28</v>
      </c>
      <c r="H362" s="2">
        <v>46140.603831018518</v>
      </c>
      <c r="I362" t="s">
        <v>556</v>
      </c>
      <c r="Z362">
        <v>111520</v>
      </c>
    </row>
    <row r="363" spans="1:26" x14ac:dyDescent="0.25">
      <c r="A363" t="s">
        <v>557</v>
      </c>
      <c r="B363" t="s">
        <v>74</v>
      </c>
      <c r="C363" t="s">
        <v>28</v>
      </c>
      <c r="E363" t="s">
        <v>209</v>
      </c>
      <c r="G363" t="s">
        <v>558</v>
      </c>
      <c r="H363" s="2">
        <v>46140.510972222219</v>
      </c>
      <c r="I363" t="s">
        <v>56</v>
      </c>
      <c r="Z363">
        <v>111513</v>
      </c>
    </row>
    <row r="364" spans="1:26" x14ac:dyDescent="0.25">
      <c r="A364" t="s">
        <v>559</v>
      </c>
      <c r="B364" t="s">
        <v>27</v>
      </c>
      <c r="C364" t="s">
        <v>28</v>
      </c>
      <c r="H364" s="2">
        <v>46139.675358796296</v>
      </c>
      <c r="I364" t="s">
        <v>31</v>
      </c>
      <c r="Z364">
        <v>111489</v>
      </c>
    </row>
    <row r="365" spans="1:26" x14ac:dyDescent="0.25">
      <c r="A365" t="s">
        <v>560</v>
      </c>
      <c r="B365" t="s">
        <v>27</v>
      </c>
      <c r="C365" t="s">
        <v>28</v>
      </c>
      <c r="H365" s="2">
        <v>46139.521736111114</v>
      </c>
      <c r="I365" t="s">
        <v>31</v>
      </c>
      <c r="Z365">
        <v>111479</v>
      </c>
    </row>
    <row r="366" spans="1:26" x14ac:dyDescent="0.25">
      <c r="A366" t="s">
        <v>33</v>
      </c>
      <c r="B366" t="s">
        <v>27</v>
      </c>
      <c r="C366" t="s">
        <v>28</v>
      </c>
      <c r="H366" s="2">
        <v>46139.469247685185</v>
      </c>
      <c r="I366" t="s">
        <v>31</v>
      </c>
      <c r="Z366">
        <v>111473</v>
      </c>
    </row>
    <row r="367" spans="1:26" x14ac:dyDescent="0.25">
      <c r="A367" t="s">
        <v>561</v>
      </c>
      <c r="B367" t="s">
        <v>46</v>
      </c>
      <c r="C367" t="s">
        <v>155</v>
      </c>
      <c r="E367" t="s">
        <v>562</v>
      </c>
      <c r="H367" s="2">
        <v>46139.453194444446</v>
      </c>
      <c r="I367" t="s">
        <v>31</v>
      </c>
      <c r="K367" t="s">
        <v>48</v>
      </c>
      <c r="Z367">
        <v>111471</v>
      </c>
    </row>
    <row r="368" spans="1:26" x14ac:dyDescent="0.25">
      <c r="A368" t="s">
        <v>563</v>
      </c>
      <c r="B368" t="s">
        <v>74</v>
      </c>
      <c r="C368" t="s">
        <v>28</v>
      </c>
      <c r="E368" t="s">
        <v>564</v>
      </c>
      <c r="G368" t="s">
        <v>565</v>
      </c>
      <c r="H368" s="2">
        <v>46138.568715277775</v>
      </c>
      <c r="I368" t="s">
        <v>31</v>
      </c>
      <c r="Z368">
        <v>111449</v>
      </c>
    </row>
    <row r="369" spans="1:26" x14ac:dyDescent="0.25">
      <c r="A369" t="s">
        <v>566</v>
      </c>
      <c r="B369" t="s">
        <v>27</v>
      </c>
      <c r="C369" t="s">
        <v>28</v>
      </c>
      <c r="H369" s="2">
        <v>46138.473530092589</v>
      </c>
      <c r="I369" t="s">
        <v>31</v>
      </c>
      <c r="Z369">
        <v>111442</v>
      </c>
    </row>
    <row r="370" spans="1:26" x14ac:dyDescent="0.25">
      <c r="A370" t="s">
        <v>33</v>
      </c>
      <c r="B370" t="s">
        <v>27</v>
      </c>
      <c r="C370" t="s">
        <v>28</v>
      </c>
      <c r="H370" s="2">
        <v>46137.718541666669</v>
      </c>
      <c r="I370" t="s">
        <v>31</v>
      </c>
      <c r="Z370">
        <v>111432</v>
      </c>
    </row>
    <row r="371" spans="1:26" x14ac:dyDescent="0.25">
      <c r="A371" t="s">
        <v>567</v>
      </c>
      <c r="B371" t="s">
        <v>27</v>
      </c>
      <c r="C371" t="s">
        <v>28</v>
      </c>
      <c r="H371" s="2">
        <v>46137.59447916667</v>
      </c>
      <c r="I371" t="s">
        <v>54</v>
      </c>
      <c r="Z371">
        <v>111423</v>
      </c>
    </row>
    <row r="372" spans="1:26" x14ac:dyDescent="0.25">
      <c r="A372" t="s">
        <v>568</v>
      </c>
      <c r="B372" t="s">
        <v>27</v>
      </c>
      <c r="C372" t="s">
        <v>28</v>
      </c>
      <c r="H372" s="2">
        <v>46136.810659722221</v>
      </c>
      <c r="I372" t="s">
        <v>54</v>
      </c>
      <c r="Z372">
        <v>111413</v>
      </c>
    </row>
    <row r="373" spans="1:26" x14ac:dyDescent="0.25">
      <c r="A373" t="s">
        <v>569</v>
      </c>
      <c r="B373" t="s">
        <v>27</v>
      </c>
      <c r="C373" t="s">
        <v>28</v>
      </c>
      <c r="H373" s="2">
        <v>46136.71298611111</v>
      </c>
      <c r="I373" t="s">
        <v>56</v>
      </c>
      <c r="Z373">
        <v>111405</v>
      </c>
    </row>
    <row r="374" spans="1:26" x14ac:dyDescent="0.25">
      <c r="A374" t="s">
        <v>570</v>
      </c>
      <c r="B374" t="s">
        <v>46</v>
      </c>
      <c r="C374" t="s">
        <v>28</v>
      </c>
      <c r="E374" t="s">
        <v>571</v>
      </c>
      <c r="H374" s="2">
        <v>46136.683599537035</v>
      </c>
      <c r="I374" t="s">
        <v>56</v>
      </c>
      <c r="K374" t="s">
        <v>48</v>
      </c>
      <c r="Z374">
        <v>111402</v>
      </c>
    </row>
    <row r="375" spans="1:26" x14ac:dyDescent="0.25">
      <c r="A375" t="s">
        <v>572</v>
      </c>
      <c r="B375" t="s">
        <v>27</v>
      </c>
      <c r="C375" t="s">
        <v>28</v>
      </c>
      <c r="H375" s="2">
        <v>46136.57172453704</v>
      </c>
      <c r="I375" t="s">
        <v>54</v>
      </c>
      <c r="Z375">
        <v>111390</v>
      </c>
    </row>
    <row r="376" spans="1:26" x14ac:dyDescent="0.25">
      <c r="A376" t="s">
        <v>573</v>
      </c>
      <c r="B376" t="s">
        <v>27</v>
      </c>
      <c r="C376" t="s">
        <v>28</v>
      </c>
      <c r="H376" s="2">
        <v>46136.54010416667</v>
      </c>
      <c r="I376" t="s">
        <v>54</v>
      </c>
      <c r="Z376">
        <v>111387</v>
      </c>
    </row>
    <row r="377" spans="1:26" x14ac:dyDescent="0.25">
      <c r="A377" t="s">
        <v>574</v>
      </c>
      <c r="B377" t="s">
        <v>27</v>
      </c>
      <c r="C377" t="s">
        <v>28</v>
      </c>
      <c r="H377" s="2">
        <v>46136.467222222222</v>
      </c>
      <c r="I377" t="s">
        <v>54</v>
      </c>
      <c r="Z377">
        <v>111382</v>
      </c>
    </row>
    <row r="378" spans="1:26" x14ac:dyDescent="0.25">
      <c r="A378" t="s">
        <v>575</v>
      </c>
      <c r="B378" t="s">
        <v>27</v>
      </c>
      <c r="C378" t="s">
        <v>28</v>
      </c>
      <c r="H378" s="2">
        <v>46135.757465277777</v>
      </c>
      <c r="I378" t="s">
        <v>56</v>
      </c>
      <c r="Z378">
        <v>111368</v>
      </c>
    </row>
    <row r="379" spans="1:26" x14ac:dyDescent="0.25">
      <c r="A379" t="s">
        <v>576</v>
      </c>
      <c r="B379" t="s">
        <v>74</v>
      </c>
      <c r="C379" t="s">
        <v>28</v>
      </c>
      <c r="E379" t="s">
        <v>370</v>
      </c>
      <c r="G379" t="s">
        <v>577</v>
      </c>
      <c r="H379" s="2">
        <v>46135.565046296295</v>
      </c>
      <c r="I379" t="s">
        <v>54</v>
      </c>
      <c r="Z379">
        <v>111355</v>
      </c>
    </row>
    <row r="380" spans="1:26" x14ac:dyDescent="0.25">
      <c r="A380" t="s">
        <v>578</v>
      </c>
      <c r="B380" t="s">
        <v>46</v>
      </c>
      <c r="C380" t="s">
        <v>28</v>
      </c>
      <c r="E380" t="s">
        <v>61</v>
      </c>
      <c r="H380" s="2">
        <v>46134.984375</v>
      </c>
      <c r="I380" t="s">
        <v>54</v>
      </c>
      <c r="K380" t="s">
        <v>48</v>
      </c>
      <c r="Z380">
        <v>111348</v>
      </c>
    </row>
    <row r="381" spans="1:26" x14ac:dyDescent="0.25">
      <c r="A381" t="s">
        <v>579</v>
      </c>
      <c r="B381" t="s">
        <v>27</v>
      </c>
      <c r="C381" t="s">
        <v>28</v>
      </c>
      <c r="H381" s="2">
        <v>46134.474722222221</v>
      </c>
      <c r="I381" t="s">
        <v>56</v>
      </c>
      <c r="Z381">
        <v>111325</v>
      </c>
    </row>
    <row r="382" spans="1:26" x14ac:dyDescent="0.25">
      <c r="A382" t="s">
        <v>33</v>
      </c>
      <c r="B382" t="s">
        <v>27</v>
      </c>
      <c r="C382" t="s">
        <v>28</v>
      </c>
      <c r="H382" s="2">
        <v>46133.684895833336</v>
      </c>
      <c r="I382" t="s">
        <v>31</v>
      </c>
      <c r="Z382">
        <v>111308</v>
      </c>
    </row>
    <row r="383" spans="1:26" x14ac:dyDescent="0.25">
      <c r="A383" t="s">
        <v>580</v>
      </c>
      <c r="B383" t="s">
        <v>27</v>
      </c>
      <c r="C383" t="s">
        <v>28</v>
      </c>
      <c r="H383" s="2">
        <v>46133.682199074072</v>
      </c>
      <c r="I383" t="s">
        <v>556</v>
      </c>
      <c r="Z383">
        <v>111307</v>
      </c>
    </row>
    <row r="384" spans="1:26" x14ac:dyDescent="0.25">
      <c r="A384" t="s">
        <v>33</v>
      </c>
      <c r="B384" t="s">
        <v>27</v>
      </c>
      <c r="C384" t="s">
        <v>28</v>
      </c>
      <c r="H384" s="2">
        <v>46133.677835648145</v>
      </c>
      <c r="I384" t="s">
        <v>31</v>
      </c>
      <c r="Z384">
        <v>111306</v>
      </c>
    </row>
    <row r="385" spans="1:26" x14ac:dyDescent="0.25">
      <c r="A385" t="s">
        <v>581</v>
      </c>
      <c r="B385" t="s">
        <v>27</v>
      </c>
      <c r="C385" t="s">
        <v>28</v>
      </c>
      <c r="H385" s="2">
        <v>46133.599780092591</v>
      </c>
      <c r="I385" t="s">
        <v>31</v>
      </c>
      <c r="Z385">
        <v>111303</v>
      </c>
    </row>
    <row r="386" spans="1:26" x14ac:dyDescent="0.25">
      <c r="A386" t="s">
        <v>582</v>
      </c>
      <c r="B386" t="s">
        <v>27</v>
      </c>
      <c r="C386" t="s">
        <v>28</v>
      </c>
      <c r="H386" s="2">
        <v>46132.836967592593</v>
      </c>
      <c r="I386" t="s">
        <v>31</v>
      </c>
      <c r="Z386">
        <v>111288</v>
      </c>
    </row>
    <row r="387" spans="1:26" x14ac:dyDescent="0.25">
      <c r="A387" t="s">
        <v>583</v>
      </c>
      <c r="B387" t="s">
        <v>306</v>
      </c>
      <c r="C387" t="s">
        <v>28</v>
      </c>
      <c r="E387" t="s">
        <v>290</v>
      </c>
      <c r="H387" s="2">
        <v>46132.65729166667</v>
      </c>
      <c r="I387" t="s">
        <v>31</v>
      </c>
      <c r="Z387">
        <v>111282</v>
      </c>
    </row>
    <row r="388" spans="1:26" x14ac:dyDescent="0.25">
      <c r="A388" t="s">
        <v>584</v>
      </c>
      <c r="B388" t="s">
        <v>27</v>
      </c>
      <c r="C388" t="s">
        <v>28</v>
      </c>
      <c r="H388" s="2">
        <v>46132.495115740741</v>
      </c>
      <c r="I388" t="s">
        <v>556</v>
      </c>
      <c r="Z388">
        <v>111274</v>
      </c>
    </row>
    <row r="389" spans="1:26" x14ac:dyDescent="0.25">
      <c r="A389" t="s">
        <v>585</v>
      </c>
      <c r="B389" t="s">
        <v>27</v>
      </c>
      <c r="C389" t="s">
        <v>28</v>
      </c>
      <c r="H389" s="2">
        <v>46132.492650462962</v>
      </c>
      <c r="I389" t="s">
        <v>556</v>
      </c>
      <c r="Z389">
        <v>111273</v>
      </c>
    </row>
    <row r="390" spans="1:26" x14ac:dyDescent="0.25">
      <c r="A390" t="s">
        <v>586</v>
      </c>
      <c r="B390" t="s">
        <v>27</v>
      </c>
      <c r="C390" t="s">
        <v>28</v>
      </c>
      <c r="H390" s="2">
        <v>46131.617210648146</v>
      </c>
      <c r="I390" t="s">
        <v>31</v>
      </c>
      <c r="Z390">
        <v>111253</v>
      </c>
    </row>
    <row r="391" spans="1:26" x14ac:dyDescent="0.25">
      <c r="A391" t="s">
        <v>587</v>
      </c>
      <c r="B391" t="s">
        <v>27</v>
      </c>
      <c r="C391" t="s">
        <v>28</v>
      </c>
      <c r="H391" s="2">
        <v>46131.593888888892</v>
      </c>
      <c r="I391" t="s">
        <v>54</v>
      </c>
      <c r="Z391">
        <v>111251</v>
      </c>
    </row>
    <row r="392" spans="1:26" x14ac:dyDescent="0.25">
      <c r="A392" t="s">
        <v>588</v>
      </c>
      <c r="B392" t="s">
        <v>27</v>
      </c>
      <c r="C392" t="s">
        <v>28</v>
      </c>
      <c r="H392" s="2">
        <v>46130.684340277781</v>
      </c>
      <c r="I392" t="s">
        <v>54</v>
      </c>
      <c r="Z392">
        <v>111231</v>
      </c>
    </row>
    <row r="393" spans="1:26" x14ac:dyDescent="0.25">
      <c r="A393" t="s">
        <v>589</v>
      </c>
      <c r="B393" t="s">
        <v>27</v>
      </c>
      <c r="C393" t="s">
        <v>28</v>
      </c>
      <c r="H393" s="2">
        <v>46130.681122685186</v>
      </c>
      <c r="I393" t="s">
        <v>56</v>
      </c>
      <c r="Z393">
        <v>111230</v>
      </c>
    </row>
    <row r="394" spans="1:26" x14ac:dyDescent="0.25">
      <c r="A394" t="s">
        <v>590</v>
      </c>
      <c r="B394" t="s">
        <v>27</v>
      </c>
      <c r="C394" t="s">
        <v>28</v>
      </c>
      <c r="H394" s="2">
        <v>46130.505335648151</v>
      </c>
      <c r="I394" t="s">
        <v>54</v>
      </c>
      <c r="Z394">
        <v>111224</v>
      </c>
    </row>
    <row r="395" spans="1:26" x14ac:dyDescent="0.25">
      <c r="A395" t="s">
        <v>591</v>
      </c>
      <c r="B395" t="s">
        <v>46</v>
      </c>
      <c r="C395" t="s">
        <v>28</v>
      </c>
      <c r="E395" t="s">
        <v>592</v>
      </c>
      <c r="H395" s="2">
        <v>46130.39471064815</v>
      </c>
      <c r="I395" t="s">
        <v>54</v>
      </c>
      <c r="K395" t="s">
        <v>48</v>
      </c>
      <c r="Z395">
        <v>111218</v>
      </c>
    </row>
    <row r="396" spans="1:26" x14ac:dyDescent="0.25">
      <c r="A396" t="s">
        <v>593</v>
      </c>
      <c r="B396" t="s">
        <v>27</v>
      </c>
      <c r="C396" t="s">
        <v>28</v>
      </c>
      <c r="H396" s="2">
        <v>46129.785868055558</v>
      </c>
      <c r="I396" t="s">
        <v>54</v>
      </c>
      <c r="Z396">
        <v>111214</v>
      </c>
    </row>
    <row r="397" spans="1:26" x14ac:dyDescent="0.25">
      <c r="A397" t="s">
        <v>594</v>
      </c>
      <c r="B397" t="s">
        <v>27</v>
      </c>
      <c r="C397" t="s">
        <v>28</v>
      </c>
      <c r="H397" s="2">
        <v>46128.657488425924</v>
      </c>
      <c r="I397" t="s">
        <v>556</v>
      </c>
      <c r="Z397">
        <v>111162</v>
      </c>
    </row>
    <row r="398" spans="1:26" x14ac:dyDescent="0.25">
      <c r="A398" t="s">
        <v>595</v>
      </c>
      <c r="B398" t="s">
        <v>27</v>
      </c>
      <c r="C398" t="s">
        <v>28</v>
      </c>
      <c r="H398" s="2">
        <v>46128.60670138889</v>
      </c>
      <c r="I398" t="s">
        <v>556</v>
      </c>
      <c r="Z398">
        <v>111153</v>
      </c>
    </row>
    <row r="399" spans="1:26" x14ac:dyDescent="0.25">
      <c r="A399" t="s">
        <v>596</v>
      </c>
      <c r="B399" t="s">
        <v>306</v>
      </c>
      <c r="C399" t="s">
        <v>28</v>
      </c>
      <c r="H399" s="2">
        <v>46128.517789351848</v>
      </c>
      <c r="I399" t="s">
        <v>556</v>
      </c>
      <c r="Z399">
        <v>111146</v>
      </c>
    </row>
    <row r="400" spans="1:26" x14ac:dyDescent="0.25">
      <c r="A400" t="s">
        <v>597</v>
      </c>
      <c r="B400" t="s">
        <v>27</v>
      </c>
      <c r="C400" t="s">
        <v>28</v>
      </c>
      <c r="H400" s="2">
        <v>46128.462025462963</v>
      </c>
      <c r="I400" t="s">
        <v>556</v>
      </c>
      <c r="Z400">
        <v>111138</v>
      </c>
    </row>
    <row r="401" spans="1:26" x14ac:dyDescent="0.25">
      <c r="A401" t="s">
        <v>586</v>
      </c>
      <c r="B401" t="s">
        <v>74</v>
      </c>
      <c r="C401" t="s">
        <v>28</v>
      </c>
      <c r="E401" t="s">
        <v>598</v>
      </c>
      <c r="G401" t="s">
        <v>599</v>
      </c>
      <c r="H401" s="2">
        <v>46127.742303240739</v>
      </c>
      <c r="I401" t="s">
        <v>31</v>
      </c>
      <c r="Z401">
        <v>111119</v>
      </c>
    </row>
    <row r="402" spans="1:26" x14ac:dyDescent="0.25">
      <c r="A402" t="s">
        <v>600</v>
      </c>
      <c r="B402" t="s">
        <v>74</v>
      </c>
      <c r="C402" t="s">
        <v>28</v>
      </c>
      <c r="E402" t="s">
        <v>601</v>
      </c>
      <c r="G402" t="s">
        <v>38</v>
      </c>
      <c r="H402" s="2">
        <v>46127.555011574077</v>
      </c>
      <c r="I402" t="s">
        <v>556</v>
      </c>
      <c r="Z402">
        <v>111102</v>
      </c>
    </row>
    <row r="403" spans="1:26" x14ac:dyDescent="0.25">
      <c r="A403" t="s">
        <v>33</v>
      </c>
      <c r="B403" t="s">
        <v>27</v>
      </c>
      <c r="C403" t="s">
        <v>28</v>
      </c>
      <c r="H403" s="2">
        <v>46127.496331018519</v>
      </c>
      <c r="I403" t="s">
        <v>31</v>
      </c>
      <c r="Z403">
        <v>111096</v>
      </c>
    </row>
    <row r="404" spans="1:26" x14ac:dyDescent="0.25">
      <c r="A404" t="s">
        <v>602</v>
      </c>
      <c r="B404" t="s">
        <v>27</v>
      </c>
      <c r="C404" t="s">
        <v>28</v>
      </c>
      <c r="H404" s="2">
        <v>46127.393912037034</v>
      </c>
      <c r="I404" t="s">
        <v>556</v>
      </c>
      <c r="Z404">
        <v>111085</v>
      </c>
    </row>
    <row r="405" spans="1:26" x14ac:dyDescent="0.25">
      <c r="A405" t="s">
        <v>603</v>
      </c>
      <c r="B405" t="s">
        <v>27</v>
      </c>
      <c r="C405" t="s">
        <v>28</v>
      </c>
      <c r="H405" s="2">
        <v>46126.723587962966</v>
      </c>
      <c r="I405" t="s">
        <v>31</v>
      </c>
      <c r="Z405">
        <v>111072</v>
      </c>
    </row>
    <row r="406" spans="1:26" x14ac:dyDescent="0.25">
      <c r="A406" t="s">
        <v>604</v>
      </c>
      <c r="B406" t="s">
        <v>27</v>
      </c>
      <c r="C406" t="s">
        <v>28</v>
      </c>
      <c r="H406" s="2">
        <v>46126.677511574075</v>
      </c>
      <c r="I406" t="s">
        <v>556</v>
      </c>
      <c r="Z406">
        <v>111066</v>
      </c>
    </row>
    <row r="407" spans="1:26" x14ac:dyDescent="0.25">
      <c r="A407" t="s">
        <v>605</v>
      </c>
      <c r="B407" t="s">
        <v>27</v>
      </c>
      <c r="C407" t="s">
        <v>28</v>
      </c>
      <c r="H407" s="2">
        <v>46126.577048611114</v>
      </c>
      <c r="I407" t="s">
        <v>556</v>
      </c>
      <c r="Z407">
        <v>111054</v>
      </c>
    </row>
    <row r="408" spans="1:26" x14ac:dyDescent="0.25">
      <c r="A408" t="s">
        <v>606</v>
      </c>
      <c r="B408" t="s">
        <v>306</v>
      </c>
      <c r="C408" t="s">
        <v>28</v>
      </c>
      <c r="E408" t="s">
        <v>607</v>
      </c>
      <c r="H408" s="2">
        <v>46126.547500000001</v>
      </c>
      <c r="I408" t="s">
        <v>556</v>
      </c>
      <c r="Z408">
        <v>111049</v>
      </c>
    </row>
    <row r="409" spans="1:26" x14ac:dyDescent="0.25">
      <c r="A409" t="s">
        <v>608</v>
      </c>
      <c r="B409" t="s">
        <v>27</v>
      </c>
      <c r="C409" t="s">
        <v>28</v>
      </c>
      <c r="H409" s="2">
        <v>46126.525925925926</v>
      </c>
      <c r="I409" t="s">
        <v>556</v>
      </c>
      <c r="Z409">
        <v>111048</v>
      </c>
    </row>
    <row r="410" spans="1:26" x14ac:dyDescent="0.25">
      <c r="A410" t="s">
        <v>609</v>
      </c>
      <c r="B410" t="s">
        <v>27</v>
      </c>
      <c r="C410" t="s">
        <v>28</v>
      </c>
      <c r="H410" s="2">
        <v>46125.547824074078</v>
      </c>
      <c r="I410" t="s">
        <v>54</v>
      </c>
      <c r="Z410">
        <v>111015</v>
      </c>
    </row>
    <row r="411" spans="1:26" x14ac:dyDescent="0.25">
      <c r="A411" t="s">
        <v>610</v>
      </c>
      <c r="B411" t="s">
        <v>27</v>
      </c>
      <c r="C411" t="s">
        <v>28</v>
      </c>
      <c r="H411" s="2">
        <v>46125.523587962962</v>
      </c>
      <c r="I411" t="s">
        <v>31</v>
      </c>
      <c r="Z411">
        <v>111014</v>
      </c>
    </row>
    <row r="412" spans="1:26" x14ac:dyDescent="0.25">
      <c r="A412" t="s">
        <v>611</v>
      </c>
      <c r="B412" t="s">
        <v>27</v>
      </c>
      <c r="C412" t="s">
        <v>28</v>
      </c>
      <c r="H412" s="2">
        <v>46125.483206018522</v>
      </c>
      <c r="I412" t="s">
        <v>54</v>
      </c>
      <c r="Z412">
        <v>111011</v>
      </c>
    </row>
    <row r="413" spans="1:26" x14ac:dyDescent="0.25">
      <c r="A413" t="s">
        <v>612</v>
      </c>
      <c r="B413" t="s">
        <v>74</v>
      </c>
      <c r="C413" t="s">
        <v>28</v>
      </c>
      <c r="E413" t="s">
        <v>183</v>
      </c>
      <c r="G413" t="s">
        <v>613</v>
      </c>
      <c r="H413" s="2">
        <v>46124.781666666669</v>
      </c>
      <c r="I413" t="s">
        <v>54</v>
      </c>
      <c r="Z413">
        <v>111001</v>
      </c>
    </row>
    <row r="414" spans="1:26" x14ac:dyDescent="0.25">
      <c r="A414" t="s">
        <v>614</v>
      </c>
      <c r="B414" t="s">
        <v>27</v>
      </c>
      <c r="C414" t="s">
        <v>28</v>
      </c>
      <c r="H414" s="2">
        <v>46124.430972222224</v>
      </c>
      <c r="I414" t="s">
        <v>54</v>
      </c>
      <c r="Z414">
        <v>110986</v>
      </c>
    </row>
    <row r="415" spans="1:26" x14ac:dyDescent="0.25">
      <c r="A415" t="s">
        <v>615</v>
      </c>
      <c r="B415" t="s">
        <v>27</v>
      </c>
      <c r="C415" t="s">
        <v>28</v>
      </c>
      <c r="H415" s="2">
        <v>46124.413645833331</v>
      </c>
      <c r="I415" t="s">
        <v>54</v>
      </c>
      <c r="Z415">
        <v>110985</v>
      </c>
    </row>
    <row r="416" spans="1:26" x14ac:dyDescent="0.25">
      <c r="A416" t="s">
        <v>616</v>
      </c>
      <c r="B416" t="s">
        <v>46</v>
      </c>
      <c r="C416" t="s">
        <v>28</v>
      </c>
      <c r="E416" t="s">
        <v>617</v>
      </c>
      <c r="H416" s="2">
        <v>46124.269548611112</v>
      </c>
      <c r="I416" t="s">
        <v>54</v>
      </c>
      <c r="K416" t="s">
        <v>48</v>
      </c>
      <c r="Z416">
        <v>110984</v>
      </c>
    </row>
    <row r="417" spans="1:26" x14ac:dyDescent="0.25">
      <c r="A417" t="s">
        <v>618</v>
      </c>
      <c r="B417" t="s">
        <v>27</v>
      </c>
      <c r="C417" t="s">
        <v>28</v>
      </c>
      <c r="H417" s="2">
        <v>46123.524444444447</v>
      </c>
      <c r="I417" t="s">
        <v>54</v>
      </c>
      <c r="Z417">
        <v>110958</v>
      </c>
    </row>
    <row r="418" spans="1:26" x14ac:dyDescent="0.25">
      <c r="A418" t="s">
        <v>619</v>
      </c>
      <c r="B418" t="s">
        <v>46</v>
      </c>
      <c r="C418" t="s">
        <v>28</v>
      </c>
      <c r="E418" t="s">
        <v>370</v>
      </c>
      <c r="H418" s="2">
        <v>46122.6875462963</v>
      </c>
      <c r="I418" t="s">
        <v>56</v>
      </c>
      <c r="K418" t="s">
        <v>48</v>
      </c>
      <c r="Z418">
        <v>110939</v>
      </c>
    </row>
    <row r="419" spans="1:26" x14ac:dyDescent="0.25">
      <c r="A419" t="s">
        <v>620</v>
      </c>
      <c r="B419" t="s">
        <v>27</v>
      </c>
      <c r="C419" t="s">
        <v>28</v>
      </c>
      <c r="H419" s="2">
        <v>46122.616296296299</v>
      </c>
      <c r="I419" t="s">
        <v>56</v>
      </c>
      <c r="Z419">
        <v>110926</v>
      </c>
    </row>
    <row r="420" spans="1:26" x14ac:dyDescent="0.25">
      <c r="A420" t="s">
        <v>621</v>
      </c>
      <c r="B420" t="s">
        <v>27</v>
      </c>
      <c r="C420" t="s">
        <v>28</v>
      </c>
      <c r="H420" s="2">
        <v>46122.554583333331</v>
      </c>
      <c r="I420" t="s">
        <v>54</v>
      </c>
      <c r="Z420">
        <v>110922</v>
      </c>
    </row>
    <row r="421" spans="1:26" x14ac:dyDescent="0.25">
      <c r="A421" t="s">
        <v>622</v>
      </c>
      <c r="B421" t="s">
        <v>27</v>
      </c>
      <c r="C421" t="s">
        <v>28</v>
      </c>
      <c r="H421" s="2">
        <v>46122.523090277777</v>
      </c>
      <c r="I421" t="s">
        <v>56</v>
      </c>
      <c r="Z421">
        <v>110917</v>
      </c>
    </row>
    <row r="422" spans="1:26" x14ac:dyDescent="0.25">
      <c r="A422" t="s">
        <v>623</v>
      </c>
      <c r="B422" t="s">
        <v>27</v>
      </c>
      <c r="C422" t="s">
        <v>28</v>
      </c>
      <c r="H422" s="2">
        <v>46122.426365740743</v>
      </c>
      <c r="I422" t="s">
        <v>56</v>
      </c>
      <c r="Z422">
        <v>110910</v>
      </c>
    </row>
    <row r="423" spans="1:26" x14ac:dyDescent="0.25">
      <c r="A423" t="s">
        <v>624</v>
      </c>
      <c r="B423" t="s">
        <v>27</v>
      </c>
      <c r="C423" t="s">
        <v>28</v>
      </c>
      <c r="H423" s="2">
        <v>46122.410532407404</v>
      </c>
      <c r="I423" t="s">
        <v>56</v>
      </c>
      <c r="Z423">
        <v>110908</v>
      </c>
    </row>
    <row r="424" spans="1:26" x14ac:dyDescent="0.25">
      <c r="A424" t="s">
        <v>33</v>
      </c>
      <c r="B424" t="s">
        <v>46</v>
      </c>
      <c r="C424" t="s">
        <v>28</v>
      </c>
      <c r="E424" t="s">
        <v>625</v>
      </c>
      <c r="H424" s="2">
        <v>46121.462743055556</v>
      </c>
      <c r="I424" t="s">
        <v>31</v>
      </c>
      <c r="K424" t="s">
        <v>48</v>
      </c>
      <c r="Z424">
        <v>110878</v>
      </c>
    </row>
    <row r="425" spans="1:26" x14ac:dyDescent="0.25">
      <c r="A425" t="s">
        <v>473</v>
      </c>
      <c r="B425" t="s">
        <v>46</v>
      </c>
      <c r="C425" t="s">
        <v>28</v>
      </c>
      <c r="E425" t="s">
        <v>626</v>
      </c>
      <c r="H425" s="2">
        <v>46121.446134259262</v>
      </c>
      <c r="I425" t="s">
        <v>31</v>
      </c>
      <c r="K425" t="s">
        <v>48</v>
      </c>
      <c r="Z425">
        <v>110876</v>
      </c>
    </row>
    <row r="426" spans="1:26" x14ac:dyDescent="0.25">
      <c r="A426" t="s">
        <v>627</v>
      </c>
      <c r="B426" t="s">
        <v>74</v>
      </c>
      <c r="C426" t="s">
        <v>28</v>
      </c>
      <c r="E426" t="s">
        <v>607</v>
      </c>
      <c r="G426" t="s">
        <v>628</v>
      </c>
      <c r="H426" s="2">
        <v>46120.662245370368</v>
      </c>
      <c r="I426" t="s">
        <v>556</v>
      </c>
      <c r="Z426">
        <v>110855</v>
      </c>
    </row>
    <row r="427" spans="1:26" x14ac:dyDescent="0.25">
      <c r="A427" t="s">
        <v>629</v>
      </c>
      <c r="B427" t="s">
        <v>27</v>
      </c>
      <c r="C427" t="s">
        <v>28</v>
      </c>
      <c r="H427" s="2">
        <v>46120.44159722222</v>
      </c>
      <c r="I427" t="s">
        <v>556</v>
      </c>
      <c r="Z427">
        <v>110830</v>
      </c>
    </row>
    <row r="428" spans="1:26" x14ac:dyDescent="0.25">
      <c r="A428" t="s">
        <v>630</v>
      </c>
      <c r="B428" t="s">
        <v>74</v>
      </c>
      <c r="C428" t="s">
        <v>28</v>
      </c>
      <c r="E428" t="s">
        <v>631</v>
      </c>
      <c r="G428" t="s">
        <v>632</v>
      </c>
      <c r="H428" s="2">
        <v>46120.025613425925</v>
      </c>
      <c r="I428" t="s">
        <v>556</v>
      </c>
      <c r="Z428">
        <v>110818</v>
      </c>
    </row>
    <row r="429" spans="1:26" x14ac:dyDescent="0.25">
      <c r="A429" t="s">
        <v>633</v>
      </c>
      <c r="B429" t="s">
        <v>74</v>
      </c>
      <c r="C429" t="s">
        <v>28</v>
      </c>
      <c r="E429" t="s">
        <v>183</v>
      </c>
      <c r="G429" t="s">
        <v>613</v>
      </c>
      <c r="H429" s="2">
        <v>46119.839629629627</v>
      </c>
      <c r="I429" t="s">
        <v>31</v>
      </c>
      <c r="Z429">
        <v>110816</v>
      </c>
    </row>
    <row r="430" spans="1:26" x14ac:dyDescent="0.25">
      <c r="A430" t="s">
        <v>634</v>
      </c>
      <c r="B430" t="s">
        <v>27</v>
      </c>
      <c r="C430" t="s">
        <v>28</v>
      </c>
      <c r="H430" s="2">
        <v>46119.817210648151</v>
      </c>
      <c r="I430" t="s">
        <v>31</v>
      </c>
      <c r="Z430">
        <v>110813</v>
      </c>
    </row>
    <row r="431" spans="1:26" x14ac:dyDescent="0.25">
      <c r="A431" t="s">
        <v>635</v>
      </c>
      <c r="B431" t="s">
        <v>27</v>
      </c>
      <c r="C431" t="s">
        <v>28</v>
      </c>
      <c r="H431" s="2">
        <v>46119.621504629627</v>
      </c>
      <c r="I431" t="s">
        <v>31</v>
      </c>
      <c r="Z431">
        <v>110798</v>
      </c>
    </row>
    <row r="432" spans="1:26" x14ac:dyDescent="0.25">
      <c r="A432" t="s">
        <v>636</v>
      </c>
      <c r="B432" t="s">
        <v>27</v>
      </c>
      <c r="C432" t="s">
        <v>28</v>
      </c>
      <c r="H432" s="2">
        <v>46119.557141203702</v>
      </c>
      <c r="I432" t="s">
        <v>31</v>
      </c>
      <c r="Z432">
        <v>110786</v>
      </c>
    </row>
    <row r="433" spans="1:26" x14ac:dyDescent="0.25">
      <c r="A433" t="s">
        <v>637</v>
      </c>
      <c r="B433" t="s">
        <v>27</v>
      </c>
      <c r="C433" t="s">
        <v>53</v>
      </c>
      <c r="H433" s="2">
        <v>46119.55363425926</v>
      </c>
      <c r="I433" t="s">
        <v>54</v>
      </c>
      <c r="Z433">
        <v>110784</v>
      </c>
    </row>
    <row r="434" spans="1:26" x14ac:dyDescent="0.25">
      <c r="A434" t="s">
        <v>638</v>
      </c>
      <c r="B434" t="s">
        <v>27</v>
      </c>
      <c r="C434" t="s">
        <v>28</v>
      </c>
      <c r="H434" s="2">
        <v>46119.552824074075</v>
      </c>
      <c r="I434" t="s">
        <v>31</v>
      </c>
      <c r="Z434">
        <v>110783</v>
      </c>
    </row>
    <row r="435" spans="1:26" x14ac:dyDescent="0.25">
      <c r="A435" t="s">
        <v>639</v>
      </c>
      <c r="B435" t="s">
        <v>46</v>
      </c>
      <c r="C435" t="s">
        <v>28</v>
      </c>
      <c r="E435" t="s">
        <v>72</v>
      </c>
      <c r="H435" s="2">
        <v>46119.542094907411</v>
      </c>
      <c r="I435" t="s">
        <v>54</v>
      </c>
      <c r="K435" t="s">
        <v>48</v>
      </c>
      <c r="Z435">
        <v>110781</v>
      </c>
    </row>
    <row r="436" spans="1:26" x14ac:dyDescent="0.25">
      <c r="A436" t="s">
        <v>640</v>
      </c>
      <c r="B436" t="s">
        <v>27</v>
      </c>
      <c r="C436" t="s">
        <v>28</v>
      </c>
      <c r="H436" s="2">
        <v>46119.47179398148</v>
      </c>
      <c r="I436" t="s">
        <v>54</v>
      </c>
      <c r="Z436">
        <v>110779</v>
      </c>
    </row>
    <row r="437" spans="1:26" x14ac:dyDescent="0.25">
      <c r="A437" t="s">
        <v>641</v>
      </c>
      <c r="B437" t="s">
        <v>27</v>
      </c>
      <c r="C437" t="s">
        <v>28</v>
      </c>
      <c r="H437" s="2">
        <v>46119.460428240738</v>
      </c>
      <c r="I437" t="s">
        <v>31</v>
      </c>
      <c r="Z437">
        <v>110778</v>
      </c>
    </row>
    <row r="438" spans="1:26" x14ac:dyDescent="0.25">
      <c r="A438" t="s">
        <v>642</v>
      </c>
      <c r="B438" t="s">
        <v>27</v>
      </c>
      <c r="C438" t="s">
        <v>28</v>
      </c>
      <c r="H438" s="2">
        <v>46118.670601851853</v>
      </c>
      <c r="I438" t="s">
        <v>56</v>
      </c>
      <c r="Z438">
        <v>110763</v>
      </c>
    </row>
    <row r="439" spans="1:26" x14ac:dyDescent="0.25">
      <c r="A439" t="s">
        <v>643</v>
      </c>
      <c r="B439" t="s">
        <v>27</v>
      </c>
      <c r="C439" t="s">
        <v>28</v>
      </c>
      <c r="H439" s="2">
        <v>46118.452511574076</v>
      </c>
      <c r="I439" t="s">
        <v>54</v>
      </c>
      <c r="Z439">
        <v>110744</v>
      </c>
    </row>
    <row r="440" spans="1:26" x14ac:dyDescent="0.25">
      <c r="A440" t="s">
        <v>644</v>
      </c>
      <c r="B440" t="s">
        <v>74</v>
      </c>
      <c r="C440" t="s">
        <v>28</v>
      </c>
      <c r="E440" t="s">
        <v>645</v>
      </c>
      <c r="G440" t="s">
        <v>646</v>
      </c>
      <c r="H440" s="2">
        <v>46118.094895833332</v>
      </c>
      <c r="I440" t="s">
        <v>54</v>
      </c>
      <c r="Z440">
        <v>110734</v>
      </c>
    </row>
    <row r="441" spans="1:26" x14ac:dyDescent="0.25">
      <c r="A441" t="s">
        <v>647</v>
      </c>
      <c r="B441" t="s">
        <v>27</v>
      </c>
      <c r="C441" t="s">
        <v>28</v>
      </c>
      <c r="H441" s="2">
        <v>46117.5471875</v>
      </c>
      <c r="I441" t="s">
        <v>56</v>
      </c>
      <c r="Z441">
        <v>110714</v>
      </c>
    </row>
    <row r="442" spans="1:26" x14ac:dyDescent="0.25">
      <c r="A442" t="s">
        <v>648</v>
      </c>
      <c r="B442" t="s">
        <v>27</v>
      </c>
      <c r="C442" t="s">
        <v>28</v>
      </c>
      <c r="H442" s="2">
        <v>46116.694027777776</v>
      </c>
      <c r="I442" t="s">
        <v>56</v>
      </c>
      <c r="Z442">
        <v>110696</v>
      </c>
    </row>
    <row r="443" spans="1:26" x14ac:dyDescent="0.25">
      <c r="A443" t="s">
        <v>606</v>
      </c>
      <c r="B443" t="s">
        <v>306</v>
      </c>
      <c r="C443" t="s">
        <v>28</v>
      </c>
      <c r="E443" t="s">
        <v>649</v>
      </c>
      <c r="H443" s="2">
        <v>46116.673703703702</v>
      </c>
      <c r="I443" t="s">
        <v>556</v>
      </c>
      <c r="Z443">
        <v>110694</v>
      </c>
    </row>
    <row r="444" spans="1:26" x14ac:dyDescent="0.25">
      <c r="A444" t="s">
        <v>650</v>
      </c>
      <c r="B444" t="s">
        <v>27</v>
      </c>
      <c r="C444" t="s">
        <v>28</v>
      </c>
      <c r="H444" s="2">
        <v>46115.453969907408</v>
      </c>
      <c r="I444" t="s">
        <v>31</v>
      </c>
      <c r="Z444">
        <v>110638</v>
      </c>
    </row>
    <row r="445" spans="1:26" x14ac:dyDescent="0.25">
      <c r="A445" t="s">
        <v>651</v>
      </c>
      <c r="B445" t="s">
        <v>27</v>
      </c>
      <c r="C445" t="s">
        <v>28</v>
      </c>
      <c r="H445" s="2">
        <v>46115.413784722223</v>
      </c>
      <c r="I445" t="s">
        <v>31</v>
      </c>
      <c r="Z445">
        <v>110632</v>
      </c>
    </row>
    <row r="446" spans="1:26" x14ac:dyDescent="0.25">
      <c r="A446" t="s">
        <v>33</v>
      </c>
      <c r="B446" t="s">
        <v>46</v>
      </c>
      <c r="C446" t="s">
        <v>28</v>
      </c>
      <c r="E446" t="s">
        <v>652</v>
      </c>
      <c r="H446" s="2">
        <v>46114.653553240743</v>
      </c>
      <c r="I446" t="s">
        <v>31</v>
      </c>
      <c r="K446" t="s">
        <v>48</v>
      </c>
      <c r="Z446">
        <v>110620</v>
      </c>
    </row>
    <row r="447" spans="1:26" x14ac:dyDescent="0.25">
      <c r="A447" t="s">
        <v>653</v>
      </c>
      <c r="B447" t="s">
        <v>27</v>
      </c>
      <c r="C447" t="s">
        <v>28</v>
      </c>
      <c r="H447" s="2">
        <v>46114.630937499998</v>
      </c>
      <c r="I447" t="s">
        <v>556</v>
      </c>
      <c r="Z447">
        <v>110618</v>
      </c>
    </row>
    <row r="448" spans="1:26" x14ac:dyDescent="0.25">
      <c r="A448" t="s">
        <v>654</v>
      </c>
      <c r="B448" t="s">
        <v>27</v>
      </c>
      <c r="C448" t="s">
        <v>28</v>
      </c>
      <c r="H448" s="2">
        <v>46114.509780092594</v>
      </c>
      <c r="I448" t="s">
        <v>31</v>
      </c>
      <c r="Z448">
        <v>110608</v>
      </c>
    </row>
    <row r="449" spans="1:26" x14ac:dyDescent="0.25">
      <c r="A449" t="s">
        <v>655</v>
      </c>
      <c r="B449" t="s">
        <v>27</v>
      </c>
      <c r="C449" t="s">
        <v>28</v>
      </c>
      <c r="E449" t="s">
        <v>61</v>
      </c>
      <c r="G449" t="s">
        <v>656</v>
      </c>
      <c r="H449" s="2">
        <v>46114.433449074073</v>
      </c>
      <c r="I449" t="s">
        <v>31</v>
      </c>
      <c r="Z449">
        <v>110597</v>
      </c>
    </row>
    <row r="450" spans="1:26" x14ac:dyDescent="0.25">
      <c r="A450" t="s">
        <v>207</v>
      </c>
      <c r="B450" t="s">
        <v>27</v>
      </c>
      <c r="C450" t="s">
        <v>28</v>
      </c>
      <c r="H450" s="2">
        <v>46113.754560185182</v>
      </c>
      <c r="I450" t="s">
        <v>54</v>
      </c>
      <c r="Z450">
        <v>110584</v>
      </c>
    </row>
    <row r="451" spans="1:26" x14ac:dyDescent="0.25">
      <c r="A451" t="s">
        <v>657</v>
      </c>
      <c r="B451" t="s">
        <v>27</v>
      </c>
      <c r="C451" t="s">
        <v>28</v>
      </c>
      <c r="H451" s="2">
        <v>46113.584537037037</v>
      </c>
      <c r="I451" t="s">
        <v>54</v>
      </c>
      <c r="Z451">
        <v>110561</v>
      </c>
    </row>
    <row r="452" spans="1:26" x14ac:dyDescent="0.25">
      <c r="A452" t="s">
        <v>658</v>
      </c>
      <c r="B452" t="s">
        <v>27</v>
      </c>
      <c r="C452" t="s">
        <v>28</v>
      </c>
      <c r="H452" s="2">
        <v>46113.444791666669</v>
      </c>
      <c r="I452" t="s">
        <v>31</v>
      </c>
      <c r="Z452">
        <v>110542</v>
      </c>
    </row>
    <row r="453" spans="1:26" x14ac:dyDescent="0.25">
      <c r="A453" t="s">
        <v>659</v>
      </c>
      <c r="B453" t="s">
        <v>27</v>
      </c>
      <c r="C453" t="s">
        <v>28</v>
      </c>
      <c r="H453" s="2">
        <v>46112.755069444444</v>
      </c>
      <c r="I453" t="s">
        <v>56</v>
      </c>
      <c r="Z453">
        <v>110518</v>
      </c>
    </row>
    <row r="454" spans="1:26" x14ac:dyDescent="0.25">
      <c r="A454" t="s">
        <v>660</v>
      </c>
      <c r="B454" t="s">
        <v>27</v>
      </c>
      <c r="C454" t="s">
        <v>28</v>
      </c>
      <c r="H454" s="2">
        <v>46112.590787037036</v>
      </c>
      <c r="I454" t="s">
        <v>56</v>
      </c>
      <c r="Z454">
        <v>110494</v>
      </c>
    </row>
    <row r="455" spans="1:26" x14ac:dyDescent="0.25">
      <c r="A455" t="s">
        <v>661</v>
      </c>
      <c r="B455" t="s">
        <v>27</v>
      </c>
      <c r="C455" t="s">
        <v>185</v>
      </c>
      <c r="H455" s="2">
        <v>46112.489710648151</v>
      </c>
      <c r="I455" t="s">
        <v>54</v>
      </c>
      <c r="Z455">
        <v>110479</v>
      </c>
    </row>
    <row r="456" spans="1:26" x14ac:dyDescent="0.25">
      <c r="A456" t="s">
        <v>662</v>
      </c>
      <c r="B456" t="s">
        <v>27</v>
      </c>
      <c r="C456" t="s">
        <v>28</v>
      </c>
      <c r="H456" s="2">
        <v>46112.488923611112</v>
      </c>
      <c r="I456" t="s">
        <v>54</v>
      </c>
      <c r="Z456">
        <v>110478</v>
      </c>
    </row>
    <row r="457" spans="1:26" x14ac:dyDescent="0.25">
      <c r="A457" t="s">
        <v>663</v>
      </c>
      <c r="B457" t="s">
        <v>46</v>
      </c>
      <c r="C457" t="s">
        <v>28</v>
      </c>
      <c r="E457" t="s">
        <v>664</v>
      </c>
      <c r="H457" s="2">
        <v>46112.479699074072</v>
      </c>
      <c r="I457" t="s">
        <v>56</v>
      </c>
      <c r="K457" t="s">
        <v>48</v>
      </c>
      <c r="Z457">
        <v>110474</v>
      </c>
    </row>
    <row r="458" spans="1:26" x14ac:dyDescent="0.25">
      <c r="A458" t="s">
        <v>665</v>
      </c>
      <c r="B458" t="s">
        <v>27</v>
      </c>
      <c r="C458" t="s">
        <v>28</v>
      </c>
      <c r="H458" s="2">
        <v>46111.849340277775</v>
      </c>
      <c r="I458" t="s">
        <v>54</v>
      </c>
      <c r="Z458">
        <v>110449</v>
      </c>
    </row>
    <row r="459" spans="1:26" x14ac:dyDescent="0.25">
      <c r="A459" t="s">
        <v>666</v>
      </c>
      <c r="B459" t="s">
        <v>306</v>
      </c>
      <c r="C459" t="s">
        <v>28</v>
      </c>
      <c r="E459" t="s">
        <v>101</v>
      </c>
      <c r="H459" s="2">
        <v>46111.67765046296</v>
      </c>
      <c r="I459" t="s">
        <v>54</v>
      </c>
      <c r="Z459">
        <v>110430</v>
      </c>
    </row>
    <row r="460" spans="1:26" x14ac:dyDescent="0.25">
      <c r="A460" t="s">
        <v>667</v>
      </c>
      <c r="B460" t="s">
        <v>74</v>
      </c>
      <c r="C460" t="s">
        <v>28</v>
      </c>
      <c r="E460" t="s">
        <v>198</v>
      </c>
      <c r="G460" t="s">
        <v>668</v>
      </c>
      <c r="H460" s="2">
        <v>46111.649351851855</v>
      </c>
      <c r="I460" t="s">
        <v>54</v>
      </c>
      <c r="Z460">
        <v>110424</v>
      </c>
    </row>
    <row r="461" spans="1:26" x14ac:dyDescent="0.25">
      <c r="A461" t="s">
        <v>669</v>
      </c>
      <c r="B461" t="s">
        <v>27</v>
      </c>
      <c r="C461" t="s">
        <v>28</v>
      </c>
      <c r="H461" s="2">
        <v>46111.627754629626</v>
      </c>
      <c r="I461" t="s">
        <v>54</v>
      </c>
      <c r="Z461">
        <v>110422</v>
      </c>
    </row>
    <row r="462" spans="1:26" x14ac:dyDescent="0.25">
      <c r="A462" t="s">
        <v>670</v>
      </c>
      <c r="B462" t="s">
        <v>27</v>
      </c>
      <c r="C462" t="s">
        <v>28</v>
      </c>
      <c r="H462" s="2">
        <v>46111.60428240741</v>
      </c>
      <c r="I462" t="s">
        <v>56</v>
      </c>
      <c r="Z462">
        <v>110416</v>
      </c>
    </row>
    <row r="463" spans="1:26" x14ac:dyDescent="0.25">
      <c r="A463" t="s">
        <v>671</v>
      </c>
      <c r="B463" t="s">
        <v>306</v>
      </c>
      <c r="C463" t="s">
        <v>28</v>
      </c>
      <c r="E463" t="s">
        <v>427</v>
      </c>
      <c r="H463" s="2">
        <v>46111.429710648146</v>
      </c>
      <c r="I463" t="s">
        <v>56</v>
      </c>
      <c r="Z463">
        <v>110389</v>
      </c>
    </row>
    <row r="464" spans="1:26" x14ac:dyDescent="0.25">
      <c r="A464" t="s">
        <v>672</v>
      </c>
      <c r="B464" t="s">
        <v>27</v>
      </c>
      <c r="C464" t="s">
        <v>28</v>
      </c>
      <c r="H464" s="2">
        <v>46111.367604166669</v>
      </c>
      <c r="I464" t="s">
        <v>54</v>
      </c>
      <c r="Z464">
        <v>110379</v>
      </c>
    </row>
    <row r="465" spans="1:26" x14ac:dyDescent="0.25">
      <c r="A465" t="s">
        <v>673</v>
      </c>
      <c r="B465" t="s">
        <v>27</v>
      </c>
      <c r="C465" t="s">
        <v>28</v>
      </c>
      <c r="H465" s="2">
        <v>46110.744456018518</v>
      </c>
      <c r="I465" t="s">
        <v>56</v>
      </c>
      <c r="Z465">
        <v>110371</v>
      </c>
    </row>
    <row r="466" spans="1:26" x14ac:dyDescent="0.25">
      <c r="A466" t="s">
        <v>674</v>
      </c>
      <c r="B466" t="s">
        <v>27</v>
      </c>
      <c r="C466" t="s">
        <v>28</v>
      </c>
      <c r="H466" s="2">
        <v>46110.510104166664</v>
      </c>
      <c r="I466" t="s">
        <v>56</v>
      </c>
      <c r="Z466">
        <v>110338</v>
      </c>
    </row>
    <row r="467" spans="1:26" x14ac:dyDescent="0.25">
      <c r="A467" t="s">
        <v>207</v>
      </c>
      <c r="B467" t="s">
        <v>27</v>
      </c>
      <c r="C467" t="s">
        <v>28</v>
      </c>
      <c r="H467" s="2">
        <v>46109.700856481482</v>
      </c>
      <c r="I467" t="s">
        <v>31</v>
      </c>
      <c r="Z467">
        <v>110315</v>
      </c>
    </row>
    <row r="468" spans="1:26" x14ac:dyDescent="0.25">
      <c r="A468" t="s">
        <v>606</v>
      </c>
      <c r="B468" t="s">
        <v>306</v>
      </c>
      <c r="C468" t="s">
        <v>28</v>
      </c>
      <c r="E468" t="s">
        <v>61</v>
      </c>
      <c r="H468" s="2">
        <v>46109.647233796299</v>
      </c>
      <c r="I468" t="s">
        <v>556</v>
      </c>
      <c r="Z468">
        <v>110308</v>
      </c>
    </row>
    <row r="469" spans="1:26" x14ac:dyDescent="0.25">
      <c r="A469" t="s">
        <v>675</v>
      </c>
      <c r="B469" t="s">
        <v>27</v>
      </c>
      <c r="C469" t="s">
        <v>28</v>
      </c>
      <c r="H469" s="2">
        <v>46109.50744212963</v>
      </c>
      <c r="I469" t="s">
        <v>556</v>
      </c>
      <c r="Z469">
        <v>110287</v>
      </c>
    </row>
    <row r="470" spans="1:26" x14ac:dyDescent="0.25">
      <c r="A470" t="s">
        <v>676</v>
      </c>
      <c r="B470" t="s">
        <v>27</v>
      </c>
      <c r="C470" t="s">
        <v>28</v>
      </c>
      <c r="H470" s="2">
        <v>46109.446736111109</v>
      </c>
      <c r="I470" t="s">
        <v>31</v>
      </c>
      <c r="Z470">
        <v>110281</v>
      </c>
    </row>
    <row r="471" spans="1:26" x14ac:dyDescent="0.25">
      <c r="A471" t="s">
        <v>677</v>
      </c>
      <c r="B471" t="s">
        <v>27</v>
      </c>
      <c r="C471" t="s">
        <v>28</v>
      </c>
      <c r="H471" s="2">
        <v>46108.442604166667</v>
      </c>
      <c r="I471" t="s">
        <v>556</v>
      </c>
      <c r="Z471">
        <v>110221</v>
      </c>
    </row>
    <row r="472" spans="1:26" x14ac:dyDescent="0.25">
      <c r="A472" t="s">
        <v>678</v>
      </c>
      <c r="B472" t="s">
        <v>27</v>
      </c>
      <c r="C472" t="s">
        <v>28</v>
      </c>
      <c r="H472" s="2">
        <v>46107.701539351852</v>
      </c>
      <c r="I472" t="s">
        <v>31</v>
      </c>
      <c r="Z472">
        <v>110204</v>
      </c>
    </row>
    <row r="473" spans="1:26" x14ac:dyDescent="0.25">
      <c r="A473" t="s">
        <v>679</v>
      </c>
      <c r="B473" t="s">
        <v>27</v>
      </c>
      <c r="C473" t="s">
        <v>28</v>
      </c>
      <c r="H473" s="2">
        <v>46107.671747685185</v>
      </c>
      <c r="I473" t="s">
        <v>54</v>
      </c>
      <c r="Z473">
        <v>110201</v>
      </c>
    </row>
    <row r="474" spans="1:26" x14ac:dyDescent="0.25">
      <c r="A474" t="s">
        <v>33</v>
      </c>
      <c r="B474" t="s">
        <v>27</v>
      </c>
      <c r="C474" t="s">
        <v>28</v>
      </c>
      <c r="H474" s="2">
        <v>46107.446064814816</v>
      </c>
      <c r="I474" t="s">
        <v>31</v>
      </c>
      <c r="Z474">
        <v>110184</v>
      </c>
    </row>
    <row r="475" spans="1:26" x14ac:dyDescent="0.25">
      <c r="A475" t="s">
        <v>680</v>
      </c>
      <c r="B475" t="s">
        <v>27</v>
      </c>
      <c r="C475" t="s">
        <v>28</v>
      </c>
      <c r="H475" s="2">
        <v>46106.743472222224</v>
      </c>
      <c r="I475" t="s">
        <v>54</v>
      </c>
      <c r="Z475">
        <v>110170</v>
      </c>
    </row>
    <row r="476" spans="1:26" x14ac:dyDescent="0.25">
      <c r="A476" t="s">
        <v>681</v>
      </c>
      <c r="B476" t="s">
        <v>27</v>
      </c>
      <c r="C476" t="s">
        <v>28</v>
      </c>
      <c r="H476" s="2">
        <v>46106.617627314816</v>
      </c>
      <c r="I476" t="s">
        <v>56</v>
      </c>
      <c r="Z476">
        <v>110162</v>
      </c>
    </row>
    <row r="477" spans="1:26" x14ac:dyDescent="0.25">
      <c r="A477" t="s">
        <v>682</v>
      </c>
      <c r="B477" t="s">
        <v>27</v>
      </c>
      <c r="C477" t="s">
        <v>28</v>
      </c>
      <c r="H477" s="2">
        <v>46106.424942129626</v>
      </c>
      <c r="I477" t="s">
        <v>56</v>
      </c>
      <c r="Z477">
        <v>110141</v>
      </c>
    </row>
    <row r="478" spans="1:26" x14ac:dyDescent="0.25">
      <c r="A478" t="s">
        <v>683</v>
      </c>
      <c r="B478" t="s">
        <v>27</v>
      </c>
      <c r="C478" t="s">
        <v>28</v>
      </c>
      <c r="H478" s="2">
        <v>46105.571956018517</v>
      </c>
      <c r="I478" t="s">
        <v>56</v>
      </c>
      <c r="Z478">
        <v>110102</v>
      </c>
    </row>
    <row r="479" spans="1:26" x14ac:dyDescent="0.25">
      <c r="A479" t="s">
        <v>684</v>
      </c>
      <c r="B479" t="s">
        <v>27</v>
      </c>
      <c r="C479" t="s">
        <v>28</v>
      </c>
      <c r="H479" s="2">
        <v>46105.53328703704</v>
      </c>
      <c r="I479" t="s">
        <v>54</v>
      </c>
      <c r="Z479">
        <v>110100</v>
      </c>
    </row>
    <row r="480" spans="1:26" x14ac:dyDescent="0.25">
      <c r="A480" t="s">
        <v>685</v>
      </c>
      <c r="B480" t="s">
        <v>27</v>
      </c>
      <c r="C480" t="s">
        <v>28</v>
      </c>
      <c r="H480" s="2">
        <v>46105.507974537039</v>
      </c>
      <c r="I480" t="s">
        <v>56</v>
      </c>
      <c r="Z480">
        <v>110097</v>
      </c>
    </row>
    <row r="481" spans="1:26" x14ac:dyDescent="0.25">
      <c r="A481" t="s">
        <v>686</v>
      </c>
      <c r="B481" t="s">
        <v>27</v>
      </c>
      <c r="C481" t="s">
        <v>28</v>
      </c>
      <c r="H481" s="2">
        <v>46105.406539351854</v>
      </c>
      <c r="I481" t="s">
        <v>54</v>
      </c>
      <c r="Z481">
        <v>110082</v>
      </c>
    </row>
    <row r="482" spans="1:26" x14ac:dyDescent="0.25">
      <c r="A482" t="s">
        <v>687</v>
      </c>
      <c r="B482" t="s">
        <v>27</v>
      </c>
      <c r="C482" t="s">
        <v>28</v>
      </c>
      <c r="H482" s="2">
        <v>46104.679745370369</v>
      </c>
      <c r="I482" t="s">
        <v>556</v>
      </c>
      <c r="Z482">
        <v>110065</v>
      </c>
    </row>
    <row r="483" spans="1:26" x14ac:dyDescent="0.25">
      <c r="A483" t="s">
        <v>688</v>
      </c>
      <c r="B483" t="s">
        <v>27</v>
      </c>
      <c r="C483" t="s">
        <v>28</v>
      </c>
      <c r="H483" s="2">
        <v>46104.661527777775</v>
      </c>
      <c r="I483" t="s">
        <v>556</v>
      </c>
      <c r="Z483">
        <v>110063</v>
      </c>
    </row>
    <row r="484" spans="1:26" x14ac:dyDescent="0.25">
      <c r="A484" t="s">
        <v>689</v>
      </c>
      <c r="B484" t="s">
        <v>27</v>
      </c>
      <c r="C484" t="s">
        <v>28</v>
      </c>
      <c r="H484" s="2">
        <v>46104.600671296299</v>
      </c>
      <c r="I484" t="s">
        <v>556</v>
      </c>
      <c r="Z484">
        <v>110050</v>
      </c>
    </row>
    <row r="485" spans="1:26" x14ac:dyDescent="0.25">
      <c r="A485" t="s">
        <v>690</v>
      </c>
      <c r="B485" t="s">
        <v>27</v>
      </c>
      <c r="C485" t="s">
        <v>28</v>
      </c>
      <c r="H485" s="2">
        <v>46104.561342592591</v>
      </c>
      <c r="I485" t="s">
        <v>556</v>
      </c>
      <c r="Z485">
        <v>110044</v>
      </c>
    </row>
    <row r="486" spans="1:26" x14ac:dyDescent="0.25">
      <c r="A486" t="s">
        <v>691</v>
      </c>
      <c r="B486" t="s">
        <v>27</v>
      </c>
      <c r="C486" t="s">
        <v>28</v>
      </c>
      <c r="H486" s="2">
        <v>46104.480000000003</v>
      </c>
      <c r="I486" t="s">
        <v>56</v>
      </c>
      <c r="Z486">
        <v>110026</v>
      </c>
    </row>
    <row r="487" spans="1:26" x14ac:dyDescent="0.25">
      <c r="A487" t="s">
        <v>692</v>
      </c>
      <c r="B487" t="s">
        <v>27</v>
      </c>
      <c r="C487" t="s">
        <v>28</v>
      </c>
      <c r="H487" s="2">
        <v>46104.464513888888</v>
      </c>
      <c r="I487" t="s">
        <v>56</v>
      </c>
      <c r="Z487">
        <v>110024</v>
      </c>
    </row>
    <row r="488" spans="1:26" x14ac:dyDescent="0.25">
      <c r="A488" t="s">
        <v>693</v>
      </c>
      <c r="B488" t="s">
        <v>74</v>
      </c>
      <c r="C488" t="s">
        <v>28</v>
      </c>
      <c r="E488" t="s">
        <v>156</v>
      </c>
      <c r="G488" t="s">
        <v>694</v>
      </c>
      <c r="H488" s="2">
        <v>46103.93378472222</v>
      </c>
      <c r="I488" t="s">
        <v>556</v>
      </c>
      <c r="Z488">
        <v>110010</v>
      </c>
    </row>
    <row r="489" spans="1:26" x14ac:dyDescent="0.25">
      <c r="A489" t="s">
        <v>695</v>
      </c>
      <c r="B489" t="s">
        <v>27</v>
      </c>
      <c r="C489" t="s">
        <v>28</v>
      </c>
      <c r="H489" s="2">
        <v>46103.911238425928</v>
      </c>
      <c r="I489" t="s">
        <v>31</v>
      </c>
      <c r="Z489">
        <v>110009</v>
      </c>
    </row>
    <row r="490" spans="1:26" x14ac:dyDescent="0.25">
      <c r="A490" t="s">
        <v>696</v>
      </c>
      <c r="B490" t="s">
        <v>27</v>
      </c>
      <c r="C490" t="s">
        <v>28</v>
      </c>
      <c r="H490" s="2">
        <v>46103.361145833333</v>
      </c>
      <c r="I490" t="s">
        <v>31</v>
      </c>
      <c r="Z490">
        <v>109984</v>
      </c>
    </row>
    <row r="491" spans="1:26" x14ac:dyDescent="0.25">
      <c r="A491" t="s">
        <v>697</v>
      </c>
      <c r="B491" t="s">
        <v>74</v>
      </c>
      <c r="C491" t="s">
        <v>28</v>
      </c>
      <c r="E491" t="s">
        <v>72</v>
      </c>
      <c r="G491" t="s">
        <v>698</v>
      </c>
      <c r="H491" s="2">
        <v>46102.766250000001</v>
      </c>
      <c r="I491" t="s">
        <v>31</v>
      </c>
      <c r="Z491">
        <v>109976</v>
      </c>
    </row>
    <row r="492" spans="1:26" x14ac:dyDescent="0.25">
      <c r="A492" t="s">
        <v>699</v>
      </c>
      <c r="B492" t="s">
        <v>27</v>
      </c>
      <c r="C492" t="s">
        <v>28</v>
      </c>
      <c r="H492" s="2">
        <v>46102.406053240738</v>
      </c>
      <c r="I492" t="s">
        <v>31</v>
      </c>
      <c r="Z492">
        <v>109946</v>
      </c>
    </row>
    <row r="493" spans="1:26" x14ac:dyDescent="0.25">
      <c r="A493" t="s">
        <v>700</v>
      </c>
      <c r="B493" t="s">
        <v>27</v>
      </c>
      <c r="C493" t="s">
        <v>28</v>
      </c>
      <c r="H493" s="2">
        <v>46101.725578703707</v>
      </c>
      <c r="I493" t="s">
        <v>54</v>
      </c>
      <c r="Z493">
        <v>109927</v>
      </c>
    </row>
    <row r="494" spans="1:26" x14ac:dyDescent="0.25">
      <c r="A494" t="s">
        <v>701</v>
      </c>
      <c r="B494" t="s">
        <v>27</v>
      </c>
      <c r="C494" t="s">
        <v>28</v>
      </c>
      <c r="H494" s="2">
        <v>46101.490219907406</v>
      </c>
      <c r="I494" t="s">
        <v>54</v>
      </c>
      <c r="Z494">
        <v>109913</v>
      </c>
    </row>
    <row r="495" spans="1:26" x14ac:dyDescent="0.25">
      <c r="A495" t="s">
        <v>702</v>
      </c>
      <c r="B495" t="s">
        <v>27</v>
      </c>
      <c r="C495" t="s">
        <v>28</v>
      </c>
      <c r="H495" s="2">
        <v>46100.841203703705</v>
      </c>
      <c r="I495" t="s">
        <v>54</v>
      </c>
      <c r="Z495">
        <v>109892</v>
      </c>
    </row>
    <row r="496" spans="1:26" x14ac:dyDescent="0.25">
      <c r="A496" t="s">
        <v>703</v>
      </c>
      <c r="B496" t="s">
        <v>27</v>
      </c>
      <c r="C496" t="s">
        <v>28</v>
      </c>
      <c r="H496" s="2">
        <v>46100.71533564815</v>
      </c>
      <c r="I496" t="s">
        <v>56</v>
      </c>
      <c r="Z496">
        <v>109882</v>
      </c>
    </row>
    <row r="497" spans="1:26" x14ac:dyDescent="0.25">
      <c r="A497" t="s">
        <v>704</v>
      </c>
      <c r="B497" t="s">
        <v>27</v>
      </c>
      <c r="C497" t="s">
        <v>28</v>
      </c>
      <c r="H497" s="2">
        <v>46100.648078703707</v>
      </c>
      <c r="I497" t="s">
        <v>56</v>
      </c>
      <c r="Z497">
        <v>109876</v>
      </c>
    </row>
    <row r="498" spans="1:26" x14ac:dyDescent="0.25">
      <c r="A498" t="s">
        <v>705</v>
      </c>
      <c r="B498" t="s">
        <v>27</v>
      </c>
      <c r="C498" t="s">
        <v>28</v>
      </c>
      <c r="H498" s="2">
        <v>46100.606388888889</v>
      </c>
      <c r="I498" t="s">
        <v>54</v>
      </c>
      <c r="Z498">
        <v>109872</v>
      </c>
    </row>
    <row r="499" spans="1:26" x14ac:dyDescent="0.25">
      <c r="A499" t="s">
        <v>706</v>
      </c>
      <c r="B499" t="s">
        <v>27</v>
      </c>
      <c r="C499" t="s">
        <v>28</v>
      </c>
      <c r="H499" s="2">
        <v>46100.525000000001</v>
      </c>
      <c r="I499" t="s">
        <v>56</v>
      </c>
      <c r="Z499">
        <v>109861</v>
      </c>
    </row>
    <row r="500" spans="1:26" x14ac:dyDescent="0.25">
      <c r="A500" t="s">
        <v>707</v>
      </c>
      <c r="B500" t="s">
        <v>27</v>
      </c>
      <c r="C500" t="s">
        <v>28</v>
      </c>
      <c r="H500" s="2">
        <v>46099.628564814811</v>
      </c>
      <c r="I500" t="s">
        <v>54</v>
      </c>
      <c r="Z500">
        <v>109836</v>
      </c>
    </row>
    <row r="501" spans="1:26" x14ac:dyDescent="0.25">
      <c r="A501" t="s">
        <v>708</v>
      </c>
      <c r="B501" t="s">
        <v>46</v>
      </c>
      <c r="C501" t="s">
        <v>28</v>
      </c>
      <c r="E501" t="s">
        <v>61</v>
      </c>
      <c r="H501" s="2">
        <v>46099.484918981485</v>
      </c>
      <c r="I501" t="s">
        <v>54</v>
      </c>
      <c r="K501" t="s">
        <v>48</v>
      </c>
      <c r="Z501">
        <v>109826</v>
      </c>
    </row>
    <row r="502" spans="1:26" x14ac:dyDescent="0.25">
      <c r="A502" t="s">
        <v>709</v>
      </c>
      <c r="B502" t="s">
        <v>27</v>
      </c>
      <c r="C502" t="s">
        <v>28</v>
      </c>
      <c r="H502" s="2">
        <v>46099.401689814818</v>
      </c>
      <c r="I502" t="s">
        <v>54</v>
      </c>
      <c r="Z502">
        <v>109815</v>
      </c>
    </row>
    <row r="503" spans="1:26" x14ac:dyDescent="0.25">
      <c r="A503" t="s">
        <v>710</v>
      </c>
      <c r="B503" t="s">
        <v>27</v>
      </c>
      <c r="C503" t="s">
        <v>28</v>
      </c>
      <c r="H503" s="2">
        <v>46099.401273148149</v>
      </c>
      <c r="I503" t="s">
        <v>56</v>
      </c>
      <c r="Z503">
        <v>109814</v>
      </c>
    </row>
    <row r="504" spans="1:26" x14ac:dyDescent="0.25">
      <c r="A504" t="s">
        <v>711</v>
      </c>
      <c r="B504" t="s">
        <v>27</v>
      </c>
      <c r="C504" t="s">
        <v>28</v>
      </c>
      <c r="H504" s="2">
        <v>46098.748391203706</v>
      </c>
      <c r="I504" t="s">
        <v>56</v>
      </c>
      <c r="Z504">
        <v>109802</v>
      </c>
    </row>
    <row r="505" spans="1:26" x14ac:dyDescent="0.25">
      <c r="A505" t="s">
        <v>712</v>
      </c>
      <c r="B505" t="s">
        <v>27</v>
      </c>
      <c r="C505" t="s">
        <v>28</v>
      </c>
      <c r="H505" s="2">
        <v>46098.67528935185</v>
      </c>
      <c r="I505" t="s">
        <v>556</v>
      </c>
      <c r="Z505">
        <v>109797</v>
      </c>
    </row>
    <row r="506" spans="1:26" x14ac:dyDescent="0.25">
      <c r="A506" t="s">
        <v>713</v>
      </c>
      <c r="B506" t="s">
        <v>27</v>
      </c>
      <c r="C506" t="s">
        <v>28</v>
      </c>
      <c r="H506" s="2">
        <v>46098.611180555556</v>
      </c>
      <c r="I506" t="s">
        <v>56</v>
      </c>
      <c r="Z506">
        <v>109791</v>
      </c>
    </row>
    <row r="507" spans="1:26" x14ac:dyDescent="0.25">
      <c r="A507" t="s">
        <v>714</v>
      </c>
      <c r="B507" t="s">
        <v>27</v>
      </c>
      <c r="C507" t="s">
        <v>28</v>
      </c>
      <c r="H507" s="2">
        <v>46098.542546296296</v>
      </c>
      <c r="I507" t="s">
        <v>556</v>
      </c>
      <c r="Z507">
        <v>109785</v>
      </c>
    </row>
    <row r="508" spans="1:26" x14ac:dyDescent="0.25">
      <c r="A508" t="s">
        <v>715</v>
      </c>
      <c r="B508" t="s">
        <v>74</v>
      </c>
      <c r="C508" t="s">
        <v>28</v>
      </c>
      <c r="E508" t="s">
        <v>716</v>
      </c>
      <c r="G508" t="s">
        <v>717</v>
      </c>
      <c r="H508" s="2">
        <v>46098.529328703706</v>
      </c>
      <c r="I508" t="s">
        <v>556</v>
      </c>
      <c r="Z508">
        <v>109784</v>
      </c>
    </row>
    <row r="509" spans="1:26" x14ac:dyDescent="0.25">
      <c r="A509" t="s">
        <v>718</v>
      </c>
      <c r="B509" t="s">
        <v>27</v>
      </c>
      <c r="C509" t="s">
        <v>28</v>
      </c>
      <c r="H509" s="2">
        <v>46097.667800925927</v>
      </c>
      <c r="I509" t="s">
        <v>556</v>
      </c>
      <c r="Z509">
        <v>109760</v>
      </c>
    </row>
    <row r="510" spans="1:26" x14ac:dyDescent="0.25">
      <c r="A510" t="s">
        <v>719</v>
      </c>
      <c r="B510" t="s">
        <v>74</v>
      </c>
      <c r="C510" t="s">
        <v>28</v>
      </c>
      <c r="E510" t="s">
        <v>720</v>
      </c>
      <c r="G510" t="s">
        <v>721</v>
      </c>
      <c r="H510" s="2">
        <v>46097.546863425923</v>
      </c>
      <c r="I510" t="s">
        <v>31</v>
      </c>
      <c r="Z510">
        <v>109751</v>
      </c>
    </row>
    <row r="511" spans="1:26" x14ac:dyDescent="0.25">
      <c r="A511" t="s">
        <v>722</v>
      </c>
      <c r="B511" t="s">
        <v>27</v>
      </c>
      <c r="C511" t="s">
        <v>28</v>
      </c>
      <c r="H511" s="2">
        <v>46097.495682870373</v>
      </c>
      <c r="I511" t="s">
        <v>31</v>
      </c>
      <c r="Z511">
        <v>109746</v>
      </c>
    </row>
    <row r="512" spans="1:26" x14ac:dyDescent="0.25">
      <c r="A512" t="s">
        <v>723</v>
      </c>
      <c r="B512" t="s">
        <v>27</v>
      </c>
      <c r="C512" t="s">
        <v>28</v>
      </c>
      <c r="H512" s="2">
        <v>46097.460497685184</v>
      </c>
      <c r="I512" t="s">
        <v>31</v>
      </c>
      <c r="Z512">
        <v>109731</v>
      </c>
    </row>
    <row r="513" spans="1:26" x14ac:dyDescent="0.25">
      <c r="A513" t="s">
        <v>663</v>
      </c>
      <c r="B513" t="s">
        <v>46</v>
      </c>
      <c r="C513" t="s">
        <v>28</v>
      </c>
      <c r="E513" t="s">
        <v>724</v>
      </c>
      <c r="H513" s="2">
        <v>46096.809305555558</v>
      </c>
      <c r="I513" t="s">
        <v>556</v>
      </c>
      <c r="K513" t="s">
        <v>48</v>
      </c>
      <c r="Z513">
        <v>109721</v>
      </c>
    </row>
    <row r="514" spans="1:26" x14ac:dyDescent="0.25">
      <c r="A514" t="s">
        <v>725</v>
      </c>
      <c r="B514" t="s">
        <v>27</v>
      </c>
      <c r="C514" t="s">
        <v>28</v>
      </c>
      <c r="H514" s="2">
        <v>46096.62431712963</v>
      </c>
      <c r="I514" t="s">
        <v>31</v>
      </c>
      <c r="Z514">
        <v>109713</v>
      </c>
    </row>
    <row r="515" spans="1:26" x14ac:dyDescent="0.25">
      <c r="A515" t="s">
        <v>726</v>
      </c>
      <c r="B515" t="s">
        <v>27</v>
      </c>
      <c r="C515" t="s">
        <v>28</v>
      </c>
      <c r="H515" s="2">
        <v>46095.792129629626</v>
      </c>
      <c r="I515" t="s">
        <v>31</v>
      </c>
      <c r="Z515">
        <v>109701</v>
      </c>
    </row>
    <row r="516" spans="1:26" x14ac:dyDescent="0.25">
      <c r="A516" t="s">
        <v>727</v>
      </c>
      <c r="B516" t="s">
        <v>27</v>
      </c>
      <c r="C516" t="s">
        <v>28</v>
      </c>
      <c r="H516" s="2">
        <v>46095.488136574073</v>
      </c>
      <c r="I516" t="s">
        <v>31</v>
      </c>
      <c r="Z516">
        <v>109683</v>
      </c>
    </row>
    <row r="517" spans="1:26" x14ac:dyDescent="0.25">
      <c r="A517" t="s">
        <v>728</v>
      </c>
      <c r="B517" t="s">
        <v>27</v>
      </c>
      <c r="C517" t="s">
        <v>28</v>
      </c>
      <c r="H517" s="2">
        <v>46095.481608796297</v>
      </c>
      <c r="I517" t="s">
        <v>54</v>
      </c>
      <c r="Z517">
        <v>109682</v>
      </c>
    </row>
    <row r="518" spans="1:26" x14ac:dyDescent="0.25">
      <c r="A518" t="s">
        <v>729</v>
      </c>
      <c r="B518" t="s">
        <v>27</v>
      </c>
      <c r="C518" t="s">
        <v>28</v>
      </c>
      <c r="H518" s="2">
        <v>46094.745324074072</v>
      </c>
      <c r="I518" t="s">
        <v>56</v>
      </c>
      <c r="Z518">
        <v>109676</v>
      </c>
    </row>
    <row r="519" spans="1:26" x14ac:dyDescent="0.25">
      <c r="A519" t="s">
        <v>730</v>
      </c>
      <c r="B519" t="s">
        <v>27</v>
      </c>
      <c r="C519" t="s">
        <v>28</v>
      </c>
      <c r="H519" s="2">
        <v>46094.741597222222</v>
      </c>
      <c r="I519" t="s">
        <v>54</v>
      </c>
      <c r="Z519">
        <v>109675</v>
      </c>
    </row>
    <row r="520" spans="1:26" x14ac:dyDescent="0.25">
      <c r="A520" t="s">
        <v>731</v>
      </c>
      <c r="B520" t="s">
        <v>27</v>
      </c>
      <c r="C520" t="s">
        <v>75</v>
      </c>
      <c r="H520" s="2">
        <v>46094.572418981479</v>
      </c>
      <c r="I520" t="s">
        <v>54</v>
      </c>
      <c r="Z520">
        <v>109664</v>
      </c>
    </row>
    <row r="521" spans="1:26" x14ac:dyDescent="0.25">
      <c r="A521" t="s">
        <v>732</v>
      </c>
      <c r="B521" t="s">
        <v>27</v>
      </c>
      <c r="C521" t="s">
        <v>28</v>
      </c>
      <c r="H521" s="2">
        <v>46094.4843287037</v>
      </c>
      <c r="I521" t="s">
        <v>54</v>
      </c>
      <c r="Z521">
        <v>109658</v>
      </c>
    </row>
    <row r="522" spans="1:26" x14ac:dyDescent="0.25">
      <c r="A522" t="s">
        <v>733</v>
      </c>
      <c r="B522" t="s">
        <v>27</v>
      </c>
      <c r="C522" t="s">
        <v>28</v>
      </c>
      <c r="H522" s="2">
        <v>46094.451458333337</v>
      </c>
      <c r="I522" t="s">
        <v>54</v>
      </c>
      <c r="Z522">
        <v>109655</v>
      </c>
    </row>
    <row r="523" spans="1:26" x14ac:dyDescent="0.25">
      <c r="A523" t="s">
        <v>734</v>
      </c>
      <c r="B523" t="s">
        <v>74</v>
      </c>
      <c r="C523" t="s">
        <v>28</v>
      </c>
      <c r="E523" t="s">
        <v>735</v>
      </c>
      <c r="G523" t="s">
        <v>736</v>
      </c>
      <c r="H523" s="2">
        <v>46093.950023148151</v>
      </c>
      <c r="I523" t="s">
        <v>56</v>
      </c>
      <c r="Z523">
        <v>109649</v>
      </c>
    </row>
    <row r="524" spans="1:26" x14ac:dyDescent="0.25">
      <c r="A524" t="s">
        <v>737</v>
      </c>
      <c r="B524" t="s">
        <v>27</v>
      </c>
      <c r="C524" t="s">
        <v>28</v>
      </c>
      <c r="H524" s="2">
        <v>46093.766932870371</v>
      </c>
      <c r="I524" t="s">
        <v>54</v>
      </c>
      <c r="Z524">
        <v>109646</v>
      </c>
    </row>
    <row r="525" spans="1:26" x14ac:dyDescent="0.25">
      <c r="A525" t="s">
        <v>738</v>
      </c>
      <c r="B525" t="s">
        <v>27</v>
      </c>
      <c r="C525" t="s">
        <v>28</v>
      </c>
      <c r="H525" s="2">
        <v>46093.480520833335</v>
      </c>
      <c r="I525" t="s">
        <v>54</v>
      </c>
      <c r="Z525">
        <v>109638</v>
      </c>
    </row>
    <row r="526" spans="1:26" x14ac:dyDescent="0.25">
      <c r="A526" t="s">
        <v>739</v>
      </c>
      <c r="B526" t="s">
        <v>27</v>
      </c>
      <c r="C526" t="s">
        <v>28</v>
      </c>
      <c r="H526" s="2">
        <v>46093.45040509259</v>
      </c>
      <c r="I526" t="s">
        <v>56</v>
      </c>
      <c r="Z526">
        <v>109635</v>
      </c>
    </row>
    <row r="527" spans="1:26" x14ac:dyDescent="0.25">
      <c r="A527" t="s">
        <v>740</v>
      </c>
      <c r="B527" t="s">
        <v>27</v>
      </c>
      <c r="C527" t="s">
        <v>28</v>
      </c>
      <c r="H527" s="2">
        <v>46093.445706018516</v>
      </c>
      <c r="I527" t="s">
        <v>54</v>
      </c>
      <c r="Z527">
        <v>109633</v>
      </c>
    </row>
    <row r="528" spans="1:26" x14ac:dyDescent="0.25">
      <c r="A528" t="s">
        <v>741</v>
      </c>
      <c r="B528" t="s">
        <v>27</v>
      </c>
      <c r="C528" t="s">
        <v>28</v>
      </c>
      <c r="H528" s="2">
        <v>46093.412858796299</v>
      </c>
      <c r="I528" t="s">
        <v>56</v>
      </c>
      <c r="Z528">
        <v>109631</v>
      </c>
    </row>
    <row r="529" spans="1:26" x14ac:dyDescent="0.25">
      <c r="A529" t="s">
        <v>742</v>
      </c>
      <c r="B529" t="s">
        <v>27</v>
      </c>
      <c r="C529" t="s">
        <v>28</v>
      </c>
      <c r="H529" s="2">
        <v>46092.768692129626</v>
      </c>
      <c r="I529" t="s">
        <v>556</v>
      </c>
      <c r="Z529">
        <v>109623</v>
      </c>
    </row>
    <row r="530" spans="1:26" x14ac:dyDescent="0.25">
      <c r="A530" t="s">
        <v>743</v>
      </c>
      <c r="B530" t="s">
        <v>27</v>
      </c>
      <c r="C530" t="s">
        <v>28</v>
      </c>
      <c r="H530" s="2">
        <v>46092.738356481481</v>
      </c>
      <c r="I530" t="s">
        <v>556</v>
      </c>
      <c r="Z530">
        <v>109617</v>
      </c>
    </row>
    <row r="531" spans="1:26" x14ac:dyDescent="0.25">
      <c r="A531" t="s">
        <v>744</v>
      </c>
      <c r="B531" t="s">
        <v>27</v>
      </c>
      <c r="C531" t="s">
        <v>28</v>
      </c>
      <c r="H531" s="2">
        <v>46092.698009259257</v>
      </c>
      <c r="I531" t="s">
        <v>56</v>
      </c>
      <c r="Z531">
        <v>109615</v>
      </c>
    </row>
    <row r="532" spans="1:26" x14ac:dyDescent="0.25">
      <c r="A532" t="s">
        <v>745</v>
      </c>
      <c r="B532" t="s">
        <v>74</v>
      </c>
      <c r="C532" t="s">
        <v>28</v>
      </c>
      <c r="E532" t="s">
        <v>278</v>
      </c>
      <c r="G532" t="s">
        <v>746</v>
      </c>
      <c r="H532" s="2">
        <v>46092.636006944442</v>
      </c>
      <c r="I532" t="s">
        <v>556</v>
      </c>
      <c r="Z532">
        <v>109612</v>
      </c>
    </row>
    <row r="533" spans="1:26" x14ac:dyDescent="0.25">
      <c r="A533" t="s">
        <v>747</v>
      </c>
      <c r="B533" t="s">
        <v>27</v>
      </c>
      <c r="C533" t="s">
        <v>28</v>
      </c>
      <c r="H533" s="2">
        <v>46092.596562500003</v>
      </c>
      <c r="I533" t="s">
        <v>56</v>
      </c>
      <c r="Z533">
        <v>109608</v>
      </c>
    </row>
    <row r="534" spans="1:26" x14ac:dyDescent="0.25">
      <c r="A534" t="s">
        <v>748</v>
      </c>
      <c r="B534" t="s">
        <v>27</v>
      </c>
      <c r="C534" t="s">
        <v>28</v>
      </c>
      <c r="H534" s="2">
        <v>46092.55914351852</v>
      </c>
      <c r="I534" t="s">
        <v>56</v>
      </c>
      <c r="Z534">
        <v>109605</v>
      </c>
    </row>
    <row r="535" spans="1:26" x14ac:dyDescent="0.25">
      <c r="A535" t="s">
        <v>749</v>
      </c>
      <c r="B535" t="s">
        <v>74</v>
      </c>
      <c r="C535" t="s">
        <v>28</v>
      </c>
      <c r="E535" t="s">
        <v>198</v>
      </c>
      <c r="G535" t="s">
        <v>750</v>
      </c>
      <c r="H535" s="2">
        <v>46092.442858796298</v>
      </c>
      <c r="I535" t="s">
        <v>556</v>
      </c>
      <c r="Z535">
        <v>109600</v>
      </c>
    </row>
    <row r="536" spans="1:26" x14ac:dyDescent="0.25">
      <c r="A536" t="s">
        <v>751</v>
      </c>
      <c r="B536" t="s">
        <v>27</v>
      </c>
      <c r="C536" t="s">
        <v>28</v>
      </c>
      <c r="H536" s="2">
        <v>46091.425196759257</v>
      </c>
      <c r="I536" t="s">
        <v>31</v>
      </c>
      <c r="Z536">
        <v>109572</v>
      </c>
    </row>
    <row r="537" spans="1:26" x14ac:dyDescent="0.25">
      <c r="A537" t="s">
        <v>752</v>
      </c>
      <c r="B537" t="s">
        <v>27</v>
      </c>
      <c r="C537" t="s">
        <v>28</v>
      </c>
      <c r="H537" s="2">
        <v>46091.394120370373</v>
      </c>
      <c r="I537" t="s">
        <v>31</v>
      </c>
      <c r="Z537">
        <v>109569</v>
      </c>
    </row>
    <row r="538" spans="1:26" x14ac:dyDescent="0.25">
      <c r="A538" t="s">
        <v>753</v>
      </c>
      <c r="B538" t="s">
        <v>27</v>
      </c>
      <c r="C538" t="s">
        <v>28</v>
      </c>
      <c r="H538" s="2">
        <v>46091.381296296298</v>
      </c>
      <c r="I538" t="s">
        <v>556</v>
      </c>
      <c r="Z538">
        <v>109567</v>
      </c>
    </row>
    <row r="539" spans="1:26" x14ac:dyDescent="0.25">
      <c r="A539" t="s">
        <v>754</v>
      </c>
      <c r="B539" t="s">
        <v>27</v>
      </c>
      <c r="C539" t="s">
        <v>28</v>
      </c>
      <c r="H539" s="2">
        <v>46090.830069444448</v>
      </c>
      <c r="I539" t="s">
        <v>31</v>
      </c>
      <c r="Z539">
        <v>109562</v>
      </c>
    </row>
    <row r="540" spans="1:26" x14ac:dyDescent="0.25">
      <c r="A540" t="s">
        <v>755</v>
      </c>
      <c r="B540" t="s">
        <v>27</v>
      </c>
      <c r="C540" t="s">
        <v>28</v>
      </c>
      <c r="H540" s="2">
        <v>46090.600636574076</v>
      </c>
      <c r="I540" t="s">
        <v>31</v>
      </c>
      <c r="Z540">
        <v>109550</v>
      </c>
    </row>
    <row r="541" spans="1:26" x14ac:dyDescent="0.25">
      <c r="A541" t="s">
        <v>756</v>
      </c>
      <c r="B541" t="s">
        <v>27</v>
      </c>
      <c r="C541" t="s">
        <v>28</v>
      </c>
      <c r="H541" s="2">
        <v>46090.596331018518</v>
      </c>
      <c r="I541" t="s">
        <v>31</v>
      </c>
      <c r="Z541">
        <v>109549</v>
      </c>
    </row>
    <row r="542" spans="1:26" x14ac:dyDescent="0.25">
      <c r="A542" t="s">
        <v>757</v>
      </c>
      <c r="B542" t="s">
        <v>27</v>
      </c>
      <c r="C542" t="s">
        <v>28</v>
      </c>
      <c r="H542" s="2">
        <v>46090.516747685186</v>
      </c>
      <c r="I542" t="s">
        <v>556</v>
      </c>
      <c r="Z542">
        <v>109544</v>
      </c>
    </row>
    <row r="543" spans="1:26" x14ac:dyDescent="0.25">
      <c r="A543" t="s">
        <v>33</v>
      </c>
      <c r="B543" t="s">
        <v>306</v>
      </c>
      <c r="C543" t="s">
        <v>28</v>
      </c>
      <c r="E543" t="s">
        <v>652</v>
      </c>
      <c r="H543" s="2">
        <v>46089.962187500001</v>
      </c>
      <c r="I543" t="s">
        <v>31</v>
      </c>
      <c r="K543" t="s">
        <v>34</v>
      </c>
      <c r="L543" t="s">
        <v>35</v>
      </c>
      <c r="M543" t="s">
        <v>758</v>
      </c>
      <c r="N543">
        <v>16978047696</v>
      </c>
      <c r="O543" t="s">
        <v>759</v>
      </c>
      <c r="Z543">
        <v>109540</v>
      </c>
    </row>
    <row r="544" spans="1:26" x14ac:dyDescent="0.25">
      <c r="A544" t="s">
        <v>760</v>
      </c>
      <c r="B544" t="s">
        <v>27</v>
      </c>
      <c r="C544" t="s">
        <v>28</v>
      </c>
      <c r="H544" s="2">
        <v>46089.880659722221</v>
      </c>
      <c r="I544" t="s">
        <v>31</v>
      </c>
      <c r="Z544">
        <v>109539</v>
      </c>
    </row>
    <row r="545" spans="1:26" x14ac:dyDescent="0.25">
      <c r="A545" t="s">
        <v>761</v>
      </c>
      <c r="B545" t="s">
        <v>27</v>
      </c>
      <c r="C545" t="s">
        <v>28</v>
      </c>
      <c r="H545" s="2">
        <v>46089.559004629627</v>
      </c>
      <c r="I545" t="s">
        <v>54</v>
      </c>
      <c r="Z545">
        <v>109526</v>
      </c>
    </row>
    <row r="546" spans="1:26" x14ac:dyDescent="0.25">
      <c r="A546" t="s">
        <v>762</v>
      </c>
      <c r="B546" t="s">
        <v>74</v>
      </c>
      <c r="C546" t="s">
        <v>28</v>
      </c>
      <c r="E546" t="s">
        <v>763</v>
      </c>
      <c r="G546" t="s">
        <v>764</v>
      </c>
      <c r="H546" s="2">
        <v>46088.79074074074</v>
      </c>
      <c r="I546" t="s">
        <v>54</v>
      </c>
      <c r="Z546">
        <v>109518</v>
      </c>
    </row>
    <row r="547" spans="1:26" x14ac:dyDescent="0.25">
      <c r="A547" t="s">
        <v>765</v>
      </c>
      <c r="B547" t="s">
        <v>27</v>
      </c>
      <c r="C547" t="s">
        <v>28</v>
      </c>
      <c r="H547" s="2">
        <v>46088.610798611109</v>
      </c>
      <c r="I547" t="s">
        <v>56</v>
      </c>
      <c r="Z547">
        <v>109503</v>
      </c>
    </row>
    <row r="548" spans="1:26" x14ac:dyDescent="0.25">
      <c r="A548" t="s">
        <v>766</v>
      </c>
      <c r="B548" t="s">
        <v>74</v>
      </c>
      <c r="C548" t="s">
        <v>28</v>
      </c>
      <c r="E548" t="s">
        <v>61</v>
      </c>
      <c r="G548" t="s">
        <v>767</v>
      </c>
      <c r="H548" s="2">
        <v>46088.442233796297</v>
      </c>
      <c r="I548" t="s">
        <v>54</v>
      </c>
      <c r="Z548">
        <v>109495</v>
      </c>
    </row>
    <row r="549" spans="1:26" x14ac:dyDescent="0.25">
      <c r="A549" t="s">
        <v>768</v>
      </c>
      <c r="B549" t="s">
        <v>27</v>
      </c>
      <c r="C549" t="s">
        <v>28</v>
      </c>
      <c r="H549" s="2">
        <v>46087.807500000003</v>
      </c>
      <c r="I549" t="s">
        <v>56</v>
      </c>
      <c r="Z549">
        <v>109486</v>
      </c>
    </row>
    <row r="550" spans="1:26" x14ac:dyDescent="0.25">
      <c r="A550" t="s">
        <v>769</v>
      </c>
      <c r="B550" t="s">
        <v>27</v>
      </c>
      <c r="C550" t="s">
        <v>28</v>
      </c>
      <c r="H550" s="2">
        <v>46087.697083333333</v>
      </c>
      <c r="I550" t="s">
        <v>54</v>
      </c>
      <c r="Z550">
        <v>109477</v>
      </c>
    </row>
    <row r="551" spans="1:26" x14ac:dyDescent="0.25">
      <c r="A551" t="s">
        <v>770</v>
      </c>
      <c r="B551" t="s">
        <v>27</v>
      </c>
      <c r="C551" t="s">
        <v>28</v>
      </c>
      <c r="H551" s="2">
        <v>46087.410150462965</v>
      </c>
      <c r="I551" t="s">
        <v>56</v>
      </c>
      <c r="Z551">
        <v>109467</v>
      </c>
    </row>
    <row r="552" spans="1:26" x14ac:dyDescent="0.25">
      <c r="A552" t="s">
        <v>771</v>
      </c>
      <c r="B552" t="s">
        <v>27</v>
      </c>
      <c r="C552" t="s">
        <v>28</v>
      </c>
      <c r="H552" s="2">
        <v>46087.39435185185</v>
      </c>
      <c r="I552" t="s">
        <v>54</v>
      </c>
      <c r="Z552">
        <v>109466</v>
      </c>
    </row>
    <row r="553" spans="1:26" x14ac:dyDescent="0.25">
      <c r="A553" t="s">
        <v>772</v>
      </c>
      <c r="B553" t="s">
        <v>27</v>
      </c>
      <c r="C553" t="s">
        <v>28</v>
      </c>
      <c r="H553" s="2">
        <v>46086.458402777775</v>
      </c>
      <c r="I553" t="s">
        <v>56</v>
      </c>
      <c r="Z553">
        <v>109443</v>
      </c>
    </row>
    <row r="554" spans="1:26" x14ac:dyDescent="0.25">
      <c r="A554" t="s">
        <v>773</v>
      </c>
      <c r="B554" t="s">
        <v>27</v>
      </c>
      <c r="C554" t="s">
        <v>185</v>
      </c>
      <c r="H554" s="2">
        <v>46086.414456018516</v>
      </c>
      <c r="I554" t="s">
        <v>56</v>
      </c>
      <c r="Z554">
        <v>109441</v>
      </c>
    </row>
    <row r="555" spans="1:26" x14ac:dyDescent="0.25">
      <c r="A555" t="s">
        <v>774</v>
      </c>
      <c r="B555" t="s">
        <v>27</v>
      </c>
      <c r="C555" t="s">
        <v>28</v>
      </c>
      <c r="H555" s="2">
        <v>46085.616041666668</v>
      </c>
      <c r="I555" t="s">
        <v>556</v>
      </c>
      <c r="Z555">
        <v>109424</v>
      </c>
    </row>
    <row r="556" spans="1:26" x14ac:dyDescent="0.25">
      <c r="A556" t="s">
        <v>775</v>
      </c>
      <c r="B556" t="s">
        <v>46</v>
      </c>
      <c r="C556" t="s">
        <v>28</v>
      </c>
      <c r="E556" t="s">
        <v>72</v>
      </c>
      <c r="H556" s="2">
        <v>46085.455717592595</v>
      </c>
      <c r="I556" t="s">
        <v>31</v>
      </c>
      <c r="K556" t="s">
        <v>48</v>
      </c>
      <c r="Z556">
        <v>109413</v>
      </c>
    </row>
    <row r="557" spans="1:26" x14ac:dyDescent="0.25">
      <c r="A557" t="s">
        <v>776</v>
      </c>
      <c r="B557" t="s">
        <v>27</v>
      </c>
      <c r="C557" t="s">
        <v>28</v>
      </c>
      <c r="H557" s="2">
        <v>46085.386319444442</v>
      </c>
      <c r="I557" t="s">
        <v>31</v>
      </c>
      <c r="Z557">
        <v>109408</v>
      </c>
    </row>
    <row r="558" spans="1:26" x14ac:dyDescent="0.25">
      <c r="A558" t="s">
        <v>777</v>
      </c>
      <c r="B558" t="s">
        <v>27</v>
      </c>
      <c r="C558" t="s">
        <v>28</v>
      </c>
      <c r="H558" s="2">
        <v>46085.368368055555</v>
      </c>
      <c r="I558" t="s">
        <v>556</v>
      </c>
      <c r="Z558">
        <v>109407</v>
      </c>
    </row>
    <row r="559" spans="1:26" x14ac:dyDescent="0.25">
      <c r="A559" t="s">
        <v>778</v>
      </c>
      <c r="B559" t="s">
        <v>27</v>
      </c>
      <c r="C559" t="s">
        <v>28</v>
      </c>
      <c r="H559" s="2">
        <v>46084.719849537039</v>
      </c>
      <c r="I559" t="s">
        <v>31</v>
      </c>
      <c r="Z559">
        <v>109404</v>
      </c>
    </row>
    <row r="560" spans="1:26" x14ac:dyDescent="0.25">
      <c r="A560" t="s">
        <v>277</v>
      </c>
      <c r="B560" t="s">
        <v>27</v>
      </c>
      <c r="C560" t="s">
        <v>28</v>
      </c>
      <c r="H560" s="2">
        <v>46084.610856481479</v>
      </c>
      <c r="I560" t="s">
        <v>31</v>
      </c>
      <c r="Z560">
        <v>109401</v>
      </c>
    </row>
    <row r="561" spans="1:26" x14ac:dyDescent="0.25">
      <c r="A561" t="s">
        <v>779</v>
      </c>
      <c r="B561" t="s">
        <v>27</v>
      </c>
      <c r="C561" t="s">
        <v>28</v>
      </c>
      <c r="H561" s="2">
        <v>46083.743703703702</v>
      </c>
      <c r="I561" t="s">
        <v>54</v>
      </c>
      <c r="Z561">
        <v>109386</v>
      </c>
    </row>
    <row r="562" spans="1:26" x14ac:dyDescent="0.25">
      <c r="A562" t="s">
        <v>780</v>
      </c>
      <c r="B562" t="s">
        <v>27</v>
      </c>
      <c r="C562" t="s">
        <v>28</v>
      </c>
      <c r="H562" s="2">
        <v>46083.45208333333</v>
      </c>
      <c r="I562" t="s">
        <v>54</v>
      </c>
      <c r="Z562">
        <v>109375</v>
      </c>
    </row>
    <row r="563" spans="1:26" x14ac:dyDescent="0.25">
      <c r="A563" t="s">
        <v>781</v>
      </c>
      <c r="B563" t="s">
        <v>27</v>
      </c>
      <c r="C563" t="s">
        <v>28</v>
      </c>
      <c r="H563" s="2">
        <v>46083.438136574077</v>
      </c>
      <c r="I563" t="s">
        <v>54</v>
      </c>
      <c r="Z563">
        <v>109373</v>
      </c>
    </row>
    <row r="564" spans="1:26" x14ac:dyDescent="0.25">
      <c r="A564" t="s">
        <v>782</v>
      </c>
      <c r="B564" t="s">
        <v>27</v>
      </c>
      <c r="C564" t="s">
        <v>28</v>
      </c>
      <c r="H564" s="2">
        <v>46081.472893518519</v>
      </c>
      <c r="I564" t="s">
        <v>56</v>
      </c>
      <c r="Z564">
        <v>109346</v>
      </c>
    </row>
    <row r="565" spans="1:26" x14ac:dyDescent="0.25">
      <c r="A565" t="s">
        <v>783</v>
      </c>
      <c r="B565" t="s">
        <v>27</v>
      </c>
      <c r="C565" t="s">
        <v>28</v>
      </c>
      <c r="H565" s="2">
        <v>46081.410324074073</v>
      </c>
      <c r="I565" t="s">
        <v>56</v>
      </c>
      <c r="Z565">
        <v>109339</v>
      </c>
    </row>
    <row r="566" spans="1:26" x14ac:dyDescent="0.25">
      <c r="A566" t="s">
        <v>784</v>
      </c>
      <c r="B566" t="s">
        <v>27</v>
      </c>
      <c r="C566" t="s">
        <v>28</v>
      </c>
      <c r="H566" s="2">
        <v>46080.743530092594</v>
      </c>
      <c r="I566" t="s">
        <v>556</v>
      </c>
      <c r="Z566">
        <v>109334</v>
      </c>
    </row>
    <row r="567" spans="1:26" x14ac:dyDescent="0.25">
      <c r="A567" t="s">
        <v>785</v>
      </c>
      <c r="B567" t="s">
        <v>27</v>
      </c>
      <c r="C567" t="s">
        <v>28</v>
      </c>
      <c r="H567" s="2">
        <v>46080.72824074074</v>
      </c>
      <c r="I567" t="s">
        <v>556</v>
      </c>
      <c r="Z567">
        <v>109333</v>
      </c>
    </row>
    <row r="568" spans="1:26" x14ac:dyDescent="0.25">
      <c r="A568" t="s">
        <v>786</v>
      </c>
      <c r="B568" t="s">
        <v>27</v>
      </c>
      <c r="C568" t="s">
        <v>28</v>
      </c>
      <c r="H568" s="2">
        <v>46080.704444444447</v>
      </c>
      <c r="I568" t="s">
        <v>56</v>
      </c>
      <c r="Z568">
        <v>109332</v>
      </c>
    </row>
    <row r="569" spans="1:26" x14ac:dyDescent="0.25">
      <c r="A569" t="s">
        <v>787</v>
      </c>
      <c r="B569" t="s">
        <v>27</v>
      </c>
      <c r="C569" t="s">
        <v>28</v>
      </c>
      <c r="H569" s="2">
        <v>46080.660231481481</v>
      </c>
      <c r="I569" t="s">
        <v>556</v>
      </c>
      <c r="Z569">
        <v>109328</v>
      </c>
    </row>
    <row r="570" spans="1:26" x14ac:dyDescent="0.25">
      <c r="A570" t="s">
        <v>788</v>
      </c>
      <c r="B570" t="s">
        <v>27</v>
      </c>
      <c r="C570" t="s">
        <v>28</v>
      </c>
      <c r="H570" s="2">
        <v>46080.604444444441</v>
      </c>
      <c r="I570" t="s">
        <v>556</v>
      </c>
      <c r="Z570">
        <v>109325</v>
      </c>
    </row>
    <row r="571" spans="1:26" x14ac:dyDescent="0.25">
      <c r="A571" t="s">
        <v>789</v>
      </c>
      <c r="B571" t="s">
        <v>27</v>
      </c>
      <c r="C571" t="s">
        <v>28</v>
      </c>
      <c r="H571" s="2">
        <v>46079.685127314813</v>
      </c>
      <c r="I571" t="s">
        <v>31</v>
      </c>
      <c r="Z571">
        <v>109301</v>
      </c>
    </row>
    <row r="572" spans="1:26" x14ac:dyDescent="0.25">
      <c r="A572" t="s">
        <v>790</v>
      </c>
      <c r="B572" t="s">
        <v>27</v>
      </c>
      <c r="C572" t="s">
        <v>28</v>
      </c>
      <c r="H572" s="2">
        <v>46079.545208333337</v>
      </c>
      <c r="I572" t="s">
        <v>31</v>
      </c>
      <c r="Z572">
        <v>109293</v>
      </c>
    </row>
    <row r="573" spans="1:26" x14ac:dyDescent="0.25">
      <c r="A573" t="s">
        <v>791</v>
      </c>
      <c r="B573" t="s">
        <v>27</v>
      </c>
      <c r="C573" t="s">
        <v>28</v>
      </c>
      <c r="H573" s="2">
        <v>46079.384664351855</v>
      </c>
      <c r="I573" t="s">
        <v>31</v>
      </c>
      <c r="Z573">
        <v>109279</v>
      </c>
    </row>
    <row r="574" spans="1:26" x14ac:dyDescent="0.25">
      <c r="A574" t="s">
        <v>792</v>
      </c>
      <c r="B574" t="s">
        <v>27</v>
      </c>
      <c r="C574" t="s">
        <v>28</v>
      </c>
      <c r="H574" s="2">
        <v>46078.426168981481</v>
      </c>
      <c r="I574" t="s">
        <v>556</v>
      </c>
      <c r="Z574">
        <v>109260</v>
      </c>
    </row>
    <row r="575" spans="1:26" x14ac:dyDescent="0.25">
      <c r="A575" t="s">
        <v>793</v>
      </c>
      <c r="B575" t="s">
        <v>74</v>
      </c>
      <c r="C575" t="s">
        <v>28</v>
      </c>
      <c r="E575" t="s">
        <v>794</v>
      </c>
      <c r="G575" t="s">
        <v>795</v>
      </c>
      <c r="H575" s="2">
        <v>46077.908020833333</v>
      </c>
      <c r="I575" t="s">
        <v>31</v>
      </c>
      <c r="Z575">
        <v>109256</v>
      </c>
    </row>
    <row r="576" spans="1:26" x14ac:dyDescent="0.25">
      <c r="A576" t="s">
        <v>796</v>
      </c>
      <c r="B576" t="s">
        <v>74</v>
      </c>
      <c r="C576" t="s">
        <v>28</v>
      </c>
      <c r="E576" t="s">
        <v>797</v>
      </c>
      <c r="G576" t="s">
        <v>798</v>
      </c>
      <c r="H576" s="2">
        <v>46077.900011574071</v>
      </c>
      <c r="I576" t="s">
        <v>31</v>
      </c>
      <c r="Z576">
        <v>109255</v>
      </c>
    </row>
    <row r="577" spans="1:26" x14ac:dyDescent="0.25">
      <c r="A577" t="s">
        <v>799</v>
      </c>
      <c r="B577" t="s">
        <v>27</v>
      </c>
      <c r="C577" t="s">
        <v>28</v>
      </c>
      <c r="H577" s="2">
        <v>46077.68309027778</v>
      </c>
      <c r="I577" t="s">
        <v>31</v>
      </c>
      <c r="Z577">
        <v>109247</v>
      </c>
    </row>
    <row r="578" spans="1:26" x14ac:dyDescent="0.25">
      <c r="A578" t="s">
        <v>800</v>
      </c>
      <c r="B578" t="s">
        <v>27</v>
      </c>
      <c r="C578" t="s">
        <v>28</v>
      </c>
      <c r="H578" s="2">
        <v>46077.675428240742</v>
      </c>
      <c r="I578" t="s">
        <v>54</v>
      </c>
      <c r="Z578">
        <v>109246</v>
      </c>
    </row>
    <row r="579" spans="1:26" x14ac:dyDescent="0.25">
      <c r="A579" t="s">
        <v>801</v>
      </c>
      <c r="B579" t="s">
        <v>27</v>
      </c>
      <c r="C579" t="s">
        <v>28</v>
      </c>
      <c r="H579" s="2">
        <v>46077.649259259262</v>
      </c>
      <c r="I579" t="s">
        <v>54</v>
      </c>
      <c r="Z579">
        <v>109244</v>
      </c>
    </row>
    <row r="580" spans="1:26" x14ac:dyDescent="0.25">
      <c r="A580" t="s">
        <v>802</v>
      </c>
      <c r="B580" t="s">
        <v>27</v>
      </c>
      <c r="C580" t="s">
        <v>28</v>
      </c>
      <c r="H580" s="2">
        <v>46077.638506944444</v>
      </c>
      <c r="I580" t="s">
        <v>31</v>
      </c>
      <c r="Z580">
        <v>109242</v>
      </c>
    </row>
    <row r="581" spans="1:26" x14ac:dyDescent="0.25">
      <c r="A581" t="s">
        <v>803</v>
      </c>
      <c r="B581" t="s">
        <v>27</v>
      </c>
      <c r="C581" t="s">
        <v>28</v>
      </c>
      <c r="H581" s="2">
        <v>46077.562314814815</v>
      </c>
      <c r="I581" t="s">
        <v>31</v>
      </c>
      <c r="Z581">
        <v>109237</v>
      </c>
    </row>
    <row r="582" spans="1:26" x14ac:dyDescent="0.25">
      <c r="A582" t="s">
        <v>804</v>
      </c>
      <c r="B582" t="s">
        <v>27</v>
      </c>
      <c r="C582" t="s">
        <v>28</v>
      </c>
      <c r="H582" s="2">
        <v>46077.393935185188</v>
      </c>
      <c r="I582" t="s">
        <v>31</v>
      </c>
      <c r="Z582">
        <v>109222</v>
      </c>
    </row>
    <row r="583" spans="1:26" x14ac:dyDescent="0.25">
      <c r="A583" t="s">
        <v>805</v>
      </c>
      <c r="B583" t="s">
        <v>27</v>
      </c>
      <c r="C583" t="s">
        <v>333</v>
      </c>
      <c r="H583" s="2">
        <v>46077.232928240737</v>
      </c>
      <c r="I583" t="s">
        <v>54</v>
      </c>
      <c r="Z583">
        <v>109221</v>
      </c>
    </row>
    <row r="584" spans="1:26" x14ac:dyDescent="0.25">
      <c r="A584" t="s">
        <v>806</v>
      </c>
      <c r="B584" t="s">
        <v>27</v>
      </c>
      <c r="C584" t="s">
        <v>28</v>
      </c>
      <c r="H584" s="2">
        <v>46076.778935185182</v>
      </c>
      <c r="I584" t="s">
        <v>56</v>
      </c>
      <c r="Z584">
        <v>109215</v>
      </c>
    </row>
    <row r="585" spans="1:26" x14ac:dyDescent="0.25">
      <c r="A585" t="s">
        <v>807</v>
      </c>
      <c r="B585" t="s">
        <v>27</v>
      </c>
      <c r="C585" t="s">
        <v>28</v>
      </c>
      <c r="H585" s="2">
        <v>46076.656319444446</v>
      </c>
      <c r="I585" t="s">
        <v>56</v>
      </c>
      <c r="Z585">
        <v>109206</v>
      </c>
    </row>
    <row r="586" spans="1:26" x14ac:dyDescent="0.25">
      <c r="A586" t="s">
        <v>808</v>
      </c>
      <c r="B586" t="s">
        <v>27</v>
      </c>
      <c r="C586" t="s">
        <v>28</v>
      </c>
      <c r="H586" s="2">
        <v>46076.585555555554</v>
      </c>
      <c r="I586" t="s">
        <v>56</v>
      </c>
      <c r="Z586">
        <v>109198</v>
      </c>
    </row>
    <row r="587" spans="1:26" x14ac:dyDescent="0.25">
      <c r="A587" t="s">
        <v>809</v>
      </c>
      <c r="B587" t="s">
        <v>27</v>
      </c>
      <c r="C587" t="s">
        <v>28</v>
      </c>
      <c r="H587" s="2">
        <v>46075.698854166665</v>
      </c>
      <c r="I587" t="s">
        <v>54</v>
      </c>
      <c r="Z587">
        <v>109181</v>
      </c>
    </row>
    <row r="588" spans="1:26" x14ac:dyDescent="0.25">
      <c r="A588" t="s">
        <v>810</v>
      </c>
      <c r="B588" t="s">
        <v>27</v>
      </c>
      <c r="C588" t="s">
        <v>28</v>
      </c>
      <c r="H588" s="2">
        <v>46074.611377314817</v>
      </c>
      <c r="I588" t="s">
        <v>556</v>
      </c>
      <c r="Z588">
        <v>109162</v>
      </c>
    </row>
    <row r="589" spans="1:26" x14ac:dyDescent="0.25">
      <c r="A589" t="s">
        <v>811</v>
      </c>
      <c r="B589" t="s">
        <v>27</v>
      </c>
      <c r="C589" t="s">
        <v>28</v>
      </c>
      <c r="H589" s="2">
        <v>46073.732060185182</v>
      </c>
      <c r="I589" t="s">
        <v>31</v>
      </c>
      <c r="Z589">
        <v>109146</v>
      </c>
    </row>
    <row r="590" spans="1:26" x14ac:dyDescent="0.25">
      <c r="A590" t="s">
        <v>92</v>
      </c>
      <c r="B590" t="s">
        <v>58</v>
      </c>
      <c r="C590" t="s">
        <v>28</v>
      </c>
      <c r="E590" t="s">
        <v>72</v>
      </c>
      <c r="H590" s="2">
        <v>46073.726018518515</v>
      </c>
      <c r="I590" t="s">
        <v>556</v>
      </c>
      <c r="Z590">
        <v>109145</v>
      </c>
    </row>
    <row r="591" spans="1:26" x14ac:dyDescent="0.25">
      <c r="A591" t="s">
        <v>812</v>
      </c>
      <c r="B591" t="s">
        <v>27</v>
      </c>
      <c r="C591" t="s">
        <v>28</v>
      </c>
      <c r="H591" s="2">
        <v>46073.710648148146</v>
      </c>
      <c r="I591" t="s">
        <v>31</v>
      </c>
      <c r="Z591">
        <v>109144</v>
      </c>
    </row>
    <row r="592" spans="1:26" x14ac:dyDescent="0.25">
      <c r="A592" t="s">
        <v>813</v>
      </c>
      <c r="B592" t="s">
        <v>27</v>
      </c>
      <c r="C592" t="s">
        <v>28</v>
      </c>
      <c r="H592" s="2">
        <v>46073.497604166667</v>
      </c>
      <c r="I592" t="s">
        <v>31</v>
      </c>
      <c r="Z592">
        <v>109139</v>
      </c>
    </row>
    <row r="593" spans="1:26" x14ac:dyDescent="0.25">
      <c r="A593" t="s">
        <v>603</v>
      </c>
      <c r="B593" t="s">
        <v>27</v>
      </c>
      <c r="C593" t="s">
        <v>28</v>
      </c>
      <c r="H593" s="2">
        <v>46073.444004629629</v>
      </c>
      <c r="I593" t="s">
        <v>31</v>
      </c>
      <c r="Z593">
        <v>109135</v>
      </c>
    </row>
    <row r="594" spans="1:26" x14ac:dyDescent="0.25">
      <c r="A594" t="s">
        <v>814</v>
      </c>
      <c r="B594" t="s">
        <v>27</v>
      </c>
      <c r="C594" t="s">
        <v>185</v>
      </c>
      <c r="H594" s="2">
        <v>46073.404768518521</v>
      </c>
      <c r="I594" t="s">
        <v>556</v>
      </c>
      <c r="Z594">
        <v>109133</v>
      </c>
    </row>
    <row r="595" spans="1:26" x14ac:dyDescent="0.25">
      <c r="A595" t="s">
        <v>207</v>
      </c>
      <c r="B595" t="s">
        <v>74</v>
      </c>
      <c r="C595" t="s">
        <v>28</v>
      </c>
      <c r="E595" t="s">
        <v>515</v>
      </c>
      <c r="G595" t="s">
        <v>815</v>
      </c>
      <c r="H595" s="2">
        <v>46072.825324074074</v>
      </c>
      <c r="I595" t="s">
        <v>31</v>
      </c>
      <c r="Z595">
        <v>109130</v>
      </c>
    </row>
    <row r="596" spans="1:26" x14ac:dyDescent="0.25">
      <c r="A596" t="s">
        <v>816</v>
      </c>
      <c r="B596" t="s">
        <v>27</v>
      </c>
      <c r="C596" t="s">
        <v>28</v>
      </c>
      <c r="H596" s="2">
        <v>46072.745706018519</v>
      </c>
      <c r="I596" t="s">
        <v>31</v>
      </c>
      <c r="Z596">
        <v>109124</v>
      </c>
    </row>
    <row r="597" spans="1:26" x14ac:dyDescent="0.25">
      <c r="A597" t="s">
        <v>817</v>
      </c>
      <c r="B597" t="s">
        <v>303</v>
      </c>
      <c r="C597" t="s">
        <v>185</v>
      </c>
      <c r="E597" s="1" t="s">
        <v>309</v>
      </c>
      <c r="H597" s="2">
        <v>46072.609155092592</v>
      </c>
      <c r="I597" t="s">
        <v>31</v>
      </c>
      <c r="Z597">
        <v>109117</v>
      </c>
    </row>
    <row r="598" spans="1:26" x14ac:dyDescent="0.25">
      <c r="A598" t="s">
        <v>818</v>
      </c>
      <c r="B598" t="s">
        <v>27</v>
      </c>
      <c r="C598" t="s">
        <v>28</v>
      </c>
      <c r="H598" s="2">
        <v>46072.438576388886</v>
      </c>
      <c r="I598" t="s">
        <v>556</v>
      </c>
      <c r="Z598">
        <v>109100</v>
      </c>
    </row>
    <row r="599" spans="1:26" x14ac:dyDescent="0.25">
      <c r="A599" t="s">
        <v>819</v>
      </c>
      <c r="B599" t="s">
        <v>27</v>
      </c>
      <c r="C599" t="s">
        <v>28</v>
      </c>
      <c r="H599" s="2">
        <v>46072.401087962964</v>
      </c>
      <c r="I599" t="s">
        <v>556</v>
      </c>
      <c r="Z599">
        <v>109099</v>
      </c>
    </row>
    <row r="600" spans="1:26" x14ac:dyDescent="0.25">
      <c r="A600" t="s">
        <v>820</v>
      </c>
      <c r="B600" t="s">
        <v>74</v>
      </c>
      <c r="C600" t="s">
        <v>28</v>
      </c>
      <c r="E600" t="s">
        <v>427</v>
      </c>
      <c r="G600" t="s">
        <v>821</v>
      </c>
      <c r="H600" s="2">
        <v>46071.827650462961</v>
      </c>
      <c r="I600" t="s">
        <v>54</v>
      </c>
      <c r="Z600">
        <v>109095</v>
      </c>
    </row>
    <row r="601" spans="1:26" x14ac:dyDescent="0.25">
      <c r="A601" t="s">
        <v>822</v>
      </c>
      <c r="B601" t="s">
        <v>27</v>
      </c>
      <c r="C601" t="s">
        <v>28</v>
      </c>
      <c r="H601" s="2">
        <v>46071.713437500002</v>
      </c>
      <c r="I601" t="s">
        <v>54</v>
      </c>
      <c r="Z601">
        <v>109093</v>
      </c>
    </row>
    <row r="602" spans="1:26" x14ac:dyDescent="0.25">
      <c r="A602" t="s">
        <v>823</v>
      </c>
      <c r="B602" t="s">
        <v>27</v>
      </c>
      <c r="C602" t="s">
        <v>28</v>
      </c>
      <c r="H602" s="2">
        <v>46071.704907407409</v>
      </c>
      <c r="I602" t="s">
        <v>31</v>
      </c>
      <c r="Z602">
        <v>109092</v>
      </c>
    </row>
    <row r="603" spans="1:26" x14ac:dyDescent="0.25">
      <c r="A603" t="s">
        <v>824</v>
      </c>
      <c r="B603" t="s">
        <v>27</v>
      </c>
      <c r="C603" t="s">
        <v>28</v>
      </c>
      <c r="H603" s="2">
        <v>46070.698912037034</v>
      </c>
      <c r="I603" t="s">
        <v>54</v>
      </c>
      <c r="Z603">
        <v>109058</v>
      </c>
    </row>
    <row r="604" spans="1:26" x14ac:dyDescent="0.25">
      <c r="A604" t="s">
        <v>825</v>
      </c>
      <c r="B604" t="s">
        <v>27</v>
      </c>
      <c r="C604" t="s">
        <v>28</v>
      </c>
      <c r="H604" s="2">
        <v>46070.524502314816</v>
      </c>
      <c r="I604" t="s">
        <v>56</v>
      </c>
      <c r="Z604">
        <v>109051</v>
      </c>
    </row>
    <row r="605" spans="1:26" x14ac:dyDescent="0.25">
      <c r="A605" t="s">
        <v>826</v>
      </c>
      <c r="B605" t="s">
        <v>27</v>
      </c>
      <c r="C605" t="s">
        <v>28</v>
      </c>
      <c r="H605" s="2">
        <v>46070.477847222224</v>
      </c>
      <c r="I605" t="s">
        <v>31</v>
      </c>
      <c r="Z605">
        <v>109048</v>
      </c>
    </row>
    <row r="606" spans="1:26" x14ac:dyDescent="0.25">
      <c r="A606" t="s">
        <v>827</v>
      </c>
      <c r="B606" t="s">
        <v>27</v>
      </c>
      <c r="C606" t="s">
        <v>28</v>
      </c>
      <c r="H606" s="2">
        <v>46069.849050925928</v>
      </c>
      <c r="I606" t="s">
        <v>56</v>
      </c>
      <c r="Z606">
        <v>109042</v>
      </c>
    </row>
    <row r="607" spans="1:26" x14ac:dyDescent="0.25">
      <c r="A607" t="s">
        <v>828</v>
      </c>
      <c r="B607" t="s">
        <v>27</v>
      </c>
      <c r="C607" t="s">
        <v>28</v>
      </c>
      <c r="H607" s="2">
        <v>46069.628287037034</v>
      </c>
      <c r="I607" t="s">
        <v>56</v>
      </c>
      <c r="Z607">
        <v>109032</v>
      </c>
    </row>
    <row r="608" spans="1:26" x14ac:dyDescent="0.25">
      <c r="A608" t="s">
        <v>829</v>
      </c>
      <c r="B608" t="s">
        <v>27</v>
      </c>
      <c r="C608" t="s">
        <v>28</v>
      </c>
      <c r="H608" s="2">
        <v>46069.545069444444</v>
      </c>
      <c r="I608" t="s">
        <v>56</v>
      </c>
      <c r="Z608">
        <v>109023</v>
      </c>
    </row>
    <row r="609" spans="1:26" x14ac:dyDescent="0.25">
      <c r="A609" t="s">
        <v>830</v>
      </c>
      <c r="B609" t="s">
        <v>46</v>
      </c>
      <c r="C609" t="s">
        <v>28</v>
      </c>
      <c r="E609" t="s">
        <v>72</v>
      </c>
      <c r="H609" s="2">
        <v>46069.544756944444</v>
      </c>
      <c r="I609" t="s">
        <v>54</v>
      </c>
      <c r="K609" t="s">
        <v>48</v>
      </c>
      <c r="Z609">
        <v>109022</v>
      </c>
    </row>
    <row r="610" spans="1:26" x14ac:dyDescent="0.25">
      <c r="A610" t="s">
        <v>831</v>
      </c>
      <c r="B610" t="s">
        <v>27</v>
      </c>
      <c r="C610" t="s">
        <v>28</v>
      </c>
      <c r="H610" s="2">
        <v>46069.466979166667</v>
      </c>
      <c r="I610" t="s">
        <v>56</v>
      </c>
      <c r="Z610">
        <v>109017</v>
      </c>
    </row>
    <row r="611" spans="1:26" x14ac:dyDescent="0.25">
      <c r="A611" t="s">
        <v>832</v>
      </c>
      <c r="B611" t="s">
        <v>27</v>
      </c>
      <c r="C611" t="s">
        <v>28</v>
      </c>
      <c r="H611" s="2">
        <v>46069.421770833331</v>
      </c>
      <c r="I611" t="s">
        <v>56</v>
      </c>
      <c r="Z611">
        <v>109015</v>
      </c>
    </row>
    <row r="612" spans="1:26" x14ac:dyDescent="0.25">
      <c r="A612" t="s">
        <v>833</v>
      </c>
      <c r="B612" t="s">
        <v>27</v>
      </c>
      <c r="C612" t="s">
        <v>28</v>
      </c>
      <c r="H612" s="2">
        <v>46067.524155092593</v>
      </c>
      <c r="I612" t="s">
        <v>31</v>
      </c>
      <c r="Z612">
        <v>108989</v>
      </c>
    </row>
    <row r="613" spans="1:26" x14ac:dyDescent="0.25">
      <c r="A613" t="s">
        <v>834</v>
      </c>
      <c r="B613" t="s">
        <v>27</v>
      </c>
      <c r="C613" t="s">
        <v>28</v>
      </c>
      <c r="H613" s="2">
        <v>46066.493379629632</v>
      </c>
      <c r="I613" t="s">
        <v>31</v>
      </c>
      <c r="Z613">
        <v>108969</v>
      </c>
    </row>
    <row r="614" spans="1:26" x14ac:dyDescent="0.25">
      <c r="A614" t="s">
        <v>835</v>
      </c>
      <c r="B614" t="s">
        <v>74</v>
      </c>
      <c r="C614" t="s">
        <v>28</v>
      </c>
      <c r="E614" t="s">
        <v>61</v>
      </c>
      <c r="G614" t="s">
        <v>836</v>
      </c>
      <c r="H614" s="2">
        <v>46064.839733796296</v>
      </c>
      <c r="I614" t="s">
        <v>54</v>
      </c>
      <c r="Z614">
        <v>108928</v>
      </c>
    </row>
    <row r="615" spans="1:26" x14ac:dyDescent="0.25">
      <c r="A615" t="s">
        <v>837</v>
      </c>
      <c r="B615" t="s">
        <v>27</v>
      </c>
      <c r="C615" t="s">
        <v>28</v>
      </c>
      <c r="H615" s="2">
        <v>46064.731851851851</v>
      </c>
      <c r="I615" t="s">
        <v>54</v>
      </c>
      <c r="Z615">
        <v>108924</v>
      </c>
    </row>
    <row r="616" spans="1:26" x14ac:dyDescent="0.25">
      <c r="A616" t="s">
        <v>838</v>
      </c>
      <c r="B616" t="s">
        <v>27</v>
      </c>
      <c r="C616" t="s">
        <v>28</v>
      </c>
      <c r="H616" s="2">
        <v>46064.693124999998</v>
      </c>
      <c r="I616" t="s">
        <v>54</v>
      </c>
      <c r="Z616">
        <v>108917</v>
      </c>
    </row>
    <row r="617" spans="1:26" x14ac:dyDescent="0.25">
      <c r="A617" t="s">
        <v>839</v>
      </c>
      <c r="B617" t="s">
        <v>27</v>
      </c>
      <c r="C617" t="s">
        <v>28</v>
      </c>
      <c r="H617" s="2">
        <v>46063.620636574073</v>
      </c>
      <c r="I617" t="s">
        <v>56</v>
      </c>
      <c r="Z617">
        <v>108884</v>
      </c>
    </row>
    <row r="618" spans="1:26" x14ac:dyDescent="0.25">
      <c r="A618" t="s">
        <v>840</v>
      </c>
      <c r="B618" t="s">
        <v>27</v>
      </c>
      <c r="C618" t="s">
        <v>28</v>
      </c>
      <c r="H618" s="2">
        <v>46063.434675925928</v>
      </c>
      <c r="I618" t="s">
        <v>54</v>
      </c>
      <c r="Z618">
        <v>108872</v>
      </c>
    </row>
    <row r="619" spans="1:26" x14ac:dyDescent="0.25">
      <c r="A619" t="s">
        <v>841</v>
      </c>
      <c r="B619" t="s">
        <v>46</v>
      </c>
      <c r="C619" t="s">
        <v>28</v>
      </c>
      <c r="E619" t="s">
        <v>260</v>
      </c>
      <c r="H619" s="2">
        <v>46063.38417824074</v>
      </c>
      <c r="I619" t="s">
        <v>54</v>
      </c>
      <c r="K619" t="s">
        <v>48</v>
      </c>
      <c r="Z619">
        <v>108869</v>
      </c>
    </row>
    <row r="620" spans="1:26" x14ac:dyDescent="0.25">
      <c r="A620" t="s">
        <v>842</v>
      </c>
      <c r="B620" t="s">
        <v>27</v>
      </c>
      <c r="C620" t="s">
        <v>28</v>
      </c>
      <c r="H620" s="2">
        <v>46062.624363425923</v>
      </c>
      <c r="I620" t="s">
        <v>56</v>
      </c>
      <c r="Z620">
        <v>108860</v>
      </c>
    </row>
    <row r="621" spans="1:26" x14ac:dyDescent="0.25">
      <c r="A621" t="s">
        <v>843</v>
      </c>
      <c r="B621" t="s">
        <v>27</v>
      </c>
      <c r="C621" t="s">
        <v>28</v>
      </c>
      <c r="H621" s="2">
        <v>46062.553252314814</v>
      </c>
      <c r="I621" t="s">
        <v>56</v>
      </c>
      <c r="Z621">
        <v>108854</v>
      </c>
    </row>
    <row r="622" spans="1:26" x14ac:dyDescent="0.25">
      <c r="A622" t="s">
        <v>844</v>
      </c>
      <c r="B622" t="s">
        <v>27</v>
      </c>
      <c r="C622" t="s">
        <v>28</v>
      </c>
      <c r="H622" s="2">
        <v>46062.545671296299</v>
      </c>
      <c r="I622" t="s">
        <v>556</v>
      </c>
      <c r="Z622">
        <v>108853</v>
      </c>
    </row>
    <row r="623" spans="1:26" x14ac:dyDescent="0.25">
      <c r="A623" t="s">
        <v>845</v>
      </c>
      <c r="B623" t="s">
        <v>74</v>
      </c>
      <c r="C623" t="s">
        <v>28</v>
      </c>
      <c r="E623" t="s">
        <v>846</v>
      </c>
      <c r="G623" t="s">
        <v>847</v>
      </c>
      <c r="H623" s="2">
        <v>46062.262499999997</v>
      </c>
      <c r="I623" t="s">
        <v>56</v>
      </c>
      <c r="Z623">
        <v>108844</v>
      </c>
    </row>
    <row r="624" spans="1:26" x14ac:dyDescent="0.25">
      <c r="A624" t="s">
        <v>848</v>
      </c>
      <c r="B624" t="s">
        <v>27</v>
      </c>
      <c r="C624" t="s">
        <v>28</v>
      </c>
      <c r="H624" s="2">
        <v>46061.40388888889</v>
      </c>
      <c r="I624" t="s">
        <v>556</v>
      </c>
      <c r="Z624">
        <v>108831</v>
      </c>
    </row>
    <row r="625" spans="1:26" x14ac:dyDescent="0.25">
      <c r="A625" t="s">
        <v>849</v>
      </c>
      <c r="B625" t="s">
        <v>27</v>
      </c>
      <c r="C625" t="s">
        <v>28</v>
      </c>
      <c r="H625" s="2">
        <v>46060.541215277779</v>
      </c>
      <c r="I625" t="s">
        <v>31</v>
      </c>
      <c r="Z625">
        <v>108811</v>
      </c>
    </row>
    <row r="626" spans="1:26" x14ac:dyDescent="0.25">
      <c r="A626" t="s">
        <v>850</v>
      </c>
      <c r="B626" t="s">
        <v>74</v>
      </c>
      <c r="C626" t="s">
        <v>28</v>
      </c>
      <c r="E626" t="s">
        <v>851</v>
      </c>
      <c r="G626" t="s">
        <v>852</v>
      </c>
      <c r="H626" s="2">
        <v>46059.920752314814</v>
      </c>
      <c r="I626" t="s">
        <v>31</v>
      </c>
      <c r="Z626">
        <v>108803</v>
      </c>
    </row>
    <row r="627" spans="1:26" x14ac:dyDescent="0.25">
      <c r="A627" t="s">
        <v>853</v>
      </c>
      <c r="B627" t="s">
        <v>27</v>
      </c>
      <c r="C627" t="s">
        <v>28</v>
      </c>
      <c r="H627" s="2">
        <v>46058.511759259258</v>
      </c>
      <c r="I627" t="s">
        <v>54</v>
      </c>
      <c r="Z627">
        <v>108768</v>
      </c>
    </row>
    <row r="628" spans="1:26" x14ac:dyDescent="0.25">
      <c r="A628" t="s">
        <v>854</v>
      </c>
      <c r="B628" t="s">
        <v>27</v>
      </c>
      <c r="C628" t="s">
        <v>28</v>
      </c>
      <c r="H628" s="2">
        <v>46057.749247685184</v>
      </c>
      <c r="I628" t="s">
        <v>56</v>
      </c>
      <c r="Z628">
        <v>108754</v>
      </c>
    </row>
    <row r="629" spans="1:26" x14ac:dyDescent="0.25">
      <c r="A629" t="s">
        <v>855</v>
      </c>
      <c r="B629" t="s">
        <v>27</v>
      </c>
      <c r="C629" t="s">
        <v>28</v>
      </c>
      <c r="H629" s="2">
        <v>46057.655219907407</v>
      </c>
      <c r="I629" t="s">
        <v>54</v>
      </c>
      <c r="Z629">
        <v>108748</v>
      </c>
    </row>
    <row r="630" spans="1:26" x14ac:dyDescent="0.25">
      <c r="A630" t="s">
        <v>856</v>
      </c>
      <c r="B630" t="s">
        <v>306</v>
      </c>
      <c r="C630" t="s">
        <v>28</v>
      </c>
      <c r="E630" t="s">
        <v>260</v>
      </c>
      <c r="H630" s="2">
        <v>46057.615648148145</v>
      </c>
      <c r="I630" t="s">
        <v>56</v>
      </c>
      <c r="Z630">
        <v>108747</v>
      </c>
    </row>
    <row r="631" spans="1:26" x14ac:dyDescent="0.25">
      <c r="A631" t="s">
        <v>857</v>
      </c>
      <c r="B631" t="s">
        <v>74</v>
      </c>
      <c r="C631" t="s">
        <v>28</v>
      </c>
      <c r="E631" t="s">
        <v>763</v>
      </c>
      <c r="G631" t="s">
        <v>858</v>
      </c>
      <c r="H631" s="2">
        <v>46057.585543981484</v>
      </c>
      <c r="I631" t="s">
        <v>56</v>
      </c>
      <c r="Z631">
        <v>108746</v>
      </c>
    </row>
    <row r="632" spans="1:26" x14ac:dyDescent="0.25">
      <c r="A632" t="s">
        <v>859</v>
      </c>
      <c r="B632" t="s">
        <v>46</v>
      </c>
      <c r="C632" t="s">
        <v>28</v>
      </c>
      <c r="E632" t="s">
        <v>763</v>
      </c>
      <c r="H632" s="2">
        <v>46057.58494212963</v>
      </c>
      <c r="I632" t="s">
        <v>56</v>
      </c>
      <c r="K632" t="s">
        <v>48</v>
      </c>
      <c r="Z632">
        <v>108745</v>
      </c>
    </row>
    <row r="633" spans="1:26" x14ac:dyDescent="0.25">
      <c r="A633" t="s">
        <v>860</v>
      </c>
      <c r="B633" t="s">
        <v>46</v>
      </c>
      <c r="C633" t="s">
        <v>28</v>
      </c>
      <c r="E633" t="s">
        <v>458</v>
      </c>
      <c r="H633" s="2">
        <v>46057.510115740741</v>
      </c>
      <c r="I633" t="s">
        <v>54</v>
      </c>
      <c r="K633" t="s">
        <v>48</v>
      </c>
      <c r="Z633">
        <v>108740</v>
      </c>
    </row>
    <row r="634" spans="1:26" x14ac:dyDescent="0.25">
      <c r="A634" t="s">
        <v>861</v>
      </c>
      <c r="B634" t="s">
        <v>27</v>
      </c>
      <c r="C634" t="s">
        <v>28</v>
      </c>
      <c r="H634" s="2">
        <v>46056.819756944446</v>
      </c>
      <c r="I634" t="s">
        <v>56</v>
      </c>
      <c r="Z634">
        <v>108733</v>
      </c>
    </row>
    <row r="635" spans="1:26" x14ac:dyDescent="0.25">
      <c r="A635" t="s">
        <v>862</v>
      </c>
      <c r="B635" t="s">
        <v>27</v>
      </c>
      <c r="C635" t="s">
        <v>28</v>
      </c>
      <c r="H635" s="2">
        <v>46056.507893518516</v>
      </c>
      <c r="I635" t="s">
        <v>56</v>
      </c>
      <c r="Z635">
        <v>108721</v>
      </c>
    </row>
    <row r="636" spans="1:26" x14ac:dyDescent="0.25">
      <c r="A636" t="s">
        <v>863</v>
      </c>
      <c r="B636" t="s">
        <v>74</v>
      </c>
      <c r="C636" t="s">
        <v>28</v>
      </c>
      <c r="E636" t="s">
        <v>458</v>
      </c>
      <c r="G636" t="s">
        <v>864</v>
      </c>
      <c r="H636" s="2">
        <v>46054.772164351853</v>
      </c>
      <c r="I636" t="s">
        <v>31</v>
      </c>
      <c r="Z636">
        <v>108688</v>
      </c>
    </row>
    <row r="637" spans="1:26" x14ac:dyDescent="0.25">
      <c r="A637" t="s">
        <v>865</v>
      </c>
      <c r="B637" t="s">
        <v>27</v>
      </c>
      <c r="C637" t="s">
        <v>28</v>
      </c>
      <c r="H637" s="2">
        <v>46054.722546296296</v>
      </c>
      <c r="I637" t="s">
        <v>556</v>
      </c>
      <c r="Z637">
        <v>108686</v>
      </c>
    </row>
    <row r="638" spans="1:26" x14ac:dyDescent="0.25">
      <c r="A638" t="s">
        <v>866</v>
      </c>
      <c r="B638" t="s">
        <v>27</v>
      </c>
      <c r="C638" t="s">
        <v>28</v>
      </c>
      <c r="H638" s="2">
        <v>46054.588182870371</v>
      </c>
      <c r="I638" t="s">
        <v>31</v>
      </c>
      <c r="Z638">
        <v>108681</v>
      </c>
    </row>
    <row r="639" spans="1:26" x14ac:dyDescent="0.25">
      <c r="A639" t="s">
        <v>867</v>
      </c>
      <c r="B639" t="s">
        <v>27</v>
      </c>
      <c r="C639" t="s">
        <v>28</v>
      </c>
      <c r="H639" s="2">
        <v>46052.787569444445</v>
      </c>
      <c r="I639" t="s">
        <v>54</v>
      </c>
      <c r="Z639">
        <v>108643</v>
      </c>
    </row>
    <row r="640" spans="1:26" x14ac:dyDescent="0.25">
      <c r="A640" t="s">
        <v>868</v>
      </c>
      <c r="B640" t="s">
        <v>27</v>
      </c>
      <c r="C640" t="s">
        <v>28</v>
      </c>
      <c r="H640" s="2">
        <v>46050.799155092594</v>
      </c>
      <c r="I640" t="s">
        <v>56</v>
      </c>
      <c r="Z640">
        <v>108598</v>
      </c>
    </row>
    <row r="641" spans="1:26" x14ac:dyDescent="0.25">
      <c r="A641" t="s">
        <v>869</v>
      </c>
      <c r="B641" t="s">
        <v>74</v>
      </c>
      <c r="C641" t="s">
        <v>28</v>
      </c>
      <c r="E641" t="s">
        <v>183</v>
      </c>
      <c r="G641" t="s">
        <v>870</v>
      </c>
      <c r="H641" s="2">
        <v>46049.822256944448</v>
      </c>
      <c r="I641" t="s">
        <v>56</v>
      </c>
      <c r="Z641">
        <v>108569</v>
      </c>
    </row>
    <row r="642" spans="1:26" x14ac:dyDescent="0.25">
      <c r="A642" t="s">
        <v>871</v>
      </c>
      <c r="B642" t="s">
        <v>27</v>
      </c>
      <c r="C642" t="s">
        <v>28</v>
      </c>
      <c r="H642" s="2">
        <v>46049.721076388887</v>
      </c>
      <c r="I642" t="s">
        <v>31</v>
      </c>
      <c r="Z642">
        <v>108563</v>
      </c>
    </row>
    <row r="643" spans="1:26" x14ac:dyDescent="0.25">
      <c r="A643" t="s">
        <v>872</v>
      </c>
      <c r="B643" t="s">
        <v>27</v>
      </c>
      <c r="C643" t="s">
        <v>28</v>
      </c>
      <c r="H643" s="2">
        <v>46049.611724537041</v>
      </c>
      <c r="I643" t="s">
        <v>556</v>
      </c>
      <c r="Z643">
        <v>108557</v>
      </c>
    </row>
    <row r="644" spans="1:26" x14ac:dyDescent="0.25">
      <c r="A644" t="s">
        <v>873</v>
      </c>
      <c r="B644" t="s">
        <v>27</v>
      </c>
      <c r="C644" t="s">
        <v>28</v>
      </c>
      <c r="H644" s="2">
        <v>46049.584374999999</v>
      </c>
      <c r="I644" t="s">
        <v>31</v>
      </c>
      <c r="Z644">
        <v>108555</v>
      </c>
    </row>
    <row r="645" spans="1:26" x14ac:dyDescent="0.25">
      <c r="A645" t="s">
        <v>874</v>
      </c>
      <c r="B645" t="s">
        <v>27</v>
      </c>
      <c r="C645" t="s">
        <v>28</v>
      </c>
      <c r="H645" s="2">
        <v>46048.874050925922</v>
      </c>
      <c r="I645" t="s">
        <v>31</v>
      </c>
      <c r="Z645">
        <v>108544</v>
      </c>
    </row>
    <row r="646" spans="1:26" x14ac:dyDescent="0.25">
      <c r="A646" t="s">
        <v>875</v>
      </c>
      <c r="B646" t="s">
        <v>27</v>
      </c>
      <c r="C646" t="s">
        <v>28</v>
      </c>
      <c r="H646" s="2">
        <v>46048.843541666669</v>
      </c>
      <c r="I646" t="s">
        <v>556</v>
      </c>
      <c r="Z646">
        <v>108543</v>
      </c>
    </row>
    <row r="647" spans="1:26" x14ac:dyDescent="0.25">
      <c r="A647" t="s">
        <v>876</v>
      </c>
      <c r="B647" t="s">
        <v>27</v>
      </c>
      <c r="C647" t="s">
        <v>28</v>
      </c>
      <c r="H647" s="2">
        <v>46048.522974537038</v>
      </c>
      <c r="I647" t="s">
        <v>31</v>
      </c>
      <c r="Z647">
        <v>108528</v>
      </c>
    </row>
    <row r="648" spans="1:26" x14ac:dyDescent="0.25">
      <c r="A648" t="s">
        <v>877</v>
      </c>
      <c r="B648" t="s">
        <v>27</v>
      </c>
      <c r="C648" t="s">
        <v>28</v>
      </c>
      <c r="H648" s="2">
        <v>46048.498425925929</v>
      </c>
      <c r="I648" t="s">
        <v>556</v>
      </c>
      <c r="Z648">
        <v>108526</v>
      </c>
    </row>
    <row r="649" spans="1:26" x14ac:dyDescent="0.25">
      <c r="A649" t="s">
        <v>878</v>
      </c>
      <c r="B649" t="s">
        <v>27</v>
      </c>
      <c r="C649" t="s">
        <v>28</v>
      </c>
      <c r="H649" s="2">
        <v>46046.761620370373</v>
      </c>
      <c r="I649" t="s">
        <v>56</v>
      </c>
      <c r="Z649">
        <v>108496</v>
      </c>
    </row>
    <row r="650" spans="1:26" x14ac:dyDescent="0.25">
      <c r="A650" t="s">
        <v>879</v>
      </c>
      <c r="B650" t="s">
        <v>27</v>
      </c>
      <c r="C650" t="s">
        <v>28</v>
      </c>
      <c r="H650" s="2">
        <v>46045.592013888891</v>
      </c>
      <c r="I650" t="s">
        <v>56</v>
      </c>
      <c r="Z650">
        <v>108459</v>
      </c>
    </row>
    <row r="651" spans="1:26" x14ac:dyDescent="0.25">
      <c r="A651" t="s">
        <v>880</v>
      </c>
      <c r="B651" t="s">
        <v>27</v>
      </c>
      <c r="C651" t="s">
        <v>28</v>
      </c>
      <c r="H651" s="2">
        <v>46044.788958333331</v>
      </c>
      <c r="I651" t="s">
        <v>56</v>
      </c>
      <c r="Z651">
        <v>108441</v>
      </c>
    </row>
    <row r="652" spans="1:26" x14ac:dyDescent="0.25">
      <c r="A652" t="s">
        <v>881</v>
      </c>
      <c r="B652" t="s">
        <v>27</v>
      </c>
      <c r="C652" t="s">
        <v>28</v>
      </c>
      <c r="H652" s="2">
        <v>46044.713993055557</v>
      </c>
      <c r="I652" t="s">
        <v>56</v>
      </c>
      <c r="Z652">
        <v>108435</v>
      </c>
    </row>
    <row r="653" spans="1:26" x14ac:dyDescent="0.25">
      <c r="A653" t="s">
        <v>882</v>
      </c>
      <c r="B653" t="s">
        <v>27</v>
      </c>
      <c r="C653" t="s">
        <v>28</v>
      </c>
      <c r="H653" s="2">
        <v>46044.592256944445</v>
      </c>
      <c r="I653" t="s">
        <v>56</v>
      </c>
      <c r="Z653">
        <v>108427</v>
      </c>
    </row>
    <row r="654" spans="1:26" x14ac:dyDescent="0.25">
      <c r="A654" t="s">
        <v>883</v>
      </c>
      <c r="B654" t="s">
        <v>27</v>
      </c>
      <c r="C654" t="s">
        <v>28</v>
      </c>
      <c r="H654" s="2">
        <v>46043.519085648149</v>
      </c>
      <c r="I654" t="s">
        <v>31</v>
      </c>
      <c r="Z654">
        <v>108388</v>
      </c>
    </row>
    <row r="655" spans="1:26" x14ac:dyDescent="0.25">
      <c r="A655" t="s">
        <v>884</v>
      </c>
      <c r="B655" t="s">
        <v>27</v>
      </c>
      <c r="C655" t="s">
        <v>28</v>
      </c>
      <c r="H655" s="2">
        <v>46041.909432870372</v>
      </c>
      <c r="I655" t="s">
        <v>31</v>
      </c>
      <c r="Z655">
        <v>108348</v>
      </c>
    </row>
    <row r="656" spans="1:26" x14ac:dyDescent="0.25">
      <c r="A656" t="s">
        <v>885</v>
      </c>
      <c r="B656" t="s">
        <v>27</v>
      </c>
      <c r="C656" t="s">
        <v>28</v>
      </c>
      <c r="H656" s="2">
        <v>46041.628321759257</v>
      </c>
      <c r="I656" t="s">
        <v>54</v>
      </c>
      <c r="Z656">
        <v>108339</v>
      </c>
    </row>
    <row r="657" spans="1:26" x14ac:dyDescent="0.25">
      <c r="A657" t="s">
        <v>207</v>
      </c>
      <c r="B657" t="s">
        <v>27</v>
      </c>
      <c r="C657" t="s">
        <v>28</v>
      </c>
      <c r="H657" s="2">
        <v>46041.558136574073</v>
      </c>
      <c r="I657" t="s">
        <v>31</v>
      </c>
      <c r="Z657">
        <v>108334</v>
      </c>
    </row>
    <row r="658" spans="1:26" x14ac:dyDescent="0.25">
      <c r="A658" t="s">
        <v>886</v>
      </c>
      <c r="B658" t="s">
        <v>27</v>
      </c>
      <c r="C658" t="s">
        <v>28</v>
      </c>
      <c r="H658" s="2">
        <v>46040.699050925927</v>
      </c>
      <c r="I658" t="s">
        <v>54</v>
      </c>
      <c r="Z658">
        <v>108305</v>
      </c>
    </row>
    <row r="659" spans="1:26" x14ac:dyDescent="0.25">
      <c r="A659" t="s">
        <v>887</v>
      </c>
      <c r="B659" t="s">
        <v>27</v>
      </c>
      <c r="C659" t="s">
        <v>28</v>
      </c>
      <c r="H659" s="2">
        <v>46040.682488425926</v>
      </c>
      <c r="I659" t="s">
        <v>54</v>
      </c>
      <c r="Z659">
        <v>108303</v>
      </c>
    </row>
    <row r="660" spans="1:26" x14ac:dyDescent="0.25">
      <c r="A660" t="s">
        <v>888</v>
      </c>
      <c r="B660" t="s">
        <v>27</v>
      </c>
      <c r="C660" t="s">
        <v>28</v>
      </c>
      <c r="H660" s="2">
        <v>46039.441932870373</v>
      </c>
      <c r="I660" t="s">
        <v>56</v>
      </c>
      <c r="Z660">
        <v>108244</v>
      </c>
    </row>
    <row r="661" spans="1:26" x14ac:dyDescent="0.25">
      <c r="A661" t="s">
        <v>889</v>
      </c>
      <c r="B661" t="s">
        <v>74</v>
      </c>
      <c r="C661" t="s">
        <v>28</v>
      </c>
      <c r="E661" t="s">
        <v>373</v>
      </c>
      <c r="G661" t="s">
        <v>890</v>
      </c>
      <c r="H661" s="2">
        <v>46038.904189814813</v>
      </c>
      <c r="I661" t="s">
        <v>54</v>
      </c>
      <c r="Z661">
        <v>108236</v>
      </c>
    </row>
    <row r="662" spans="1:26" x14ac:dyDescent="0.25">
      <c r="A662" t="s">
        <v>891</v>
      </c>
      <c r="B662" t="s">
        <v>27</v>
      </c>
      <c r="C662" t="s">
        <v>28</v>
      </c>
      <c r="H662" s="2">
        <v>46038.583969907406</v>
      </c>
      <c r="I662" t="s">
        <v>56</v>
      </c>
      <c r="Z662">
        <v>108211</v>
      </c>
    </row>
    <row r="663" spans="1:26" x14ac:dyDescent="0.25">
      <c r="A663" t="s">
        <v>892</v>
      </c>
      <c r="B663" t="s">
        <v>27</v>
      </c>
      <c r="C663" t="s">
        <v>28</v>
      </c>
      <c r="H663" s="2">
        <v>46038.54210648148</v>
      </c>
      <c r="I663" t="s">
        <v>56</v>
      </c>
      <c r="Z663">
        <v>108208</v>
      </c>
    </row>
    <row r="664" spans="1:26" x14ac:dyDescent="0.25">
      <c r="A664" t="s">
        <v>893</v>
      </c>
      <c r="B664" t="s">
        <v>27</v>
      </c>
      <c r="C664" t="s">
        <v>28</v>
      </c>
      <c r="H664" s="2">
        <v>46037.717916666668</v>
      </c>
      <c r="I664" t="s">
        <v>31</v>
      </c>
      <c r="Z664">
        <v>108178</v>
      </c>
    </row>
    <row r="665" spans="1:26" x14ac:dyDescent="0.25">
      <c r="A665" t="s">
        <v>894</v>
      </c>
      <c r="B665" t="s">
        <v>27</v>
      </c>
      <c r="C665" t="s">
        <v>28</v>
      </c>
      <c r="H665" s="2">
        <v>46037.609618055554</v>
      </c>
      <c r="I665" t="s">
        <v>556</v>
      </c>
      <c r="K665" t="s">
        <v>895</v>
      </c>
      <c r="L665" t="s">
        <v>896</v>
      </c>
      <c r="M665" t="s">
        <v>897</v>
      </c>
      <c r="Z665">
        <v>108165</v>
      </c>
    </row>
    <row r="666" spans="1:26" x14ac:dyDescent="0.25">
      <c r="A666" t="s">
        <v>898</v>
      </c>
      <c r="B666" t="s">
        <v>27</v>
      </c>
      <c r="C666" t="s">
        <v>28</v>
      </c>
      <c r="H666" s="2">
        <v>46037.605590277781</v>
      </c>
      <c r="I666" t="s">
        <v>556</v>
      </c>
      <c r="Z666">
        <v>108162</v>
      </c>
    </row>
    <row r="667" spans="1:26" x14ac:dyDescent="0.25">
      <c r="A667" t="s">
        <v>899</v>
      </c>
      <c r="B667" t="s">
        <v>27</v>
      </c>
      <c r="C667" t="s">
        <v>28</v>
      </c>
      <c r="H667" s="2">
        <v>46037.501493055555</v>
      </c>
      <c r="I667" t="s">
        <v>31</v>
      </c>
      <c r="Z667">
        <v>108153</v>
      </c>
    </row>
    <row r="668" spans="1:26" x14ac:dyDescent="0.25">
      <c r="A668" t="s">
        <v>900</v>
      </c>
      <c r="B668" t="s">
        <v>27</v>
      </c>
      <c r="C668" t="s">
        <v>28</v>
      </c>
      <c r="H668" s="2">
        <v>46037.47855324074</v>
      </c>
      <c r="I668" t="s">
        <v>31</v>
      </c>
      <c r="Z668">
        <v>108151</v>
      </c>
    </row>
    <row r="669" spans="1:26" x14ac:dyDescent="0.25">
      <c r="A669" t="s">
        <v>901</v>
      </c>
      <c r="B669" t="s">
        <v>27</v>
      </c>
      <c r="C669" t="s">
        <v>28</v>
      </c>
      <c r="H669" s="2">
        <v>46036.65425925926</v>
      </c>
      <c r="I669" t="s">
        <v>31</v>
      </c>
      <c r="Z669">
        <v>108129</v>
      </c>
    </row>
    <row r="670" spans="1:26" x14ac:dyDescent="0.25">
      <c r="A670" t="s">
        <v>902</v>
      </c>
      <c r="B670" t="s">
        <v>27</v>
      </c>
      <c r="C670" t="s">
        <v>28</v>
      </c>
      <c r="H670" s="2">
        <v>46036.612916666665</v>
      </c>
      <c r="I670" t="s">
        <v>556</v>
      </c>
      <c r="Z670">
        <v>108127</v>
      </c>
    </row>
    <row r="671" spans="1:26" x14ac:dyDescent="0.25">
      <c r="A671" t="s">
        <v>903</v>
      </c>
      <c r="B671" t="s">
        <v>27</v>
      </c>
      <c r="C671" t="s">
        <v>28</v>
      </c>
      <c r="H671" s="2">
        <v>46036.580671296295</v>
      </c>
      <c r="I671" t="s">
        <v>31</v>
      </c>
      <c r="Z671">
        <v>108125</v>
      </c>
    </row>
    <row r="672" spans="1:26" x14ac:dyDescent="0.25">
      <c r="A672" t="s">
        <v>194</v>
      </c>
      <c r="B672" t="s">
        <v>27</v>
      </c>
      <c r="C672" t="s">
        <v>28</v>
      </c>
      <c r="H672" s="2">
        <v>46036.499201388891</v>
      </c>
      <c r="I672" t="s">
        <v>31</v>
      </c>
      <c r="Z672">
        <v>108117</v>
      </c>
    </row>
    <row r="673" spans="1:26" x14ac:dyDescent="0.25">
      <c r="A673" t="s">
        <v>33</v>
      </c>
      <c r="B673" t="s">
        <v>27</v>
      </c>
      <c r="C673" t="s">
        <v>28</v>
      </c>
      <c r="H673" s="2">
        <v>46036.494027777779</v>
      </c>
      <c r="I673" t="s">
        <v>31</v>
      </c>
      <c r="Z673">
        <v>108115</v>
      </c>
    </row>
    <row r="674" spans="1:26" x14ac:dyDescent="0.25">
      <c r="A674" t="s">
        <v>33</v>
      </c>
      <c r="B674" t="s">
        <v>27</v>
      </c>
      <c r="C674" t="s">
        <v>28</v>
      </c>
      <c r="H674" s="2">
        <v>46035.706736111111</v>
      </c>
      <c r="I674" t="s">
        <v>31</v>
      </c>
      <c r="Z674">
        <v>108093</v>
      </c>
    </row>
    <row r="675" spans="1:26" x14ac:dyDescent="0.25">
      <c r="A675" t="s">
        <v>904</v>
      </c>
      <c r="B675" t="s">
        <v>27</v>
      </c>
      <c r="C675" t="s">
        <v>28</v>
      </c>
      <c r="H675" s="2">
        <v>46035.42324074074</v>
      </c>
      <c r="I675" t="s">
        <v>54</v>
      </c>
      <c r="Z675">
        <v>108076</v>
      </c>
    </row>
    <row r="676" spans="1:26" x14ac:dyDescent="0.25">
      <c r="A676" t="s">
        <v>905</v>
      </c>
      <c r="B676" t="s">
        <v>27</v>
      </c>
      <c r="C676" t="s">
        <v>28</v>
      </c>
      <c r="H676" s="2">
        <v>46035.39472222222</v>
      </c>
      <c r="I676" t="s">
        <v>54</v>
      </c>
      <c r="Z676">
        <v>108075</v>
      </c>
    </row>
    <row r="677" spans="1:26" x14ac:dyDescent="0.25">
      <c r="A677" t="s">
        <v>906</v>
      </c>
      <c r="B677" t="s">
        <v>27</v>
      </c>
      <c r="C677" t="s">
        <v>28</v>
      </c>
      <c r="H677" s="2">
        <v>46034.375104166669</v>
      </c>
      <c r="I677" t="s">
        <v>56</v>
      </c>
      <c r="Z677">
        <v>108050</v>
      </c>
    </row>
    <row r="678" spans="1:26" x14ac:dyDescent="0.25">
      <c r="A678" t="s">
        <v>907</v>
      </c>
      <c r="B678" t="s">
        <v>27</v>
      </c>
      <c r="C678" t="s">
        <v>28</v>
      </c>
      <c r="H678" s="2">
        <v>46033.739745370367</v>
      </c>
      <c r="I678" t="s">
        <v>54</v>
      </c>
      <c r="Z678">
        <v>108045</v>
      </c>
    </row>
    <row r="679" spans="1:26" x14ac:dyDescent="0.25">
      <c r="A679" t="s">
        <v>908</v>
      </c>
      <c r="B679" t="s">
        <v>27</v>
      </c>
      <c r="C679" t="s">
        <v>28</v>
      </c>
      <c r="H679" s="2">
        <v>46033.64503472222</v>
      </c>
      <c r="I679" t="s">
        <v>54</v>
      </c>
      <c r="Z679">
        <v>108040</v>
      </c>
    </row>
    <row r="680" spans="1:26" x14ac:dyDescent="0.25">
      <c r="A680" t="s">
        <v>909</v>
      </c>
      <c r="B680" t="s">
        <v>27</v>
      </c>
      <c r="C680" t="s">
        <v>28</v>
      </c>
      <c r="H680" s="2">
        <v>46033.596875000003</v>
      </c>
      <c r="I680" t="s">
        <v>56</v>
      </c>
      <c r="Z680">
        <v>108038</v>
      </c>
    </row>
    <row r="681" spans="1:26" x14ac:dyDescent="0.25">
      <c r="A681" t="s">
        <v>910</v>
      </c>
      <c r="B681" t="s">
        <v>27</v>
      </c>
      <c r="C681" t="s">
        <v>28</v>
      </c>
      <c r="H681" s="2">
        <v>46033.460023148145</v>
      </c>
      <c r="I681" t="s">
        <v>56</v>
      </c>
      <c r="Z681">
        <v>108029</v>
      </c>
    </row>
    <row r="682" spans="1:26" x14ac:dyDescent="0.25">
      <c r="A682" t="s">
        <v>911</v>
      </c>
      <c r="B682" t="s">
        <v>27</v>
      </c>
      <c r="C682" t="s">
        <v>28</v>
      </c>
      <c r="H682" s="2">
        <v>46033.376608796294</v>
      </c>
      <c r="I682" t="s">
        <v>56</v>
      </c>
      <c r="Z682">
        <v>108026</v>
      </c>
    </row>
    <row r="683" spans="1:26" x14ac:dyDescent="0.25">
      <c r="A683" t="s">
        <v>912</v>
      </c>
      <c r="B683" t="s">
        <v>27</v>
      </c>
      <c r="C683" t="s">
        <v>28</v>
      </c>
      <c r="H683" s="2">
        <v>46031.682592592595</v>
      </c>
      <c r="I683" t="s">
        <v>556</v>
      </c>
      <c r="Z683">
        <v>107992</v>
      </c>
    </row>
    <row r="684" spans="1:26" x14ac:dyDescent="0.25">
      <c r="A684" t="s">
        <v>913</v>
      </c>
      <c r="B684" t="s">
        <v>74</v>
      </c>
      <c r="C684" t="s">
        <v>28</v>
      </c>
      <c r="E684" t="s">
        <v>146</v>
      </c>
      <c r="G684" t="s">
        <v>914</v>
      </c>
      <c r="H684" s="2">
        <v>46030.680208333331</v>
      </c>
      <c r="I684" t="s">
        <v>31</v>
      </c>
      <c r="Z684">
        <v>107973</v>
      </c>
    </row>
    <row r="685" spans="1:26" x14ac:dyDescent="0.25">
      <c r="A685" t="s">
        <v>915</v>
      </c>
      <c r="B685" t="s">
        <v>74</v>
      </c>
      <c r="C685" t="s">
        <v>28</v>
      </c>
      <c r="E685" t="s">
        <v>146</v>
      </c>
      <c r="G685" t="s">
        <v>916</v>
      </c>
      <c r="H685" s="2">
        <v>46030.641192129631</v>
      </c>
      <c r="I685" t="s">
        <v>31</v>
      </c>
      <c r="Z685">
        <v>107972</v>
      </c>
    </row>
    <row r="686" spans="1:26" x14ac:dyDescent="0.25">
      <c r="A686" t="s">
        <v>917</v>
      </c>
      <c r="B686" t="s">
        <v>27</v>
      </c>
      <c r="C686" t="s">
        <v>28</v>
      </c>
      <c r="H686" s="2">
        <v>46029.732511574075</v>
      </c>
      <c r="I686" t="s">
        <v>31</v>
      </c>
      <c r="Z686">
        <v>107960</v>
      </c>
    </row>
    <row r="687" spans="1:26" x14ac:dyDescent="0.25">
      <c r="A687" t="s">
        <v>918</v>
      </c>
      <c r="B687" t="s">
        <v>27</v>
      </c>
      <c r="C687" t="s">
        <v>28</v>
      </c>
      <c r="H687" s="2">
        <v>46029.597384259258</v>
      </c>
      <c r="I687" t="s">
        <v>31</v>
      </c>
      <c r="Z687">
        <v>107953</v>
      </c>
    </row>
    <row r="688" spans="1:26" x14ac:dyDescent="0.25">
      <c r="A688" t="s">
        <v>919</v>
      </c>
      <c r="B688" t="s">
        <v>27</v>
      </c>
      <c r="C688" t="s">
        <v>28</v>
      </c>
      <c r="H688" s="2">
        <v>46029.476331018515</v>
      </c>
      <c r="I688" t="s">
        <v>54</v>
      </c>
      <c r="Z688">
        <v>107947</v>
      </c>
    </row>
    <row r="689" spans="1:26" x14ac:dyDescent="0.25">
      <c r="A689" t="s">
        <v>920</v>
      </c>
      <c r="B689" t="s">
        <v>27</v>
      </c>
      <c r="C689" t="s">
        <v>28</v>
      </c>
      <c r="H689" s="2">
        <v>46027.663113425922</v>
      </c>
      <c r="I689" t="s">
        <v>54</v>
      </c>
      <c r="Z689">
        <v>107902</v>
      </c>
    </row>
    <row r="690" spans="1:26" x14ac:dyDescent="0.25">
      <c r="A690" t="s">
        <v>921</v>
      </c>
      <c r="B690" t="s">
        <v>27</v>
      </c>
      <c r="C690" t="s">
        <v>28</v>
      </c>
      <c r="H690" s="2">
        <v>46027.585138888891</v>
      </c>
      <c r="I690" t="s">
        <v>56</v>
      </c>
      <c r="Z690">
        <v>107894</v>
      </c>
    </row>
    <row r="691" spans="1:26" x14ac:dyDescent="0.25">
      <c r="A691" t="s">
        <v>922</v>
      </c>
      <c r="B691" t="s">
        <v>27</v>
      </c>
      <c r="C691" t="s">
        <v>28</v>
      </c>
      <c r="H691" s="2">
        <v>46021.548460648148</v>
      </c>
      <c r="I691" t="s">
        <v>56</v>
      </c>
      <c r="Z691">
        <v>107845</v>
      </c>
    </row>
    <row r="692" spans="1:26" x14ac:dyDescent="0.25">
      <c r="A692" t="s">
        <v>923</v>
      </c>
      <c r="B692" t="s">
        <v>27</v>
      </c>
      <c r="C692" t="s">
        <v>28</v>
      </c>
      <c r="H692" s="2">
        <v>46020.496342592596</v>
      </c>
      <c r="I692" t="s">
        <v>80</v>
      </c>
      <c r="Z692">
        <v>107812</v>
      </c>
    </row>
    <row r="693" spans="1:26" x14ac:dyDescent="0.25">
      <c r="A693" t="s">
        <v>924</v>
      </c>
      <c r="B693" t="s">
        <v>27</v>
      </c>
      <c r="C693" t="s">
        <v>28</v>
      </c>
      <c r="H693" s="2">
        <v>46019.804270833331</v>
      </c>
      <c r="I693" t="s">
        <v>556</v>
      </c>
      <c r="Z693">
        <v>107805</v>
      </c>
    </row>
    <row r="694" spans="1:26" x14ac:dyDescent="0.25">
      <c r="A694" t="s">
        <v>925</v>
      </c>
      <c r="B694" t="s">
        <v>27</v>
      </c>
      <c r="C694" t="s">
        <v>28</v>
      </c>
      <c r="H694" s="2">
        <v>46017.683831018519</v>
      </c>
      <c r="I694" t="s">
        <v>54</v>
      </c>
      <c r="Z694">
        <v>107741</v>
      </c>
    </row>
    <row r="695" spans="1:26" x14ac:dyDescent="0.25">
      <c r="A695" t="s">
        <v>926</v>
      </c>
      <c r="B695" t="s">
        <v>27</v>
      </c>
      <c r="C695" t="s">
        <v>28</v>
      </c>
      <c r="H695" s="2">
        <v>46017.641770833332</v>
      </c>
      <c r="I695" t="s">
        <v>31</v>
      </c>
      <c r="Z695">
        <v>107739</v>
      </c>
    </row>
    <row r="696" spans="1:26" x14ac:dyDescent="0.25">
      <c r="A696" t="s">
        <v>927</v>
      </c>
      <c r="B696" t="s">
        <v>27</v>
      </c>
      <c r="C696" t="s">
        <v>28</v>
      </c>
      <c r="H696" s="2">
        <v>46016.68037037037</v>
      </c>
      <c r="I696" t="s">
        <v>54</v>
      </c>
      <c r="Z696">
        <v>107692</v>
      </c>
    </row>
    <row r="697" spans="1:26" x14ac:dyDescent="0.25">
      <c r="A697" t="s">
        <v>928</v>
      </c>
      <c r="B697" t="s">
        <v>46</v>
      </c>
      <c r="C697" t="s">
        <v>28</v>
      </c>
      <c r="E697" t="s">
        <v>929</v>
      </c>
      <c r="H697" s="2">
        <v>46016.578518518516</v>
      </c>
      <c r="I697" t="s">
        <v>54</v>
      </c>
      <c r="K697" t="s">
        <v>48</v>
      </c>
      <c r="Z697">
        <v>107686</v>
      </c>
    </row>
    <row r="698" spans="1:26" x14ac:dyDescent="0.25">
      <c r="A698" t="s">
        <v>930</v>
      </c>
      <c r="B698" t="s">
        <v>27</v>
      </c>
      <c r="C698" t="s">
        <v>28</v>
      </c>
      <c r="H698" s="2">
        <v>46016.556168981479</v>
      </c>
      <c r="I698" t="s">
        <v>54</v>
      </c>
      <c r="Z698">
        <v>107681</v>
      </c>
    </row>
    <row r="699" spans="1:26" x14ac:dyDescent="0.25">
      <c r="A699" t="s">
        <v>931</v>
      </c>
      <c r="B699" t="s">
        <v>27</v>
      </c>
      <c r="C699" t="s">
        <v>28</v>
      </c>
      <c r="H699" s="2">
        <v>46016.443958333337</v>
      </c>
      <c r="I699" t="s">
        <v>54</v>
      </c>
      <c r="Z699">
        <v>107662</v>
      </c>
    </row>
    <row r="700" spans="1:26" x14ac:dyDescent="0.25">
      <c r="A700" t="s">
        <v>932</v>
      </c>
      <c r="B700" t="s">
        <v>27</v>
      </c>
      <c r="C700" t="s">
        <v>28</v>
      </c>
      <c r="H700" s="2">
        <v>46014.821770833332</v>
      </c>
      <c r="I700" t="s">
        <v>56</v>
      </c>
      <c r="Z700">
        <v>107635</v>
      </c>
    </row>
    <row r="701" spans="1:26" x14ac:dyDescent="0.25">
      <c r="A701" t="s">
        <v>933</v>
      </c>
      <c r="B701" t="s">
        <v>306</v>
      </c>
      <c r="C701" t="s">
        <v>28</v>
      </c>
      <c r="E701" t="s">
        <v>209</v>
      </c>
      <c r="H701" s="2">
        <v>46014.773252314815</v>
      </c>
      <c r="I701" t="s">
        <v>56</v>
      </c>
      <c r="Z701">
        <v>107630</v>
      </c>
    </row>
    <row r="702" spans="1:26" x14ac:dyDescent="0.25">
      <c r="A702" t="s">
        <v>934</v>
      </c>
      <c r="B702" t="s">
        <v>27</v>
      </c>
      <c r="C702" t="s">
        <v>28</v>
      </c>
      <c r="H702" s="2">
        <v>46014.478506944448</v>
      </c>
      <c r="I702" t="s">
        <v>556</v>
      </c>
      <c r="Z702">
        <v>107607</v>
      </c>
    </row>
    <row r="703" spans="1:26" x14ac:dyDescent="0.25">
      <c r="A703" t="s">
        <v>935</v>
      </c>
      <c r="B703" t="s">
        <v>27</v>
      </c>
      <c r="C703" t="s">
        <v>28</v>
      </c>
      <c r="H703" s="2">
        <v>46013.635775462964</v>
      </c>
      <c r="I703" t="s">
        <v>556</v>
      </c>
      <c r="Z703">
        <v>107584</v>
      </c>
    </row>
    <row r="704" spans="1:26" x14ac:dyDescent="0.25">
      <c r="A704" t="s">
        <v>33</v>
      </c>
      <c r="B704" t="s">
        <v>27</v>
      </c>
      <c r="C704" t="s">
        <v>28</v>
      </c>
      <c r="H704" s="2">
        <v>46013.614282407405</v>
      </c>
      <c r="I704" t="s">
        <v>31</v>
      </c>
      <c r="Z704">
        <v>107581</v>
      </c>
    </row>
    <row r="705" spans="1:26" x14ac:dyDescent="0.25">
      <c r="A705" t="s">
        <v>936</v>
      </c>
      <c r="B705" t="s">
        <v>27</v>
      </c>
      <c r="C705" t="s">
        <v>28</v>
      </c>
      <c r="H705" s="2">
        <v>46011.649814814817</v>
      </c>
      <c r="I705" t="s">
        <v>54</v>
      </c>
      <c r="Z705">
        <v>107526</v>
      </c>
    </row>
    <row r="706" spans="1:26" x14ac:dyDescent="0.25">
      <c r="A706" t="s">
        <v>937</v>
      </c>
      <c r="B706" t="s">
        <v>27</v>
      </c>
      <c r="C706" t="s">
        <v>28</v>
      </c>
      <c r="H706" s="2">
        <v>46011.425196759257</v>
      </c>
      <c r="I706" t="s">
        <v>54</v>
      </c>
      <c r="Z706">
        <v>107514</v>
      </c>
    </row>
    <row r="707" spans="1:26" x14ac:dyDescent="0.25">
      <c r="A707" t="s">
        <v>938</v>
      </c>
      <c r="B707" t="s">
        <v>27</v>
      </c>
      <c r="C707" t="s">
        <v>28</v>
      </c>
      <c r="H707" s="2">
        <v>46010.526006944441</v>
      </c>
      <c r="I707" t="s">
        <v>54</v>
      </c>
      <c r="Z707">
        <v>107500</v>
      </c>
    </row>
    <row r="708" spans="1:26" x14ac:dyDescent="0.25">
      <c r="A708" t="s">
        <v>939</v>
      </c>
      <c r="B708" t="s">
        <v>27</v>
      </c>
      <c r="C708" t="s">
        <v>28</v>
      </c>
      <c r="H708" s="2">
        <v>46010.519467592596</v>
      </c>
      <c r="I708" t="s">
        <v>31</v>
      </c>
      <c r="Z708">
        <v>107499</v>
      </c>
    </row>
    <row r="709" spans="1:26" x14ac:dyDescent="0.25">
      <c r="A709" t="s">
        <v>940</v>
      </c>
      <c r="B709" t="s">
        <v>27</v>
      </c>
      <c r="C709" t="s">
        <v>28</v>
      </c>
      <c r="H709" s="2">
        <v>46009.803182870368</v>
      </c>
      <c r="I709" t="s">
        <v>56</v>
      </c>
      <c r="Z709">
        <v>107487</v>
      </c>
    </row>
    <row r="710" spans="1:26" x14ac:dyDescent="0.25">
      <c r="A710" t="s">
        <v>941</v>
      </c>
      <c r="B710" t="s">
        <v>27</v>
      </c>
      <c r="C710" t="s">
        <v>28</v>
      </c>
      <c r="H710" s="2">
        <v>46009.641493055555</v>
      </c>
      <c r="I710" t="s">
        <v>56</v>
      </c>
      <c r="Z710">
        <v>107484</v>
      </c>
    </row>
    <row r="711" spans="1:26" x14ac:dyDescent="0.25">
      <c r="A711" t="s">
        <v>942</v>
      </c>
      <c r="B711" t="s">
        <v>27</v>
      </c>
      <c r="C711" t="s">
        <v>28</v>
      </c>
      <c r="H711" s="2">
        <v>46009.479872685188</v>
      </c>
      <c r="I711" t="s">
        <v>54</v>
      </c>
      <c r="Z711">
        <v>107476</v>
      </c>
    </row>
    <row r="712" spans="1:26" x14ac:dyDescent="0.25">
      <c r="A712" t="s">
        <v>943</v>
      </c>
      <c r="B712" t="s">
        <v>27</v>
      </c>
      <c r="C712" t="s">
        <v>28</v>
      </c>
      <c r="H712" s="2">
        <v>46009.472696759258</v>
      </c>
      <c r="I712" t="s">
        <v>54</v>
      </c>
      <c r="Z712">
        <v>107475</v>
      </c>
    </row>
    <row r="713" spans="1:26" x14ac:dyDescent="0.25">
      <c r="A713" t="s">
        <v>944</v>
      </c>
      <c r="B713" t="s">
        <v>27</v>
      </c>
      <c r="C713" t="s">
        <v>28</v>
      </c>
      <c r="H713" s="2">
        <v>46008.436030092591</v>
      </c>
      <c r="I713" t="s">
        <v>556</v>
      </c>
      <c r="Z713">
        <v>107453</v>
      </c>
    </row>
    <row r="714" spans="1:26" x14ac:dyDescent="0.25">
      <c r="A714" t="s">
        <v>945</v>
      </c>
      <c r="B714" t="s">
        <v>27</v>
      </c>
      <c r="C714" t="s">
        <v>28</v>
      </c>
      <c r="H714" s="2">
        <v>46007.769259259258</v>
      </c>
      <c r="I714" t="s">
        <v>56</v>
      </c>
      <c r="Z714">
        <v>107436</v>
      </c>
    </row>
    <row r="715" spans="1:26" x14ac:dyDescent="0.25">
      <c r="A715" t="s">
        <v>946</v>
      </c>
      <c r="B715" t="s">
        <v>27</v>
      </c>
      <c r="C715" t="s">
        <v>28</v>
      </c>
      <c r="H715" s="2">
        <v>46007.754467592589</v>
      </c>
      <c r="I715" t="s">
        <v>56</v>
      </c>
      <c r="Z715">
        <v>107433</v>
      </c>
    </row>
    <row r="716" spans="1:26" x14ac:dyDescent="0.25">
      <c r="A716" t="s">
        <v>207</v>
      </c>
      <c r="B716" t="s">
        <v>27</v>
      </c>
      <c r="C716" t="s">
        <v>28</v>
      </c>
      <c r="H716" s="2">
        <v>46006.776261574072</v>
      </c>
      <c r="I716" t="s">
        <v>31</v>
      </c>
      <c r="Z716">
        <v>107400</v>
      </c>
    </row>
    <row r="717" spans="1:26" x14ac:dyDescent="0.25">
      <c r="A717" t="s">
        <v>947</v>
      </c>
      <c r="B717" t="s">
        <v>27</v>
      </c>
      <c r="C717" t="s">
        <v>28</v>
      </c>
      <c r="H717" s="2">
        <v>46006.581724537034</v>
      </c>
      <c r="I717" t="s">
        <v>556</v>
      </c>
      <c r="Z717">
        <v>107384</v>
      </c>
    </row>
    <row r="718" spans="1:26" x14ac:dyDescent="0.25">
      <c r="A718" t="s">
        <v>948</v>
      </c>
      <c r="B718" t="s">
        <v>27</v>
      </c>
      <c r="C718" t="s">
        <v>28</v>
      </c>
      <c r="H718" s="2">
        <v>46006.46230324074</v>
      </c>
      <c r="I718" t="s">
        <v>31</v>
      </c>
      <c r="Z718">
        <v>107380</v>
      </c>
    </row>
    <row r="719" spans="1:26" x14ac:dyDescent="0.25">
      <c r="A719" t="s">
        <v>949</v>
      </c>
      <c r="B719" t="s">
        <v>27</v>
      </c>
      <c r="C719" t="s">
        <v>28</v>
      </c>
      <c r="H719" s="2">
        <v>46005.667812500003</v>
      </c>
      <c r="I719" t="s">
        <v>54</v>
      </c>
      <c r="Z719">
        <v>107365</v>
      </c>
    </row>
    <row r="720" spans="1:26" x14ac:dyDescent="0.25">
      <c r="A720" t="s">
        <v>950</v>
      </c>
      <c r="B720" t="s">
        <v>46</v>
      </c>
      <c r="C720" t="s">
        <v>28</v>
      </c>
      <c r="E720" t="s">
        <v>260</v>
      </c>
      <c r="H720" s="2">
        <v>46005.021377314813</v>
      </c>
      <c r="I720" t="s">
        <v>54</v>
      </c>
      <c r="K720" t="s">
        <v>48</v>
      </c>
      <c r="Z720">
        <v>107347</v>
      </c>
    </row>
    <row r="721" spans="1:26" x14ac:dyDescent="0.25">
      <c r="A721" t="s">
        <v>951</v>
      </c>
      <c r="B721" t="s">
        <v>27</v>
      </c>
      <c r="C721" t="s">
        <v>28</v>
      </c>
      <c r="H721" s="2">
        <v>46004.496458333335</v>
      </c>
      <c r="I721" t="s">
        <v>54</v>
      </c>
      <c r="Z721">
        <v>107335</v>
      </c>
    </row>
    <row r="722" spans="1:26" x14ac:dyDescent="0.25">
      <c r="A722" t="s">
        <v>952</v>
      </c>
      <c r="B722" t="s">
        <v>27</v>
      </c>
      <c r="C722" t="s">
        <v>28</v>
      </c>
      <c r="H722" s="2">
        <v>46004.43277777778</v>
      </c>
      <c r="I722" t="s">
        <v>56</v>
      </c>
      <c r="Z722">
        <v>107332</v>
      </c>
    </row>
    <row r="723" spans="1:26" x14ac:dyDescent="0.25">
      <c r="A723" t="s">
        <v>953</v>
      </c>
      <c r="B723" t="s">
        <v>74</v>
      </c>
      <c r="C723" t="s">
        <v>28</v>
      </c>
      <c r="E723" t="s">
        <v>954</v>
      </c>
      <c r="G723" t="s">
        <v>955</v>
      </c>
      <c r="H723" s="2">
        <v>46003.893564814818</v>
      </c>
      <c r="I723" t="s">
        <v>54</v>
      </c>
      <c r="Z723">
        <v>107330</v>
      </c>
    </row>
    <row r="724" spans="1:26" x14ac:dyDescent="0.25">
      <c r="A724" t="s">
        <v>956</v>
      </c>
      <c r="B724" t="s">
        <v>27</v>
      </c>
      <c r="C724" t="s">
        <v>28</v>
      </c>
      <c r="H724" s="2">
        <v>46003.43037037037</v>
      </c>
      <c r="I724" t="s">
        <v>54</v>
      </c>
      <c r="Z724">
        <v>107309</v>
      </c>
    </row>
    <row r="725" spans="1:26" x14ac:dyDescent="0.25">
      <c r="A725" t="s">
        <v>957</v>
      </c>
      <c r="B725" t="s">
        <v>27</v>
      </c>
      <c r="C725" t="s">
        <v>28</v>
      </c>
      <c r="H725" s="2">
        <v>46002.726354166669</v>
      </c>
      <c r="I725" t="s">
        <v>556</v>
      </c>
      <c r="Z725">
        <v>107299</v>
      </c>
    </row>
    <row r="726" spans="1:26" x14ac:dyDescent="0.25">
      <c r="A726" t="s">
        <v>958</v>
      </c>
      <c r="B726" t="s">
        <v>27</v>
      </c>
      <c r="C726" t="s">
        <v>28</v>
      </c>
      <c r="H726" s="2">
        <v>46001.55332175926</v>
      </c>
      <c r="I726" t="s">
        <v>556</v>
      </c>
      <c r="Z726">
        <v>107241</v>
      </c>
    </row>
    <row r="727" spans="1:26" x14ac:dyDescent="0.25">
      <c r="A727" t="s">
        <v>959</v>
      </c>
      <c r="B727" t="s">
        <v>27</v>
      </c>
      <c r="C727" t="s">
        <v>28</v>
      </c>
      <c r="H727" s="2">
        <v>46001.508379629631</v>
      </c>
      <c r="I727" t="s">
        <v>31</v>
      </c>
      <c r="Z727">
        <v>107238</v>
      </c>
    </row>
    <row r="728" spans="1:26" x14ac:dyDescent="0.25">
      <c r="A728" t="s">
        <v>960</v>
      </c>
      <c r="B728" t="s">
        <v>27</v>
      </c>
      <c r="C728" t="s">
        <v>28</v>
      </c>
      <c r="H728" s="2">
        <v>46001.492615740739</v>
      </c>
      <c r="I728" t="s">
        <v>556</v>
      </c>
      <c r="Z728">
        <v>107237</v>
      </c>
    </row>
    <row r="729" spans="1:26" x14ac:dyDescent="0.25">
      <c r="A729" t="s">
        <v>473</v>
      </c>
      <c r="B729" t="s">
        <v>27</v>
      </c>
      <c r="C729" t="s">
        <v>28</v>
      </c>
      <c r="H729" s="2">
        <v>46001.479780092595</v>
      </c>
      <c r="I729" t="s">
        <v>31</v>
      </c>
      <c r="Z729">
        <v>107234</v>
      </c>
    </row>
    <row r="730" spans="1:26" x14ac:dyDescent="0.25">
      <c r="A730" t="s">
        <v>961</v>
      </c>
      <c r="B730" t="s">
        <v>46</v>
      </c>
      <c r="C730" t="s">
        <v>28</v>
      </c>
      <c r="E730" t="s">
        <v>61</v>
      </c>
      <c r="H730" s="2">
        <v>46000.651134259257</v>
      </c>
      <c r="I730" t="s">
        <v>31</v>
      </c>
      <c r="K730" t="s">
        <v>48</v>
      </c>
      <c r="Z730">
        <v>107207</v>
      </c>
    </row>
    <row r="731" spans="1:26" x14ac:dyDescent="0.25">
      <c r="A731" t="s">
        <v>962</v>
      </c>
      <c r="B731" t="s">
        <v>27</v>
      </c>
      <c r="C731" t="s">
        <v>28</v>
      </c>
      <c r="H731" s="2">
        <v>46000.498425925929</v>
      </c>
      <c r="I731" t="s">
        <v>556</v>
      </c>
      <c r="Z731">
        <v>107186</v>
      </c>
    </row>
    <row r="732" spans="1:26" x14ac:dyDescent="0.25">
      <c r="A732" t="s">
        <v>473</v>
      </c>
      <c r="B732" t="s">
        <v>27</v>
      </c>
      <c r="C732" t="s">
        <v>28</v>
      </c>
      <c r="H732" s="2">
        <v>46000.495972222219</v>
      </c>
      <c r="I732" t="s">
        <v>31</v>
      </c>
      <c r="Z732">
        <v>107185</v>
      </c>
    </row>
    <row r="733" spans="1:26" x14ac:dyDescent="0.25">
      <c r="A733" t="s">
        <v>963</v>
      </c>
      <c r="B733" t="s">
        <v>27</v>
      </c>
      <c r="C733" t="s">
        <v>28</v>
      </c>
      <c r="H733" s="2">
        <v>46000.400081018517</v>
      </c>
      <c r="I733" t="s">
        <v>31</v>
      </c>
      <c r="Z733">
        <v>107173</v>
      </c>
    </row>
    <row r="734" spans="1:26" x14ac:dyDescent="0.25">
      <c r="A734" t="s">
        <v>964</v>
      </c>
      <c r="B734" t="s">
        <v>27</v>
      </c>
      <c r="C734" t="s">
        <v>28</v>
      </c>
      <c r="H734" s="2">
        <v>45999.653344907405</v>
      </c>
      <c r="I734" t="s">
        <v>54</v>
      </c>
      <c r="Z734">
        <v>107145</v>
      </c>
    </row>
    <row r="735" spans="1:26" x14ac:dyDescent="0.25">
      <c r="A735" t="s">
        <v>965</v>
      </c>
      <c r="B735" t="s">
        <v>27</v>
      </c>
      <c r="C735" t="s">
        <v>28</v>
      </c>
      <c r="H735" s="2">
        <v>45999.556493055556</v>
      </c>
      <c r="I735" t="s">
        <v>54</v>
      </c>
      <c r="Z735">
        <v>107139</v>
      </c>
    </row>
    <row r="736" spans="1:26" x14ac:dyDescent="0.25">
      <c r="A736" t="s">
        <v>194</v>
      </c>
      <c r="B736" t="s">
        <v>27</v>
      </c>
      <c r="C736" t="s">
        <v>28</v>
      </c>
      <c r="H736" s="2">
        <v>45999.554189814815</v>
      </c>
      <c r="I736" t="s">
        <v>31</v>
      </c>
      <c r="Z736">
        <v>107138</v>
      </c>
    </row>
    <row r="737" spans="1:26" x14ac:dyDescent="0.25">
      <c r="A737" t="s">
        <v>966</v>
      </c>
      <c r="B737" t="s">
        <v>74</v>
      </c>
      <c r="C737" t="s">
        <v>28</v>
      </c>
      <c r="E737" t="s">
        <v>967</v>
      </c>
      <c r="G737" t="s">
        <v>968</v>
      </c>
      <c r="H737" s="2">
        <v>45999.49628472222</v>
      </c>
      <c r="I737" t="s">
        <v>54</v>
      </c>
      <c r="Z737">
        <v>107133</v>
      </c>
    </row>
    <row r="738" spans="1:26" x14ac:dyDescent="0.25">
      <c r="A738" t="s">
        <v>969</v>
      </c>
      <c r="B738" t="s">
        <v>27</v>
      </c>
      <c r="C738" t="s">
        <v>28</v>
      </c>
      <c r="H738" s="2">
        <v>45999.452372685184</v>
      </c>
      <c r="I738" t="s">
        <v>31</v>
      </c>
      <c r="Z738">
        <v>107129</v>
      </c>
    </row>
    <row r="739" spans="1:26" x14ac:dyDescent="0.25">
      <c r="A739" t="s">
        <v>970</v>
      </c>
      <c r="B739" t="s">
        <v>27</v>
      </c>
      <c r="C739" t="s">
        <v>28</v>
      </c>
      <c r="H739" s="2">
        <v>45998.750752314816</v>
      </c>
      <c r="I739" t="s">
        <v>56</v>
      </c>
      <c r="Z739">
        <v>107122</v>
      </c>
    </row>
    <row r="740" spans="1:26" x14ac:dyDescent="0.25">
      <c r="A740" t="s">
        <v>971</v>
      </c>
      <c r="B740" t="s">
        <v>27</v>
      </c>
      <c r="C740" t="s">
        <v>28</v>
      </c>
      <c r="H740" s="2">
        <v>45998.678182870368</v>
      </c>
      <c r="I740" t="s">
        <v>54</v>
      </c>
      <c r="Z740">
        <v>107119</v>
      </c>
    </row>
    <row r="741" spans="1:26" x14ac:dyDescent="0.25">
      <c r="A741" t="s">
        <v>972</v>
      </c>
      <c r="B741" t="s">
        <v>27</v>
      </c>
      <c r="C741" t="s">
        <v>28</v>
      </c>
      <c r="H741" s="2">
        <v>45998.559965277775</v>
      </c>
      <c r="I741" t="s">
        <v>56</v>
      </c>
      <c r="Z741">
        <v>107114</v>
      </c>
    </row>
    <row r="742" spans="1:26" x14ac:dyDescent="0.25">
      <c r="A742" t="s">
        <v>973</v>
      </c>
      <c r="B742" t="s">
        <v>27</v>
      </c>
      <c r="C742" t="s">
        <v>28</v>
      </c>
      <c r="H742" s="2">
        <v>45997.607303240744</v>
      </c>
      <c r="I742" t="s">
        <v>56</v>
      </c>
      <c r="Z742">
        <v>107098</v>
      </c>
    </row>
    <row r="743" spans="1:26" x14ac:dyDescent="0.25">
      <c r="A743" t="s">
        <v>974</v>
      </c>
      <c r="B743" t="s">
        <v>27</v>
      </c>
      <c r="C743" t="s">
        <v>28</v>
      </c>
      <c r="H743" s="2">
        <v>45997.600555555553</v>
      </c>
      <c r="I743" t="s">
        <v>54</v>
      </c>
      <c r="Z743">
        <v>107097</v>
      </c>
    </row>
    <row r="744" spans="1:26" x14ac:dyDescent="0.25">
      <c r="A744" t="s">
        <v>975</v>
      </c>
      <c r="B744" t="s">
        <v>27</v>
      </c>
      <c r="C744" t="s">
        <v>28</v>
      </c>
      <c r="H744" s="2">
        <v>45996.670405092591</v>
      </c>
      <c r="I744" t="s">
        <v>56</v>
      </c>
      <c r="Z744">
        <v>107072</v>
      </c>
    </row>
    <row r="745" spans="1:26" x14ac:dyDescent="0.25">
      <c r="A745" t="s">
        <v>976</v>
      </c>
      <c r="B745" t="s">
        <v>27</v>
      </c>
      <c r="C745" t="s">
        <v>28</v>
      </c>
      <c r="H745" s="2">
        <v>45996.603738425925</v>
      </c>
      <c r="I745" t="s">
        <v>56</v>
      </c>
      <c r="Z745">
        <v>107069</v>
      </c>
    </row>
    <row r="746" spans="1:26" x14ac:dyDescent="0.25">
      <c r="A746" t="s">
        <v>977</v>
      </c>
      <c r="B746" t="s">
        <v>46</v>
      </c>
      <c r="C746" t="s">
        <v>28</v>
      </c>
      <c r="E746" t="s">
        <v>272</v>
      </c>
      <c r="H746" s="2">
        <v>45996.498113425929</v>
      </c>
      <c r="I746" t="s">
        <v>56</v>
      </c>
      <c r="K746" t="s">
        <v>48</v>
      </c>
      <c r="Z746">
        <v>107057</v>
      </c>
    </row>
    <row r="747" spans="1:26" x14ac:dyDescent="0.25">
      <c r="A747" t="s">
        <v>978</v>
      </c>
      <c r="B747" t="s">
        <v>74</v>
      </c>
      <c r="C747" t="s">
        <v>28</v>
      </c>
      <c r="E747" t="s">
        <v>61</v>
      </c>
      <c r="G747" t="s">
        <v>979</v>
      </c>
      <c r="H747" s="2">
        <v>45995.986296296294</v>
      </c>
      <c r="I747" t="s">
        <v>56</v>
      </c>
      <c r="Z747">
        <v>107048</v>
      </c>
    </row>
    <row r="748" spans="1:26" x14ac:dyDescent="0.25">
      <c r="A748" t="s">
        <v>980</v>
      </c>
      <c r="B748" t="s">
        <v>27</v>
      </c>
      <c r="C748" t="s">
        <v>28</v>
      </c>
      <c r="H748" s="2">
        <v>45995.693703703706</v>
      </c>
      <c r="I748" t="s">
        <v>31</v>
      </c>
      <c r="Z748">
        <v>107036</v>
      </c>
    </row>
    <row r="749" spans="1:26" x14ac:dyDescent="0.25">
      <c r="A749" t="s">
        <v>981</v>
      </c>
      <c r="B749" t="s">
        <v>27</v>
      </c>
      <c r="C749" t="s">
        <v>28</v>
      </c>
      <c r="H749" s="2">
        <v>45995.578067129631</v>
      </c>
      <c r="I749" t="s">
        <v>556</v>
      </c>
      <c r="Z749">
        <v>107028</v>
      </c>
    </row>
    <row r="750" spans="1:26" x14ac:dyDescent="0.25">
      <c r="A750" t="s">
        <v>982</v>
      </c>
      <c r="B750" t="s">
        <v>27</v>
      </c>
      <c r="C750" t="s">
        <v>28</v>
      </c>
      <c r="H750" s="2">
        <v>45995.509583333333</v>
      </c>
      <c r="I750" t="s">
        <v>31</v>
      </c>
      <c r="Z750">
        <v>107023</v>
      </c>
    </row>
    <row r="751" spans="1:26" x14ac:dyDescent="0.25">
      <c r="A751" t="s">
        <v>983</v>
      </c>
      <c r="B751" t="s">
        <v>27</v>
      </c>
      <c r="C751" t="s">
        <v>28</v>
      </c>
      <c r="H751" s="2">
        <v>45995.461018518516</v>
      </c>
      <c r="I751" t="s">
        <v>31</v>
      </c>
      <c r="Z751">
        <v>107017</v>
      </c>
    </row>
    <row r="752" spans="1:26" x14ac:dyDescent="0.25">
      <c r="A752" t="s">
        <v>33</v>
      </c>
      <c r="B752" t="s">
        <v>74</v>
      </c>
      <c r="C752" t="s">
        <v>28</v>
      </c>
      <c r="E752" t="s">
        <v>370</v>
      </c>
      <c r="G752" t="s">
        <v>984</v>
      </c>
      <c r="H752" s="2">
        <v>45995.403553240743</v>
      </c>
      <c r="I752" t="s">
        <v>31</v>
      </c>
      <c r="Z752">
        <v>107013</v>
      </c>
    </row>
    <row r="753" spans="1:26" x14ac:dyDescent="0.25">
      <c r="A753" t="s">
        <v>336</v>
      </c>
      <c r="B753" t="s">
        <v>27</v>
      </c>
      <c r="C753" t="s">
        <v>28</v>
      </c>
      <c r="H753" s="2">
        <v>45994.811689814815</v>
      </c>
      <c r="I753" t="s">
        <v>31</v>
      </c>
      <c r="Z753">
        <v>107010</v>
      </c>
    </row>
    <row r="754" spans="1:26" x14ac:dyDescent="0.25">
      <c r="A754" t="s">
        <v>985</v>
      </c>
      <c r="B754" t="s">
        <v>27</v>
      </c>
      <c r="C754" t="s">
        <v>28</v>
      </c>
      <c r="H754" s="2">
        <v>45994.439618055556</v>
      </c>
      <c r="I754" t="s">
        <v>556</v>
      </c>
      <c r="Z754">
        <v>106985</v>
      </c>
    </row>
    <row r="755" spans="1:26" x14ac:dyDescent="0.25">
      <c r="A755" t="s">
        <v>986</v>
      </c>
      <c r="B755" t="s">
        <v>27</v>
      </c>
      <c r="C755" t="s">
        <v>28</v>
      </c>
      <c r="H755" s="2">
        <v>45993.524247685185</v>
      </c>
      <c r="I755" t="s">
        <v>31</v>
      </c>
      <c r="Z755">
        <v>106961</v>
      </c>
    </row>
    <row r="756" spans="1:26" x14ac:dyDescent="0.25">
      <c r="A756" t="s">
        <v>987</v>
      </c>
      <c r="B756" t="s">
        <v>27</v>
      </c>
      <c r="C756" t="s">
        <v>28</v>
      </c>
      <c r="H756" s="2">
        <v>45992.622615740744</v>
      </c>
      <c r="I756" t="s">
        <v>54</v>
      </c>
      <c r="Z756">
        <v>106933</v>
      </c>
    </row>
    <row r="757" spans="1:26" x14ac:dyDescent="0.25">
      <c r="A757" t="s">
        <v>988</v>
      </c>
      <c r="B757" t="s">
        <v>27</v>
      </c>
      <c r="C757" t="s">
        <v>28</v>
      </c>
      <c r="H757" s="2">
        <v>45992.546689814815</v>
      </c>
      <c r="I757" t="s">
        <v>56</v>
      </c>
      <c r="Z757">
        <v>106930</v>
      </c>
    </row>
    <row r="758" spans="1:26" x14ac:dyDescent="0.25">
      <c r="A758" t="s">
        <v>989</v>
      </c>
      <c r="B758" t="s">
        <v>27</v>
      </c>
      <c r="C758" t="s">
        <v>28</v>
      </c>
      <c r="H758" s="2">
        <v>45992.446504629632</v>
      </c>
      <c r="I758" t="s">
        <v>56</v>
      </c>
      <c r="Z758">
        <v>106926</v>
      </c>
    </row>
    <row r="759" spans="1:26" x14ac:dyDescent="0.25">
      <c r="A759" t="s">
        <v>990</v>
      </c>
      <c r="B759" t="s">
        <v>27</v>
      </c>
      <c r="C759" t="s">
        <v>28</v>
      </c>
      <c r="H759" s="2">
        <v>45991.454884259256</v>
      </c>
      <c r="I759" t="s">
        <v>56</v>
      </c>
      <c r="Z759">
        <v>106897</v>
      </c>
    </row>
    <row r="760" spans="1:26" x14ac:dyDescent="0.25">
      <c r="A760" t="s">
        <v>991</v>
      </c>
      <c r="B760" t="s">
        <v>27</v>
      </c>
      <c r="C760" t="s">
        <v>28</v>
      </c>
      <c r="H760" s="2">
        <v>45991.423692129632</v>
      </c>
      <c r="I760" t="s">
        <v>54</v>
      </c>
      <c r="Z760">
        <v>106895</v>
      </c>
    </row>
    <row r="761" spans="1:26" x14ac:dyDescent="0.25">
      <c r="A761" t="s">
        <v>992</v>
      </c>
      <c r="B761" t="s">
        <v>27</v>
      </c>
      <c r="C761" t="s">
        <v>28</v>
      </c>
      <c r="H761" s="2">
        <v>45991.234965277778</v>
      </c>
      <c r="I761" t="s">
        <v>56</v>
      </c>
      <c r="Z761">
        <v>106894</v>
      </c>
    </row>
    <row r="762" spans="1:26" x14ac:dyDescent="0.25">
      <c r="A762" t="s">
        <v>993</v>
      </c>
      <c r="B762" t="s">
        <v>27</v>
      </c>
      <c r="C762" t="s">
        <v>28</v>
      </c>
      <c r="H762" s="2">
        <v>45991.234733796293</v>
      </c>
      <c r="I762" t="s">
        <v>80</v>
      </c>
      <c r="Z762">
        <v>106893</v>
      </c>
    </row>
    <row r="763" spans="1:26" x14ac:dyDescent="0.25">
      <c r="A763" t="s">
        <v>994</v>
      </c>
      <c r="B763" t="s">
        <v>27</v>
      </c>
      <c r="C763" t="s">
        <v>28</v>
      </c>
      <c r="H763" s="2">
        <v>45990.484120370369</v>
      </c>
      <c r="I763" t="s">
        <v>556</v>
      </c>
      <c r="Z763">
        <v>106877</v>
      </c>
    </row>
    <row r="764" spans="1:26" x14ac:dyDescent="0.25">
      <c r="A764" t="s">
        <v>995</v>
      </c>
      <c r="B764" t="s">
        <v>27</v>
      </c>
      <c r="C764" t="s">
        <v>28</v>
      </c>
      <c r="H764" s="2">
        <v>45989.54</v>
      </c>
      <c r="I764" t="s">
        <v>31</v>
      </c>
      <c r="Z764">
        <v>106855</v>
      </c>
    </row>
    <row r="765" spans="1:26" x14ac:dyDescent="0.25">
      <c r="A765" t="s">
        <v>996</v>
      </c>
      <c r="B765" t="s">
        <v>27</v>
      </c>
      <c r="C765" t="s">
        <v>28</v>
      </c>
      <c r="H765" s="2">
        <v>45988.779189814813</v>
      </c>
      <c r="I765" t="s">
        <v>31</v>
      </c>
      <c r="Z765">
        <v>106839</v>
      </c>
    </row>
    <row r="766" spans="1:26" x14ac:dyDescent="0.25">
      <c r="A766" t="s">
        <v>997</v>
      </c>
      <c r="B766" t="s">
        <v>74</v>
      </c>
      <c r="C766" t="s">
        <v>28</v>
      </c>
      <c r="E766" t="s">
        <v>373</v>
      </c>
      <c r="G766" t="s">
        <v>998</v>
      </c>
      <c r="H766" s="2">
        <v>45988.665000000001</v>
      </c>
      <c r="I766" t="s">
        <v>556</v>
      </c>
      <c r="K766" t="s">
        <v>34</v>
      </c>
      <c r="L766" t="s">
        <v>35</v>
      </c>
      <c r="M766" t="s">
        <v>758</v>
      </c>
      <c r="N766">
        <v>16978047696</v>
      </c>
      <c r="O766" t="s">
        <v>461</v>
      </c>
      <c r="Z766">
        <v>106828</v>
      </c>
    </row>
    <row r="767" spans="1:26" x14ac:dyDescent="0.25">
      <c r="A767" t="s">
        <v>207</v>
      </c>
      <c r="B767" t="s">
        <v>27</v>
      </c>
      <c r="C767" t="s">
        <v>28</v>
      </c>
      <c r="H767" s="2">
        <v>45987.7969212963</v>
      </c>
      <c r="I767" t="s">
        <v>31</v>
      </c>
      <c r="Z767">
        <v>106805</v>
      </c>
    </row>
    <row r="768" spans="1:26" x14ac:dyDescent="0.25">
      <c r="A768" t="s">
        <v>999</v>
      </c>
      <c r="B768" t="s">
        <v>27</v>
      </c>
      <c r="C768" t="s">
        <v>28</v>
      </c>
      <c r="H768" s="2">
        <v>45987.687152777777</v>
      </c>
      <c r="I768" t="s">
        <v>54</v>
      </c>
      <c r="Z768">
        <v>106797</v>
      </c>
    </row>
    <row r="769" spans="1:26" x14ac:dyDescent="0.25">
      <c r="A769" t="s">
        <v>1000</v>
      </c>
      <c r="B769" t="s">
        <v>27</v>
      </c>
      <c r="C769" t="s">
        <v>28</v>
      </c>
      <c r="H769" s="2">
        <v>45987.616527777776</v>
      </c>
      <c r="I769" t="s">
        <v>54</v>
      </c>
      <c r="Z769">
        <v>106790</v>
      </c>
    </row>
    <row r="770" spans="1:26" x14ac:dyDescent="0.25">
      <c r="A770" t="s">
        <v>1001</v>
      </c>
      <c r="B770" t="s">
        <v>74</v>
      </c>
      <c r="C770" t="s">
        <v>28</v>
      </c>
      <c r="E770" t="s">
        <v>61</v>
      </c>
      <c r="G770" t="s">
        <v>1002</v>
      </c>
      <c r="H770" s="2">
        <v>45987.40896990741</v>
      </c>
      <c r="I770" t="s">
        <v>54</v>
      </c>
      <c r="Z770">
        <v>106777</v>
      </c>
    </row>
    <row r="771" spans="1:26" x14ac:dyDescent="0.25">
      <c r="A771" t="s">
        <v>1003</v>
      </c>
      <c r="B771" t="s">
        <v>74</v>
      </c>
      <c r="C771" t="s">
        <v>28</v>
      </c>
      <c r="E771" t="s">
        <v>1004</v>
      </c>
      <c r="G771" t="s">
        <v>1005</v>
      </c>
      <c r="H771" s="2">
        <v>45986.881469907406</v>
      </c>
      <c r="I771" t="s">
        <v>56</v>
      </c>
      <c r="Z771">
        <v>106773</v>
      </c>
    </row>
    <row r="772" spans="1:26" x14ac:dyDescent="0.25">
      <c r="A772" t="s">
        <v>1006</v>
      </c>
      <c r="B772" t="s">
        <v>27</v>
      </c>
      <c r="C772" t="s">
        <v>28</v>
      </c>
      <c r="H772" s="2">
        <v>45985.860868055555</v>
      </c>
      <c r="I772" t="s">
        <v>54</v>
      </c>
      <c r="Z772">
        <v>106738</v>
      </c>
    </row>
    <row r="773" spans="1:26" x14ac:dyDescent="0.25">
      <c r="A773" t="s">
        <v>1007</v>
      </c>
      <c r="B773" t="s">
        <v>27</v>
      </c>
      <c r="C773" t="s">
        <v>28</v>
      </c>
      <c r="H773" s="2">
        <v>45985.714525462965</v>
      </c>
      <c r="I773" t="s">
        <v>56</v>
      </c>
      <c r="Z773">
        <v>106732</v>
      </c>
    </row>
    <row r="774" spans="1:26" x14ac:dyDescent="0.25">
      <c r="A774" t="s">
        <v>1008</v>
      </c>
      <c r="B774" t="s">
        <v>27</v>
      </c>
      <c r="C774" t="s">
        <v>28</v>
      </c>
      <c r="H774" s="2">
        <v>45985.549976851849</v>
      </c>
      <c r="I774" t="s">
        <v>54</v>
      </c>
      <c r="Z774">
        <v>106724</v>
      </c>
    </row>
    <row r="775" spans="1:26" x14ac:dyDescent="0.25">
      <c r="A775" t="s">
        <v>1009</v>
      </c>
      <c r="B775" t="s">
        <v>27</v>
      </c>
      <c r="C775" t="s">
        <v>28</v>
      </c>
      <c r="H775" s="2">
        <v>45985.445208333331</v>
      </c>
      <c r="I775" t="s">
        <v>56</v>
      </c>
      <c r="Z775">
        <v>106709</v>
      </c>
    </row>
    <row r="776" spans="1:26" x14ac:dyDescent="0.25">
      <c r="A776" t="s">
        <v>1010</v>
      </c>
      <c r="B776" t="s">
        <v>74</v>
      </c>
      <c r="C776" t="s">
        <v>28</v>
      </c>
      <c r="E776" t="s">
        <v>664</v>
      </c>
      <c r="G776" t="s">
        <v>1011</v>
      </c>
      <c r="H776" s="2">
        <v>45983.94195601852</v>
      </c>
      <c r="I776" t="s">
        <v>56</v>
      </c>
      <c r="Z776">
        <v>106674</v>
      </c>
    </row>
    <row r="777" spans="1:26" x14ac:dyDescent="0.25">
      <c r="A777" t="s">
        <v>1012</v>
      </c>
      <c r="B777" t="s">
        <v>27</v>
      </c>
      <c r="C777" t="s">
        <v>28</v>
      </c>
      <c r="H777" s="2">
        <v>45983.762083333335</v>
      </c>
      <c r="I777" t="s">
        <v>31</v>
      </c>
      <c r="Z777">
        <v>106669</v>
      </c>
    </row>
    <row r="778" spans="1:26" x14ac:dyDescent="0.25">
      <c r="A778" t="s">
        <v>1013</v>
      </c>
      <c r="B778" t="s">
        <v>27</v>
      </c>
      <c r="C778" t="s">
        <v>28</v>
      </c>
      <c r="H778" s="2">
        <v>45983.617372685185</v>
      </c>
      <c r="I778" t="s">
        <v>556</v>
      </c>
      <c r="Z778">
        <v>106662</v>
      </c>
    </row>
    <row r="779" spans="1:26" x14ac:dyDescent="0.25">
      <c r="A779" t="s">
        <v>1014</v>
      </c>
      <c r="B779" t="s">
        <v>27</v>
      </c>
      <c r="C779" t="s">
        <v>28</v>
      </c>
      <c r="H779" s="2">
        <v>45982.589166666665</v>
      </c>
      <c r="I779" t="s">
        <v>556</v>
      </c>
      <c r="Z779">
        <v>106628</v>
      </c>
    </row>
    <row r="780" spans="1:26" x14ac:dyDescent="0.25">
      <c r="A780" t="s">
        <v>1015</v>
      </c>
      <c r="B780" t="s">
        <v>27</v>
      </c>
      <c r="C780" t="s">
        <v>28</v>
      </c>
      <c r="H780" s="2">
        <v>45982.420231481483</v>
      </c>
      <c r="I780" t="s">
        <v>556</v>
      </c>
      <c r="Z780">
        <v>106618</v>
      </c>
    </row>
    <row r="781" spans="1:26" x14ac:dyDescent="0.25">
      <c r="A781" t="s">
        <v>1016</v>
      </c>
      <c r="B781" t="s">
        <v>27</v>
      </c>
      <c r="C781" t="s">
        <v>28</v>
      </c>
      <c r="H781" s="2">
        <v>45981.816759259258</v>
      </c>
      <c r="I781" t="s">
        <v>31</v>
      </c>
      <c r="Z781">
        <v>106611</v>
      </c>
    </row>
    <row r="782" spans="1:26" x14ac:dyDescent="0.25">
      <c r="A782" t="s">
        <v>1017</v>
      </c>
      <c r="B782" t="s">
        <v>27</v>
      </c>
      <c r="C782" t="s">
        <v>28</v>
      </c>
      <c r="H782" s="2">
        <v>45981.744687500002</v>
      </c>
      <c r="I782" t="s">
        <v>31</v>
      </c>
      <c r="Z782">
        <v>106607</v>
      </c>
    </row>
    <row r="783" spans="1:26" x14ac:dyDescent="0.25">
      <c r="A783" t="s">
        <v>1018</v>
      </c>
      <c r="B783" t="s">
        <v>306</v>
      </c>
      <c r="C783" t="s">
        <v>185</v>
      </c>
      <c r="E783" t="s">
        <v>664</v>
      </c>
      <c r="H783" s="2">
        <v>45981.741099537037</v>
      </c>
      <c r="I783" t="s">
        <v>31</v>
      </c>
      <c r="Z783">
        <v>106606</v>
      </c>
    </row>
    <row r="784" spans="1:26" x14ac:dyDescent="0.25">
      <c r="A784" t="s">
        <v>434</v>
      </c>
      <c r="B784" t="s">
        <v>27</v>
      </c>
      <c r="C784" t="s">
        <v>28</v>
      </c>
      <c r="H784" s="2">
        <v>45981.736574074072</v>
      </c>
      <c r="I784" t="s">
        <v>31</v>
      </c>
      <c r="Z784">
        <v>106603</v>
      </c>
    </row>
    <row r="785" spans="1:26" x14ac:dyDescent="0.25">
      <c r="A785" t="s">
        <v>1019</v>
      </c>
      <c r="B785" t="s">
        <v>27</v>
      </c>
      <c r="C785" t="s">
        <v>28</v>
      </c>
      <c r="H785" s="2">
        <v>45981.602465277778</v>
      </c>
      <c r="I785" t="s">
        <v>31</v>
      </c>
      <c r="Z785">
        <v>106584</v>
      </c>
    </row>
    <row r="786" spans="1:26" x14ac:dyDescent="0.25">
      <c r="A786" t="s">
        <v>1020</v>
      </c>
      <c r="B786" t="s">
        <v>27</v>
      </c>
      <c r="C786" t="s">
        <v>28</v>
      </c>
      <c r="H786" s="2">
        <v>45981.570543981485</v>
      </c>
      <c r="I786" t="s">
        <v>31</v>
      </c>
      <c r="Z786">
        <v>106580</v>
      </c>
    </row>
    <row r="787" spans="1:26" x14ac:dyDescent="0.25">
      <c r="A787" t="s">
        <v>1021</v>
      </c>
      <c r="B787" t="s">
        <v>27</v>
      </c>
      <c r="C787" t="s">
        <v>28</v>
      </c>
      <c r="H787" s="2">
        <v>45981.543993055559</v>
      </c>
      <c r="I787" t="s">
        <v>31</v>
      </c>
      <c r="Z787">
        <v>106577</v>
      </c>
    </row>
    <row r="788" spans="1:26" x14ac:dyDescent="0.25">
      <c r="A788" t="s">
        <v>1022</v>
      </c>
      <c r="B788" t="s">
        <v>27</v>
      </c>
      <c r="C788" t="s">
        <v>28</v>
      </c>
      <c r="H788" s="2">
        <v>45981.514618055553</v>
      </c>
      <c r="I788" t="s">
        <v>54</v>
      </c>
      <c r="Z788">
        <v>106574</v>
      </c>
    </row>
    <row r="789" spans="1:26" x14ac:dyDescent="0.25">
      <c r="A789" t="s">
        <v>1023</v>
      </c>
      <c r="B789" t="s">
        <v>27</v>
      </c>
      <c r="C789" t="s">
        <v>28</v>
      </c>
      <c r="H789" s="2">
        <v>45981.421377314815</v>
      </c>
      <c r="I789" t="s">
        <v>31</v>
      </c>
      <c r="Z789">
        <v>106562</v>
      </c>
    </row>
    <row r="790" spans="1:26" x14ac:dyDescent="0.25">
      <c r="A790" t="s">
        <v>1024</v>
      </c>
      <c r="B790" t="s">
        <v>58</v>
      </c>
      <c r="C790" t="s">
        <v>28</v>
      </c>
      <c r="E790" t="s">
        <v>1025</v>
      </c>
      <c r="H790" s="2">
        <v>45980.997013888889</v>
      </c>
      <c r="I790" t="s">
        <v>54</v>
      </c>
      <c r="Z790">
        <v>106556</v>
      </c>
    </row>
    <row r="791" spans="1:26" x14ac:dyDescent="0.25">
      <c r="A791" t="s">
        <v>1026</v>
      </c>
      <c r="B791" t="s">
        <v>27</v>
      </c>
      <c r="C791" t="s">
        <v>28</v>
      </c>
      <c r="H791" s="2">
        <v>45980.706377314818</v>
      </c>
      <c r="I791" t="s">
        <v>56</v>
      </c>
      <c r="Z791">
        <v>106549</v>
      </c>
    </row>
    <row r="792" spans="1:26" x14ac:dyDescent="0.25">
      <c r="A792" t="s">
        <v>1027</v>
      </c>
      <c r="B792" t="s">
        <v>27</v>
      </c>
      <c r="C792" t="s">
        <v>28</v>
      </c>
      <c r="H792" s="2">
        <v>45980.661643518521</v>
      </c>
      <c r="I792" t="s">
        <v>56</v>
      </c>
      <c r="Z792">
        <v>106546</v>
      </c>
    </row>
    <row r="793" spans="1:26" x14ac:dyDescent="0.25">
      <c r="A793" t="s">
        <v>1028</v>
      </c>
      <c r="B793" t="s">
        <v>27</v>
      </c>
      <c r="C793" t="s">
        <v>28</v>
      </c>
      <c r="H793" s="2">
        <v>45980.533518518518</v>
      </c>
      <c r="I793" t="s">
        <v>56</v>
      </c>
      <c r="Z793">
        <v>106537</v>
      </c>
    </row>
    <row r="794" spans="1:26" x14ac:dyDescent="0.25">
      <c r="A794" t="s">
        <v>1029</v>
      </c>
      <c r="B794" t="s">
        <v>74</v>
      </c>
      <c r="C794" t="s">
        <v>28</v>
      </c>
      <c r="E794" t="s">
        <v>1030</v>
      </c>
      <c r="G794" t="s">
        <v>72</v>
      </c>
      <c r="H794" s="2">
        <v>45979.829259259262</v>
      </c>
      <c r="I794" t="s">
        <v>54</v>
      </c>
      <c r="Z794">
        <v>106522</v>
      </c>
    </row>
    <row r="795" spans="1:26" x14ac:dyDescent="0.25">
      <c r="A795" t="s">
        <v>1031</v>
      </c>
      <c r="B795" t="s">
        <v>27</v>
      </c>
      <c r="C795" t="s">
        <v>28</v>
      </c>
      <c r="H795" s="2">
        <v>45979.76153935185</v>
      </c>
      <c r="I795" t="s">
        <v>56</v>
      </c>
      <c r="Z795">
        <v>106519</v>
      </c>
    </row>
    <row r="796" spans="1:26" x14ac:dyDescent="0.25">
      <c r="A796" t="s">
        <v>1032</v>
      </c>
      <c r="B796" t="s">
        <v>27</v>
      </c>
      <c r="C796" t="s">
        <v>28</v>
      </c>
      <c r="H796" s="2">
        <v>45979.740949074076</v>
      </c>
      <c r="I796" t="s">
        <v>56</v>
      </c>
      <c r="Z796">
        <v>106515</v>
      </c>
    </row>
    <row r="797" spans="1:26" x14ac:dyDescent="0.25">
      <c r="A797" t="s">
        <v>1033</v>
      </c>
      <c r="B797" t="s">
        <v>27</v>
      </c>
      <c r="C797" t="s">
        <v>28</v>
      </c>
      <c r="H797" s="2">
        <v>45979.647835648146</v>
      </c>
      <c r="I797" t="s">
        <v>54</v>
      </c>
      <c r="Z797">
        <v>106507</v>
      </c>
    </row>
    <row r="798" spans="1:26" x14ac:dyDescent="0.25">
      <c r="A798" t="s">
        <v>1034</v>
      </c>
      <c r="B798" t="s">
        <v>27</v>
      </c>
      <c r="C798" t="s">
        <v>28</v>
      </c>
      <c r="H798" s="2">
        <v>45979.624745370369</v>
      </c>
      <c r="I798" t="s">
        <v>54</v>
      </c>
      <c r="Z798">
        <v>106504</v>
      </c>
    </row>
    <row r="799" spans="1:26" x14ac:dyDescent="0.25">
      <c r="A799" t="s">
        <v>1035</v>
      </c>
      <c r="B799" t="s">
        <v>27</v>
      </c>
      <c r="C799" t="s">
        <v>28</v>
      </c>
      <c r="H799" s="2">
        <v>45979.570300925923</v>
      </c>
      <c r="I799" t="s">
        <v>54</v>
      </c>
      <c r="Z799">
        <v>106499</v>
      </c>
    </row>
    <row r="800" spans="1:26" x14ac:dyDescent="0.25">
      <c r="A800" t="s">
        <v>1036</v>
      </c>
      <c r="B800" t="s">
        <v>27</v>
      </c>
      <c r="C800" t="s">
        <v>28</v>
      </c>
      <c r="H800" s="2">
        <v>45979.505289351851</v>
      </c>
      <c r="I800" t="s">
        <v>54</v>
      </c>
      <c r="Z800">
        <v>106494</v>
      </c>
    </row>
    <row r="801" spans="1:26" x14ac:dyDescent="0.25">
      <c r="A801" t="s">
        <v>1037</v>
      </c>
      <c r="B801" t="s">
        <v>27</v>
      </c>
      <c r="C801" t="s">
        <v>28</v>
      </c>
      <c r="H801" s="2">
        <v>45979.492777777778</v>
      </c>
      <c r="I801" t="s">
        <v>54</v>
      </c>
      <c r="Z801">
        <v>106493</v>
      </c>
    </row>
    <row r="802" spans="1:26" x14ac:dyDescent="0.25">
      <c r="A802" t="s">
        <v>1038</v>
      </c>
      <c r="B802" t="s">
        <v>27</v>
      </c>
      <c r="C802" t="s">
        <v>28</v>
      </c>
      <c r="H802" s="2">
        <v>45979.430775462963</v>
      </c>
      <c r="I802" t="s">
        <v>54</v>
      </c>
      <c r="Z802">
        <v>106489</v>
      </c>
    </row>
    <row r="803" spans="1:26" x14ac:dyDescent="0.25">
      <c r="A803" t="s">
        <v>1039</v>
      </c>
      <c r="B803" t="s">
        <v>27</v>
      </c>
      <c r="C803" t="s">
        <v>28</v>
      </c>
      <c r="H803" s="2">
        <v>45979.420659722222</v>
      </c>
      <c r="I803" t="s">
        <v>54</v>
      </c>
      <c r="Z803">
        <v>106488</v>
      </c>
    </row>
    <row r="804" spans="1:26" x14ac:dyDescent="0.25">
      <c r="A804" t="s">
        <v>1040</v>
      </c>
      <c r="B804" t="s">
        <v>27</v>
      </c>
      <c r="C804" t="s">
        <v>28</v>
      </c>
      <c r="H804" s="2">
        <v>45978.810289351852</v>
      </c>
      <c r="I804" t="s">
        <v>556</v>
      </c>
      <c r="Z804">
        <v>106480</v>
      </c>
    </row>
    <row r="805" spans="1:26" x14ac:dyDescent="0.25">
      <c r="A805" t="s">
        <v>1041</v>
      </c>
      <c r="B805" t="s">
        <v>306</v>
      </c>
      <c r="C805" t="s">
        <v>28</v>
      </c>
      <c r="H805" s="2">
        <v>45978.614236111112</v>
      </c>
      <c r="I805" t="s">
        <v>56</v>
      </c>
      <c r="Z805">
        <v>106469</v>
      </c>
    </row>
    <row r="806" spans="1:26" x14ac:dyDescent="0.25">
      <c r="A806" t="s">
        <v>1042</v>
      </c>
      <c r="B806" t="s">
        <v>27</v>
      </c>
      <c r="C806" t="s">
        <v>28</v>
      </c>
      <c r="H806" s="2">
        <v>45978.473437499997</v>
      </c>
      <c r="I806" t="s">
        <v>56</v>
      </c>
      <c r="Z806">
        <v>106452</v>
      </c>
    </row>
    <row r="807" spans="1:26" x14ac:dyDescent="0.25">
      <c r="A807" t="s">
        <v>1043</v>
      </c>
      <c r="B807" t="s">
        <v>27</v>
      </c>
      <c r="C807" t="s">
        <v>28</v>
      </c>
      <c r="H807" s="2">
        <v>45978.432453703703</v>
      </c>
      <c r="I807" t="s">
        <v>556</v>
      </c>
      <c r="Z807">
        <v>106447</v>
      </c>
    </row>
    <row r="808" spans="1:26" x14ac:dyDescent="0.25">
      <c r="A808" t="s">
        <v>1044</v>
      </c>
      <c r="B808" t="s">
        <v>74</v>
      </c>
      <c r="C808" t="s">
        <v>28</v>
      </c>
      <c r="E808" t="s">
        <v>592</v>
      </c>
      <c r="G808" t="s">
        <v>1045</v>
      </c>
      <c r="H808" s="2">
        <v>45977.903217592589</v>
      </c>
      <c r="I808" t="s">
        <v>56</v>
      </c>
      <c r="K808" t="s">
        <v>34</v>
      </c>
      <c r="L808" t="s">
        <v>35</v>
      </c>
      <c r="M808" t="s">
        <v>758</v>
      </c>
      <c r="N808">
        <v>16978047698</v>
      </c>
      <c r="O808" t="s">
        <v>461</v>
      </c>
      <c r="Z808">
        <v>106436</v>
      </c>
    </row>
    <row r="809" spans="1:26" x14ac:dyDescent="0.25">
      <c r="A809" t="s">
        <v>1046</v>
      </c>
      <c r="B809" t="s">
        <v>74</v>
      </c>
      <c r="C809" t="s">
        <v>28</v>
      </c>
      <c r="E809" t="s">
        <v>1047</v>
      </c>
      <c r="G809" t="s">
        <v>1048</v>
      </c>
      <c r="H809" s="2">
        <v>45977.832187499997</v>
      </c>
      <c r="I809" t="s">
        <v>31</v>
      </c>
      <c r="Z809">
        <v>106432</v>
      </c>
    </row>
    <row r="810" spans="1:26" x14ac:dyDescent="0.25">
      <c r="A810" t="s">
        <v>1049</v>
      </c>
      <c r="B810" t="s">
        <v>74</v>
      </c>
      <c r="C810" t="s">
        <v>28</v>
      </c>
      <c r="E810" t="s">
        <v>324</v>
      </c>
      <c r="G810" t="s">
        <v>1050</v>
      </c>
      <c r="H810" s="2">
        <v>45976.637708333335</v>
      </c>
      <c r="I810" t="s">
        <v>556</v>
      </c>
      <c r="Z810">
        <v>106397</v>
      </c>
    </row>
    <row r="811" spans="1:26" x14ac:dyDescent="0.25">
      <c r="A811" t="s">
        <v>1051</v>
      </c>
      <c r="B811" t="s">
        <v>306</v>
      </c>
      <c r="C811" t="s">
        <v>28</v>
      </c>
      <c r="E811" t="s">
        <v>1052</v>
      </c>
      <c r="H811" s="2">
        <v>45976.514606481483</v>
      </c>
      <c r="I811" t="s">
        <v>31</v>
      </c>
      <c r="K811" t="s">
        <v>34</v>
      </c>
      <c r="L811" t="s">
        <v>35</v>
      </c>
      <c r="M811" t="s">
        <v>1053</v>
      </c>
      <c r="N811">
        <v>16990012917</v>
      </c>
      <c r="O811" t="s">
        <v>1054</v>
      </c>
      <c r="Z811">
        <v>106378</v>
      </c>
    </row>
    <row r="812" spans="1:26" x14ac:dyDescent="0.25">
      <c r="A812" t="s">
        <v>113</v>
      </c>
      <c r="B812" t="s">
        <v>27</v>
      </c>
      <c r="C812" t="s">
        <v>28</v>
      </c>
      <c r="H812" s="2">
        <v>45976.509884259256</v>
      </c>
      <c r="I812" t="s">
        <v>31</v>
      </c>
      <c r="Z812">
        <v>106377</v>
      </c>
    </row>
    <row r="813" spans="1:26" x14ac:dyDescent="0.25">
      <c r="A813" t="s">
        <v>1055</v>
      </c>
      <c r="B813" t="s">
        <v>74</v>
      </c>
      <c r="C813" t="s">
        <v>28</v>
      </c>
      <c r="E813" t="s">
        <v>72</v>
      </c>
      <c r="G813" t="s">
        <v>698</v>
      </c>
      <c r="H813" s="2">
        <v>45975.674432870372</v>
      </c>
      <c r="I813" t="s">
        <v>31</v>
      </c>
      <c r="Z813">
        <v>106354</v>
      </c>
    </row>
    <row r="814" spans="1:26" x14ac:dyDescent="0.25">
      <c r="A814" t="s">
        <v>1056</v>
      </c>
      <c r="B814" t="s">
        <v>27</v>
      </c>
      <c r="C814" t="s">
        <v>28</v>
      </c>
      <c r="H814" s="2">
        <v>45975.641875000001</v>
      </c>
      <c r="I814" t="s">
        <v>31</v>
      </c>
      <c r="Z814">
        <v>106348</v>
      </c>
    </row>
    <row r="815" spans="1:26" x14ac:dyDescent="0.25">
      <c r="A815" t="s">
        <v>1057</v>
      </c>
      <c r="B815" t="s">
        <v>27</v>
      </c>
      <c r="C815" t="s">
        <v>28</v>
      </c>
      <c r="H815" s="2">
        <v>45975.44803240741</v>
      </c>
      <c r="I815" t="s">
        <v>54</v>
      </c>
      <c r="Z815">
        <v>106337</v>
      </c>
    </row>
    <row r="816" spans="1:26" x14ac:dyDescent="0.25">
      <c r="A816" t="s">
        <v>1058</v>
      </c>
      <c r="B816" t="s">
        <v>74</v>
      </c>
      <c r="C816" t="s">
        <v>28</v>
      </c>
      <c r="E816" t="s">
        <v>1059</v>
      </c>
      <c r="G816" t="s">
        <v>1060</v>
      </c>
      <c r="H816" s="2">
        <v>45975.085960648146</v>
      </c>
      <c r="I816" t="s">
        <v>54</v>
      </c>
      <c r="Z816">
        <v>106333</v>
      </c>
    </row>
    <row r="817" spans="1:26" x14ac:dyDescent="0.25">
      <c r="A817" t="s">
        <v>1061</v>
      </c>
      <c r="B817" t="s">
        <v>27</v>
      </c>
      <c r="C817" t="s">
        <v>28</v>
      </c>
      <c r="H817" s="2">
        <v>45974.859722222223</v>
      </c>
      <c r="I817" t="s">
        <v>56</v>
      </c>
      <c r="Z817">
        <v>106330</v>
      </c>
    </row>
    <row r="818" spans="1:26" x14ac:dyDescent="0.25">
      <c r="A818" t="s">
        <v>1062</v>
      </c>
      <c r="B818" t="s">
        <v>27</v>
      </c>
      <c r="C818" t="s">
        <v>28</v>
      </c>
      <c r="H818" s="2">
        <v>45974.74659722222</v>
      </c>
      <c r="I818" t="s">
        <v>56</v>
      </c>
      <c r="Z818">
        <v>106325</v>
      </c>
    </row>
    <row r="819" spans="1:26" x14ac:dyDescent="0.25">
      <c r="A819" t="s">
        <v>1063</v>
      </c>
      <c r="B819" t="s">
        <v>27</v>
      </c>
      <c r="C819" t="s">
        <v>28</v>
      </c>
      <c r="H819" s="2">
        <v>45974.722673611112</v>
      </c>
      <c r="I819" t="s">
        <v>56</v>
      </c>
      <c r="Z819">
        <v>106324</v>
      </c>
    </row>
    <row r="820" spans="1:26" x14ac:dyDescent="0.25">
      <c r="A820" t="s">
        <v>1064</v>
      </c>
      <c r="B820" t="s">
        <v>74</v>
      </c>
      <c r="C820" t="s">
        <v>28</v>
      </c>
      <c r="E820" t="s">
        <v>198</v>
      </c>
      <c r="G820" t="s">
        <v>1065</v>
      </c>
      <c r="H820" s="2">
        <v>45974.67459490741</v>
      </c>
      <c r="I820" t="s">
        <v>54</v>
      </c>
      <c r="Z820">
        <v>106321</v>
      </c>
    </row>
    <row r="821" spans="1:26" x14ac:dyDescent="0.25">
      <c r="A821" t="s">
        <v>1066</v>
      </c>
      <c r="B821" t="s">
        <v>27</v>
      </c>
      <c r="C821" t="s">
        <v>28</v>
      </c>
      <c r="H821" s="2">
        <v>45974.623530092591</v>
      </c>
      <c r="I821" t="s">
        <v>54</v>
      </c>
      <c r="Z821">
        <v>106317</v>
      </c>
    </row>
    <row r="822" spans="1:26" x14ac:dyDescent="0.25">
      <c r="A822" t="s">
        <v>1067</v>
      </c>
      <c r="B822" t="s">
        <v>27</v>
      </c>
      <c r="C822" t="s">
        <v>53</v>
      </c>
      <c r="H822" s="2">
        <v>45973.784745370373</v>
      </c>
      <c r="I822" t="s">
        <v>1068</v>
      </c>
      <c r="Z822">
        <v>106300</v>
      </c>
    </row>
    <row r="823" spans="1:26" x14ac:dyDescent="0.25">
      <c r="A823" t="s">
        <v>1069</v>
      </c>
      <c r="B823" t="s">
        <v>27</v>
      </c>
      <c r="C823" t="s">
        <v>28</v>
      </c>
      <c r="H823" s="2">
        <v>45973.723807870374</v>
      </c>
      <c r="I823" t="s">
        <v>54</v>
      </c>
      <c r="Z823">
        <v>106296</v>
      </c>
    </row>
    <row r="824" spans="1:26" x14ac:dyDescent="0.25">
      <c r="A824" t="s">
        <v>1070</v>
      </c>
      <c r="B824" t="s">
        <v>27</v>
      </c>
      <c r="C824" t="s">
        <v>28</v>
      </c>
      <c r="H824" s="2">
        <v>45973.535219907404</v>
      </c>
      <c r="I824" t="s">
        <v>56</v>
      </c>
      <c r="Z824">
        <v>106283</v>
      </c>
    </row>
    <row r="825" spans="1:26" x14ac:dyDescent="0.25">
      <c r="A825" t="s">
        <v>1071</v>
      </c>
      <c r="B825" t="s">
        <v>27</v>
      </c>
      <c r="C825" t="s">
        <v>28</v>
      </c>
      <c r="H825" s="2">
        <v>45973.527407407404</v>
      </c>
      <c r="I825" t="s">
        <v>56</v>
      </c>
      <c r="Z825">
        <v>106281</v>
      </c>
    </row>
    <row r="826" spans="1:26" x14ac:dyDescent="0.25">
      <c r="A826" t="s">
        <v>1072</v>
      </c>
      <c r="B826" t="s">
        <v>27</v>
      </c>
      <c r="C826" t="s">
        <v>28</v>
      </c>
      <c r="H826" s="2">
        <v>45973.475127314814</v>
      </c>
      <c r="I826" t="s">
        <v>54</v>
      </c>
      <c r="Z826">
        <v>106274</v>
      </c>
    </row>
    <row r="827" spans="1:26" x14ac:dyDescent="0.25">
      <c r="A827" t="s">
        <v>1073</v>
      </c>
      <c r="B827" t="s">
        <v>27</v>
      </c>
      <c r="C827" t="s">
        <v>28</v>
      </c>
      <c r="H827" s="2">
        <v>45973.461898148147</v>
      </c>
      <c r="I827" t="s">
        <v>54</v>
      </c>
      <c r="Z827">
        <v>106272</v>
      </c>
    </row>
    <row r="828" spans="1:26" x14ac:dyDescent="0.25">
      <c r="A828" t="s">
        <v>1074</v>
      </c>
      <c r="B828" t="s">
        <v>27</v>
      </c>
      <c r="C828" t="s">
        <v>28</v>
      </c>
      <c r="H828" s="2">
        <v>45972.693298611113</v>
      </c>
      <c r="I828" t="s">
        <v>556</v>
      </c>
      <c r="Z828">
        <v>106251</v>
      </c>
    </row>
    <row r="829" spans="1:26" x14ac:dyDescent="0.25">
      <c r="A829" t="s">
        <v>1075</v>
      </c>
      <c r="B829" t="s">
        <v>27</v>
      </c>
      <c r="C829" t="s">
        <v>28</v>
      </c>
      <c r="H829" s="2">
        <v>45972.676550925928</v>
      </c>
      <c r="I829" t="s">
        <v>556</v>
      </c>
      <c r="Z829">
        <v>106248</v>
      </c>
    </row>
    <row r="830" spans="1:26" x14ac:dyDescent="0.25">
      <c r="A830" t="s">
        <v>1076</v>
      </c>
      <c r="B830" t="s">
        <v>27</v>
      </c>
      <c r="C830" t="s">
        <v>28</v>
      </c>
      <c r="H830" s="2">
        <v>45972.603703703702</v>
      </c>
      <c r="I830" t="s">
        <v>556</v>
      </c>
      <c r="Z830">
        <v>106244</v>
      </c>
    </row>
    <row r="831" spans="1:26" x14ac:dyDescent="0.25">
      <c r="A831" t="s">
        <v>1077</v>
      </c>
      <c r="B831" t="s">
        <v>27</v>
      </c>
      <c r="C831" t="s">
        <v>28</v>
      </c>
      <c r="H831" s="2">
        <v>45972.456273148149</v>
      </c>
      <c r="I831" t="s">
        <v>556</v>
      </c>
      <c r="Z831">
        <v>106237</v>
      </c>
    </row>
    <row r="832" spans="1:26" x14ac:dyDescent="0.25">
      <c r="A832" t="s">
        <v>473</v>
      </c>
      <c r="B832" t="s">
        <v>27</v>
      </c>
      <c r="C832" t="s">
        <v>28</v>
      </c>
      <c r="H832" s="2">
        <v>45971.716203703705</v>
      </c>
      <c r="I832" t="s">
        <v>31</v>
      </c>
      <c r="Z832">
        <v>106226</v>
      </c>
    </row>
    <row r="833" spans="1:26" x14ac:dyDescent="0.25">
      <c r="A833" t="s">
        <v>1078</v>
      </c>
      <c r="B833" t="s">
        <v>27</v>
      </c>
      <c r="C833" t="s">
        <v>28</v>
      </c>
      <c r="H833" s="2">
        <v>45971.690266203703</v>
      </c>
      <c r="I833" t="s">
        <v>556</v>
      </c>
      <c r="Z833">
        <v>106223</v>
      </c>
    </row>
    <row r="834" spans="1:26" x14ac:dyDescent="0.25">
      <c r="A834" t="s">
        <v>1079</v>
      </c>
      <c r="B834" t="s">
        <v>46</v>
      </c>
      <c r="C834" t="s">
        <v>28</v>
      </c>
      <c r="E834" t="s">
        <v>1080</v>
      </c>
      <c r="H834" s="2">
        <v>45971.421851851854</v>
      </c>
      <c r="I834" t="s">
        <v>31</v>
      </c>
      <c r="K834" t="s">
        <v>48</v>
      </c>
      <c r="Z834">
        <v>106200</v>
      </c>
    </row>
    <row r="835" spans="1:26" x14ac:dyDescent="0.25">
      <c r="A835" t="s">
        <v>1081</v>
      </c>
      <c r="B835" t="s">
        <v>27</v>
      </c>
      <c r="C835" t="s">
        <v>28</v>
      </c>
      <c r="H835" s="2">
        <v>45970.757025462961</v>
      </c>
      <c r="I835" t="s">
        <v>31</v>
      </c>
      <c r="Z835">
        <v>106194</v>
      </c>
    </row>
    <row r="836" spans="1:26" x14ac:dyDescent="0.25">
      <c r="A836" t="s">
        <v>1082</v>
      </c>
      <c r="B836" t="s">
        <v>27</v>
      </c>
      <c r="C836" t="s">
        <v>28</v>
      </c>
      <c r="H836" s="2">
        <v>45969.708414351851</v>
      </c>
      <c r="I836" t="s">
        <v>54</v>
      </c>
      <c r="Z836">
        <v>106171</v>
      </c>
    </row>
    <row r="837" spans="1:26" x14ac:dyDescent="0.25">
      <c r="A837" t="s">
        <v>33</v>
      </c>
      <c r="B837" t="s">
        <v>27</v>
      </c>
      <c r="C837" t="s">
        <v>28</v>
      </c>
      <c r="H837" s="2">
        <v>45969.672233796293</v>
      </c>
      <c r="I837" t="s">
        <v>31</v>
      </c>
      <c r="Z837">
        <v>106170</v>
      </c>
    </row>
    <row r="838" spans="1:26" x14ac:dyDescent="0.25">
      <c r="A838" t="s">
        <v>1083</v>
      </c>
      <c r="B838" t="s">
        <v>27</v>
      </c>
      <c r="C838" t="s">
        <v>28</v>
      </c>
      <c r="H838" s="2">
        <v>45968.838391203702</v>
      </c>
      <c r="I838" t="s">
        <v>56</v>
      </c>
      <c r="Z838">
        <v>106146</v>
      </c>
    </row>
    <row r="839" spans="1:26" x14ac:dyDescent="0.25">
      <c r="A839" t="s">
        <v>1084</v>
      </c>
      <c r="B839" t="s">
        <v>27</v>
      </c>
      <c r="C839" t="s">
        <v>28</v>
      </c>
      <c r="H839" s="2">
        <v>45968.744166666664</v>
      </c>
      <c r="I839" t="s">
        <v>54</v>
      </c>
      <c r="Z839">
        <v>106142</v>
      </c>
    </row>
    <row r="840" spans="1:26" x14ac:dyDescent="0.25">
      <c r="A840" t="s">
        <v>1085</v>
      </c>
      <c r="B840" t="s">
        <v>27</v>
      </c>
      <c r="C840" t="s">
        <v>28</v>
      </c>
      <c r="H840" s="2">
        <v>45968.47446759259</v>
      </c>
      <c r="I840" t="s">
        <v>54</v>
      </c>
      <c r="Z840">
        <v>106130</v>
      </c>
    </row>
    <row r="841" spans="1:26" x14ac:dyDescent="0.25">
      <c r="A841" t="s">
        <v>1086</v>
      </c>
      <c r="B841" t="s">
        <v>27</v>
      </c>
      <c r="C841" t="s">
        <v>28</v>
      </c>
      <c r="H841" s="2">
        <v>45967.794328703705</v>
      </c>
      <c r="I841" t="s">
        <v>56</v>
      </c>
      <c r="Z841">
        <v>106119</v>
      </c>
    </row>
    <row r="842" spans="1:26" x14ac:dyDescent="0.25">
      <c r="A842" t="s">
        <v>1087</v>
      </c>
      <c r="B842" t="s">
        <v>27</v>
      </c>
      <c r="C842" t="s">
        <v>28</v>
      </c>
      <c r="H842" s="2">
        <v>45966.631608796299</v>
      </c>
      <c r="I842" t="s">
        <v>56</v>
      </c>
      <c r="Z842">
        <v>106077</v>
      </c>
    </row>
    <row r="843" spans="1:26" x14ac:dyDescent="0.25">
      <c r="A843" t="s">
        <v>1088</v>
      </c>
      <c r="B843" t="s">
        <v>27</v>
      </c>
      <c r="C843" t="s">
        <v>28</v>
      </c>
      <c r="H843" s="2">
        <v>45966.62709490741</v>
      </c>
      <c r="I843" t="s">
        <v>56</v>
      </c>
      <c r="Z843">
        <v>106076</v>
      </c>
    </row>
    <row r="844" spans="1:26" x14ac:dyDescent="0.25">
      <c r="A844" t="s">
        <v>1089</v>
      </c>
      <c r="B844" t="s">
        <v>27</v>
      </c>
      <c r="C844" t="s">
        <v>28</v>
      </c>
      <c r="H844" s="2">
        <v>45965.384583333333</v>
      </c>
      <c r="I844" t="s">
        <v>556</v>
      </c>
      <c r="Z844">
        <v>106005</v>
      </c>
    </row>
    <row r="845" spans="1:26" x14ac:dyDescent="0.25">
      <c r="A845" t="s">
        <v>207</v>
      </c>
      <c r="B845" t="s">
        <v>27</v>
      </c>
      <c r="C845" t="s">
        <v>28</v>
      </c>
      <c r="H845" s="2">
        <v>45964.672488425924</v>
      </c>
      <c r="I845" t="s">
        <v>31</v>
      </c>
      <c r="Z845">
        <v>105998</v>
      </c>
    </row>
    <row r="846" spans="1:26" x14ac:dyDescent="0.25">
      <c r="A846" t="s">
        <v>1090</v>
      </c>
      <c r="B846" t="s">
        <v>27</v>
      </c>
      <c r="C846" t="s">
        <v>28</v>
      </c>
      <c r="H846" s="2">
        <v>45964.546377314815</v>
      </c>
      <c r="I846" t="s">
        <v>31</v>
      </c>
      <c r="Z846">
        <v>105987</v>
      </c>
    </row>
    <row r="847" spans="1:26" x14ac:dyDescent="0.25">
      <c r="A847" t="s">
        <v>1091</v>
      </c>
      <c r="B847" t="s">
        <v>27</v>
      </c>
      <c r="C847" t="s">
        <v>28</v>
      </c>
      <c r="H847" s="2">
        <v>45963.640023148146</v>
      </c>
      <c r="I847" t="s">
        <v>54</v>
      </c>
      <c r="Z847">
        <v>105963</v>
      </c>
    </row>
    <row r="848" spans="1:26" x14ac:dyDescent="0.25">
      <c r="A848" t="s">
        <v>1092</v>
      </c>
      <c r="B848" t="s">
        <v>27</v>
      </c>
      <c r="C848" t="s">
        <v>28</v>
      </c>
      <c r="H848" s="2">
        <v>45963.45820601852</v>
      </c>
      <c r="I848" t="s">
        <v>54</v>
      </c>
      <c r="Z848">
        <v>105951</v>
      </c>
    </row>
    <row r="849" spans="1:26" x14ac:dyDescent="0.25">
      <c r="A849" t="s">
        <v>1093</v>
      </c>
      <c r="B849" t="s">
        <v>27</v>
      </c>
      <c r="C849" t="s">
        <v>28</v>
      </c>
      <c r="H849" s="2">
        <v>45963.419108796297</v>
      </c>
      <c r="I849" t="s">
        <v>31</v>
      </c>
      <c r="Z849">
        <v>105946</v>
      </c>
    </row>
    <row r="850" spans="1:26" x14ac:dyDescent="0.25">
      <c r="A850" t="s">
        <v>1094</v>
      </c>
      <c r="B850" t="s">
        <v>27</v>
      </c>
      <c r="C850" t="s">
        <v>28</v>
      </c>
      <c r="H850" s="2">
        <v>45962.491701388892</v>
      </c>
      <c r="I850" t="s">
        <v>56</v>
      </c>
      <c r="Z850">
        <v>105934</v>
      </c>
    </row>
    <row r="851" spans="1:26" x14ac:dyDescent="0.25">
      <c r="A851" t="s">
        <v>1095</v>
      </c>
      <c r="B851" t="s">
        <v>27</v>
      </c>
      <c r="C851" t="s">
        <v>28</v>
      </c>
      <c r="H851" s="2">
        <v>45961.537199074075</v>
      </c>
      <c r="I851" t="s">
        <v>56</v>
      </c>
      <c r="Z851">
        <v>105909</v>
      </c>
    </row>
    <row r="852" spans="1:26" x14ac:dyDescent="0.25">
      <c r="A852" t="s">
        <v>1096</v>
      </c>
      <c r="B852" t="s">
        <v>27</v>
      </c>
      <c r="C852" t="s">
        <v>28</v>
      </c>
      <c r="H852" s="2">
        <v>45961.514999999999</v>
      </c>
      <c r="I852" t="s">
        <v>56</v>
      </c>
      <c r="Z852">
        <v>105907</v>
      </c>
    </row>
    <row r="853" spans="1:26" x14ac:dyDescent="0.25">
      <c r="A853" t="s">
        <v>1097</v>
      </c>
      <c r="B853" t="s">
        <v>27</v>
      </c>
      <c r="C853" t="s">
        <v>28</v>
      </c>
      <c r="H853" s="2">
        <v>45961.428055555552</v>
      </c>
      <c r="I853" t="s">
        <v>56</v>
      </c>
      <c r="Z853">
        <v>105902</v>
      </c>
    </row>
    <row r="854" spans="1:26" x14ac:dyDescent="0.25">
      <c r="A854" t="s">
        <v>1098</v>
      </c>
      <c r="B854" t="s">
        <v>27</v>
      </c>
      <c r="C854" t="s">
        <v>28</v>
      </c>
      <c r="H854" s="2">
        <v>45960.611296296294</v>
      </c>
      <c r="I854" t="s">
        <v>556</v>
      </c>
      <c r="Z854">
        <v>105891</v>
      </c>
    </row>
    <row r="855" spans="1:26" x14ac:dyDescent="0.25">
      <c r="A855" t="s">
        <v>1099</v>
      </c>
      <c r="B855" t="s">
        <v>27</v>
      </c>
      <c r="C855" t="s">
        <v>28</v>
      </c>
      <c r="H855" s="2">
        <v>45960.524502314816</v>
      </c>
      <c r="I855" t="s">
        <v>56</v>
      </c>
      <c r="Z855">
        <v>105877</v>
      </c>
    </row>
    <row r="856" spans="1:26" x14ac:dyDescent="0.25">
      <c r="A856" t="s">
        <v>1100</v>
      </c>
      <c r="B856" t="s">
        <v>27</v>
      </c>
      <c r="C856" t="s">
        <v>28</v>
      </c>
      <c r="H856" s="2">
        <v>45960.407500000001</v>
      </c>
      <c r="I856" t="s">
        <v>56</v>
      </c>
      <c r="Z856">
        <v>105868</v>
      </c>
    </row>
    <row r="857" spans="1:26" x14ac:dyDescent="0.25">
      <c r="A857" t="s">
        <v>1101</v>
      </c>
      <c r="B857" t="s">
        <v>46</v>
      </c>
      <c r="C857" t="s">
        <v>28</v>
      </c>
      <c r="E857" t="s">
        <v>209</v>
      </c>
      <c r="H857" s="2">
        <v>45960.4</v>
      </c>
      <c r="I857" t="s">
        <v>56</v>
      </c>
      <c r="K857" t="s">
        <v>1102</v>
      </c>
      <c r="L857" t="s">
        <v>35</v>
      </c>
      <c r="M857" t="s">
        <v>758</v>
      </c>
      <c r="N857">
        <v>16978047695</v>
      </c>
      <c r="Z857">
        <v>105867</v>
      </c>
    </row>
    <row r="858" spans="1:26" x14ac:dyDescent="0.25">
      <c r="A858" t="s">
        <v>1103</v>
      </c>
      <c r="B858" t="s">
        <v>27</v>
      </c>
      <c r="C858" t="s">
        <v>28</v>
      </c>
      <c r="H858" s="2">
        <v>45959.66615740741</v>
      </c>
      <c r="I858" t="s">
        <v>31</v>
      </c>
      <c r="Z858">
        <v>105853</v>
      </c>
    </row>
    <row r="859" spans="1:26" x14ac:dyDescent="0.25">
      <c r="A859" t="s">
        <v>1104</v>
      </c>
      <c r="B859" t="s">
        <v>58</v>
      </c>
      <c r="C859" t="s">
        <v>28</v>
      </c>
      <c r="E859" t="s">
        <v>304</v>
      </c>
      <c r="H859" s="2">
        <v>45958.982812499999</v>
      </c>
      <c r="I859" t="s">
        <v>556</v>
      </c>
      <c r="Z859">
        <v>105828</v>
      </c>
    </row>
    <row r="860" spans="1:26" x14ac:dyDescent="0.25">
      <c r="A860" t="s">
        <v>1105</v>
      </c>
      <c r="B860" t="s">
        <v>27</v>
      </c>
      <c r="C860" t="s">
        <v>28</v>
      </c>
      <c r="H860" s="2">
        <v>45958.858888888892</v>
      </c>
      <c r="I860" t="s">
        <v>556</v>
      </c>
      <c r="Z860">
        <v>105825</v>
      </c>
    </row>
    <row r="861" spans="1:26" x14ac:dyDescent="0.25">
      <c r="A861" t="s">
        <v>1106</v>
      </c>
      <c r="B861" t="s">
        <v>27</v>
      </c>
      <c r="C861" t="s">
        <v>28</v>
      </c>
      <c r="H861" s="2">
        <v>45958.727812500001</v>
      </c>
      <c r="I861" t="s">
        <v>31</v>
      </c>
      <c r="Z861">
        <v>105820</v>
      </c>
    </row>
    <row r="862" spans="1:26" x14ac:dyDescent="0.25">
      <c r="A862" t="s">
        <v>1107</v>
      </c>
      <c r="B862" t="s">
        <v>27</v>
      </c>
      <c r="C862" t="s">
        <v>28</v>
      </c>
      <c r="H862" s="2">
        <v>45958.490266203706</v>
      </c>
      <c r="I862" t="s">
        <v>31</v>
      </c>
      <c r="Z862">
        <v>105798</v>
      </c>
    </row>
    <row r="863" spans="1:26" x14ac:dyDescent="0.25">
      <c r="A863" t="s">
        <v>1108</v>
      </c>
      <c r="B863" t="s">
        <v>27</v>
      </c>
      <c r="C863" t="s">
        <v>28</v>
      </c>
      <c r="H863" s="2">
        <v>45958.45585648148</v>
      </c>
      <c r="I863" t="s">
        <v>556</v>
      </c>
      <c r="Z863">
        <v>105795</v>
      </c>
    </row>
    <row r="864" spans="1:26" x14ac:dyDescent="0.25">
      <c r="A864" t="s">
        <v>1109</v>
      </c>
      <c r="B864" t="s">
        <v>27</v>
      </c>
      <c r="C864" t="s">
        <v>28</v>
      </c>
      <c r="H864" s="2">
        <v>45957.702210648145</v>
      </c>
      <c r="I864" t="s">
        <v>54</v>
      </c>
      <c r="Z864">
        <v>105777</v>
      </c>
    </row>
    <row r="865" spans="1:26" x14ac:dyDescent="0.25">
      <c r="A865" t="s">
        <v>1110</v>
      </c>
      <c r="B865" t="s">
        <v>74</v>
      </c>
      <c r="C865" t="s">
        <v>28</v>
      </c>
      <c r="E865" t="s">
        <v>373</v>
      </c>
      <c r="G865" t="s">
        <v>1111</v>
      </c>
      <c r="H865" s="2">
        <v>45957.445543981485</v>
      </c>
      <c r="I865" t="s">
        <v>54</v>
      </c>
      <c r="Z865">
        <v>105753</v>
      </c>
    </row>
    <row r="866" spans="1:26" x14ac:dyDescent="0.25">
      <c r="A866" t="s">
        <v>1112</v>
      </c>
      <c r="B866" t="s">
        <v>27</v>
      </c>
      <c r="C866" t="s">
        <v>28</v>
      </c>
      <c r="H866" s="2">
        <v>45955.665127314816</v>
      </c>
      <c r="I866" t="s">
        <v>54</v>
      </c>
      <c r="Z866">
        <v>105712</v>
      </c>
    </row>
    <row r="867" spans="1:26" x14ac:dyDescent="0.25">
      <c r="A867" t="s">
        <v>1113</v>
      </c>
      <c r="B867" t="s">
        <v>27</v>
      </c>
      <c r="C867" t="s">
        <v>28</v>
      </c>
      <c r="H867" s="2">
        <v>45955.441759259258</v>
      </c>
      <c r="I867" t="s">
        <v>56</v>
      </c>
      <c r="Z867">
        <v>105693</v>
      </c>
    </row>
    <row r="868" spans="1:26" x14ac:dyDescent="0.25">
      <c r="A868" t="s">
        <v>1114</v>
      </c>
      <c r="B868" t="s">
        <v>27</v>
      </c>
      <c r="C868" t="s">
        <v>28</v>
      </c>
      <c r="H868" s="2">
        <v>45954.615254629629</v>
      </c>
      <c r="I868" t="s">
        <v>556</v>
      </c>
      <c r="Z868">
        <v>105682</v>
      </c>
    </row>
    <row r="869" spans="1:26" x14ac:dyDescent="0.25">
      <c r="A869" t="s">
        <v>1115</v>
      </c>
      <c r="B869" t="s">
        <v>58</v>
      </c>
      <c r="C869" t="s">
        <v>28</v>
      </c>
      <c r="E869" t="s">
        <v>598</v>
      </c>
      <c r="H869" s="2">
        <v>45954.531736111108</v>
      </c>
      <c r="I869" t="s">
        <v>56</v>
      </c>
      <c r="Z869">
        <v>105676</v>
      </c>
    </row>
    <row r="870" spans="1:26" x14ac:dyDescent="0.25">
      <c r="A870" t="s">
        <v>1116</v>
      </c>
      <c r="B870" t="s">
        <v>27</v>
      </c>
      <c r="C870" t="s">
        <v>28</v>
      </c>
      <c r="H870" s="2">
        <v>45952.709363425929</v>
      </c>
      <c r="I870" t="s">
        <v>31</v>
      </c>
      <c r="Z870">
        <v>105626</v>
      </c>
    </row>
    <row r="871" spans="1:26" x14ac:dyDescent="0.25">
      <c r="A871" t="s">
        <v>1117</v>
      </c>
      <c r="B871" t="s">
        <v>27</v>
      </c>
      <c r="C871" t="s">
        <v>28</v>
      </c>
      <c r="H871" s="2">
        <v>45951.677847222221</v>
      </c>
      <c r="I871" t="s">
        <v>31</v>
      </c>
      <c r="Z871">
        <v>105585</v>
      </c>
    </row>
    <row r="872" spans="1:26" x14ac:dyDescent="0.25">
      <c r="A872" t="s">
        <v>1118</v>
      </c>
      <c r="B872" t="s">
        <v>27</v>
      </c>
      <c r="C872" t="s">
        <v>28</v>
      </c>
      <c r="H872" s="2">
        <v>45950.633414351854</v>
      </c>
      <c r="I872" t="s">
        <v>54</v>
      </c>
      <c r="Z872">
        <v>105546</v>
      </c>
    </row>
    <row r="873" spans="1:26" x14ac:dyDescent="0.25">
      <c r="A873" t="s">
        <v>1119</v>
      </c>
      <c r="B873" t="s">
        <v>27</v>
      </c>
      <c r="C873" t="s">
        <v>28</v>
      </c>
      <c r="H873" s="2">
        <v>45950.614675925928</v>
      </c>
      <c r="I873" t="s">
        <v>54</v>
      </c>
      <c r="Z873">
        <v>105545</v>
      </c>
    </row>
    <row r="874" spans="1:26" x14ac:dyDescent="0.25">
      <c r="A874" t="s">
        <v>1120</v>
      </c>
      <c r="B874" t="s">
        <v>27</v>
      </c>
      <c r="C874" t="s">
        <v>28</v>
      </c>
      <c r="H874" s="2">
        <v>45950.506828703707</v>
      </c>
      <c r="I874" t="s">
        <v>56</v>
      </c>
      <c r="Z874">
        <v>105535</v>
      </c>
    </row>
    <row r="875" spans="1:26" x14ac:dyDescent="0.25">
      <c r="A875" t="s">
        <v>1121</v>
      </c>
      <c r="B875" t="s">
        <v>58</v>
      </c>
      <c r="C875" t="s">
        <v>28</v>
      </c>
      <c r="E875" t="s">
        <v>1122</v>
      </c>
      <c r="G875" t="s">
        <v>1123</v>
      </c>
      <c r="H875" s="2">
        <v>45950.461921296293</v>
      </c>
      <c r="I875" t="s">
        <v>56</v>
      </c>
      <c r="Z875">
        <v>105528</v>
      </c>
    </row>
    <row r="876" spans="1:26" x14ac:dyDescent="0.25">
      <c r="A876" t="s">
        <v>1124</v>
      </c>
      <c r="B876" t="s">
        <v>27</v>
      </c>
      <c r="C876" t="s">
        <v>28</v>
      </c>
      <c r="H876" s="2">
        <v>45950.457974537036</v>
      </c>
      <c r="I876" t="s">
        <v>56</v>
      </c>
      <c r="Z876">
        <v>105526</v>
      </c>
    </row>
    <row r="877" spans="1:26" x14ac:dyDescent="0.25">
      <c r="A877" t="s">
        <v>1125</v>
      </c>
      <c r="B877" t="s">
        <v>27</v>
      </c>
      <c r="C877" t="s">
        <v>28</v>
      </c>
      <c r="H877" s="2">
        <v>45949.668356481481</v>
      </c>
      <c r="I877" t="s">
        <v>56</v>
      </c>
      <c r="Z877">
        <v>105505</v>
      </c>
    </row>
    <row r="878" spans="1:26" x14ac:dyDescent="0.25">
      <c r="A878" t="s">
        <v>1126</v>
      </c>
      <c r="B878" t="s">
        <v>27</v>
      </c>
      <c r="C878" t="s">
        <v>28</v>
      </c>
      <c r="H878" s="2">
        <v>45948.662546296298</v>
      </c>
      <c r="I878" t="s">
        <v>56</v>
      </c>
      <c r="Z878">
        <v>105485</v>
      </c>
    </row>
    <row r="879" spans="1:26" x14ac:dyDescent="0.25">
      <c r="A879" t="s">
        <v>1127</v>
      </c>
      <c r="B879" t="s">
        <v>27</v>
      </c>
      <c r="C879" t="s">
        <v>28</v>
      </c>
      <c r="H879" s="2">
        <v>45948.531805555554</v>
      </c>
      <c r="I879" t="s">
        <v>56</v>
      </c>
      <c r="Z879">
        <v>105480</v>
      </c>
    </row>
    <row r="880" spans="1:26" x14ac:dyDescent="0.25">
      <c r="A880" t="s">
        <v>1128</v>
      </c>
      <c r="B880" t="s">
        <v>27</v>
      </c>
      <c r="C880" t="s">
        <v>28</v>
      </c>
      <c r="H880" s="2">
        <v>45948.501620370371</v>
      </c>
      <c r="I880" t="s">
        <v>556</v>
      </c>
      <c r="Z880">
        <v>105478</v>
      </c>
    </row>
    <row r="881" spans="1:26" x14ac:dyDescent="0.25">
      <c r="A881" t="s">
        <v>1129</v>
      </c>
      <c r="B881" t="s">
        <v>27</v>
      </c>
      <c r="C881" t="s">
        <v>28</v>
      </c>
      <c r="H881" s="2">
        <v>45948.473379629628</v>
      </c>
      <c r="I881" t="s">
        <v>56</v>
      </c>
      <c r="Z881">
        <v>105475</v>
      </c>
    </row>
    <row r="882" spans="1:26" x14ac:dyDescent="0.25">
      <c r="A882" t="s">
        <v>1130</v>
      </c>
      <c r="B882" t="s">
        <v>27</v>
      </c>
      <c r="C882" t="s">
        <v>28</v>
      </c>
      <c r="H882" s="2">
        <v>45947.725185185183</v>
      </c>
      <c r="I882" t="s">
        <v>31</v>
      </c>
      <c r="Z882">
        <v>105469</v>
      </c>
    </row>
    <row r="883" spans="1:26" x14ac:dyDescent="0.25">
      <c r="A883" t="s">
        <v>1131</v>
      </c>
      <c r="B883" t="s">
        <v>27</v>
      </c>
      <c r="C883" t="s">
        <v>28</v>
      </c>
      <c r="H883" s="2">
        <v>45947.567361111112</v>
      </c>
      <c r="I883" t="s">
        <v>556</v>
      </c>
      <c r="Z883">
        <v>105461</v>
      </c>
    </row>
    <row r="884" spans="1:26" x14ac:dyDescent="0.25">
      <c r="A884" t="s">
        <v>1132</v>
      </c>
      <c r="B884" t="s">
        <v>27</v>
      </c>
      <c r="C884" t="s">
        <v>28</v>
      </c>
      <c r="H884" s="2">
        <v>45947.417314814818</v>
      </c>
      <c r="I884" t="s">
        <v>54</v>
      </c>
      <c r="Z884">
        <v>105451</v>
      </c>
    </row>
    <row r="885" spans="1:26" x14ac:dyDescent="0.25">
      <c r="A885" t="s">
        <v>1133</v>
      </c>
      <c r="B885" t="s">
        <v>27</v>
      </c>
      <c r="C885" t="s">
        <v>28</v>
      </c>
      <c r="H885" s="2">
        <v>45946.537418981483</v>
      </c>
      <c r="I885" t="s">
        <v>31</v>
      </c>
      <c r="Z885">
        <v>105427</v>
      </c>
    </row>
    <row r="886" spans="1:26" x14ac:dyDescent="0.25">
      <c r="A886" t="s">
        <v>1134</v>
      </c>
      <c r="B886" t="s">
        <v>27</v>
      </c>
      <c r="C886" t="s">
        <v>28</v>
      </c>
      <c r="H886" s="2">
        <v>45945.721932870372</v>
      </c>
      <c r="I886" t="s">
        <v>54</v>
      </c>
      <c r="Z886">
        <v>105416</v>
      </c>
    </row>
    <row r="887" spans="1:26" x14ac:dyDescent="0.25">
      <c r="A887" t="s">
        <v>1135</v>
      </c>
      <c r="B887" t="s">
        <v>74</v>
      </c>
      <c r="C887" t="s">
        <v>28</v>
      </c>
      <c r="E887" t="s">
        <v>1136</v>
      </c>
      <c r="G887" t="s">
        <v>1137</v>
      </c>
      <c r="H887" s="2">
        <v>45945.62804398148</v>
      </c>
      <c r="I887" t="s">
        <v>31</v>
      </c>
      <c r="Z887">
        <v>105409</v>
      </c>
    </row>
    <row r="888" spans="1:26" x14ac:dyDescent="0.25">
      <c r="A888" t="s">
        <v>1138</v>
      </c>
      <c r="B888" t="s">
        <v>27</v>
      </c>
      <c r="C888" t="s">
        <v>28</v>
      </c>
      <c r="H888" s="2">
        <v>45945.461967592593</v>
      </c>
      <c r="I888" t="s">
        <v>54</v>
      </c>
      <c r="Z888">
        <v>105398</v>
      </c>
    </row>
    <row r="889" spans="1:26" x14ac:dyDescent="0.25">
      <c r="A889" t="s">
        <v>1139</v>
      </c>
      <c r="B889" t="s">
        <v>27</v>
      </c>
      <c r="C889" t="s">
        <v>28</v>
      </c>
      <c r="H889" s="2">
        <v>45945.460057870368</v>
      </c>
      <c r="I889" t="s">
        <v>54</v>
      </c>
      <c r="Z889">
        <v>105397</v>
      </c>
    </row>
    <row r="890" spans="1:26" x14ac:dyDescent="0.25">
      <c r="A890" t="s">
        <v>1140</v>
      </c>
      <c r="B890" t="s">
        <v>27</v>
      </c>
      <c r="C890" t="s">
        <v>28</v>
      </c>
      <c r="H890" s="2">
        <v>45945.391481481478</v>
      </c>
      <c r="I890" t="s">
        <v>31</v>
      </c>
      <c r="Z890">
        <v>105390</v>
      </c>
    </row>
    <row r="891" spans="1:26" x14ac:dyDescent="0.25">
      <c r="A891" t="s">
        <v>1141</v>
      </c>
      <c r="B891" t="s">
        <v>46</v>
      </c>
      <c r="C891" t="s">
        <v>28</v>
      </c>
      <c r="E891" t="s">
        <v>1142</v>
      </c>
      <c r="H891" s="2">
        <v>45944.920555555553</v>
      </c>
      <c r="I891" t="s">
        <v>54</v>
      </c>
      <c r="K891" t="s">
        <v>48</v>
      </c>
      <c r="Z891">
        <v>105387</v>
      </c>
    </row>
    <row r="892" spans="1:26" x14ac:dyDescent="0.25">
      <c r="A892" t="s">
        <v>1143</v>
      </c>
      <c r="B892" t="s">
        <v>27</v>
      </c>
      <c r="C892" t="s">
        <v>28</v>
      </c>
      <c r="H892" s="2">
        <v>45944.851226851853</v>
      </c>
      <c r="I892" t="s">
        <v>56</v>
      </c>
      <c r="Z892">
        <v>105386</v>
      </c>
    </row>
    <row r="893" spans="1:26" x14ac:dyDescent="0.25">
      <c r="A893" t="s">
        <v>1144</v>
      </c>
      <c r="B893" t="s">
        <v>27</v>
      </c>
      <c r="C893" t="s">
        <v>28</v>
      </c>
      <c r="H893" s="2">
        <v>45944.696712962963</v>
      </c>
      <c r="I893" t="s">
        <v>56</v>
      </c>
      <c r="Z893">
        <v>105379</v>
      </c>
    </row>
    <row r="894" spans="1:26" x14ac:dyDescent="0.25">
      <c r="A894" t="s">
        <v>1145</v>
      </c>
      <c r="B894" t="s">
        <v>27</v>
      </c>
      <c r="C894" t="s">
        <v>28</v>
      </c>
      <c r="H894" s="2">
        <v>45944.407685185186</v>
      </c>
      <c r="I894" t="s">
        <v>54</v>
      </c>
      <c r="Z894">
        <v>105356</v>
      </c>
    </row>
    <row r="895" spans="1:26" x14ac:dyDescent="0.25">
      <c r="A895" t="s">
        <v>1146</v>
      </c>
      <c r="B895" t="s">
        <v>27</v>
      </c>
      <c r="C895" t="s">
        <v>28</v>
      </c>
      <c r="H895" s="2">
        <v>45943.765162037038</v>
      </c>
      <c r="I895" t="s">
        <v>56</v>
      </c>
      <c r="Z895">
        <v>105346</v>
      </c>
    </row>
    <row r="896" spans="1:26" x14ac:dyDescent="0.25">
      <c r="A896" t="s">
        <v>1147</v>
      </c>
      <c r="B896" t="s">
        <v>27</v>
      </c>
      <c r="C896" t="s">
        <v>28</v>
      </c>
      <c r="H896" s="2">
        <v>45943.718206018515</v>
      </c>
      <c r="I896" t="s">
        <v>56</v>
      </c>
      <c r="Z896">
        <v>105343</v>
      </c>
    </row>
    <row r="897" spans="1:26" x14ac:dyDescent="0.25">
      <c r="A897" t="s">
        <v>1148</v>
      </c>
      <c r="B897" t="s">
        <v>27</v>
      </c>
      <c r="C897" t="s">
        <v>28</v>
      </c>
      <c r="H897" s="2">
        <v>45943.568425925929</v>
      </c>
      <c r="I897" t="s">
        <v>54</v>
      </c>
      <c r="Z897">
        <v>105336</v>
      </c>
    </row>
    <row r="898" spans="1:26" x14ac:dyDescent="0.25">
      <c r="A898" t="s">
        <v>1149</v>
      </c>
      <c r="B898" t="s">
        <v>27</v>
      </c>
      <c r="C898" t="s">
        <v>28</v>
      </c>
      <c r="H898" s="2">
        <v>45942.670578703706</v>
      </c>
      <c r="I898" t="s">
        <v>556</v>
      </c>
      <c r="Z898">
        <v>105321</v>
      </c>
    </row>
    <row r="899" spans="1:26" x14ac:dyDescent="0.25">
      <c r="A899" t="s">
        <v>1150</v>
      </c>
      <c r="B899" t="s">
        <v>74</v>
      </c>
      <c r="C899" t="s">
        <v>28</v>
      </c>
      <c r="E899" t="s">
        <v>1151</v>
      </c>
      <c r="G899" t="s">
        <v>1152</v>
      </c>
      <c r="H899" s="2">
        <v>45942.585497685184</v>
      </c>
      <c r="I899" t="s">
        <v>56</v>
      </c>
      <c r="K899" t="s">
        <v>34</v>
      </c>
      <c r="L899" t="s">
        <v>35</v>
      </c>
      <c r="M899" t="s">
        <v>1153</v>
      </c>
      <c r="N899">
        <v>16989307930</v>
      </c>
      <c r="O899" t="s">
        <v>1154</v>
      </c>
      <c r="Z899">
        <v>105315</v>
      </c>
    </row>
    <row r="900" spans="1:26" x14ac:dyDescent="0.25">
      <c r="A900" t="s">
        <v>1155</v>
      </c>
      <c r="B900" t="s">
        <v>27</v>
      </c>
      <c r="C900" t="s">
        <v>28</v>
      </c>
      <c r="H900" s="2">
        <v>45942.528923611113</v>
      </c>
      <c r="I900" t="s">
        <v>56</v>
      </c>
      <c r="Z900">
        <v>105313</v>
      </c>
    </row>
    <row r="901" spans="1:26" x14ac:dyDescent="0.25">
      <c r="A901" t="s">
        <v>1156</v>
      </c>
      <c r="B901" t="s">
        <v>27</v>
      </c>
      <c r="C901" t="s">
        <v>28</v>
      </c>
      <c r="H901" s="2">
        <v>45942.5153125</v>
      </c>
      <c r="I901" t="s">
        <v>556</v>
      </c>
      <c r="Z901">
        <v>105312</v>
      </c>
    </row>
    <row r="902" spans="1:26" x14ac:dyDescent="0.25">
      <c r="A902" t="s">
        <v>606</v>
      </c>
      <c r="B902" t="s">
        <v>306</v>
      </c>
      <c r="C902" t="s">
        <v>28</v>
      </c>
      <c r="E902" t="s">
        <v>370</v>
      </c>
      <c r="H902" s="2">
        <v>45942.456967592596</v>
      </c>
      <c r="I902" t="s">
        <v>56</v>
      </c>
      <c r="Z902">
        <v>105310</v>
      </c>
    </row>
    <row r="903" spans="1:26" x14ac:dyDescent="0.25">
      <c r="A903" t="s">
        <v>1157</v>
      </c>
      <c r="B903" t="s">
        <v>27</v>
      </c>
      <c r="C903" t="s">
        <v>28</v>
      </c>
      <c r="H903" s="2">
        <v>45942.381076388891</v>
      </c>
      <c r="I903" t="s">
        <v>56</v>
      </c>
      <c r="Z903">
        <v>105304</v>
      </c>
    </row>
    <row r="904" spans="1:26" x14ac:dyDescent="0.25">
      <c r="A904" t="s">
        <v>1158</v>
      </c>
      <c r="B904" t="s">
        <v>74</v>
      </c>
      <c r="C904" t="s">
        <v>28</v>
      </c>
      <c r="E904" t="s">
        <v>1159</v>
      </c>
      <c r="G904" t="s">
        <v>1160</v>
      </c>
      <c r="H904" s="2">
        <v>45941.420231481483</v>
      </c>
      <c r="I904" t="s">
        <v>31</v>
      </c>
      <c r="Z904">
        <v>105284</v>
      </c>
    </row>
    <row r="905" spans="1:26" x14ac:dyDescent="0.25">
      <c r="A905" t="s">
        <v>1161</v>
      </c>
      <c r="B905" t="s">
        <v>27</v>
      </c>
      <c r="C905" t="s">
        <v>28</v>
      </c>
      <c r="H905" s="2">
        <v>45940.579942129632</v>
      </c>
      <c r="I905" t="s">
        <v>31</v>
      </c>
      <c r="Z905">
        <v>105271</v>
      </c>
    </row>
    <row r="906" spans="1:26" x14ac:dyDescent="0.25">
      <c r="A906" t="s">
        <v>1162</v>
      </c>
      <c r="B906" t="s">
        <v>27</v>
      </c>
      <c r="C906" t="s">
        <v>28</v>
      </c>
      <c r="H906" s="2">
        <v>45940.555312500001</v>
      </c>
      <c r="I906" t="s">
        <v>556</v>
      </c>
      <c r="Z906">
        <v>105269</v>
      </c>
    </row>
    <row r="907" spans="1:26" x14ac:dyDescent="0.25">
      <c r="A907" t="s">
        <v>1163</v>
      </c>
      <c r="B907" t="s">
        <v>27</v>
      </c>
      <c r="C907" t="s">
        <v>28</v>
      </c>
      <c r="H907" s="2">
        <v>45940.52721064815</v>
      </c>
      <c r="I907" t="s">
        <v>31</v>
      </c>
      <c r="Z907">
        <v>105267</v>
      </c>
    </row>
    <row r="908" spans="1:26" x14ac:dyDescent="0.25">
      <c r="A908" t="s">
        <v>1164</v>
      </c>
      <c r="B908" t="s">
        <v>27</v>
      </c>
      <c r="C908" t="s">
        <v>28</v>
      </c>
      <c r="H908" s="2">
        <v>45939.837858796294</v>
      </c>
      <c r="I908" t="s">
        <v>54</v>
      </c>
      <c r="Z908">
        <v>105256</v>
      </c>
    </row>
    <row r="909" spans="1:26" x14ac:dyDescent="0.25">
      <c r="A909" t="s">
        <v>1165</v>
      </c>
      <c r="B909" t="s">
        <v>27</v>
      </c>
      <c r="C909" t="s">
        <v>28</v>
      </c>
      <c r="H909" s="2">
        <v>45939.768287037034</v>
      </c>
      <c r="I909" t="s">
        <v>54</v>
      </c>
      <c r="Z909">
        <v>105255</v>
      </c>
    </row>
    <row r="910" spans="1:26" x14ac:dyDescent="0.25">
      <c r="A910" t="s">
        <v>1166</v>
      </c>
      <c r="B910" t="s">
        <v>27</v>
      </c>
      <c r="C910" t="s">
        <v>28</v>
      </c>
      <c r="H910" s="2">
        <v>45939.581238425926</v>
      </c>
      <c r="I910" t="s">
        <v>54</v>
      </c>
      <c r="Z910">
        <v>105244</v>
      </c>
    </row>
    <row r="911" spans="1:26" x14ac:dyDescent="0.25">
      <c r="A911" t="s">
        <v>1167</v>
      </c>
      <c r="B911" t="s">
        <v>27</v>
      </c>
      <c r="C911" t="s">
        <v>28</v>
      </c>
      <c r="H911" s="2">
        <v>45939.545763888891</v>
      </c>
      <c r="I911" t="s">
        <v>54</v>
      </c>
      <c r="Z911">
        <v>105242</v>
      </c>
    </row>
    <row r="912" spans="1:26" x14ac:dyDescent="0.25">
      <c r="A912" t="s">
        <v>1168</v>
      </c>
      <c r="B912" t="s">
        <v>74</v>
      </c>
      <c r="C912" t="s">
        <v>28</v>
      </c>
      <c r="E912" t="s">
        <v>427</v>
      </c>
      <c r="G912" t="s">
        <v>1169</v>
      </c>
      <c r="H912" s="2">
        <v>45938.961851851855</v>
      </c>
      <c r="I912" t="s">
        <v>54</v>
      </c>
      <c r="Z912">
        <v>105228</v>
      </c>
    </row>
    <row r="913" spans="1:26" x14ac:dyDescent="0.25">
      <c r="A913" t="s">
        <v>1170</v>
      </c>
      <c r="B913" t="s">
        <v>27</v>
      </c>
      <c r="C913" t="s">
        <v>28</v>
      </c>
      <c r="H913" s="2">
        <v>45938.39603009259</v>
      </c>
      <c r="I913" t="s">
        <v>56</v>
      </c>
      <c r="Z913">
        <v>105209</v>
      </c>
    </row>
    <row r="914" spans="1:26" x14ac:dyDescent="0.25">
      <c r="A914" t="s">
        <v>1171</v>
      </c>
      <c r="B914" t="s">
        <v>27</v>
      </c>
      <c r="C914" t="s">
        <v>28</v>
      </c>
      <c r="H914" s="2">
        <v>45937.675057870372</v>
      </c>
      <c r="I914" t="s">
        <v>56</v>
      </c>
      <c r="Z914">
        <v>105194</v>
      </c>
    </row>
    <row r="915" spans="1:26" x14ac:dyDescent="0.25">
      <c r="A915" t="s">
        <v>1172</v>
      </c>
      <c r="B915" t="s">
        <v>27</v>
      </c>
      <c r="C915" t="s">
        <v>28</v>
      </c>
      <c r="H915" s="2">
        <v>45937.658622685187</v>
      </c>
      <c r="I915" t="s">
        <v>56</v>
      </c>
      <c r="Z915">
        <v>105191</v>
      </c>
    </row>
    <row r="916" spans="1:26" x14ac:dyDescent="0.25">
      <c r="A916" t="s">
        <v>1173</v>
      </c>
      <c r="B916" t="s">
        <v>74</v>
      </c>
      <c r="C916" t="s">
        <v>28</v>
      </c>
      <c r="E916" t="s">
        <v>1174</v>
      </c>
      <c r="G916" t="s">
        <v>1175</v>
      </c>
      <c r="H916" s="2">
        <v>45937.612002314818</v>
      </c>
      <c r="I916" t="s">
        <v>80</v>
      </c>
      <c r="K916" t="s">
        <v>34</v>
      </c>
      <c r="L916" t="s">
        <v>35</v>
      </c>
      <c r="M916" t="s">
        <v>758</v>
      </c>
      <c r="N916">
        <v>16978047697</v>
      </c>
      <c r="O916" t="s">
        <v>1176</v>
      </c>
      <c r="Z916">
        <v>105189</v>
      </c>
    </row>
    <row r="917" spans="1:26" x14ac:dyDescent="0.25">
      <c r="A917" t="s">
        <v>1100</v>
      </c>
      <c r="B917" t="s">
        <v>27</v>
      </c>
      <c r="C917" t="s">
        <v>28</v>
      </c>
      <c r="H917" s="2">
        <v>45937.590648148151</v>
      </c>
      <c r="I917" t="s">
        <v>56</v>
      </c>
      <c r="Z917">
        <v>105187</v>
      </c>
    </row>
    <row r="918" spans="1:26" x14ac:dyDescent="0.25">
      <c r="A918" t="s">
        <v>1177</v>
      </c>
      <c r="B918" t="s">
        <v>27</v>
      </c>
      <c r="C918" t="s">
        <v>28</v>
      </c>
      <c r="H918" s="2">
        <v>45937.509131944447</v>
      </c>
      <c r="I918" t="s">
        <v>56</v>
      </c>
      <c r="Z918">
        <v>105178</v>
      </c>
    </row>
    <row r="919" spans="1:26" x14ac:dyDescent="0.25">
      <c r="A919" t="s">
        <v>1178</v>
      </c>
      <c r="B919" t="s">
        <v>27</v>
      </c>
      <c r="C919" t="s">
        <v>28</v>
      </c>
      <c r="H919" s="2">
        <v>45937.475636574076</v>
      </c>
      <c r="I919" t="s">
        <v>56</v>
      </c>
      <c r="Z919">
        <v>105176</v>
      </c>
    </row>
    <row r="920" spans="1:26" x14ac:dyDescent="0.25">
      <c r="A920" t="s">
        <v>1179</v>
      </c>
      <c r="B920" t="s">
        <v>27</v>
      </c>
      <c r="C920" t="s">
        <v>28</v>
      </c>
      <c r="H920" s="2">
        <v>45937.39471064815</v>
      </c>
      <c r="I920" t="s">
        <v>56</v>
      </c>
      <c r="Z920">
        <v>105169</v>
      </c>
    </row>
    <row r="921" spans="1:26" x14ac:dyDescent="0.25">
      <c r="A921" t="s">
        <v>1180</v>
      </c>
      <c r="B921" t="s">
        <v>74</v>
      </c>
      <c r="C921" t="s">
        <v>28</v>
      </c>
      <c r="E921" t="s">
        <v>61</v>
      </c>
      <c r="G921" t="s">
        <v>1181</v>
      </c>
      <c r="H921" s="2">
        <v>45936.973067129627</v>
      </c>
      <c r="I921" t="s">
        <v>54</v>
      </c>
      <c r="Z921">
        <v>105164</v>
      </c>
    </row>
    <row r="922" spans="1:26" x14ac:dyDescent="0.25">
      <c r="A922" t="s">
        <v>1182</v>
      </c>
      <c r="B922" t="s">
        <v>58</v>
      </c>
      <c r="C922" t="s">
        <v>28</v>
      </c>
      <c r="E922" t="s">
        <v>156</v>
      </c>
      <c r="H922" s="2">
        <v>45936.933888888889</v>
      </c>
      <c r="I922" t="s">
        <v>54</v>
      </c>
      <c r="Z922">
        <v>105163</v>
      </c>
    </row>
    <row r="923" spans="1:26" x14ac:dyDescent="0.25">
      <c r="A923" t="s">
        <v>1183</v>
      </c>
      <c r="B923" t="s">
        <v>27</v>
      </c>
      <c r="C923" t="s">
        <v>28</v>
      </c>
      <c r="H923" s="2">
        <v>45936.72079861111</v>
      </c>
      <c r="I923" t="s">
        <v>56</v>
      </c>
      <c r="Z923">
        <v>105156</v>
      </c>
    </row>
    <row r="924" spans="1:26" x14ac:dyDescent="0.25">
      <c r="A924" t="s">
        <v>1184</v>
      </c>
      <c r="B924" t="s">
        <v>27</v>
      </c>
      <c r="C924" t="s">
        <v>28</v>
      </c>
      <c r="H924" s="2">
        <v>45936.618171296293</v>
      </c>
      <c r="I924" t="s">
        <v>556</v>
      </c>
      <c r="Z924">
        <v>105147</v>
      </c>
    </row>
    <row r="925" spans="1:26" x14ac:dyDescent="0.25">
      <c r="A925" t="s">
        <v>1185</v>
      </c>
      <c r="B925" t="s">
        <v>27</v>
      </c>
      <c r="C925" t="s">
        <v>28</v>
      </c>
      <c r="H925" s="2">
        <v>45936.493773148148</v>
      </c>
      <c r="I925" t="s">
        <v>56</v>
      </c>
      <c r="Z925">
        <v>105138</v>
      </c>
    </row>
    <row r="926" spans="1:26" x14ac:dyDescent="0.25">
      <c r="A926" t="s">
        <v>1186</v>
      </c>
      <c r="B926" t="s">
        <v>27</v>
      </c>
      <c r="C926" t="s">
        <v>28</v>
      </c>
      <c r="H926" s="2">
        <v>45936.492118055554</v>
      </c>
      <c r="I926" t="s">
        <v>56</v>
      </c>
      <c r="Z926">
        <v>105137</v>
      </c>
    </row>
    <row r="927" spans="1:26" x14ac:dyDescent="0.25">
      <c r="A927" t="s">
        <v>1187</v>
      </c>
      <c r="B927" t="s">
        <v>27</v>
      </c>
      <c r="C927" t="s">
        <v>28</v>
      </c>
      <c r="H927" s="2">
        <v>45936.463703703703</v>
      </c>
      <c r="I927" t="s">
        <v>1068</v>
      </c>
      <c r="Z927">
        <v>105134</v>
      </c>
    </row>
    <row r="928" spans="1:26" x14ac:dyDescent="0.25">
      <c r="A928" t="s">
        <v>1188</v>
      </c>
      <c r="B928" t="s">
        <v>74</v>
      </c>
      <c r="C928" t="s">
        <v>28</v>
      </c>
      <c r="E928" t="s">
        <v>1189</v>
      </c>
      <c r="G928" t="s">
        <v>1190</v>
      </c>
      <c r="H928" s="2">
        <v>45936.398657407408</v>
      </c>
      <c r="I928" t="s">
        <v>56</v>
      </c>
      <c r="Z928">
        <v>105129</v>
      </c>
    </row>
    <row r="929" spans="1:26" x14ac:dyDescent="0.25">
      <c r="A929" t="s">
        <v>1191</v>
      </c>
      <c r="B929" t="s">
        <v>27</v>
      </c>
      <c r="C929" t="s">
        <v>28</v>
      </c>
      <c r="H929" s="2">
        <v>45935.741493055553</v>
      </c>
      <c r="I929" t="s">
        <v>556</v>
      </c>
      <c r="Z929">
        <v>105122</v>
      </c>
    </row>
    <row r="930" spans="1:26" x14ac:dyDescent="0.25">
      <c r="A930" t="s">
        <v>1192</v>
      </c>
      <c r="B930" t="s">
        <v>27</v>
      </c>
      <c r="C930" t="s">
        <v>28</v>
      </c>
      <c r="H930" s="2">
        <v>45935.520775462966</v>
      </c>
      <c r="I930" t="s">
        <v>31</v>
      </c>
      <c r="Z930">
        <v>105108</v>
      </c>
    </row>
    <row r="931" spans="1:26" x14ac:dyDescent="0.25">
      <c r="A931" t="s">
        <v>336</v>
      </c>
      <c r="B931" t="s">
        <v>74</v>
      </c>
      <c r="C931" t="s">
        <v>28</v>
      </c>
      <c r="E931" t="s">
        <v>1193</v>
      </c>
      <c r="G931" t="s">
        <v>1194</v>
      </c>
      <c r="H931" s="2">
        <v>45934.754108796296</v>
      </c>
      <c r="I931" t="s">
        <v>31</v>
      </c>
      <c r="Z931">
        <v>105096</v>
      </c>
    </row>
    <row r="932" spans="1:26" x14ac:dyDescent="0.25">
      <c r="A932" t="s">
        <v>1195</v>
      </c>
      <c r="B932" t="s">
        <v>27</v>
      </c>
      <c r="C932" t="s">
        <v>28</v>
      </c>
      <c r="H932" s="2">
        <v>45934.722766203704</v>
      </c>
      <c r="I932" t="s">
        <v>31</v>
      </c>
      <c r="Z932">
        <v>105093</v>
      </c>
    </row>
    <row r="933" spans="1:26" x14ac:dyDescent="0.25">
      <c r="A933" t="s">
        <v>663</v>
      </c>
      <c r="B933" t="s">
        <v>46</v>
      </c>
      <c r="C933" t="s">
        <v>28</v>
      </c>
      <c r="E933" t="s">
        <v>146</v>
      </c>
      <c r="H933" s="2">
        <v>45934.675497685188</v>
      </c>
      <c r="I933" t="s">
        <v>80</v>
      </c>
      <c r="K933" t="s">
        <v>48</v>
      </c>
      <c r="Z933">
        <v>105089</v>
      </c>
    </row>
    <row r="934" spans="1:26" x14ac:dyDescent="0.25">
      <c r="A934" t="s">
        <v>1196</v>
      </c>
      <c r="B934" t="s">
        <v>27</v>
      </c>
      <c r="C934" t="s">
        <v>28</v>
      </c>
      <c r="H934" s="2">
        <v>45934.670659722222</v>
      </c>
      <c r="I934" t="s">
        <v>31</v>
      </c>
      <c r="Z934">
        <v>105088</v>
      </c>
    </row>
    <row r="935" spans="1:26" x14ac:dyDescent="0.25">
      <c r="A935" t="s">
        <v>1197</v>
      </c>
      <c r="B935" t="s">
        <v>74</v>
      </c>
      <c r="C935" t="s">
        <v>75</v>
      </c>
      <c r="E935" t="s">
        <v>101</v>
      </c>
      <c r="G935" t="s">
        <v>1198</v>
      </c>
      <c r="H935" s="2">
        <v>45933.840949074074</v>
      </c>
      <c r="I935" t="s">
        <v>31</v>
      </c>
      <c r="Z935">
        <v>105075</v>
      </c>
    </row>
    <row r="936" spans="1:26" x14ac:dyDescent="0.25">
      <c r="A936" t="s">
        <v>1199</v>
      </c>
      <c r="B936" t="s">
        <v>27</v>
      </c>
      <c r="C936" t="s">
        <v>28</v>
      </c>
      <c r="H936" s="2">
        <v>45933.778402777774</v>
      </c>
      <c r="I936" t="s">
        <v>54</v>
      </c>
      <c r="Z936">
        <v>105074</v>
      </c>
    </row>
    <row r="937" spans="1:26" x14ac:dyDescent="0.25">
      <c r="A937" t="s">
        <v>336</v>
      </c>
      <c r="B937" t="s">
        <v>27</v>
      </c>
      <c r="C937" t="s">
        <v>28</v>
      </c>
      <c r="H937" s="2">
        <v>45933.652997685182</v>
      </c>
      <c r="I937" t="s">
        <v>31</v>
      </c>
      <c r="Z937">
        <v>105064</v>
      </c>
    </row>
    <row r="938" spans="1:26" x14ac:dyDescent="0.25">
      <c r="A938" t="s">
        <v>1200</v>
      </c>
      <c r="B938" t="s">
        <v>27</v>
      </c>
      <c r="C938" t="s">
        <v>28</v>
      </c>
      <c r="H938" s="2">
        <v>45933.652094907404</v>
      </c>
      <c r="I938" t="s">
        <v>31</v>
      </c>
      <c r="Z938">
        <v>105063</v>
      </c>
    </row>
    <row r="939" spans="1:26" x14ac:dyDescent="0.25">
      <c r="A939" t="s">
        <v>1201</v>
      </c>
      <c r="B939" t="s">
        <v>27</v>
      </c>
      <c r="C939" t="s">
        <v>28</v>
      </c>
      <c r="H939" s="2">
        <v>45933.614618055559</v>
      </c>
      <c r="I939" t="s">
        <v>31</v>
      </c>
      <c r="Z939">
        <v>105061</v>
      </c>
    </row>
    <row r="940" spans="1:26" x14ac:dyDescent="0.25">
      <c r="A940" t="s">
        <v>1202</v>
      </c>
      <c r="B940" t="s">
        <v>27</v>
      </c>
      <c r="C940" t="s">
        <v>185</v>
      </c>
      <c r="H940" s="2">
        <v>45933.580567129633</v>
      </c>
      <c r="I940" t="s">
        <v>54</v>
      </c>
      <c r="Z940">
        <v>105060</v>
      </c>
    </row>
    <row r="941" spans="1:26" x14ac:dyDescent="0.25">
      <c r="A941" t="s">
        <v>336</v>
      </c>
      <c r="B941" t="s">
        <v>74</v>
      </c>
      <c r="C941" t="s">
        <v>28</v>
      </c>
      <c r="E941" t="s">
        <v>198</v>
      </c>
      <c r="G941" t="s">
        <v>1203</v>
      </c>
      <c r="H941" s="2">
        <v>45933.576898148145</v>
      </c>
      <c r="I941" t="s">
        <v>31</v>
      </c>
      <c r="Z941">
        <v>105057</v>
      </c>
    </row>
    <row r="942" spans="1:26" x14ac:dyDescent="0.25">
      <c r="A942" t="s">
        <v>1204</v>
      </c>
      <c r="B942" t="s">
        <v>27</v>
      </c>
      <c r="C942" t="s">
        <v>28</v>
      </c>
      <c r="H942" s="2">
        <v>45933.522743055553</v>
      </c>
      <c r="I942" t="s">
        <v>31</v>
      </c>
      <c r="Z942">
        <v>105051</v>
      </c>
    </row>
    <row r="943" spans="1:26" x14ac:dyDescent="0.25">
      <c r="A943" t="s">
        <v>1205</v>
      </c>
      <c r="B943" t="s">
        <v>74</v>
      </c>
      <c r="C943" t="s">
        <v>28</v>
      </c>
      <c r="E943" t="s">
        <v>1206</v>
      </c>
      <c r="G943" t="s">
        <v>1207</v>
      </c>
      <c r="H943" s="2">
        <v>45932.487905092596</v>
      </c>
      <c r="I943" t="s">
        <v>54</v>
      </c>
      <c r="Z943">
        <v>105022</v>
      </c>
    </row>
    <row r="944" spans="1:26" x14ac:dyDescent="0.25">
      <c r="A944" t="s">
        <v>1208</v>
      </c>
      <c r="B944" t="s">
        <v>27</v>
      </c>
      <c r="C944" t="s">
        <v>28</v>
      </c>
      <c r="H944" s="2">
        <v>45932.413275462961</v>
      </c>
      <c r="I944" t="s">
        <v>54</v>
      </c>
      <c r="Z944">
        <v>105013</v>
      </c>
    </row>
    <row r="945" spans="1:26" x14ac:dyDescent="0.25">
      <c r="A945" t="s">
        <v>1209</v>
      </c>
      <c r="B945" t="s">
        <v>27</v>
      </c>
      <c r="C945" t="s">
        <v>28</v>
      </c>
      <c r="H945" s="2">
        <v>45932.391446759262</v>
      </c>
      <c r="I945" t="s">
        <v>56</v>
      </c>
      <c r="Z945">
        <v>105012</v>
      </c>
    </row>
    <row r="946" spans="1:26" x14ac:dyDescent="0.25">
      <c r="A946" t="s">
        <v>1210</v>
      </c>
      <c r="B946" t="s">
        <v>74</v>
      </c>
      <c r="C946" t="s">
        <v>28</v>
      </c>
      <c r="E946" t="s">
        <v>1211</v>
      </c>
      <c r="G946" t="s">
        <v>1212</v>
      </c>
      <c r="H946" s="2">
        <v>45931.93209490741</v>
      </c>
      <c r="I946" t="s">
        <v>54</v>
      </c>
      <c r="Z946">
        <v>105010</v>
      </c>
    </row>
    <row r="947" spans="1:26" x14ac:dyDescent="0.25">
      <c r="A947" t="s">
        <v>1213</v>
      </c>
      <c r="B947" t="s">
        <v>27</v>
      </c>
      <c r="C947" t="s">
        <v>28</v>
      </c>
      <c r="H947" s="2">
        <v>45931.745219907411</v>
      </c>
      <c r="I947" t="s">
        <v>54</v>
      </c>
      <c r="Z947">
        <v>104998</v>
      </c>
    </row>
    <row r="948" spans="1:26" x14ac:dyDescent="0.25">
      <c r="A948" t="s">
        <v>1214</v>
      </c>
      <c r="B948" t="s">
        <v>46</v>
      </c>
      <c r="C948" t="s">
        <v>28</v>
      </c>
      <c r="E948" t="s">
        <v>1215</v>
      </c>
      <c r="H948" s="2">
        <v>45930.631307870368</v>
      </c>
      <c r="I948" t="s">
        <v>56</v>
      </c>
      <c r="K948" t="s">
        <v>48</v>
      </c>
      <c r="Z948">
        <v>104962</v>
      </c>
    </row>
    <row r="949" spans="1:26" x14ac:dyDescent="0.25">
      <c r="A949" t="s">
        <v>1216</v>
      </c>
      <c r="B949" t="s">
        <v>27</v>
      </c>
      <c r="C949" t="s">
        <v>28</v>
      </c>
      <c r="H949" s="2">
        <v>45930.553159722222</v>
      </c>
      <c r="I949" t="s">
        <v>56</v>
      </c>
      <c r="Z949">
        <v>104956</v>
      </c>
    </row>
    <row r="950" spans="1:26" x14ac:dyDescent="0.25">
      <c r="A950" t="s">
        <v>1217</v>
      </c>
      <c r="B950" t="s">
        <v>27</v>
      </c>
      <c r="C950" t="s">
        <v>28</v>
      </c>
      <c r="H950" s="2">
        <v>45930.483240740738</v>
      </c>
      <c r="I950" t="s">
        <v>56</v>
      </c>
      <c r="Z950">
        <v>104943</v>
      </c>
    </row>
    <row r="951" spans="1:26" x14ac:dyDescent="0.25">
      <c r="A951" t="s">
        <v>1218</v>
      </c>
      <c r="B951" t="s">
        <v>27</v>
      </c>
      <c r="C951" t="s">
        <v>28</v>
      </c>
      <c r="H951" s="2">
        <v>45930.392152777778</v>
      </c>
      <c r="I951" t="s">
        <v>556</v>
      </c>
      <c r="Z951">
        <v>104935</v>
      </c>
    </row>
    <row r="952" spans="1:26" x14ac:dyDescent="0.25">
      <c r="A952" t="s">
        <v>207</v>
      </c>
      <c r="B952" t="s">
        <v>27</v>
      </c>
      <c r="C952" t="s">
        <v>28</v>
      </c>
      <c r="H952" s="2">
        <v>45929.750439814816</v>
      </c>
      <c r="I952" t="s">
        <v>31</v>
      </c>
      <c r="Z952">
        <v>104925</v>
      </c>
    </row>
    <row r="953" spans="1:26" x14ac:dyDescent="0.25">
      <c r="A953" t="s">
        <v>1219</v>
      </c>
      <c r="B953" t="s">
        <v>27</v>
      </c>
      <c r="C953" t="s">
        <v>28</v>
      </c>
      <c r="H953" s="2">
        <v>45929.658935185187</v>
      </c>
      <c r="I953" t="s">
        <v>31</v>
      </c>
      <c r="Z953">
        <v>104921</v>
      </c>
    </row>
    <row r="954" spans="1:26" x14ac:dyDescent="0.25">
      <c r="A954" t="s">
        <v>1220</v>
      </c>
      <c r="B954" t="s">
        <v>27</v>
      </c>
      <c r="C954" t="s">
        <v>28</v>
      </c>
      <c r="H954" s="2">
        <v>45929.646597222221</v>
      </c>
      <c r="I954" t="s">
        <v>31</v>
      </c>
      <c r="Z954">
        <v>104919</v>
      </c>
    </row>
    <row r="955" spans="1:26" x14ac:dyDescent="0.25">
      <c r="A955" t="s">
        <v>1221</v>
      </c>
      <c r="B955" t="s">
        <v>27</v>
      </c>
      <c r="C955" t="s">
        <v>28</v>
      </c>
      <c r="H955" s="2">
        <v>45929.63009259259</v>
      </c>
      <c r="I955" t="s">
        <v>31</v>
      </c>
      <c r="Z955">
        <v>104915</v>
      </c>
    </row>
    <row r="956" spans="1:26" x14ac:dyDescent="0.25">
      <c r="A956" t="s">
        <v>1222</v>
      </c>
      <c r="B956" t="s">
        <v>27</v>
      </c>
      <c r="C956" t="s">
        <v>28</v>
      </c>
      <c r="H956" s="2">
        <v>45929.613449074073</v>
      </c>
      <c r="I956" t="s">
        <v>556</v>
      </c>
      <c r="Z956">
        <v>104913</v>
      </c>
    </row>
    <row r="957" spans="1:26" x14ac:dyDescent="0.25">
      <c r="A957" t="s">
        <v>1223</v>
      </c>
      <c r="B957" t="s">
        <v>27</v>
      </c>
      <c r="C957" t="s">
        <v>28</v>
      </c>
      <c r="H957" s="2">
        <v>45929.588564814818</v>
      </c>
      <c r="I957" t="s">
        <v>556</v>
      </c>
      <c r="Z957">
        <v>104912</v>
      </c>
    </row>
    <row r="958" spans="1:26" x14ac:dyDescent="0.25">
      <c r="A958" t="s">
        <v>1224</v>
      </c>
      <c r="B958" t="s">
        <v>27</v>
      </c>
      <c r="C958" t="s">
        <v>28</v>
      </c>
      <c r="H958" s="2">
        <v>45928.553090277775</v>
      </c>
      <c r="I958" t="s">
        <v>31</v>
      </c>
      <c r="Z958">
        <v>104889</v>
      </c>
    </row>
    <row r="959" spans="1:26" x14ac:dyDescent="0.25">
      <c r="A959" t="s">
        <v>1225</v>
      </c>
      <c r="B959" t="s">
        <v>27</v>
      </c>
      <c r="C959" t="s">
        <v>28</v>
      </c>
      <c r="H959" s="2">
        <v>45928.522233796299</v>
      </c>
      <c r="I959" t="s">
        <v>556</v>
      </c>
      <c r="Z959">
        <v>104886</v>
      </c>
    </row>
    <row r="960" spans="1:26" x14ac:dyDescent="0.25">
      <c r="A960" t="s">
        <v>1226</v>
      </c>
      <c r="B960" t="s">
        <v>27</v>
      </c>
      <c r="C960" t="s">
        <v>28</v>
      </c>
      <c r="H960" s="2">
        <v>45928.472592592596</v>
      </c>
      <c r="I960" t="s">
        <v>31</v>
      </c>
      <c r="Z960">
        <v>104885</v>
      </c>
    </row>
    <row r="961" spans="1:26" x14ac:dyDescent="0.25">
      <c r="A961" t="s">
        <v>1227</v>
      </c>
      <c r="B961" t="s">
        <v>27</v>
      </c>
      <c r="C961" t="s">
        <v>28</v>
      </c>
      <c r="H961" s="2">
        <v>45927.682939814818</v>
      </c>
      <c r="I961" t="s">
        <v>56</v>
      </c>
      <c r="Z961">
        <v>104876</v>
      </c>
    </row>
    <row r="962" spans="1:26" x14ac:dyDescent="0.25">
      <c r="A962" t="s">
        <v>1228</v>
      </c>
      <c r="B962" t="s">
        <v>74</v>
      </c>
      <c r="C962" t="s">
        <v>28</v>
      </c>
      <c r="E962" t="s">
        <v>1229</v>
      </c>
      <c r="G962" t="s">
        <v>1230</v>
      </c>
      <c r="H962" s="2">
        <v>45927.634664351855</v>
      </c>
      <c r="I962" t="s">
        <v>31</v>
      </c>
      <c r="Z962">
        <v>104874</v>
      </c>
    </row>
    <row r="963" spans="1:26" x14ac:dyDescent="0.25">
      <c r="A963" t="s">
        <v>1231</v>
      </c>
      <c r="B963" t="s">
        <v>27</v>
      </c>
      <c r="C963" t="s">
        <v>28</v>
      </c>
      <c r="H963" s="2">
        <v>45926.476180555554</v>
      </c>
      <c r="I963" t="s">
        <v>31</v>
      </c>
      <c r="Z963">
        <v>104850</v>
      </c>
    </row>
    <row r="964" spans="1:26" x14ac:dyDescent="0.25">
      <c r="A964" t="s">
        <v>1232</v>
      </c>
      <c r="B964" t="s">
        <v>74</v>
      </c>
      <c r="C964" t="s">
        <v>28</v>
      </c>
      <c r="E964" t="s">
        <v>61</v>
      </c>
      <c r="G964" t="s">
        <v>1233</v>
      </c>
      <c r="H964" s="2">
        <v>45926.211296296293</v>
      </c>
      <c r="I964" t="s">
        <v>56</v>
      </c>
      <c r="Z964">
        <v>104843</v>
      </c>
    </row>
    <row r="965" spans="1:26" x14ac:dyDescent="0.25">
      <c r="A965" t="s">
        <v>1234</v>
      </c>
      <c r="B965" t="s">
        <v>74</v>
      </c>
      <c r="C965" t="s">
        <v>28</v>
      </c>
      <c r="E965" t="s">
        <v>1235</v>
      </c>
      <c r="G965" t="s">
        <v>1236</v>
      </c>
      <c r="H965" s="2">
        <v>45925.970729166664</v>
      </c>
      <c r="I965" t="s">
        <v>31</v>
      </c>
      <c r="Z965">
        <v>104842</v>
      </c>
    </row>
    <row r="966" spans="1:26" x14ac:dyDescent="0.25">
      <c r="A966" t="s">
        <v>1237</v>
      </c>
      <c r="B966" t="s">
        <v>27</v>
      </c>
      <c r="C966" t="s">
        <v>28</v>
      </c>
      <c r="H966" s="2">
        <v>45925.752534722225</v>
      </c>
      <c r="I966" t="s">
        <v>56</v>
      </c>
      <c r="Z966">
        <v>104838</v>
      </c>
    </row>
    <row r="967" spans="1:26" x14ac:dyDescent="0.25">
      <c r="A967" t="s">
        <v>1238</v>
      </c>
      <c r="B967" t="s">
        <v>27</v>
      </c>
      <c r="C967" t="s">
        <v>28</v>
      </c>
      <c r="H967" s="2">
        <v>45925.730104166665</v>
      </c>
      <c r="I967" t="s">
        <v>56</v>
      </c>
      <c r="Z967">
        <v>104837</v>
      </c>
    </row>
    <row r="968" spans="1:26" x14ac:dyDescent="0.25">
      <c r="A968" t="s">
        <v>1239</v>
      </c>
      <c r="B968" t="s">
        <v>27</v>
      </c>
      <c r="C968" t="s">
        <v>28</v>
      </c>
      <c r="H968" s="2">
        <v>45925.464490740742</v>
      </c>
      <c r="I968" t="s">
        <v>54</v>
      </c>
      <c r="Z968">
        <v>104827</v>
      </c>
    </row>
    <row r="969" spans="1:26" x14ac:dyDescent="0.25">
      <c r="A969" t="s">
        <v>1240</v>
      </c>
      <c r="B969" t="s">
        <v>27</v>
      </c>
      <c r="C969" t="s">
        <v>28</v>
      </c>
      <c r="H969" s="2">
        <v>45925.450543981482</v>
      </c>
      <c r="I969" t="s">
        <v>56</v>
      </c>
      <c r="Z969">
        <v>104825</v>
      </c>
    </row>
    <row r="970" spans="1:26" x14ac:dyDescent="0.25">
      <c r="A970" t="s">
        <v>1241</v>
      </c>
      <c r="B970" t="s">
        <v>27</v>
      </c>
      <c r="C970" t="s">
        <v>28</v>
      </c>
      <c r="H970" s="2">
        <v>45924.801574074074</v>
      </c>
      <c r="I970" t="s">
        <v>56</v>
      </c>
      <c r="Z970">
        <v>104811</v>
      </c>
    </row>
    <row r="971" spans="1:26" x14ac:dyDescent="0.25">
      <c r="A971" t="s">
        <v>1242</v>
      </c>
      <c r="B971" t="s">
        <v>27</v>
      </c>
      <c r="C971" t="s">
        <v>28</v>
      </c>
      <c r="H971" s="2">
        <v>45924.626770833333</v>
      </c>
      <c r="I971" t="s">
        <v>556</v>
      </c>
      <c r="Z971">
        <v>104803</v>
      </c>
    </row>
    <row r="972" spans="1:26" x14ac:dyDescent="0.25">
      <c r="A972" t="s">
        <v>276</v>
      </c>
      <c r="B972" t="s">
        <v>27</v>
      </c>
      <c r="C972" t="s">
        <v>28</v>
      </c>
      <c r="H972" s="2">
        <v>45924.534375000003</v>
      </c>
      <c r="I972" t="s">
        <v>56</v>
      </c>
      <c r="Z972">
        <v>104796</v>
      </c>
    </row>
    <row r="973" spans="1:26" x14ac:dyDescent="0.25">
      <c r="A973" t="s">
        <v>1243</v>
      </c>
      <c r="B973" t="s">
        <v>27</v>
      </c>
      <c r="C973" t="s">
        <v>28</v>
      </c>
      <c r="H973" s="2">
        <v>45924.481053240743</v>
      </c>
      <c r="I973" t="s">
        <v>56</v>
      </c>
      <c r="Z973">
        <v>104794</v>
      </c>
    </row>
    <row r="974" spans="1:26" x14ac:dyDescent="0.25">
      <c r="A974" t="s">
        <v>1244</v>
      </c>
      <c r="B974" t="s">
        <v>306</v>
      </c>
      <c r="C974" t="s">
        <v>28</v>
      </c>
      <c r="E974" t="s">
        <v>110</v>
      </c>
      <c r="H974" s="2">
        <v>45924.390324074076</v>
      </c>
      <c r="I974" t="s">
        <v>56</v>
      </c>
      <c r="Z974">
        <v>104783</v>
      </c>
    </row>
    <row r="975" spans="1:26" x14ac:dyDescent="0.25">
      <c r="A975" t="s">
        <v>1245</v>
      </c>
      <c r="B975" t="s">
        <v>74</v>
      </c>
      <c r="C975" t="s">
        <v>28</v>
      </c>
      <c r="E975" t="s">
        <v>1246</v>
      </c>
      <c r="G975" t="s">
        <v>1247</v>
      </c>
      <c r="H975" s="2">
        <v>45923.8675</v>
      </c>
      <c r="I975" t="s">
        <v>556</v>
      </c>
      <c r="Z975">
        <v>104778</v>
      </c>
    </row>
    <row r="976" spans="1:26" x14ac:dyDescent="0.25">
      <c r="A976" t="s">
        <v>606</v>
      </c>
      <c r="B976" t="s">
        <v>306</v>
      </c>
      <c r="C976" t="s">
        <v>28</v>
      </c>
      <c r="E976" t="s">
        <v>356</v>
      </c>
      <c r="H976" s="2">
        <v>45923.743761574071</v>
      </c>
      <c r="I976" t="s">
        <v>556</v>
      </c>
      <c r="Z976">
        <v>104771</v>
      </c>
    </row>
    <row r="977" spans="1:26" x14ac:dyDescent="0.25">
      <c r="A977" t="s">
        <v>1248</v>
      </c>
      <c r="B977" t="s">
        <v>27</v>
      </c>
      <c r="C977" t="s">
        <v>28</v>
      </c>
      <c r="H977" s="2">
        <v>45923.690798611111</v>
      </c>
      <c r="I977" t="s">
        <v>556</v>
      </c>
      <c r="Z977">
        <v>104765</v>
      </c>
    </row>
    <row r="978" spans="1:26" x14ac:dyDescent="0.25">
      <c r="A978" t="s">
        <v>1249</v>
      </c>
      <c r="B978" t="s">
        <v>27</v>
      </c>
      <c r="C978" t="s">
        <v>28</v>
      </c>
      <c r="H978" s="2">
        <v>45923.690046296295</v>
      </c>
      <c r="I978" t="s">
        <v>556</v>
      </c>
      <c r="Z978">
        <v>104764</v>
      </c>
    </row>
    <row r="979" spans="1:26" x14ac:dyDescent="0.25">
      <c r="A979" t="s">
        <v>1250</v>
      </c>
      <c r="B979" t="s">
        <v>27</v>
      </c>
      <c r="C979" t="s">
        <v>28</v>
      </c>
      <c r="H979" s="2">
        <v>45923.688437500001</v>
      </c>
      <c r="I979" t="s">
        <v>556</v>
      </c>
      <c r="Z979">
        <v>104763</v>
      </c>
    </row>
    <row r="980" spans="1:26" x14ac:dyDescent="0.25">
      <c r="A980" t="s">
        <v>1251</v>
      </c>
      <c r="B980" t="s">
        <v>27</v>
      </c>
      <c r="C980" t="s">
        <v>28</v>
      </c>
      <c r="H980" s="2">
        <v>45923.684803240743</v>
      </c>
      <c r="I980" t="s">
        <v>31</v>
      </c>
      <c r="Z980">
        <v>104762</v>
      </c>
    </row>
    <row r="981" spans="1:26" x14ac:dyDescent="0.25">
      <c r="A981" t="s">
        <v>1252</v>
      </c>
      <c r="B981" t="s">
        <v>27</v>
      </c>
      <c r="C981" t="s">
        <v>28</v>
      </c>
      <c r="H981" s="2">
        <v>45923.676249999997</v>
      </c>
      <c r="I981" t="s">
        <v>31</v>
      </c>
      <c r="Z981">
        <v>104761</v>
      </c>
    </row>
    <row r="982" spans="1:26" x14ac:dyDescent="0.25">
      <c r="A982" t="s">
        <v>1253</v>
      </c>
      <c r="B982" t="s">
        <v>27</v>
      </c>
      <c r="C982" t="s">
        <v>28</v>
      </c>
      <c r="H982" s="2">
        <v>45923.592106481483</v>
      </c>
      <c r="I982" t="s">
        <v>31</v>
      </c>
      <c r="Z982">
        <v>104755</v>
      </c>
    </row>
    <row r="983" spans="1:26" x14ac:dyDescent="0.25">
      <c r="A983" t="s">
        <v>1254</v>
      </c>
      <c r="B983" t="s">
        <v>27</v>
      </c>
      <c r="C983" t="s">
        <v>28</v>
      </c>
      <c r="H983" s="2">
        <v>45923.474340277775</v>
      </c>
      <c r="I983" t="s">
        <v>31</v>
      </c>
      <c r="Z983">
        <v>104749</v>
      </c>
    </row>
    <row r="984" spans="1:26" x14ac:dyDescent="0.25">
      <c r="A984" t="s">
        <v>1255</v>
      </c>
      <c r="B984" t="s">
        <v>27</v>
      </c>
      <c r="C984" t="s">
        <v>28</v>
      </c>
      <c r="H984" s="2">
        <v>45923.403113425928</v>
      </c>
      <c r="I984" t="s">
        <v>556</v>
      </c>
      <c r="Z984">
        <v>104739</v>
      </c>
    </row>
    <row r="985" spans="1:26" x14ac:dyDescent="0.25">
      <c r="A985" t="s">
        <v>663</v>
      </c>
      <c r="B985" t="s">
        <v>46</v>
      </c>
      <c r="C985" t="s">
        <v>28</v>
      </c>
      <c r="E985" t="s">
        <v>72</v>
      </c>
      <c r="H985" s="2">
        <v>45922.945775462962</v>
      </c>
      <c r="I985" t="s">
        <v>556</v>
      </c>
      <c r="K985" t="s">
        <v>48</v>
      </c>
      <c r="Z985">
        <v>104736</v>
      </c>
    </row>
    <row r="986" spans="1:26" x14ac:dyDescent="0.25">
      <c r="A986" t="s">
        <v>1256</v>
      </c>
      <c r="B986" t="s">
        <v>27</v>
      </c>
      <c r="C986" t="s">
        <v>28</v>
      </c>
      <c r="H986" s="2">
        <v>45922.778379629628</v>
      </c>
      <c r="I986" t="s">
        <v>31</v>
      </c>
      <c r="Z986">
        <v>104730</v>
      </c>
    </row>
    <row r="987" spans="1:26" x14ac:dyDescent="0.25">
      <c r="A987" t="s">
        <v>194</v>
      </c>
      <c r="B987" t="s">
        <v>27</v>
      </c>
      <c r="C987" t="s">
        <v>28</v>
      </c>
      <c r="H987" s="2">
        <v>45922.747835648152</v>
      </c>
      <c r="I987" t="s">
        <v>31</v>
      </c>
      <c r="Z987">
        <v>104725</v>
      </c>
    </row>
    <row r="988" spans="1:26" x14ac:dyDescent="0.25">
      <c r="A988" t="s">
        <v>1257</v>
      </c>
      <c r="B988" t="s">
        <v>27</v>
      </c>
      <c r="C988" t="s">
        <v>28</v>
      </c>
      <c r="H988" s="2">
        <v>45922.730590277781</v>
      </c>
      <c r="I988" t="s">
        <v>556</v>
      </c>
      <c r="Z988">
        <v>104721</v>
      </c>
    </row>
    <row r="989" spans="1:26" x14ac:dyDescent="0.25">
      <c r="A989" t="s">
        <v>1258</v>
      </c>
      <c r="B989" t="s">
        <v>306</v>
      </c>
      <c r="C989" t="s">
        <v>28</v>
      </c>
      <c r="E989" t="s">
        <v>1259</v>
      </c>
      <c r="H989" s="2">
        <v>45922.685833333337</v>
      </c>
      <c r="I989" t="s">
        <v>31</v>
      </c>
      <c r="K989" t="s">
        <v>34</v>
      </c>
      <c r="L989" t="s">
        <v>35</v>
      </c>
      <c r="M989" t="s">
        <v>758</v>
      </c>
      <c r="N989">
        <v>16978047698</v>
      </c>
      <c r="O989" t="s">
        <v>461</v>
      </c>
      <c r="Z989">
        <v>104719</v>
      </c>
    </row>
    <row r="990" spans="1:26" x14ac:dyDescent="0.25">
      <c r="A990" t="s">
        <v>1260</v>
      </c>
      <c r="B990" t="s">
        <v>27</v>
      </c>
      <c r="C990" t="s">
        <v>28</v>
      </c>
      <c r="H990" s="2">
        <v>45922.608078703706</v>
      </c>
      <c r="I990" t="s">
        <v>556</v>
      </c>
      <c r="Z990">
        <v>104711</v>
      </c>
    </row>
    <row r="991" spans="1:26" x14ac:dyDescent="0.25">
      <c r="A991" t="s">
        <v>1261</v>
      </c>
      <c r="B991" t="s">
        <v>27</v>
      </c>
      <c r="C991" t="s">
        <v>28</v>
      </c>
      <c r="H991" s="2">
        <v>45922.590092592596</v>
      </c>
      <c r="I991" t="s">
        <v>556</v>
      </c>
      <c r="Z991">
        <v>104710</v>
      </c>
    </row>
    <row r="992" spans="1:26" x14ac:dyDescent="0.25">
      <c r="A992" t="s">
        <v>1262</v>
      </c>
      <c r="B992" t="s">
        <v>27</v>
      </c>
      <c r="C992" t="s">
        <v>28</v>
      </c>
      <c r="H992" s="2">
        <v>45922.557974537034</v>
      </c>
      <c r="I992" t="s">
        <v>556</v>
      </c>
      <c r="Z992">
        <v>104708</v>
      </c>
    </row>
    <row r="993" spans="1:26" x14ac:dyDescent="0.25">
      <c r="A993" t="s">
        <v>1263</v>
      </c>
      <c r="B993" t="s">
        <v>27</v>
      </c>
      <c r="C993" t="s">
        <v>28</v>
      </c>
      <c r="H993" s="2">
        <v>45921.787870370368</v>
      </c>
      <c r="I993" t="s">
        <v>31</v>
      </c>
      <c r="Z993">
        <v>104692</v>
      </c>
    </row>
    <row r="994" spans="1:26" x14ac:dyDescent="0.25">
      <c r="A994" t="s">
        <v>1264</v>
      </c>
      <c r="B994" t="s">
        <v>27</v>
      </c>
      <c r="C994" t="s">
        <v>28</v>
      </c>
      <c r="E994" t="s">
        <v>1265</v>
      </c>
      <c r="H994" s="2">
        <v>45920.684444444443</v>
      </c>
      <c r="I994" t="s">
        <v>56</v>
      </c>
      <c r="Z994">
        <v>104672</v>
      </c>
    </row>
    <row r="995" spans="1:26" x14ac:dyDescent="0.25">
      <c r="A995" t="s">
        <v>1266</v>
      </c>
      <c r="B995" t="s">
        <v>58</v>
      </c>
      <c r="C995" t="s">
        <v>28</v>
      </c>
      <c r="E995" t="s">
        <v>1267</v>
      </c>
      <c r="H995" s="2">
        <v>45920.67459490741</v>
      </c>
      <c r="I995" t="s">
        <v>54</v>
      </c>
      <c r="Z995">
        <v>104670</v>
      </c>
    </row>
    <row r="996" spans="1:26" x14ac:dyDescent="0.25">
      <c r="A996" t="s">
        <v>1268</v>
      </c>
      <c r="B996" t="s">
        <v>27</v>
      </c>
      <c r="C996" t="s">
        <v>28</v>
      </c>
      <c r="H996" s="2">
        <v>45920.572627314818</v>
      </c>
      <c r="I996" t="s">
        <v>56</v>
      </c>
      <c r="Z996">
        <v>104664</v>
      </c>
    </row>
    <row r="997" spans="1:26" x14ac:dyDescent="0.25">
      <c r="A997" t="s">
        <v>1269</v>
      </c>
      <c r="B997" t="s">
        <v>27</v>
      </c>
      <c r="C997" t="s">
        <v>28</v>
      </c>
      <c r="H997" s="2">
        <v>45920.433194444442</v>
      </c>
      <c r="I997" t="s">
        <v>54</v>
      </c>
      <c r="Z997">
        <v>104658</v>
      </c>
    </row>
    <row r="998" spans="1:26" x14ac:dyDescent="0.25">
      <c r="A998" t="s">
        <v>1270</v>
      </c>
      <c r="B998" t="s">
        <v>27</v>
      </c>
      <c r="C998" t="s">
        <v>28</v>
      </c>
      <c r="H998" s="2">
        <v>45919.583240740743</v>
      </c>
      <c r="I998" t="s">
        <v>54</v>
      </c>
      <c r="Z998">
        <v>104639</v>
      </c>
    </row>
    <row r="999" spans="1:26" x14ac:dyDescent="0.25">
      <c r="A999" t="s">
        <v>1271</v>
      </c>
      <c r="B999" t="s">
        <v>27</v>
      </c>
      <c r="C999" t="s">
        <v>28</v>
      </c>
      <c r="H999" s="2">
        <v>45918.788854166669</v>
      </c>
      <c r="I999" t="s">
        <v>556</v>
      </c>
      <c r="Z999">
        <v>104625</v>
      </c>
    </row>
    <row r="1000" spans="1:26" x14ac:dyDescent="0.25">
      <c r="A1000" t="s">
        <v>1272</v>
      </c>
      <c r="B1000" t="s">
        <v>27</v>
      </c>
      <c r="C1000" t="s">
        <v>28</v>
      </c>
      <c r="H1000" s="2">
        <v>45918.740810185183</v>
      </c>
      <c r="I1000" t="s">
        <v>556</v>
      </c>
      <c r="Z1000">
        <v>104623</v>
      </c>
    </row>
    <row r="1001" spans="1:26" x14ac:dyDescent="0.25">
      <c r="A1001" t="s">
        <v>1273</v>
      </c>
      <c r="B1001" t="s">
        <v>74</v>
      </c>
      <c r="C1001" t="s">
        <v>28</v>
      </c>
      <c r="E1001" t="s">
        <v>1274</v>
      </c>
      <c r="G1001" t="s">
        <v>1275</v>
      </c>
      <c r="H1001" s="2">
        <v>45918.63177083333</v>
      </c>
      <c r="I1001" t="s">
        <v>556</v>
      </c>
      <c r="K1001" t="s">
        <v>34</v>
      </c>
      <c r="L1001" t="s">
        <v>35</v>
      </c>
      <c r="M1001" t="s">
        <v>1053</v>
      </c>
      <c r="N1001">
        <v>16990012916</v>
      </c>
      <c r="O1001" t="s">
        <v>461</v>
      </c>
      <c r="Z1001">
        <v>104607</v>
      </c>
    </row>
    <row r="1002" spans="1:26" x14ac:dyDescent="0.25">
      <c r="A1002" t="s">
        <v>1276</v>
      </c>
      <c r="B1002" t="s">
        <v>27</v>
      </c>
      <c r="C1002" t="s">
        <v>28</v>
      </c>
      <c r="H1002" s="2">
        <v>45918.626469907409</v>
      </c>
      <c r="I1002" t="s">
        <v>56</v>
      </c>
      <c r="Z1002">
        <v>104605</v>
      </c>
    </row>
    <row r="1003" spans="1:26" x14ac:dyDescent="0.25">
      <c r="A1003" t="s">
        <v>1277</v>
      </c>
      <c r="B1003" t="s">
        <v>27</v>
      </c>
      <c r="C1003" t="s">
        <v>28</v>
      </c>
      <c r="H1003" s="2">
        <v>45918.496817129628</v>
      </c>
      <c r="I1003" t="s">
        <v>56</v>
      </c>
      <c r="Z1003">
        <v>104591</v>
      </c>
    </row>
    <row r="1004" spans="1:26" x14ac:dyDescent="0.25">
      <c r="A1004" t="s">
        <v>1278</v>
      </c>
      <c r="B1004" t="s">
        <v>27</v>
      </c>
      <c r="C1004" t="s">
        <v>28</v>
      </c>
      <c r="H1004" s="2">
        <v>45918.399108796293</v>
      </c>
      <c r="I1004" t="s">
        <v>56</v>
      </c>
      <c r="Z1004">
        <v>104586</v>
      </c>
    </row>
    <row r="1005" spans="1:26" x14ac:dyDescent="0.25">
      <c r="A1005" t="s">
        <v>1279</v>
      </c>
      <c r="B1005" t="s">
        <v>27</v>
      </c>
      <c r="C1005" t="s">
        <v>28</v>
      </c>
      <c r="H1005" s="2">
        <v>45917.680833333332</v>
      </c>
      <c r="I1005" t="s">
        <v>31</v>
      </c>
      <c r="Z1005">
        <v>104581</v>
      </c>
    </row>
    <row r="1006" spans="1:26" x14ac:dyDescent="0.25">
      <c r="A1006" t="s">
        <v>1280</v>
      </c>
      <c r="B1006" t="s">
        <v>27</v>
      </c>
      <c r="C1006" t="s">
        <v>28</v>
      </c>
      <c r="H1006" s="2">
        <v>45917.492962962962</v>
      </c>
      <c r="I1006" t="s">
        <v>31</v>
      </c>
      <c r="Z1006">
        <v>104569</v>
      </c>
    </row>
    <row r="1007" spans="1:26" x14ac:dyDescent="0.25">
      <c r="A1007" t="s">
        <v>1281</v>
      </c>
      <c r="B1007" t="s">
        <v>27</v>
      </c>
      <c r="C1007" t="s">
        <v>28</v>
      </c>
      <c r="H1007" s="2">
        <v>45917.487037037034</v>
      </c>
      <c r="I1007" t="s">
        <v>31</v>
      </c>
      <c r="Z1007">
        <v>104567</v>
      </c>
    </row>
    <row r="1008" spans="1:26" x14ac:dyDescent="0.25">
      <c r="A1008" t="s">
        <v>1282</v>
      </c>
      <c r="B1008" t="s">
        <v>27</v>
      </c>
      <c r="C1008" t="s">
        <v>28</v>
      </c>
      <c r="H1008" s="2">
        <v>45917.485648148147</v>
      </c>
      <c r="I1008" t="s">
        <v>31</v>
      </c>
      <c r="Z1008">
        <v>104566</v>
      </c>
    </row>
    <row r="1009" spans="1:26" x14ac:dyDescent="0.25">
      <c r="A1009" t="s">
        <v>1283</v>
      </c>
      <c r="B1009" t="s">
        <v>74</v>
      </c>
      <c r="C1009" t="s">
        <v>28</v>
      </c>
      <c r="E1009" t="s">
        <v>1284</v>
      </c>
      <c r="G1009" t="s">
        <v>1285</v>
      </c>
      <c r="H1009" s="2">
        <v>45916.8284375</v>
      </c>
      <c r="I1009" t="s">
        <v>31</v>
      </c>
      <c r="Z1009">
        <v>104558</v>
      </c>
    </row>
    <row r="1010" spans="1:26" x14ac:dyDescent="0.25">
      <c r="A1010" t="s">
        <v>1286</v>
      </c>
      <c r="B1010" t="s">
        <v>27</v>
      </c>
      <c r="C1010" t="s">
        <v>28</v>
      </c>
      <c r="H1010" s="2">
        <v>45916.738356481481</v>
      </c>
      <c r="I1010" t="s">
        <v>556</v>
      </c>
      <c r="Z1010">
        <v>104552</v>
      </c>
    </row>
    <row r="1011" spans="1:26" x14ac:dyDescent="0.25">
      <c r="A1011" t="s">
        <v>1287</v>
      </c>
      <c r="B1011" t="s">
        <v>27</v>
      </c>
      <c r="C1011" t="s">
        <v>28</v>
      </c>
      <c r="H1011" s="2">
        <v>45916.697013888886</v>
      </c>
      <c r="I1011" t="s">
        <v>31</v>
      </c>
      <c r="Z1011">
        <v>104549</v>
      </c>
    </row>
    <row r="1012" spans="1:26" x14ac:dyDescent="0.25">
      <c r="A1012" t="s">
        <v>1288</v>
      </c>
      <c r="B1012" t="s">
        <v>27</v>
      </c>
      <c r="C1012" t="s">
        <v>28</v>
      </c>
      <c r="H1012" s="2">
        <v>45916.475335648145</v>
      </c>
      <c r="I1012" t="s">
        <v>31</v>
      </c>
      <c r="Z1012">
        <v>104528</v>
      </c>
    </row>
    <row r="1013" spans="1:26" x14ac:dyDescent="0.25">
      <c r="A1013" t="s">
        <v>1289</v>
      </c>
      <c r="B1013" t="s">
        <v>27</v>
      </c>
      <c r="C1013" t="s">
        <v>28</v>
      </c>
      <c r="H1013" s="2">
        <v>45916.45689814815</v>
      </c>
      <c r="I1013" t="s">
        <v>556</v>
      </c>
      <c r="Z1013">
        <v>104523</v>
      </c>
    </row>
    <row r="1014" spans="1:26" x14ac:dyDescent="0.25">
      <c r="A1014" t="s">
        <v>1290</v>
      </c>
      <c r="B1014" t="s">
        <v>27</v>
      </c>
      <c r="C1014" t="s">
        <v>28</v>
      </c>
      <c r="H1014" s="2">
        <v>45916.453912037039</v>
      </c>
      <c r="I1014" t="s">
        <v>31</v>
      </c>
      <c r="Z1014">
        <v>104522</v>
      </c>
    </row>
    <row r="1015" spans="1:26" x14ac:dyDescent="0.25">
      <c r="A1015" t="s">
        <v>1291</v>
      </c>
      <c r="B1015" t="s">
        <v>27</v>
      </c>
      <c r="C1015" t="s">
        <v>28</v>
      </c>
      <c r="H1015" s="2">
        <v>45916.430451388886</v>
      </c>
      <c r="I1015" t="s">
        <v>31</v>
      </c>
      <c r="Z1015">
        <v>104515</v>
      </c>
    </row>
    <row r="1016" spans="1:26" x14ac:dyDescent="0.25">
      <c r="A1016" t="s">
        <v>1292</v>
      </c>
      <c r="B1016" t="s">
        <v>306</v>
      </c>
      <c r="C1016" t="s">
        <v>28</v>
      </c>
      <c r="E1016" t="s">
        <v>101</v>
      </c>
      <c r="H1016" s="2">
        <v>45915.7421412037</v>
      </c>
      <c r="I1016" t="s">
        <v>556</v>
      </c>
      <c r="K1016" t="s">
        <v>34</v>
      </c>
      <c r="L1016" t="s">
        <v>35</v>
      </c>
      <c r="M1016" t="s">
        <v>758</v>
      </c>
      <c r="N1016">
        <v>16978047697</v>
      </c>
      <c r="O1016" t="s">
        <v>1176</v>
      </c>
      <c r="Z1016">
        <v>104508</v>
      </c>
    </row>
    <row r="1017" spans="1:26" x14ac:dyDescent="0.25">
      <c r="A1017" t="s">
        <v>1293</v>
      </c>
      <c r="B1017" t="s">
        <v>27</v>
      </c>
      <c r="C1017" t="s">
        <v>28</v>
      </c>
      <c r="H1017" s="2">
        <v>45914.747777777775</v>
      </c>
      <c r="I1017" t="s">
        <v>56</v>
      </c>
      <c r="Z1017">
        <v>104501</v>
      </c>
    </row>
    <row r="1018" spans="1:26" x14ac:dyDescent="0.25">
      <c r="A1018" t="s">
        <v>1294</v>
      </c>
      <c r="B1018" t="s">
        <v>27</v>
      </c>
      <c r="C1018" t="s">
        <v>28</v>
      </c>
      <c r="H1018" s="2">
        <v>45914.579340277778</v>
      </c>
      <c r="I1018" t="s">
        <v>56</v>
      </c>
      <c r="Z1018">
        <v>104494</v>
      </c>
    </row>
    <row r="1019" spans="1:26" x14ac:dyDescent="0.25">
      <c r="A1019" t="s">
        <v>1295</v>
      </c>
      <c r="B1019" t="s">
        <v>27</v>
      </c>
      <c r="C1019" t="s">
        <v>28</v>
      </c>
      <c r="H1019" s="2">
        <v>45913.678194444445</v>
      </c>
      <c r="I1019" t="s">
        <v>556</v>
      </c>
      <c r="Z1019">
        <v>104485</v>
      </c>
    </row>
    <row r="1020" spans="1:26" x14ac:dyDescent="0.25">
      <c r="A1020" t="s">
        <v>1296</v>
      </c>
      <c r="B1020" t="s">
        <v>27</v>
      </c>
      <c r="C1020" t="s">
        <v>28</v>
      </c>
      <c r="H1020" s="2">
        <v>45913.446215277778</v>
      </c>
      <c r="I1020" t="s">
        <v>54</v>
      </c>
      <c r="Z1020">
        <v>104471</v>
      </c>
    </row>
    <row r="1021" spans="1:26" x14ac:dyDescent="0.25">
      <c r="A1021" t="s">
        <v>1297</v>
      </c>
      <c r="B1021" t="s">
        <v>27</v>
      </c>
      <c r="C1021" t="s">
        <v>28</v>
      </c>
      <c r="H1021" s="2">
        <v>45912.582650462966</v>
      </c>
      <c r="I1021" t="s">
        <v>56</v>
      </c>
      <c r="Z1021">
        <v>104462</v>
      </c>
    </row>
    <row r="1022" spans="1:26" x14ac:dyDescent="0.25">
      <c r="A1022" t="s">
        <v>1298</v>
      </c>
      <c r="B1022" t="s">
        <v>74</v>
      </c>
      <c r="C1022" t="s">
        <v>28</v>
      </c>
      <c r="E1022" t="s">
        <v>183</v>
      </c>
      <c r="G1022" t="s">
        <v>1299</v>
      </c>
      <c r="H1022" s="2">
        <v>45912.299571759257</v>
      </c>
      <c r="I1022" t="s">
        <v>31</v>
      </c>
      <c r="Z1022">
        <v>104450</v>
      </c>
    </row>
    <row r="1023" spans="1:26" x14ac:dyDescent="0.25">
      <c r="A1023" t="s">
        <v>1300</v>
      </c>
      <c r="B1023" t="s">
        <v>27</v>
      </c>
      <c r="C1023" t="s">
        <v>28</v>
      </c>
      <c r="H1023" s="2">
        <v>45911.694212962961</v>
      </c>
      <c r="I1023" t="s">
        <v>556</v>
      </c>
      <c r="Z1023">
        <v>104439</v>
      </c>
    </row>
    <row r="1024" spans="1:26" x14ac:dyDescent="0.25">
      <c r="A1024" t="s">
        <v>1301</v>
      </c>
      <c r="B1024" t="s">
        <v>74</v>
      </c>
      <c r="C1024" t="s">
        <v>28</v>
      </c>
      <c r="E1024" t="s">
        <v>272</v>
      </c>
      <c r="G1024" t="s">
        <v>1302</v>
      </c>
      <c r="H1024" s="2">
        <v>45911.535428240742</v>
      </c>
      <c r="I1024" t="s">
        <v>556</v>
      </c>
      <c r="Z1024">
        <v>104425</v>
      </c>
    </row>
    <row r="1025" spans="1:26" x14ac:dyDescent="0.25">
      <c r="A1025" t="s">
        <v>1303</v>
      </c>
      <c r="B1025" t="s">
        <v>27</v>
      </c>
      <c r="C1025" t="s">
        <v>28</v>
      </c>
      <c r="H1025" s="2">
        <v>45911.422418981485</v>
      </c>
      <c r="I1025" t="s">
        <v>556</v>
      </c>
      <c r="Z1025">
        <v>104417</v>
      </c>
    </row>
    <row r="1026" spans="1:26" x14ac:dyDescent="0.25">
      <c r="A1026" t="s">
        <v>1304</v>
      </c>
      <c r="B1026" t="s">
        <v>27</v>
      </c>
      <c r="C1026" t="s">
        <v>28</v>
      </c>
      <c r="H1026" s="2">
        <v>45910.852511574078</v>
      </c>
      <c r="I1026" t="s">
        <v>31</v>
      </c>
      <c r="Z1026">
        <v>104415</v>
      </c>
    </row>
    <row r="1027" spans="1:26" x14ac:dyDescent="0.25">
      <c r="A1027" t="s">
        <v>1305</v>
      </c>
      <c r="B1027" t="s">
        <v>27</v>
      </c>
      <c r="C1027" t="s">
        <v>28</v>
      </c>
      <c r="H1027" s="2">
        <v>45909.647094907406</v>
      </c>
      <c r="I1027" t="s">
        <v>31</v>
      </c>
      <c r="Z1027">
        <v>104385</v>
      </c>
    </row>
    <row r="1028" spans="1:26" x14ac:dyDescent="0.25">
      <c r="A1028" t="s">
        <v>1306</v>
      </c>
      <c r="B1028" t="s">
        <v>27</v>
      </c>
      <c r="C1028" t="s">
        <v>28</v>
      </c>
      <c r="H1028" s="2">
        <v>45909.498761574076</v>
      </c>
      <c r="I1028" t="s">
        <v>31</v>
      </c>
      <c r="Z1028">
        <v>104378</v>
      </c>
    </row>
    <row r="1029" spans="1:26" x14ac:dyDescent="0.25">
      <c r="A1029" t="s">
        <v>1307</v>
      </c>
      <c r="B1029" t="s">
        <v>74</v>
      </c>
      <c r="C1029" t="s">
        <v>28</v>
      </c>
      <c r="E1029" t="s">
        <v>607</v>
      </c>
      <c r="G1029" t="s">
        <v>1308</v>
      </c>
      <c r="H1029" s="2">
        <v>45908.970231481479</v>
      </c>
      <c r="I1029" t="s">
        <v>80</v>
      </c>
      <c r="Z1029">
        <v>104368</v>
      </c>
    </row>
    <row r="1030" spans="1:26" x14ac:dyDescent="0.25">
      <c r="A1030" t="s">
        <v>1309</v>
      </c>
      <c r="B1030" t="s">
        <v>27</v>
      </c>
      <c r="C1030" t="s">
        <v>28</v>
      </c>
      <c r="H1030" s="2">
        <v>45908.534699074073</v>
      </c>
      <c r="I1030" t="s">
        <v>556</v>
      </c>
      <c r="Z1030">
        <v>104347</v>
      </c>
    </row>
    <row r="1031" spans="1:26" x14ac:dyDescent="0.25">
      <c r="A1031" t="s">
        <v>1310</v>
      </c>
      <c r="B1031" t="s">
        <v>27</v>
      </c>
      <c r="C1031" t="s">
        <v>28</v>
      </c>
      <c r="H1031" s="2">
        <v>45908.520231481481</v>
      </c>
      <c r="I1031" t="s">
        <v>556</v>
      </c>
      <c r="Z1031">
        <v>104344</v>
      </c>
    </row>
    <row r="1032" spans="1:26" x14ac:dyDescent="0.25">
      <c r="A1032" t="s">
        <v>1311</v>
      </c>
      <c r="B1032" t="s">
        <v>27</v>
      </c>
      <c r="C1032" t="s">
        <v>28</v>
      </c>
      <c r="H1032" s="2">
        <v>45908.378692129627</v>
      </c>
      <c r="I1032" t="s">
        <v>54</v>
      </c>
      <c r="Z1032">
        <v>104337</v>
      </c>
    </row>
    <row r="1033" spans="1:26" x14ac:dyDescent="0.25">
      <c r="A1033" t="s">
        <v>1312</v>
      </c>
      <c r="B1033" t="s">
        <v>27</v>
      </c>
      <c r="C1033" t="s">
        <v>28</v>
      </c>
      <c r="H1033" s="2">
        <v>45907.833599537036</v>
      </c>
      <c r="I1033" t="s">
        <v>54</v>
      </c>
      <c r="Z1033">
        <v>104334</v>
      </c>
    </row>
    <row r="1034" spans="1:26" x14ac:dyDescent="0.25">
      <c r="A1034" t="s">
        <v>1313</v>
      </c>
      <c r="B1034" t="s">
        <v>27</v>
      </c>
      <c r="C1034" t="s">
        <v>28</v>
      </c>
      <c r="H1034" s="2">
        <v>45907.690138888887</v>
      </c>
      <c r="I1034" t="s">
        <v>54</v>
      </c>
      <c r="Z1034">
        <v>104327</v>
      </c>
    </row>
    <row r="1035" spans="1:26" x14ac:dyDescent="0.25">
      <c r="A1035" t="s">
        <v>1314</v>
      </c>
      <c r="B1035" t="s">
        <v>27</v>
      </c>
      <c r="C1035" t="s">
        <v>28</v>
      </c>
      <c r="H1035" s="2">
        <v>45906.48809027778</v>
      </c>
      <c r="I1035" t="s">
        <v>556</v>
      </c>
      <c r="Z1035">
        <v>104306</v>
      </c>
    </row>
    <row r="1036" spans="1:26" x14ac:dyDescent="0.25">
      <c r="A1036" t="s">
        <v>1315</v>
      </c>
      <c r="B1036" t="s">
        <v>306</v>
      </c>
      <c r="C1036" t="s">
        <v>28</v>
      </c>
      <c r="E1036" t="s">
        <v>232</v>
      </c>
      <c r="H1036" s="2">
        <v>45906.477395833332</v>
      </c>
      <c r="I1036" t="s">
        <v>54</v>
      </c>
      <c r="Z1036">
        <v>104304</v>
      </c>
    </row>
    <row r="1037" spans="1:26" x14ac:dyDescent="0.25">
      <c r="A1037" t="s">
        <v>1316</v>
      </c>
      <c r="B1037" t="s">
        <v>27</v>
      </c>
      <c r="C1037" t="s">
        <v>28</v>
      </c>
      <c r="H1037" s="2">
        <v>45905.687743055554</v>
      </c>
      <c r="I1037" t="s">
        <v>31</v>
      </c>
      <c r="Z1037">
        <v>104288</v>
      </c>
    </row>
    <row r="1038" spans="1:26" x14ac:dyDescent="0.25">
      <c r="A1038" t="s">
        <v>1317</v>
      </c>
      <c r="B1038" t="s">
        <v>27</v>
      </c>
      <c r="C1038" t="s">
        <v>28</v>
      </c>
      <c r="H1038" s="2">
        <v>45904.578958333332</v>
      </c>
      <c r="I1038" t="s">
        <v>31</v>
      </c>
      <c r="Z1038">
        <v>104262</v>
      </c>
    </row>
    <row r="1039" spans="1:26" x14ac:dyDescent="0.25">
      <c r="A1039" t="s">
        <v>1318</v>
      </c>
      <c r="B1039" t="s">
        <v>27</v>
      </c>
      <c r="C1039" t="s">
        <v>28</v>
      </c>
      <c r="H1039" s="2">
        <v>45904.464201388888</v>
      </c>
      <c r="I1039" t="s">
        <v>31</v>
      </c>
      <c r="Z1039">
        <v>104256</v>
      </c>
    </row>
    <row r="1040" spans="1:26" x14ac:dyDescent="0.25">
      <c r="A1040" t="s">
        <v>1319</v>
      </c>
      <c r="B1040" t="s">
        <v>74</v>
      </c>
      <c r="C1040" t="s">
        <v>28</v>
      </c>
      <c r="E1040" t="s">
        <v>1320</v>
      </c>
      <c r="G1040" t="s">
        <v>1321</v>
      </c>
      <c r="H1040" s="2">
        <v>45904.106215277781</v>
      </c>
      <c r="I1040" t="s">
        <v>54</v>
      </c>
      <c r="Z1040">
        <v>104249</v>
      </c>
    </row>
    <row r="1041" spans="1:26" x14ac:dyDescent="0.25">
      <c r="A1041" t="s">
        <v>1322</v>
      </c>
      <c r="B1041" t="s">
        <v>74</v>
      </c>
      <c r="C1041" t="s">
        <v>28</v>
      </c>
      <c r="E1041" t="s">
        <v>61</v>
      </c>
      <c r="G1041" t="s">
        <v>767</v>
      </c>
      <c r="H1041" s="2">
        <v>45903.996412037035</v>
      </c>
      <c r="I1041" t="s">
        <v>54</v>
      </c>
      <c r="Z1041">
        <v>104248</v>
      </c>
    </row>
    <row r="1042" spans="1:26" x14ac:dyDescent="0.25">
      <c r="A1042" t="s">
        <v>1323</v>
      </c>
      <c r="B1042" t="s">
        <v>27</v>
      </c>
      <c r="C1042" t="s">
        <v>28</v>
      </c>
      <c r="H1042" s="2">
        <v>45903.909490740742</v>
      </c>
      <c r="I1042" t="s">
        <v>54</v>
      </c>
      <c r="Z1042">
        <v>104247</v>
      </c>
    </row>
    <row r="1043" spans="1:26" x14ac:dyDescent="0.25">
      <c r="A1043" t="s">
        <v>1324</v>
      </c>
      <c r="B1043" t="s">
        <v>27</v>
      </c>
      <c r="C1043" t="s">
        <v>28</v>
      </c>
      <c r="H1043" s="2">
        <v>45903.684537037036</v>
      </c>
      <c r="I1043" t="s">
        <v>54</v>
      </c>
      <c r="Z1043">
        <v>104237</v>
      </c>
    </row>
    <row r="1044" spans="1:26" x14ac:dyDescent="0.25">
      <c r="A1044" t="s">
        <v>1325</v>
      </c>
      <c r="B1044" t="s">
        <v>27</v>
      </c>
      <c r="C1044" t="s">
        <v>28</v>
      </c>
      <c r="H1044" s="2">
        <v>45902.555219907408</v>
      </c>
      <c r="I1044" t="s">
        <v>556</v>
      </c>
      <c r="Z1044">
        <v>104199</v>
      </c>
    </row>
    <row r="1045" spans="1:26" x14ac:dyDescent="0.25">
      <c r="A1045" t="s">
        <v>1326</v>
      </c>
      <c r="B1045" t="s">
        <v>27</v>
      </c>
      <c r="C1045" t="s">
        <v>28</v>
      </c>
      <c r="H1045" s="2">
        <v>45901.762685185182</v>
      </c>
      <c r="I1045" t="s">
        <v>54</v>
      </c>
      <c r="Z1045">
        <v>104180</v>
      </c>
    </row>
    <row r="1046" spans="1:26" x14ac:dyDescent="0.25">
      <c r="A1046" t="s">
        <v>1327</v>
      </c>
      <c r="B1046" t="s">
        <v>27</v>
      </c>
      <c r="C1046" t="s">
        <v>28</v>
      </c>
      <c r="H1046" s="2">
        <v>45901.644270833334</v>
      </c>
      <c r="I1046" t="s">
        <v>556</v>
      </c>
      <c r="Z1046">
        <v>104175</v>
      </c>
    </row>
    <row r="1047" spans="1:26" x14ac:dyDescent="0.25">
      <c r="A1047" t="s">
        <v>1328</v>
      </c>
      <c r="B1047" t="s">
        <v>27</v>
      </c>
      <c r="C1047" t="s">
        <v>28</v>
      </c>
      <c r="H1047" s="2">
        <v>45901.533043981479</v>
      </c>
      <c r="I1047" t="s">
        <v>54</v>
      </c>
      <c r="Z1047">
        <v>104167</v>
      </c>
    </row>
    <row r="1048" spans="1:26" x14ac:dyDescent="0.25">
      <c r="A1048" t="s">
        <v>1329</v>
      </c>
      <c r="B1048" t="s">
        <v>27</v>
      </c>
      <c r="C1048" t="s">
        <v>28</v>
      </c>
      <c r="H1048" s="2">
        <v>45901.490567129629</v>
      </c>
      <c r="I1048" t="s">
        <v>556</v>
      </c>
      <c r="Z1048">
        <v>104163</v>
      </c>
    </row>
    <row r="1049" spans="1:26" x14ac:dyDescent="0.25">
      <c r="A1049" t="s">
        <v>1330</v>
      </c>
      <c r="B1049" t="s">
        <v>27</v>
      </c>
      <c r="C1049" t="s">
        <v>28</v>
      </c>
      <c r="H1049" s="2">
        <v>45901.406064814815</v>
      </c>
      <c r="I1049" t="s">
        <v>54</v>
      </c>
      <c r="Z1049">
        <v>104156</v>
      </c>
    </row>
    <row r="1050" spans="1:26" x14ac:dyDescent="0.25">
      <c r="A1050" t="s">
        <v>1331</v>
      </c>
      <c r="B1050" t="s">
        <v>27</v>
      </c>
      <c r="C1050" t="s">
        <v>28</v>
      </c>
      <c r="H1050" s="2">
        <v>45900.694467592592</v>
      </c>
      <c r="I1050" t="s">
        <v>556</v>
      </c>
      <c r="Z1050">
        <v>104140</v>
      </c>
    </row>
    <row r="1051" spans="1:26" x14ac:dyDescent="0.25">
      <c r="A1051" t="s">
        <v>1332</v>
      </c>
      <c r="B1051" t="s">
        <v>27</v>
      </c>
      <c r="C1051" t="s">
        <v>28</v>
      </c>
      <c r="H1051" s="2">
        <v>45900.49</v>
      </c>
      <c r="I1051" t="s">
        <v>31</v>
      </c>
      <c r="Z1051">
        <v>104134</v>
      </c>
    </row>
    <row r="1052" spans="1:26" x14ac:dyDescent="0.25">
      <c r="A1052" t="s">
        <v>606</v>
      </c>
      <c r="B1052" t="s">
        <v>306</v>
      </c>
      <c r="C1052" t="s">
        <v>28</v>
      </c>
      <c r="E1052" t="s">
        <v>1333</v>
      </c>
      <c r="H1052" s="2">
        <v>45899.839479166665</v>
      </c>
      <c r="I1052" t="s">
        <v>556</v>
      </c>
      <c r="Z1052">
        <v>104131</v>
      </c>
    </row>
    <row r="1053" spans="1:26" x14ac:dyDescent="0.25">
      <c r="A1053" t="s">
        <v>1334</v>
      </c>
      <c r="B1053" t="s">
        <v>27</v>
      </c>
      <c r="C1053" t="s">
        <v>28</v>
      </c>
      <c r="H1053" s="2">
        <v>45899.51353009259</v>
      </c>
      <c r="I1053" t="s">
        <v>556</v>
      </c>
      <c r="Z1053">
        <v>104116</v>
      </c>
    </row>
    <row r="1054" spans="1:26" x14ac:dyDescent="0.25">
      <c r="A1054" t="s">
        <v>1335</v>
      </c>
      <c r="B1054" t="s">
        <v>27</v>
      </c>
      <c r="C1054" t="s">
        <v>28</v>
      </c>
      <c r="H1054" s="2">
        <v>45899.512094907404</v>
      </c>
      <c r="I1054" t="s">
        <v>31</v>
      </c>
      <c r="Z1054">
        <v>104115</v>
      </c>
    </row>
    <row r="1055" spans="1:26" x14ac:dyDescent="0.25">
      <c r="A1055" t="s">
        <v>1336</v>
      </c>
      <c r="B1055" t="s">
        <v>58</v>
      </c>
      <c r="C1055" t="s">
        <v>28</v>
      </c>
      <c r="E1055" t="s">
        <v>427</v>
      </c>
      <c r="H1055" s="2">
        <v>45899.497013888889</v>
      </c>
      <c r="I1055" t="s">
        <v>31</v>
      </c>
      <c r="Z1055">
        <v>104110</v>
      </c>
    </row>
    <row r="1056" spans="1:26" x14ac:dyDescent="0.25">
      <c r="A1056" t="s">
        <v>1337</v>
      </c>
      <c r="B1056" t="s">
        <v>27</v>
      </c>
      <c r="C1056" t="s">
        <v>28</v>
      </c>
      <c r="H1056" s="2">
        <v>45899.433796296296</v>
      </c>
      <c r="I1056" t="s">
        <v>556</v>
      </c>
      <c r="Z1056">
        <v>104103</v>
      </c>
    </row>
    <row r="1057" spans="1:26" x14ac:dyDescent="0.25">
      <c r="A1057" t="s">
        <v>1338</v>
      </c>
      <c r="B1057" t="s">
        <v>27</v>
      </c>
      <c r="C1057" t="s">
        <v>28</v>
      </c>
      <c r="H1057" s="2">
        <v>45899.385324074072</v>
      </c>
      <c r="I1057" t="s">
        <v>31</v>
      </c>
      <c r="Z1057">
        <v>104101</v>
      </c>
    </row>
    <row r="1058" spans="1:26" x14ac:dyDescent="0.25">
      <c r="A1058" t="s">
        <v>1339</v>
      </c>
      <c r="B1058" t="s">
        <v>27</v>
      </c>
      <c r="C1058" t="s">
        <v>28</v>
      </c>
      <c r="H1058" s="2">
        <v>45898.833865740744</v>
      </c>
      <c r="I1058" t="s">
        <v>54</v>
      </c>
      <c r="Z1058">
        <v>104099</v>
      </c>
    </row>
    <row r="1059" spans="1:26" x14ac:dyDescent="0.25">
      <c r="A1059" t="s">
        <v>1340</v>
      </c>
      <c r="B1059" t="s">
        <v>27</v>
      </c>
      <c r="C1059" t="s">
        <v>28</v>
      </c>
      <c r="H1059" s="2">
        <v>45898.664513888885</v>
      </c>
      <c r="I1059" t="s">
        <v>54</v>
      </c>
      <c r="Z1059">
        <v>104087</v>
      </c>
    </row>
    <row r="1060" spans="1:26" x14ac:dyDescent="0.25">
      <c r="A1060" t="s">
        <v>1341</v>
      </c>
      <c r="B1060" t="s">
        <v>27</v>
      </c>
      <c r="C1060" t="s">
        <v>28</v>
      </c>
      <c r="H1060" s="2">
        <v>45898.568842592591</v>
      </c>
      <c r="I1060" t="s">
        <v>31</v>
      </c>
      <c r="Z1060">
        <v>104082</v>
      </c>
    </row>
    <row r="1061" spans="1:26" x14ac:dyDescent="0.25">
      <c r="A1061" t="s">
        <v>1342</v>
      </c>
      <c r="B1061" t="s">
        <v>27</v>
      </c>
      <c r="C1061" t="s">
        <v>28</v>
      </c>
      <c r="H1061" s="2">
        <v>45898.482881944445</v>
      </c>
      <c r="I1061" t="s">
        <v>54</v>
      </c>
      <c r="Z1061">
        <v>104075</v>
      </c>
    </row>
    <row r="1062" spans="1:26" x14ac:dyDescent="0.25">
      <c r="A1062" t="s">
        <v>33</v>
      </c>
      <c r="B1062" t="s">
        <v>27</v>
      </c>
      <c r="C1062" t="s">
        <v>28</v>
      </c>
      <c r="H1062" s="2">
        <v>45898.441655092596</v>
      </c>
      <c r="I1062" t="s">
        <v>54</v>
      </c>
      <c r="Z1062">
        <v>104070</v>
      </c>
    </row>
    <row r="1063" spans="1:26" x14ac:dyDescent="0.25">
      <c r="A1063" t="s">
        <v>1343</v>
      </c>
      <c r="B1063" t="s">
        <v>27</v>
      </c>
      <c r="C1063" t="s">
        <v>28</v>
      </c>
      <c r="H1063" s="2">
        <v>45898.422395833331</v>
      </c>
      <c r="I1063" t="s">
        <v>54</v>
      </c>
      <c r="Z1063">
        <v>104066</v>
      </c>
    </row>
    <row r="1064" spans="1:26" x14ac:dyDescent="0.25">
      <c r="A1064" t="s">
        <v>1344</v>
      </c>
      <c r="B1064" t="s">
        <v>27</v>
      </c>
      <c r="C1064" t="s">
        <v>28</v>
      </c>
      <c r="H1064" s="2">
        <v>45897.813298611109</v>
      </c>
      <c r="I1064" t="s">
        <v>54</v>
      </c>
      <c r="Z1064">
        <v>104060</v>
      </c>
    </row>
    <row r="1065" spans="1:26" x14ac:dyDescent="0.25">
      <c r="A1065" t="s">
        <v>1345</v>
      </c>
      <c r="B1065" t="s">
        <v>27</v>
      </c>
      <c r="C1065" t="s">
        <v>28</v>
      </c>
      <c r="H1065" s="2">
        <v>45897.71329861111</v>
      </c>
      <c r="I1065" t="s">
        <v>54</v>
      </c>
      <c r="Z1065">
        <v>104054</v>
      </c>
    </row>
    <row r="1066" spans="1:26" x14ac:dyDescent="0.25">
      <c r="A1066" t="s">
        <v>1346</v>
      </c>
      <c r="B1066" t="s">
        <v>27</v>
      </c>
      <c r="C1066" t="s">
        <v>28</v>
      </c>
      <c r="H1066" s="2">
        <v>45897.682326388887</v>
      </c>
      <c r="I1066" t="s">
        <v>54</v>
      </c>
      <c r="Z1066">
        <v>104053</v>
      </c>
    </row>
    <row r="1067" spans="1:26" x14ac:dyDescent="0.25">
      <c r="A1067" t="s">
        <v>1347</v>
      </c>
      <c r="B1067" t="s">
        <v>27</v>
      </c>
      <c r="C1067" t="s">
        <v>28</v>
      </c>
      <c r="H1067" s="2">
        <v>45896.64565972222</v>
      </c>
      <c r="I1067" t="s">
        <v>556</v>
      </c>
      <c r="Z1067">
        <v>104014</v>
      </c>
    </row>
    <row r="1068" spans="1:26" x14ac:dyDescent="0.25">
      <c r="A1068" t="s">
        <v>1348</v>
      </c>
      <c r="B1068" t="s">
        <v>27</v>
      </c>
      <c r="C1068" t="s">
        <v>28</v>
      </c>
      <c r="H1068" s="2">
        <v>45896.400567129633</v>
      </c>
      <c r="I1068" t="s">
        <v>556</v>
      </c>
      <c r="Z1068">
        <v>104001</v>
      </c>
    </row>
    <row r="1069" spans="1:26" x14ac:dyDescent="0.25">
      <c r="A1069" t="s">
        <v>1349</v>
      </c>
      <c r="B1069" t="s">
        <v>306</v>
      </c>
      <c r="C1069" t="s">
        <v>28</v>
      </c>
      <c r="E1069" t="s">
        <v>1350</v>
      </c>
      <c r="H1069" s="2">
        <v>45896.375416666669</v>
      </c>
      <c r="I1069" t="s">
        <v>54</v>
      </c>
      <c r="Z1069">
        <v>104000</v>
      </c>
    </row>
    <row r="1070" spans="1:26" x14ac:dyDescent="0.25">
      <c r="A1070" t="s">
        <v>1351</v>
      </c>
      <c r="B1070" t="s">
        <v>27</v>
      </c>
      <c r="C1070" t="s">
        <v>28</v>
      </c>
      <c r="H1070" s="2">
        <v>45895.660208333335</v>
      </c>
      <c r="I1070" t="s">
        <v>556</v>
      </c>
      <c r="Z1070">
        <v>103991</v>
      </c>
    </row>
    <row r="1071" spans="1:26" x14ac:dyDescent="0.25">
      <c r="A1071" t="s">
        <v>1352</v>
      </c>
      <c r="B1071" t="s">
        <v>27</v>
      </c>
      <c r="C1071" t="s">
        <v>28</v>
      </c>
      <c r="H1071" s="2">
        <v>45895.64539351852</v>
      </c>
      <c r="I1071" t="s">
        <v>31</v>
      </c>
      <c r="Z1071">
        <v>103990</v>
      </c>
    </row>
    <row r="1072" spans="1:26" x14ac:dyDescent="0.25">
      <c r="A1072" t="s">
        <v>1353</v>
      </c>
      <c r="B1072" t="s">
        <v>27</v>
      </c>
      <c r="C1072" t="s">
        <v>28</v>
      </c>
      <c r="H1072" s="2">
        <v>45895.626597222225</v>
      </c>
      <c r="I1072" t="s">
        <v>556</v>
      </c>
      <c r="Z1072">
        <v>103989</v>
      </c>
    </row>
    <row r="1073" spans="1:26" x14ac:dyDescent="0.25">
      <c r="A1073" t="s">
        <v>1354</v>
      </c>
      <c r="B1073" t="s">
        <v>74</v>
      </c>
      <c r="C1073" t="s">
        <v>28</v>
      </c>
      <c r="E1073" t="s">
        <v>625</v>
      </c>
      <c r="G1073" t="s">
        <v>1355</v>
      </c>
      <c r="H1073" s="2">
        <v>45895.616863425923</v>
      </c>
      <c r="I1073" t="s">
        <v>31</v>
      </c>
      <c r="Z1073">
        <v>103986</v>
      </c>
    </row>
    <row r="1074" spans="1:26" x14ac:dyDescent="0.25">
      <c r="A1074" t="s">
        <v>663</v>
      </c>
      <c r="B1074" t="s">
        <v>46</v>
      </c>
      <c r="C1074" t="s">
        <v>28</v>
      </c>
      <c r="E1074" t="s">
        <v>304</v>
      </c>
      <c r="H1074" s="2">
        <v>45895.595960648148</v>
      </c>
      <c r="I1074" t="s">
        <v>556</v>
      </c>
      <c r="K1074" t="s">
        <v>48</v>
      </c>
      <c r="Z1074">
        <v>103983</v>
      </c>
    </row>
    <row r="1075" spans="1:26" x14ac:dyDescent="0.25">
      <c r="A1075" t="s">
        <v>1356</v>
      </c>
      <c r="B1075" t="s">
        <v>58</v>
      </c>
      <c r="C1075" t="s">
        <v>28</v>
      </c>
      <c r="E1075" t="s">
        <v>1357</v>
      </c>
      <c r="G1075" t="s">
        <v>1358</v>
      </c>
      <c r="H1075" s="2">
        <v>45894.652395833335</v>
      </c>
      <c r="I1075" t="s">
        <v>556</v>
      </c>
      <c r="Z1075">
        <v>103947</v>
      </c>
    </row>
    <row r="1076" spans="1:26" x14ac:dyDescent="0.25">
      <c r="A1076" t="s">
        <v>1359</v>
      </c>
      <c r="B1076" t="s">
        <v>74</v>
      </c>
      <c r="C1076" t="s">
        <v>28</v>
      </c>
      <c r="E1076" t="s">
        <v>1360</v>
      </c>
      <c r="G1076" t="s">
        <v>1361</v>
      </c>
      <c r="H1076" s="2">
        <v>45894.539039351854</v>
      </c>
      <c r="I1076" t="s">
        <v>31</v>
      </c>
      <c r="Z1076">
        <v>103933</v>
      </c>
    </row>
    <row r="1077" spans="1:26" x14ac:dyDescent="0.25">
      <c r="A1077" t="s">
        <v>1362</v>
      </c>
      <c r="B1077" t="s">
        <v>27</v>
      </c>
      <c r="C1077" t="s">
        <v>28</v>
      </c>
      <c r="H1077" s="2">
        <v>45892.738495370373</v>
      </c>
      <c r="I1077" t="s">
        <v>31</v>
      </c>
      <c r="Z1077">
        <v>103890</v>
      </c>
    </row>
    <row r="1078" spans="1:26" x14ac:dyDescent="0.25">
      <c r="A1078" t="s">
        <v>1363</v>
      </c>
      <c r="B1078" t="s">
        <v>27</v>
      </c>
      <c r="C1078" t="s">
        <v>28</v>
      </c>
      <c r="H1078" s="2">
        <v>45892.420439814814</v>
      </c>
      <c r="I1078" t="s">
        <v>31</v>
      </c>
      <c r="Z1078">
        <v>103871</v>
      </c>
    </row>
    <row r="1079" spans="1:26" x14ac:dyDescent="0.25">
      <c r="A1079" t="s">
        <v>1364</v>
      </c>
      <c r="B1079" t="s">
        <v>46</v>
      </c>
      <c r="C1079" t="s">
        <v>28</v>
      </c>
      <c r="E1079" t="s">
        <v>1365</v>
      </c>
      <c r="H1079" s="2">
        <v>45891.722604166665</v>
      </c>
      <c r="I1079" t="s">
        <v>31</v>
      </c>
      <c r="K1079" t="s">
        <v>48</v>
      </c>
      <c r="Z1079">
        <v>103860</v>
      </c>
    </row>
    <row r="1080" spans="1:26" x14ac:dyDescent="0.25">
      <c r="A1080" t="s">
        <v>1366</v>
      </c>
      <c r="B1080" t="s">
        <v>27</v>
      </c>
      <c r="C1080" t="s">
        <v>28</v>
      </c>
      <c r="H1080" s="2">
        <v>45891.51021990741</v>
      </c>
      <c r="I1080" t="s">
        <v>31</v>
      </c>
      <c r="Z1080">
        <v>103844</v>
      </c>
    </row>
    <row r="1081" spans="1:26" x14ac:dyDescent="0.25">
      <c r="A1081" t="s">
        <v>1367</v>
      </c>
      <c r="B1081" t="s">
        <v>27</v>
      </c>
      <c r="C1081" t="s">
        <v>28</v>
      </c>
      <c r="H1081" s="2">
        <v>45891.429988425924</v>
      </c>
      <c r="I1081" t="s">
        <v>31</v>
      </c>
      <c r="Z1081">
        <v>103839</v>
      </c>
    </row>
    <row r="1082" spans="1:26" x14ac:dyDescent="0.25">
      <c r="A1082" t="s">
        <v>1368</v>
      </c>
      <c r="B1082" t="s">
        <v>27</v>
      </c>
      <c r="C1082" t="s">
        <v>28</v>
      </c>
      <c r="H1082" s="2">
        <v>45891.411481481482</v>
      </c>
      <c r="I1082" t="s">
        <v>54</v>
      </c>
      <c r="Z1082">
        <v>103837</v>
      </c>
    </row>
    <row r="1083" spans="1:26" x14ac:dyDescent="0.25">
      <c r="A1083" t="s">
        <v>1369</v>
      </c>
      <c r="B1083" t="s">
        <v>74</v>
      </c>
      <c r="C1083" t="s">
        <v>28</v>
      </c>
      <c r="E1083" t="s">
        <v>370</v>
      </c>
      <c r="G1083" t="s">
        <v>1370</v>
      </c>
      <c r="H1083" s="2">
        <v>45889.863842592589</v>
      </c>
      <c r="I1083" t="s">
        <v>54</v>
      </c>
      <c r="Z1083">
        <v>103798</v>
      </c>
    </row>
    <row r="1084" spans="1:26" x14ac:dyDescent="0.25">
      <c r="A1084" t="s">
        <v>1371</v>
      </c>
      <c r="B1084" t="s">
        <v>27</v>
      </c>
      <c r="C1084" t="s">
        <v>28</v>
      </c>
      <c r="H1084" s="2">
        <v>45889.596655092595</v>
      </c>
      <c r="I1084" t="s">
        <v>31</v>
      </c>
      <c r="Z1084">
        <v>103779</v>
      </c>
    </row>
    <row r="1085" spans="1:26" x14ac:dyDescent="0.25">
      <c r="A1085" t="s">
        <v>1372</v>
      </c>
      <c r="B1085" t="s">
        <v>27</v>
      </c>
      <c r="C1085" t="s">
        <v>28</v>
      </c>
      <c r="H1085" s="2">
        <v>45889.475775462961</v>
      </c>
      <c r="I1085" t="s">
        <v>556</v>
      </c>
      <c r="Z1085">
        <v>103773</v>
      </c>
    </row>
    <row r="1086" spans="1:26" x14ac:dyDescent="0.25">
      <c r="A1086" t="s">
        <v>1373</v>
      </c>
      <c r="B1086" t="s">
        <v>27</v>
      </c>
      <c r="C1086" t="s">
        <v>28</v>
      </c>
      <c r="H1086" s="2">
        <v>45888.719027777777</v>
      </c>
      <c r="I1086" t="s">
        <v>556</v>
      </c>
      <c r="Z1086">
        <v>103759</v>
      </c>
    </row>
    <row r="1087" spans="1:26" x14ac:dyDescent="0.25">
      <c r="A1087" t="s">
        <v>1374</v>
      </c>
      <c r="B1087" t="s">
        <v>27</v>
      </c>
      <c r="C1087" t="s">
        <v>28</v>
      </c>
      <c r="H1087" s="2">
        <v>45888.697164351855</v>
      </c>
      <c r="I1087" t="s">
        <v>556</v>
      </c>
      <c r="Z1087">
        <v>103758</v>
      </c>
    </row>
    <row r="1088" spans="1:26" x14ac:dyDescent="0.25">
      <c r="A1088" t="s">
        <v>33</v>
      </c>
      <c r="B1088" t="s">
        <v>74</v>
      </c>
      <c r="C1088" t="s">
        <v>28</v>
      </c>
      <c r="E1088" t="s">
        <v>370</v>
      </c>
      <c r="G1088" t="s">
        <v>1370</v>
      </c>
      <c r="H1088" s="2">
        <v>45888.677557870367</v>
      </c>
      <c r="I1088" t="s">
        <v>31</v>
      </c>
      <c r="Z1088">
        <v>103756</v>
      </c>
    </row>
    <row r="1089" spans="1:26" x14ac:dyDescent="0.25">
      <c r="A1089" t="s">
        <v>1375</v>
      </c>
      <c r="B1089" t="s">
        <v>27</v>
      </c>
      <c r="C1089" t="s">
        <v>28</v>
      </c>
      <c r="H1089" s="2">
        <v>45888.537499999999</v>
      </c>
      <c r="I1089" t="s">
        <v>31</v>
      </c>
      <c r="Z1089">
        <v>103750</v>
      </c>
    </row>
    <row r="1090" spans="1:26" x14ac:dyDescent="0.25">
      <c r="A1090" t="s">
        <v>207</v>
      </c>
      <c r="B1090" t="s">
        <v>27</v>
      </c>
      <c r="C1090" t="s">
        <v>28</v>
      </c>
      <c r="H1090" s="2">
        <v>45887.586817129632</v>
      </c>
      <c r="I1090" t="s">
        <v>31</v>
      </c>
      <c r="Z1090">
        <v>103729</v>
      </c>
    </row>
    <row r="1091" spans="1:26" x14ac:dyDescent="0.25">
      <c r="A1091" t="s">
        <v>1376</v>
      </c>
      <c r="B1091" t="s">
        <v>27</v>
      </c>
      <c r="C1091" t="s">
        <v>28</v>
      </c>
      <c r="H1091" s="2">
        <v>45887.554108796299</v>
      </c>
      <c r="I1091" t="s">
        <v>556</v>
      </c>
      <c r="Z1091">
        <v>103726</v>
      </c>
    </row>
    <row r="1092" spans="1:26" x14ac:dyDescent="0.25">
      <c r="A1092" t="s">
        <v>194</v>
      </c>
      <c r="B1092" t="s">
        <v>27</v>
      </c>
      <c r="C1092" t="s">
        <v>28</v>
      </c>
      <c r="H1092" s="2">
        <v>45887.405844907407</v>
      </c>
      <c r="I1092" t="s">
        <v>31</v>
      </c>
      <c r="Z1092">
        <v>103706</v>
      </c>
    </row>
    <row r="1093" spans="1:26" x14ac:dyDescent="0.25">
      <c r="A1093" t="s">
        <v>1377</v>
      </c>
      <c r="B1093" t="s">
        <v>74</v>
      </c>
      <c r="C1093" t="s">
        <v>28</v>
      </c>
      <c r="E1093" t="s">
        <v>1378</v>
      </c>
      <c r="G1093" t="s">
        <v>1379</v>
      </c>
      <c r="H1093" s="2">
        <v>45885.844317129631</v>
      </c>
      <c r="I1093" t="s">
        <v>54</v>
      </c>
      <c r="Z1093">
        <v>103682</v>
      </c>
    </row>
    <row r="1094" spans="1:26" x14ac:dyDescent="0.25">
      <c r="A1094" t="s">
        <v>1380</v>
      </c>
      <c r="B1094" t="s">
        <v>27</v>
      </c>
      <c r="C1094" t="s">
        <v>28</v>
      </c>
      <c r="H1094" s="2">
        <v>45885.451145833336</v>
      </c>
      <c r="I1094" t="s">
        <v>31</v>
      </c>
      <c r="Z1094">
        <v>103665</v>
      </c>
    </row>
    <row r="1095" spans="1:26" x14ac:dyDescent="0.25">
      <c r="A1095" t="s">
        <v>1381</v>
      </c>
      <c r="B1095" t="s">
        <v>74</v>
      </c>
      <c r="C1095" t="s">
        <v>185</v>
      </c>
      <c r="E1095" t="s">
        <v>72</v>
      </c>
      <c r="G1095" t="s">
        <v>1382</v>
      </c>
      <c r="H1095" s="2">
        <v>45885.394895833335</v>
      </c>
      <c r="I1095" t="s">
        <v>54</v>
      </c>
      <c r="Z1095">
        <v>103662</v>
      </c>
    </row>
    <row r="1096" spans="1:26" x14ac:dyDescent="0.25">
      <c r="A1096" t="s">
        <v>1383</v>
      </c>
      <c r="B1096" t="s">
        <v>27</v>
      </c>
      <c r="C1096" t="s">
        <v>28</v>
      </c>
      <c r="H1096" s="2">
        <v>45884.77652777778</v>
      </c>
      <c r="I1096" t="s">
        <v>556</v>
      </c>
      <c r="Z1096">
        <v>103657</v>
      </c>
    </row>
    <row r="1097" spans="1:26" x14ac:dyDescent="0.25">
      <c r="A1097" t="s">
        <v>1384</v>
      </c>
      <c r="B1097" t="s">
        <v>27</v>
      </c>
      <c r="C1097" t="s">
        <v>28</v>
      </c>
      <c r="H1097" s="2">
        <v>45884.698217592595</v>
      </c>
      <c r="I1097" t="s">
        <v>54</v>
      </c>
      <c r="Z1097">
        <v>103654</v>
      </c>
    </row>
    <row r="1098" spans="1:26" x14ac:dyDescent="0.25">
      <c r="A1098" t="s">
        <v>1385</v>
      </c>
      <c r="B1098" t="s">
        <v>27</v>
      </c>
      <c r="C1098" t="s">
        <v>28</v>
      </c>
      <c r="H1098" s="2">
        <v>45884.675115740742</v>
      </c>
      <c r="I1098" t="s">
        <v>54</v>
      </c>
      <c r="Z1098">
        <v>103653</v>
      </c>
    </row>
    <row r="1099" spans="1:26" x14ac:dyDescent="0.25">
      <c r="A1099" t="s">
        <v>1386</v>
      </c>
      <c r="B1099" t="s">
        <v>27</v>
      </c>
      <c r="C1099" t="s">
        <v>28</v>
      </c>
      <c r="H1099" s="2">
        <v>45884.631909722222</v>
      </c>
      <c r="I1099" t="s">
        <v>54</v>
      </c>
      <c r="Z1099">
        <v>103651</v>
      </c>
    </row>
    <row r="1100" spans="1:26" x14ac:dyDescent="0.25">
      <c r="A1100" t="s">
        <v>1387</v>
      </c>
      <c r="B1100" t="s">
        <v>27</v>
      </c>
      <c r="C1100" t="s">
        <v>28</v>
      </c>
      <c r="H1100" s="2">
        <v>45884.430092592593</v>
      </c>
      <c r="I1100" t="s">
        <v>556</v>
      </c>
      <c r="Z1100">
        <v>103640</v>
      </c>
    </row>
    <row r="1101" spans="1:26" x14ac:dyDescent="0.25">
      <c r="A1101" t="s">
        <v>1388</v>
      </c>
      <c r="B1101" t="s">
        <v>27</v>
      </c>
      <c r="C1101" t="s">
        <v>28</v>
      </c>
      <c r="H1101" s="2">
        <v>45883.684166666666</v>
      </c>
      <c r="I1101" t="s">
        <v>556</v>
      </c>
      <c r="Z1101">
        <v>103632</v>
      </c>
    </row>
    <row r="1102" spans="1:26" x14ac:dyDescent="0.25">
      <c r="A1102" t="s">
        <v>1389</v>
      </c>
      <c r="B1102" t="s">
        <v>74</v>
      </c>
      <c r="C1102" t="s">
        <v>28</v>
      </c>
      <c r="E1102" t="s">
        <v>1390</v>
      </c>
      <c r="G1102" t="s">
        <v>1391</v>
      </c>
      <c r="H1102" s="2">
        <v>45882.991759259261</v>
      </c>
      <c r="I1102" t="s">
        <v>54</v>
      </c>
      <c r="Z1102">
        <v>103607</v>
      </c>
    </row>
    <row r="1103" spans="1:26" x14ac:dyDescent="0.25">
      <c r="A1103" t="s">
        <v>1392</v>
      </c>
      <c r="B1103" t="s">
        <v>27</v>
      </c>
      <c r="C1103" t="s">
        <v>28</v>
      </c>
      <c r="H1103" s="2">
        <v>45882.816724537035</v>
      </c>
      <c r="I1103" t="s">
        <v>31</v>
      </c>
      <c r="Z1103">
        <v>103600</v>
      </c>
    </row>
    <row r="1104" spans="1:26" x14ac:dyDescent="0.25">
      <c r="A1104" t="s">
        <v>1393</v>
      </c>
      <c r="B1104" t="s">
        <v>27</v>
      </c>
      <c r="C1104" t="s">
        <v>28</v>
      </c>
      <c r="H1104" s="2">
        <v>45882.704016203701</v>
      </c>
      <c r="I1104" t="s">
        <v>556</v>
      </c>
      <c r="Z1104">
        <v>103596</v>
      </c>
    </row>
    <row r="1105" spans="1:26" x14ac:dyDescent="0.25">
      <c r="A1105" t="s">
        <v>1394</v>
      </c>
      <c r="B1105" t="s">
        <v>27</v>
      </c>
      <c r="C1105" t="s">
        <v>28</v>
      </c>
      <c r="H1105" s="2">
        <v>45882.699340277781</v>
      </c>
      <c r="I1105" t="s">
        <v>31</v>
      </c>
      <c r="Z1105">
        <v>103594</v>
      </c>
    </row>
    <row r="1106" spans="1:26" x14ac:dyDescent="0.25">
      <c r="A1106" t="s">
        <v>1395</v>
      </c>
      <c r="B1106" t="s">
        <v>27</v>
      </c>
      <c r="C1106" t="s">
        <v>28</v>
      </c>
      <c r="H1106" s="2">
        <v>45882.595833333333</v>
      </c>
      <c r="I1106" t="s">
        <v>31</v>
      </c>
      <c r="Z1106">
        <v>103587</v>
      </c>
    </row>
    <row r="1107" spans="1:26" x14ac:dyDescent="0.25">
      <c r="A1107" t="s">
        <v>1396</v>
      </c>
      <c r="B1107" t="s">
        <v>27</v>
      </c>
      <c r="C1107" t="s">
        <v>28</v>
      </c>
      <c r="H1107" s="2">
        <v>45882.514374999999</v>
      </c>
      <c r="I1107" t="s">
        <v>31</v>
      </c>
      <c r="Z1107">
        <v>103583</v>
      </c>
    </row>
    <row r="1108" spans="1:26" x14ac:dyDescent="0.25">
      <c r="A1108" t="s">
        <v>1397</v>
      </c>
      <c r="B1108" t="s">
        <v>27</v>
      </c>
      <c r="C1108" t="s">
        <v>28</v>
      </c>
      <c r="H1108" s="2">
        <v>45882.49560185185</v>
      </c>
      <c r="I1108" t="s">
        <v>31</v>
      </c>
      <c r="Z1108">
        <v>103582</v>
      </c>
    </row>
    <row r="1109" spans="1:26" x14ac:dyDescent="0.25">
      <c r="A1109" t="s">
        <v>1398</v>
      </c>
      <c r="B1109" t="s">
        <v>27</v>
      </c>
      <c r="C1109" t="s">
        <v>28</v>
      </c>
      <c r="H1109" s="2">
        <v>45882.485914351855</v>
      </c>
      <c r="I1109" t="s">
        <v>556</v>
      </c>
      <c r="Z1109">
        <v>103579</v>
      </c>
    </row>
    <row r="1110" spans="1:26" x14ac:dyDescent="0.25">
      <c r="A1110" t="s">
        <v>1399</v>
      </c>
      <c r="B1110" t="s">
        <v>27</v>
      </c>
      <c r="C1110" t="s">
        <v>28</v>
      </c>
      <c r="H1110" s="2">
        <v>45881.608287037037</v>
      </c>
      <c r="I1110" t="s">
        <v>556</v>
      </c>
      <c r="Z1110">
        <v>103563</v>
      </c>
    </row>
    <row r="1111" spans="1:26" x14ac:dyDescent="0.25">
      <c r="A1111" t="s">
        <v>1400</v>
      </c>
      <c r="B1111" t="s">
        <v>27</v>
      </c>
      <c r="C1111" t="s">
        <v>28</v>
      </c>
      <c r="H1111" s="2">
        <v>45881.532870370371</v>
      </c>
      <c r="I1111" t="s">
        <v>556</v>
      </c>
      <c r="Z1111">
        <v>103558</v>
      </c>
    </row>
    <row r="1112" spans="1:26" x14ac:dyDescent="0.25">
      <c r="A1112" t="s">
        <v>1401</v>
      </c>
      <c r="B1112" t="s">
        <v>27</v>
      </c>
      <c r="C1112" t="s">
        <v>28</v>
      </c>
      <c r="H1112" s="2">
        <v>45881.460775462961</v>
      </c>
      <c r="I1112" t="s">
        <v>556</v>
      </c>
      <c r="Z1112">
        <v>103554</v>
      </c>
    </row>
    <row r="1113" spans="1:26" x14ac:dyDescent="0.25">
      <c r="A1113" t="s">
        <v>1402</v>
      </c>
      <c r="B1113" t="s">
        <v>1403</v>
      </c>
      <c r="C1113" t="s">
        <v>28</v>
      </c>
      <c r="E1113" t="s">
        <v>101</v>
      </c>
      <c r="H1113" s="2">
        <v>45879.903912037036</v>
      </c>
      <c r="I1113" t="s">
        <v>54</v>
      </c>
      <c r="Z1113">
        <v>103515</v>
      </c>
    </row>
    <row r="1114" spans="1:26" x14ac:dyDescent="0.25">
      <c r="A1114" t="s">
        <v>1404</v>
      </c>
      <c r="B1114" t="s">
        <v>27</v>
      </c>
      <c r="C1114" t="s">
        <v>28</v>
      </c>
      <c r="H1114" s="2">
        <v>45878.717476851853</v>
      </c>
      <c r="I1114" t="s">
        <v>54</v>
      </c>
      <c r="Z1114">
        <v>103493</v>
      </c>
    </row>
    <row r="1115" spans="1:26" x14ac:dyDescent="0.25">
      <c r="A1115" t="s">
        <v>1329</v>
      </c>
      <c r="B1115" t="s">
        <v>27</v>
      </c>
      <c r="C1115" t="s">
        <v>28</v>
      </c>
      <c r="H1115" s="2">
        <v>45876.706226851849</v>
      </c>
      <c r="I1115" t="s">
        <v>556</v>
      </c>
      <c r="Z1115">
        <v>103425</v>
      </c>
    </row>
    <row r="1116" spans="1:26" x14ac:dyDescent="0.25">
      <c r="A1116" t="s">
        <v>1405</v>
      </c>
      <c r="B1116" t="s">
        <v>1403</v>
      </c>
      <c r="C1116" t="s">
        <v>28</v>
      </c>
      <c r="E1116" t="s">
        <v>1406</v>
      </c>
      <c r="H1116" s="2">
        <v>45875.830509259256</v>
      </c>
      <c r="I1116" t="s">
        <v>31</v>
      </c>
      <c r="Z1116">
        <v>103404</v>
      </c>
    </row>
    <row r="1117" spans="1:26" x14ac:dyDescent="0.25">
      <c r="A1117" t="s">
        <v>1407</v>
      </c>
      <c r="B1117" t="s">
        <v>27</v>
      </c>
      <c r="C1117" t="s">
        <v>28</v>
      </c>
      <c r="H1117" s="2">
        <v>45875.47755787037</v>
      </c>
      <c r="I1117" t="s">
        <v>31</v>
      </c>
      <c r="Z1117">
        <v>103376</v>
      </c>
    </row>
    <row r="1118" spans="1:26" x14ac:dyDescent="0.25">
      <c r="A1118" t="s">
        <v>1408</v>
      </c>
      <c r="B1118" t="s">
        <v>27</v>
      </c>
      <c r="C1118" t="s">
        <v>28</v>
      </c>
      <c r="H1118" s="2">
        <v>45874.65184027778</v>
      </c>
      <c r="I1118" t="s">
        <v>31</v>
      </c>
      <c r="Z1118">
        <v>103363</v>
      </c>
    </row>
    <row r="1119" spans="1:26" x14ac:dyDescent="0.25">
      <c r="A1119" t="s">
        <v>1409</v>
      </c>
      <c r="B1119" t="s">
        <v>27</v>
      </c>
      <c r="C1119" t="s">
        <v>28</v>
      </c>
      <c r="H1119" s="2">
        <v>45874.644629629627</v>
      </c>
      <c r="I1119" t="s">
        <v>54</v>
      </c>
      <c r="Z1119">
        <v>103362</v>
      </c>
    </row>
    <row r="1120" spans="1:26" x14ac:dyDescent="0.25">
      <c r="A1120" t="s">
        <v>1410</v>
      </c>
      <c r="B1120" t="s">
        <v>27</v>
      </c>
      <c r="C1120" t="s">
        <v>28</v>
      </c>
      <c r="H1120" s="2">
        <v>45874.374814814815</v>
      </c>
      <c r="I1120" t="s">
        <v>31</v>
      </c>
      <c r="Z1120">
        <v>103336</v>
      </c>
    </row>
    <row r="1121" spans="1:26" x14ac:dyDescent="0.25">
      <c r="A1121" t="s">
        <v>1411</v>
      </c>
      <c r="B1121" t="s">
        <v>27</v>
      </c>
      <c r="C1121" t="s">
        <v>28</v>
      </c>
      <c r="H1121" s="2">
        <v>45873.680277777778</v>
      </c>
      <c r="I1121" t="s">
        <v>31</v>
      </c>
      <c r="Z1121">
        <v>103318</v>
      </c>
    </row>
    <row r="1122" spans="1:26" x14ac:dyDescent="0.25">
      <c r="A1122" t="s">
        <v>1412</v>
      </c>
      <c r="B1122" t="s">
        <v>27</v>
      </c>
      <c r="C1122" t="s">
        <v>28</v>
      </c>
      <c r="H1122" s="2">
        <v>45873.562847222223</v>
      </c>
      <c r="I1122" t="s">
        <v>31</v>
      </c>
      <c r="Z1122">
        <v>103307</v>
      </c>
    </row>
    <row r="1123" spans="1:26" x14ac:dyDescent="0.25">
      <c r="A1123" t="s">
        <v>1413</v>
      </c>
      <c r="B1123" t="s">
        <v>27</v>
      </c>
      <c r="C1123" t="s">
        <v>28</v>
      </c>
      <c r="H1123" s="2">
        <v>45872.497557870367</v>
      </c>
      <c r="I1123" t="s">
        <v>556</v>
      </c>
      <c r="Z1123">
        <v>103271</v>
      </c>
    </row>
    <row r="1124" spans="1:26" x14ac:dyDescent="0.25">
      <c r="A1124" t="s">
        <v>1414</v>
      </c>
      <c r="B1124" t="s">
        <v>27</v>
      </c>
      <c r="C1124" t="s">
        <v>28</v>
      </c>
      <c r="H1124" s="2">
        <v>45871.778680555559</v>
      </c>
      <c r="I1124" t="s">
        <v>54</v>
      </c>
      <c r="Z1124">
        <v>103268</v>
      </c>
    </row>
    <row r="1125" spans="1:26" x14ac:dyDescent="0.25">
      <c r="A1125" t="s">
        <v>1415</v>
      </c>
      <c r="B1125" t="s">
        <v>27</v>
      </c>
      <c r="C1125" t="s">
        <v>28</v>
      </c>
      <c r="H1125" s="2">
        <v>45871.570254629631</v>
      </c>
      <c r="I1125" t="s">
        <v>54</v>
      </c>
      <c r="Z1125">
        <v>103256</v>
      </c>
    </row>
    <row r="1126" spans="1:26" x14ac:dyDescent="0.25">
      <c r="A1126" t="s">
        <v>1416</v>
      </c>
      <c r="B1126" t="s">
        <v>27</v>
      </c>
      <c r="C1126" t="s">
        <v>28</v>
      </c>
      <c r="H1126" s="2">
        <v>45870.758530092593</v>
      </c>
      <c r="I1126" t="s">
        <v>31</v>
      </c>
      <c r="Z1126">
        <v>103240</v>
      </c>
    </row>
    <row r="1127" spans="1:26" x14ac:dyDescent="0.25">
      <c r="A1127" t="s">
        <v>1417</v>
      </c>
      <c r="B1127" t="s">
        <v>27</v>
      </c>
      <c r="C1127" t="s">
        <v>28</v>
      </c>
      <c r="H1127" s="2">
        <v>45870.492627314816</v>
      </c>
      <c r="I1127" t="s">
        <v>556</v>
      </c>
      <c r="Z1127">
        <v>103224</v>
      </c>
    </row>
    <row r="1128" spans="1:26" x14ac:dyDescent="0.25">
      <c r="A1128" t="s">
        <v>1418</v>
      </c>
      <c r="B1128" t="s">
        <v>27</v>
      </c>
      <c r="C1128" t="s">
        <v>28</v>
      </c>
      <c r="H1128" s="2">
        <v>45870.404999999999</v>
      </c>
      <c r="I1128" t="s">
        <v>31</v>
      </c>
      <c r="Z1128">
        <v>103215</v>
      </c>
    </row>
    <row r="1129" spans="1:26" x14ac:dyDescent="0.25">
      <c r="A1129" t="s">
        <v>1419</v>
      </c>
      <c r="B1129" t="s">
        <v>27</v>
      </c>
      <c r="C1129" t="s">
        <v>28</v>
      </c>
      <c r="H1129" s="2">
        <v>45870.382141203707</v>
      </c>
      <c r="I1129" t="s">
        <v>556</v>
      </c>
      <c r="Z1129">
        <v>103213</v>
      </c>
    </row>
    <row r="1130" spans="1:26" x14ac:dyDescent="0.25">
      <c r="A1130" t="s">
        <v>1420</v>
      </c>
      <c r="B1130" t="s">
        <v>27</v>
      </c>
      <c r="C1130" t="s">
        <v>28</v>
      </c>
      <c r="H1130" s="2">
        <v>45870.377118055556</v>
      </c>
      <c r="I1130" t="s">
        <v>31</v>
      </c>
      <c r="Z1130">
        <v>103211</v>
      </c>
    </row>
    <row r="1131" spans="1:26" x14ac:dyDescent="0.25">
      <c r="A1131" t="s">
        <v>1421</v>
      </c>
      <c r="B1131" t="s">
        <v>27</v>
      </c>
      <c r="C1131" t="s">
        <v>28</v>
      </c>
      <c r="H1131" s="2">
        <v>45869.716469907406</v>
      </c>
      <c r="I1131" t="s">
        <v>556</v>
      </c>
      <c r="Z1131">
        <v>103204</v>
      </c>
    </row>
    <row r="1132" spans="1:26" x14ac:dyDescent="0.25">
      <c r="A1132" t="s">
        <v>1422</v>
      </c>
      <c r="B1132" t="s">
        <v>27</v>
      </c>
      <c r="C1132" t="s">
        <v>28</v>
      </c>
      <c r="H1132" s="2">
        <v>45869.564942129633</v>
      </c>
      <c r="I1132" t="s">
        <v>556</v>
      </c>
      <c r="Z1132">
        <v>103197</v>
      </c>
    </row>
    <row r="1133" spans="1:26" x14ac:dyDescent="0.25">
      <c r="A1133" t="s">
        <v>1423</v>
      </c>
      <c r="B1133" t="s">
        <v>27</v>
      </c>
      <c r="C1133" t="s">
        <v>28</v>
      </c>
      <c r="H1133" s="2">
        <v>45869.478310185186</v>
      </c>
      <c r="I1133" t="s">
        <v>31</v>
      </c>
      <c r="Z1133">
        <v>103191</v>
      </c>
    </row>
    <row r="1134" spans="1:26" x14ac:dyDescent="0.25">
      <c r="A1134" t="s">
        <v>1424</v>
      </c>
      <c r="B1134" t="s">
        <v>27</v>
      </c>
      <c r="C1134" t="s">
        <v>28</v>
      </c>
      <c r="H1134" s="2">
        <v>45869.40384259259</v>
      </c>
      <c r="I1134" t="s">
        <v>556</v>
      </c>
      <c r="Z1134">
        <v>103185</v>
      </c>
    </row>
    <row r="1135" spans="1:26" x14ac:dyDescent="0.25">
      <c r="A1135" t="s">
        <v>1425</v>
      </c>
      <c r="B1135" t="s">
        <v>27</v>
      </c>
      <c r="C1135" t="s">
        <v>28</v>
      </c>
      <c r="H1135" s="2">
        <v>45868.838055555556</v>
      </c>
      <c r="I1135" t="s">
        <v>54</v>
      </c>
      <c r="Z1135">
        <v>103180</v>
      </c>
    </row>
    <row r="1136" spans="1:26" x14ac:dyDescent="0.25">
      <c r="A1136" t="s">
        <v>1426</v>
      </c>
      <c r="B1136" t="s">
        <v>27</v>
      </c>
      <c r="C1136" t="s">
        <v>28</v>
      </c>
      <c r="H1136" s="2">
        <v>45868.661724537036</v>
      </c>
      <c r="I1136" t="s">
        <v>54</v>
      </c>
      <c r="Z1136">
        <v>103170</v>
      </c>
    </row>
    <row r="1137" spans="1:26" x14ac:dyDescent="0.25">
      <c r="A1137" t="s">
        <v>1427</v>
      </c>
      <c r="B1137" t="s">
        <v>27</v>
      </c>
      <c r="C1137" t="s">
        <v>28</v>
      </c>
      <c r="H1137" s="2">
        <v>45868.600092592591</v>
      </c>
      <c r="I1137" t="s">
        <v>31</v>
      </c>
      <c r="Z1137">
        <v>103164</v>
      </c>
    </row>
    <row r="1138" spans="1:26" x14ac:dyDescent="0.25">
      <c r="A1138" t="s">
        <v>1428</v>
      </c>
      <c r="B1138" t="s">
        <v>27</v>
      </c>
      <c r="C1138" t="s">
        <v>28</v>
      </c>
      <c r="H1138" s="2">
        <v>45868.549976851849</v>
      </c>
      <c r="I1138" t="s">
        <v>54</v>
      </c>
      <c r="Z1138">
        <v>103160</v>
      </c>
    </row>
    <row r="1139" spans="1:26" x14ac:dyDescent="0.25">
      <c r="A1139" t="s">
        <v>1429</v>
      </c>
      <c r="B1139" t="s">
        <v>306</v>
      </c>
      <c r="C1139" t="s">
        <v>28</v>
      </c>
      <c r="E1139" t="s">
        <v>304</v>
      </c>
      <c r="H1139" s="2">
        <v>45868.465636574074</v>
      </c>
      <c r="I1139" t="s">
        <v>54</v>
      </c>
      <c r="Z1139">
        <v>103156</v>
      </c>
    </row>
    <row r="1140" spans="1:26" x14ac:dyDescent="0.25">
      <c r="A1140" t="s">
        <v>1430</v>
      </c>
      <c r="B1140" t="s">
        <v>27</v>
      </c>
      <c r="C1140" t="s">
        <v>28</v>
      </c>
      <c r="H1140" s="2">
        <v>45868.426365740743</v>
      </c>
      <c r="I1140" t="s">
        <v>31</v>
      </c>
      <c r="Z1140">
        <v>103151</v>
      </c>
    </row>
    <row r="1141" spans="1:26" x14ac:dyDescent="0.25">
      <c r="A1141" t="s">
        <v>1431</v>
      </c>
      <c r="B1141" t="s">
        <v>27</v>
      </c>
      <c r="C1141" t="s">
        <v>28</v>
      </c>
      <c r="H1141" s="2">
        <v>45868.413761574076</v>
      </c>
      <c r="I1141" t="s">
        <v>54</v>
      </c>
      <c r="Z1141">
        <v>103149</v>
      </c>
    </row>
    <row r="1142" spans="1:26" x14ac:dyDescent="0.25">
      <c r="A1142" t="s">
        <v>1432</v>
      </c>
      <c r="B1142" t="s">
        <v>27</v>
      </c>
      <c r="C1142" t="s">
        <v>28</v>
      </c>
      <c r="H1142" s="2">
        <v>45868.402511574073</v>
      </c>
      <c r="I1142" t="s">
        <v>31</v>
      </c>
      <c r="Z1142">
        <v>103148</v>
      </c>
    </row>
    <row r="1143" spans="1:26" x14ac:dyDescent="0.25">
      <c r="A1143" t="s">
        <v>1433</v>
      </c>
      <c r="B1143" t="s">
        <v>27</v>
      </c>
      <c r="C1143" t="s">
        <v>28</v>
      </c>
      <c r="H1143" s="2">
        <v>45867.808912037035</v>
      </c>
      <c r="I1143" t="s">
        <v>31</v>
      </c>
      <c r="Z1143">
        <v>103140</v>
      </c>
    </row>
    <row r="1144" spans="1:26" x14ac:dyDescent="0.25">
      <c r="A1144" t="s">
        <v>1434</v>
      </c>
      <c r="B1144" t="s">
        <v>27</v>
      </c>
      <c r="C1144" t="s">
        <v>28</v>
      </c>
      <c r="H1144" s="2">
        <v>45867.736504629633</v>
      </c>
      <c r="I1144" t="s">
        <v>31</v>
      </c>
      <c r="Z1144">
        <v>103138</v>
      </c>
    </row>
    <row r="1145" spans="1:26" x14ac:dyDescent="0.25">
      <c r="A1145" t="s">
        <v>1435</v>
      </c>
      <c r="B1145" t="s">
        <v>27</v>
      </c>
      <c r="C1145" t="s">
        <v>28</v>
      </c>
      <c r="H1145" s="2">
        <v>45867.539814814816</v>
      </c>
      <c r="I1145" t="s">
        <v>31</v>
      </c>
      <c r="Z1145">
        <v>103123</v>
      </c>
    </row>
    <row r="1146" spans="1:26" x14ac:dyDescent="0.25">
      <c r="A1146" t="s">
        <v>1436</v>
      </c>
      <c r="B1146" t="s">
        <v>27</v>
      </c>
      <c r="C1146" t="s">
        <v>28</v>
      </c>
      <c r="H1146" s="2">
        <v>45867.426365740743</v>
      </c>
      <c r="I1146" t="s">
        <v>31</v>
      </c>
      <c r="Z1146">
        <v>103111</v>
      </c>
    </row>
    <row r="1147" spans="1:26" x14ac:dyDescent="0.25">
      <c r="A1147" t="s">
        <v>1437</v>
      </c>
      <c r="B1147" t="s">
        <v>27</v>
      </c>
      <c r="C1147" t="s">
        <v>28</v>
      </c>
      <c r="H1147" s="2">
        <v>45867.424895833334</v>
      </c>
      <c r="I1147" t="s">
        <v>31</v>
      </c>
      <c r="Z1147">
        <v>103110</v>
      </c>
    </row>
    <row r="1148" spans="1:26" x14ac:dyDescent="0.25">
      <c r="A1148" t="s">
        <v>1438</v>
      </c>
      <c r="B1148" t="s">
        <v>306</v>
      </c>
      <c r="C1148" t="s">
        <v>28</v>
      </c>
      <c r="E1148" t="s">
        <v>304</v>
      </c>
      <c r="H1148" s="2">
        <v>45867.392025462963</v>
      </c>
      <c r="I1148" t="s">
        <v>31</v>
      </c>
      <c r="Z1148">
        <v>103105</v>
      </c>
    </row>
    <row r="1149" spans="1:26" x14ac:dyDescent="0.25">
      <c r="A1149" t="s">
        <v>1439</v>
      </c>
      <c r="B1149" t="s">
        <v>27</v>
      </c>
      <c r="C1149" t="s">
        <v>28</v>
      </c>
      <c r="H1149" s="2">
        <v>45866.679479166669</v>
      </c>
      <c r="I1149" t="s">
        <v>556</v>
      </c>
      <c r="Z1149">
        <v>103091</v>
      </c>
    </row>
    <row r="1150" spans="1:26" x14ac:dyDescent="0.25">
      <c r="A1150" t="s">
        <v>1440</v>
      </c>
      <c r="B1150" t="s">
        <v>27</v>
      </c>
      <c r="C1150" t="s">
        <v>28</v>
      </c>
      <c r="H1150" s="2">
        <v>45866.678101851852</v>
      </c>
      <c r="I1150" t="s">
        <v>556</v>
      </c>
      <c r="Z1150">
        <v>103090</v>
      </c>
    </row>
    <row r="1151" spans="1:26" x14ac:dyDescent="0.25">
      <c r="A1151" t="s">
        <v>1441</v>
      </c>
      <c r="B1151" t="s">
        <v>27</v>
      </c>
      <c r="C1151" t="s">
        <v>28</v>
      </c>
      <c r="H1151" s="2">
        <v>45866.612592592595</v>
      </c>
      <c r="I1151" t="s">
        <v>54</v>
      </c>
      <c r="Z1151">
        <v>103086</v>
      </c>
    </row>
    <row r="1152" spans="1:26" x14ac:dyDescent="0.25">
      <c r="A1152" t="s">
        <v>1442</v>
      </c>
      <c r="B1152" t="s">
        <v>27</v>
      </c>
      <c r="C1152" t="s">
        <v>28</v>
      </c>
      <c r="H1152" s="2">
        <v>45866.575775462959</v>
      </c>
      <c r="I1152" t="s">
        <v>54</v>
      </c>
      <c r="Z1152">
        <v>103081</v>
      </c>
    </row>
    <row r="1153" spans="1:26" x14ac:dyDescent="0.25">
      <c r="A1153" t="s">
        <v>1443</v>
      </c>
      <c r="B1153" t="s">
        <v>27</v>
      </c>
      <c r="C1153" t="s">
        <v>28</v>
      </c>
      <c r="H1153" s="2">
        <v>45865.726099537038</v>
      </c>
      <c r="I1153" t="s">
        <v>54</v>
      </c>
      <c r="Z1153">
        <v>103061</v>
      </c>
    </row>
    <row r="1154" spans="1:26" x14ac:dyDescent="0.25">
      <c r="A1154" t="s">
        <v>1444</v>
      </c>
      <c r="B1154" t="s">
        <v>27</v>
      </c>
      <c r="C1154" t="s">
        <v>28</v>
      </c>
      <c r="H1154" s="2">
        <v>45865.665312500001</v>
      </c>
      <c r="I1154" t="s">
        <v>54</v>
      </c>
      <c r="Z1154">
        <v>103056</v>
      </c>
    </row>
    <row r="1155" spans="1:26" x14ac:dyDescent="0.25">
      <c r="A1155" t="s">
        <v>1445</v>
      </c>
      <c r="B1155" t="s">
        <v>27</v>
      </c>
      <c r="C1155" t="s">
        <v>28</v>
      </c>
      <c r="H1155" s="2">
        <v>45865.560046296298</v>
      </c>
      <c r="I1155" t="s">
        <v>54</v>
      </c>
      <c r="Z1155">
        <v>103047</v>
      </c>
    </row>
    <row r="1156" spans="1:26" x14ac:dyDescent="0.25">
      <c r="A1156" t="s">
        <v>1446</v>
      </c>
      <c r="B1156" t="s">
        <v>1403</v>
      </c>
      <c r="C1156" t="s">
        <v>28</v>
      </c>
      <c r="E1156" t="s">
        <v>1447</v>
      </c>
      <c r="H1156" s="2">
        <v>45865.559282407405</v>
      </c>
      <c r="I1156" t="s">
        <v>556</v>
      </c>
      <c r="Z1156">
        <v>103046</v>
      </c>
    </row>
    <row r="1157" spans="1:26" x14ac:dyDescent="0.25">
      <c r="A1157" t="s">
        <v>1448</v>
      </c>
      <c r="B1157" t="s">
        <v>74</v>
      </c>
      <c r="C1157" t="s">
        <v>28</v>
      </c>
      <c r="E1157" t="s">
        <v>72</v>
      </c>
      <c r="G1157" t="s">
        <v>1449</v>
      </c>
      <c r="H1157" s="2">
        <v>45865.324965277781</v>
      </c>
      <c r="I1157" t="s">
        <v>54</v>
      </c>
      <c r="Z1157">
        <v>103033</v>
      </c>
    </row>
    <row r="1158" spans="1:26" x14ac:dyDescent="0.25">
      <c r="A1158" t="s">
        <v>336</v>
      </c>
      <c r="B1158" t="s">
        <v>27</v>
      </c>
      <c r="C1158" t="s">
        <v>28</v>
      </c>
      <c r="H1158" s="2">
        <v>45863.788263888891</v>
      </c>
      <c r="I1158" t="s">
        <v>31</v>
      </c>
      <c r="Z1158">
        <v>103008</v>
      </c>
    </row>
    <row r="1159" spans="1:26" x14ac:dyDescent="0.25">
      <c r="A1159" t="s">
        <v>1450</v>
      </c>
      <c r="B1159" t="s">
        <v>27</v>
      </c>
      <c r="C1159" t="s">
        <v>28</v>
      </c>
      <c r="H1159" s="2">
        <v>45863.638067129628</v>
      </c>
      <c r="I1159" t="s">
        <v>31</v>
      </c>
      <c r="Z1159">
        <v>103003</v>
      </c>
    </row>
    <row r="1160" spans="1:26" x14ac:dyDescent="0.25">
      <c r="A1160" t="s">
        <v>33</v>
      </c>
      <c r="B1160" t="s">
        <v>27</v>
      </c>
      <c r="C1160" t="s">
        <v>28</v>
      </c>
      <c r="H1160" s="2">
        <v>45863.509340277778</v>
      </c>
      <c r="I1160" t="s">
        <v>31</v>
      </c>
      <c r="Z1160">
        <v>102990</v>
      </c>
    </row>
    <row r="1161" spans="1:26" x14ac:dyDescent="0.25">
      <c r="A1161" t="s">
        <v>1451</v>
      </c>
      <c r="B1161" t="s">
        <v>27</v>
      </c>
      <c r="C1161" t="s">
        <v>28</v>
      </c>
      <c r="H1161" s="2">
        <v>45863.414224537039</v>
      </c>
      <c r="I1161" t="s">
        <v>31</v>
      </c>
      <c r="Z1161">
        <v>102982</v>
      </c>
    </row>
    <row r="1162" spans="1:26" x14ac:dyDescent="0.25">
      <c r="A1162" t="s">
        <v>1452</v>
      </c>
      <c r="B1162" t="s">
        <v>27</v>
      </c>
      <c r="C1162" t="s">
        <v>28</v>
      </c>
      <c r="H1162" s="2">
        <v>45862.730613425927</v>
      </c>
      <c r="I1162" t="s">
        <v>31</v>
      </c>
      <c r="Z1162">
        <v>102973</v>
      </c>
    </row>
    <row r="1163" spans="1:26" x14ac:dyDescent="0.25">
      <c r="A1163" t="s">
        <v>1453</v>
      </c>
      <c r="B1163" t="s">
        <v>27</v>
      </c>
      <c r="C1163" t="s">
        <v>28</v>
      </c>
      <c r="H1163" s="2">
        <v>45862.622581018521</v>
      </c>
      <c r="I1163" t="s">
        <v>31</v>
      </c>
      <c r="Z1163">
        <v>102965</v>
      </c>
    </row>
    <row r="1164" spans="1:26" x14ac:dyDescent="0.25">
      <c r="A1164" t="s">
        <v>1454</v>
      </c>
      <c r="B1164" t="s">
        <v>27</v>
      </c>
      <c r="C1164" t="s">
        <v>28</v>
      </c>
      <c r="H1164" s="2">
        <v>45862.495821759258</v>
      </c>
      <c r="I1164" t="s">
        <v>54</v>
      </c>
      <c r="Z1164">
        <v>102949</v>
      </c>
    </row>
    <row r="1165" spans="1:26" x14ac:dyDescent="0.25">
      <c r="A1165" t="s">
        <v>1455</v>
      </c>
      <c r="B1165" t="s">
        <v>306</v>
      </c>
      <c r="C1165" t="s">
        <v>28</v>
      </c>
      <c r="E1165" t="s">
        <v>304</v>
      </c>
      <c r="H1165" s="2">
        <v>45862.368356481478</v>
      </c>
      <c r="I1165" t="s">
        <v>31</v>
      </c>
      <c r="Z1165">
        <v>102940</v>
      </c>
    </row>
    <row r="1166" spans="1:26" x14ac:dyDescent="0.25">
      <c r="A1166" t="s">
        <v>33</v>
      </c>
      <c r="B1166" t="s">
        <v>27</v>
      </c>
      <c r="C1166" t="s">
        <v>28</v>
      </c>
      <c r="H1166" s="2">
        <v>45861.659143518518</v>
      </c>
      <c r="I1166" t="s">
        <v>31</v>
      </c>
      <c r="Z1166">
        <v>102931</v>
      </c>
    </row>
    <row r="1167" spans="1:26" x14ac:dyDescent="0.25">
      <c r="A1167" t="s">
        <v>1456</v>
      </c>
      <c r="B1167" t="s">
        <v>27</v>
      </c>
      <c r="C1167" t="s">
        <v>28</v>
      </c>
      <c r="H1167" s="2">
        <v>45861.590520833335</v>
      </c>
      <c r="I1167" t="s">
        <v>54</v>
      </c>
      <c r="Z1167">
        <v>102923</v>
      </c>
    </row>
    <row r="1168" spans="1:26" x14ac:dyDescent="0.25">
      <c r="A1168" t="s">
        <v>1457</v>
      </c>
      <c r="B1168" t="s">
        <v>27</v>
      </c>
      <c r="C1168" t="s">
        <v>28</v>
      </c>
      <c r="H1168" s="2">
        <v>45861.568958333337</v>
      </c>
      <c r="I1168" t="s">
        <v>54</v>
      </c>
      <c r="Z1168">
        <v>102920</v>
      </c>
    </row>
    <row r="1169" spans="1:26" x14ac:dyDescent="0.25">
      <c r="A1169" t="s">
        <v>1458</v>
      </c>
      <c r="B1169" t="s">
        <v>27</v>
      </c>
      <c r="C1169" t="s">
        <v>28</v>
      </c>
      <c r="H1169" s="2">
        <v>45861.558900462966</v>
      </c>
      <c r="I1169" t="s">
        <v>31</v>
      </c>
      <c r="Z1169">
        <v>102919</v>
      </c>
    </row>
    <row r="1170" spans="1:26" x14ac:dyDescent="0.25">
      <c r="A1170" t="s">
        <v>1459</v>
      </c>
      <c r="B1170" t="s">
        <v>27</v>
      </c>
      <c r="C1170" t="s">
        <v>28</v>
      </c>
      <c r="H1170" s="2">
        <v>45861.476990740739</v>
      </c>
      <c r="I1170" t="s">
        <v>31</v>
      </c>
      <c r="Z1170">
        <v>102911</v>
      </c>
    </row>
    <row r="1171" spans="1:26" x14ac:dyDescent="0.25">
      <c r="A1171" t="s">
        <v>1460</v>
      </c>
      <c r="B1171" t="s">
        <v>27</v>
      </c>
      <c r="C1171" t="s">
        <v>28</v>
      </c>
      <c r="H1171" s="2">
        <v>45861.457881944443</v>
      </c>
      <c r="I1171" t="s">
        <v>54</v>
      </c>
      <c r="Z1171">
        <v>102908</v>
      </c>
    </row>
    <row r="1172" spans="1:26" x14ac:dyDescent="0.25">
      <c r="A1172" t="s">
        <v>1461</v>
      </c>
      <c r="B1172" t="s">
        <v>27</v>
      </c>
      <c r="C1172" t="s">
        <v>28</v>
      </c>
      <c r="H1172" s="2">
        <v>45860.805381944447</v>
      </c>
      <c r="I1172" t="s">
        <v>54</v>
      </c>
      <c r="Z1172">
        <v>102899</v>
      </c>
    </row>
    <row r="1173" spans="1:26" x14ac:dyDescent="0.25">
      <c r="A1173" t="s">
        <v>1462</v>
      </c>
      <c r="B1173" t="s">
        <v>27</v>
      </c>
      <c r="C1173" t="s">
        <v>28</v>
      </c>
      <c r="H1173" s="2">
        <v>45860.435150462959</v>
      </c>
      <c r="I1173" t="s">
        <v>556</v>
      </c>
      <c r="Z1173">
        <v>102870</v>
      </c>
    </row>
    <row r="1174" spans="1:26" x14ac:dyDescent="0.25">
      <c r="A1174" t="s">
        <v>1463</v>
      </c>
      <c r="B1174" t="s">
        <v>27</v>
      </c>
      <c r="C1174" t="s">
        <v>28</v>
      </c>
      <c r="H1174" s="2">
        <v>45859.794814814813</v>
      </c>
      <c r="I1174" t="s">
        <v>556</v>
      </c>
      <c r="Z1174">
        <v>102857</v>
      </c>
    </row>
    <row r="1175" spans="1:26" x14ac:dyDescent="0.25">
      <c r="A1175" t="s">
        <v>1464</v>
      </c>
      <c r="B1175" t="s">
        <v>27</v>
      </c>
      <c r="C1175" t="s">
        <v>28</v>
      </c>
      <c r="H1175" s="2">
        <v>45859.759351851855</v>
      </c>
      <c r="I1175" t="s">
        <v>31</v>
      </c>
      <c r="Z1175">
        <v>102854</v>
      </c>
    </row>
    <row r="1176" spans="1:26" x14ac:dyDescent="0.25">
      <c r="A1176" t="s">
        <v>207</v>
      </c>
      <c r="B1176" t="s">
        <v>27</v>
      </c>
      <c r="C1176" t="s">
        <v>28</v>
      </c>
      <c r="H1176" s="2">
        <v>45859.647604166668</v>
      </c>
      <c r="I1176" t="s">
        <v>31</v>
      </c>
      <c r="Z1176">
        <v>102848</v>
      </c>
    </row>
    <row r="1177" spans="1:26" x14ac:dyDescent="0.25">
      <c r="A1177" t="s">
        <v>1465</v>
      </c>
      <c r="B1177" t="s">
        <v>27</v>
      </c>
      <c r="C1177" t="s">
        <v>28</v>
      </c>
      <c r="H1177" s="2">
        <v>45859.552129629628</v>
      </c>
      <c r="I1177" t="s">
        <v>556</v>
      </c>
      <c r="Z1177">
        <v>102840</v>
      </c>
    </row>
    <row r="1178" spans="1:26" x14ac:dyDescent="0.25">
      <c r="A1178" t="s">
        <v>1466</v>
      </c>
      <c r="B1178" t="s">
        <v>27</v>
      </c>
      <c r="C1178" t="s">
        <v>28</v>
      </c>
      <c r="H1178" s="2">
        <v>45858.726851851854</v>
      </c>
      <c r="I1178" t="s">
        <v>31</v>
      </c>
      <c r="Z1178">
        <v>102815</v>
      </c>
    </row>
    <row r="1179" spans="1:26" x14ac:dyDescent="0.25">
      <c r="A1179" t="s">
        <v>1467</v>
      </c>
      <c r="B1179" t="s">
        <v>27</v>
      </c>
      <c r="C1179" t="s">
        <v>28</v>
      </c>
      <c r="H1179" s="2">
        <v>45858.721203703702</v>
      </c>
      <c r="I1179" t="s">
        <v>556</v>
      </c>
      <c r="Z1179">
        <v>102814</v>
      </c>
    </row>
    <row r="1180" spans="1:26" x14ac:dyDescent="0.25">
      <c r="A1180" t="s">
        <v>1468</v>
      </c>
      <c r="B1180" t="s">
        <v>27</v>
      </c>
      <c r="C1180" t="s">
        <v>28</v>
      </c>
      <c r="H1180" s="2">
        <v>45858.625578703701</v>
      </c>
      <c r="I1180" t="s">
        <v>556</v>
      </c>
      <c r="Z1180">
        <v>102808</v>
      </c>
    </row>
    <row r="1181" spans="1:26" x14ac:dyDescent="0.25">
      <c r="A1181" t="s">
        <v>336</v>
      </c>
      <c r="B1181" t="s">
        <v>1403</v>
      </c>
      <c r="C1181" t="s">
        <v>28</v>
      </c>
      <c r="E1181" t="s">
        <v>1469</v>
      </c>
      <c r="H1181" s="2">
        <v>45858.429583333331</v>
      </c>
      <c r="I1181" t="s">
        <v>31</v>
      </c>
      <c r="Z1181">
        <v>102799</v>
      </c>
    </row>
    <row r="1182" spans="1:26" x14ac:dyDescent="0.25">
      <c r="A1182" t="s">
        <v>1470</v>
      </c>
      <c r="B1182" t="s">
        <v>27</v>
      </c>
      <c r="C1182" t="s">
        <v>28</v>
      </c>
      <c r="H1182" s="2">
        <v>45857.838946759257</v>
      </c>
      <c r="I1182" t="s">
        <v>556</v>
      </c>
      <c r="Z1182">
        <v>102793</v>
      </c>
    </row>
    <row r="1183" spans="1:26" x14ac:dyDescent="0.25">
      <c r="A1183" t="s">
        <v>1471</v>
      </c>
      <c r="B1183" t="s">
        <v>27</v>
      </c>
      <c r="C1183" t="s">
        <v>28</v>
      </c>
      <c r="H1183" s="2">
        <v>45857.690138888887</v>
      </c>
      <c r="I1183" t="s">
        <v>54</v>
      </c>
      <c r="Z1183">
        <v>102785</v>
      </c>
    </row>
    <row r="1184" spans="1:26" x14ac:dyDescent="0.25">
      <c r="A1184" t="s">
        <v>1472</v>
      </c>
      <c r="B1184" t="s">
        <v>27</v>
      </c>
      <c r="C1184" t="s">
        <v>28</v>
      </c>
      <c r="H1184" s="2">
        <v>45856.662291666667</v>
      </c>
      <c r="I1184" t="s">
        <v>31</v>
      </c>
      <c r="Z1184">
        <v>102749</v>
      </c>
    </row>
    <row r="1185" spans="1:26" x14ac:dyDescent="0.25">
      <c r="A1185" t="s">
        <v>1473</v>
      </c>
      <c r="B1185" t="s">
        <v>27</v>
      </c>
      <c r="C1185" t="s">
        <v>28</v>
      </c>
      <c r="H1185" s="2">
        <v>45856.641412037039</v>
      </c>
      <c r="I1185" t="s">
        <v>31</v>
      </c>
      <c r="Z1185">
        <v>102747</v>
      </c>
    </row>
    <row r="1186" spans="1:26" x14ac:dyDescent="0.25">
      <c r="A1186" t="s">
        <v>1474</v>
      </c>
      <c r="B1186" t="s">
        <v>27</v>
      </c>
      <c r="C1186" t="s">
        <v>28</v>
      </c>
      <c r="H1186" s="2">
        <v>45856.601736111108</v>
      </c>
      <c r="I1186" t="s">
        <v>31</v>
      </c>
      <c r="Z1186">
        <v>102742</v>
      </c>
    </row>
    <row r="1187" spans="1:26" x14ac:dyDescent="0.25">
      <c r="A1187" t="s">
        <v>1475</v>
      </c>
      <c r="B1187" t="s">
        <v>27</v>
      </c>
      <c r="C1187" t="s">
        <v>28</v>
      </c>
      <c r="H1187" s="2">
        <v>45856.501087962963</v>
      </c>
      <c r="I1187" t="s">
        <v>54</v>
      </c>
      <c r="Z1187">
        <v>102734</v>
      </c>
    </row>
    <row r="1188" spans="1:26" x14ac:dyDescent="0.25">
      <c r="A1188" t="s">
        <v>1476</v>
      </c>
      <c r="B1188" t="s">
        <v>27</v>
      </c>
      <c r="C1188" t="s">
        <v>28</v>
      </c>
      <c r="H1188" s="2">
        <v>45856.414768518516</v>
      </c>
      <c r="I1188" t="s">
        <v>31</v>
      </c>
      <c r="Z1188">
        <v>102725</v>
      </c>
    </row>
    <row r="1189" spans="1:26" x14ac:dyDescent="0.25">
      <c r="A1189" t="s">
        <v>1477</v>
      </c>
      <c r="B1189" t="s">
        <v>27</v>
      </c>
      <c r="C1189" t="s">
        <v>28</v>
      </c>
      <c r="H1189" s="2">
        <v>45855.791087962964</v>
      </c>
      <c r="I1189" t="s">
        <v>31</v>
      </c>
      <c r="Z1189">
        <v>102716</v>
      </c>
    </row>
    <row r="1190" spans="1:26" x14ac:dyDescent="0.25">
      <c r="A1190" t="s">
        <v>1478</v>
      </c>
      <c r="B1190" t="s">
        <v>306</v>
      </c>
      <c r="C1190" t="s">
        <v>28</v>
      </c>
      <c r="E1190" t="s">
        <v>186</v>
      </c>
      <c r="H1190" s="2">
        <v>45855.757824074077</v>
      </c>
      <c r="I1190" t="s">
        <v>31</v>
      </c>
      <c r="Z1190">
        <v>102710</v>
      </c>
    </row>
    <row r="1191" spans="1:26" x14ac:dyDescent="0.25">
      <c r="A1191" t="s">
        <v>1479</v>
      </c>
      <c r="B1191" t="s">
        <v>27</v>
      </c>
      <c r="C1191" t="s">
        <v>28</v>
      </c>
      <c r="H1191" s="2">
        <v>45855.735277777778</v>
      </c>
      <c r="I1191" t="s">
        <v>31</v>
      </c>
      <c r="Z1191">
        <v>102709</v>
      </c>
    </row>
    <row r="1192" spans="1:26" x14ac:dyDescent="0.25">
      <c r="A1192" t="s">
        <v>1480</v>
      </c>
      <c r="B1192" t="s">
        <v>27</v>
      </c>
      <c r="C1192" t="s">
        <v>28</v>
      </c>
      <c r="H1192" s="2">
        <v>45855.655960648146</v>
      </c>
      <c r="I1192" t="s">
        <v>31</v>
      </c>
      <c r="Z1192">
        <v>102703</v>
      </c>
    </row>
    <row r="1193" spans="1:26" x14ac:dyDescent="0.25">
      <c r="A1193" t="s">
        <v>1481</v>
      </c>
      <c r="B1193" t="s">
        <v>27</v>
      </c>
      <c r="C1193" t="s">
        <v>28</v>
      </c>
      <c r="H1193" s="2">
        <v>45855.653391203705</v>
      </c>
      <c r="I1193" t="s">
        <v>31</v>
      </c>
      <c r="Z1193">
        <v>102702</v>
      </c>
    </row>
    <row r="1194" spans="1:26" x14ac:dyDescent="0.25">
      <c r="A1194" t="s">
        <v>1482</v>
      </c>
      <c r="B1194" t="s">
        <v>27</v>
      </c>
      <c r="C1194" t="s">
        <v>28</v>
      </c>
      <c r="H1194" s="2">
        <v>45855.523356481484</v>
      </c>
      <c r="I1194" t="s">
        <v>31</v>
      </c>
      <c r="Z1194">
        <v>102691</v>
      </c>
    </row>
    <row r="1195" spans="1:26" x14ac:dyDescent="0.25">
      <c r="A1195" t="s">
        <v>1483</v>
      </c>
      <c r="B1195" t="s">
        <v>27</v>
      </c>
      <c r="C1195" t="s">
        <v>28</v>
      </c>
      <c r="H1195" s="2">
        <v>45855.444965277777</v>
      </c>
      <c r="I1195" t="s">
        <v>31</v>
      </c>
      <c r="Z1195">
        <v>102684</v>
      </c>
    </row>
    <row r="1196" spans="1:26" x14ac:dyDescent="0.25">
      <c r="A1196" t="s">
        <v>1484</v>
      </c>
      <c r="B1196" t="s">
        <v>27</v>
      </c>
      <c r="C1196" t="s">
        <v>28</v>
      </c>
      <c r="H1196" s="2">
        <v>45855.432986111111</v>
      </c>
      <c r="I1196" t="s">
        <v>31</v>
      </c>
      <c r="Z1196">
        <v>102683</v>
      </c>
    </row>
    <row r="1197" spans="1:26" x14ac:dyDescent="0.25">
      <c r="A1197" t="s">
        <v>150</v>
      </c>
      <c r="B1197" t="s">
        <v>74</v>
      </c>
      <c r="C1197" t="s">
        <v>28</v>
      </c>
      <c r="E1197" t="s">
        <v>61</v>
      </c>
      <c r="G1197" t="s">
        <v>1485</v>
      </c>
      <c r="H1197" s="2">
        <v>45855.366180555553</v>
      </c>
      <c r="I1197" t="s">
        <v>31</v>
      </c>
      <c r="Z1197">
        <v>102680</v>
      </c>
    </row>
    <row r="1198" spans="1:26" x14ac:dyDescent="0.25">
      <c r="A1198" t="s">
        <v>1486</v>
      </c>
      <c r="B1198" t="s">
        <v>27</v>
      </c>
      <c r="C1198" t="s">
        <v>28</v>
      </c>
      <c r="H1198" s="2">
        <v>45854.864293981482</v>
      </c>
      <c r="I1198" t="s">
        <v>54</v>
      </c>
      <c r="Z1198">
        <v>102676</v>
      </c>
    </row>
    <row r="1199" spans="1:26" x14ac:dyDescent="0.25">
      <c r="A1199" t="s">
        <v>663</v>
      </c>
      <c r="B1199" t="s">
        <v>46</v>
      </c>
      <c r="C1199" t="s">
        <v>28</v>
      </c>
      <c r="E1199" t="s">
        <v>1487</v>
      </c>
      <c r="H1199" s="2">
        <v>45854.593425925923</v>
      </c>
      <c r="I1199" t="s">
        <v>1488</v>
      </c>
      <c r="K1199" t="s">
        <v>48</v>
      </c>
      <c r="Z1199">
        <v>102663</v>
      </c>
    </row>
    <row r="1200" spans="1:26" x14ac:dyDescent="0.25">
      <c r="A1200" t="s">
        <v>1489</v>
      </c>
      <c r="B1200" t="s">
        <v>27</v>
      </c>
      <c r="C1200" t="s">
        <v>28</v>
      </c>
      <c r="H1200" s="2">
        <v>45854.456041666665</v>
      </c>
      <c r="I1200" t="s">
        <v>54</v>
      </c>
      <c r="Z1200">
        <v>102654</v>
      </c>
    </row>
    <row r="1201" spans="1:26" x14ac:dyDescent="0.25">
      <c r="A1201" t="s">
        <v>1490</v>
      </c>
      <c r="B1201" t="s">
        <v>27</v>
      </c>
      <c r="C1201" t="s">
        <v>28</v>
      </c>
      <c r="H1201" s="2">
        <v>45854.393263888887</v>
      </c>
      <c r="I1201" t="s">
        <v>1488</v>
      </c>
      <c r="Z1201">
        <v>102652</v>
      </c>
    </row>
    <row r="1202" spans="1:26" x14ac:dyDescent="0.25">
      <c r="A1202" t="s">
        <v>1491</v>
      </c>
      <c r="B1202" t="s">
        <v>27</v>
      </c>
      <c r="C1202" t="s">
        <v>28</v>
      </c>
      <c r="H1202" s="2">
        <v>45854.375659722224</v>
      </c>
      <c r="I1202" t="s">
        <v>1488</v>
      </c>
      <c r="Z1202">
        <v>102650</v>
      </c>
    </row>
    <row r="1203" spans="1:26" x14ac:dyDescent="0.25">
      <c r="A1203" t="s">
        <v>1492</v>
      </c>
      <c r="B1203" t="s">
        <v>27</v>
      </c>
      <c r="C1203" t="s">
        <v>28</v>
      </c>
      <c r="H1203" s="2">
        <v>45853.671331018515</v>
      </c>
      <c r="I1203" t="s">
        <v>54</v>
      </c>
      <c r="Z1203">
        <v>102636</v>
      </c>
    </row>
    <row r="1204" spans="1:26" x14ac:dyDescent="0.25">
      <c r="A1204" t="s">
        <v>1493</v>
      </c>
      <c r="B1204" t="s">
        <v>27</v>
      </c>
      <c r="C1204" t="s">
        <v>28</v>
      </c>
      <c r="H1204" s="2">
        <v>45852.864664351851</v>
      </c>
      <c r="I1204" t="s">
        <v>31</v>
      </c>
      <c r="Z1204">
        <v>102610</v>
      </c>
    </row>
    <row r="1205" spans="1:26" x14ac:dyDescent="0.25">
      <c r="A1205" t="s">
        <v>1494</v>
      </c>
      <c r="B1205" t="s">
        <v>74</v>
      </c>
      <c r="C1205" t="s">
        <v>28</v>
      </c>
      <c r="E1205" t="s">
        <v>260</v>
      </c>
      <c r="G1205" t="s">
        <v>1495</v>
      </c>
      <c r="H1205" s="2">
        <v>45852.820509259262</v>
      </c>
      <c r="I1205" t="s">
        <v>1488</v>
      </c>
      <c r="Z1205">
        <v>102607</v>
      </c>
    </row>
    <row r="1206" spans="1:26" x14ac:dyDescent="0.25">
      <c r="A1206" t="s">
        <v>1496</v>
      </c>
      <c r="B1206" t="s">
        <v>1403</v>
      </c>
      <c r="C1206" t="s">
        <v>28</v>
      </c>
      <c r="E1206" t="s">
        <v>260</v>
      </c>
      <c r="H1206" s="2">
        <v>45852.818437499998</v>
      </c>
      <c r="I1206" t="s">
        <v>1488</v>
      </c>
      <c r="Z1206">
        <v>102606</v>
      </c>
    </row>
    <row r="1207" spans="1:26" x14ac:dyDescent="0.25">
      <c r="A1207" t="s">
        <v>1497</v>
      </c>
      <c r="B1207" t="s">
        <v>27</v>
      </c>
      <c r="C1207" t="s">
        <v>28</v>
      </c>
      <c r="H1207" s="2">
        <v>45852.563564814816</v>
      </c>
      <c r="I1207" t="s">
        <v>31</v>
      </c>
      <c r="Z1207">
        <v>102585</v>
      </c>
    </row>
    <row r="1208" spans="1:26" x14ac:dyDescent="0.25">
      <c r="A1208" t="s">
        <v>1498</v>
      </c>
      <c r="B1208" t="s">
        <v>27</v>
      </c>
      <c r="C1208" t="s">
        <v>28</v>
      </c>
      <c r="H1208" s="2">
        <v>45852.54959490741</v>
      </c>
      <c r="I1208" t="s">
        <v>31</v>
      </c>
      <c r="Z1208">
        <v>102583</v>
      </c>
    </row>
    <row r="1209" spans="1:26" x14ac:dyDescent="0.25">
      <c r="A1209" t="s">
        <v>1499</v>
      </c>
      <c r="B1209" t="s">
        <v>46</v>
      </c>
      <c r="C1209" t="s">
        <v>28</v>
      </c>
      <c r="E1209" t="s">
        <v>1500</v>
      </c>
      <c r="H1209" s="2">
        <v>45852.410995370374</v>
      </c>
      <c r="I1209" t="s">
        <v>54</v>
      </c>
      <c r="K1209" t="s">
        <v>48</v>
      </c>
      <c r="Z1209">
        <v>102567</v>
      </c>
    </row>
    <row r="1210" spans="1:26" x14ac:dyDescent="0.25">
      <c r="A1210" t="s">
        <v>1501</v>
      </c>
      <c r="B1210" t="s">
        <v>27</v>
      </c>
      <c r="C1210" t="s">
        <v>28</v>
      </c>
      <c r="H1210" s="2">
        <v>45852.410092592596</v>
      </c>
      <c r="I1210" t="s">
        <v>54</v>
      </c>
      <c r="Z1210">
        <v>102566</v>
      </c>
    </row>
    <row r="1211" spans="1:26" x14ac:dyDescent="0.25">
      <c r="A1211" t="s">
        <v>1502</v>
      </c>
      <c r="B1211" t="s">
        <v>27</v>
      </c>
      <c r="C1211" t="s">
        <v>28</v>
      </c>
      <c r="H1211" s="2">
        <v>45851.849189814813</v>
      </c>
      <c r="I1211" t="s">
        <v>556</v>
      </c>
      <c r="Z1211">
        <v>102561</v>
      </c>
    </row>
    <row r="1212" spans="1:26" x14ac:dyDescent="0.25">
      <c r="A1212" t="s">
        <v>1503</v>
      </c>
      <c r="B1212" t="s">
        <v>27</v>
      </c>
      <c r="C1212" t="s">
        <v>28</v>
      </c>
      <c r="H1212" s="2">
        <v>45851.847488425927</v>
      </c>
      <c r="I1212" t="s">
        <v>31</v>
      </c>
      <c r="Z1212">
        <v>102559</v>
      </c>
    </row>
    <row r="1213" spans="1:26" x14ac:dyDescent="0.25">
      <c r="A1213" t="s">
        <v>1504</v>
      </c>
      <c r="B1213" t="s">
        <v>74</v>
      </c>
      <c r="C1213" t="s">
        <v>28</v>
      </c>
      <c r="E1213" t="s">
        <v>664</v>
      </c>
      <c r="G1213" t="s">
        <v>1505</v>
      </c>
      <c r="H1213" s="2">
        <v>45851.500347222223</v>
      </c>
      <c r="I1213" t="s">
        <v>31</v>
      </c>
      <c r="Z1213">
        <v>102532</v>
      </c>
    </row>
    <row r="1214" spans="1:26" x14ac:dyDescent="0.25">
      <c r="A1214" t="s">
        <v>1506</v>
      </c>
      <c r="B1214" t="s">
        <v>27</v>
      </c>
      <c r="C1214" t="s">
        <v>28</v>
      </c>
      <c r="H1214" s="2">
        <v>45849.784016203703</v>
      </c>
      <c r="I1214" t="s">
        <v>1488</v>
      </c>
      <c r="Z1214">
        <v>102491</v>
      </c>
    </row>
    <row r="1215" spans="1:26" x14ac:dyDescent="0.25">
      <c r="A1215" t="s">
        <v>1507</v>
      </c>
      <c r="B1215" t="s">
        <v>27</v>
      </c>
      <c r="C1215" t="s">
        <v>28</v>
      </c>
      <c r="H1215" s="2">
        <v>45849.61550925926</v>
      </c>
      <c r="I1215" t="s">
        <v>54</v>
      </c>
      <c r="Z1215">
        <v>102483</v>
      </c>
    </row>
    <row r="1216" spans="1:26" x14ac:dyDescent="0.25">
      <c r="A1216" t="s">
        <v>1508</v>
      </c>
      <c r="B1216" t="s">
        <v>74</v>
      </c>
      <c r="C1216" t="s">
        <v>28</v>
      </c>
      <c r="E1216" t="s">
        <v>146</v>
      </c>
      <c r="G1216" t="s">
        <v>1509</v>
      </c>
      <c r="H1216" s="2">
        <v>45849.570833333331</v>
      </c>
      <c r="I1216" t="s">
        <v>54</v>
      </c>
      <c r="Z1216">
        <v>102480</v>
      </c>
    </row>
    <row r="1217" spans="1:26" x14ac:dyDescent="0.25">
      <c r="A1217" t="s">
        <v>1510</v>
      </c>
      <c r="B1217" t="s">
        <v>27</v>
      </c>
      <c r="C1217" t="s">
        <v>28</v>
      </c>
      <c r="H1217" s="2">
        <v>45849.535879629628</v>
      </c>
      <c r="I1217" t="s">
        <v>54</v>
      </c>
      <c r="Z1217">
        <v>102475</v>
      </c>
    </row>
    <row r="1218" spans="1:26" x14ac:dyDescent="0.25">
      <c r="A1218" t="s">
        <v>1511</v>
      </c>
      <c r="B1218" t="s">
        <v>1403</v>
      </c>
      <c r="C1218" t="s">
        <v>28</v>
      </c>
      <c r="E1218" t="s">
        <v>1512</v>
      </c>
      <c r="G1218" t="s">
        <v>1513</v>
      </c>
      <c r="H1218" s="2">
        <v>45849.518020833333</v>
      </c>
      <c r="I1218" t="s">
        <v>54</v>
      </c>
      <c r="Z1218">
        <v>102474</v>
      </c>
    </row>
    <row r="1219" spans="1:26" x14ac:dyDescent="0.25">
      <c r="A1219" t="s">
        <v>1514</v>
      </c>
      <c r="B1219" t="s">
        <v>27</v>
      </c>
      <c r="C1219" t="s">
        <v>28</v>
      </c>
      <c r="H1219" s="2">
        <v>45848.831203703703</v>
      </c>
      <c r="I1219" t="s">
        <v>1488</v>
      </c>
      <c r="Z1219">
        <v>102464</v>
      </c>
    </row>
    <row r="1220" spans="1:26" x14ac:dyDescent="0.25">
      <c r="A1220" t="s">
        <v>1515</v>
      </c>
      <c r="B1220" t="s">
        <v>1403</v>
      </c>
      <c r="C1220" t="s">
        <v>28</v>
      </c>
      <c r="E1220" t="s">
        <v>1516</v>
      </c>
      <c r="H1220" s="2">
        <v>45848.437256944446</v>
      </c>
      <c r="I1220" t="s">
        <v>1488</v>
      </c>
      <c r="Z1220">
        <v>102435</v>
      </c>
    </row>
    <row r="1221" spans="1:26" x14ac:dyDescent="0.25">
      <c r="A1221" t="s">
        <v>1517</v>
      </c>
      <c r="B1221" t="s">
        <v>46</v>
      </c>
      <c r="C1221" t="s">
        <v>28</v>
      </c>
      <c r="E1221" t="s">
        <v>1518</v>
      </c>
      <c r="H1221" s="2">
        <v>45848.423067129632</v>
      </c>
      <c r="I1221" t="s">
        <v>54</v>
      </c>
      <c r="K1221" t="s">
        <v>34</v>
      </c>
      <c r="L1221" t="s">
        <v>35</v>
      </c>
      <c r="M1221" t="s">
        <v>758</v>
      </c>
      <c r="N1221">
        <v>16978047695</v>
      </c>
      <c r="O1221" t="s">
        <v>759</v>
      </c>
      <c r="Z1221">
        <v>102434</v>
      </c>
    </row>
    <row r="1222" spans="1:26" x14ac:dyDescent="0.25">
      <c r="A1222" t="s">
        <v>1519</v>
      </c>
      <c r="B1222" t="s">
        <v>1403</v>
      </c>
      <c r="C1222" t="s">
        <v>28</v>
      </c>
      <c r="E1222" t="s">
        <v>1520</v>
      </c>
      <c r="G1222" t="s">
        <v>1521</v>
      </c>
      <c r="H1222" s="2">
        <v>45847.902129629627</v>
      </c>
      <c r="I1222" t="s">
        <v>1488</v>
      </c>
      <c r="Z1222">
        <v>102427</v>
      </c>
    </row>
    <row r="1223" spans="1:26" x14ac:dyDescent="0.25">
      <c r="A1223" t="s">
        <v>1522</v>
      </c>
      <c r="B1223" t="s">
        <v>27</v>
      </c>
      <c r="C1223" t="s">
        <v>28</v>
      </c>
      <c r="H1223" s="2">
        <v>45847.830671296295</v>
      </c>
      <c r="I1223" t="s">
        <v>31</v>
      </c>
      <c r="Z1223">
        <v>102425</v>
      </c>
    </row>
    <row r="1224" spans="1:26" x14ac:dyDescent="0.25">
      <c r="A1224" t="s">
        <v>1523</v>
      </c>
      <c r="B1224" t="s">
        <v>27</v>
      </c>
      <c r="C1224" t="s">
        <v>28</v>
      </c>
      <c r="H1224" s="2">
        <v>45847.413078703707</v>
      </c>
      <c r="I1224" t="s">
        <v>1488</v>
      </c>
      <c r="Z1224">
        <v>102383</v>
      </c>
    </row>
    <row r="1225" spans="1:26" x14ac:dyDescent="0.25">
      <c r="A1225" t="s">
        <v>1524</v>
      </c>
      <c r="B1225" t="s">
        <v>27</v>
      </c>
      <c r="C1225" t="s">
        <v>28</v>
      </c>
      <c r="H1225" s="2">
        <v>45846.831493055557</v>
      </c>
      <c r="I1225" t="s">
        <v>31</v>
      </c>
      <c r="Z1225">
        <v>102378</v>
      </c>
    </row>
    <row r="1226" spans="1:26" x14ac:dyDescent="0.25">
      <c r="A1226" t="s">
        <v>1525</v>
      </c>
      <c r="B1226" t="s">
        <v>27</v>
      </c>
      <c r="C1226" t="s">
        <v>28</v>
      </c>
      <c r="H1226" s="2">
        <v>45846.545856481483</v>
      </c>
      <c r="I1226" t="s">
        <v>31</v>
      </c>
      <c r="Z1226">
        <v>102362</v>
      </c>
    </row>
    <row r="1227" spans="1:26" x14ac:dyDescent="0.25">
      <c r="A1227" t="s">
        <v>1526</v>
      </c>
      <c r="B1227" t="s">
        <v>27</v>
      </c>
      <c r="C1227" t="s">
        <v>28</v>
      </c>
      <c r="H1227" s="2">
        <v>45846.508113425924</v>
      </c>
      <c r="I1227" t="s">
        <v>31</v>
      </c>
      <c r="Z1227">
        <v>102355</v>
      </c>
    </row>
    <row r="1228" spans="1:26" x14ac:dyDescent="0.25">
      <c r="A1228" t="s">
        <v>1527</v>
      </c>
      <c r="B1228" t="s">
        <v>27</v>
      </c>
      <c r="C1228" t="s">
        <v>28</v>
      </c>
      <c r="H1228" s="2">
        <v>45846.390023148146</v>
      </c>
      <c r="I1228" t="s">
        <v>31</v>
      </c>
      <c r="Z1228">
        <v>102341</v>
      </c>
    </row>
    <row r="1229" spans="1:26" x14ac:dyDescent="0.25">
      <c r="A1229" t="s">
        <v>1528</v>
      </c>
      <c r="B1229" t="s">
        <v>1403</v>
      </c>
      <c r="C1229" t="s">
        <v>28</v>
      </c>
      <c r="E1229" t="s">
        <v>1529</v>
      </c>
      <c r="H1229" s="2">
        <v>45846.294560185182</v>
      </c>
      <c r="I1229" t="s">
        <v>1488</v>
      </c>
      <c r="Z1229">
        <v>102339</v>
      </c>
    </row>
    <row r="1230" spans="1:26" x14ac:dyDescent="0.25">
      <c r="A1230" t="s">
        <v>1530</v>
      </c>
      <c r="B1230" t="s">
        <v>74</v>
      </c>
      <c r="C1230" t="s">
        <v>28</v>
      </c>
      <c r="E1230" t="s">
        <v>1531</v>
      </c>
      <c r="G1230" t="s">
        <v>1532</v>
      </c>
      <c r="H1230" s="2">
        <v>45845.965856481482</v>
      </c>
      <c r="I1230" t="s">
        <v>31</v>
      </c>
      <c r="Z1230">
        <v>102338</v>
      </c>
    </row>
    <row r="1231" spans="1:26" x14ac:dyDescent="0.25">
      <c r="A1231" t="s">
        <v>1533</v>
      </c>
      <c r="B1231" t="s">
        <v>27</v>
      </c>
      <c r="C1231" t="s">
        <v>28</v>
      </c>
      <c r="H1231" s="2">
        <v>45845.672754629632</v>
      </c>
      <c r="I1231" t="s">
        <v>54</v>
      </c>
      <c r="Z1231">
        <v>102319</v>
      </c>
    </row>
    <row r="1232" spans="1:26" x14ac:dyDescent="0.25">
      <c r="A1232" t="s">
        <v>1534</v>
      </c>
      <c r="B1232" t="s">
        <v>27</v>
      </c>
      <c r="C1232" t="s">
        <v>28</v>
      </c>
      <c r="H1232" s="2">
        <v>45845.664884259262</v>
      </c>
      <c r="I1232" t="s">
        <v>54</v>
      </c>
      <c r="Z1232">
        <v>102318</v>
      </c>
    </row>
    <row r="1233" spans="1:26" x14ac:dyDescent="0.25">
      <c r="A1233" t="s">
        <v>1535</v>
      </c>
      <c r="B1233" t="s">
        <v>27</v>
      </c>
      <c r="C1233" t="s">
        <v>28</v>
      </c>
      <c r="H1233" s="2">
        <v>45845.647164351853</v>
      </c>
      <c r="I1233" t="s">
        <v>54</v>
      </c>
      <c r="Z1233">
        <v>102316</v>
      </c>
    </row>
    <row r="1234" spans="1:26" x14ac:dyDescent="0.25">
      <c r="A1234" t="s">
        <v>1536</v>
      </c>
      <c r="B1234" t="s">
        <v>74</v>
      </c>
      <c r="C1234" t="s">
        <v>28</v>
      </c>
      <c r="E1234" t="s">
        <v>186</v>
      </c>
      <c r="G1234" t="s">
        <v>1382</v>
      </c>
      <c r="H1234" s="2">
        <v>45845.637916666667</v>
      </c>
      <c r="I1234" t="s">
        <v>54</v>
      </c>
      <c r="Z1234">
        <v>102314</v>
      </c>
    </row>
    <row r="1235" spans="1:26" x14ac:dyDescent="0.25">
      <c r="A1235" t="s">
        <v>1537</v>
      </c>
      <c r="B1235" t="s">
        <v>27</v>
      </c>
      <c r="C1235" t="s">
        <v>28</v>
      </c>
      <c r="H1235" s="2">
        <v>45845.619363425925</v>
      </c>
      <c r="I1235" t="s">
        <v>31</v>
      </c>
      <c r="Z1235">
        <v>102313</v>
      </c>
    </row>
    <row r="1236" spans="1:26" x14ac:dyDescent="0.25">
      <c r="A1236" t="s">
        <v>1538</v>
      </c>
      <c r="B1236" t="s">
        <v>27</v>
      </c>
      <c r="C1236" t="s">
        <v>28</v>
      </c>
      <c r="H1236" s="2">
        <v>45845.517627314817</v>
      </c>
      <c r="I1236" t="s">
        <v>31</v>
      </c>
      <c r="Z1236">
        <v>102297</v>
      </c>
    </row>
    <row r="1237" spans="1:26" x14ac:dyDescent="0.25">
      <c r="A1237" t="s">
        <v>1539</v>
      </c>
      <c r="B1237" t="s">
        <v>27</v>
      </c>
      <c r="C1237" t="s">
        <v>28</v>
      </c>
      <c r="H1237" s="2">
        <v>45844.687581018516</v>
      </c>
      <c r="I1237" t="s">
        <v>54</v>
      </c>
      <c r="Z1237">
        <v>102272</v>
      </c>
    </row>
    <row r="1238" spans="1:26" x14ac:dyDescent="0.25">
      <c r="A1238" t="s">
        <v>1540</v>
      </c>
      <c r="B1238" t="s">
        <v>74</v>
      </c>
      <c r="C1238" t="s">
        <v>28</v>
      </c>
      <c r="E1238" t="s">
        <v>564</v>
      </c>
      <c r="G1238" t="s">
        <v>565</v>
      </c>
      <c r="H1238" s="2">
        <v>45844.674525462964</v>
      </c>
      <c r="I1238" t="s">
        <v>31</v>
      </c>
      <c r="Z1238">
        <v>102270</v>
      </c>
    </row>
    <row r="1239" spans="1:26" x14ac:dyDescent="0.25">
      <c r="A1239" t="s">
        <v>1541</v>
      </c>
      <c r="B1239" t="s">
        <v>27</v>
      </c>
      <c r="C1239" t="s">
        <v>28</v>
      </c>
      <c r="H1239" s="2">
        <v>45843.719548611109</v>
      </c>
      <c r="I1239" t="s">
        <v>1488</v>
      </c>
      <c r="Z1239">
        <v>102242</v>
      </c>
    </row>
    <row r="1240" spans="1:26" x14ac:dyDescent="0.25">
      <c r="A1240" t="s">
        <v>1542</v>
      </c>
      <c r="B1240" t="s">
        <v>27</v>
      </c>
      <c r="C1240" t="s">
        <v>28</v>
      </c>
      <c r="H1240" s="2">
        <v>45843.638680555552</v>
      </c>
      <c r="I1240" t="s">
        <v>31</v>
      </c>
      <c r="Z1240">
        <v>102232</v>
      </c>
    </row>
    <row r="1241" spans="1:26" x14ac:dyDescent="0.25">
      <c r="A1241" t="s">
        <v>1543</v>
      </c>
      <c r="B1241" t="s">
        <v>27</v>
      </c>
      <c r="C1241" t="s">
        <v>28</v>
      </c>
      <c r="H1241" s="2">
        <v>45843.552071759259</v>
      </c>
      <c r="I1241" t="s">
        <v>54</v>
      </c>
      <c r="Z1241">
        <v>102224</v>
      </c>
    </row>
    <row r="1242" spans="1:26" x14ac:dyDescent="0.25">
      <c r="A1242" t="s">
        <v>1544</v>
      </c>
      <c r="B1242" t="s">
        <v>27</v>
      </c>
      <c r="C1242" t="s">
        <v>28</v>
      </c>
      <c r="H1242" s="2">
        <v>45842.744479166664</v>
      </c>
      <c r="I1242" t="s">
        <v>54</v>
      </c>
      <c r="Z1242">
        <v>102200</v>
      </c>
    </row>
    <row r="1243" spans="1:26" x14ac:dyDescent="0.25">
      <c r="A1243" t="s">
        <v>1545</v>
      </c>
      <c r="B1243" t="s">
        <v>27</v>
      </c>
      <c r="C1243" t="s">
        <v>28</v>
      </c>
      <c r="H1243" s="2">
        <v>45842.6091087963</v>
      </c>
      <c r="I1243" t="s">
        <v>54</v>
      </c>
      <c r="Z1243">
        <v>102192</v>
      </c>
    </row>
    <row r="1244" spans="1:26" x14ac:dyDescent="0.25">
      <c r="A1244" t="s">
        <v>1546</v>
      </c>
      <c r="B1244" t="s">
        <v>27</v>
      </c>
      <c r="C1244" t="s">
        <v>28</v>
      </c>
      <c r="H1244" s="2">
        <v>45842.528263888889</v>
      </c>
      <c r="I1244" t="s">
        <v>54</v>
      </c>
      <c r="Z1244">
        <v>102184</v>
      </c>
    </row>
    <row r="1245" spans="1:26" x14ac:dyDescent="0.25">
      <c r="A1245" t="s">
        <v>1547</v>
      </c>
      <c r="B1245" t="s">
        <v>27</v>
      </c>
      <c r="C1245" t="s">
        <v>28</v>
      </c>
      <c r="H1245" s="2">
        <v>45841.594085648147</v>
      </c>
      <c r="I1245" t="s">
        <v>31</v>
      </c>
      <c r="Z1245">
        <v>102156</v>
      </c>
    </row>
    <row r="1246" spans="1:26" x14ac:dyDescent="0.25">
      <c r="A1246" t="s">
        <v>1548</v>
      </c>
      <c r="B1246" t="s">
        <v>27</v>
      </c>
      <c r="C1246" t="s">
        <v>28</v>
      </c>
      <c r="H1246" s="2">
        <v>45840.675497685188</v>
      </c>
      <c r="I1246" t="s">
        <v>54</v>
      </c>
      <c r="Z1246">
        <v>102129</v>
      </c>
    </row>
    <row r="1247" spans="1:26" x14ac:dyDescent="0.25">
      <c r="A1247" t="s">
        <v>1549</v>
      </c>
      <c r="B1247" t="s">
        <v>1403</v>
      </c>
      <c r="C1247" t="s">
        <v>28</v>
      </c>
      <c r="E1247" t="s">
        <v>1550</v>
      </c>
      <c r="G1247" t="s">
        <v>1551</v>
      </c>
      <c r="H1247" s="2">
        <v>45840.554525462961</v>
      </c>
      <c r="I1247" t="s">
        <v>54</v>
      </c>
      <c r="Z1247">
        <v>102116</v>
      </c>
    </row>
    <row r="1248" spans="1:26" x14ac:dyDescent="0.25">
      <c r="A1248" t="s">
        <v>1552</v>
      </c>
      <c r="B1248" t="s">
        <v>1403</v>
      </c>
      <c r="C1248" t="s">
        <v>28</v>
      </c>
      <c r="E1248" t="s">
        <v>1469</v>
      </c>
      <c r="H1248" s="2">
        <v>45840.534004629626</v>
      </c>
      <c r="I1248" t="s">
        <v>31</v>
      </c>
      <c r="K1248" t="s">
        <v>34</v>
      </c>
      <c r="L1248" t="s">
        <v>35</v>
      </c>
      <c r="M1248" t="s">
        <v>1153</v>
      </c>
      <c r="N1248">
        <v>16989226752</v>
      </c>
      <c r="O1248" t="s">
        <v>1553</v>
      </c>
      <c r="Z1248">
        <v>102111</v>
      </c>
    </row>
    <row r="1249" spans="1:26" x14ac:dyDescent="0.25">
      <c r="A1249" t="s">
        <v>1554</v>
      </c>
      <c r="B1249" t="s">
        <v>27</v>
      </c>
      <c r="C1249" t="s">
        <v>28</v>
      </c>
      <c r="H1249" s="2">
        <v>45840.477233796293</v>
      </c>
      <c r="I1249" t="s">
        <v>54</v>
      </c>
      <c r="Z1249">
        <v>102104</v>
      </c>
    </row>
    <row r="1250" spans="1:26" x14ac:dyDescent="0.25">
      <c r="A1250" t="s">
        <v>33</v>
      </c>
      <c r="B1250" t="s">
        <v>1403</v>
      </c>
      <c r="C1250" t="s">
        <v>28</v>
      </c>
      <c r="E1250" t="s">
        <v>1555</v>
      </c>
      <c r="H1250" s="2">
        <v>45840.404490740744</v>
      </c>
      <c r="I1250" t="s">
        <v>31</v>
      </c>
      <c r="K1250" t="s">
        <v>34</v>
      </c>
      <c r="L1250" t="s">
        <v>35</v>
      </c>
      <c r="M1250" t="s">
        <v>1153</v>
      </c>
      <c r="N1250">
        <v>16989226752</v>
      </c>
      <c r="O1250" t="s">
        <v>1154</v>
      </c>
      <c r="Z1250">
        <v>102100</v>
      </c>
    </row>
    <row r="1251" spans="1:26" x14ac:dyDescent="0.25">
      <c r="A1251" t="s">
        <v>518</v>
      </c>
      <c r="B1251" t="s">
        <v>74</v>
      </c>
      <c r="C1251" t="s">
        <v>28</v>
      </c>
      <c r="E1251" t="s">
        <v>143</v>
      </c>
      <c r="G1251" t="s">
        <v>1556</v>
      </c>
      <c r="H1251" s="2">
        <v>45839.923611111109</v>
      </c>
      <c r="I1251" t="s">
        <v>31</v>
      </c>
      <c r="Z1251">
        <v>102096</v>
      </c>
    </row>
    <row r="1252" spans="1:26" x14ac:dyDescent="0.25">
      <c r="A1252" t="s">
        <v>1557</v>
      </c>
      <c r="B1252" t="s">
        <v>27</v>
      </c>
      <c r="C1252" t="s">
        <v>28</v>
      </c>
      <c r="H1252" s="2">
        <v>45839.806759259256</v>
      </c>
      <c r="I1252" t="s">
        <v>54</v>
      </c>
      <c r="Z1252">
        <v>102092</v>
      </c>
    </row>
    <row r="1253" spans="1:26" x14ac:dyDescent="0.25">
      <c r="A1253" t="s">
        <v>1558</v>
      </c>
      <c r="B1253" t="s">
        <v>27</v>
      </c>
      <c r="C1253" t="s">
        <v>28</v>
      </c>
      <c r="H1253" s="2">
        <v>45839.743368055555</v>
      </c>
      <c r="I1253" t="s">
        <v>54</v>
      </c>
      <c r="Z1253">
        <v>102089</v>
      </c>
    </row>
    <row r="1254" spans="1:26" x14ac:dyDescent="0.25">
      <c r="A1254" t="s">
        <v>1559</v>
      </c>
      <c r="B1254" t="s">
        <v>27</v>
      </c>
      <c r="C1254" t="s">
        <v>28</v>
      </c>
      <c r="H1254" s="2">
        <v>45839.63957175926</v>
      </c>
      <c r="I1254" t="s">
        <v>54</v>
      </c>
      <c r="Z1254">
        <v>102080</v>
      </c>
    </row>
    <row r="1255" spans="1:26" x14ac:dyDescent="0.25">
      <c r="A1255" t="s">
        <v>1560</v>
      </c>
      <c r="B1255" t="s">
        <v>27</v>
      </c>
      <c r="C1255" t="s">
        <v>28</v>
      </c>
      <c r="H1255" s="2">
        <v>45839.573530092595</v>
      </c>
      <c r="I1255" t="s">
        <v>54</v>
      </c>
      <c r="Z1255">
        <v>102077</v>
      </c>
    </row>
    <row r="1256" spans="1:26" x14ac:dyDescent="0.25">
      <c r="A1256" t="s">
        <v>1561</v>
      </c>
      <c r="B1256" t="s">
        <v>27</v>
      </c>
      <c r="C1256" t="s">
        <v>28</v>
      </c>
      <c r="H1256" s="2">
        <v>45839.383194444446</v>
      </c>
      <c r="I1256" t="s">
        <v>54</v>
      </c>
      <c r="Z1256">
        <v>102063</v>
      </c>
    </row>
    <row r="1257" spans="1:26" x14ac:dyDescent="0.25">
      <c r="A1257" t="s">
        <v>1562</v>
      </c>
      <c r="B1257" t="s">
        <v>46</v>
      </c>
      <c r="C1257" t="s">
        <v>28</v>
      </c>
      <c r="E1257" t="s">
        <v>101</v>
      </c>
      <c r="H1257" s="2">
        <v>45839.038310185184</v>
      </c>
      <c r="I1257" t="s">
        <v>54</v>
      </c>
      <c r="K1257" t="s">
        <v>34</v>
      </c>
      <c r="L1257" t="s">
        <v>35</v>
      </c>
      <c r="M1257" t="s">
        <v>758</v>
      </c>
      <c r="N1257">
        <v>16978047695</v>
      </c>
      <c r="O1257" t="s">
        <v>461</v>
      </c>
      <c r="Z1257">
        <v>102062</v>
      </c>
    </row>
    <row r="1258" spans="1:26" x14ac:dyDescent="0.25">
      <c r="A1258" t="s">
        <v>1563</v>
      </c>
      <c r="B1258" t="s">
        <v>46</v>
      </c>
      <c r="C1258" t="s">
        <v>28</v>
      </c>
      <c r="E1258" t="s">
        <v>370</v>
      </c>
      <c r="H1258" s="2">
        <v>45838.887499999997</v>
      </c>
      <c r="I1258" t="s">
        <v>31</v>
      </c>
      <c r="K1258" t="s">
        <v>48</v>
      </c>
      <c r="Z1258">
        <v>102061</v>
      </c>
    </row>
    <row r="1259" spans="1:26" x14ac:dyDescent="0.25">
      <c r="A1259" t="s">
        <v>1564</v>
      </c>
      <c r="B1259" t="s">
        <v>27</v>
      </c>
      <c r="C1259" t="s">
        <v>28</v>
      </c>
      <c r="H1259" s="2">
        <v>45838.82371527778</v>
      </c>
      <c r="I1259" t="s">
        <v>31</v>
      </c>
      <c r="Z1259">
        <v>102059</v>
      </c>
    </row>
    <row r="1260" spans="1:26" x14ac:dyDescent="0.25">
      <c r="A1260" t="s">
        <v>1565</v>
      </c>
      <c r="B1260" t="s">
        <v>27</v>
      </c>
      <c r="C1260" t="s">
        <v>28</v>
      </c>
      <c r="H1260" s="2">
        <v>45838.663206018522</v>
      </c>
      <c r="I1260" t="s">
        <v>31</v>
      </c>
      <c r="Z1260">
        <v>102053</v>
      </c>
    </row>
    <row r="1261" spans="1:26" x14ac:dyDescent="0.25">
      <c r="A1261" t="s">
        <v>33</v>
      </c>
      <c r="B1261" t="s">
        <v>27</v>
      </c>
      <c r="C1261" t="s">
        <v>28</v>
      </c>
      <c r="H1261" s="2">
        <v>45838.598749999997</v>
      </c>
      <c r="I1261" t="s">
        <v>31</v>
      </c>
      <c r="Z1261">
        <v>102046</v>
      </c>
    </row>
    <row r="1262" spans="1:26" x14ac:dyDescent="0.25">
      <c r="A1262" t="s">
        <v>793</v>
      </c>
      <c r="B1262" t="s">
        <v>27</v>
      </c>
      <c r="C1262" t="s">
        <v>28</v>
      </c>
      <c r="H1262" s="2">
        <v>45838.532870370371</v>
      </c>
      <c r="I1262" t="s">
        <v>31</v>
      </c>
      <c r="Z1262">
        <v>102041</v>
      </c>
    </row>
    <row r="1263" spans="1:26" x14ac:dyDescent="0.25">
      <c r="A1263" t="s">
        <v>1566</v>
      </c>
      <c r="B1263" t="s">
        <v>27</v>
      </c>
      <c r="C1263" t="s">
        <v>28</v>
      </c>
      <c r="H1263" s="2">
        <v>45838.445138888892</v>
      </c>
      <c r="I1263" t="s">
        <v>31</v>
      </c>
      <c r="Z1263">
        <v>102033</v>
      </c>
    </row>
    <row r="1264" spans="1:26" x14ac:dyDescent="0.25">
      <c r="A1264" t="s">
        <v>1567</v>
      </c>
      <c r="B1264" t="s">
        <v>74</v>
      </c>
      <c r="C1264" t="s">
        <v>28</v>
      </c>
      <c r="E1264" t="s">
        <v>232</v>
      </c>
      <c r="G1264" t="s">
        <v>1568</v>
      </c>
      <c r="H1264" s="2">
        <v>45837.788668981484</v>
      </c>
      <c r="I1264" t="s">
        <v>54</v>
      </c>
      <c r="Z1264">
        <v>102023</v>
      </c>
    </row>
    <row r="1265" spans="1:26" x14ac:dyDescent="0.25">
      <c r="A1265" t="s">
        <v>1569</v>
      </c>
      <c r="B1265" t="s">
        <v>27</v>
      </c>
      <c r="C1265" t="s">
        <v>28</v>
      </c>
      <c r="H1265" s="2">
        <v>45837.630393518521</v>
      </c>
      <c r="I1265" t="s">
        <v>1488</v>
      </c>
      <c r="Z1265">
        <v>102014</v>
      </c>
    </row>
    <row r="1266" spans="1:26" x14ac:dyDescent="0.25">
      <c r="A1266" t="s">
        <v>1570</v>
      </c>
      <c r="B1266" t="s">
        <v>27</v>
      </c>
      <c r="C1266" t="s">
        <v>28</v>
      </c>
      <c r="H1266" s="2">
        <v>45837.585474537038</v>
      </c>
      <c r="I1266" t="s">
        <v>54</v>
      </c>
      <c r="Z1266">
        <v>102011</v>
      </c>
    </row>
    <row r="1267" spans="1:26" x14ac:dyDescent="0.25">
      <c r="A1267" t="s">
        <v>1571</v>
      </c>
      <c r="B1267" t="s">
        <v>27</v>
      </c>
      <c r="C1267" t="s">
        <v>28</v>
      </c>
      <c r="H1267" s="2">
        <v>45837.476307870369</v>
      </c>
      <c r="I1267" t="s">
        <v>54</v>
      </c>
      <c r="Z1267">
        <v>102005</v>
      </c>
    </row>
    <row r="1268" spans="1:26" x14ac:dyDescent="0.25">
      <c r="A1268" t="s">
        <v>1572</v>
      </c>
      <c r="B1268" t="s">
        <v>27</v>
      </c>
      <c r="C1268" t="s">
        <v>28</v>
      </c>
      <c r="H1268" s="2">
        <v>45837.455474537041</v>
      </c>
      <c r="I1268" t="s">
        <v>54</v>
      </c>
      <c r="Z1268">
        <v>102003</v>
      </c>
    </row>
    <row r="1269" spans="1:26" x14ac:dyDescent="0.25">
      <c r="A1269" t="s">
        <v>1573</v>
      </c>
      <c r="B1269" t="s">
        <v>27</v>
      </c>
      <c r="C1269" t="s">
        <v>28</v>
      </c>
      <c r="H1269" s="2">
        <v>45837.381898148145</v>
      </c>
      <c r="I1269" t="s">
        <v>1488</v>
      </c>
      <c r="Z1269">
        <v>102000</v>
      </c>
    </row>
    <row r="1270" spans="1:26" x14ac:dyDescent="0.25">
      <c r="A1270" t="s">
        <v>1574</v>
      </c>
      <c r="B1270" t="s">
        <v>74</v>
      </c>
      <c r="C1270" t="s">
        <v>28</v>
      </c>
      <c r="E1270" t="s">
        <v>198</v>
      </c>
      <c r="G1270" t="s">
        <v>1203</v>
      </c>
      <c r="H1270" s="2">
        <v>45836.90221064815</v>
      </c>
      <c r="I1270" t="s">
        <v>54</v>
      </c>
      <c r="Z1270">
        <v>101998</v>
      </c>
    </row>
    <row r="1271" spans="1:26" x14ac:dyDescent="0.25">
      <c r="A1271" t="s">
        <v>1575</v>
      </c>
      <c r="B1271" t="s">
        <v>27</v>
      </c>
      <c r="C1271" t="s">
        <v>28</v>
      </c>
      <c r="H1271" s="2">
        <v>45836.835416666669</v>
      </c>
      <c r="I1271" t="s">
        <v>31</v>
      </c>
      <c r="Z1271">
        <v>101994</v>
      </c>
    </row>
    <row r="1272" spans="1:26" x14ac:dyDescent="0.25">
      <c r="A1272" t="s">
        <v>1576</v>
      </c>
      <c r="B1272" t="s">
        <v>27</v>
      </c>
      <c r="C1272" t="s">
        <v>28</v>
      </c>
      <c r="H1272" s="2">
        <v>45836.589178240742</v>
      </c>
      <c r="I1272" t="s">
        <v>31</v>
      </c>
      <c r="Z1272">
        <v>101986</v>
      </c>
    </row>
    <row r="1273" spans="1:26" x14ac:dyDescent="0.25">
      <c r="A1273" t="s">
        <v>33</v>
      </c>
      <c r="B1273" t="s">
        <v>27</v>
      </c>
      <c r="C1273" t="s">
        <v>28</v>
      </c>
      <c r="H1273" s="2">
        <v>45836.468055555553</v>
      </c>
      <c r="I1273" t="s">
        <v>31</v>
      </c>
      <c r="Z1273">
        <v>101974</v>
      </c>
    </row>
    <row r="1274" spans="1:26" x14ac:dyDescent="0.25">
      <c r="A1274" t="s">
        <v>1421</v>
      </c>
      <c r="B1274" t="s">
        <v>27</v>
      </c>
      <c r="C1274" t="s">
        <v>28</v>
      </c>
      <c r="H1274" s="2">
        <v>45836.46292824074</v>
      </c>
      <c r="I1274" t="s">
        <v>1488</v>
      </c>
      <c r="Z1274">
        <v>101973</v>
      </c>
    </row>
    <row r="1275" spans="1:26" x14ac:dyDescent="0.25">
      <c r="A1275" t="s">
        <v>1577</v>
      </c>
      <c r="B1275" t="s">
        <v>1403</v>
      </c>
      <c r="C1275" t="s">
        <v>28</v>
      </c>
      <c r="E1275" t="s">
        <v>146</v>
      </c>
      <c r="G1275" t="s">
        <v>1578</v>
      </c>
      <c r="H1275" s="2">
        <v>45836.461909722224</v>
      </c>
      <c r="I1275" t="s">
        <v>31</v>
      </c>
      <c r="Z1275">
        <v>101972</v>
      </c>
    </row>
    <row r="1276" spans="1:26" x14ac:dyDescent="0.25">
      <c r="A1276" t="s">
        <v>1579</v>
      </c>
      <c r="B1276" t="s">
        <v>27</v>
      </c>
      <c r="C1276" t="s">
        <v>28</v>
      </c>
      <c r="H1276" s="2">
        <v>45836.404490740744</v>
      </c>
      <c r="I1276" t="s">
        <v>31</v>
      </c>
      <c r="Z1276">
        <v>101971</v>
      </c>
    </row>
    <row r="1277" spans="1:26" x14ac:dyDescent="0.25">
      <c r="A1277" t="s">
        <v>1580</v>
      </c>
      <c r="B1277" t="s">
        <v>74</v>
      </c>
      <c r="C1277" t="s">
        <v>28</v>
      </c>
      <c r="E1277" t="s">
        <v>72</v>
      </c>
      <c r="G1277" t="s">
        <v>1581</v>
      </c>
      <c r="H1277" s="2">
        <v>45835.920138888891</v>
      </c>
      <c r="I1277" t="s">
        <v>31</v>
      </c>
      <c r="Z1277">
        <v>101970</v>
      </c>
    </row>
    <row r="1278" spans="1:26" x14ac:dyDescent="0.25">
      <c r="A1278" t="s">
        <v>1582</v>
      </c>
      <c r="B1278" t="s">
        <v>27</v>
      </c>
      <c r="C1278" t="s">
        <v>28</v>
      </c>
      <c r="H1278" s="2">
        <v>45835.740208333336</v>
      </c>
      <c r="I1278" t="s">
        <v>1488</v>
      </c>
      <c r="Z1278">
        <v>101965</v>
      </c>
    </row>
    <row r="1279" spans="1:26" x14ac:dyDescent="0.25">
      <c r="A1279" t="s">
        <v>1583</v>
      </c>
      <c r="B1279" t="s">
        <v>27</v>
      </c>
      <c r="C1279" t="s">
        <v>28</v>
      </c>
      <c r="H1279" s="2">
        <v>45835.712604166663</v>
      </c>
      <c r="I1279" t="s">
        <v>1488</v>
      </c>
      <c r="Z1279">
        <v>101964</v>
      </c>
    </row>
    <row r="1280" spans="1:26" x14ac:dyDescent="0.25">
      <c r="A1280" t="s">
        <v>1584</v>
      </c>
      <c r="B1280" t="s">
        <v>27</v>
      </c>
      <c r="C1280" t="s">
        <v>28</v>
      </c>
      <c r="H1280" s="2">
        <v>45835.705439814818</v>
      </c>
      <c r="I1280" t="s">
        <v>1488</v>
      </c>
      <c r="Z1280">
        <v>101963</v>
      </c>
    </row>
    <row r="1281" spans="1:26" x14ac:dyDescent="0.25">
      <c r="A1281" t="s">
        <v>1585</v>
      </c>
      <c r="B1281" t="s">
        <v>27</v>
      </c>
      <c r="C1281" t="s">
        <v>28</v>
      </c>
      <c r="H1281" s="2">
        <v>45835.636331018519</v>
      </c>
      <c r="I1281" t="s">
        <v>556</v>
      </c>
      <c r="Z1281">
        <v>101956</v>
      </c>
    </row>
    <row r="1282" spans="1:26" x14ac:dyDescent="0.25">
      <c r="A1282" t="s">
        <v>1586</v>
      </c>
      <c r="B1282" t="s">
        <v>74</v>
      </c>
      <c r="C1282" t="s">
        <v>28</v>
      </c>
      <c r="E1282" t="s">
        <v>61</v>
      </c>
      <c r="G1282" t="s">
        <v>1587</v>
      </c>
      <c r="H1282" s="2">
        <v>45835.527141203704</v>
      </c>
      <c r="I1282" t="s">
        <v>31</v>
      </c>
      <c r="Z1282">
        <v>101945</v>
      </c>
    </row>
    <row r="1283" spans="1:26" x14ac:dyDescent="0.25">
      <c r="A1283" t="s">
        <v>1588</v>
      </c>
      <c r="B1283" t="s">
        <v>27</v>
      </c>
      <c r="C1283" t="s">
        <v>28</v>
      </c>
      <c r="H1283" s="2">
        <v>45835.407476851855</v>
      </c>
      <c r="I1283" t="s">
        <v>1488</v>
      </c>
      <c r="Z1283">
        <v>101939</v>
      </c>
    </row>
    <row r="1284" spans="1:26" x14ac:dyDescent="0.25">
      <c r="A1284" t="s">
        <v>1589</v>
      </c>
      <c r="B1284" t="s">
        <v>27</v>
      </c>
      <c r="C1284" t="s">
        <v>28</v>
      </c>
      <c r="H1284" s="2">
        <v>45834.837118055555</v>
      </c>
      <c r="I1284" t="s">
        <v>556</v>
      </c>
      <c r="Z1284">
        <v>101937</v>
      </c>
    </row>
    <row r="1285" spans="1:26" x14ac:dyDescent="0.25">
      <c r="A1285" t="s">
        <v>33</v>
      </c>
      <c r="B1285" t="s">
        <v>306</v>
      </c>
      <c r="C1285" t="s">
        <v>28</v>
      </c>
      <c r="E1285" t="s">
        <v>61</v>
      </c>
      <c r="H1285" s="2">
        <v>45834.667905092596</v>
      </c>
      <c r="I1285" t="s">
        <v>31</v>
      </c>
      <c r="K1285" t="s">
        <v>34</v>
      </c>
      <c r="L1285" t="s">
        <v>35</v>
      </c>
      <c r="M1285" t="s">
        <v>1153</v>
      </c>
      <c r="N1285">
        <v>16989226752</v>
      </c>
      <c r="O1285" t="s">
        <v>1590</v>
      </c>
      <c r="Z1285">
        <v>101930</v>
      </c>
    </row>
    <row r="1286" spans="1:26" x14ac:dyDescent="0.25">
      <c r="A1286" t="s">
        <v>1591</v>
      </c>
      <c r="B1286" t="s">
        <v>27</v>
      </c>
      <c r="C1286" t="s">
        <v>28</v>
      </c>
      <c r="H1286" s="2">
        <v>45833.831446759257</v>
      </c>
      <c r="I1286" t="s">
        <v>556</v>
      </c>
      <c r="Z1286">
        <v>101919</v>
      </c>
    </row>
    <row r="1287" spans="1:26" x14ac:dyDescent="0.25">
      <c r="A1287" t="s">
        <v>1592</v>
      </c>
      <c r="B1287" t="s">
        <v>27</v>
      </c>
      <c r="C1287" t="s">
        <v>28</v>
      </c>
      <c r="H1287" s="2">
        <v>45833.806875000002</v>
      </c>
      <c r="I1287" t="s">
        <v>556</v>
      </c>
      <c r="Z1287">
        <v>101917</v>
      </c>
    </row>
    <row r="1288" spans="1:26" x14ac:dyDescent="0.25">
      <c r="A1288" t="s">
        <v>1593</v>
      </c>
      <c r="B1288" t="s">
        <v>27</v>
      </c>
      <c r="C1288" t="s">
        <v>28</v>
      </c>
      <c r="H1288" s="2">
        <v>45833.742812500001</v>
      </c>
      <c r="I1288" t="s">
        <v>556</v>
      </c>
      <c r="Z1288">
        <v>101915</v>
      </c>
    </row>
    <row r="1289" spans="1:26" x14ac:dyDescent="0.25">
      <c r="A1289" t="s">
        <v>1594</v>
      </c>
      <c r="B1289" t="s">
        <v>27</v>
      </c>
      <c r="C1289" t="s">
        <v>28</v>
      </c>
      <c r="H1289" s="2">
        <v>45833.707395833335</v>
      </c>
      <c r="I1289" t="s">
        <v>31</v>
      </c>
      <c r="Z1289">
        <v>101913</v>
      </c>
    </row>
    <row r="1290" spans="1:26" x14ac:dyDescent="0.25">
      <c r="A1290" t="s">
        <v>1595</v>
      </c>
      <c r="B1290" t="s">
        <v>27</v>
      </c>
      <c r="C1290" t="s">
        <v>28</v>
      </c>
      <c r="H1290" s="2">
        <v>45833.490324074075</v>
      </c>
      <c r="I1290" t="s">
        <v>31</v>
      </c>
      <c r="Z1290">
        <v>101895</v>
      </c>
    </row>
    <row r="1291" spans="1:26" x14ac:dyDescent="0.25">
      <c r="A1291" t="s">
        <v>1596</v>
      </c>
      <c r="B1291" t="s">
        <v>27</v>
      </c>
      <c r="C1291" t="s">
        <v>28</v>
      </c>
      <c r="H1291" s="2">
        <v>45833.418321759258</v>
      </c>
      <c r="I1291" t="s">
        <v>556</v>
      </c>
      <c r="Z1291">
        <v>101888</v>
      </c>
    </row>
    <row r="1292" spans="1:26" x14ac:dyDescent="0.25">
      <c r="A1292" t="s">
        <v>1597</v>
      </c>
      <c r="B1292" t="s">
        <v>27</v>
      </c>
      <c r="C1292" t="s">
        <v>28</v>
      </c>
      <c r="H1292" s="2">
        <v>45832.61141203704</v>
      </c>
      <c r="I1292" t="s">
        <v>1488</v>
      </c>
      <c r="Z1292">
        <v>101870</v>
      </c>
    </row>
    <row r="1293" spans="1:26" x14ac:dyDescent="0.25">
      <c r="A1293" t="s">
        <v>194</v>
      </c>
      <c r="B1293" t="s">
        <v>27</v>
      </c>
      <c r="C1293" t="s">
        <v>28</v>
      </c>
      <c r="H1293" s="2">
        <v>45832.432650462964</v>
      </c>
      <c r="I1293" t="s">
        <v>1488</v>
      </c>
      <c r="Z1293">
        <v>101852</v>
      </c>
    </row>
    <row r="1294" spans="1:26" x14ac:dyDescent="0.25">
      <c r="A1294" t="s">
        <v>1598</v>
      </c>
      <c r="B1294" t="s">
        <v>27</v>
      </c>
      <c r="C1294" t="s">
        <v>28</v>
      </c>
      <c r="H1294" s="2">
        <v>45831.651076388887</v>
      </c>
      <c r="I1294" t="s">
        <v>1488</v>
      </c>
      <c r="Z1294">
        <v>101825</v>
      </c>
    </row>
    <row r="1295" spans="1:26" x14ac:dyDescent="0.25">
      <c r="A1295" t="s">
        <v>1599</v>
      </c>
      <c r="B1295" t="s">
        <v>27</v>
      </c>
      <c r="C1295" t="s">
        <v>28</v>
      </c>
      <c r="H1295" s="2">
        <v>45831.534953703704</v>
      </c>
      <c r="I1295" t="s">
        <v>31</v>
      </c>
      <c r="Z1295">
        <v>101813</v>
      </c>
    </row>
    <row r="1296" spans="1:26" x14ac:dyDescent="0.25">
      <c r="A1296" t="s">
        <v>1600</v>
      </c>
      <c r="B1296" t="s">
        <v>27</v>
      </c>
      <c r="C1296" t="s">
        <v>28</v>
      </c>
      <c r="H1296" s="2">
        <v>45831.500347222223</v>
      </c>
      <c r="I1296" t="s">
        <v>1488</v>
      </c>
      <c r="Z1296">
        <v>101807</v>
      </c>
    </row>
    <row r="1297" spans="1:26" x14ac:dyDescent="0.25">
      <c r="A1297" t="s">
        <v>1601</v>
      </c>
      <c r="B1297" t="s">
        <v>27</v>
      </c>
      <c r="C1297" t="s">
        <v>28</v>
      </c>
      <c r="H1297" s="2">
        <v>45831.451238425929</v>
      </c>
      <c r="I1297" t="s">
        <v>1488</v>
      </c>
      <c r="Z1297">
        <v>101800</v>
      </c>
    </row>
    <row r="1298" spans="1:26" x14ac:dyDescent="0.25">
      <c r="A1298" t="s">
        <v>1602</v>
      </c>
      <c r="B1298" t="s">
        <v>27</v>
      </c>
      <c r="C1298" t="s">
        <v>28</v>
      </c>
      <c r="H1298" s="2">
        <v>45831.420162037037</v>
      </c>
      <c r="I1298" t="s">
        <v>31</v>
      </c>
      <c r="Z1298">
        <v>101795</v>
      </c>
    </row>
    <row r="1299" spans="1:26" x14ac:dyDescent="0.25">
      <c r="A1299" t="s">
        <v>1603</v>
      </c>
      <c r="B1299" t="s">
        <v>1403</v>
      </c>
      <c r="C1299" t="s">
        <v>28</v>
      </c>
      <c r="E1299" t="s">
        <v>1604</v>
      </c>
      <c r="H1299" s="2">
        <v>45830.701342592591</v>
      </c>
      <c r="I1299" t="s">
        <v>1488</v>
      </c>
      <c r="Z1299">
        <v>101778</v>
      </c>
    </row>
    <row r="1300" spans="1:26" x14ac:dyDescent="0.25">
      <c r="A1300" t="s">
        <v>1605</v>
      </c>
      <c r="B1300" t="s">
        <v>27</v>
      </c>
      <c r="C1300" t="s">
        <v>28</v>
      </c>
      <c r="H1300" s="2">
        <v>45830.635277777779</v>
      </c>
      <c r="I1300" t="s">
        <v>1488</v>
      </c>
      <c r="Z1300">
        <v>101776</v>
      </c>
    </row>
    <row r="1301" spans="1:26" x14ac:dyDescent="0.25">
      <c r="A1301" t="s">
        <v>1606</v>
      </c>
      <c r="B1301" t="s">
        <v>27</v>
      </c>
      <c r="C1301" t="s">
        <v>28</v>
      </c>
      <c r="H1301" s="2">
        <v>45830.590416666666</v>
      </c>
      <c r="I1301" t="s">
        <v>1488</v>
      </c>
      <c r="Z1301">
        <v>101773</v>
      </c>
    </row>
    <row r="1302" spans="1:26" x14ac:dyDescent="0.25">
      <c r="A1302" t="s">
        <v>1607</v>
      </c>
      <c r="B1302" t="s">
        <v>74</v>
      </c>
      <c r="C1302" t="s">
        <v>28</v>
      </c>
      <c r="E1302" t="s">
        <v>1004</v>
      </c>
      <c r="G1302" t="s">
        <v>1608</v>
      </c>
      <c r="H1302" s="2">
        <v>45830.571030092593</v>
      </c>
      <c r="I1302" t="s">
        <v>1488</v>
      </c>
      <c r="Z1302">
        <v>101770</v>
      </c>
    </row>
    <row r="1303" spans="1:26" x14ac:dyDescent="0.25">
      <c r="A1303" t="s">
        <v>570</v>
      </c>
      <c r="B1303" t="s">
        <v>46</v>
      </c>
      <c r="C1303" t="s">
        <v>28</v>
      </c>
      <c r="E1303" t="s">
        <v>143</v>
      </c>
      <c r="H1303" s="2">
        <v>45829.596736111111</v>
      </c>
      <c r="I1303" t="s">
        <v>556</v>
      </c>
      <c r="K1303" t="s">
        <v>34</v>
      </c>
      <c r="L1303" t="s">
        <v>35</v>
      </c>
      <c r="M1303" t="s">
        <v>1153</v>
      </c>
      <c r="N1303">
        <v>16989226752</v>
      </c>
      <c r="O1303" t="s">
        <v>1609</v>
      </c>
      <c r="Z1303">
        <v>101753</v>
      </c>
    </row>
    <row r="1304" spans="1:26" x14ac:dyDescent="0.25">
      <c r="A1304" t="s">
        <v>1610</v>
      </c>
      <c r="B1304" t="s">
        <v>27</v>
      </c>
      <c r="C1304" t="s">
        <v>28</v>
      </c>
      <c r="H1304" s="2">
        <v>45829.458020833335</v>
      </c>
      <c r="I1304" t="s">
        <v>556</v>
      </c>
      <c r="Z1304">
        <v>101741</v>
      </c>
    </row>
    <row r="1305" spans="1:26" x14ac:dyDescent="0.25">
      <c r="A1305" t="s">
        <v>1611</v>
      </c>
      <c r="B1305" t="s">
        <v>27</v>
      </c>
      <c r="C1305" t="s">
        <v>28</v>
      </c>
      <c r="H1305" s="2">
        <v>45828.709282407406</v>
      </c>
      <c r="I1305" t="s">
        <v>556</v>
      </c>
      <c r="Z1305">
        <v>101734</v>
      </c>
    </row>
    <row r="1306" spans="1:26" x14ac:dyDescent="0.25">
      <c r="A1306" t="s">
        <v>1612</v>
      </c>
      <c r="B1306" t="s">
        <v>27</v>
      </c>
      <c r="C1306" t="s">
        <v>185</v>
      </c>
      <c r="H1306" s="2">
        <v>45828.534930555557</v>
      </c>
      <c r="I1306" t="s">
        <v>31</v>
      </c>
      <c r="Z1306">
        <v>101719</v>
      </c>
    </row>
    <row r="1307" spans="1:26" x14ac:dyDescent="0.25">
      <c r="A1307" t="s">
        <v>1613</v>
      </c>
      <c r="B1307" t="s">
        <v>27</v>
      </c>
      <c r="C1307" t="s">
        <v>28</v>
      </c>
      <c r="H1307" s="2">
        <v>45828.460011574076</v>
      </c>
      <c r="I1307" t="s">
        <v>31</v>
      </c>
      <c r="Z1307">
        <v>101709</v>
      </c>
    </row>
    <row r="1308" spans="1:26" x14ac:dyDescent="0.25">
      <c r="A1308" t="s">
        <v>194</v>
      </c>
      <c r="B1308" t="s">
        <v>46</v>
      </c>
      <c r="C1308" t="s">
        <v>28</v>
      </c>
      <c r="E1308" t="s">
        <v>101</v>
      </c>
      <c r="H1308" s="2">
        <v>45827.847291666665</v>
      </c>
      <c r="I1308" t="s">
        <v>31</v>
      </c>
      <c r="K1308" t="s">
        <v>48</v>
      </c>
      <c r="Z1308">
        <v>101703</v>
      </c>
    </row>
    <row r="1309" spans="1:26" x14ac:dyDescent="0.25">
      <c r="A1309" t="s">
        <v>1614</v>
      </c>
      <c r="B1309" t="s">
        <v>27</v>
      </c>
      <c r="C1309" t="s">
        <v>28</v>
      </c>
      <c r="H1309" s="2">
        <v>45827.663217592592</v>
      </c>
      <c r="I1309" t="s">
        <v>556</v>
      </c>
      <c r="Z1309">
        <v>101690</v>
      </c>
    </row>
    <row r="1310" spans="1:26" x14ac:dyDescent="0.25">
      <c r="A1310" t="s">
        <v>1615</v>
      </c>
      <c r="B1310" t="s">
        <v>27</v>
      </c>
      <c r="C1310" t="s">
        <v>28</v>
      </c>
      <c r="H1310" s="2">
        <v>45827.450671296298</v>
      </c>
      <c r="I1310" t="s">
        <v>31</v>
      </c>
      <c r="Z1310">
        <v>101660</v>
      </c>
    </row>
    <row r="1311" spans="1:26" x14ac:dyDescent="0.25">
      <c r="A1311" t="s">
        <v>336</v>
      </c>
      <c r="B1311" t="s">
        <v>1403</v>
      </c>
      <c r="C1311" t="s">
        <v>28</v>
      </c>
      <c r="E1311" t="s">
        <v>1616</v>
      </c>
      <c r="H1311" s="2">
        <v>45827.033414351848</v>
      </c>
      <c r="I1311" t="s">
        <v>31</v>
      </c>
      <c r="Z1311">
        <v>101637</v>
      </c>
    </row>
    <row r="1312" spans="1:26" x14ac:dyDescent="0.25">
      <c r="A1312" t="s">
        <v>1617</v>
      </c>
      <c r="B1312" t="s">
        <v>27</v>
      </c>
      <c r="C1312" t="s">
        <v>28</v>
      </c>
      <c r="H1312" s="2">
        <v>45826.8908912037</v>
      </c>
      <c r="I1312" t="s">
        <v>31</v>
      </c>
      <c r="Z1312">
        <v>101635</v>
      </c>
    </row>
    <row r="1313" spans="1:26" x14ac:dyDescent="0.25">
      <c r="A1313" t="s">
        <v>1618</v>
      </c>
      <c r="B1313" t="s">
        <v>27</v>
      </c>
      <c r="C1313" t="s">
        <v>28</v>
      </c>
      <c r="H1313" s="2">
        <v>45826.550763888888</v>
      </c>
      <c r="I1313" t="s">
        <v>31</v>
      </c>
      <c r="Z1313">
        <v>101617</v>
      </c>
    </row>
    <row r="1314" spans="1:26" x14ac:dyDescent="0.25">
      <c r="A1314" t="s">
        <v>1619</v>
      </c>
      <c r="B1314" t="s">
        <v>1403</v>
      </c>
      <c r="C1314" t="s">
        <v>28</v>
      </c>
      <c r="E1314" t="s">
        <v>1620</v>
      </c>
      <c r="G1314" t="s">
        <v>1621</v>
      </c>
      <c r="H1314" s="2">
        <v>45826.467349537037</v>
      </c>
      <c r="I1314" t="s">
        <v>556</v>
      </c>
      <c r="Z1314">
        <v>101614</v>
      </c>
    </row>
    <row r="1315" spans="1:26" x14ac:dyDescent="0.25">
      <c r="A1315" t="s">
        <v>1622</v>
      </c>
      <c r="B1315" t="s">
        <v>27</v>
      </c>
      <c r="C1315" t="s">
        <v>28</v>
      </c>
      <c r="H1315" s="2">
        <v>45825.750555555554</v>
      </c>
      <c r="I1315" t="s">
        <v>31</v>
      </c>
      <c r="Z1315">
        <v>101603</v>
      </c>
    </row>
    <row r="1316" spans="1:26" x14ac:dyDescent="0.25">
      <c r="A1316" t="s">
        <v>1623</v>
      </c>
      <c r="B1316" t="s">
        <v>27</v>
      </c>
      <c r="C1316" t="s">
        <v>28</v>
      </c>
      <c r="H1316" s="2">
        <v>45825.728159722225</v>
      </c>
      <c r="I1316" t="s">
        <v>1488</v>
      </c>
      <c r="Z1316">
        <v>101601</v>
      </c>
    </row>
    <row r="1317" spans="1:26" x14ac:dyDescent="0.25">
      <c r="A1317" t="s">
        <v>336</v>
      </c>
      <c r="B1317" t="s">
        <v>27</v>
      </c>
      <c r="C1317" t="s">
        <v>28</v>
      </c>
      <c r="H1317" s="2">
        <v>45825.7033912037</v>
      </c>
      <c r="I1317" t="s">
        <v>31</v>
      </c>
      <c r="Z1317">
        <v>101600</v>
      </c>
    </row>
    <row r="1318" spans="1:26" x14ac:dyDescent="0.25">
      <c r="A1318" t="s">
        <v>1624</v>
      </c>
      <c r="B1318" t="s">
        <v>27</v>
      </c>
      <c r="C1318" t="s">
        <v>28</v>
      </c>
      <c r="H1318" s="2">
        <v>45825.680335648147</v>
      </c>
      <c r="I1318" t="s">
        <v>31</v>
      </c>
      <c r="Z1318">
        <v>101599</v>
      </c>
    </row>
    <row r="1319" spans="1:26" x14ac:dyDescent="0.25">
      <c r="A1319" t="s">
        <v>1625</v>
      </c>
      <c r="B1319" t="s">
        <v>27</v>
      </c>
      <c r="C1319" t="s">
        <v>28</v>
      </c>
      <c r="H1319" s="2">
        <v>45825.547905092593</v>
      </c>
      <c r="I1319" t="s">
        <v>31</v>
      </c>
      <c r="Z1319">
        <v>101591</v>
      </c>
    </row>
    <row r="1320" spans="1:26" x14ac:dyDescent="0.25">
      <c r="A1320" t="s">
        <v>1626</v>
      </c>
      <c r="B1320" t="s">
        <v>27</v>
      </c>
      <c r="C1320" t="s">
        <v>28</v>
      </c>
      <c r="H1320" s="2">
        <v>45825.542604166665</v>
      </c>
      <c r="I1320" t="s">
        <v>31</v>
      </c>
      <c r="Z1320">
        <v>101590</v>
      </c>
    </row>
    <row r="1321" spans="1:26" x14ac:dyDescent="0.25">
      <c r="A1321" t="s">
        <v>1627</v>
      </c>
      <c r="B1321" t="s">
        <v>27</v>
      </c>
      <c r="C1321" t="s">
        <v>28</v>
      </c>
      <c r="H1321" s="2">
        <v>45825.519907407404</v>
      </c>
      <c r="I1321" t="s">
        <v>31</v>
      </c>
      <c r="Z1321">
        <v>101588</v>
      </c>
    </row>
    <row r="1322" spans="1:26" x14ac:dyDescent="0.25">
      <c r="A1322" t="s">
        <v>663</v>
      </c>
      <c r="B1322" t="s">
        <v>46</v>
      </c>
      <c r="C1322" t="s">
        <v>28</v>
      </c>
      <c r="E1322" t="s">
        <v>1628</v>
      </c>
      <c r="H1322" s="2">
        <v>45824.945451388892</v>
      </c>
      <c r="I1322" t="s">
        <v>1488</v>
      </c>
      <c r="K1322" t="s">
        <v>48</v>
      </c>
      <c r="Z1322">
        <v>101566</v>
      </c>
    </row>
    <row r="1323" spans="1:26" x14ac:dyDescent="0.25">
      <c r="A1323" t="s">
        <v>1629</v>
      </c>
      <c r="B1323" t="s">
        <v>27</v>
      </c>
      <c r="C1323" t="s">
        <v>28</v>
      </c>
      <c r="H1323" s="2">
        <v>45824.849293981482</v>
      </c>
      <c r="I1323" t="s">
        <v>556</v>
      </c>
      <c r="Z1323">
        <v>101564</v>
      </c>
    </row>
    <row r="1324" spans="1:26" x14ac:dyDescent="0.25">
      <c r="A1324" t="s">
        <v>1630</v>
      </c>
      <c r="B1324" t="s">
        <v>27</v>
      </c>
      <c r="C1324" t="s">
        <v>28</v>
      </c>
      <c r="H1324" s="2">
        <v>45824.443136574075</v>
      </c>
      <c r="I1324" t="s">
        <v>1488</v>
      </c>
      <c r="Z1324">
        <v>101530</v>
      </c>
    </row>
    <row r="1325" spans="1:26" x14ac:dyDescent="0.25">
      <c r="A1325" t="s">
        <v>1631</v>
      </c>
      <c r="B1325" t="s">
        <v>27</v>
      </c>
      <c r="C1325" t="s">
        <v>28</v>
      </c>
      <c r="H1325" s="2">
        <v>45824.42423611111</v>
      </c>
      <c r="I1325" t="s">
        <v>556</v>
      </c>
      <c r="Z1325">
        <v>101528</v>
      </c>
    </row>
    <row r="1326" spans="1:26" x14ac:dyDescent="0.25">
      <c r="A1326" t="s">
        <v>1632</v>
      </c>
      <c r="B1326" t="s">
        <v>27</v>
      </c>
      <c r="C1326" t="s">
        <v>28</v>
      </c>
      <c r="H1326" s="2">
        <v>45819.647337962961</v>
      </c>
      <c r="I1326" t="s">
        <v>54</v>
      </c>
      <c r="Z1326">
        <v>101412</v>
      </c>
    </row>
    <row r="1327" spans="1:26" x14ac:dyDescent="0.25">
      <c r="A1327" t="s">
        <v>1633</v>
      </c>
      <c r="B1327" t="s">
        <v>74</v>
      </c>
      <c r="C1327" t="s">
        <v>28</v>
      </c>
      <c r="E1327" t="s">
        <v>260</v>
      </c>
      <c r="G1327" t="s">
        <v>1634</v>
      </c>
      <c r="H1327" s="2">
        <v>45819.546018518522</v>
      </c>
      <c r="I1327" t="s">
        <v>54</v>
      </c>
      <c r="Z1327">
        <v>101401</v>
      </c>
    </row>
    <row r="1328" spans="1:26" x14ac:dyDescent="0.25">
      <c r="A1328" t="s">
        <v>1635</v>
      </c>
      <c r="B1328" t="s">
        <v>27</v>
      </c>
      <c r="C1328" t="s">
        <v>28</v>
      </c>
      <c r="H1328" s="2">
        <v>45819.502546296295</v>
      </c>
      <c r="I1328" t="s">
        <v>54</v>
      </c>
      <c r="Z1328">
        <v>101390</v>
      </c>
    </row>
    <row r="1329" spans="1:26" x14ac:dyDescent="0.25">
      <c r="A1329" t="s">
        <v>1636</v>
      </c>
      <c r="B1329" t="s">
        <v>27</v>
      </c>
      <c r="C1329" t="s">
        <v>28</v>
      </c>
      <c r="H1329" s="2">
        <v>45817.774039351854</v>
      </c>
      <c r="I1329" t="s">
        <v>556</v>
      </c>
      <c r="Z1329">
        <v>101337</v>
      </c>
    </row>
    <row r="1330" spans="1:26" x14ac:dyDescent="0.25">
      <c r="A1330" t="s">
        <v>1637</v>
      </c>
      <c r="B1330" t="s">
        <v>27</v>
      </c>
      <c r="C1330" t="s">
        <v>28</v>
      </c>
      <c r="H1330" s="2">
        <v>45817.631666666668</v>
      </c>
      <c r="I1330" t="s">
        <v>556</v>
      </c>
      <c r="Z1330">
        <v>101329</v>
      </c>
    </row>
    <row r="1331" spans="1:26" x14ac:dyDescent="0.25">
      <c r="A1331" t="s">
        <v>1610</v>
      </c>
      <c r="B1331" t="s">
        <v>27</v>
      </c>
      <c r="C1331" t="s">
        <v>28</v>
      </c>
      <c r="H1331" s="2">
        <v>45817.562268518515</v>
      </c>
      <c r="I1331" t="s">
        <v>1488</v>
      </c>
      <c r="Z1331">
        <v>101323</v>
      </c>
    </row>
    <row r="1332" spans="1:26" x14ac:dyDescent="0.25">
      <c r="A1332" t="s">
        <v>1638</v>
      </c>
      <c r="B1332" t="s">
        <v>27</v>
      </c>
      <c r="C1332" t="s">
        <v>28</v>
      </c>
      <c r="H1332" s="2">
        <v>45817.401689814818</v>
      </c>
      <c r="I1332" t="s">
        <v>1488</v>
      </c>
      <c r="Z1332">
        <v>101303</v>
      </c>
    </row>
    <row r="1333" spans="1:26" x14ac:dyDescent="0.25">
      <c r="A1333" t="s">
        <v>1639</v>
      </c>
      <c r="B1333" t="s">
        <v>74</v>
      </c>
      <c r="C1333" t="s">
        <v>28</v>
      </c>
      <c r="E1333" t="s">
        <v>72</v>
      </c>
      <c r="G1333" t="s">
        <v>1640</v>
      </c>
      <c r="H1333" s="2">
        <v>45816.818009259259</v>
      </c>
      <c r="I1333" t="s">
        <v>556</v>
      </c>
      <c r="Z1333">
        <v>101297</v>
      </c>
    </row>
    <row r="1334" spans="1:26" x14ac:dyDescent="0.25">
      <c r="A1334" t="s">
        <v>1641</v>
      </c>
      <c r="B1334" t="s">
        <v>1403</v>
      </c>
      <c r="C1334" t="s">
        <v>28</v>
      </c>
      <c r="E1334" t="s">
        <v>1642</v>
      </c>
      <c r="G1334" t="s">
        <v>1643</v>
      </c>
      <c r="H1334" s="2">
        <v>45816.811412037037</v>
      </c>
      <c r="I1334" t="s">
        <v>556</v>
      </c>
      <c r="Z1334">
        <v>101296</v>
      </c>
    </row>
    <row r="1335" spans="1:26" x14ac:dyDescent="0.25">
      <c r="A1335" t="s">
        <v>1644</v>
      </c>
      <c r="B1335" t="s">
        <v>74</v>
      </c>
      <c r="C1335" t="s">
        <v>28</v>
      </c>
      <c r="E1335" t="s">
        <v>1645</v>
      </c>
      <c r="G1335" t="s">
        <v>1646</v>
      </c>
      <c r="H1335" s="2">
        <v>45816.527222222219</v>
      </c>
      <c r="I1335" t="s">
        <v>556</v>
      </c>
      <c r="Z1335">
        <v>101279</v>
      </c>
    </row>
    <row r="1336" spans="1:26" x14ac:dyDescent="0.25">
      <c r="A1336" t="s">
        <v>1647</v>
      </c>
      <c r="B1336" t="s">
        <v>27</v>
      </c>
      <c r="C1336" t="s">
        <v>28</v>
      </c>
      <c r="H1336" s="2">
        <v>45815.485671296294</v>
      </c>
      <c r="I1336" t="s">
        <v>54</v>
      </c>
      <c r="Z1336">
        <v>101240</v>
      </c>
    </row>
    <row r="1337" spans="1:26" x14ac:dyDescent="0.25">
      <c r="A1337" t="s">
        <v>1648</v>
      </c>
      <c r="B1337" t="s">
        <v>27</v>
      </c>
      <c r="C1337" t="s">
        <v>28</v>
      </c>
      <c r="H1337" s="2">
        <v>45815.462245370371</v>
      </c>
      <c r="I1337" t="s">
        <v>54</v>
      </c>
      <c r="Z1337">
        <v>101236</v>
      </c>
    </row>
    <row r="1338" spans="1:26" x14ac:dyDescent="0.25">
      <c r="A1338" t="s">
        <v>1649</v>
      </c>
      <c r="B1338" t="s">
        <v>27</v>
      </c>
      <c r="C1338" t="s">
        <v>28</v>
      </c>
      <c r="H1338" s="2">
        <v>45815.40625</v>
      </c>
      <c r="I1338" t="s">
        <v>54</v>
      </c>
      <c r="Z1338">
        <v>101230</v>
      </c>
    </row>
    <row r="1339" spans="1:26" x14ac:dyDescent="0.25">
      <c r="A1339" t="s">
        <v>1650</v>
      </c>
      <c r="B1339" t="s">
        <v>27</v>
      </c>
      <c r="C1339" t="s">
        <v>28</v>
      </c>
      <c r="H1339" s="2">
        <v>45815.400347222225</v>
      </c>
      <c r="I1339" t="s">
        <v>556</v>
      </c>
      <c r="Z1339">
        <v>101229</v>
      </c>
    </row>
    <row r="1340" spans="1:26" x14ac:dyDescent="0.25">
      <c r="A1340" t="s">
        <v>1651</v>
      </c>
      <c r="B1340" t="s">
        <v>27</v>
      </c>
      <c r="C1340" t="s">
        <v>28</v>
      </c>
      <c r="H1340" s="2">
        <v>45815.375902777778</v>
      </c>
      <c r="I1340" t="s">
        <v>556</v>
      </c>
      <c r="Z1340">
        <v>101227</v>
      </c>
    </row>
    <row r="1341" spans="1:26" x14ac:dyDescent="0.25">
      <c r="A1341" t="s">
        <v>1652</v>
      </c>
      <c r="C1341" t="s">
        <v>28</v>
      </c>
      <c r="E1341" t="s">
        <v>1653</v>
      </c>
      <c r="H1341" s="2">
        <v>45814.677048611113</v>
      </c>
      <c r="I1341" t="s">
        <v>556</v>
      </c>
      <c r="Z1341">
        <v>101216</v>
      </c>
    </row>
    <row r="1342" spans="1:26" x14ac:dyDescent="0.25">
      <c r="A1342" t="s">
        <v>602</v>
      </c>
      <c r="B1342" t="s">
        <v>27</v>
      </c>
      <c r="C1342" t="s">
        <v>28</v>
      </c>
      <c r="H1342" s="2">
        <v>45814.565196759257</v>
      </c>
      <c r="I1342" t="s">
        <v>556</v>
      </c>
      <c r="Z1342">
        <v>101206</v>
      </c>
    </row>
    <row r="1343" spans="1:26" x14ac:dyDescent="0.25">
      <c r="A1343" t="s">
        <v>1654</v>
      </c>
      <c r="B1343" t="s">
        <v>27</v>
      </c>
      <c r="C1343" t="s">
        <v>28</v>
      </c>
      <c r="H1343" s="2">
        <v>45814.499803240738</v>
      </c>
      <c r="I1343" t="s">
        <v>556</v>
      </c>
      <c r="Z1343">
        <v>101202</v>
      </c>
    </row>
    <row r="1344" spans="1:26" x14ac:dyDescent="0.25">
      <c r="A1344" t="s">
        <v>1655</v>
      </c>
      <c r="B1344" t="s">
        <v>27</v>
      </c>
      <c r="C1344" t="s">
        <v>28</v>
      </c>
      <c r="H1344" s="2">
        <v>45814.488518518519</v>
      </c>
      <c r="I1344" t="s">
        <v>54</v>
      </c>
      <c r="Z1344">
        <v>101200</v>
      </c>
    </row>
    <row r="1345" spans="1:26" x14ac:dyDescent="0.25">
      <c r="A1345" t="s">
        <v>1656</v>
      </c>
      <c r="B1345" t="s">
        <v>27</v>
      </c>
      <c r="C1345" t="s">
        <v>28</v>
      </c>
      <c r="H1345" s="2">
        <v>45814.46371527778</v>
      </c>
      <c r="I1345" t="s">
        <v>54</v>
      </c>
      <c r="Z1345">
        <v>101199</v>
      </c>
    </row>
    <row r="1346" spans="1:26" x14ac:dyDescent="0.25">
      <c r="A1346" t="s">
        <v>1657</v>
      </c>
      <c r="B1346" t="s">
        <v>27</v>
      </c>
      <c r="C1346" t="s">
        <v>28</v>
      </c>
      <c r="H1346" s="2">
        <v>45814.437997685185</v>
      </c>
      <c r="I1346" t="s">
        <v>54</v>
      </c>
      <c r="Z1346">
        <v>101195</v>
      </c>
    </row>
    <row r="1347" spans="1:26" x14ac:dyDescent="0.25">
      <c r="A1347" t="s">
        <v>1658</v>
      </c>
      <c r="B1347" t="s">
        <v>27</v>
      </c>
      <c r="C1347" t="s">
        <v>28</v>
      </c>
      <c r="H1347" s="2">
        <v>45814.428912037038</v>
      </c>
      <c r="I1347" t="s">
        <v>54</v>
      </c>
      <c r="Z1347">
        <v>101193</v>
      </c>
    </row>
    <row r="1348" spans="1:26" x14ac:dyDescent="0.25">
      <c r="A1348" t="s">
        <v>1659</v>
      </c>
      <c r="B1348" t="s">
        <v>27</v>
      </c>
      <c r="C1348" t="s">
        <v>28</v>
      </c>
      <c r="H1348" s="2">
        <v>45813.639143518521</v>
      </c>
      <c r="I1348" t="s">
        <v>54</v>
      </c>
      <c r="Z1348">
        <v>101166</v>
      </c>
    </row>
    <row r="1349" spans="1:26" x14ac:dyDescent="0.25">
      <c r="A1349" t="s">
        <v>1660</v>
      </c>
      <c r="B1349" t="s">
        <v>27</v>
      </c>
      <c r="C1349" t="s">
        <v>28</v>
      </c>
      <c r="H1349" s="2">
        <v>45812.693206018521</v>
      </c>
      <c r="I1349" t="s">
        <v>1488</v>
      </c>
      <c r="Z1349">
        <v>101144</v>
      </c>
    </row>
    <row r="1350" spans="1:26" x14ac:dyDescent="0.25">
      <c r="A1350" t="s">
        <v>1661</v>
      </c>
      <c r="B1350" t="s">
        <v>74</v>
      </c>
      <c r="C1350" t="s">
        <v>28</v>
      </c>
      <c r="E1350" t="s">
        <v>101</v>
      </c>
      <c r="G1350" t="s">
        <v>1662</v>
      </c>
      <c r="H1350" s="2">
        <v>45812.524629629632</v>
      </c>
      <c r="I1350" t="s">
        <v>1488</v>
      </c>
      <c r="Z1350">
        <v>101129</v>
      </c>
    </row>
    <row r="1351" spans="1:26" x14ac:dyDescent="0.25">
      <c r="A1351" t="s">
        <v>1663</v>
      </c>
      <c r="B1351" t="s">
        <v>27</v>
      </c>
      <c r="C1351" t="s">
        <v>28</v>
      </c>
      <c r="H1351" s="2">
        <v>45812.52070601852</v>
      </c>
      <c r="I1351" t="s">
        <v>1488</v>
      </c>
      <c r="Z1351">
        <v>101128</v>
      </c>
    </row>
    <row r="1352" spans="1:26" x14ac:dyDescent="0.25">
      <c r="A1352" t="s">
        <v>1664</v>
      </c>
      <c r="B1352" t="s">
        <v>27</v>
      </c>
      <c r="C1352" t="s">
        <v>28</v>
      </c>
      <c r="H1352" s="2">
        <v>45812.481793981482</v>
      </c>
      <c r="I1352" t="s">
        <v>54</v>
      </c>
      <c r="Z1352">
        <v>101118</v>
      </c>
    </row>
    <row r="1353" spans="1:26" x14ac:dyDescent="0.25">
      <c r="A1353" t="s">
        <v>1337</v>
      </c>
      <c r="B1353" t="s">
        <v>27</v>
      </c>
      <c r="C1353" t="s">
        <v>28</v>
      </c>
      <c r="H1353" s="2">
        <v>45812.476655092592</v>
      </c>
      <c r="I1353" t="s">
        <v>1488</v>
      </c>
      <c r="Z1353">
        <v>101114</v>
      </c>
    </row>
    <row r="1354" spans="1:26" x14ac:dyDescent="0.25">
      <c r="A1354" t="s">
        <v>1665</v>
      </c>
      <c r="B1354" t="s">
        <v>27</v>
      </c>
      <c r="C1354" t="s">
        <v>28</v>
      </c>
      <c r="H1354" s="2">
        <v>45811.544965277775</v>
      </c>
      <c r="I1354" t="s">
        <v>1488</v>
      </c>
      <c r="Z1354">
        <v>101074</v>
      </c>
    </row>
    <row r="1355" spans="1:26" x14ac:dyDescent="0.25">
      <c r="A1355" t="s">
        <v>1666</v>
      </c>
      <c r="B1355" t="s">
        <v>27</v>
      </c>
      <c r="C1355" t="s">
        <v>28</v>
      </c>
      <c r="H1355" s="2">
        <v>45811.436064814814</v>
      </c>
      <c r="I1355" t="s">
        <v>1488</v>
      </c>
      <c r="Z1355">
        <v>101066</v>
      </c>
    </row>
    <row r="1356" spans="1:26" x14ac:dyDescent="0.25">
      <c r="A1356" t="s">
        <v>1667</v>
      </c>
      <c r="B1356" t="s">
        <v>27</v>
      </c>
      <c r="C1356" t="s">
        <v>28</v>
      </c>
      <c r="H1356" s="2">
        <v>45811.402488425927</v>
      </c>
      <c r="I1356" t="s">
        <v>1488</v>
      </c>
      <c r="Z1356">
        <v>101064</v>
      </c>
    </row>
    <row r="1357" spans="1:26" x14ac:dyDescent="0.25">
      <c r="A1357" t="s">
        <v>1668</v>
      </c>
      <c r="B1357" t="s">
        <v>27</v>
      </c>
      <c r="C1357" t="s">
        <v>28</v>
      </c>
      <c r="H1357" s="2">
        <v>45810.597581018519</v>
      </c>
      <c r="I1357" t="s">
        <v>1488</v>
      </c>
      <c r="Z1357">
        <v>101046</v>
      </c>
    </row>
    <row r="1358" spans="1:26" x14ac:dyDescent="0.25">
      <c r="A1358" t="s">
        <v>1669</v>
      </c>
      <c r="B1358" t="s">
        <v>27</v>
      </c>
      <c r="C1358" t="s">
        <v>28</v>
      </c>
      <c r="H1358" s="2">
        <v>45810.523946759262</v>
      </c>
      <c r="I1358" t="s">
        <v>556</v>
      </c>
      <c r="Z1358">
        <v>101038</v>
      </c>
    </row>
    <row r="1359" spans="1:26" x14ac:dyDescent="0.25">
      <c r="A1359" t="s">
        <v>1670</v>
      </c>
      <c r="B1359" t="s">
        <v>27</v>
      </c>
      <c r="C1359" t="s">
        <v>28</v>
      </c>
      <c r="H1359" s="2">
        <v>45810.522685185184</v>
      </c>
      <c r="I1359" t="s">
        <v>556</v>
      </c>
      <c r="Z1359">
        <v>101037</v>
      </c>
    </row>
    <row r="1360" spans="1:26" x14ac:dyDescent="0.25">
      <c r="A1360" t="s">
        <v>1671</v>
      </c>
      <c r="B1360" t="s">
        <v>27</v>
      </c>
      <c r="C1360" t="s">
        <v>28</v>
      </c>
      <c r="H1360" s="2">
        <v>45809.840138888889</v>
      </c>
      <c r="I1360" t="s">
        <v>556</v>
      </c>
      <c r="Z1360">
        <v>101026</v>
      </c>
    </row>
    <row r="1361" spans="1:26" x14ac:dyDescent="0.25">
      <c r="A1361" t="s">
        <v>1672</v>
      </c>
      <c r="B1361" t="s">
        <v>27</v>
      </c>
      <c r="C1361" t="s">
        <v>28</v>
      </c>
      <c r="H1361" s="2">
        <v>45809.754664351851</v>
      </c>
      <c r="I1361" t="s">
        <v>556</v>
      </c>
      <c r="Z1361">
        <v>101024</v>
      </c>
    </row>
    <row r="1362" spans="1:26" x14ac:dyDescent="0.25">
      <c r="A1362" t="s">
        <v>1673</v>
      </c>
      <c r="B1362" t="s">
        <v>27</v>
      </c>
      <c r="C1362" t="s">
        <v>28</v>
      </c>
      <c r="H1362" s="2">
        <v>45809.632673611108</v>
      </c>
      <c r="I1362" t="s">
        <v>556</v>
      </c>
      <c r="Z1362">
        <v>101018</v>
      </c>
    </row>
    <row r="1363" spans="1:26" x14ac:dyDescent="0.25">
      <c r="A1363" t="s">
        <v>1674</v>
      </c>
      <c r="B1363" t="s">
        <v>27</v>
      </c>
      <c r="C1363" t="s">
        <v>28</v>
      </c>
      <c r="H1363" s="2">
        <v>45809.417488425926</v>
      </c>
      <c r="I1363" t="s">
        <v>556</v>
      </c>
      <c r="Z1363">
        <v>101007</v>
      </c>
    </row>
    <row r="1364" spans="1:26" x14ac:dyDescent="0.25">
      <c r="A1364" t="s">
        <v>1675</v>
      </c>
      <c r="B1364" t="s">
        <v>27</v>
      </c>
      <c r="C1364" t="s">
        <v>28</v>
      </c>
      <c r="H1364" s="2">
        <v>45809.396226851852</v>
      </c>
      <c r="I1364" t="s">
        <v>556</v>
      </c>
      <c r="Z1364">
        <v>101004</v>
      </c>
    </row>
    <row r="1365" spans="1:26" x14ac:dyDescent="0.25">
      <c r="A1365" t="s">
        <v>1676</v>
      </c>
      <c r="B1365" t="s">
        <v>27</v>
      </c>
      <c r="C1365" t="s">
        <v>28</v>
      </c>
      <c r="H1365" s="2">
        <v>45807.748831018522</v>
      </c>
      <c r="I1365" t="s">
        <v>54</v>
      </c>
      <c r="Z1365">
        <v>100974</v>
      </c>
    </row>
    <row r="1366" spans="1:26" x14ac:dyDescent="0.25">
      <c r="A1366" t="s">
        <v>1677</v>
      </c>
      <c r="B1366" t="s">
        <v>27</v>
      </c>
      <c r="C1366" t="s">
        <v>28</v>
      </c>
      <c r="H1366" s="2">
        <v>45807.650335648148</v>
      </c>
      <c r="I1366" t="s">
        <v>54</v>
      </c>
      <c r="Z1366">
        <v>100968</v>
      </c>
    </row>
    <row r="1367" spans="1:26" x14ac:dyDescent="0.25">
      <c r="A1367" t="s">
        <v>1678</v>
      </c>
      <c r="B1367" t="s">
        <v>27</v>
      </c>
      <c r="C1367" t="s">
        <v>28</v>
      </c>
      <c r="H1367" s="2">
        <v>45807.599664351852</v>
      </c>
      <c r="I1367" t="s">
        <v>54</v>
      </c>
      <c r="Z1367">
        <v>100962</v>
      </c>
    </row>
    <row r="1368" spans="1:26" x14ac:dyDescent="0.25">
      <c r="A1368" t="s">
        <v>1679</v>
      </c>
      <c r="B1368" t="s">
        <v>27</v>
      </c>
      <c r="C1368" t="s">
        <v>28</v>
      </c>
      <c r="H1368" s="2">
        <v>45807.558877314812</v>
      </c>
      <c r="I1368" t="s">
        <v>556</v>
      </c>
      <c r="Z1368">
        <v>100957</v>
      </c>
    </row>
    <row r="1369" spans="1:26" x14ac:dyDescent="0.25">
      <c r="A1369" t="s">
        <v>1680</v>
      </c>
      <c r="B1369" t="s">
        <v>27</v>
      </c>
      <c r="C1369" t="s">
        <v>28</v>
      </c>
      <c r="H1369" s="2">
        <v>45807.523854166669</v>
      </c>
      <c r="I1369" t="s">
        <v>54</v>
      </c>
      <c r="Z1369">
        <v>100956</v>
      </c>
    </row>
    <row r="1370" spans="1:26" x14ac:dyDescent="0.25">
      <c r="A1370" t="s">
        <v>1681</v>
      </c>
      <c r="B1370" t="s">
        <v>27</v>
      </c>
      <c r="C1370" t="s">
        <v>28</v>
      </c>
      <c r="H1370" s="2">
        <v>45807.444953703707</v>
      </c>
      <c r="I1370" t="s">
        <v>54</v>
      </c>
      <c r="Z1370">
        <v>100949</v>
      </c>
    </row>
    <row r="1371" spans="1:26" x14ac:dyDescent="0.25">
      <c r="A1371" t="s">
        <v>1682</v>
      </c>
      <c r="B1371" t="s">
        <v>27</v>
      </c>
      <c r="C1371" t="s">
        <v>28</v>
      </c>
      <c r="H1371" s="2">
        <v>45807.384571759256</v>
      </c>
      <c r="I1371" t="s">
        <v>556</v>
      </c>
      <c r="Z1371">
        <v>100940</v>
      </c>
    </row>
    <row r="1372" spans="1:26" x14ac:dyDescent="0.25">
      <c r="A1372" t="s">
        <v>1683</v>
      </c>
      <c r="B1372" t="s">
        <v>27</v>
      </c>
      <c r="C1372" t="s">
        <v>28</v>
      </c>
      <c r="H1372" s="2">
        <v>45806.524780092594</v>
      </c>
      <c r="I1372" t="s">
        <v>54</v>
      </c>
      <c r="Z1372">
        <v>100917</v>
      </c>
    </row>
    <row r="1373" spans="1:26" x14ac:dyDescent="0.25">
      <c r="A1373" t="s">
        <v>1684</v>
      </c>
      <c r="B1373" t="s">
        <v>27</v>
      </c>
      <c r="C1373" t="s">
        <v>28</v>
      </c>
      <c r="H1373" s="2">
        <v>45806.407951388886</v>
      </c>
      <c r="I1373" t="s">
        <v>54</v>
      </c>
      <c r="Z1373">
        <v>100910</v>
      </c>
    </row>
    <row r="1374" spans="1:26" x14ac:dyDescent="0.25">
      <c r="A1374" t="s">
        <v>1685</v>
      </c>
      <c r="B1374" t="s">
        <v>27</v>
      </c>
      <c r="C1374" t="s">
        <v>28</v>
      </c>
      <c r="H1374" s="2">
        <v>45805.645578703705</v>
      </c>
      <c r="I1374" t="s">
        <v>54</v>
      </c>
      <c r="Z1374">
        <v>100885</v>
      </c>
    </row>
    <row r="1375" spans="1:26" x14ac:dyDescent="0.25">
      <c r="A1375" t="s">
        <v>1686</v>
      </c>
      <c r="B1375" t="s">
        <v>27</v>
      </c>
      <c r="C1375" t="s">
        <v>28</v>
      </c>
      <c r="H1375" s="2">
        <v>45805.564016203702</v>
      </c>
      <c r="I1375" t="s">
        <v>54</v>
      </c>
      <c r="Z1375">
        <v>100880</v>
      </c>
    </row>
    <row r="1376" spans="1:26" x14ac:dyDescent="0.25">
      <c r="A1376" t="s">
        <v>1687</v>
      </c>
      <c r="B1376" t="s">
        <v>74</v>
      </c>
      <c r="C1376" t="s">
        <v>28</v>
      </c>
      <c r="E1376" t="s">
        <v>427</v>
      </c>
      <c r="G1376" t="s">
        <v>1688</v>
      </c>
      <c r="H1376" s="2">
        <v>45804.846759259257</v>
      </c>
      <c r="I1376" t="s">
        <v>54</v>
      </c>
      <c r="Z1376">
        <v>100858</v>
      </c>
    </row>
    <row r="1377" spans="1:26" x14ac:dyDescent="0.25">
      <c r="A1377" t="s">
        <v>1689</v>
      </c>
      <c r="B1377" t="s">
        <v>27</v>
      </c>
      <c r="C1377" t="s">
        <v>28</v>
      </c>
      <c r="H1377" s="2">
        <v>45804.525706018518</v>
      </c>
      <c r="I1377" t="s">
        <v>556</v>
      </c>
      <c r="Z1377">
        <v>100845</v>
      </c>
    </row>
    <row r="1378" spans="1:26" x14ac:dyDescent="0.25">
      <c r="A1378" t="s">
        <v>1690</v>
      </c>
      <c r="B1378" t="s">
        <v>27</v>
      </c>
      <c r="C1378" t="s">
        <v>28</v>
      </c>
      <c r="H1378" s="2">
        <v>45804.499861111108</v>
      </c>
      <c r="I1378" t="s">
        <v>556</v>
      </c>
      <c r="Z1378">
        <v>100841</v>
      </c>
    </row>
    <row r="1379" spans="1:26" x14ac:dyDescent="0.25">
      <c r="A1379" t="s">
        <v>1691</v>
      </c>
      <c r="B1379" t="s">
        <v>27</v>
      </c>
      <c r="C1379" t="s">
        <v>28</v>
      </c>
      <c r="H1379" s="2">
        <v>45804.375555555554</v>
      </c>
      <c r="I1379" t="s">
        <v>1488</v>
      </c>
      <c r="Z1379">
        <v>100827</v>
      </c>
    </row>
    <row r="1380" spans="1:26" x14ac:dyDescent="0.25">
      <c r="A1380" t="s">
        <v>1692</v>
      </c>
      <c r="B1380" t="s">
        <v>27</v>
      </c>
      <c r="C1380" t="s">
        <v>28</v>
      </c>
      <c r="H1380" s="2">
        <v>45803.834293981483</v>
      </c>
      <c r="I1380" t="s">
        <v>556</v>
      </c>
      <c r="Z1380">
        <v>100822</v>
      </c>
    </row>
    <row r="1381" spans="1:26" x14ac:dyDescent="0.25">
      <c r="A1381" t="s">
        <v>570</v>
      </c>
      <c r="C1381" t="s">
        <v>28</v>
      </c>
      <c r="E1381" t="s">
        <v>1693</v>
      </c>
      <c r="H1381" s="2">
        <v>45803.462858796294</v>
      </c>
      <c r="I1381" t="s">
        <v>556</v>
      </c>
      <c r="Z1381">
        <v>100780</v>
      </c>
    </row>
    <row r="1382" spans="1:26" x14ac:dyDescent="0.25">
      <c r="A1382" t="s">
        <v>663</v>
      </c>
      <c r="C1382" t="s">
        <v>28</v>
      </c>
      <c r="E1382" t="s">
        <v>1693</v>
      </c>
      <c r="H1382" s="2">
        <v>45802.942499999997</v>
      </c>
      <c r="I1382" t="s">
        <v>556</v>
      </c>
      <c r="Z1382">
        <v>100768</v>
      </c>
    </row>
    <row r="1383" spans="1:26" x14ac:dyDescent="0.25">
      <c r="A1383" t="s">
        <v>1694</v>
      </c>
      <c r="B1383" t="s">
        <v>27</v>
      </c>
      <c r="C1383" t="s">
        <v>28</v>
      </c>
      <c r="H1383" s="2">
        <v>45801.827951388892</v>
      </c>
      <c r="I1383" t="s">
        <v>31</v>
      </c>
      <c r="Z1383">
        <v>100740</v>
      </c>
    </row>
    <row r="1384" spans="1:26" x14ac:dyDescent="0.25">
      <c r="A1384" t="s">
        <v>1695</v>
      </c>
      <c r="B1384" t="s">
        <v>27</v>
      </c>
      <c r="C1384" t="s">
        <v>28</v>
      </c>
      <c r="H1384" s="2">
        <v>45801.727488425924</v>
      </c>
      <c r="I1384" t="s">
        <v>31</v>
      </c>
      <c r="Z1384">
        <v>100736</v>
      </c>
    </row>
    <row r="1385" spans="1:26" x14ac:dyDescent="0.25">
      <c r="A1385" t="s">
        <v>194</v>
      </c>
      <c r="B1385" t="s">
        <v>27</v>
      </c>
      <c r="C1385" t="s">
        <v>28</v>
      </c>
      <c r="H1385" s="2">
        <v>45801.495798611111</v>
      </c>
      <c r="I1385" t="s">
        <v>31</v>
      </c>
      <c r="Z1385">
        <v>100717</v>
      </c>
    </row>
    <row r="1386" spans="1:26" x14ac:dyDescent="0.25">
      <c r="A1386" t="s">
        <v>1696</v>
      </c>
      <c r="B1386" t="s">
        <v>27</v>
      </c>
      <c r="C1386" t="s">
        <v>28</v>
      </c>
      <c r="H1386" s="2">
        <v>45800.657337962963</v>
      </c>
      <c r="I1386" t="s">
        <v>54</v>
      </c>
      <c r="Z1386">
        <v>100695</v>
      </c>
    </row>
    <row r="1387" spans="1:26" x14ac:dyDescent="0.25">
      <c r="A1387" t="s">
        <v>1697</v>
      </c>
      <c r="B1387" t="s">
        <v>27</v>
      </c>
      <c r="C1387" t="s">
        <v>28</v>
      </c>
      <c r="H1387" s="2">
        <v>45800.527129629627</v>
      </c>
      <c r="I1387" t="s">
        <v>1488</v>
      </c>
      <c r="Z1387">
        <v>100683</v>
      </c>
    </row>
    <row r="1388" spans="1:26" x14ac:dyDescent="0.25">
      <c r="A1388" t="s">
        <v>1698</v>
      </c>
      <c r="B1388" t="s">
        <v>27</v>
      </c>
      <c r="C1388" t="s">
        <v>28</v>
      </c>
      <c r="H1388" s="2">
        <v>45799.475763888891</v>
      </c>
      <c r="I1388" t="s">
        <v>54</v>
      </c>
      <c r="Z1388">
        <v>100631</v>
      </c>
    </row>
    <row r="1389" spans="1:26" x14ac:dyDescent="0.25">
      <c r="A1389" t="s">
        <v>1699</v>
      </c>
      <c r="B1389" t="s">
        <v>27</v>
      </c>
      <c r="C1389" t="s">
        <v>28</v>
      </c>
      <c r="H1389" s="2">
        <v>45799.452499999999</v>
      </c>
      <c r="I1389" t="s">
        <v>54</v>
      </c>
      <c r="Z1389">
        <v>100627</v>
      </c>
    </row>
    <row r="1390" spans="1:26" x14ac:dyDescent="0.25">
      <c r="A1390" t="s">
        <v>1700</v>
      </c>
      <c r="B1390" t="s">
        <v>27</v>
      </c>
      <c r="C1390" t="s">
        <v>28</v>
      </c>
      <c r="H1390" s="2">
        <v>45799.39230324074</v>
      </c>
      <c r="I1390" t="s">
        <v>54</v>
      </c>
      <c r="Z1390">
        <v>100620</v>
      </c>
    </row>
    <row r="1391" spans="1:26" x14ac:dyDescent="0.25">
      <c r="A1391" t="s">
        <v>1701</v>
      </c>
      <c r="B1391" t="s">
        <v>27</v>
      </c>
      <c r="C1391" t="s">
        <v>28</v>
      </c>
      <c r="H1391" s="2">
        <v>45798.787280092591</v>
      </c>
      <c r="I1391" t="s">
        <v>1488</v>
      </c>
      <c r="Z1391">
        <v>100615</v>
      </c>
    </row>
    <row r="1392" spans="1:26" x14ac:dyDescent="0.25">
      <c r="A1392" t="s">
        <v>1702</v>
      </c>
      <c r="B1392" t="s">
        <v>27</v>
      </c>
      <c r="C1392" t="s">
        <v>28</v>
      </c>
      <c r="H1392" s="2">
        <v>45798.692673611113</v>
      </c>
      <c r="I1392" t="s">
        <v>1488</v>
      </c>
      <c r="Z1392">
        <v>100609</v>
      </c>
    </row>
    <row r="1393" spans="1:26" x14ac:dyDescent="0.25">
      <c r="A1393" t="s">
        <v>1703</v>
      </c>
      <c r="B1393" t="s">
        <v>1403</v>
      </c>
      <c r="C1393" t="s">
        <v>28</v>
      </c>
      <c r="E1393" t="s">
        <v>1704</v>
      </c>
      <c r="H1393" s="2">
        <v>45798.65797453704</v>
      </c>
      <c r="I1393" t="s">
        <v>1488</v>
      </c>
      <c r="Z1393">
        <v>100608</v>
      </c>
    </row>
    <row r="1394" spans="1:26" x14ac:dyDescent="0.25">
      <c r="A1394" t="s">
        <v>1705</v>
      </c>
      <c r="B1394" t="s">
        <v>27</v>
      </c>
      <c r="C1394" t="s">
        <v>28</v>
      </c>
      <c r="H1394" s="2">
        <v>45797.851979166669</v>
      </c>
      <c r="I1394" t="s">
        <v>556</v>
      </c>
      <c r="Z1394">
        <v>100586</v>
      </c>
    </row>
    <row r="1395" spans="1:26" x14ac:dyDescent="0.25">
      <c r="A1395" t="s">
        <v>1706</v>
      </c>
      <c r="B1395" t="s">
        <v>27</v>
      </c>
      <c r="C1395" t="s">
        <v>28</v>
      </c>
      <c r="E1395" t="s">
        <v>1267</v>
      </c>
      <c r="H1395" s="2">
        <v>45797.75267361111</v>
      </c>
      <c r="I1395" t="s">
        <v>31</v>
      </c>
      <c r="Z1395">
        <v>100578</v>
      </c>
    </row>
    <row r="1396" spans="1:26" x14ac:dyDescent="0.25">
      <c r="A1396" t="s">
        <v>1707</v>
      </c>
      <c r="B1396" t="s">
        <v>1708</v>
      </c>
      <c r="C1396" t="s">
        <v>28</v>
      </c>
      <c r="E1396" t="s">
        <v>1709</v>
      </c>
      <c r="H1396" s="2">
        <v>45797.689814814818</v>
      </c>
      <c r="I1396" t="s">
        <v>31</v>
      </c>
      <c r="Z1396">
        <v>100575</v>
      </c>
    </row>
    <row r="1397" spans="1:26" x14ac:dyDescent="0.25">
      <c r="A1397" t="s">
        <v>1710</v>
      </c>
      <c r="B1397" t="s">
        <v>27</v>
      </c>
      <c r="C1397" t="s">
        <v>28</v>
      </c>
      <c r="H1397" s="2">
        <v>45797.687430555554</v>
      </c>
      <c r="I1397" t="s">
        <v>31</v>
      </c>
      <c r="Z1397">
        <v>100574</v>
      </c>
    </row>
    <row r="1398" spans="1:26" x14ac:dyDescent="0.25">
      <c r="A1398" t="s">
        <v>1711</v>
      </c>
      <c r="B1398" t="s">
        <v>27</v>
      </c>
      <c r="C1398" t="s">
        <v>28</v>
      </c>
      <c r="H1398" s="2">
        <v>45797.596215277779</v>
      </c>
      <c r="I1398" t="s">
        <v>31</v>
      </c>
      <c r="Z1398">
        <v>100565</v>
      </c>
    </row>
    <row r="1399" spans="1:26" x14ac:dyDescent="0.25">
      <c r="A1399" t="s">
        <v>1712</v>
      </c>
      <c r="B1399" t="s">
        <v>27</v>
      </c>
      <c r="C1399" t="s">
        <v>28</v>
      </c>
      <c r="H1399" s="2">
        <v>45796.576863425929</v>
      </c>
      <c r="I1399" t="s">
        <v>556</v>
      </c>
      <c r="Z1399">
        <v>100530</v>
      </c>
    </row>
    <row r="1400" spans="1:26" x14ac:dyDescent="0.25">
      <c r="A1400" t="s">
        <v>1713</v>
      </c>
      <c r="B1400" t="s">
        <v>27</v>
      </c>
      <c r="C1400" t="s">
        <v>28</v>
      </c>
      <c r="H1400" s="2">
        <v>45796.546307870369</v>
      </c>
      <c r="I1400" t="s">
        <v>31</v>
      </c>
      <c r="Z1400">
        <v>100525</v>
      </c>
    </row>
    <row r="1401" spans="1:26" x14ac:dyDescent="0.25">
      <c r="A1401" t="s">
        <v>1714</v>
      </c>
      <c r="B1401" t="s">
        <v>27</v>
      </c>
      <c r="C1401" t="s">
        <v>28</v>
      </c>
      <c r="H1401" s="2">
        <v>45796.429606481484</v>
      </c>
      <c r="I1401" t="s">
        <v>556</v>
      </c>
      <c r="Z1401">
        <v>100520</v>
      </c>
    </row>
    <row r="1402" spans="1:26" x14ac:dyDescent="0.25">
      <c r="A1402" t="s">
        <v>1715</v>
      </c>
      <c r="B1402" t="s">
        <v>27</v>
      </c>
      <c r="C1402" t="s">
        <v>28</v>
      </c>
      <c r="H1402" s="2">
        <v>45796.393969907411</v>
      </c>
      <c r="I1402" t="s">
        <v>31</v>
      </c>
      <c r="Z1402">
        <v>100514</v>
      </c>
    </row>
    <row r="1403" spans="1:26" x14ac:dyDescent="0.25">
      <c r="A1403" t="s">
        <v>1716</v>
      </c>
      <c r="B1403" t="s">
        <v>27</v>
      </c>
      <c r="C1403" t="s">
        <v>28</v>
      </c>
      <c r="H1403" s="2">
        <v>45795.728078703702</v>
      </c>
      <c r="I1403" t="s">
        <v>31</v>
      </c>
      <c r="Z1403">
        <v>100497</v>
      </c>
    </row>
    <row r="1404" spans="1:26" x14ac:dyDescent="0.25">
      <c r="A1404" t="s">
        <v>1717</v>
      </c>
      <c r="B1404" t="s">
        <v>27</v>
      </c>
      <c r="C1404" t="s">
        <v>28</v>
      </c>
      <c r="H1404" s="2">
        <v>45795.689143518517</v>
      </c>
      <c r="I1404" t="s">
        <v>31</v>
      </c>
      <c r="Z1404">
        <v>100495</v>
      </c>
    </row>
    <row r="1405" spans="1:26" x14ac:dyDescent="0.25">
      <c r="A1405" t="s">
        <v>1718</v>
      </c>
      <c r="B1405" t="s">
        <v>27</v>
      </c>
      <c r="C1405" t="s">
        <v>28</v>
      </c>
      <c r="H1405" s="2">
        <v>45795.599432870367</v>
      </c>
      <c r="I1405" t="s">
        <v>54</v>
      </c>
      <c r="Z1405">
        <v>100487</v>
      </c>
    </row>
    <row r="1406" spans="1:26" x14ac:dyDescent="0.25">
      <c r="A1406" t="s">
        <v>1719</v>
      </c>
      <c r="B1406" t="s">
        <v>27</v>
      </c>
      <c r="C1406" t="s">
        <v>28</v>
      </c>
      <c r="H1406" s="2">
        <v>45795.519409722219</v>
      </c>
      <c r="I1406" t="s">
        <v>31</v>
      </c>
      <c r="Z1406">
        <v>100484</v>
      </c>
    </row>
    <row r="1407" spans="1:26" x14ac:dyDescent="0.25">
      <c r="A1407" t="s">
        <v>1720</v>
      </c>
      <c r="B1407" t="s">
        <v>1708</v>
      </c>
      <c r="C1407" t="s">
        <v>28</v>
      </c>
      <c r="E1407" t="s">
        <v>304</v>
      </c>
      <c r="H1407" s="2">
        <v>45794.721354166664</v>
      </c>
      <c r="I1407" t="s">
        <v>54</v>
      </c>
      <c r="Z1407">
        <v>100476</v>
      </c>
    </row>
    <row r="1408" spans="1:26" x14ac:dyDescent="0.25">
      <c r="A1408" t="s">
        <v>1721</v>
      </c>
      <c r="B1408" t="s">
        <v>27</v>
      </c>
      <c r="C1408" t="s">
        <v>28</v>
      </c>
      <c r="H1408" s="2">
        <v>45793.795439814814</v>
      </c>
      <c r="I1408" t="s">
        <v>54</v>
      </c>
      <c r="Z1408">
        <v>100448</v>
      </c>
    </row>
    <row r="1409" spans="1:26" x14ac:dyDescent="0.25">
      <c r="A1409" t="s">
        <v>1722</v>
      </c>
      <c r="B1409" t="s">
        <v>27</v>
      </c>
      <c r="C1409" t="s">
        <v>28</v>
      </c>
      <c r="H1409" s="2">
        <v>45793.767638888887</v>
      </c>
      <c r="I1409" t="s">
        <v>54</v>
      </c>
      <c r="Z1409">
        <v>100446</v>
      </c>
    </row>
    <row r="1410" spans="1:26" x14ac:dyDescent="0.25">
      <c r="A1410" t="s">
        <v>1723</v>
      </c>
      <c r="B1410" t="s">
        <v>27</v>
      </c>
      <c r="C1410" t="s">
        <v>28</v>
      </c>
      <c r="H1410" s="2">
        <v>45793.560185185182</v>
      </c>
      <c r="I1410" t="s">
        <v>54</v>
      </c>
      <c r="Z1410">
        <v>100429</v>
      </c>
    </row>
    <row r="1411" spans="1:26" x14ac:dyDescent="0.25">
      <c r="A1411" t="s">
        <v>1724</v>
      </c>
      <c r="B1411" t="s">
        <v>27</v>
      </c>
      <c r="C1411" t="s">
        <v>28</v>
      </c>
      <c r="H1411" s="2">
        <v>45793.536712962959</v>
      </c>
      <c r="I1411" t="s">
        <v>1488</v>
      </c>
      <c r="Z1411">
        <v>100426</v>
      </c>
    </row>
    <row r="1412" spans="1:26" x14ac:dyDescent="0.25">
      <c r="A1412" t="s">
        <v>1725</v>
      </c>
      <c r="B1412" t="s">
        <v>27</v>
      </c>
      <c r="C1412" t="s">
        <v>28</v>
      </c>
      <c r="H1412" s="2">
        <v>45792.819675925923</v>
      </c>
      <c r="I1412" t="s">
        <v>1488</v>
      </c>
      <c r="Z1412">
        <v>100414</v>
      </c>
    </row>
    <row r="1413" spans="1:26" x14ac:dyDescent="0.25">
      <c r="A1413" t="s">
        <v>1726</v>
      </c>
      <c r="B1413" t="s">
        <v>74</v>
      </c>
      <c r="C1413" t="s">
        <v>28</v>
      </c>
      <c r="E1413" t="s">
        <v>61</v>
      </c>
      <c r="G1413" t="s">
        <v>1727</v>
      </c>
      <c r="H1413" s="2">
        <v>45792.576840277776</v>
      </c>
      <c r="I1413" t="s">
        <v>1488</v>
      </c>
      <c r="Z1413">
        <v>100396</v>
      </c>
    </row>
    <row r="1414" spans="1:26" x14ac:dyDescent="0.25">
      <c r="A1414" t="s">
        <v>33</v>
      </c>
      <c r="B1414" t="s">
        <v>27</v>
      </c>
      <c r="C1414" t="s">
        <v>28</v>
      </c>
      <c r="H1414" s="2">
        <v>45790.743333333332</v>
      </c>
      <c r="I1414" t="s">
        <v>31</v>
      </c>
      <c r="Z1414">
        <v>100341</v>
      </c>
    </row>
    <row r="1415" spans="1:26" x14ac:dyDescent="0.25">
      <c r="A1415" t="s">
        <v>1496</v>
      </c>
      <c r="B1415" t="s">
        <v>1708</v>
      </c>
      <c r="C1415" t="s">
        <v>28</v>
      </c>
      <c r="E1415" t="s">
        <v>260</v>
      </c>
      <c r="H1415" s="2">
        <v>45789.797650462962</v>
      </c>
      <c r="I1415" t="s">
        <v>1488</v>
      </c>
      <c r="Z1415">
        <v>100307</v>
      </c>
    </row>
    <row r="1416" spans="1:26" x14ac:dyDescent="0.25">
      <c r="A1416" t="s">
        <v>1496</v>
      </c>
      <c r="B1416" t="s">
        <v>1403</v>
      </c>
      <c r="C1416" t="s">
        <v>28</v>
      </c>
      <c r="E1416" t="s">
        <v>260</v>
      </c>
      <c r="H1416" s="2">
        <v>45789.793923611112</v>
      </c>
      <c r="I1416" t="s">
        <v>1488</v>
      </c>
      <c r="Z1416">
        <v>100306</v>
      </c>
    </row>
    <row r="1417" spans="1:26" x14ac:dyDescent="0.25">
      <c r="A1417" t="s">
        <v>1728</v>
      </c>
      <c r="B1417" t="s">
        <v>27</v>
      </c>
      <c r="C1417" t="s">
        <v>28</v>
      </c>
      <c r="H1417" s="2">
        <v>45789.54891203704</v>
      </c>
      <c r="I1417" t="s">
        <v>31</v>
      </c>
      <c r="Z1417">
        <v>100277</v>
      </c>
    </row>
    <row r="1418" spans="1:26" x14ac:dyDescent="0.25">
      <c r="A1418" t="s">
        <v>33</v>
      </c>
      <c r="B1418" t="s">
        <v>27</v>
      </c>
      <c r="C1418" t="s">
        <v>28</v>
      </c>
      <c r="H1418" s="2">
        <v>45789.531875000001</v>
      </c>
      <c r="I1418" t="s">
        <v>31</v>
      </c>
      <c r="Z1418">
        <v>100276</v>
      </c>
    </row>
    <row r="1419" spans="1:26" x14ac:dyDescent="0.25">
      <c r="A1419" t="s">
        <v>1729</v>
      </c>
      <c r="B1419" t="s">
        <v>27</v>
      </c>
      <c r="C1419" t="s">
        <v>28</v>
      </c>
      <c r="H1419" s="2">
        <v>45789.45721064815</v>
      </c>
      <c r="I1419" t="s">
        <v>1488</v>
      </c>
      <c r="Z1419">
        <v>100270</v>
      </c>
    </row>
    <row r="1420" spans="1:26" x14ac:dyDescent="0.25">
      <c r="A1420" t="s">
        <v>1730</v>
      </c>
      <c r="B1420" t="s">
        <v>27</v>
      </c>
      <c r="C1420" t="s">
        <v>28</v>
      </c>
      <c r="H1420" s="2">
        <v>45789.456631944442</v>
      </c>
      <c r="I1420" t="s">
        <v>31</v>
      </c>
      <c r="Z1420">
        <v>100269</v>
      </c>
    </row>
    <row r="1421" spans="1:26" x14ac:dyDescent="0.25">
      <c r="A1421" t="s">
        <v>1672</v>
      </c>
      <c r="B1421" t="s">
        <v>27</v>
      </c>
      <c r="C1421" t="s">
        <v>28</v>
      </c>
      <c r="H1421" s="2">
        <v>45789.417905092596</v>
      </c>
      <c r="I1421" t="s">
        <v>1488</v>
      </c>
      <c r="Z1421">
        <v>100263</v>
      </c>
    </row>
    <row r="1422" spans="1:26" x14ac:dyDescent="0.25">
      <c r="A1422" t="s">
        <v>1731</v>
      </c>
      <c r="B1422" t="s">
        <v>27</v>
      </c>
      <c r="C1422" t="s">
        <v>28</v>
      </c>
      <c r="H1422" s="2">
        <v>45788.863368055558</v>
      </c>
      <c r="I1422" t="s">
        <v>1488</v>
      </c>
      <c r="Z1422">
        <v>100259</v>
      </c>
    </row>
    <row r="1423" spans="1:26" x14ac:dyDescent="0.25">
      <c r="A1423" t="s">
        <v>33</v>
      </c>
      <c r="B1423" t="s">
        <v>1708</v>
      </c>
      <c r="C1423" t="s">
        <v>28</v>
      </c>
      <c r="E1423" t="s">
        <v>1732</v>
      </c>
      <c r="H1423" s="2">
        <v>45788.804560185185</v>
      </c>
      <c r="I1423" t="s">
        <v>31</v>
      </c>
      <c r="Z1423">
        <v>100258</v>
      </c>
    </row>
    <row r="1424" spans="1:26" x14ac:dyDescent="0.25">
      <c r="A1424" t="s">
        <v>1733</v>
      </c>
      <c r="B1424" t="s">
        <v>27</v>
      </c>
      <c r="C1424" t="s">
        <v>28</v>
      </c>
      <c r="H1424" s="2">
        <v>45788.376354166663</v>
      </c>
      <c r="I1424" t="s">
        <v>54</v>
      </c>
      <c r="Z1424">
        <v>100230</v>
      </c>
    </row>
    <row r="1425" spans="1:26" x14ac:dyDescent="0.25">
      <c r="A1425" t="s">
        <v>1734</v>
      </c>
      <c r="B1425" t="s">
        <v>27</v>
      </c>
      <c r="C1425" t="s">
        <v>28</v>
      </c>
      <c r="H1425" s="2">
        <v>45787.591365740744</v>
      </c>
      <c r="I1425" t="s">
        <v>54</v>
      </c>
      <c r="Z1425">
        <v>100215</v>
      </c>
    </row>
    <row r="1426" spans="1:26" x14ac:dyDescent="0.25">
      <c r="A1426" t="s">
        <v>1735</v>
      </c>
      <c r="B1426" t="s">
        <v>27</v>
      </c>
      <c r="C1426" t="s">
        <v>28</v>
      </c>
      <c r="H1426" s="2">
        <v>45784.746087962965</v>
      </c>
      <c r="I1426" t="s">
        <v>556</v>
      </c>
      <c r="Z1426">
        <v>100154</v>
      </c>
    </row>
    <row r="1427" spans="1:26" x14ac:dyDescent="0.25">
      <c r="A1427" t="s">
        <v>1736</v>
      </c>
      <c r="B1427" t="s">
        <v>27</v>
      </c>
      <c r="C1427" t="s">
        <v>28</v>
      </c>
      <c r="H1427" s="2">
        <v>45784.602939814817</v>
      </c>
      <c r="I1427" t="s">
        <v>31</v>
      </c>
      <c r="Z1427">
        <v>100143</v>
      </c>
    </row>
    <row r="1428" spans="1:26" x14ac:dyDescent="0.25">
      <c r="A1428" t="s">
        <v>207</v>
      </c>
      <c r="B1428" t="s">
        <v>27</v>
      </c>
      <c r="C1428" t="s">
        <v>28</v>
      </c>
      <c r="H1428" s="2">
        <v>45784.490474537037</v>
      </c>
      <c r="I1428" t="s">
        <v>31</v>
      </c>
      <c r="Z1428">
        <v>100135</v>
      </c>
    </row>
    <row r="1429" spans="1:26" x14ac:dyDescent="0.25">
      <c r="A1429" t="s">
        <v>1737</v>
      </c>
      <c r="B1429" t="s">
        <v>27</v>
      </c>
      <c r="C1429" t="s">
        <v>28</v>
      </c>
      <c r="E1429" t="s">
        <v>1284</v>
      </c>
      <c r="H1429" s="2">
        <v>45784.390694444446</v>
      </c>
      <c r="I1429" t="s">
        <v>31</v>
      </c>
      <c r="Z1429">
        <v>100126</v>
      </c>
    </row>
    <row r="1430" spans="1:26" x14ac:dyDescent="0.25">
      <c r="A1430" t="s">
        <v>1478</v>
      </c>
      <c r="B1430" t="s">
        <v>74</v>
      </c>
      <c r="C1430" t="s">
        <v>28</v>
      </c>
      <c r="E1430" t="s">
        <v>1616</v>
      </c>
      <c r="G1430" t="s">
        <v>1738</v>
      </c>
      <c r="H1430" s="2">
        <v>45783.659594907411</v>
      </c>
      <c r="I1430" t="s">
        <v>31</v>
      </c>
      <c r="Z1430">
        <v>100105</v>
      </c>
    </row>
    <row r="1431" spans="1:26" x14ac:dyDescent="0.25">
      <c r="A1431" t="s">
        <v>1739</v>
      </c>
      <c r="B1431" t="s">
        <v>27</v>
      </c>
      <c r="C1431" t="s">
        <v>28</v>
      </c>
      <c r="H1431" s="2">
        <v>45783.621342592596</v>
      </c>
      <c r="I1431" t="s">
        <v>31</v>
      </c>
      <c r="Z1431">
        <v>100104</v>
      </c>
    </row>
    <row r="1432" spans="1:26" x14ac:dyDescent="0.25">
      <c r="A1432" t="s">
        <v>207</v>
      </c>
      <c r="B1432" t="s">
        <v>1403</v>
      </c>
      <c r="C1432" t="s">
        <v>28</v>
      </c>
      <c r="E1432" t="s">
        <v>427</v>
      </c>
      <c r="H1432" s="2">
        <v>45782.752569444441</v>
      </c>
      <c r="I1432" t="s">
        <v>31</v>
      </c>
      <c r="Z1432">
        <v>100077</v>
      </c>
    </row>
    <row r="1433" spans="1:26" x14ac:dyDescent="0.25">
      <c r="A1433" t="s">
        <v>1740</v>
      </c>
      <c r="B1433" t="s">
        <v>1708</v>
      </c>
      <c r="C1433" t="s">
        <v>28</v>
      </c>
      <c r="E1433" t="s">
        <v>260</v>
      </c>
      <c r="H1433" s="2">
        <v>45782.698842592596</v>
      </c>
      <c r="I1433" t="s">
        <v>1488</v>
      </c>
      <c r="Z1433">
        <v>100069</v>
      </c>
    </row>
    <row r="1434" spans="1:26" x14ac:dyDescent="0.25">
      <c r="A1434" t="s">
        <v>1741</v>
      </c>
      <c r="B1434" t="s">
        <v>27</v>
      </c>
      <c r="C1434" t="s">
        <v>28</v>
      </c>
      <c r="H1434" s="2">
        <v>45782.692476851851</v>
      </c>
      <c r="I1434" t="s">
        <v>1488</v>
      </c>
      <c r="Z1434">
        <v>100067</v>
      </c>
    </row>
    <row r="1435" spans="1:26" x14ac:dyDescent="0.25">
      <c r="A1435" t="s">
        <v>1742</v>
      </c>
      <c r="B1435" t="s">
        <v>27</v>
      </c>
      <c r="C1435" t="s">
        <v>28</v>
      </c>
      <c r="H1435" s="2">
        <v>45782.656226851854</v>
      </c>
      <c r="I1435" t="s">
        <v>54</v>
      </c>
      <c r="Z1435">
        <v>100061</v>
      </c>
    </row>
    <row r="1436" spans="1:26" x14ac:dyDescent="0.25">
      <c r="A1436" t="s">
        <v>1743</v>
      </c>
      <c r="B1436" t="s">
        <v>27</v>
      </c>
      <c r="C1436" t="s">
        <v>28</v>
      </c>
      <c r="H1436" s="2">
        <v>45782.558321759258</v>
      </c>
      <c r="I1436" t="s">
        <v>1488</v>
      </c>
      <c r="Z1436">
        <v>100048</v>
      </c>
    </row>
    <row r="1437" spans="1:26" x14ac:dyDescent="0.25">
      <c r="A1437" t="s">
        <v>1744</v>
      </c>
      <c r="B1437" t="s">
        <v>27</v>
      </c>
      <c r="C1437" t="s">
        <v>28</v>
      </c>
      <c r="H1437" s="2">
        <v>45782.504340277781</v>
      </c>
      <c r="I1437" t="s">
        <v>54</v>
      </c>
      <c r="Z1437">
        <v>100042</v>
      </c>
    </row>
    <row r="1438" spans="1:26" x14ac:dyDescent="0.25">
      <c r="A1438" t="s">
        <v>1745</v>
      </c>
      <c r="B1438" t="s">
        <v>27</v>
      </c>
      <c r="C1438" t="s">
        <v>28</v>
      </c>
      <c r="H1438" s="2">
        <v>45782.469131944446</v>
      </c>
      <c r="I1438" t="s">
        <v>1488</v>
      </c>
      <c r="Z1438">
        <v>100033</v>
      </c>
    </row>
    <row r="1439" spans="1:26" x14ac:dyDescent="0.25">
      <c r="A1439" t="s">
        <v>1746</v>
      </c>
      <c r="B1439" t="s">
        <v>27</v>
      </c>
      <c r="C1439" t="s">
        <v>28</v>
      </c>
      <c r="H1439" s="2">
        <v>45782.44332175926</v>
      </c>
      <c r="I1439" t="s">
        <v>1488</v>
      </c>
      <c r="Z1439">
        <v>100029</v>
      </c>
    </row>
    <row r="1440" spans="1:26" x14ac:dyDescent="0.25">
      <c r="A1440" t="s">
        <v>1747</v>
      </c>
      <c r="B1440" t="s">
        <v>1403</v>
      </c>
      <c r="C1440" t="s">
        <v>28</v>
      </c>
      <c r="E1440" t="s">
        <v>1748</v>
      </c>
      <c r="H1440" s="2">
        <v>45782.410949074074</v>
      </c>
      <c r="I1440" t="s">
        <v>54</v>
      </c>
      <c r="Z1440">
        <v>100019</v>
      </c>
    </row>
    <row r="1441" spans="1:26" x14ac:dyDescent="0.25">
      <c r="A1441" t="s">
        <v>1749</v>
      </c>
      <c r="B1441" t="s">
        <v>1708</v>
      </c>
      <c r="C1441" t="s">
        <v>28</v>
      </c>
      <c r="E1441" t="s">
        <v>101</v>
      </c>
      <c r="H1441" s="2">
        <v>45782.402118055557</v>
      </c>
      <c r="I1441" t="s">
        <v>54</v>
      </c>
      <c r="Z1441">
        <v>100017</v>
      </c>
    </row>
    <row r="1442" spans="1:26" x14ac:dyDescent="0.25">
      <c r="A1442" t="s">
        <v>1750</v>
      </c>
      <c r="B1442" t="s">
        <v>1708</v>
      </c>
      <c r="C1442" t="s">
        <v>28</v>
      </c>
      <c r="E1442" t="s">
        <v>59</v>
      </c>
      <c r="H1442" s="2">
        <v>45781.322488425925</v>
      </c>
      <c r="I1442" t="s">
        <v>54</v>
      </c>
      <c r="Z1442">
        <v>99999</v>
      </c>
    </row>
    <row r="1443" spans="1:26" x14ac:dyDescent="0.25">
      <c r="A1443" t="s">
        <v>1751</v>
      </c>
      <c r="B1443" t="s">
        <v>27</v>
      </c>
      <c r="C1443" t="s">
        <v>28</v>
      </c>
      <c r="H1443" s="2">
        <v>45779.958865740744</v>
      </c>
      <c r="I1443" t="s">
        <v>556</v>
      </c>
      <c r="Z1443">
        <v>99970</v>
      </c>
    </row>
    <row r="1444" spans="1:26" x14ac:dyDescent="0.25">
      <c r="A1444" t="s">
        <v>194</v>
      </c>
      <c r="B1444" t="s">
        <v>27</v>
      </c>
      <c r="C1444" t="s">
        <v>28</v>
      </c>
      <c r="H1444" s="2">
        <v>45779.651805555557</v>
      </c>
      <c r="I1444" t="s">
        <v>31</v>
      </c>
      <c r="Z1444">
        <v>99957</v>
      </c>
    </row>
    <row r="1445" spans="1:26" x14ac:dyDescent="0.25">
      <c r="A1445" t="s">
        <v>1752</v>
      </c>
      <c r="B1445" t="s">
        <v>27</v>
      </c>
      <c r="C1445" t="s">
        <v>28</v>
      </c>
      <c r="H1445" s="2">
        <v>45779.576967592591</v>
      </c>
      <c r="I1445" t="s">
        <v>31</v>
      </c>
      <c r="Z1445">
        <v>99953</v>
      </c>
    </row>
    <row r="1446" spans="1:26" x14ac:dyDescent="0.25">
      <c r="A1446" t="s">
        <v>1753</v>
      </c>
      <c r="B1446" t="s">
        <v>1708</v>
      </c>
      <c r="C1446" t="s">
        <v>28</v>
      </c>
      <c r="E1446" t="s">
        <v>1754</v>
      </c>
      <c r="H1446" s="2">
        <v>45779.451874999999</v>
      </c>
      <c r="I1446" t="s">
        <v>31</v>
      </c>
      <c r="Z1446">
        <v>99946</v>
      </c>
    </row>
    <row r="1447" spans="1:26" x14ac:dyDescent="0.25">
      <c r="A1447" t="s">
        <v>1755</v>
      </c>
      <c r="B1447" t="s">
        <v>306</v>
      </c>
      <c r="C1447" t="s">
        <v>28</v>
      </c>
      <c r="E1447" t="s">
        <v>186</v>
      </c>
      <c r="H1447" s="2">
        <v>45778.712384259263</v>
      </c>
      <c r="I1447" t="s">
        <v>31</v>
      </c>
      <c r="K1447" t="s">
        <v>34</v>
      </c>
      <c r="L1447" t="s">
        <v>35</v>
      </c>
      <c r="M1447">
        <v>119789135</v>
      </c>
      <c r="N1447">
        <v>16990012919</v>
      </c>
      <c r="O1447" t="s">
        <v>1756</v>
      </c>
      <c r="Z1447">
        <v>99933</v>
      </c>
    </row>
    <row r="1448" spans="1:26" x14ac:dyDescent="0.25">
      <c r="A1448" t="s">
        <v>1757</v>
      </c>
      <c r="B1448" t="s">
        <v>27</v>
      </c>
      <c r="C1448" t="s">
        <v>28</v>
      </c>
      <c r="H1448" s="2">
        <v>45777.923402777778</v>
      </c>
      <c r="I1448" t="s">
        <v>54</v>
      </c>
      <c r="Z1448">
        <v>99909</v>
      </c>
    </row>
    <row r="1449" spans="1:26" x14ac:dyDescent="0.25">
      <c r="A1449" t="s">
        <v>1758</v>
      </c>
      <c r="B1449" t="s">
        <v>1708</v>
      </c>
      <c r="C1449" t="s">
        <v>28</v>
      </c>
      <c r="E1449" t="s">
        <v>1759</v>
      </c>
      <c r="H1449" s="2">
        <v>45777.559907407405</v>
      </c>
      <c r="I1449" t="s">
        <v>31</v>
      </c>
      <c r="Z1449">
        <v>99896</v>
      </c>
    </row>
    <row r="1450" spans="1:26" x14ac:dyDescent="0.25">
      <c r="A1450" t="s">
        <v>1758</v>
      </c>
      <c r="B1450" t="s">
        <v>1403</v>
      </c>
      <c r="C1450" t="s">
        <v>28</v>
      </c>
      <c r="E1450" t="s">
        <v>1759</v>
      </c>
      <c r="H1450" s="2">
        <v>45777.556192129632</v>
      </c>
      <c r="I1450" t="s">
        <v>1488</v>
      </c>
      <c r="Z1450">
        <v>99895</v>
      </c>
    </row>
    <row r="1451" spans="1:26" x14ac:dyDescent="0.25">
      <c r="A1451" t="s">
        <v>663</v>
      </c>
      <c r="C1451" t="s">
        <v>28</v>
      </c>
      <c r="E1451" t="s">
        <v>370</v>
      </c>
      <c r="H1451" s="2">
        <v>45777.408587962964</v>
      </c>
      <c r="I1451" t="s">
        <v>31</v>
      </c>
      <c r="Z1451">
        <v>99887</v>
      </c>
    </row>
    <row r="1452" spans="1:26" x14ac:dyDescent="0.25">
      <c r="A1452" t="s">
        <v>1760</v>
      </c>
      <c r="B1452" t="s">
        <v>27</v>
      </c>
      <c r="C1452" t="s">
        <v>28</v>
      </c>
      <c r="H1452" s="2">
        <v>45776.789710648147</v>
      </c>
      <c r="I1452" t="s">
        <v>54</v>
      </c>
      <c r="Z1452">
        <v>99882</v>
      </c>
    </row>
    <row r="1453" spans="1:26" x14ac:dyDescent="0.25">
      <c r="A1453" t="s">
        <v>1761</v>
      </c>
      <c r="B1453" t="s">
        <v>1708</v>
      </c>
      <c r="C1453" t="s">
        <v>28</v>
      </c>
      <c r="E1453" t="s">
        <v>598</v>
      </c>
      <c r="H1453" s="2">
        <v>45775.857314814813</v>
      </c>
      <c r="I1453" t="s">
        <v>54</v>
      </c>
      <c r="Z1453">
        <v>99850</v>
      </c>
    </row>
    <row r="1454" spans="1:26" x14ac:dyDescent="0.25">
      <c r="A1454" t="s">
        <v>1762</v>
      </c>
      <c r="B1454" t="s">
        <v>27</v>
      </c>
      <c r="C1454" t="s">
        <v>28</v>
      </c>
      <c r="H1454" s="2">
        <v>45774.811909722222</v>
      </c>
      <c r="I1454" t="s">
        <v>1488</v>
      </c>
      <c r="Z1454">
        <v>99813</v>
      </c>
    </row>
    <row r="1455" spans="1:26" x14ac:dyDescent="0.25">
      <c r="A1455" t="s">
        <v>1763</v>
      </c>
      <c r="B1455" t="s">
        <v>27</v>
      </c>
      <c r="C1455" t="s">
        <v>28</v>
      </c>
      <c r="H1455" s="2">
        <v>45774.786770833336</v>
      </c>
      <c r="I1455" t="s">
        <v>556</v>
      </c>
      <c r="Z1455">
        <v>99811</v>
      </c>
    </row>
    <row r="1456" spans="1:26" x14ac:dyDescent="0.25">
      <c r="A1456" t="s">
        <v>33</v>
      </c>
      <c r="B1456" t="s">
        <v>27</v>
      </c>
      <c r="C1456" t="s">
        <v>28</v>
      </c>
      <c r="E1456" t="s">
        <v>194</v>
      </c>
      <c r="H1456" s="2">
        <v>45773.696122685185</v>
      </c>
      <c r="I1456" t="s">
        <v>31</v>
      </c>
      <c r="Z1456">
        <v>99789</v>
      </c>
    </row>
    <row r="1457" spans="1:26" x14ac:dyDescent="0.25">
      <c r="A1457" t="s">
        <v>1764</v>
      </c>
      <c r="B1457" t="s">
        <v>27</v>
      </c>
      <c r="C1457" t="s">
        <v>28</v>
      </c>
      <c r="H1457" s="2">
        <v>45773.624560185184</v>
      </c>
      <c r="I1457" t="s">
        <v>31</v>
      </c>
      <c r="Z1457">
        <v>99785</v>
      </c>
    </row>
    <row r="1458" spans="1:26" x14ac:dyDescent="0.25">
      <c r="A1458" t="s">
        <v>1765</v>
      </c>
      <c r="B1458" t="s">
        <v>27</v>
      </c>
      <c r="C1458" t="s">
        <v>28</v>
      </c>
      <c r="H1458" s="2">
        <v>45773.622002314813</v>
      </c>
      <c r="I1458" t="s">
        <v>31</v>
      </c>
      <c r="Z1458">
        <v>99784</v>
      </c>
    </row>
    <row r="1459" spans="1:26" x14ac:dyDescent="0.25">
      <c r="A1459" t="s">
        <v>1766</v>
      </c>
      <c r="B1459" t="s">
        <v>27</v>
      </c>
      <c r="C1459" t="s">
        <v>28</v>
      </c>
      <c r="H1459" s="2">
        <v>45772.846620370372</v>
      </c>
      <c r="I1459" t="s">
        <v>31</v>
      </c>
      <c r="Z1459">
        <v>99768</v>
      </c>
    </row>
    <row r="1460" spans="1:26" x14ac:dyDescent="0.25">
      <c r="A1460" t="s">
        <v>1767</v>
      </c>
      <c r="C1460" t="s">
        <v>75</v>
      </c>
      <c r="E1460" t="s">
        <v>1767</v>
      </c>
      <c r="H1460" s="2">
        <v>45772.680150462962</v>
      </c>
      <c r="I1460" t="s">
        <v>31</v>
      </c>
      <c r="Z1460">
        <v>99754</v>
      </c>
    </row>
    <row r="1461" spans="1:26" x14ac:dyDescent="0.25">
      <c r="A1461" t="s">
        <v>1768</v>
      </c>
      <c r="B1461" t="s">
        <v>27</v>
      </c>
      <c r="C1461" t="s">
        <v>28</v>
      </c>
      <c r="H1461" s="2">
        <v>45772.522604166668</v>
      </c>
      <c r="I1461" t="s">
        <v>556</v>
      </c>
      <c r="Z1461">
        <v>99746</v>
      </c>
    </row>
    <row r="1462" spans="1:26" x14ac:dyDescent="0.25">
      <c r="A1462" t="s">
        <v>1769</v>
      </c>
      <c r="B1462" t="s">
        <v>1708</v>
      </c>
      <c r="C1462" t="s">
        <v>28</v>
      </c>
      <c r="E1462" t="s">
        <v>278</v>
      </c>
      <c r="G1462" t="s">
        <v>1770</v>
      </c>
      <c r="H1462" s="2">
        <v>45772.504363425927</v>
      </c>
      <c r="I1462" t="s">
        <v>556</v>
      </c>
      <c r="Z1462">
        <v>99745</v>
      </c>
    </row>
    <row r="1463" spans="1:26" x14ac:dyDescent="0.25">
      <c r="A1463" t="s">
        <v>1771</v>
      </c>
      <c r="B1463" t="s">
        <v>74</v>
      </c>
      <c r="C1463" t="s">
        <v>28</v>
      </c>
      <c r="E1463" t="s">
        <v>1772</v>
      </c>
      <c r="G1463" t="s">
        <v>1773</v>
      </c>
      <c r="H1463" s="2">
        <v>45772.33861111111</v>
      </c>
      <c r="I1463" t="s">
        <v>31</v>
      </c>
      <c r="Z1463">
        <v>99735</v>
      </c>
    </row>
    <row r="1464" spans="1:26" x14ac:dyDescent="0.25">
      <c r="A1464" t="s">
        <v>1692</v>
      </c>
      <c r="B1464" t="s">
        <v>27</v>
      </c>
      <c r="C1464" t="s">
        <v>28</v>
      </c>
      <c r="H1464" s="2">
        <v>45770.908541666664</v>
      </c>
      <c r="I1464" t="s">
        <v>1488</v>
      </c>
      <c r="Z1464">
        <v>99702</v>
      </c>
    </row>
    <row r="1465" spans="1:26" x14ac:dyDescent="0.25">
      <c r="A1465" t="s">
        <v>1774</v>
      </c>
      <c r="B1465" t="s">
        <v>27</v>
      </c>
      <c r="C1465" t="s">
        <v>75</v>
      </c>
      <c r="H1465" s="2">
        <v>45770.609664351854</v>
      </c>
      <c r="I1465" t="s">
        <v>1068</v>
      </c>
      <c r="Z1465">
        <v>99686</v>
      </c>
    </row>
    <row r="1466" spans="1:26" x14ac:dyDescent="0.25">
      <c r="A1466" t="s">
        <v>1775</v>
      </c>
      <c r="B1466" t="s">
        <v>27</v>
      </c>
      <c r="C1466" t="s">
        <v>28</v>
      </c>
      <c r="H1466" s="2">
        <v>45770.602453703701</v>
      </c>
      <c r="I1466" t="s">
        <v>54</v>
      </c>
      <c r="Z1466">
        <v>99685</v>
      </c>
    </row>
    <row r="1467" spans="1:26" x14ac:dyDescent="0.25">
      <c r="A1467" t="s">
        <v>1776</v>
      </c>
      <c r="B1467" t="s">
        <v>27</v>
      </c>
      <c r="C1467" t="s">
        <v>28</v>
      </c>
      <c r="H1467" s="2">
        <v>45770.562037037038</v>
      </c>
      <c r="I1467" t="s">
        <v>54</v>
      </c>
      <c r="Z1467">
        <v>99680</v>
      </c>
    </row>
    <row r="1468" spans="1:26" x14ac:dyDescent="0.25">
      <c r="A1468" t="s">
        <v>1777</v>
      </c>
      <c r="B1468" t="s">
        <v>27</v>
      </c>
      <c r="C1468" t="s">
        <v>28</v>
      </c>
      <c r="E1468" t="s">
        <v>763</v>
      </c>
      <c r="G1468" t="s">
        <v>1778</v>
      </c>
      <c r="H1468" s="2">
        <v>45770.547268518516</v>
      </c>
      <c r="I1468" t="s">
        <v>1488</v>
      </c>
      <c r="Z1468">
        <v>99676</v>
      </c>
    </row>
    <row r="1469" spans="1:26" x14ac:dyDescent="0.25">
      <c r="A1469" t="s">
        <v>1779</v>
      </c>
      <c r="B1469" t="s">
        <v>27</v>
      </c>
      <c r="C1469" t="s">
        <v>28</v>
      </c>
      <c r="H1469" s="2">
        <v>45770.484965277778</v>
      </c>
      <c r="I1469" t="s">
        <v>54</v>
      </c>
      <c r="Z1469">
        <v>99671</v>
      </c>
    </row>
    <row r="1470" spans="1:26" x14ac:dyDescent="0.25">
      <c r="A1470" t="s">
        <v>1780</v>
      </c>
      <c r="B1470" t="s">
        <v>27</v>
      </c>
      <c r="C1470" t="s">
        <v>28</v>
      </c>
      <c r="E1470" t="s">
        <v>1781</v>
      </c>
      <c r="H1470" s="2">
        <v>45770.471851851849</v>
      </c>
      <c r="I1470" t="s">
        <v>54</v>
      </c>
      <c r="Z1470">
        <v>99669</v>
      </c>
    </row>
    <row r="1471" spans="1:26" x14ac:dyDescent="0.25">
      <c r="A1471" t="s">
        <v>1782</v>
      </c>
      <c r="B1471" t="s">
        <v>1708</v>
      </c>
      <c r="C1471" t="s">
        <v>28</v>
      </c>
      <c r="E1471" t="s">
        <v>427</v>
      </c>
      <c r="H1471" s="2">
        <v>45770.441851851851</v>
      </c>
      <c r="I1471" t="s">
        <v>54</v>
      </c>
      <c r="Z1471">
        <v>99662</v>
      </c>
    </row>
    <row r="1472" spans="1:26" x14ac:dyDescent="0.25">
      <c r="A1472" t="s">
        <v>1783</v>
      </c>
      <c r="B1472" t="s">
        <v>27</v>
      </c>
      <c r="C1472" t="s">
        <v>28</v>
      </c>
      <c r="H1472" s="2">
        <v>45769.722430555557</v>
      </c>
      <c r="I1472" t="s">
        <v>54</v>
      </c>
      <c r="Z1472">
        <v>99645</v>
      </c>
    </row>
    <row r="1473" spans="1:26" x14ac:dyDescent="0.25">
      <c r="A1473" t="s">
        <v>1784</v>
      </c>
      <c r="B1473" t="s">
        <v>27</v>
      </c>
      <c r="C1473" t="s">
        <v>28</v>
      </c>
      <c r="H1473" s="2">
        <v>45769.691331018519</v>
      </c>
      <c r="I1473" t="s">
        <v>1488</v>
      </c>
      <c r="Z1473">
        <v>99642</v>
      </c>
    </row>
    <row r="1474" spans="1:26" x14ac:dyDescent="0.25">
      <c r="A1474" t="s">
        <v>1785</v>
      </c>
      <c r="B1474" t="s">
        <v>27</v>
      </c>
      <c r="C1474" t="s">
        <v>28</v>
      </c>
      <c r="H1474" s="2">
        <v>45769.65829861111</v>
      </c>
      <c r="I1474" t="s">
        <v>1488</v>
      </c>
      <c r="Z1474">
        <v>99637</v>
      </c>
    </row>
    <row r="1475" spans="1:26" x14ac:dyDescent="0.25">
      <c r="A1475" t="s">
        <v>1786</v>
      </c>
      <c r="B1475" t="s">
        <v>27</v>
      </c>
      <c r="C1475" t="s">
        <v>28</v>
      </c>
      <c r="H1475" s="2">
        <v>45769.637881944444</v>
      </c>
      <c r="I1475" t="s">
        <v>54</v>
      </c>
      <c r="Z1475">
        <v>99633</v>
      </c>
    </row>
    <row r="1476" spans="1:26" x14ac:dyDescent="0.25">
      <c r="A1476" t="s">
        <v>1787</v>
      </c>
      <c r="B1476" t="s">
        <v>27</v>
      </c>
      <c r="C1476" t="s">
        <v>28</v>
      </c>
      <c r="H1476" s="2">
        <v>45769.45108796296</v>
      </c>
      <c r="I1476" t="s">
        <v>54</v>
      </c>
      <c r="Z1476">
        <v>99606</v>
      </c>
    </row>
    <row r="1477" spans="1:26" x14ac:dyDescent="0.25">
      <c r="A1477" t="s">
        <v>1788</v>
      </c>
      <c r="B1477" t="s">
        <v>27</v>
      </c>
      <c r="C1477" t="s">
        <v>28</v>
      </c>
      <c r="H1477" s="2">
        <v>45769.448055555556</v>
      </c>
      <c r="I1477" t="s">
        <v>1488</v>
      </c>
      <c r="Z1477">
        <v>99604</v>
      </c>
    </row>
    <row r="1478" spans="1:26" x14ac:dyDescent="0.25">
      <c r="A1478" t="s">
        <v>1218</v>
      </c>
      <c r="B1478" t="s">
        <v>27</v>
      </c>
      <c r="C1478" t="s">
        <v>28</v>
      </c>
      <c r="H1478" s="2">
        <v>45769.416168981479</v>
      </c>
      <c r="I1478" t="s">
        <v>1488</v>
      </c>
      <c r="Z1478">
        <v>99602</v>
      </c>
    </row>
    <row r="1479" spans="1:26" x14ac:dyDescent="0.25">
      <c r="A1479" t="s">
        <v>1789</v>
      </c>
      <c r="B1479" t="s">
        <v>27</v>
      </c>
      <c r="C1479" t="s">
        <v>28</v>
      </c>
      <c r="H1479" s="2">
        <v>45769.401296296295</v>
      </c>
      <c r="I1479" t="s">
        <v>1488</v>
      </c>
      <c r="Z1479">
        <v>99598</v>
      </c>
    </row>
    <row r="1480" spans="1:26" x14ac:dyDescent="0.25">
      <c r="A1480" t="s">
        <v>1790</v>
      </c>
      <c r="B1480" t="s">
        <v>27</v>
      </c>
      <c r="C1480" t="s">
        <v>28</v>
      </c>
      <c r="H1480" s="2">
        <v>45768.831435185188</v>
      </c>
      <c r="I1480" t="s">
        <v>556</v>
      </c>
      <c r="Z1480">
        <v>99588</v>
      </c>
    </row>
    <row r="1481" spans="1:26" x14ac:dyDescent="0.25">
      <c r="A1481" t="s">
        <v>1791</v>
      </c>
      <c r="B1481" t="s">
        <v>27</v>
      </c>
      <c r="C1481" t="s">
        <v>28</v>
      </c>
      <c r="H1481" s="2">
        <v>45768.545694444445</v>
      </c>
      <c r="I1481" t="s">
        <v>556</v>
      </c>
      <c r="Z1481">
        <v>99563</v>
      </c>
    </row>
    <row r="1482" spans="1:26" x14ac:dyDescent="0.25">
      <c r="A1482" t="s">
        <v>1792</v>
      </c>
      <c r="B1482" t="s">
        <v>27</v>
      </c>
      <c r="C1482" t="s">
        <v>28</v>
      </c>
      <c r="H1482" s="2">
        <v>45768.512442129628</v>
      </c>
      <c r="I1482" t="s">
        <v>556</v>
      </c>
      <c r="Z1482">
        <v>99559</v>
      </c>
    </row>
    <row r="1483" spans="1:26" x14ac:dyDescent="0.25">
      <c r="A1483" t="s">
        <v>1793</v>
      </c>
      <c r="B1483" t="s">
        <v>27</v>
      </c>
      <c r="C1483" t="s">
        <v>28</v>
      </c>
      <c r="E1483" t="s">
        <v>1794</v>
      </c>
      <c r="H1483" s="2">
        <v>45768.403819444444</v>
      </c>
      <c r="I1483" t="s">
        <v>556</v>
      </c>
      <c r="Z1483">
        <v>99534</v>
      </c>
    </row>
    <row r="1484" spans="1:26" x14ac:dyDescent="0.25">
      <c r="A1484" t="s">
        <v>663</v>
      </c>
      <c r="C1484" t="s">
        <v>28</v>
      </c>
      <c r="E1484" t="s">
        <v>1795</v>
      </c>
      <c r="H1484" s="2">
        <v>45767.926516203705</v>
      </c>
      <c r="I1484" t="s">
        <v>556</v>
      </c>
      <c r="Z1484">
        <v>99528</v>
      </c>
    </row>
    <row r="1485" spans="1:26" x14ac:dyDescent="0.25">
      <c r="A1485" t="s">
        <v>1796</v>
      </c>
      <c r="B1485" t="s">
        <v>27</v>
      </c>
      <c r="C1485" t="s">
        <v>28</v>
      </c>
      <c r="H1485" s="2">
        <v>45767.449305555558</v>
      </c>
      <c r="I1485" t="s">
        <v>556</v>
      </c>
      <c r="Z1485">
        <v>99501</v>
      </c>
    </row>
    <row r="1486" spans="1:26" x14ac:dyDescent="0.25">
      <c r="A1486" t="s">
        <v>1797</v>
      </c>
      <c r="B1486" t="s">
        <v>27</v>
      </c>
      <c r="C1486" t="s">
        <v>28</v>
      </c>
      <c r="H1486" s="2">
        <v>45767.415694444448</v>
      </c>
      <c r="I1486" t="s">
        <v>31</v>
      </c>
      <c r="Z1486">
        <v>99496</v>
      </c>
    </row>
    <row r="1487" spans="1:26" x14ac:dyDescent="0.25">
      <c r="A1487" t="s">
        <v>1798</v>
      </c>
      <c r="B1487" t="s">
        <v>74</v>
      </c>
      <c r="C1487" t="s">
        <v>28</v>
      </c>
      <c r="E1487" t="s">
        <v>763</v>
      </c>
      <c r="G1487" t="s">
        <v>1799</v>
      </c>
      <c r="H1487" s="2">
        <v>45766.850937499999</v>
      </c>
      <c r="I1487" t="s">
        <v>556</v>
      </c>
      <c r="Z1487">
        <v>99493</v>
      </c>
    </row>
    <row r="1488" spans="1:26" x14ac:dyDescent="0.25">
      <c r="A1488" t="s">
        <v>1800</v>
      </c>
      <c r="B1488" t="s">
        <v>27</v>
      </c>
      <c r="C1488" t="s">
        <v>28</v>
      </c>
      <c r="H1488" s="2">
        <v>45766.604050925926</v>
      </c>
      <c r="I1488" t="s">
        <v>31</v>
      </c>
      <c r="Z1488">
        <v>99472</v>
      </c>
    </row>
    <row r="1489" spans="1:26" x14ac:dyDescent="0.25">
      <c r="A1489" t="s">
        <v>1801</v>
      </c>
      <c r="B1489" t="s">
        <v>27</v>
      </c>
      <c r="C1489" t="s">
        <v>28</v>
      </c>
      <c r="H1489" s="2">
        <v>45764.716666666667</v>
      </c>
      <c r="I1489" t="s">
        <v>54</v>
      </c>
      <c r="Z1489">
        <v>99407</v>
      </c>
    </row>
    <row r="1490" spans="1:26" x14ac:dyDescent="0.25">
      <c r="A1490" t="s">
        <v>1802</v>
      </c>
      <c r="B1490" t="s">
        <v>1708</v>
      </c>
      <c r="C1490" t="s">
        <v>28</v>
      </c>
      <c r="E1490" t="s">
        <v>598</v>
      </c>
      <c r="H1490" s="2">
        <v>45764.685682870368</v>
      </c>
      <c r="I1490" t="s">
        <v>1488</v>
      </c>
      <c r="Z1490">
        <v>99404</v>
      </c>
    </row>
    <row r="1491" spans="1:26" x14ac:dyDescent="0.25">
      <c r="A1491" t="s">
        <v>1803</v>
      </c>
      <c r="B1491" t="s">
        <v>1403</v>
      </c>
      <c r="C1491" t="s">
        <v>28</v>
      </c>
      <c r="E1491" t="s">
        <v>1804</v>
      </c>
      <c r="H1491" s="2">
        <v>45764.681539351855</v>
      </c>
      <c r="I1491" t="s">
        <v>54</v>
      </c>
      <c r="Z1491">
        <v>99402</v>
      </c>
    </row>
    <row r="1492" spans="1:26" x14ac:dyDescent="0.25">
      <c r="A1492" t="s">
        <v>1805</v>
      </c>
      <c r="B1492" t="s">
        <v>27</v>
      </c>
      <c r="C1492" t="s">
        <v>28</v>
      </c>
      <c r="H1492" s="2">
        <v>45764.631631944445</v>
      </c>
      <c r="I1492" t="s">
        <v>54</v>
      </c>
      <c r="Z1492">
        <v>99401</v>
      </c>
    </row>
    <row r="1493" spans="1:26" x14ac:dyDescent="0.25">
      <c r="A1493" t="s">
        <v>1806</v>
      </c>
      <c r="B1493" t="s">
        <v>27</v>
      </c>
      <c r="C1493" t="s">
        <v>28</v>
      </c>
      <c r="H1493" s="2">
        <v>45764.5702662037</v>
      </c>
      <c r="I1493" t="s">
        <v>54</v>
      </c>
      <c r="Z1493">
        <v>99399</v>
      </c>
    </row>
    <row r="1494" spans="1:26" x14ac:dyDescent="0.25">
      <c r="A1494" t="s">
        <v>1807</v>
      </c>
      <c r="B1494" t="s">
        <v>27</v>
      </c>
      <c r="C1494" t="s">
        <v>28</v>
      </c>
      <c r="H1494" s="2">
        <v>45764.502650462964</v>
      </c>
      <c r="I1494" t="s">
        <v>54</v>
      </c>
      <c r="Z1494">
        <v>99386</v>
      </c>
    </row>
    <row r="1495" spans="1:26" x14ac:dyDescent="0.25">
      <c r="A1495" t="s">
        <v>1808</v>
      </c>
      <c r="B1495" t="s">
        <v>27</v>
      </c>
      <c r="C1495" t="s">
        <v>28</v>
      </c>
      <c r="H1495" s="2">
        <v>45763.704375000001</v>
      </c>
      <c r="I1495" t="s">
        <v>54</v>
      </c>
      <c r="Z1495">
        <v>99349</v>
      </c>
    </row>
    <row r="1496" spans="1:26" x14ac:dyDescent="0.25">
      <c r="A1496" t="s">
        <v>1809</v>
      </c>
      <c r="B1496" t="s">
        <v>27</v>
      </c>
      <c r="C1496" t="s">
        <v>28</v>
      </c>
      <c r="H1496" s="2">
        <v>45763.571273148147</v>
      </c>
      <c r="I1496" t="s">
        <v>54</v>
      </c>
      <c r="Z1496">
        <v>99334</v>
      </c>
    </row>
    <row r="1497" spans="1:26" x14ac:dyDescent="0.25">
      <c r="A1497" t="s">
        <v>1810</v>
      </c>
      <c r="B1497" t="s">
        <v>1403</v>
      </c>
      <c r="C1497" t="s">
        <v>28</v>
      </c>
      <c r="E1497" t="s">
        <v>304</v>
      </c>
      <c r="G1497" t="s">
        <v>1811</v>
      </c>
      <c r="H1497" s="2">
        <v>45763.509513888886</v>
      </c>
      <c r="I1497" t="s">
        <v>54</v>
      </c>
      <c r="Z1497">
        <v>99327</v>
      </c>
    </row>
    <row r="1498" spans="1:26" x14ac:dyDescent="0.25">
      <c r="A1498" t="s">
        <v>1812</v>
      </c>
      <c r="B1498" t="s">
        <v>27</v>
      </c>
      <c r="C1498" t="s">
        <v>28</v>
      </c>
      <c r="H1498" s="2">
        <v>45762.721631944441</v>
      </c>
      <c r="I1498" t="s">
        <v>1488</v>
      </c>
      <c r="Z1498">
        <v>99300</v>
      </c>
    </row>
    <row r="1499" spans="1:26" x14ac:dyDescent="0.25">
      <c r="A1499" t="s">
        <v>1813</v>
      </c>
      <c r="B1499" t="s">
        <v>74</v>
      </c>
      <c r="C1499" t="s">
        <v>28</v>
      </c>
      <c r="E1499" t="s">
        <v>103</v>
      </c>
      <c r="G1499" t="s">
        <v>1814</v>
      </c>
      <c r="H1499" s="2">
        <v>45762.66909722222</v>
      </c>
      <c r="I1499" t="s">
        <v>556</v>
      </c>
      <c r="Z1499">
        <v>99290</v>
      </c>
    </row>
    <row r="1500" spans="1:26" x14ac:dyDescent="0.25">
      <c r="A1500" t="s">
        <v>1815</v>
      </c>
      <c r="B1500" t="s">
        <v>1403</v>
      </c>
      <c r="C1500" t="s">
        <v>28</v>
      </c>
      <c r="E1500" t="s">
        <v>1816</v>
      </c>
      <c r="G1500" t="s">
        <v>1817</v>
      </c>
      <c r="H1500" s="2">
        <v>45762.667696759258</v>
      </c>
      <c r="I1500" t="s">
        <v>556</v>
      </c>
      <c r="Z1500">
        <v>99289</v>
      </c>
    </row>
    <row r="1501" spans="1:26" x14ac:dyDescent="0.25">
      <c r="A1501" t="s">
        <v>570</v>
      </c>
      <c r="C1501" t="s">
        <v>28</v>
      </c>
      <c r="E1501" t="s">
        <v>61</v>
      </c>
      <c r="H1501" s="2">
        <v>45762.638657407406</v>
      </c>
      <c r="I1501" t="s">
        <v>1488</v>
      </c>
      <c r="Z1501">
        <v>99285</v>
      </c>
    </row>
    <row r="1502" spans="1:26" x14ac:dyDescent="0.25">
      <c r="A1502" t="s">
        <v>1818</v>
      </c>
      <c r="B1502" t="s">
        <v>27</v>
      </c>
      <c r="C1502" t="s">
        <v>28</v>
      </c>
      <c r="H1502" s="2">
        <v>45762.637442129628</v>
      </c>
      <c r="I1502" t="s">
        <v>556</v>
      </c>
      <c r="Z1502">
        <v>99284</v>
      </c>
    </row>
    <row r="1503" spans="1:26" x14ac:dyDescent="0.25">
      <c r="A1503" t="s">
        <v>663</v>
      </c>
      <c r="C1503" t="s">
        <v>28</v>
      </c>
      <c r="E1503" t="s">
        <v>143</v>
      </c>
      <c r="H1503" s="2">
        <v>45762.361307870371</v>
      </c>
      <c r="I1503" t="s">
        <v>556</v>
      </c>
      <c r="Z1503">
        <v>99248</v>
      </c>
    </row>
    <row r="1504" spans="1:26" x14ac:dyDescent="0.25">
      <c r="A1504" t="s">
        <v>1819</v>
      </c>
      <c r="B1504" t="s">
        <v>27</v>
      </c>
      <c r="C1504" t="s">
        <v>28</v>
      </c>
      <c r="H1504" s="2">
        <v>45761.638252314813</v>
      </c>
      <c r="I1504" t="s">
        <v>31</v>
      </c>
      <c r="Z1504">
        <v>99230</v>
      </c>
    </row>
    <row r="1505" spans="1:26" x14ac:dyDescent="0.25">
      <c r="A1505" t="s">
        <v>1820</v>
      </c>
      <c r="B1505" t="s">
        <v>27</v>
      </c>
      <c r="C1505" t="s">
        <v>28</v>
      </c>
      <c r="E1505" t="s">
        <v>1821</v>
      </c>
      <c r="G1505" t="s">
        <v>1822</v>
      </c>
      <c r="H1505" s="2">
        <v>45761.421909722223</v>
      </c>
      <c r="I1505" t="s">
        <v>31</v>
      </c>
      <c r="Z1505">
        <v>99205</v>
      </c>
    </row>
    <row r="1506" spans="1:26" x14ac:dyDescent="0.25">
      <c r="A1506" t="s">
        <v>1823</v>
      </c>
      <c r="B1506" t="s">
        <v>27</v>
      </c>
      <c r="C1506" t="s">
        <v>28</v>
      </c>
      <c r="H1506" s="2">
        <v>45760.504976851851</v>
      </c>
      <c r="I1506" t="s">
        <v>556</v>
      </c>
      <c r="Z1506">
        <v>99180</v>
      </c>
    </row>
    <row r="1507" spans="1:26" x14ac:dyDescent="0.25">
      <c r="A1507" t="s">
        <v>1665</v>
      </c>
      <c r="B1507" t="s">
        <v>27</v>
      </c>
      <c r="C1507" t="s">
        <v>28</v>
      </c>
      <c r="H1507" s="2">
        <v>45758.842256944445</v>
      </c>
      <c r="I1507" t="s">
        <v>1488</v>
      </c>
      <c r="Z1507">
        <v>99131</v>
      </c>
    </row>
    <row r="1508" spans="1:26" x14ac:dyDescent="0.25">
      <c r="A1508" t="s">
        <v>1824</v>
      </c>
      <c r="B1508" t="s">
        <v>27</v>
      </c>
      <c r="C1508" t="s">
        <v>28</v>
      </c>
      <c r="H1508" s="2">
        <v>45758.566967592589</v>
      </c>
      <c r="I1508" t="s">
        <v>1488</v>
      </c>
      <c r="Z1508">
        <v>99111</v>
      </c>
    </row>
    <row r="1509" spans="1:26" x14ac:dyDescent="0.25">
      <c r="A1509" t="s">
        <v>1825</v>
      </c>
      <c r="B1509" t="s">
        <v>27</v>
      </c>
      <c r="C1509" t="s">
        <v>28</v>
      </c>
      <c r="H1509" s="2">
        <v>45758.478993055556</v>
      </c>
      <c r="I1509" t="s">
        <v>54</v>
      </c>
      <c r="Z1509">
        <v>99104</v>
      </c>
    </row>
    <row r="1510" spans="1:26" x14ac:dyDescent="0.25">
      <c r="A1510" t="s">
        <v>1826</v>
      </c>
      <c r="B1510" t="s">
        <v>27</v>
      </c>
      <c r="C1510" t="s">
        <v>28</v>
      </c>
      <c r="H1510" s="2">
        <v>45757.791631944441</v>
      </c>
      <c r="I1510" t="s">
        <v>54</v>
      </c>
      <c r="Z1510">
        <v>99089</v>
      </c>
    </row>
    <row r="1511" spans="1:26" x14ac:dyDescent="0.25">
      <c r="A1511" t="s">
        <v>1827</v>
      </c>
      <c r="B1511" t="s">
        <v>1708</v>
      </c>
      <c r="C1511" t="s">
        <v>28</v>
      </c>
      <c r="E1511" t="s">
        <v>1828</v>
      </c>
      <c r="H1511" s="2">
        <v>45757.661539351851</v>
      </c>
      <c r="I1511" t="s">
        <v>1488</v>
      </c>
      <c r="Z1511">
        <v>99070</v>
      </c>
    </row>
    <row r="1512" spans="1:26" x14ac:dyDescent="0.25">
      <c r="A1512" t="s">
        <v>1829</v>
      </c>
      <c r="B1512" t="s">
        <v>1403</v>
      </c>
      <c r="C1512" t="s">
        <v>28</v>
      </c>
      <c r="E1512" t="s">
        <v>1828</v>
      </c>
      <c r="H1512" s="2">
        <v>45757.658634259256</v>
      </c>
      <c r="I1512" t="s">
        <v>1488</v>
      </c>
      <c r="Z1512">
        <v>99069</v>
      </c>
    </row>
    <row r="1513" spans="1:26" x14ac:dyDescent="0.25">
      <c r="A1513" t="s">
        <v>1830</v>
      </c>
      <c r="B1513" t="s">
        <v>27</v>
      </c>
      <c r="C1513" t="s">
        <v>28</v>
      </c>
      <c r="H1513" s="2">
        <v>45757.490555555552</v>
      </c>
      <c r="I1513" t="s">
        <v>1488</v>
      </c>
      <c r="Z1513">
        <v>99051</v>
      </c>
    </row>
    <row r="1514" spans="1:26" x14ac:dyDescent="0.25">
      <c r="A1514" t="s">
        <v>1831</v>
      </c>
      <c r="B1514" t="s">
        <v>27</v>
      </c>
      <c r="C1514" t="s">
        <v>28</v>
      </c>
      <c r="H1514" s="2">
        <v>45756.865891203706</v>
      </c>
      <c r="I1514" t="s">
        <v>556</v>
      </c>
      <c r="Z1514">
        <v>99044</v>
      </c>
    </row>
    <row r="1515" spans="1:26" x14ac:dyDescent="0.25">
      <c r="A1515" t="s">
        <v>1832</v>
      </c>
      <c r="B1515" t="s">
        <v>27</v>
      </c>
      <c r="C1515" t="s">
        <v>28</v>
      </c>
      <c r="H1515" s="2">
        <v>45756.799710648149</v>
      </c>
      <c r="I1515" t="s">
        <v>556</v>
      </c>
      <c r="Z1515">
        <v>99039</v>
      </c>
    </row>
    <row r="1516" spans="1:26" x14ac:dyDescent="0.25">
      <c r="A1516" t="s">
        <v>1833</v>
      </c>
      <c r="B1516" t="s">
        <v>27</v>
      </c>
      <c r="C1516" t="s">
        <v>28</v>
      </c>
      <c r="H1516" s="2">
        <v>45756.798634259256</v>
      </c>
      <c r="I1516" t="s">
        <v>1488</v>
      </c>
      <c r="Z1516">
        <v>99038</v>
      </c>
    </row>
    <row r="1517" spans="1:26" x14ac:dyDescent="0.25">
      <c r="A1517" t="s">
        <v>1834</v>
      </c>
      <c r="B1517" t="s">
        <v>27</v>
      </c>
      <c r="C1517" t="s">
        <v>28</v>
      </c>
      <c r="H1517" s="2">
        <v>45756.661226851851</v>
      </c>
      <c r="I1517" t="s">
        <v>556</v>
      </c>
      <c r="Z1517">
        <v>99028</v>
      </c>
    </row>
    <row r="1518" spans="1:26" x14ac:dyDescent="0.25">
      <c r="A1518" t="s">
        <v>1835</v>
      </c>
      <c r="B1518" t="s">
        <v>74</v>
      </c>
      <c r="C1518" t="s">
        <v>28</v>
      </c>
      <c r="E1518" t="s">
        <v>1836</v>
      </c>
      <c r="G1518" t="s">
        <v>1837</v>
      </c>
      <c r="H1518" s="2">
        <v>45756.368506944447</v>
      </c>
      <c r="I1518" t="s">
        <v>556</v>
      </c>
      <c r="Z1518">
        <v>98999</v>
      </c>
    </row>
    <row r="1519" spans="1:26" x14ac:dyDescent="0.25">
      <c r="A1519" t="s">
        <v>1838</v>
      </c>
      <c r="B1519" t="s">
        <v>27</v>
      </c>
      <c r="C1519" t="s">
        <v>28</v>
      </c>
      <c r="H1519" s="2">
        <v>45755.606689814813</v>
      </c>
      <c r="I1519" t="s">
        <v>556</v>
      </c>
      <c r="Z1519">
        <v>98979</v>
      </c>
    </row>
    <row r="1520" spans="1:26" x14ac:dyDescent="0.25">
      <c r="A1520" t="s">
        <v>1839</v>
      </c>
      <c r="B1520" t="s">
        <v>27</v>
      </c>
      <c r="C1520" t="s">
        <v>28</v>
      </c>
      <c r="H1520" s="2">
        <v>45755.475277777776</v>
      </c>
      <c r="I1520" t="s">
        <v>556</v>
      </c>
      <c r="Z1520">
        <v>98965</v>
      </c>
    </row>
    <row r="1521" spans="1:26" x14ac:dyDescent="0.25">
      <c r="A1521" t="s">
        <v>1840</v>
      </c>
      <c r="B1521" t="s">
        <v>27</v>
      </c>
      <c r="C1521" t="s">
        <v>28</v>
      </c>
      <c r="H1521" s="2">
        <v>45754.672407407408</v>
      </c>
      <c r="I1521" t="s">
        <v>31</v>
      </c>
      <c r="Z1521">
        <v>98938</v>
      </c>
    </row>
    <row r="1522" spans="1:26" x14ac:dyDescent="0.25">
      <c r="A1522" t="s">
        <v>33</v>
      </c>
      <c r="B1522" t="s">
        <v>27</v>
      </c>
      <c r="C1522" t="s">
        <v>28</v>
      </c>
      <c r="H1522" s="2">
        <v>45753.776354166665</v>
      </c>
      <c r="I1522" t="s">
        <v>31</v>
      </c>
      <c r="Z1522">
        <v>98895</v>
      </c>
    </row>
    <row r="1523" spans="1:26" x14ac:dyDescent="0.25">
      <c r="A1523" t="s">
        <v>1841</v>
      </c>
      <c r="B1523" t="s">
        <v>27</v>
      </c>
      <c r="C1523" t="s">
        <v>28</v>
      </c>
      <c r="H1523" s="2">
        <v>45753.680983796294</v>
      </c>
      <c r="I1523" t="s">
        <v>31</v>
      </c>
      <c r="Z1523">
        <v>98892</v>
      </c>
    </row>
    <row r="1524" spans="1:26" x14ac:dyDescent="0.25">
      <c r="A1524" t="s">
        <v>1842</v>
      </c>
      <c r="B1524" t="s">
        <v>27</v>
      </c>
      <c r="C1524" t="s">
        <v>28</v>
      </c>
      <c r="H1524" s="2">
        <v>45753.548692129632</v>
      </c>
      <c r="I1524" t="s">
        <v>54</v>
      </c>
      <c r="Z1524">
        <v>98886</v>
      </c>
    </row>
    <row r="1525" spans="1:26" x14ac:dyDescent="0.25">
      <c r="A1525" t="s">
        <v>1843</v>
      </c>
      <c r="B1525" t="s">
        <v>27</v>
      </c>
      <c r="C1525" t="s">
        <v>28</v>
      </c>
      <c r="H1525" s="2">
        <v>45752.784074074072</v>
      </c>
      <c r="I1525" t="s">
        <v>54</v>
      </c>
      <c r="Z1525">
        <v>98874</v>
      </c>
    </row>
    <row r="1526" spans="1:26" x14ac:dyDescent="0.25">
      <c r="A1526" t="s">
        <v>1844</v>
      </c>
      <c r="B1526" t="s">
        <v>27</v>
      </c>
      <c r="C1526" t="s">
        <v>28</v>
      </c>
      <c r="H1526" s="2">
        <v>45752.593148148146</v>
      </c>
      <c r="I1526" t="s">
        <v>54</v>
      </c>
      <c r="Z1526">
        <v>98861</v>
      </c>
    </row>
    <row r="1527" spans="1:26" x14ac:dyDescent="0.25">
      <c r="A1527" t="s">
        <v>1845</v>
      </c>
      <c r="B1527" t="s">
        <v>1708</v>
      </c>
      <c r="C1527" t="s">
        <v>28</v>
      </c>
      <c r="E1527">
        <v>79171052638</v>
      </c>
      <c r="H1527" s="2">
        <v>45751.840636574074</v>
      </c>
      <c r="I1527" t="s">
        <v>54</v>
      </c>
      <c r="K1527" t="s">
        <v>34</v>
      </c>
      <c r="L1527" t="s">
        <v>35</v>
      </c>
      <c r="M1527">
        <v>55887089</v>
      </c>
      <c r="N1527">
        <v>12886156207</v>
      </c>
      <c r="O1527" t="s">
        <v>1846</v>
      </c>
      <c r="Z1527">
        <v>98830</v>
      </c>
    </row>
    <row r="1528" spans="1:26" x14ac:dyDescent="0.25">
      <c r="A1528" t="s">
        <v>1847</v>
      </c>
      <c r="B1528" t="s">
        <v>74</v>
      </c>
      <c r="C1528" t="s">
        <v>28</v>
      </c>
      <c r="E1528" t="s">
        <v>1848</v>
      </c>
      <c r="G1528" t="s">
        <v>1849</v>
      </c>
      <c r="H1528" s="2">
        <v>45751.839479166665</v>
      </c>
      <c r="I1528" t="s">
        <v>54</v>
      </c>
      <c r="Z1528">
        <v>98829</v>
      </c>
    </row>
    <row r="1529" spans="1:26" x14ac:dyDescent="0.25">
      <c r="A1529" t="s">
        <v>1850</v>
      </c>
      <c r="B1529" t="s">
        <v>27</v>
      </c>
      <c r="C1529" t="s">
        <v>28</v>
      </c>
      <c r="H1529" s="2">
        <v>45751.576284722221</v>
      </c>
      <c r="I1529" t="s">
        <v>54</v>
      </c>
      <c r="Z1529">
        <v>98809</v>
      </c>
    </row>
    <row r="1530" spans="1:26" x14ac:dyDescent="0.25">
      <c r="A1530" t="s">
        <v>1851</v>
      </c>
      <c r="B1530" t="s">
        <v>27</v>
      </c>
      <c r="C1530" t="s">
        <v>28</v>
      </c>
      <c r="H1530" s="2">
        <v>45751.249074074076</v>
      </c>
      <c r="I1530" t="s">
        <v>556</v>
      </c>
      <c r="Z1530">
        <v>98784</v>
      </c>
    </row>
    <row r="1531" spans="1:26" x14ac:dyDescent="0.25">
      <c r="A1531" t="s">
        <v>1852</v>
      </c>
      <c r="B1531" t="s">
        <v>27</v>
      </c>
      <c r="C1531" t="s">
        <v>28</v>
      </c>
      <c r="H1531" s="2">
        <v>45751.249016203707</v>
      </c>
      <c r="I1531" t="s">
        <v>556</v>
      </c>
      <c r="Z1531">
        <v>98783</v>
      </c>
    </row>
    <row r="1532" spans="1:26" x14ac:dyDescent="0.25">
      <c r="A1532" t="s">
        <v>1853</v>
      </c>
      <c r="B1532" t="s">
        <v>74</v>
      </c>
      <c r="C1532" t="s">
        <v>28</v>
      </c>
      <c r="E1532" t="s">
        <v>212</v>
      </c>
      <c r="G1532" t="s">
        <v>1854</v>
      </c>
      <c r="H1532" s="2">
        <v>45750.740335648145</v>
      </c>
      <c r="I1532" t="s">
        <v>54</v>
      </c>
      <c r="Z1532">
        <v>98771</v>
      </c>
    </row>
    <row r="1533" spans="1:26" x14ac:dyDescent="0.25">
      <c r="A1533" t="s">
        <v>1855</v>
      </c>
      <c r="B1533" t="s">
        <v>27</v>
      </c>
      <c r="C1533" t="s">
        <v>28</v>
      </c>
      <c r="H1533" s="2">
        <v>45750.514293981483</v>
      </c>
      <c r="I1533" t="s">
        <v>556</v>
      </c>
      <c r="Z1533">
        <v>98755</v>
      </c>
    </row>
    <row r="1534" spans="1:26" x14ac:dyDescent="0.25">
      <c r="A1534" t="s">
        <v>1856</v>
      </c>
      <c r="B1534" t="s">
        <v>27</v>
      </c>
      <c r="C1534" t="s">
        <v>28</v>
      </c>
      <c r="H1534" s="2">
        <v>45750.459050925929</v>
      </c>
      <c r="I1534" t="s">
        <v>556</v>
      </c>
      <c r="Z1534">
        <v>98743</v>
      </c>
    </row>
    <row r="1535" spans="1:26" x14ac:dyDescent="0.25">
      <c r="A1535" t="s">
        <v>1857</v>
      </c>
      <c r="B1535" t="s">
        <v>27</v>
      </c>
      <c r="C1535" t="s">
        <v>28</v>
      </c>
      <c r="H1535" s="2">
        <v>45750.413321759261</v>
      </c>
      <c r="I1535" t="s">
        <v>1488</v>
      </c>
      <c r="Z1535">
        <v>98733</v>
      </c>
    </row>
    <row r="1536" spans="1:26" x14ac:dyDescent="0.25">
      <c r="A1536" t="s">
        <v>1858</v>
      </c>
      <c r="B1536" t="s">
        <v>1708</v>
      </c>
      <c r="C1536" t="s">
        <v>28</v>
      </c>
      <c r="E1536" t="s">
        <v>1859</v>
      </c>
      <c r="H1536" s="2">
        <v>45749.772280092591</v>
      </c>
      <c r="I1536" t="s">
        <v>31</v>
      </c>
      <c r="Z1536">
        <v>98716</v>
      </c>
    </row>
    <row r="1537" spans="1:26" x14ac:dyDescent="0.25">
      <c r="A1537" t="s">
        <v>1860</v>
      </c>
      <c r="B1537" t="s">
        <v>27</v>
      </c>
      <c r="C1537" t="s">
        <v>28</v>
      </c>
      <c r="H1537" s="2">
        <v>45749.736643518518</v>
      </c>
      <c r="I1537" t="s">
        <v>31</v>
      </c>
      <c r="Z1537">
        <v>98712</v>
      </c>
    </row>
    <row r="1538" spans="1:26" x14ac:dyDescent="0.25">
      <c r="A1538" t="s">
        <v>1861</v>
      </c>
      <c r="B1538" t="s">
        <v>306</v>
      </c>
      <c r="C1538" t="s">
        <v>185</v>
      </c>
      <c r="E1538" t="s">
        <v>146</v>
      </c>
      <c r="H1538" s="2">
        <v>45748.846712962964</v>
      </c>
      <c r="I1538" t="s">
        <v>556</v>
      </c>
      <c r="Z1538">
        <v>98659</v>
      </c>
    </row>
    <row r="1539" spans="1:26" x14ac:dyDescent="0.25">
      <c r="A1539" t="s">
        <v>1862</v>
      </c>
      <c r="B1539" t="s">
        <v>27</v>
      </c>
      <c r="C1539" t="s">
        <v>28</v>
      </c>
      <c r="H1539" s="2">
        <v>45748.563657407409</v>
      </c>
      <c r="I1539" t="s">
        <v>556</v>
      </c>
      <c r="Z1539">
        <v>98629</v>
      </c>
    </row>
    <row r="1540" spans="1:26" x14ac:dyDescent="0.25">
      <c r="A1540" t="s">
        <v>155</v>
      </c>
      <c r="B1540" t="s">
        <v>1403</v>
      </c>
      <c r="C1540" t="s">
        <v>155</v>
      </c>
      <c r="E1540" t="s">
        <v>1863</v>
      </c>
      <c r="H1540" s="2">
        <v>45748.561979166669</v>
      </c>
      <c r="I1540" t="s">
        <v>556</v>
      </c>
      <c r="Z1540">
        <v>98628</v>
      </c>
    </row>
    <row r="1541" spans="1:26" x14ac:dyDescent="0.25">
      <c r="A1541" t="s">
        <v>1864</v>
      </c>
      <c r="B1541" t="s">
        <v>1708</v>
      </c>
      <c r="C1541" t="s">
        <v>28</v>
      </c>
      <c r="E1541" t="s">
        <v>1865</v>
      </c>
      <c r="H1541" s="2">
        <v>45747.677418981482</v>
      </c>
      <c r="I1541" t="s">
        <v>31</v>
      </c>
      <c r="Z1541">
        <v>98583</v>
      </c>
    </row>
    <row r="1542" spans="1:26" x14ac:dyDescent="0.25">
      <c r="A1542" t="s">
        <v>1866</v>
      </c>
      <c r="B1542" t="s">
        <v>27</v>
      </c>
      <c r="C1542" t="s">
        <v>28</v>
      </c>
      <c r="H1542" s="2">
        <v>45746.648553240739</v>
      </c>
      <c r="I1542" t="s">
        <v>54</v>
      </c>
      <c r="Z1542">
        <v>98518</v>
      </c>
    </row>
    <row r="1543" spans="1:26" x14ac:dyDescent="0.25">
      <c r="A1543" t="s">
        <v>1867</v>
      </c>
      <c r="B1543" t="s">
        <v>27</v>
      </c>
      <c r="C1543" t="s">
        <v>28</v>
      </c>
      <c r="H1543" s="2">
        <v>45745.820543981485</v>
      </c>
      <c r="I1543" t="s">
        <v>54</v>
      </c>
      <c r="Z1543">
        <v>98495</v>
      </c>
    </row>
    <row r="1544" spans="1:26" x14ac:dyDescent="0.25">
      <c r="A1544" t="s">
        <v>1868</v>
      </c>
      <c r="B1544" t="s">
        <v>1708</v>
      </c>
      <c r="C1544" t="s">
        <v>28</v>
      </c>
      <c r="E1544" t="s">
        <v>72</v>
      </c>
      <c r="G1544" t="s">
        <v>1869</v>
      </c>
      <c r="H1544" s="2">
        <v>45745.681898148148</v>
      </c>
      <c r="I1544" t="s">
        <v>54</v>
      </c>
      <c r="Z1544">
        <v>98487</v>
      </c>
    </row>
    <row r="1545" spans="1:26" x14ac:dyDescent="0.25">
      <c r="A1545" t="s">
        <v>1870</v>
      </c>
      <c r="B1545" t="s">
        <v>1708</v>
      </c>
      <c r="C1545" t="s">
        <v>28</v>
      </c>
      <c r="E1545" t="s">
        <v>1871</v>
      </c>
      <c r="H1545" s="2">
        <v>45745.623842592591</v>
      </c>
      <c r="I1545" t="s">
        <v>54</v>
      </c>
      <c r="Z1545">
        <v>98485</v>
      </c>
    </row>
    <row r="1546" spans="1:26" x14ac:dyDescent="0.25">
      <c r="A1546" t="s">
        <v>1872</v>
      </c>
      <c r="B1546" t="s">
        <v>27</v>
      </c>
      <c r="C1546" t="s">
        <v>28</v>
      </c>
      <c r="H1546" s="2">
        <v>45745.573159722226</v>
      </c>
      <c r="I1546" t="s">
        <v>54</v>
      </c>
      <c r="Z1546">
        <v>98474</v>
      </c>
    </row>
    <row r="1547" spans="1:26" x14ac:dyDescent="0.25">
      <c r="A1547" t="s">
        <v>1873</v>
      </c>
      <c r="B1547" t="s">
        <v>27</v>
      </c>
      <c r="C1547" t="s">
        <v>28</v>
      </c>
      <c r="H1547" s="2">
        <v>45745.492152777777</v>
      </c>
      <c r="I1547" t="s">
        <v>54</v>
      </c>
      <c r="Z1547">
        <v>98455</v>
      </c>
    </row>
    <row r="1548" spans="1:26" x14ac:dyDescent="0.25">
      <c r="A1548" t="s">
        <v>1874</v>
      </c>
      <c r="B1548" t="s">
        <v>1708</v>
      </c>
      <c r="C1548" t="s">
        <v>28</v>
      </c>
      <c r="E1548" t="s">
        <v>1875</v>
      </c>
      <c r="H1548" s="2">
        <v>45745.420115740744</v>
      </c>
      <c r="I1548" t="s">
        <v>54</v>
      </c>
      <c r="K1548" t="s">
        <v>34</v>
      </c>
      <c r="L1548" t="s">
        <v>35</v>
      </c>
      <c r="M1548">
        <v>55887089</v>
      </c>
      <c r="N1548">
        <v>9754619213</v>
      </c>
      <c r="O1548" t="s">
        <v>461</v>
      </c>
      <c r="Z1548">
        <v>98448</v>
      </c>
    </row>
    <row r="1549" spans="1:26" x14ac:dyDescent="0.25">
      <c r="A1549" t="s">
        <v>1876</v>
      </c>
      <c r="B1549" t="s">
        <v>27</v>
      </c>
      <c r="C1549" t="s">
        <v>28</v>
      </c>
      <c r="H1549" s="2">
        <v>45745.374791666669</v>
      </c>
      <c r="I1549" t="s">
        <v>1488</v>
      </c>
      <c r="Z1549">
        <v>98440</v>
      </c>
    </row>
    <row r="1550" spans="1:26" x14ac:dyDescent="0.25">
      <c r="A1550" t="s">
        <v>1877</v>
      </c>
      <c r="B1550" t="s">
        <v>27</v>
      </c>
      <c r="C1550" t="s">
        <v>28</v>
      </c>
      <c r="H1550" s="2">
        <v>45744.675312500003</v>
      </c>
      <c r="I1550" t="s">
        <v>1488</v>
      </c>
      <c r="Z1550">
        <v>98421</v>
      </c>
    </row>
    <row r="1551" spans="1:26" x14ac:dyDescent="0.25">
      <c r="A1551" t="s">
        <v>606</v>
      </c>
      <c r="B1551" t="s">
        <v>306</v>
      </c>
      <c r="C1551" t="s">
        <v>28</v>
      </c>
      <c r="E1551" t="s">
        <v>232</v>
      </c>
      <c r="H1551" s="2">
        <v>45743.940324074072</v>
      </c>
      <c r="I1551" t="s">
        <v>556</v>
      </c>
      <c r="K1551" t="s">
        <v>34</v>
      </c>
      <c r="L1551" t="s">
        <v>35</v>
      </c>
      <c r="M1551">
        <v>55887089</v>
      </c>
      <c r="N1551">
        <v>9754619213</v>
      </c>
      <c r="O1551" t="s">
        <v>461</v>
      </c>
      <c r="Z1551">
        <v>98384</v>
      </c>
    </row>
    <row r="1552" spans="1:26" x14ac:dyDescent="0.25">
      <c r="A1552" t="s">
        <v>1793</v>
      </c>
      <c r="B1552" t="s">
        <v>1708</v>
      </c>
      <c r="C1552" t="s">
        <v>28</v>
      </c>
      <c r="E1552" t="s">
        <v>370</v>
      </c>
      <c r="G1552" t="s">
        <v>1878</v>
      </c>
      <c r="H1552" s="2">
        <v>45743.6562037037</v>
      </c>
      <c r="I1552" t="s">
        <v>31</v>
      </c>
      <c r="K1552" t="s">
        <v>34</v>
      </c>
      <c r="L1552" t="s">
        <v>35</v>
      </c>
      <c r="M1552">
        <v>55887089</v>
      </c>
      <c r="N1552">
        <v>12886132962</v>
      </c>
      <c r="O1552" t="s">
        <v>461</v>
      </c>
      <c r="Z1552">
        <v>98364</v>
      </c>
    </row>
    <row r="1553" spans="1:26" x14ac:dyDescent="0.25">
      <c r="A1553" t="s">
        <v>194</v>
      </c>
      <c r="B1553" t="s">
        <v>27</v>
      </c>
      <c r="C1553" t="s">
        <v>28</v>
      </c>
      <c r="H1553" s="2">
        <v>45743.444374999999</v>
      </c>
      <c r="I1553" t="s">
        <v>31</v>
      </c>
      <c r="Z1553">
        <v>98322</v>
      </c>
    </row>
    <row r="1554" spans="1:26" x14ac:dyDescent="0.25">
      <c r="A1554" t="s">
        <v>1879</v>
      </c>
      <c r="B1554" t="s">
        <v>74</v>
      </c>
      <c r="C1554" t="s">
        <v>28</v>
      </c>
      <c r="E1554" t="s">
        <v>763</v>
      </c>
      <c r="G1554" t="s">
        <v>1880</v>
      </c>
      <c r="H1554" s="2">
        <v>45743.02685185185</v>
      </c>
      <c r="I1554" t="s">
        <v>31</v>
      </c>
      <c r="Z1554">
        <v>98309</v>
      </c>
    </row>
    <row r="1555" spans="1:26" x14ac:dyDescent="0.25">
      <c r="A1555" t="s">
        <v>1881</v>
      </c>
      <c r="B1555" t="s">
        <v>27</v>
      </c>
      <c r="C1555" t="s">
        <v>28</v>
      </c>
      <c r="H1555" s="2">
        <v>45741.512106481481</v>
      </c>
      <c r="I1555" t="s">
        <v>54</v>
      </c>
      <c r="Z1555">
        <v>98174</v>
      </c>
    </row>
    <row r="1556" spans="1:26" x14ac:dyDescent="0.25">
      <c r="A1556" t="s">
        <v>336</v>
      </c>
      <c r="B1556" t="s">
        <v>1403</v>
      </c>
      <c r="C1556" t="s">
        <v>28</v>
      </c>
      <c r="E1556" t="s">
        <v>1284</v>
      </c>
      <c r="G1556" t="s">
        <v>1284</v>
      </c>
      <c r="H1556" s="2">
        <v>45741.339884259258</v>
      </c>
      <c r="I1556" t="s">
        <v>31</v>
      </c>
      <c r="Z1556">
        <v>98147</v>
      </c>
    </row>
    <row r="1557" spans="1:26" x14ac:dyDescent="0.25">
      <c r="A1557" t="s">
        <v>1882</v>
      </c>
      <c r="B1557" t="s">
        <v>1403</v>
      </c>
      <c r="C1557" t="s">
        <v>28</v>
      </c>
      <c r="E1557" t="s">
        <v>763</v>
      </c>
      <c r="H1557" s="2">
        <v>45740.766435185185</v>
      </c>
      <c r="I1557" t="s">
        <v>54</v>
      </c>
      <c r="Z1557">
        <v>98133</v>
      </c>
    </row>
    <row r="1558" spans="1:26" x14ac:dyDescent="0.25">
      <c r="A1558" t="s">
        <v>1883</v>
      </c>
      <c r="B1558" t="s">
        <v>27</v>
      </c>
      <c r="C1558" t="s">
        <v>28</v>
      </c>
      <c r="H1558" s="2">
        <v>45740.754502314812</v>
      </c>
      <c r="I1558" t="s">
        <v>1488</v>
      </c>
      <c r="Z1558">
        <v>98129</v>
      </c>
    </row>
    <row r="1559" spans="1:26" x14ac:dyDescent="0.25">
      <c r="A1559" t="s">
        <v>1884</v>
      </c>
      <c r="B1559" t="s">
        <v>27</v>
      </c>
      <c r="C1559" t="s">
        <v>28</v>
      </c>
      <c r="H1559" s="2">
        <v>45740.714895833335</v>
      </c>
      <c r="I1559" t="s">
        <v>1488</v>
      </c>
      <c r="Z1559">
        <v>98123</v>
      </c>
    </row>
    <row r="1560" spans="1:26" x14ac:dyDescent="0.25">
      <c r="A1560" t="s">
        <v>1885</v>
      </c>
      <c r="B1560" t="s">
        <v>27</v>
      </c>
      <c r="C1560" t="s">
        <v>28</v>
      </c>
      <c r="E1560" t="s">
        <v>1886</v>
      </c>
      <c r="H1560" s="2">
        <v>45740.674629629626</v>
      </c>
      <c r="I1560" t="s">
        <v>54</v>
      </c>
      <c r="Z1560">
        <v>98119</v>
      </c>
    </row>
    <row r="1561" spans="1:26" x14ac:dyDescent="0.25">
      <c r="A1561" t="s">
        <v>1887</v>
      </c>
      <c r="B1561" t="s">
        <v>27</v>
      </c>
      <c r="C1561" t="s">
        <v>28</v>
      </c>
      <c r="H1561" s="2">
        <v>45740.654467592591</v>
      </c>
      <c r="I1561" t="s">
        <v>1488</v>
      </c>
      <c r="Z1561">
        <v>98117</v>
      </c>
    </row>
    <row r="1562" spans="1:26" x14ac:dyDescent="0.25">
      <c r="A1562" t="s">
        <v>1888</v>
      </c>
      <c r="B1562" t="s">
        <v>27</v>
      </c>
      <c r="C1562" t="s">
        <v>28</v>
      </c>
      <c r="H1562" s="2">
        <v>45740.650092592594</v>
      </c>
      <c r="I1562" t="s">
        <v>54</v>
      </c>
      <c r="Z1562">
        <v>98113</v>
      </c>
    </row>
    <row r="1563" spans="1:26" x14ac:dyDescent="0.25">
      <c r="A1563" t="s">
        <v>1889</v>
      </c>
      <c r="B1563" t="s">
        <v>1403</v>
      </c>
      <c r="C1563" t="s">
        <v>28</v>
      </c>
      <c r="E1563" t="s">
        <v>1890</v>
      </c>
      <c r="H1563" s="2">
        <v>45740.629560185182</v>
      </c>
      <c r="I1563" t="s">
        <v>54</v>
      </c>
      <c r="Z1563">
        <v>98104</v>
      </c>
    </row>
    <row r="1564" spans="1:26" x14ac:dyDescent="0.25">
      <c r="A1564" t="s">
        <v>1891</v>
      </c>
      <c r="C1564" t="s">
        <v>28</v>
      </c>
      <c r="E1564" t="s">
        <v>198</v>
      </c>
      <c r="H1564" s="2">
        <v>45740.471342592595</v>
      </c>
      <c r="I1564" t="s">
        <v>1488</v>
      </c>
      <c r="Z1564">
        <v>98063</v>
      </c>
    </row>
    <row r="1565" spans="1:26" x14ac:dyDescent="0.25">
      <c r="A1565" t="s">
        <v>1892</v>
      </c>
      <c r="B1565" t="s">
        <v>1708</v>
      </c>
      <c r="C1565" t="s">
        <v>28</v>
      </c>
      <c r="E1565" t="s">
        <v>61</v>
      </c>
      <c r="H1565" s="2">
        <v>45739.887337962966</v>
      </c>
      <c r="I1565" t="s">
        <v>54</v>
      </c>
      <c r="K1565" t="s">
        <v>34</v>
      </c>
      <c r="L1565" t="s">
        <v>35</v>
      </c>
      <c r="M1565">
        <v>104108031</v>
      </c>
      <c r="N1565">
        <v>15719003140</v>
      </c>
      <c r="O1565" t="s">
        <v>461</v>
      </c>
      <c r="Z1565">
        <v>98043</v>
      </c>
    </row>
    <row r="1566" spans="1:26" x14ac:dyDescent="0.25">
      <c r="A1566" t="s">
        <v>1893</v>
      </c>
      <c r="B1566" t="s">
        <v>306</v>
      </c>
      <c r="C1566" t="s">
        <v>28</v>
      </c>
      <c r="E1566" t="s">
        <v>72</v>
      </c>
      <c r="H1566" s="2">
        <v>45739.745486111111</v>
      </c>
      <c r="I1566" t="s">
        <v>54</v>
      </c>
      <c r="K1566" t="s">
        <v>34</v>
      </c>
      <c r="L1566" t="s">
        <v>35</v>
      </c>
      <c r="M1566">
        <v>55887089</v>
      </c>
      <c r="N1566">
        <v>9754619174</v>
      </c>
      <c r="O1566" t="s">
        <v>1894</v>
      </c>
      <c r="Z1566">
        <v>98033</v>
      </c>
    </row>
    <row r="1567" spans="1:26" x14ac:dyDescent="0.25">
      <c r="A1567" t="s">
        <v>1895</v>
      </c>
      <c r="B1567" t="s">
        <v>27</v>
      </c>
      <c r="C1567" t="s">
        <v>28</v>
      </c>
      <c r="H1567" s="2">
        <v>45739.47152777778</v>
      </c>
      <c r="I1567" t="s">
        <v>54</v>
      </c>
      <c r="Z1567">
        <v>97995</v>
      </c>
    </row>
    <row r="1568" spans="1:26" x14ac:dyDescent="0.25">
      <c r="A1568" t="s">
        <v>1896</v>
      </c>
      <c r="B1568" t="s">
        <v>27</v>
      </c>
      <c r="C1568" t="s">
        <v>28</v>
      </c>
      <c r="H1568" s="2">
        <v>45738.870393518519</v>
      </c>
      <c r="I1568" t="s">
        <v>1488</v>
      </c>
      <c r="Z1568">
        <v>97977</v>
      </c>
    </row>
    <row r="1569" spans="1:26" x14ac:dyDescent="0.25">
      <c r="A1569" t="s">
        <v>1897</v>
      </c>
      <c r="B1569" t="s">
        <v>74</v>
      </c>
      <c r="C1569" t="s">
        <v>28</v>
      </c>
      <c r="E1569" t="s">
        <v>1693</v>
      </c>
      <c r="G1569" t="s">
        <v>1898</v>
      </c>
      <c r="H1569" s="2">
        <v>45738.447615740741</v>
      </c>
      <c r="I1569" t="s">
        <v>1488</v>
      </c>
      <c r="Z1569">
        <v>97916</v>
      </c>
    </row>
    <row r="1570" spans="1:26" x14ac:dyDescent="0.25">
      <c r="A1570" t="s">
        <v>1899</v>
      </c>
      <c r="B1570" t="s">
        <v>27</v>
      </c>
      <c r="C1570" t="s">
        <v>28</v>
      </c>
      <c r="H1570" s="2">
        <v>45736.714155092595</v>
      </c>
      <c r="I1570" t="s">
        <v>556</v>
      </c>
      <c r="Z1570">
        <v>97830</v>
      </c>
    </row>
    <row r="1571" spans="1:26" x14ac:dyDescent="0.25">
      <c r="A1571" t="s">
        <v>1900</v>
      </c>
      <c r="B1571" t="s">
        <v>27</v>
      </c>
      <c r="C1571" t="s">
        <v>28</v>
      </c>
      <c r="H1571" s="2">
        <v>45736.691782407404</v>
      </c>
      <c r="I1571" t="s">
        <v>556</v>
      </c>
      <c r="Z1571">
        <v>97826</v>
      </c>
    </row>
    <row r="1572" spans="1:26" x14ac:dyDescent="0.25">
      <c r="A1572" t="s">
        <v>1901</v>
      </c>
      <c r="B1572" t="s">
        <v>27</v>
      </c>
      <c r="C1572" t="s">
        <v>28</v>
      </c>
      <c r="H1572" s="2">
        <v>45736.691365740742</v>
      </c>
      <c r="I1572" t="s">
        <v>31</v>
      </c>
      <c r="Z1572">
        <v>97824</v>
      </c>
    </row>
    <row r="1573" spans="1:26" x14ac:dyDescent="0.25">
      <c r="A1573" t="s">
        <v>1336</v>
      </c>
      <c r="B1573" t="s">
        <v>27</v>
      </c>
      <c r="C1573" t="s">
        <v>28</v>
      </c>
      <c r="H1573" s="2">
        <v>45736.667245370372</v>
      </c>
      <c r="I1573" t="s">
        <v>31</v>
      </c>
      <c r="Z1573">
        <v>97821</v>
      </c>
    </row>
    <row r="1574" spans="1:26" x14ac:dyDescent="0.25">
      <c r="A1574" t="s">
        <v>1902</v>
      </c>
      <c r="B1574" t="s">
        <v>27</v>
      </c>
      <c r="C1574" t="s">
        <v>28</v>
      </c>
      <c r="H1574" s="2">
        <v>45736.655277777776</v>
      </c>
      <c r="I1574" t="s">
        <v>31</v>
      </c>
      <c r="Z1574">
        <v>97818</v>
      </c>
    </row>
    <row r="1575" spans="1:26" x14ac:dyDescent="0.25">
      <c r="A1575" t="s">
        <v>1903</v>
      </c>
      <c r="B1575" t="s">
        <v>27</v>
      </c>
      <c r="C1575" t="s">
        <v>28</v>
      </c>
      <c r="H1575" s="2">
        <v>45736.486493055556</v>
      </c>
      <c r="I1575" t="s">
        <v>31</v>
      </c>
      <c r="Z1575">
        <v>97794</v>
      </c>
    </row>
    <row r="1576" spans="1:26" x14ac:dyDescent="0.25">
      <c r="A1576" t="s">
        <v>1904</v>
      </c>
      <c r="B1576" t="s">
        <v>27</v>
      </c>
      <c r="C1576" t="s">
        <v>28</v>
      </c>
      <c r="H1576" s="2">
        <v>45735.842581018522</v>
      </c>
      <c r="I1576" t="s">
        <v>54</v>
      </c>
      <c r="Z1576">
        <v>97773</v>
      </c>
    </row>
    <row r="1577" spans="1:26" x14ac:dyDescent="0.25">
      <c r="A1577" t="s">
        <v>1905</v>
      </c>
      <c r="B1577" t="s">
        <v>27</v>
      </c>
      <c r="C1577" t="s">
        <v>28</v>
      </c>
      <c r="H1577" s="2">
        <v>45735.726053240738</v>
      </c>
      <c r="I1577" t="s">
        <v>54</v>
      </c>
      <c r="Z1577">
        <v>97760</v>
      </c>
    </row>
    <row r="1578" spans="1:26" x14ac:dyDescent="0.25">
      <c r="A1578" t="s">
        <v>1906</v>
      </c>
      <c r="B1578" t="s">
        <v>27</v>
      </c>
      <c r="C1578" t="s">
        <v>28</v>
      </c>
      <c r="H1578" s="2">
        <v>45735.56490740741</v>
      </c>
      <c r="I1578" t="s">
        <v>31</v>
      </c>
      <c r="Z1578">
        <v>97741</v>
      </c>
    </row>
    <row r="1579" spans="1:26" x14ac:dyDescent="0.25">
      <c r="A1579" t="s">
        <v>641</v>
      </c>
      <c r="B1579" t="s">
        <v>27</v>
      </c>
      <c r="C1579" t="s">
        <v>28</v>
      </c>
      <c r="H1579" s="2">
        <v>45735.48474537037</v>
      </c>
      <c r="I1579" t="s">
        <v>31</v>
      </c>
      <c r="Z1579">
        <v>97731</v>
      </c>
    </row>
    <row r="1580" spans="1:26" x14ac:dyDescent="0.25">
      <c r="A1580" t="s">
        <v>1523</v>
      </c>
      <c r="B1580" t="s">
        <v>27</v>
      </c>
      <c r="C1580" t="s">
        <v>28</v>
      </c>
      <c r="H1580" s="2">
        <v>45734.802199074074</v>
      </c>
      <c r="I1580" t="s">
        <v>1488</v>
      </c>
      <c r="Z1580">
        <v>97721</v>
      </c>
    </row>
    <row r="1581" spans="1:26" x14ac:dyDescent="0.25">
      <c r="A1581" t="s">
        <v>785</v>
      </c>
      <c r="B1581" t="s">
        <v>27</v>
      </c>
      <c r="C1581" t="s">
        <v>28</v>
      </c>
      <c r="H1581" s="2">
        <v>45734.494513888887</v>
      </c>
      <c r="I1581" t="s">
        <v>1488</v>
      </c>
      <c r="Z1581">
        <v>97689</v>
      </c>
    </row>
    <row r="1582" spans="1:26" x14ac:dyDescent="0.25">
      <c r="A1582" t="s">
        <v>1907</v>
      </c>
      <c r="B1582" t="s">
        <v>27</v>
      </c>
      <c r="C1582" t="s">
        <v>28</v>
      </c>
      <c r="H1582" s="2">
        <v>45733.561585648145</v>
      </c>
      <c r="I1582" t="s">
        <v>54</v>
      </c>
      <c r="Z1582">
        <v>97654</v>
      </c>
    </row>
    <row r="1583" spans="1:26" x14ac:dyDescent="0.25">
      <c r="A1583" t="s">
        <v>1908</v>
      </c>
      <c r="B1583" t="s">
        <v>27</v>
      </c>
      <c r="C1583" t="s">
        <v>28</v>
      </c>
      <c r="H1583" s="2">
        <v>45733.553576388891</v>
      </c>
      <c r="I1583" t="s">
        <v>54</v>
      </c>
      <c r="Z1583">
        <v>97652</v>
      </c>
    </row>
    <row r="1584" spans="1:26" x14ac:dyDescent="0.25">
      <c r="A1584" t="s">
        <v>1909</v>
      </c>
      <c r="B1584" t="s">
        <v>1708</v>
      </c>
      <c r="C1584" t="s">
        <v>28</v>
      </c>
      <c r="E1584" t="s">
        <v>1910</v>
      </c>
      <c r="H1584" s="2">
        <v>45733.418298611112</v>
      </c>
      <c r="I1584" t="s">
        <v>54</v>
      </c>
      <c r="Z1584">
        <v>97631</v>
      </c>
    </row>
    <row r="1585" spans="1:26" x14ac:dyDescent="0.25">
      <c r="A1585" t="s">
        <v>155</v>
      </c>
      <c r="B1585" t="s">
        <v>306</v>
      </c>
      <c r="C1585" t="s">
        <v>155</v>
      </c>
      <c r="E1585" t="s">
        <v>385</v>
      </c>
      <c r="H1585" s="2">
        <v>45732.493472222224</v>
      </c>
      <c r="I1585" t="s">
        <v>556</v>
      </c>
      <c r="Z1585">
        <v>97607</v>
      </c>
    </row>
    <row r="1586" spans="1:26" x14ac:dyDescent="0.25">
      <c r="A1586" t="s">
        <v>1911</v>
      </c>
      <c r="B1586" t="s">
        <v>27</v>
      </c>
      <c r="C1586" t="s">
        <v>28</v>
      </c>
      <c r="H1586" s="2">
        <v>45731.660324074073</v>
      </c>
      <c r="I1586" t="s">
        <v>556</v>
      </c>
      <c r="Z1586">
        <v>97591</v>
      </c>
    </row>
    <row r="1587" spans="1:26" x14ac:dyDescent="0.25">
      <c r="A1587" t="s">
        <v>1912</v>
      </c>
      <c r="B1587" t="s">
        <v>1708</v>
      </c>
      <c r="C1587" t="s">
        <v>28</v>
      </c>
      <c r="E1587" t="s">
        <v>183</v>
      </c>
      <c r="H1587" s="2">
        <v>45731.51321759259</v>
      </c>
      <c r="I1587" t="s">
        <v>556</v>
      </c>
      <c r="Z1587">
        <v>97573</v>
      </c>
    </row>
    <row r="1588" spans="1:26" x14ac:dyDescent="0.25">
      <c r="A1588" t="s">
        <v>1913</v>
      </c>
      <c r="B1588" t="s">
        <v>27</v>
      </c>
      <c r="C1588" t="s">
        <v>28</v>
      </c>
      <c r="H1588" s="2">
        <v>45731.484664351854</v>
      </c>
      <c r="I1588" t="s">
        <v>31</v>
      </c>
      <c r="Z1588">
        <v>97569</v>
      </c>
    </row>
    <row r="1589" spans="1:26" x14ac:dyDescent="0.25">
      <c r="A1589" t="s">
        <v>1914</v>
      </c>
      <c r="B1589" t="s">
        <v>27</v>
      </c>
      <c r="C1589" t="s">
        <v>28</v>
      </c>
      <c r="H1589" s="2">
        <v>45731.398368055554</v>
      </c>
      <c r="I1589" t="s">
        <v>31</v>
      </c>
      <c r="Z1589">
        <v>97560</v>
      </c>
    </row>
    <row r="1590" spans="1:26" x14ac:dyDescent="0.25">
      <c r="A1590" t="s">
        <v>1915</v>
      </c>
      <c r="B1590" t="s">
        <v>27</v>
      </c>
      <c r="C1590" t="s">
        <v>28</v>
      </c>
      <c r="E1590" t="s">
        <v>1916</v>
      </c>
      <c r="H1590" s="2">
        <v>45731.387002314812</v>
      </c>
      <c r="I1590" t="s">
        <v>31</v>
      </c>
      <c r="Z1590">
        <v>97558</v>
      </c>
    </row>
    <row r="1591" spans="1:26" x14ac:dyDescent="0.25">
      <c r="A1591" t="s">
        <v>1917</v>
      </c>
      <c r="B1591" t="s">
        <v>27</v>
      </c>
      <c r="C1591" t="s">
        <v>28</v>
      </c>
      <c r="H1591" s="2">
        <v>45730.670624999999</v>
      </c>
      <c r="I1591" t="s">
        <v>556</v>
      </c>
      <c r="Z1591">
        <v>97537</v>
      </c>
    </row>
    <row r="1592" spans="1:26" x14ac:dyDescent="0.25">
      <c r="A1592" t="s">
        <v>1918</v>
      </c>
      <c r="B1592" t="s">
        <v>1708</v>
      </c>
      <c r="C1592" t="s">
        <v>28</v>
      </c>
      <c r="E1592" t="s">
        <v>198</v>
      </c>
      <c r="H1592" s="2">
        <v>45729.752743055556</v>
      </c>
      <c r="I1592" t="s">
        <v>31</v>
      </c>
      <c r="Z1592">
        <v>97500</v>
      </c>
    </row>
    <row r="1593" spans="1:26" x14ac:dyDescent="0.25">
      <c r="A1593" t="s">
        <v>1220</v>
      </c>
      <c r="B1593" t="s">
        <v>27</v>
      </c>
      <c r="C1593" t="s">
        <v>28</v>
      </c>
      <c r="H1593" s="2">
        <v>45729.445972222224</v>
      </c>
      <c r="I1593" t="s">
        <v>31</v>
      </c>
      <c r="Z1593">
        <v>97478</v>
      </c>
    </row>
    <row r="1594" spans="1:26" x14ac:dyDescent="0.25">
      <c r="A1594" t="s">
        <v>1919</v>
      </c>
      <c r="B1594" t="s">
        <v>27</v>
      </c>
      <c r="C1594" t="s">
        <v>28</v>
      </c>
      <c r="H1594" s="2">
        <v>45729.411574074074</v>
      </c>
      <c r="I1594" t="s">
        <v>54</v>
      </c>
      <c r="Z1594">
        <v>97474</v>
      </c>
    </row>
    <row r="1595" spans="1:26" x14ac:dyDescent="0.25">
      <c r="A1595" t="s">
        <v>1920</v>
      </c>
      <c r="B1595" t="s">
        <v>27</v>
      </c>
      <c r="C1595" t="s">
        <v>28</v>
      </c>
      <c r="H1595" s="2">
        <v>45728.52107638889</v>
      </c>
      <c r="I1595" t="s">
        <v>1488</v>
      </c>
      <c r="Z1595">
        <v>97452</v>
      </c>
    </row>
    <row r="1596" spans="1:26" x14ac:dyDescent="0.25">
      <c r="A1596" t="s">
        <v>1921</v>
      </c>
      <c r="C1596" t="s">
        <v>28</v>
      </c>
      <c r="E1596" t="s">
        <v>260</v>
      </c>
      <c r="H1596" s="2">
        <v>45728.435567129629</v>
      </c>
      <c r="I1596" t="s">
        <v>54</v>
      </c>
      <c r="Z1596">
        <v>97444</v>
      </c>
    </row>
    <row r="1597" spans="1:26" x14ac:dyDescent="0.25">
      <c r="A1597" t="s">
        <v>1922</v>
      </c>
      <c r="B1597" t="s">
        <v>27</v>
      </c>
      <c r="C1597" t="s">
        <v>28</v>
      </c>
      <c r="H1597" s="2">
        <v>45727.664097222223</v>
      </c>
      <c r="I1597" t="s">
        <v>1488</v>
      </c>
      <c r="Z1597">
        <v>97427</v>
      </c>
    </row>
    <row r="1598" spans="1:26" x14ac:dyDescent="0.25">
      <c r="A1598" t="s">
        <v>1923</v>
      </c>
      <c r="B1598" t="s">
        <v>1708</v>
      </c>
      <c r="C1598" t="s">
        <v>28</v>
      </c>
      <c r="E1598" t="s">
        <v>458</v>
      </c>
      <c r="G1598" t="s">
        <v>1924</v>
      </c>
      <c r="H1598" s="2">
        <v>45727.614386574074</v>
      </c>
      <c r="I1598" t="s">
        <v>54</v>
      </c>
      <c r="Z1598">
        <v>97422</v>
      </c>
    </row>
    <row r="1599" spans="1:26" x14ac:dyDescent="0.25">
      <c r="A1599" t="s">
        <v>1925</v>
      </c>
      <c r="B1599" t="s">
        <v>27</v>
      </c>
      <c r="C1599" t="s">
        <v>28</v>
      </c>
      <c r="H1599" s="2">
        <v>45726.568657407406</v>
      </c>
      <c r="I1599" t="s">
        <v>556</v>
      </c>
      <c r="Z1599">
        <v>97367</v>
      </c>
    </row>
    <row r="1600" spans="1:26" x14ac:dyDescent="0.25">
      <c r="A1600" t="s">
        <v>1926</v>
      </c>
      <c r="B1600" t="s">
        <v>27</v>
      </c>
      <c r="C1600" t="s">
        <v>28</v>
      </c>
      <c r="H1600" s="2">
        <v>45726.544953703706</v>
      </c>
      <c r="I1600" t="s">
        <v>1488</v>
      </c>
      <c r="Z1600">
        <v>97364</v>
      </c>
    </row>
    <row r="1601" spans="1:26" x14ac:dyDescent="0.25">
      <c r="A1601" t="s">
        <v>1927</v>
      </c>
      <c r="B1601" t="s">
        <v>27</v>
      </c>
      <c r="C1601" t="s">
        <v>28</v>
      </c>
      <c r="H1601" s="2">
        <v>45726.49895833333</v>
      </c>
      <c r="I1601" t="s">
        <v>1488</v>
      </c>
      <c r="Z1601">
        <v>97358</v>
      </c>
    </row>
    <row r="1602" spans="1:26" x14ac:dyDescent="0.25">
      <c r="A1602" t="s">
        <v>1928</v>
      </c>
      <c r="B1602" t="s">
        <v>74</v>
      </c>
      <c r="C1602" t="s">
        <v>28</v>
      </c>
      <c r="E1602" t="s">
        <v>183</v>
      </c>
      <c r="G1602" t="s">
        <v>1929</v>
      </c>
      <c r="H1602" s="2">
        <v>45725.977129629631</v>
      </c>
      <c r="I1602" t="s">
        <v>1488</v>
      </c>
      <c r="Z1602">
        <v>97344</v>
      </c>
    </row>
    <row r="1603" spans="1:26" x14ac:dyDescent="0.25">
      <c r="A1603" t="s">
        <v>1930</v>
      </c>
      <c r="B1603" t="s">
        <v>1708</v>
      </c>
      <c r="C1603" t="s">
        <v>28</v>
      </c>
      <c r="E1603" t="s">
        <v>1931</v>
      </c>
      <c r="H1603" s="2">
        <v>45725.932951388888</v>
      </c>
      <c r="I1603" t="s">
        <v>1488</v>
      </c>
      <c r="Z1603">
        <v>97343</v>
      </c>
    </row>
    <row r="1604" spans="1:26" x14ac:dyDescent="0.25">
      <c r="A1604" t="s">
        <v>1932</v>
      </c>
      <c r="B1604" t="s">
        <v>74</v>
      </c>
      <c r="C1604" t="s">
        <v>28</v>
      </c>
      <c r="E1604" t="s">
        <v>324</v>
      </c>
      <c r="G1604" t="s">
        <v>1933</v>
      </c>
      <c r="H1604" s="2">
        <v>45725.741840277777</v>
      </c>
      <c r="I1604" t="s">
        <v>556</v>
      </c>
      <c r="Z1604">
        <v>97336</v>
      </c>
    </row>
    <row r="1605" spans="1:26" x14ac:dyDescent="0.25">
      <c r="A1605" t="s">
        <v>1934</v>
      </c>
      <c r="B1605" t="s">
        <v>27</v>
      </c>
      <c r="C1605" t="s">
        <v>28</v>
      </c>
      <c r="H1605" s="2">
        <v>45725.693194444444</v>
      </c>
      <c r="I1605" t="s">
        <v>556</v>
      </c>
      <c r="Z1605">
        <v>97334</v>
      </c>
    </row>
    <row r="1606" spans="1:26" x14ac:dyDescent="0.25">
      <c r="A1606" t="s">
        <v>663</v>
      </c>
      <c r="C1606" t="s">
        <v>28</v>
      </c>
      <c r="E1606" t="s">
        <v>1935</v>
      </c>
      <c r="H1606" s="2">
        <v>45724.595486111109</v>
      </c>
      <c r="I1606" t="s">
        <v>31</v>
      </c>
      <c r="Z1606">
        <v>97302</v>
      </c>
    </row>
    <row r="1607" spans="1:26" x14ac:dyDescent="0.25">
      <c r="A1607" t="s">
        <v>1936</v>
      </c>
      <c r="B1607" t="s">
        <v>306</v>
      </c>
      <c r="C1607" t="s">
        <v>28</v>
      </c>
      <c r="E1607" t="s">
        <v>143</v>
      </c>
      <c r="H1607" s="2">
        <v>45724.594930555555</v>
      </c>
      <c r="I1607" t="s">
        <v>31</v>
      </c>
      <c r="Z1607">
        <v>97301</v>
      </c>
    </row>
    <row r="1608" spans="1:26" x14ac:dyDescent="0.25">
      <c r="A1608" t="s">
        <v>1937</v>
      </c>
      <c r="B1608" t="s">
        <v>306</v>
      </c>
      <c r="C1608" t="s">
        <v>28</v>
      </c>
      <c r="E1608" t="s">
        <v>1938</v>
      </c>
      <c r="H1608" s="2">
        <v>45723.775706018518</v>
      </c>
      <c r="I1608" t="s">
        <v>31</v>
      </c>
      <c r="Z1608">
        <v>97286</v>
      </c>
    </row>
    <row r="1609" spans="1:26" x14ac:dyDescent="0.25">
      <c r="A1609" t="s">
        <v>1939</v>
      </c>
      <c r="B1609" t="s">
        <v>27</v>
      </c>
      <c r="C1609" t="s">
        <v>28</v>
      </c>
      <c r="H1609" s="2">
        <v>45723.747210648151</v>
      </c>
      <c r="I1609" t="s">
        <v>31</v>
      </c>
      <c r="Z1609">
        <v>97285</v>
      </c>
    </row>
    <row r="1610" spans="1:26" x14ac:dyDescent="0.25">
      <c r="A1610" t="s">
        <v>1940</v>
      </c>
      <c r="B1610" t="s">
        <v>74</v>
      </c>
      <c r="C1610" t="s">
        <v>28</v>
      </c>
      <c r="E1610" t="s">
        <v>427</v>
      </c>
      <c r="G1610" t="s">
        <v>1688</v>
      </c>
      <c r="H1610" s="2">
        <v>45722.867094907408</v>
      </c>
      <c r="I1610" t="s">
        <v>1488</v>
      </c>
      <c r="Z1610">
        <v>97267</v>
      </c>
    </row>
    <row r="1611" spans="1:26" x14ac:dyDescent="0.25">
      <c r="A1611" t="s">
        <v>1941</v>
      </c>
      <c r="B1611" t="s">
        <v>1403</v>
      </c>
      <c r="C1611" t="s">
        <v>28</v>
      </c>
      <c r="E1611" t="s">
        <v>1942</v>
      </c>
      <c r="H1611" s="2">
        <v>45722.86446759259</v>
      </c>
      <c r="I1611" t="s">
        <v>1488</v>
      </c>
      <c r="Z1611">
        <v>97266</v>
      </c>
    </row>
    <row r="1612" spans="1:26" x14ac:dyDescent="0.25">
      <c r="A1612" t="s">
        <v>1943</v>
      </c>
      <c r="B1612" t="s">
        <v>27</v>
      </c>
      <c r="C1612" t="s">
        <v>28</v>
      </c>
      <c r="H1612" s="2">
        <v>45722.540162037039</v>
      </c>
      <c r="I1612" t="s">
        <v>54</v>
      </c>
      <c r="Z1612">
        <v>97257</v>
      </c>
    </row>
    <row r="1613" spans="1:26" x14ac:dyDescent="0.25">
      <c r="A1613" t="s">
        <v>1944</v>
      </c>
      <c r="C1613" t="s">
        <v>28</v>
      </c>
      <c r="E1613" t="s">
        <v>99</v>
      </c>
      <c r="H1613" s="2">
        <v>45721.678530092591</v>
      </c>
      <c r="I1613" t="s">
        <v>54</v>
      </c>
      <c r="Z1613">
        <v>97240</v>
      </c>
    </row>
    <row r="1614" spans="1:26" x14ac:dyDescent="0.25">
      <c r="A1614" t="s">
        <v>1945</v>
      </c>
      <c r="B1614" t="s">
        <v>27</v>
      </c>
      <c r="C1614" t="s">
        <v>185</v>
      </c>
      <c r="H1614" s="2">
        <v>45721.677361111113</v>
      </c>
      <c r="I1614" t="s">
        <v>54</v>
      </c>
      <c r="Z1614">
        <v>97239</v>
      </c>
    </row>
    <row r="1615" spans="1:26" x14ac:dyDescent="0.25">
      <c r="A1615" t="s">
        <v>1946</v>
      </c>
      <c r="B1615" t="s">
        <v>27</v>
      </c>
      <c r="C1615" t="s">
        <v>28</v>
      </c>
      <c r="H1615" s="2">
        <v>45721.649016203701</v>
      </c>
      <c r="I1615" t="s">
        <v>54</v>
      </c>
      <c r="Z1615">
        <v>97237</v>
      </c>
    </row>
    <row r="1616" spans="1:26" x14ac:dyDescent="0.25">
      <c r="A1616" t="s">
        <v>1947</v>
      </c>
      <c r="B1616" t="s">
        <v>27</v>
      </c>
      <c r="C1616" t="s">
        <v>28</v>
      </c>
      <c r="H1616" s="2">
        <v>45721.62709490741</v>
      </c>
      <c r="I1616" t="s">
        <v>1488</v>
      </c>
      <c r="Z1616">
        <v>97233</v>
      </c>
    </row>
    <row r="1617" spans="1:26" x14ac:dyDescent="0.25">
      <c r="A1617" t="s">
        <v>1948</v>
      </c>
      <c r="B1617" t="s">
        <v>27</v>
      </c>
      <c r="C1617" t="s">
        <v>28</v>
      </c>
      <c r="H1617" s="2">
        <v>45721.583645833336</v>
      </c>
      <c r="I1617" t="s">
        <v>1488</v>
      </c>
      <c r="Z1617">
        <v>97226</v>
      </c>
    </row>
    <row r="1618" spans="1:26" x14ac:dyDescent="0.25">
      <c r="A1618" t="s">
        <v>1949</v>
      </c>
      <c r="B1618" t="s">
        <v>27</v>
      </c>
      <c r="C1618" t="s">
        <v>28</v>
      </c>
      <c r="H1618" s="2">
        <v>45721.495752314811</v>
      </c>
      <c r="I1618" t="s">
        <v>54</v>
      </c>
      <c r="Z1618">
        <v>97218</v>
      </c>
    </row>
    <row r="1619" spans="1:26" x14ac:dyDescent="0.25">
      <c r="A1619" t="s">
        <v>1950</v>
      </c>
      <c r="B1619" t="s">
        <v>1403</v>
      </c>
      <c r="C1619" t="s">
        <v>28</v>
      </c>
      <c r="E1619" t="s">
        <v>1951</v>
      </c>
      <c r="G1619" t="s">
        <v>1952</v>
      </c>
      <c r="H1619" s="2">
        <v>45720.582974537036</v>
      </c>
      <c r="I1619" t="s">
        <v>1488</v>
      </c>
      <c r="Z1619">
        <v>97197</v>
      </c>
    </row>
    <row r="1620" spans="1:26" x14ac:dyDescent="0.25">
      <c r="A1620" t="s">
        <v>1953</v>
      </c>
      <c r="B1620" t="s">
        <v>27</v>
      </c>
      <c r="C1620" t="s">
        <v>28</v>
      </c>
      <c r="H1620" s="2">
        <v>45720.582604166666</v>
      </c>
      <c r="I1620" t="s">
        <v>556</v>
      </c>
      <c r="Z1620">
        <v>97196</v>
      </c>
    </row>
    <row r="1621" spans="1:26" x14ac:dyDescent="0.25">
      <c r="A1621" t="s">
        <v>1954</v>
      </c>
      <c r="B1621" t="s">
        <v>27</v>
      </c>
      <c r="C1621" t="s">
        <v>28</v>
      </c>
      <c r="H1621" s="2">
        <v>45720.522916666669</v>
      </c>
      <c r="I1621" t="s">
        <v>1488</v>
      </c>
      <c r="Z1621">
        <v>97192</v>
      </c>
    </row>
    <row r="1622" spans="1:26" x14ac:dyDescent="0.25">
      <c r="A1622" t="s">
        <v>1955</v>
      </c>
      <c r="B1622" t="s">
        <v>27</v>
      </c>
      <c r="C1622" t="s">
        <v>28</v>
      </c>
      <c r="H1622" s="2">
        <v>45720.483148148145</v>
      </c>
      <c r="I1622" t="s">
        <v>556</v>
      </c>
      <c r="Z1622">
        <v>97189</v>
      </c>
    </row>
    <row r="1623" spans="1:26" x14ac:dyDescent="0.25">
      <c r="A1623" t="s">
        <v>1956</v>
      </c>
      <c r="B1623" t="s">
        <v>27</v>
      </c>
      <c r="C1623" t="s">
        <v>28</v>
      </c>
      <c r="H1623" s="2">
        <v>45719.672407407408</v>
      </c>
      <c r="I1623" t="s">
        <v>556</v>
      </c>
      <c r="Z1623">
        <v>97172</v>
      </c>
    </row>
    <row r="1624" spans="1:26" x14ac:dyDescent="0.25">
      <c r="A1624" t="s">
        <v>1957</v>
      </c>
      <c r="B1624" t="s">
        <v>27</v>
      </c>
      <c r="C1624" t="s">
        <v>28</v>
      </c>
      <c r="H1624" s="2">
        <v>45719.633402777778</v>
      </c>
      <c r="I1624" t="s">
        <v>556</v>
      </c>
      <c r="Z1624">
        <v>97168</v>
      </c>
    </row>
    <row r="1625" spans="1:26" x14ac:dyDescent="0.25">
      <c r="A1625" t="s">
        <v>1958</v>
      </c>
      <c r="B1625" t="s">
        <v>1708</v>
      </c>
      <c r="C1625" t="s">
        <v>28</v>
      </c>
      <c r="E1625" t="s">
        <v>198</v>
      </c>
      <c r="H1625" s="2">
        <v>45718.778460648151</v>
      </c>
      <c r="I1625" t="s">
        <v>31</v>
      </c>
      <c r="Z1625">
        <v>97149</v>
      </c>
    </row>
    <row r="1626" spans="1:26" x14ac:dyDescent="0.25">
      <c r="A1626" t="s">
        <v>1959</v>
      </c>
      <c r="B1626" t="s">
        <v>27</v>
      </c>
      <c r="C1626" t="s">
        <v>28</v>
      </c>
      <c r="H1626" s="2">
        <v>45717.530509259261</v>
      </c>
      <c r="I1626" t="s">
        <v>54</v>
      </c>
      <c r="Z1626">
        <v>97114</v>
      </c>
    </row>
    <row r="1627" spans="1:26" x14ac:dyDescent="0.25">
      <c r="A1627" t="s">
        <v>1960</v>
      </c>
      <c r="B1627" t="s">
        <v>27</v>
      </c>
      <c r="C1627" t="s">
        <v>28</v>
      </c>
      <c r="H1627" s="2">
        <v>45717.498564814814</v>
      </c>
      <c r="I1627" t="s">
        <v>54</v>
      </c>
      <c r="Z1627">
        <v>97110</v>
      </c>
    </row>
    <row r="1628" spans="1:26" x14ac:dyDescent="0.25">
      <c r="A1628" t="s">
        <v>1961</v>
      </c>
      <c r="B1628" t="s">
        <v>27</v>
      </c>
      <c r="C1628" t="s">
        <v>28</v>
      </c>
      <c r="H1628" s="2">
        <v>45717.416192129633</v>
      </c>
      <c r="I1628" t="s">
        <v>54</v>
      </c>
      <c r="Z1628">
        <v>97103</v>
      </c>
    </row>
    <row r="1629" spans="1:26" x14ac:dyDescent="0.25">
      <c r="A1629" t="s">
        <v>1962</v>
      </c>
      <c r="B1629" t="s">
        <v>27</v>
      </c>
      <c r="C1629" t="s">
        <v>28</v>
      </c>
      <c r="E1629" t="s">
        <v>1963</v>
      </c>
      <c r="H1629" s="2">
        <v>45716.793368055558</v>
      </c>
      <c r="I1629" t="s">
        <v>1488</v>
      </c>
      <c r="Z1629">
        <v>97098</v>
      </c>
    </row>
    <row r="1630" spans="1:26" x14ac:dyDescent="0.25">
      <c r="A1630" t="s">
        <v>1964</v>
      </c>
      <c r="B1630" t="s">
        <v>27</v>
      </c>
      <c r="C1630" t="s">
        <v>28</v>
      </c>
      <c r="H1630" s="2">
        <v>45716.753946759258</v>
      </c>
      <c r="I1630" t="s">
        <v>54</v>
      </c>
      <c r="Z1630">
        <v>97093</v>
      </c>
    </row>
    <row r="1631" spans="1:26" x14ac:dyDescent="0.25">
      <c r="A1631" t="s">
        <v>1965</v>
      </c>
      <c r="B1631" t="s">
        <v>27</v>
      </c>
      <c r="C1631" t="s">
        <v>28</v>
      </c>
      <c r="H1631" s="2">
        <v>45716.740127314813</v>
      </c>
      <c r="I1631" t="s">
        <v>54</v>
      </c>
      <c r="Z1631">
        <v>97092</v>
      </c>
    </row>
    <row r="1632" spans="1:26" x14ac:dyDescent="0.25">
      <c r="A1632" t="s">
        <v>1966</v>
      </c>
      <c r="B1632" t="s">
        <v>27</v>
      </c>
      <c r="C1632" t="s">
        <v>28</v>
      </c>
      <c r="H1632" s="2">
        <v>45715.878229166665</v>
      </c>
      <c r="I1632" t="s">
        <v>54</v>
      </c>
      <c r="Z1632">
        <v>97070</v>
      </c>
    </row>
    <row r="1633" spans="1:26" x14ac:dyDescent="0.25">
      <c r="A1633" t="s">
        <v>1967</v>
      </c>
      <c r="B1633" t="s">
        <v>27</v>
      </c>
      <c r="C1633" t="s">
        <v>28</v>
      </c>
      <c r="H1633" s="2">
        <v>45715.86482638889</v>
      </c>
      <c r="I1633" t="s">
        <v>1488</v>
      </c>
      <c r="Z1633">
        <v>97069</v>
      </c>
    </row>
    <row r="1634" spans="1:26" x14ac:dyDescent="0.25">
      <c r="A1634" t="s">
        <v>1968</v>
      </c>
      <c r="B1634" t="s">
        <v>1708</v>
      </c>
      <c r="C1634" t="s">
        <v>28</v>
      </c>
      <c r="E1634" t="s">
        <v>101</v>
      </c>
      <c r="G1634" t="s">
        <v>1969</v>
      </c>
      <c r="H1634" s="2">
        <v>45715.381655092591</v>
      </c>
      <c r="I1634" t="s">
        <v>54</v>
      </c>
      <c r="Z1634">
        <v>97042</v>
      </c>
    </row>
    <row r="1635" spans="1:26" x14ac:dyDescent="0.25">
      <c r="A1635" t="s">
        <v>1970</v>
      </c>
      <c r="B1635" t="s">
        <v>27</v>
      </c>
      <c r="C1635" t="s">
        <v>28</v>
      </c>
      <c r="H1635" s="2">
        <v>45714.851041666669</v>
      </c>
      <c r="I1635" t="s">
        <v>556</v>
      </c>
      <c r="Z1635">
        <v>97037</v>
      </c>
    </row>
    <row r="1636" spans="1:26" x14ac:dyDescent="0.25">
      <c r="A1636" t="s">
        <v>1971</v>
      </c>
      <c r="B1636" t="s">
        <v>27</v>
      </c>
      <c r="C1636" t="s">
        <v>28</v>
      </c>
      <c r="H1636" s="2">
        <v>45714.785162037035</v>
      </c>
      <c r="I1636" t="s">
        <v>1488</v>
      </c>
      <c r="Z1636">
        <v>97034</v>
      </c>
    </row>
    <row r="1637" spans="1:26" x14ac:dyDescent="0.25">
      <c r="A1637" t="s">
        <v>1972</v>
      </c>
      <c r="B1637" t="s">
        <v>27</v>
      </c>
      <c r="C1637" t="s">
        <v>28</v>
      </c>
      <c r="H1637" s="2">
        <v>45714.540092592593</v>
      </c>
      <c r="I1637" t="s">
        <v>556</v>
      </c>
      <c r="Z1637">
        <v>97019</v>
      </c>
    </row>
    <row r="1638" spans="1:26" x14ac:dyDescent="0.25">
      <c r="A1638" t="s">
        <v>1973</v>
      </c>
      <c r="B1638" t="s">
        <v>74</v>
      </c>
      <c r="C1638" t="s">
        <v>28</v>
      </c>
      <c r="E1638" t="s">
        <v>1653</v>
      </c>
      <c r="G1638" t="s">
        <v>1974</v>
      </c>
      <c r="H1638" s="2">
        <v>45714.528969907406</v>
      </c>
      <c r="I1638" t="s">
        <v>556</v>
      </c>
      <c r="Z1638">
        <v>97018</v>
      </c>
    </row>
    <row r="1639" spans="1:26" x14ac:dyDescent="0.25">
      <c r="A1639" t="s">
        <v>1975</v>
      </c>
      <c r="B1639" t="s">
        <v>27</v>
      </c>
      <c r="C1639" t="s">
        <v>28</v>
      </c>
      <c r="H1639" s="2">
        <v>45714.516064814816</v>
      </c>
      <c r="I1639" t="s">
        <v>556</v>
      </c>
      <c r="Z1639">
        <v>97017</v>
      </c>
    </row>
    <row r="1640" spans="1:26" x14ac:dyDescent="0.25">
      <c r="A1640" t="s">
        <v>1976</v>
      </c>
      <c r="B1640" t="s">
        <v>1403</v>
      </c>
      <c r="C1640" t="s">
        <v>28</v>
      </c>
      <c r="E1640" t="s">
        <v>1653</v>
      </c>
      <c r="H1640" s="2">
        <v>45714.50099537037</v>
      </c>
      <c r="I1640" t="s">
        <v>556</v>
      </c>
      <c r="Z1640">
        <v>97013</v>
      </c>
    </row>
    <row r="1641" spans="1:26" x14ac:dyDescent="0.25">
      <c r="A1641" t="s">
        <v>1220</v>
      </c>
      <c r="C1641" t="s">
        <v>28</v>
      </c>
      <c r="E1641" t="s">
        <v>72</v>
      </c>
      <c r="H1641" s="2">
        <v>45713.738668981481</v>
      </c>
      <c r="I1641" t="s">
        <v>31</v>
      </c>
      <c r="Z1641">
        <v>97005</v>
      </c>
    </row>
    <row r="1642" spans="1:26" x14ac:dyDescent="0.25">
      <c r="A1642" t="s">
        <v>1977</v>
      </c>
      <c r="B1642" t="s">
        <v>74</v>
      </c>
      <c r="C1642" t="s">
        <v>28</v>
      </c>
      <c r="E1642" t="s">
        <v>1978</v>
      </c>
      <c r="G1642" t="s">
        <v>1979</v>
      </c>
      <c r="H1642" s="2">
        <v>45713.718900462962</v>
      </c>
      <c r="I1642" t="s">
        <v>31</v>
      </c>
      <c r="K1642" t="s">
        <v>34</v>
      </c>
      <c r="L1642" t="s">
        <v>35</v>
      </c>
      <c r="M1642">
        <v>67131912</v>
      </c>
      <c r="N1642">
        <v>12886389953</v>
      </c>
      <c r="O1642" t="s">
        <v>461</v>
      </c>
      <c r="Z1642">
        <v>97002</v>
      </c>
    </row>
    <row r="1643" spans="1:26" x14ac:dyDescent="0.25">
      <c r="A1643" t="s">
        <v>1980</v>
      </c>
      <c r="B1643" t="s">
        <v>27</v>
      </c>
      <c r="C1643" t="s">
        <v>28</v>
      </c>
      <c r="E1643" t="s">
        <v>1981</v>
      </c>
      <c r="H1643" s="2">
        <v>45713.584143518521</v>
      </c>
      <c r="I1643" t="s">
        <v>31</v>
      </c>
      <c r="Z1643">
        <v>96992</v>
      </c>
    </row>
    <row r="1644" spans="1:26" x14ac:dyDescent="0.25">
      <c r="A1644" t="s">
        <v>1982</v>
      </c>
      <c r="B1644" t="s">
        <v>27</v>
      </c>
      <c r="C1644" t="s">
        <v>28</v>
      </c>
      <c r="H1644" s="2">
        <v>45713.553356481483</v>
      </c>
      <c r="I1644" t="s">
        <v>556</v>
      </c>
      <c r="Z1644">
        <v>96991</v>
      </c>
    </row>
    <row r="1645" spans="1:26" x14ac:dyDescent="0.25">
      <c r="A1645" t="s">
        <v>1983</v>
      </c>
      <c r="B1645" t="s">
        <v>27</v>
      </c>
      <c r="C1645" t="s">
        <v>28</v>
      </c>
      <c r="H1645" s="2">
        <v>45712.62903935185</v>
      </c>
      <c r="I1645" t="s">
        <v>31</v>
      </c>
      <c r="Z1645">
        <v>96962</v>
      </c>
    </row>
    <row r="1646" spans="1:26" x14ac:dyDescent="0.25">
      <c r="A1646" t="s">
        <v>1984</v>
      </c>
      <c r="B1646" t="s">
        <v>27</v>
      </c>
      <c r="C1646" t="s">
        <v>28</v>
      </c>
      <c r="H1646" s="2">
        <v>45712.391469907408</v>
      </c>
      <c r="I1646" t="s">
        <v>556</v>
      </c>
      <c r="Z1646">
        <v>96943</v>
      </c>
    </row>
    <row r="1647" spans="1:26" x14ac:dyDescent="0.25">
      <c r="A1647" t="s">
        <v>1985</v>
      </c>
      <c r="B1647" t="s">
        <v>27</v>
      </c>
      <c r="C1647" t="s">
        <v>28</v>
      </c>
      <c r="H1647" s="2">
        <v>45711.699050925927</v>
      </c>
      <c r="I1647" t="s">
        <v>31</v>
      </c>
      <c r="Z1647">
        <v>96931</v>
      </c>
    </row>
    <row r="1648" spans="1:26" x14ac:dyDescent="0.25">
      <c r="A1648" t="s">
        <v>1986</v>
      </c>
      <c r="B1648" t="s">
        <v>74</v>
      </c>
      <c r="C1648" t="s">
        <v>28</v>
      </c>
      <c r="E1648" t="s">
        <v>1987</v>
      </c>
      <c r="G1648" t="s">
        <v>1988</v>
      </c>
      <c r="H1648" s="2">
        <v>45710.793668981481</v>
      </c>
      <c r="I1648" t="s">
        <v>54</v>
      </c>
      <c r="Z1648">
        <v>96908</v>
      </c>
    </row>
    <row r="1649" spans="1:26" x14ac:dyDescent="0.25">
      <c r="A1649" t="s">
        <v>1989</v>
      </c>
      <c r="B1649" t="s">
        <v>27</v>
      </c>
      <c r="C1649" t="s">
        <v>28</v>
      </c>
      <c r="H1649" s="2">
        <v>45710.403865740744</v>
      </c>
      <c r="I1649" t="s">
        <v>54</v>
      </c>
      <c r="Z1649">
        <v>96883</v>
      </c>
    </row>
    <row r="1650" spans="1:26" x14ac:dyDescent="0.25">
      <c r="A1650" t="s">
        <v>1990</v>
      </c>
      <c r="B1650" t="s">
        <v>27</v>
      </c>
      <c r="C1650" t="s">
        <v>28</v>
      </c>
      <c r="H1650" s="2">
        <v>45709.499675925923</v>
      </c>
      <c r="I1650" t="s">
        <v>54</v>
      </c>
      <c r="Z1650">
        <v>96859</v>
      </c>
    </row>
    <row r="1651" spans="1:26" x14ac:dyDescent="0.25">
      <c r="A1651" t="s">
        <v>1991</v>
      </c>
      <c r="B1651" t="s">
        <v>27</v>
      </c>
      <c r="C1651" t="s">
        <v>28</v>
      </c>
      <c r="H1651" s="2">
        <v>45707.510972222219</v>
      </c>
      <c r="I1651" t="s">
        <v>31</v>
      </c>
      <c r="Z1651">
        <v>96794</v>
      </c>
    </row>
    <row r="1652" spans="1:26" x14ac:dyDescent="0.25">
      <c r="A1652" t="s">
        <v>1992</v>
      </c>
      <c r="B1652" t="s">
        <v>1993</v>
      </c>
      <c r="C1652" t="s">
        <v>28</v>
      </c>
      <c r="E1652" t="s">
        <v>370</v>
      </c>
      <c r="H1652" s="2">
        <v>45707.368217592593</v>
      </c>
      <c r="I1652" t="s">
        <v>31</v>
      </c>
      <c r="Z1652">
        <v>96785</v>
      </c>
    </row>
    <row r="1653" spans="1:26" x14ac:dyDescent="0.25">
      <c r="A1653" t="s">
        <v>1994</v>
      </c>
      <c r="B1653" t="s">
        <v>27</v>
      </c>
      <c r="C1653" t="s">
        <v>28</v>
      </c>
      <c r="H1653" s="2">
        <v>45706.751932870371</v>
      </c>
      <c r="I1653" t="s">
        <v>556</v>
      </c>
      <c r="Z1653">
        <v>96780</v>
      </c>
    </row>
    <row r="1654" spans="1:26" x14ac:dyDescent="0.25">
      <c r="A1654" t="s">
        <v>1995</v>
      </c>
      <c r="B1654" t="s">
        <v>27</v>
      </c>
      <c r="C1654" t="s">
        <v>28</v>
      </c>
      <c r="E1654" t="s">
        <v>1996</v>
      </c>
      <c r="H1654" s="2">
        <v>45706.735578703701</v>
      </c>
      <c r="I1654" t="s">
        <v>31</v>
      </c>
      <c r="Z1654">
        <v>96779</v>
      </c>
    </row>
    <row r="1655" spans="1:26" x14ac:dyDescent="0.25">
      <c r="A1655" t="s">
        <v>1997</v>
      </c>
      <c r="B1655" t="s">
        <v>74</v>
      </c>
      <c r="C1655" t="s">
        <v>28</v>
      </c>
      <c r="E1655" t="s">
        <v>370</v>
      </c>
      <c r="G1655" t="s">
        <v>1998</v>
      </c>
      <c r="H1655" s="2">
        <v>45706.699826388889</v>
      </c>
      <c r="I1655" t="s">
        <v>556</v>
      </c>
      <c r="Z1655">
        <v>96778</v>
      </c>
    </row>
    <row r="1656" spans="1:26" x14ac:dyDescent="0.25">
      <c r="A1656" t="s">
        <v>1999</v>
      </c>
      <c r="B1656" t="s">
        <v>27</v>
      </c>
      <c r="C1656" t="s">
        <v>28</v>
      </c>
      <c r="H1656" s="2">
        <v>45706.463414351849</v>
      </c>
      <c r="I1656" t="s">
        <v>556</v>
      </c>
      <c r="Z1656">
        <v>96761</v>
      </c>
    </row>
    <row r="1657" spans="1:26" x14ac:dyDescent="0.25">
      <c r="A1657" t="s">
        <v>2000</v>
      </c>
      <c r="B1657" t="s">
        <v>27</v>
      </c>
      <c r="C1657" t="s">
        <v>28</v>
      </c>
      <c r="H1657" s="2">
        <v>45705.759710648148</v>
      </c>
      <c r="I1657" t="s">
        <v>2001</v>
      </c>
      <c r="Z1657">
        <v>96746</v>
      </c>
    </row>
    <row r="1658" spans="1:26" x14ac:dyDescent="0.25">
      <c r="A1658" t="s">
        <v>2002</v>
      </c>
      <c r="B1658" t="s">
        <v>27</v>
      </c>
      <c r="C1658" t="s">
        <v>28</v>
      </c>
      <c r="H1658" s="2">
        <v>45705.671342592592</v>
      </c>
      <c r="I1658" t="s">
        <v>54</v>
      </c>
      <c r="Z1658">
        <v>96744</v>
      </c>
    </row>
    <row r="1659" spans="1:26" x14ac:dyDescent="0.25">
      <c r="A1659" t="s">
        <v>2003</v>
      </c>
      <c r="B1659" t="s">
        <v>27</v>
      </c>
      <c r="C1659" t="s">
        <v>28</v>
      </c>
      <c r="E1659" t="s">
        <v>2004</v>
      </c>
      <c r="H1659" s="2">
        <v>45705.515127314815</v>
      </c>
      <c r="I1659" t="s">
        <v>31</v>
      </c>
      <c r="Z1659">
        <v>96732</v>
      </c>
    </row>
    <row r="1660" spans="1:26" x14ac:dyDescent="0.25">
      <c r="A1660" t="s">
        <v>2005</v>
      </c>
      <c r="B1660" t="s">
        <v>27</v>
      </c>
      <c r="C1660" t="s">
        <v>28</v>
      </c>
      <c r="H1660" s="2">
        <v>45704.782314814816</v>
      </c>
      <c r="I1660" t="s">
        <v>1488</v>
      </c>
      <c r="Z1660">
        <v>96705</v>
      </c>
    </row>
    <row r="1661" spans="1:26" x14ac:dyDescent="0.25">
      <c r="A1661" t="s">
        <v>2006</v>
      </c>
      <c r="B1661" t="s">
        <v>1403</v>
      </c>
      <c r="C1661" t="s">
        <v>28</v>
      </c>
      <c r="E1661" t="s">
        <v>146</v>
      </c>
      <c r="H1661" s="2">
        <v>45704.648668981485</v>
      </c>
      <c r="I1661" t="s">
        <v>54</v>
      </c>
      <c r="K1661" t="s">
        <v>34</v>
      </c>
      <c r="L1661" t="s">
        <v>35</v>
      </c>
      <c r="M1661">
        <v>67131912</v>
      </c>
      <c r="N1661">
        <v>12886389936</v>
      </c>
      <c r="O1661" t="s">
        <v>461</v>
      </c>
      <c r="Z1661">
        <v>96693</v>
      </c>
    </row>
    <row r="1662" spans="1:26" x14ac:dyDescent="0.25">
      <c r="A1662" t="s">
        <v>2007</v>
      </c>
      <c r="B1662" t="s">
        <v>27</v>
      </c>
      <c r="C1662" t="s">
        <v>28</v>
      </c>
      <c r="H1662" s="2">
        <v>45703.751238425924</v>
      </c>
      <c r="I1662" t="s">
        <v>1488</v>
      </c>
      <c r="Z1662">
        <v>96668</v>
      </c>
    </row>
    <row r="1663" spans="1:26" x14ac:dyDescent="0.25">
      <c r="A1663" t="s">
        <v>2008</v>
      </c>
      <c r="B1663" t="s">
        <v>27</v>
      </c>
      <c r="C1663" t="s">
        <v>28</v>
      </c>
      <c r="H1663" s="2">
        <v>45702.524085648147</v>
      </c>
      <c r="I1663" t="s">
        <v>1488</v>
      </c>
      <c r="Z1663">
        <v>96625</v>
      </c>
    </row>
    <row r="1664" spans="1:26" x14ac:dyDescent="0.25">
      <c r="A1664" t="s">
        <v>606</v>
      </c>
      <c r="B1664" t="s">
        <v>306</v>
      </c>
      <c r="C1664" t="s">
        <v>28</v>
      </c>
      <c r="E1664" t="s">
        <v>198</v>
      </c>
      <c r="H1664" s="2">
        <v>45702.45076388889</v>
      </c>
      <c r="I1664" t="s">
        <v>556</v>
      </c>
      <c r="Z1664">
        <v>96618</v>
      </c>
    </row>
    <row r="1665" spans="1:26" x14ac:dyDescent="0.25">
      <c r="A1665" t="s">
        <v>2009</v>
      </c>
      <c r="B1665" t="s">
        <v>1708</v>
      </c>
      <c r="C1665" t="s">
        <v>28</v>
      </c>
      <c r="E1665" t="s">
        <v>2010</v>
      </c>
      <c r="H1665" s="2">
        <v>45702.438009259262</v>
      </c>
      <c r="I1665" t="s">
        <v>1488</v>
      </c>
      <c r="Z1665">
        <v>96616</v>
      </c>
    </row>
    <row r="1666" spans="1:26" x14ac:dyDescent="0.25">
      <c r="A1666" t="s">
        <v>207</v>
      </c>
      <c r="C1666" t="s">
        <v>28</v>
      </c>
      <c r="E1666" t="s">
        <v>198</v>
      </c>
      <c r="H1666" s="2">
        <v>45701.555509259262</v>
      </c>
      <c r="I1666" t="s">
        <v>31</v>
      </c>
      <c r="Z1666">
        <v>96588</v>
      </c>
    </row>
    <row r="1667" spans="1:26" x14ac:dyDescent="0.25">
      <c r="A1667" t="s">
        <v>336</v>
      </c>
      <c r="B1667" t="s">
        <v>74</v>
      </c>
      <c r="C1667" t="s">
        <v>28</v>
      </c>
      <c r="E1667" t="s">
        <v>59</v>
      </c>
      <c r="G1667" t="s">
        <v>2011</v>
      </c>
      <c r="H1667" s="2">
        <v>45700.673171296294</v>
      </c>
      <c r="I1667" t="s">
        <v>31</v>
      </c>
      <c r="Z1667">
        <v>96545</v>
      </c>
    </row>
    <row r="1668" spans="1:26" x14ac:dyDescent="0.25">
      <c r="A1668" t="s">
        <v>2012</v>
      </c>
      <c r="B1668" t="s">
        <v>74</v>
      </c>
      <c r="C1668" t="s">
        <v>28</v>
      </c>
      <c r="E1668" t="s">
        <v>61</v>
      </c>
      <c r="G1668" t="s">
        <v>2013</v>
      </c>
      <c r="H1668" s="2">
        <v>45700.650462962964</v>
      </c>
      <c r="I1668" t="s">
        <v>31</v>
      </c>
      <c r="K1668" t="s">
        <v>34</v>
      </c>
      <c r="L1668" t="s">
        <v>35</v>
      </c>
      <c r="M1668">
        <v>55887089</v>
      </c>
      <c r="N1668">
        <v>9754619198</v>
      </c>
      <c r="O1668" t="s">
        <v>461</v>
      </c>
      <c r="Z1668">
        <v>96540</v>
      </c>
    </row>
    <row r="1669" spans="1:26" x14ac:dyDescent="0.25">
      <c r="A1669" t="s">
        <v>336</v>
      </c>
      <c r="B1669" t="s">
        <v>27</v>
      </c>
      <c r="C1669" t="s">
        <v>28</v>
      </c>
      <c r="H1669" s="2">
        <v>45700.616759259261</v>
      </c>
      <c r="I1669" t="s">
        <v>31</v>
      </c>
      <c r="Z1669">
        <v>96538</v>
      </c>
    </row>
    <row r="1670" spans="1:26" x14ac:dyDescent="0.25">
      <c r="A1670" t="s">
        <v>2014</v>
      </c>
      <c r="C1670" t="s">
        <v>28</v>
      </c>
      <c r="E1670" t="s">
        <v>1357</v>
      </c>
      <c r="H1670" s="2">
        <v>45700.583009259259</v>
      </c>
      <c r="I1670" t="s">
        <v>31</v>
      </c>
      <c r="Z1670">
        <v>96536</v>
      </c>
    </row>
    <row r="1671" spans="1:26" x14ac:dyDescent="0.25">
      <c r="A1671" t="s">
        <v>2015</v>
      </c>
      <c r="B1671" t="s">
        <v>27</v>
      </c>
      <c r="C1671" t="s">
        <v>28</v>
      </c>
      <c r="H1671" s="2">
        <v>45699.524189814816</v>
      </c>
      <c r="I1671" t="s">
        <v>54</v>
      </c>
      <c r="Z1671">
        <v>96493</v>
      </c>
    </row>
    <row r="1672" spans="1:26" x14ac:dyDescent="0.25">
      <c r="A1672" t="s">
        <v>2016</v>
      </c>
      <c r="B1672" t="s">
        <v>27</v>
      </c>
      <c r="C1672" t="s">
        <v>28</v>
      </c>
      <c r="H1672" s="2">
        <v>45699.493090277778</v>
      </c>
      <c r="I1672" t="s">
        <v>31</v>
      </c>
      <c r="Z1672">
        <v>96487</v>
      </c>
    </row>
    <row r="1673" spans="1:26" x14ac:dyDescent="0.25">
      <c r="A1673" t="s">
        <v>2017</v>
      </c>
      <c r="B1673" t="s">
        <v>27</v>
      </c>
      <c r="C1673" t="s">
        <v>28</v>
      </c>
      <c r="H1673" s="2">
        <v>45698.734293981484</v>
      </c>
      <c r="I1673" t="s">
        <v>1488</v>
      </c>
      <c r="Z1673">
        <v>96464</v>
      </c>
    </row>
    <row r="1674" spans="1:26" x14ac:dyDescent="0.25">
      <c r="A1674" t="s">
        <v>2018</v>
      </c>
      <c r="B1674" t="s">
        <v>27</v>
      </c>
      <c r="C1674" t="s">
        <v>28</v>
      </c>
      <c r="H1674" s="2">
        <v>45696.720439814817</v>
      </c>
      <c r="I1674" t="s">
        <v>1488</v>
      </c>
      <c r="Z1674">
        <v>96380</v>
      </c>
    </row>
    <row r="1675" spans="1:26" x14ac:dyDescent="0.25">
      <c r="A1675" t="s">
        <v>2019</v>
      </c>
      <c r="B1675" t="s">
        <v>27</v>
      </c>
      <c r="C1675" t="s">
        <v>28</v>
      </c>
      <c r="H1675" s="2">
        <v>45696.672361111108</v>
      </c>
      <c r="I1675" t="s">
        <v>1488</v>
      </c>
      <c r="Z1675">
        <v>96376</v>
      </c>
    </row>
    <row r="1676" spans="1:26" x14ac:dyDescent="0.25">
      <c r="A1676" t="s">
        <v>2020</v>
      </c>
      <c r="B1676" t="s">
        <v>27</v>
      </c>
      <c r="C1676" t="s">
        <v>28</v>
      </c>
      <c r="H1676" s="2">
        <v>45696.44358796296</v>
      </c>
      <c r="I1676" t="s">
        <v>1488</v>
      </c>
      <c r="Z1676">
        <v>96351</v>
      </c>
    </row>
    <row r="1677" spans="1:26" x14ac:dyDescent="0.25">
      <c r="A1677" t="s">
        <v>2021</v>
      </c>
      <c r="B1677" t="s">
        <v>27</v>
      </c>
      <c r="C1677" t="s">
        <v>28</v>
      </c>
      <c r="H1677" s="2">
        <v>45695.654768518521</v>
      </c>
      <c r="I1677" t="s">
        <v>556</v>
      </c>
      <c r="Z1677">
        <v>96329</v>
      </c>
    </row>
    <row r="1678" spans="1:26" x14ac:dyDescent="0.25">
      <c r="A1678" t="s">
        <v>336</v>
      </c>
      <c r="B1678" t="s">
        <v>27</v>
      </c>
      <c r="C1678" t="s">
        <v>28</v>
      </c>
      <c r="H1678" s="2">
        <v>45695.461145833331</v>
      </c>
      <c r="I1678" t="s">
        <v>31</v>
      </c>
      <c r="Z1678">
        <v>96306</v>
      </c>
    </row>
    <row r="1679" spans="1:26" x14ac:dyDescent="0.25">
      <c r="A1679" t="s">
        <v>2022</v>
      </c>
      <c r="B1679" t="s">
        <v>27</v>
      </c>
      <c r="C1679" t="s">
        <v>28</v>
      </c>
      <c r="H1679" s="2">
        <v>45694.774317129632</v>
      </c>
      <c r="I1679" t="s">
        <v>556</v>
      </c>
      <c r="Z1679">
        <v>96287</v>
      </c>
    </row>
    <row r="1680" spans="1:26" x14ac:dyDescent="0.25">
      <c r="A1680" t="s">
        <v>2023</v>
      </c>
      <c r="B1680" t="s">
        <v>27</v>
      </c>
      <c r="C1680" t="s">
        <v>28</v>
      </c>
      <c r="H1680" s="2">
        <v>45693.502210648148</v>
      </c>
      <c r="I1680" t="s">
        <v>31</v>
      </c>
      <c r="Z1680">
        <v>96206</v>
      </c>
    </row>
    <row r="1681" spans="1:26" x14ac:dyDescent="0.25">
      <c r="A1681" t="s">
        <v>2024</v>
      </c>
      <c r="B1681" t="s">
        <v>27</v>
      </c>
      <c r="C1681" t="s">
        <v>28</v>
      </c>
      <c r="H1681" s="2">
        <v>45692.867627314816</v>
      </c>
      <c r="I1681" t="s">
        <v>54</v>
      </c>
      <c r="Z1681">
        <v>96185</v>
      </c>
    </row>
    <row r="1682" spans="1:26" x14ac:dyDescent="0.25">
      <c r="A1682" t="s">
        <v>2025</v>
      </c>
      <c r="B1682" t="s">
        <v>27</v>
      </c>
      <c r="C1682" t="s">
        <v>28</v>
      </c>
      <c r="H1682" s="2">
        <v>45692.85833333333</v>
      </c>
      <c r="I1682" t="s">
        <v>54</v>
      </c>
      <c r="Z1682">
        <v>96183</v>
      </c>
    </row>
    <row r="1683" spans="1:26" x14ac:dyDescent="0.25">
      <c r="A1683" t="s">
        <v>2026</v>
      </c>
      <c r="B1683" t="s">
        <v>27</v>
      </c>
      <c r="C1683" t="s">
        <v>28</v>
      </c>
      <c r="H1683" s="2">
        <v>45692.737534722219</v>
      </c>
      <c r="I1683" t="s">
        <v>1488</v>
      </c>
      <c r="Z1683">
        <v>96177</v>
      </c>
    </row>
    <row r="1684" spans="1:26" x14ac:dyDescent="0.25">
      <c r="A1684" t="s">
        <v>2027</v>
      </c>
      <c r="B1684" t="s">
        <v>27</v>
      </c>
      <c r="C1684" t="s">
        <v>28</v>
      </c>
      <c r="H1684" s="2">
        <v>45692.684999999998</v>
      </c>
      <c r="I1684" t="s">
        <v>1488</v>
      </c>
      <c r="Z1684">
        <v>96173</v>
      </c>
    </row>
    <row r="1685" spans="1:26" x14ac:dyDescent="0.25">
      <c r="A1685" t="s">
        <v>2028</v>
      </c>
      <c r="B1685" t="s">
        <v>27</v>
      </c>
      <c r="C1685" t="s">
        <v>28</v>
      </c>
      <c r="H1685" s="2">
        <v>45692.609305555554</v>
      </c>
      <c r="I1685" t="s">
        <v>54</v>
      </c>
      <c r="Z1685">
        <v>96170</v>
      </c>
    </row>
    <row r="1686" spans="1:26" x14ac:dyDescent="0.25">
      <c r="A1686" t="s">
        <v>2029</v>
      </c>
      <c r="B1686" t="s">
        <v>27</v>
      </c>
      <c r="C1686" t="s">
        <v>28</v>
      </c>
      <c r="H1686" s="2">
        <v>45692.461805555555</v>
      </c>
      <c r="I1686" t="s">
        <v>54</v>
      </c>
      <c r="Z1686">
        <v>96160</v>
      </c>
    </row>
    <row r="1687" spans="1:26" x14ac:dyDescent="0.25">
      <c r="A1687" t="s">
        <v>2030</v>
      </c>
      <c r="B1687" t="s">
        <v>27</v>
      </c>
      <c r="C1687" t="s">
        <v>28</v>
      </c>
      <c r="H1687" s="2">
        <v>45691.813321759262</v>
      </c>
      <c r="I1687" t="s">
        <v>1488</v>
      </c>
      <c r="Z1687">
        <v>96152</v>
      </c>
    </row>
    <row r="1688" spans="1:26" x14ac:dyDescent="0.25">
      <c r="A1688" t="s">
        <v>2031</v>
      </c>
      <c r="B1688" t="s">
        <v>27</v>
      </c>
      <c r="C1688" t="s">
        <v>28</v>
      </c>
      <c r="H1688" s="2">
        <v>45691.775972222225</v>
      </c>
      <c r="I1688" t="s">
        <v>1488</v>
      </c>
      <c r="Z1688">
        <v>96150</v>
      </c>
    </row>
    <row r="1689" spans="1:26" x14ac:dyDescent="0.25">
      <c r="A1689" t="s">
        <v>2032</v>
      </c>
      <c r="B1689" t="s">
        <v>1403</v>
      </c>
      <c r="C1689" t="s">
        <v>28</v>
      </c>
      <c r="E1689" t="s">
        <v>212</v>
      </c>
      <c r="H1689" s="2">
        <v>45691.374652777777</v>
      </c>
      <c r="I1689" t="s">
        <v>54</v>
      </c>
      <c r="Z1689">
        <v>96132</v>
      </c>
    </row>
    <row r="1690" spans="1:26" x14ac:dyDescent="0.25">
      <c r="A1690" t="s">
        <v>2033</v>
      </c>
      <c r="C1690" t="s">
        <v>155</v>
      </c>
      <c r="E1690" t="s">
        <v>209</v>
      </c>
      <c r="H1690" s="2">
        <v>45690.941296296296</v>
      </c>
      <c r="I1690" t="s">
        <v>54</v>
      </c>
      <c r="Z1690">
        <v>96131</v>
      </c>
    </row>
    <row r="1691" spans="1:26" x14ac:dyDescent="0.25">
      <c r="A1691" t="s">
        <v>2034</v>
      </c>
      <c r="B1691" t="s">
        <v>27</v>
      </c>
      <c r="C1691" t="s">
        <v>28</v>
      </c>
      <c r="H1691" s="2">
        <v>45690.420370370368</v>
      </c>
      <c r="I1691" t="s">
        <v>1488</v>
      </c>
      <c r="Z1691">
        <v>96108</v>
      </c>
    </row>
    <row r="1692" spans="1:26" x14ac:dyDescent="0.25">
      <c r="A1692" t="s">
        <v>2035</v>
      </c>
      <c r="B1692" t="s">
        <v>27</v>
      </c>
      <c r="C1692" t="s">
        <v>28</v>
      </c>
      <c r="H1692" s="2">
        <v>45688.656226851854</v>
      </c>
      <c r="I1692" t="s">
        <v>54</v>
      </c>
      <c r="Z1692">
        <v>96072</v>
      </c>
    </row>
    <row r="1693" spans="1:26" x14ac:dyDescent="0.25">
      <c r="A1693" t="s">
        <v>2036</v>
      </c>
      <c r="B1693" t="s">
        <v>27</v>
      </c>
      <c r="C1693" t="s">
        <v>28</v>
      </c>
      <c r="H1693" s="2">
        <v>45687.714895833335</v>
      </c>
      <c r="I1693" t="s">
        <v>54</v>
      </c>
      <c r="Z1693">
        <v>96046</v>
      </c>
    </row>
    <row r="1694" spans="1:26" x14ac:dyDescent="0.25">
      <c r="A1694" t="s">
        <v>2037</v>
      </c>
      <c r="B1694" t="s">
        <v>27</v>
      </c>
      <c r="C1694" t="s">
        <v>28</v>
      </c>
      <c r="H1694" s="2">
        <v>45687.696574074071</v>
      </c>
      <c r="I1694" t="s">
        <v>54</v>
      </c>
      <c r="Z1694">
        <v>96045</v>
      </c>
    </row>
    <row r="1695" spans="1:26" x14ac:dyDescent="0.25">
      <c r="A1695" t="s">
        <v>2038</v>
      </c>
      <c r="B1695" t="s">
        <v>27</v>
      </c>
      <c r="C1695" t="s">
        <v>28</v>
      </c>
      <c r="H1695" s="2">
        <v>45686.696111111109</v>
      </c>
      <c r="I1695" t="s">
        <v>54</v>
      </c>
      <c r="Z1695">
        <v>96025</v>
      </c>
    </row>
    <row r="1696" spans="1:26" x14ac:dyDescent="0.25">
      <c r="A1696" t="s">
        <v>2039</v>
      </c>
      <c r="B1696" t="s">
        <v>74</v>
      </c>
      <c r="C1696" t="s">
        <v>28</v>
      </c>
      <c r="E1696" t="s">
        <v>2040</v>
      </c>
      <c r="G1696" t="s">
        <v>2041</v>
      </c>
      <c r="H1696" s="2">
        <v>45686.52611111111</v>
      </c>
      <c r="I1696" t="s">
        <v>1488</v>
      </c>
      <c r="Z1696">
        <v>96016</v>
      </c>
    </row>
    <row r="1697" spans="1:26" x14ac:dyDescent="0.25">
      <c r="A1697" t="s">
        <v>2042</v>
      </c>
      <c r="B1697" t="s">
        <v>27</v>
      </c>
      <c r="C1697" t="s">
        <v>28</v>
      </c>
      <c r="H1697" s="2">
        <v>45686.391180555554</v>
      </c>
      <c r="I1697" t="s">
        <v>54</v>
      </c>
      <c r="Z1697">
        <v>96012</v>
      </c>
    </row>
    <row r="1698" spans="1:26" x14ac:dyDescent="0.25">
      <c r="A1698" t="s">
        <v>2043</v>
      </c>
      <c r="B1698" t="s">
        <v>27</v>
      </c>
      <c r="C1698" t="s">
        <v>28</v>
      </c>
      <c r="H1698" s="2">
        <v>45685.3828587963</v>
      </c>
      <c r="I1698" t="s">
        <v>1488</v>
      </c>
      <c r="Z1698">
        <v>95978</v>
      </c>
    </row>
    <row r="1699" spans="1:26" x14ac:dyDescent="0.25">
      <c r="A1699" t="s">
        <v>2044</v>
      </c>
      <c r="B1699" t="s">
        <v>1708</v>
      </c>
      <c r="C1699" t="s">
        <v>28</v>
      </c>
      <c r="E1699" t="s">
        <v>2045</v>
      </c>
      <c r="H1699" s="2">
        <v>45684.677881944444</v>
      </c>
      <c r="I1699" t="s">
        <v>556</v>
      </c>
      <c r="Z1699">
        <v>95967</v>
      </c>
    </row>
    <row r="1700" spans="1:26" x14ac:dyDescent="0.25">
      <c r="A1700" t="s">
        <v>2046</v>
      </c>
      <c r="B1700" t="s">
        <v>27</v>
      </c>
      <c r="C1700" t="s">
        <v>28</v>
      </c>
      <c r="H1700" s="2">
        <v>45684.53398148148</v>
      </c>
      <c r="I1700" t="s">
        <v>31</v>
      </c>
      <c r="Z1700">
        <v>95961</v>
      </c>
    </row>
    <row r="1701" spans="1:26" x14ac:dyDescent="0.25">
      <c r="A1701" t="s">
        <v>2047</v>
      </c>
      <c r="B1701" t="s">
        <v>27</v>
      </c>
      <c r="C1701" t="s">
        <v>28</v>
      </c>
      <c r="H1701" s="2">
        <v>45684.508645833332</v>
      </c>
      <c r="I1701" t="s">
        <v>31</v>
      </c>
      <c r="Z1701">
        <v>95959</v>
      </c>
    </row>
    <row r="1702" spans="1:26" x14ac:dyDescent="0.25">
      <c r="A1702" t="s">
        <v>2048</v>
      </c>
      <c r="B1702" t="s">
        <v>27</v>
      </c>
      <c r="C1702" t="s">
        <v>28</v>
      </c>
      <c r="H1702" s="2">
        <v>45684.431655092594</v>
      </c>
      <c r="I1702" t="s">
        <v>556</v>
      </c>
      <c r="Z1702">
        <v>95955</v>
      </c>
    </row>
    <row r="1703" spans="1:26" x14ac:dyDescent="0.25">
      <c r="A1703" t="s">
        <v>2049</v>
      </c>
      <c r="B1703" t="s">
        <v>27</v>
      </c>
      <c r="C1703" t="s">
        <v>28</v>
      </c>
      <c r="H1703" s="2">
        <v>45684.38921296296</v>
      </c>
      <c r="I1703" t="s">
        <v>556</v>
      </c>
      <c r="Z1703">
        <v>95951</v>
      </c>
    </row>
    <row r="1704" spans="1:26" x14ac:dyDescent="0.25">
      <c r="A1704" t="s">
        <v>2050</v>
      </c>
      <c r="B1704" t="s">
        <v>27</v>
      </c>
      <c r="C1704" t="s">
        <v>28</v>
      </c>
      <c r="H1704" s="2">
        <v>45682.662569444445</v>
      </c>
      <c r="I1704" t="s">
        <v>31</v>
      </c>
      <c r="Z1704">
        <v>95910</v>
      </c>
    </row>
    <row r="1705" spans="1:26" x14ac:dyDescent="0.25">
      <c r="A1705" t="s">
        <v>2051</v>
      </c>
      <c r="B1705" t="s">
        <v>27</v>
      </c>
      <c r="C1705" t="s">
        <v>28</v>
      </c>
      <c r="H1705" s="2">
        <v>45682.425937499997</v>
      </c>
      <c r="I1705" t="s">
        <v>556</v>
      </c>
      <c r="Z1705">
        <v>95901</v>
      </c>
    </row>
    <row r="1706" spans="1:26" x14ac:dyDescent="0.25">
      <c r="A1706" t="s">
        <v>207</v>
      </c>
      <c r="B1706" t="s">
        <v>27</v>
      </c>
      <c r="C1706" t="s">
        <v>28</v>
      </c>
      <c r="H1706" s="2">
        <v>45681.704780092594</v>
      </c>
      <c r="I1706" t="s">
        <v>31</v>
      </c>
      <c r="Z1706">
        <v>95889</v>
      </c>
    </row>
    <row r="1707" spans="1:26" x14ac:dyDescent="0.25">
      <c r="A1707" t="s">
        <v>2052</v>
      </c>
      <c r="B1707" t="s">
        <v>1403</v>
      </c>
      <c r="C1707" t="s">
        <v>28</v>
      </c>
      <c r="E1707" t="s">
        <v>72</v>
      </c>
      <c r="H1707" s="2">
        <v>45680.710914351854</v>
      </c>
      <c r="I1707" t="s">
        <v>54</v>
      </c>
      <c r="Z1707">
        <v>95849</v>
      </c>
    </row>
    <row r="1708" spans="1:26" x14ac:dyDescent="0.25">
      <c r="A1708" t="s">
        <v>2053</v>
      </c>
      <c r="B1708" t="s">
        <v>1403</v>
      </c>
      <c r="C1708" t="s">
        <v>28</v>
      </c>
      <c r="E1708" t="s">
        <v>324</v>
      </c>
      <c r="G1708" t="s">
        <v>2054</v>
      </c>
      <c r="H1708" s="2">
        <v>45680.57608796296</v>
      </c>
      <c r="I1708" t="s">
        <v>54</v>
      </c>
      <c r="Z1708">
        <v>95841</v>
      </c>
    </row>
    <row r="1709" spans="1:26" x14ac:dyDescent="0.25">
      <c r="A1709" t="s">
        <v>2055</v>
      </c>
      <c r="B1709" t="s">
        <v>27</v>
      </c>
      <c r="C1709" t="s">
        <v>28</v>
      </c>
      <c r="H1709" s="2">
        <v>45679.671782407408</v>
      </c>
      <c r="I1709" t="s">
        <v>54</v>
      </c>
      <c r="Z1709">
        <v>95801</v>
      </c>
    </row>
    <row r="1710" spans="1:26" x14ac:dyDescent="0.25">
      <c r="A1710" t="s">
        <v>2056</v>
      </c>
      <c r="B1710" t="s">
        <v>1403</v>
      </c>
      <c r="C1710" t="s">
        <v>28</v>
      </c>
      <c r="E1710" t="s">
        <v>72</v>
      </c>
      <c r="H1710" s="2">
        <v>45679.598564814813</v>
      </c>
      <c r="I1710" t="s">
        <v>54</v>
      </c>
      <c r="Z1710">
        <v>95790</v>
      </c>
    </row>
    <row r="1711" spans="1:26" x14ac:dyDescent="0.25">
      <c r="A1711" t="s">
        <v>2057</v>
      </c>
      <c r="B1711" t="s">
        <v>1708</v>
      </c>
      <c r="C1711" t="s">
        <v>28</v>
      </c>
      <c r="E1711" t="s">
        <v>304</v>
      </c>
      <c r="G1711" t="s">
        <v>2058</v>
      </c>
      <c r="H1711" s="2">
        <v>45679.580127314817</v>
      </c>
      <c r="I1711" t="s">
        <v>556</v>
      </c>
      <c r="Z1711">
        <v>95788</v>
      </c>
    </row>
    <row r="1712" spans="1:26" x14ac:dyDescent="0.25">
      <c r="A1712" t="s">
        <v>2059</v>
      </c>
      <c r="B1712" t="s">
        <v>27</v>
      </c>
      <c r="C1712" t="s">
        <v>28</v>
      </c>
      <c r="H1712" s="2">
        <v>45679.450995370367</v>
      </c>
      <c r="I1712" t="s">
        <v>54</v>
      </c>
      <c r="Z1712">
        <v>95772</v>
      </c>
    </row>
    <row r="1713" spans="1:26" x14ac:dyDescent="0.25">
      <c r="A1713" t="s">
        <v>2060</v>
      </c>
      <c r="B1713" t="s">
        <v>27</v>
      </c>
      <c r="C1713" t="s">
        <v>28</v>
      </c>
      <c r="H1713" s="2">
        <v>45677.680659722224</v>
      </c>
      <c r="I1713" t="s">
        <v>31</v>
      </c>
      <c r="Z1713">
        <v>95702</v>
      </c>
    </row>
    <row r="1714" spans="1:26" x14ac:dyDescent="0.25">
      <c r="A1714" t="s">
        <v>2061</v>
      </c>
      <c r="B1714" t="s">
        <v>27</v>
      </c>
      <c r="C1714" t="s">
        <v>28</v>
      </c>
      <c r="H1714" s="2">
        <v>45677.652812499997</v>
      </c>
      <c r="I1714" t="s">
        <v>31</v>
      </c>
      <c r="Z1714">
        <v>95699</v>
      </c>
    </row>
    <row r="1715" spans="1:26" x14ac:dyDescent="0.25">
      <c r="A1715" t="s">
        <v>1303</v>
      </c>
      <c r="B1715" t="s">
        <v>27</v>
      </c>
      <c r="C1715" t="s">
        <v>28</v>
      </c>
      <c r="H1715" s="2">
        <v>45677.651539351849</v>
      </c>
      <c r="I1715" t="s">
        <v>556</v>
      </c>
      <c r="Z1715">
        <v>95698</v>
      </c>
    </row>
    <row r="1716" spans="1:26" x14ac:dyDescent="0.25">
      <c r="A1716" t="s">
        <v>2062</v>
      </c>
      <c r="B1716" t="s">
        <v>27</v>
      </c>
      <c r="C1716" t="s">
        <v>28</v>
      </c>
      <c r="H1716" s="2">
        <v>45677.638877314814</v>
      </c>
      <c r="I1716" t="s">
        <v>31</v>
      </c>
      <c r="Z1716">
        <v>95697</v>
      </c>
    </row>
    <row r="1717" spans="1:26" x14ac:dyDescent="0.25">
      <c r="A1717" t="s">
        <v>2063</v>
      </c>
      <c r="B1717" t="s">
        <v>1403</v>
      </c>
      <c r="C1717" t="s">
        <v>28</v>
      </c>
      <c r="E1717" t="s">
        <v>598</v>
      </c>
      <c r="G1717" t="s">
        <v>2064</v>
      </c>
      <c r="H1717" s="2">
        <v>45677.591331018521</v>
      </c>
      <c r="I1717" t="s">
        <v>556</v>
      </c>
      <c r="Z1717">
        <v>95692</v>
      </c>
    </row>
    <row r="1718" spans="1:26" x14ac:dyDescent="0.25">
      <c r="A1718" t="s">
        <v>2065</v>
      </c>
      <c r="B1718" t="s">
        <v>1708</v>
      </c>
      <c r="C1718" t="s">
        <v>28</v>
      </c>
      <c r="E1718" t="s">
        <v>2066</v>
      </c>
      <c r="G1718" t="s">
        <v>304</v>
      </c>
      <c r="H1718" s="2">
        <v>45676.859675925924</v>
      </c>
      <c r="I1718" t="s">
        <v>556</v>
      </c>
      <c r="K1718" t="s">
        <v>34</v>
      </c>
      <c r="L1718" t="s">
        <v>35</v>
      </c>
      <c r="M1718">
        <v>55887089</v>
      </c>
      <c r="N1718">
        <v>9754619198</v>
      </c>
      <c r="O1718" t="s">
        <v>461</v>
      </c>
      <c r="Z1718">
        <v>95672</v>
      </c>
    </row>
    <row r="1719" spans="1:26" x14ac:dyDescent="0.25">
      <c r="A1719" t="s">
        <v>2067</v>
      </c>
      <c r="B1719" t="s">
        <v>27</v>
      </c>
      <c r="C1719" t="s">
        <v>28</v>
      </c>
      <c r="H1719" s="2">
        <v>45676.688761574071</v>
      </c>
      <c r="I1719" t="s">
        <v>31</v>
      </c>
      <c r="Z1719">
        <v>95661</v>
      </c>
    </row>
    <row r="1720" spans="1:26" x14ac:dyDescent="0.25">
      <c r="A1720" t="s">
        <v>2068</v>
      </c>
      <c r="B1720" t="s">
        <v>1708</v>
      </c>
      <c r="C1720" t="s">
        <v>28</v>
      </c>
      <c r="E1720" t="s">
        <v>61</v>
      </c>
      <c r="H1720" s="2">
        <v>45675.507731481484</v>
      </c>
      <c r="I1720" t="s">
        <v>31</v>
      </c>
      <c r="Z1720">
        <v>95632</v>
      </c>
    </row>
    <row r="1721" spans="1:26" x14ac:dyDescent="0.25">
      <c r="A1721" t="s">
        <v>2069</v>
      </c>
      <c r="B1721" t="s">
        <v>74</v>
      </c>
      <c r="C1721" t="s">
        <v>28</v>
      </c>
      <c r="E1721" t="s">
        <v>290</v>
      </c>
      <c r="G1721" t="s">
        <v>2070</v>
      </c>
      <c r="H1721" s="2">
        <v>45674.806192129632</v>
      </c>
      <c r="I1721" t="s">
        <v>54</v>
      </c>
      <c r="Z1721">
        <v>95624</v>
      </c>
    </row>
    <row r="1722" spans="1:26" x14ac:dyDescent="0.25">
      <c r="A1722" t="s">
        <v>2071</v>
      </c>
      <c r="B1722" t="s">
        <v>27</v>
      </c>
      <c r="C1722" t="s">
        <v>28</v>
      </c>
      <c r="H1722" s="2">
        <v>45674.612858796296</v>
      </c>
      <c r="I1722" t="s">
        <v>1488</v>
      </c>
      <c r="Z1722">
        <v>95609</v>
      </c>
    </row>
    <row r="1723" spans="1:26" x14ac:dyDescent="0.25">
      <c r="A1723" t="s">
        <v>2072</v>
      </c>
      <c r="B1723" t="s">
        <v>27</v>
      </c>
      <c r="C1723" t="s">
        <v>28</v>
      </c>
      <c r="H1723" s="2">
        <v>45674.533819444441</v>
      </c>
      <c r="I1723" t="s">
        <v>1488</v>
      </c>
      <c r="Z1723">
        <v>95597</v>
      </c>
    </row>
    <row r="1724" spans="1:26" x14ac:dyDescent="0.25">
      <c r="A1724" t="s">
        <v>2073</v>
      </c>
      <c r="B1724" t="s">
        <v>27</v>
      </c>
      <c r="C1724" t="s">
        <v>28</v>
      </c>
      <c r="E1724" t="s">
        <v>2074</v>
      </c>
      <c r="H1724" s="2">
        <v>45673.643148148149</v>
      </c>
      <c r="I1724" t="s">
        <v>54</v>
      </c>
      <c r="Z1724">
        <v>95576</v>
      </c>
    </row>
    <row r="1725" spans="1:26" x14ac:dyDescent="0.25">
      <c r="A1725" t="s">
        <v>2075</v>
      </c>
      <c r="B1725" t="s">
        <v>27</v>
      </c>
      <c r="C1725" t="s">
        <v>28</v>
      </c>
      <c r="H1725" s="2">
        <v>45673.547037037039</v>
      </c>
      <c r="I1725" t="s">
        <v>54</v>
      </c>
      <c r="Z1725">
        <v>95571</v>
      </c>
    </row>
    <row r="1726" spans="1:26" x14ac:dyDescent="0.25">
      <c r="A1726" t="s">
        <v>2076</v>
      </c>
      <c r="B1726" t="s">
        <v>1403</v>
      </c>
      <c r="C1726" t="s">
        <v>28</v>
      </c>
      <c r="E1726" t="s">
        <v>2077</v>
      </c>
      <c r="H1726" s="2">
        <v>45672.584652777776</v>
      </c>
      <c r="I1726" t="s">
        <v>1488</v>
      </c>
      <c r="Z1726">
        <v>95557</v>
      </c>
    </row>
    <row r="1727" spans="1:26" x14ac:dyDescent="0.25">
      <c r="A1727" t="s">
        <v>2078</v>
      </c>
      <c r="B1727" t="s">
        <v>27</v>
      </c>
      <c r="C1727" t="s">
        <v>28</v>
      </c>
      <c r="H1727" s="2">
        <v>45672.584629629629</v>
      </c>
      <c r="I1727" t="s">
        <v>1488</v>
      </c>
      <c r="Z1727">
        <v>95556</v>
      </c>
    </row>
    <row r="1728" spans="1:26" x14ac:dyDescent="0.25">
      <c r="A1728" t="s">
        <v>2079</v>
      </c>
      <c r="B1728" t="s">
        <v>27</v>
      </c>
      <c r="C1728" t="s">
        <v>28</v>
      </c>
      <c r="H1728" s="2">
        <v>45672.427754629629</v>
      </c>
      <c r="I1728" t="s">
        <v>1488</v>
      </c>
      <c r="Z1728">
        <v>95549</v>
      </c>
    </row>
    <row r="1729" spans="1:26" x14ac:dyDescent="0.25">
      <c r="A1729" t="s">
        <v>2080</v>
      </c>
      <c r="B1729" t="s">
        <v>27</v>
      </c>
      <c r="C1729" t="s">
        <v>28</v>
      </c>
      <c r="H1729" s="2">
        <v>45671.717916666668</v>
      </c>
      <c r="I1729" t="s">
        <v>31</v>
      </c>
      <c r="Z1729">
        <v>95542</v>
      </c>
    </row>
    <row r="1730" spans="1:26" x14ac:dyDescent="0.25">
      <c r="A1730" t="s">
        <v>2081</v>
      </c>
      <c r="B1730" t="s">
        <v>27</v>
      </c>
      <c r="C1730" t="s">
        <v>28</v>
      </c>
      <c r="H1730" s="2">
        <v>45671.671655092592</v>
      </c>
      <c r="I1730" t="s">
        <v>556</v>
      </c>
      <c r="Z1730">
        <v>95540</v>
      </c>
    </row>
    <row r="1731" spans="1:26" x14ac:dyDescent="0.25">
      <c r="A1731" t="s">
        <v>1793</v>
      </c>
      <c r="B1731" t="s">
        <v>27</v>
      </c>
      <c r="C1731" t="s">
        <v>28</v>
      </c>
      <c r="H1731" s="2">
        <v>45671.614930555559</v>
      </c>
      <c r="I1731" t="s">
        <v>31</v>
      </c>
      <c r="Z1731">
        <v>95530</v>
      </c>
    </row>
    <row r="1732" spans="1:26" x14ac:dyDescent="0.25">
      <c r="A1732" t="s">
        <v>336</v>
      </c>
      <c r="B1732" t="s">
        <v>27</v>
      </c>
      <c r="C1732" t="s">
        <v>28</v>
      </c>
      <c r="H1732" s="2">
        <v>45671.493541666663</v>
      </c>
      <c r="I1732" t="s">
        <v>31</v>
      </c>
      <c r="Z1732">
        <v>95525</v>
      </c>
    </row>
    <row r="1733" spans="1:26" x14ac:dyDescent="0.25">
      <c r="A1733" t="s">
        <v>2082</v>
      </c>
      <c r="B1733" t="s">
        <v>27</v>
      </c>
      <c r="C1733" t="s">
        <v>28</v>
      </c>
      <c r="H1733" s="2">
        <v>45671.416192129633</v>
      </c>
      <c r="I1733" t="s">
        <v>556</v>
      </c>
      <c r="Z1733">
        <v>95521</v>
      </c>
    </row>
    <row r="1734" spans="1:26" x14ac:dyDescent="0.25">
      <c r="A1734" t="s">
        <v>2083</v>
      </c>
      <c r="B1734" t="s">
        <v>27</v>
      </c>
      <c r="C1734" t="s">
        <v>28</v>
      </c>
      <c r="H1734" s="2">
        <v>45670.570474537039</v>
      </c>
      <c r="I1734" t="s">
        <v>31</v>
      </c>
      <c r="Z1734">
        <v>95497</v>
      </c>
    </row>
    <row r="1735" spans="1:26" x14ac:dyDescent="0.25">
      <c r="A1735" t="s">
        <v>2084</v>
      </c>
      <c r="B1735" t="s">
        <v>27</v>
      </c>
      <c r="C1735" t="s">
        <v>28</v>
      </c>
      <c r="H1735" s="2">
        <v>45668.757974537039</v>
      </c>
      <c r="I1735" t="s">
        <v>54</v>
      </c>
      <c r="Z1735">
        <v>95457</v>
      </c>
    </row>
    <row r="1736" spans="1:26" x14ac:dyDescent="0.25">
      <c r="A1736" t="s">
        <v>2085</v>
      </c>
      <c r="B1736" t="s">
        <v>27</v>
      </c>
      <c r="C1736" t="s">
        <v>28</v>
      </c>
      <c r="H1736" s="2">
        <v>45667.590717592589</v>
      </c>
      <c r="I1736" t="s">
        <v>1488</v>
      </c>
      <c r="Z1736">
        <v>95429</v>
      </c>
    </row>
    <row r="1737" spans="1:26" x14ac:dyDescent="0.25">
      <c r="A1737" t="s">
        <v>2086</v>
      </c>
      <c r="B1737" t="s">
        <v>1708</v>
      </c>
      <c r="C1737" t="s">
        <v>28</v>
      </c>
      <c r="E1737" t="s">
        <v>101</v>
      </c>
      <c r="H1737" s="2">
        <v>45667.487430555557</v>
      </c>
      <c r="I1737" t="s">
        <v>54</v>
      </c>
      <c r="Z1737">
        <v>95424</v>
      </c>
    </row>
    <row r="1738" spans="1:26" x14ac:dyDescent="0.25">
      <c r="A1738" t="s">
        <v>2087</v>
      </c>
      <c r="B1738" t="s">
        <v>27</v>
      </c>
      <c r="C1738" t="s">
        <v>28</v>
      </c>
      <c r="H1738" s="2">
        <v>45667.450624999998</v>
      </c>
      <c r="I1738" t="s">
        <v>54</v>
      </c>
      <c r="Z1738">
        <v>95422</v>
      </c>
    </row>
    <row r="1739" spans="1:26" x14ac:dyDescent="0.25">
      <c r="A1739" t="s">
        <v>2088</v>
      </c>
      <c r="B1739" t="s">
        <v>27</v>
      </c>
      <c r="C1739" t="s">
        <v>28</v>
      </c>
      <c r="H1739" s="2">
        <v>45666.827638888892</v>
      </c>
      <c r="I1739" t="s">
        <v>556</v>
      </c>
      <c r="Z1739">
        <v>95419</v>
      </c>
    </row>
    <row r="1740" spans="1:26" x14ac:dyDescent="0.25">
      <c r="A1740" t="s">
        <v>2089</v>
      </c>
      <c r="B1740" t="s">
        <v>27</v>
      </c>
      <c r="C1740" t="s">
        <v>28</v>
      </c>
      <c r="H1740" s="2">
        <v>45666.785428240742</v>
      </c>
      <c r="I1740" t="s">
        <v>556</v>
      </c>
      <c r="Z1740">
        <v>95418</v>
      </c>
    </row>
    <row r="1741" spans="1:26" x14ac:dyDescent="0.25">
      <c r="A1741" t="s">
        <v>2090</v>
      </c>
      <c r="B1741" t="s">
        <v>27</v>
      </c>
      <c r="C1741" t="s">
        <v>28</v>
      </c>
      <c r="H1741" s="2">
        <v>45665.531493055554</v>
      </c>
      <c r="I1741" t="s">
        <v>31</v>
      </c>
      <c r="Z1741">
        <v>95384</v>
      </c>
    </row>
    <row r="1742" spans="1:26" x14ac:dyDescent="0.25">
      <c r="A1742" t="s">
        <v>33</v>
      </c>
      <c r="B1742" t="s">
        <v>27</v>
      </c>
      <c r="C1742" t="s">
        <v>28</v>
      </c>
      <c r="H1742" s="2">
        <v>45663.573078703703</v>
      </c>
      <c r="I1742" t="s">
        <v>31</v>
      </c>
      <c r="Z1742">
        <v>95348</v>
      </c>
    </row>
    <row r="1743" spans="1:26" x14ac:dyDescent="0.25">
      <c r="A1743" t="s">
        <v>2091</v>
      </c>
      <c r="B1743" t="s">
        <v>27</v>
      </c>
      <c r="C1743" t="s">
        <v>28</v>
      </c>
      <c r="H1743" s="2">
        <v>45662.527557870373</v>
      </c>
      <c r="I1743" t="s">
        <v>1488</v>
      </c>
      <c r="Z1743">
        <v>95302</v>
      </c>
    </row>
    <row r="1744" spans="1:26" x14ac:dyDescent="0.25">
      <c r="A1744" t="s">
        <v>2092</v>
      </c>
      <c r="B1744" t="s">
        <v>74</v>
      </c>
      <c r="C1744" t="s">
        <v>185</v>
      </c>
      <c r="E1744" t="s">
        <v>2093</v>
      </c>
      <c r="G1744" t="s">
        <v>2094</v>
      </c>
      <c r="H1744" s="2">
        <v>45658.936851851853</v>
      </c>
      <c r="I1744" t="s">
        <v>1488</v>
      </c>
      <c r="Z1744">
        <v>95282</v>
      </c>
    </row>
    <row r="1745" spans="1:26" x14ac:dyDescent="0.25">
      <c r="A1745" t="s">
        <v>2095</v>
      </c>
      <c r="B1745" t="s">
        <v>27</v>
      </c>
      <c r="C1745" t="s">
        <v>28</v>
      </c>
      <c r="H1745" s="2">
        <v>45654.629120370373</v>
      </c>
      <c r="I1745" t="s">
        <v>556</v>
      </c>
      <c r="Z1745">
        <v>95202</v>
      </c>
    </row>
    <row r="1746" spans="1:26" x14ac:dyDescent="0.25">
      <c r="A1746" t="s">
        <v>606</v>
      </c>
      <c r="B1746" t="s">
        <v>306</v>
      </c>
      <c r="C1746" t="s">
        <v>28</v>
      </c>
      <c r="E1746" t="s">
        <v>72</v>
      </c>
      <c r="H1746" s="2">
        <v>45654.567997685182</v>
      </c>
      <c r="I1746" t="s">
        <v>556</v>
      </c>
      <c r="Z1746">
        <v>95197</v>
      </c>
    </row>
    <row r="1747" spans="1:26" x14ac:dyDescent="0.25">
      <c r="A1747" t="s">
        <v>2096</v>
      </c>
      <c r="B1747" t="s">
        <v>27</v>
      </c>
      <c r="C1747" t="s">
        <v>28</v>
      </c>
      <c r="H1747" s="2">
        <v>45653.610844907409</v>
      </c>
      <c r="I1747" t="s">
        <v>54</v>
      </c>
      <c r="Z1747">
        <v>95168</v>
      </c>
    </row>
    <row r="1748" spans="1:26" x14ac:dyDescent="0.25">
      <c r="A1748" t="s">
        <v>2097</v>
      </c>
      <c r="B1748" t="s">
        <v>27</v>
      </c>
      <c r="C1748" t="s">
        <v>28</v>
      </c>
      <c r="H1748" s="2">
        <v>45653.578483796293</v>
      </c>
      <c r="I1748" t="s">
        <v>54</v>
      </c>
      <c r="Z1748">
        <v>95164</v>
      </c>
    </row>
    <row r="1749" spans="1:26" x14ac:dyDescent="0.25">
      <c r="A1749" t="s">
        <v>2098</v>
      </c>
      <c r="B1749" t="s">
        <v>27</v>
      </c>
      <c r="C1749" t="s">
        <v>28</v>
      </c>
      <c r="H1749" s="2">
        <v>45653.458043981482</v>
      </c>
      <c r="I1749" t="s">
        <v>2001</v>
      </c>
      <c r="Z1749">
        <v>95154</v>
      </c>
    </row>
    <row r="1750" spans="1:26" x14ac:dyDescent="0.25">
      <c r="A1750" t="s">
        <v>2099</v>
      </c>
      <c r="B1750" t="s">
        <v>27</v>
      </c>
      <c r="C1750" t="s">
        <v>28</v>
      </c>
      <c r="H1750" s="2">
        <v>45652.557696759257</v>
      </c>
      <c r="I1750" t="s">
        <v>31</v>
      </c>
      <c r="Z1750">
        <v>95119</v>
      </c>
    </row>
    <row r="1751" spans="1:26" x14ac:dyDescent="0.25">
      <c r="A1751" t="s">
        <v>2100</v>
      </c>
      <c r="B1751" t="s">
        <v>27</v>
      </c>
      <c r="C1751" t="s">
        <v>28</v>
      </c>
      <c r="H1751" s="2">
        <v>45651.795185185183</v>
      </c>
      <c r="I1751" t="s">
        <v>31</v>
      </c>
      <c r="Z1751">
        <v>95106</v>
      </c>
    </row>
    <row r="1752" spans="1:26" x14ac:dyDescent="0.25">
      <c r="A1752" t="s">
        <v>1163</v>
      </c>
      <c r="B1752" t="s">
        <v>27</v>
      </c>
      <c r="C1752" t="s">
        <v>28</v>
      </c>
      <c r="H1752" s="2">
        <v>45651.748472222222</v>
      </c>
      <c r="I1752" t="s">
        <v>54</v>
      </c>
      <c r="Z1752">
        <v>95102</v>
      </c>
    </row>
    <row r="1753" spans="1:26" x14ac:dyDescent="0.25">
      <c r="A1753" t="s">
        <v>2101</v>
      </c>
      <c r="B1753" t="s">
        <v>27</v>
      </c>
      <c r="C1753" t="s">
        <v>28</v>
      </c>
      <c r="H1753" s="2">
        <v>45651.640208333331</v>
      </c>
      <c r="I1753" t="s">
        <v>54</v>
      </c>
      <c r="Z1753">
        <v>95093</v>
      </c>
    </row>
    <row r="1754" spans="1:26" x14ac:dyDescent="0.25">
      <c r="A1754" t="s">
        <v>2102</v>
      </c>
      <c r="B1754" t="s">
        <v>27</v>
      </c>
      <c r="C1754" t="s">
        <v>28</v>
      </c>
      <c r="H1754" s="2">
        <v>45651.455763888887</v>
      </c>
      <c r="I1754" t="s">
        <v>54</v>
      </c>
      <c r="Z1754">
        <v>95083</v>
      </c>
    </row>
    <row r="1755" spans="1:26" x14ac:dyDescent="0.25">
      <c r="A1755" t="s">
        <v>2103</v>
      </c>
      <c r="B1755" t="s">
        <v>74</v>
      </c>
      <c r="C1755" t="s">
        <v>28</v>
      </c>
      <c r="E1755" t="s">
        <v>212</v>
      </c>
      <c r="G1755" t="s">
        <v>2104</v>
      </c>
      <c r="H1755" s="2">
        <v>45649.847604166665</v>
      </c>
      <c r="I1755" t="s">
        <v>1488</v>
      </c>
      <c r="Z1755">
        <v>95036</v>
      </c>
    </row>
    <row r="1756" spans="1:26" x14ac:dyDescent="0.25">
      <c r="A1756" t="s">
        <v>2105</v>
      </c>
      <c r="B1756" t="s">
        <v>27</v>
      </c>
      <c r="C1756" t="s">
        <v>28</v>
      </c>
      <c r="H1756" s="2">
        <v>45649.708252314813</v>
      </c>
      <c r="I1756" t="s">
        <v>1488</v>
      </c>
      <c r="Z1756">
        <v>95028</v>
      </c>
    </row>
    <row r="1757" spans="1:26" x14ac:dyDescent="0.25">
      <c r="A1757" t="s">
        <v>2106</v>
      </c>
      <c r="B1757" t="s">
        <v>27</v>
      </c>
      <c r="C1757" t="s">
        <v>28</v>
      </c>
      <c r="H1757" s="2">
        <v>45648.515925925924</v>
      </c>
      <c r="I1757" t="s">
        <v>556</v>
      </c>
      <c r="Z1757">
        <v>94985</v>
      </c>
    </row>
    <row r="1758" spans="1:26" x14ac:dyDescent="0.25">
      <c r="A1758" t="s">
        <v>2107</v>
      </c>
      <c r="B1758" t="s">
        <v>27</v>
      </c>
      <c r="C1758" t="s">
        <v>28</v>
      </c>
      <c r="H1758" s="2">
        <v>45647.597673611112</v>
      </c>
      <c r="I1758" t="s">
        <v>54</v>
      </c>
      <c r="Z1758">
        <v>94966</v>
      </c>
    </row>
    <row r="1759" spans="1:26" x14ac:dyDescent="0.25">
      <c r="A1759" t="s">
        <v>1220</v>
      </c>
      <c r="B1759" t="s">
        <v>27</v>
      </c>
      <c r="C1759" t="s">
        <v>28</v>
      </c>
      <c r="H1759" s="2">
        <v>45646.690335648149</v>
      </c>
      <c r="I1759" t="s">
        <v>54</v>
      </c>
      <c r="Z1759">
        <v>94941</v>
      </c>
    </row>
    <row r="1760" spans="1:26" x14ac:dyDescent="0.25">
      <c r="A1760" t="s">
        <v>2108</v>
      </c>
      <c r="B1760" t="s">
        <v>27</v>
      </c>
      <c r="C1760" t="s">
        <v>28</v>
      </c>
      <c r="H1760" s="2">
        <v>45646.646099537036</v>
      </c>
      <c r="I1760" t="s">
        <v>54</v>
      </c>
      <c r="Z1760">
        <v>94934</v>
      </c>
    </row>
    <row r="1761" spans="1:26" x14ac:dyDescent="0.25">
      <c r="A1761" t="s">
        <v>2109</v>
      </c>
      <c r="B1761" t="s">
        <v>1993</v>
      </c>
      <c r="C1761" t="s">
        <v>2110</v>
      </c>
      <c r="E1761" t="s">
        <v>2111</v>
      </c>
      <c r="G1761" t="s">
        <v>2112</v>
      </c>
      <c r="H1761" s="2">
        <v>45646.580428240741</v>
      </c>
      <c r="I1761" t="s">
        <v>2113</v>
      </c>
      <c r="Z1761">
        <v>94925</v>
      </c>
    </row>
    <row r="1762" spans="1:26" x14ac:dyDescent="0.25">
      <c r="A1762" t="s">
        <v>2114</v>
      </c>
      <c r="B1762" t="s">
        <v>306</v>
      </c>
      <c r="C1762" t="s">
        <v>28</v>
      </c>
      <c r="H1762" s="2">
        <v>45646.481087962966</v>
      </c>
      <c r="I1762" t="s">
        <v>31</v>
      </c>
      <c r="K1762" t="s">
        <v>34</v>
      </c>
      <c r="L1762" t="s">
        <v>35</v>
      </c>
      <c r="M1762">
        <v>55887089</v>
      </c>
      <c r="N1762">
        <v>11200651161</v>
      </c>
      <c r="O1762" t="s">
        <v>2115</v>
      </c>
      <c r="Z1762">
        <v>94914</v>
      </c>
    </row>
    <row r="1763" spans="1:26" x14ac:dyDescent="0.25">
      <c r="A1763" t="s">
        <v>2116</v>
      </c>
      <c r="B1763" t="s">
        <v>27</v>
      </c>
      <c r="C1763" t="s">
        <v>28</v>
      </c>
      <c r="H1763" s="2">
        <v>45645.620243055557</v>
      </c>
      <c r="I1763" t="s">
        <v>54</v>
      </c>
      <c r="Z1763">
        <v>94898</v>
      </c>
    </row>
    <row r="1764" spans="1:26" x14ac:dyDescent="0.25">
      <c r="A1764" t="s">
        <v>2117</v>
      </c>
      <c r="B1764" t="s">
        <v>27</v>
      </c>
      <c r="C1764" t="s">
        <v>28</v>
      </c>
      <c r="H1764" s="2">
        <v>45645.591631944444</v>
      </c>
      <c r="I1764" t="s">
        <v>54</v>
      </c>
      <c r="Z1764">
        <v>94893</v>
      </c>
    </row>
    <row r="1765" spans="1:26" x14ac:dyDescent="0.25">
      <c r="A1765" t="s">
        <v>1980</v>
      </c>
      <c r="B1765" t="s">
        <v>27</v>
      </c>
      <c r="C1765" t="s">
        <v>28</v>
      </c>
      <c r="H1765" s="2">
        <v>45645.524444444447</v>
      </c>
      <c r="I1765" t="s">
        <v>54</v>
      </c>
      <c r="Z1765">
        <v>94888</v>
      </c>
    </row>
    <row r="1766" spans="1:26" x14ac:dyDescent="0.25">
      <c r="A1766" t="s">
        <v>2118</v>
      </c>
      <c r="B1766" t="s">
        <v>27</v>
      </c>
      <c r="C1766" t="s">
        <v>28</v>
      </c>
      <c r="H1766" s="2">
        <v>45645.461701388886</v>
      </c>
      <c r="I1766" t="s">
        <v>54</v>
      </c>
      <c r="Z1766">
        <v>94886</v>
      </c>
    </row>
    <row r="1767" spans="1:26" x14ac:dyDescent="0.25">
      <c r="A1767" t="s">
        <v>2091</v>
      </c>
      <c r="B1767" t="s">
        <v>27</v>
      </c>
      <c r="C1767" t="s">
        <v>28</v>
      </c>
      <c r="H1767" s="2">
        <v>45644.724861111114</v>
      </c>
      <c r="I1767" t="s">
        <v>556</v>
      </c>
      <c r="Z1767">
        <v>94876</v>
      </c>
    </row>
    <row r="1768" spans="1:26" x14ac:dyDescent="0.25">
      <c r="A1768" t="s">
        <v>2119</v>
      </c>
      <c r="B1768" t="s">
        <v>27</v>
      </c>
      <c r="C1768" t="s">
        <v>28</v>
      </c>
      <c r="H1768" s="2">
        <v>45643.415162037039</v>
      </c>
      <c r="I1768" t="s">
        <v>556</v>
      </c>
      <c r="Z1768">
        <v>94833</v>
      </c>
    </row>
    <row r="1769" spans="1:26" x14ac:dyDescent="0.25">
      <c r="A1769" t="s">
        <v>2120</v>
      </c>
      <c r="B1769" t="s">
        <v>27</v>
      </c>
      <c r="C1769" t="s">
        <v>28</v>
      </c>
      <c r="H1769" s="2">
        <v>45642.79047453704</v>
      </c>
      <c r="I1769" t="s">
        <v>556</v>
      </c>
      <c r="Z1769">
        <v>94825</v>
      </c>
    </row>
    <row r="1770" spans="1:26" x14ac:dyDescent="0.25">
      <c r="A1770" t="s">
        <v>336</v>
      </c>
      <c r="B1770" t="s">
        <v>27</v>
      </c>
      <c r="C1770" t="s">
        <v>28</v>
      </c>
      <c r="H1770" s="2">
        <v>45642.767835648148</v>
      </c>
      <c r="I1770" t="s">
        <v>31</v>
      </c>
      <c r="Z1770">
        <v>94824</v>
      </c>
    </row>
    <row r="1771" spans="1:26" x14ac:dyDescent="0.25">
      <c r="A1771" t="s">
        <v>2121</v>
      </c>
      <c r="B1771" t="s">
        <v>27</v>
      </c>
      <c r="C1771" t="s">
        <v>28</v>
      </c>
      <c r="H1771" s="2">
        <v>45640.388148148151</v>
      </c>
      <c r="I1771" t="s">
        <v>54</v>
      </c>
      <c r="Z1771">
        <v>94772</v>
      </c>
    </row>
    <row r="1772" spans="1:26" x14ac:dyDescent="0.25">
      <c r="A1772" t="s">
        <v>2122</v>
      </c>
      <c r="B1772" t="s">
        <v>27</v>
      </c>
      <c r="C1772" t="s">
        <v>28</v>
      </c>
      <c r="H1772" s="2">
        <v>45639.670520833337</v>
      </c>
      <c r="I1772" t="s">
        <v>54</v>
      </c>
      <c r="Z1772">
        <v>94758</v>
      </c>
    </row>
    <row r="1773" spans="1:26" x14ac:dyDescent="0.25">
      <c r="A1773" t="s">
        <v>2123</v>
      </c>
      <c r="B1773" t="s">
        <v>27</v>
      </c>
      <c r="C1773" t="s">
        <v>28</v>
      </c>
      <c r="H1773" s="2">
        <v>45639.575069444443</v>
      </c>
      <c r="I1773" t="s">
        <v>1488</v>
      </c>
      <c r="Z1773">
        <v>94756</v>
      </c>
    </row>
    <row r="1774" spans="1:26" x14ac:dyDescent="0.25">
      <c r="A1774" t="s">
        <v>2124</v>
      </c>
      <c r="B1774" t="s">
        <v>27</v>
      </c>
      <c r="C1774" t="s">
        <v>28</v>
      </c>
      <c r="H1774" s="2">
        <v>45639.549039351848</v>
      </c>
      <c r="I1774" t="s">
        <v>54</v>
      </c>
      <c r="Z1774">
        <v>94754</v>
      </c>
    </row>
    <row r="1775" spans="1:26" x14ac:dyDescent="0.25">
      <c r="A1775" t="s">
        <v>2125</v>
      </c>
      <c r="B1775" t="s">
        <v>27</v>
      </c>
      <c r="C1775" t="s">
        <v>28</v>
      </c>
      <c r="H1775" s="2">
        <v>45638.514618055553</v>
      </c>
      <c r="I1775" t="s">
        <v>1488</v>
      </c>
      <c r="Z1775">
        <v>94738</v>
      </c>
    </row>
    <row r="1776" spans="1:26" x14ac:dyDescent="0.25">
      <c r="A1776" t="s">
        <v>2126</v>
      </c>
      <c r="B1776" t="s">
        <v>27</v>
      </c>
      <c r="C1776" t="s">
        <v>28</v>
      </c>
      <c r="E1776" t="s">
        <v>2127</v>
      </c>
      <c r="H1776" s="2">
        <v>45637.586562500001</v>
      </c>
      <c r="I1776" t="s">
        <v>31</v>
      </c>
      <c r="Z1776">
        <v>94717</v>
      </c>
    </row>
    <row r="1777" spans="1:26" x14ac:dyDescent="0.25">
      <c r="A1777" t="s">
        <v>2128</v>
      </c>
      <c r="B1777" t="s">
        <v>1708</v>
      </c>
      <c r="C1777" t="s">
        <v>28</v>
      </c>
      <c r="E1777" t="s">
        <v>2129</v>
      </c>
      <c r="G1777" t="s">
        <v>2130</v>
      </c>
      <c r="H1777" s="2">
        <v>45637.400312500002</v>
      </c>
      <c r="I1777" t="s">
        <v>31</v>
      </c>
      <c r="Z1777">
        <v>94697</v>
      </c>
    </row>
    <row r="1778" spans="1:26" x14ac:dyDescent="0.25">
      <c r="A1778" t="s">
        <v>33</v>
      </c>
      <c r="B1778" t="s">
        <v>27</v>
      </c>
      <c r="C1778" t="s">
        <v>28</v>
      </c>
      <c r="H1778" s="2">
        <v>45636.556585648148</v>
      </c>
      <c r="I1778" t="s">
        <v>31</v>
      </c>
      <c r="Z1778">
        <v>94670</v>
      </c>
    </row>
    <row r="1779" spans="1:26" x14ac:dyDescent="0.25">
      <c r="A1779" t="s">
        <v>2131</v>
      </c>
      <c r="B1779" t="s">
        <v>27</v>
      </c>
      <c r="C1779" t="s">
        <v>28</v>
      </c>
      <c r="H1779" s="2">
        <v>45636.434930555559</v>
      </c>
      <c r="I1779" t="s">
        <v>31</v>
      </c>
      <c r="Z1779">
        <v>94661</v>
      </c>
    </row>
    <row r="1780" spans="1:26" x14ac:dyDescent="0.25">
      <c r="A1780" t="s">
        <v>2132</v>
      </c>
      <c r="B1780" t="s">
        <v>27</v>
      </c>
      <c r="C1780" t="s">
        <v>28</v>
      </c>
      <c r="H1780" s="2">
        <v>45636.413854166669</v>
      </c>
      <c r="I1780" t="s">
        <v>556</v>
      </c>
      <c r="Z1780">
        <v>94660</v>
      </c>
    </row>
    <row r="1781" spans="1:26" x14ac:dyDescent="0.25">
      <c r="A1781" t="s">
        <v>2133</v>
      </c>
      <c r="B1781" t="s">
        <v>27</v>
      </c>
      <c r="C1781" t="s">
        <v>155</v>
      </c>
      <c r="H1781" s="2">
        <v>45635.694699074076</v>
      </c>
      <c r="I1781" t="s">
        <v>54</v>
      </c>
      <c r="Z1781">
        <v>94642</v>
      </c>
    </row>
    <row r="1782" spans="1:26" x14ac:dyDescent="0.25">
      <c r="A1782" t="s">
        <v>2134</v>
      </c>
      <c r="B1782" t="s">
        <v>27</v>
      </c>
      <c r="C1782" t="s">
        <v>28</v>
      </c>
      <c r="H1782" s="2">
        <v>45632.731585648151</v>
      </c>
      <c r="I1782" t="s">
        <v>556</v>
      </c>
      <c r="Z1782">
        <v>94523</v>
      </c>
    </row>
    <row r="1783" spans="1:26" x14ac:dyDescent="0.25">
      <c r="A1783" t="s">
        <v>2135</v>
      </c>
      <c r="B1783" t="s">
        <v>27</v>
      </c>
      <c r="C1783" t="s">
        <v>28</v>
      </c>
      <c r="H1783" s="2">
        <v>45632.424317129633</v>
      </c>
      <c r="I1783" t="s">
        <v>556</v>
      </c>
      <c r="Z1783">
        <v>94488</v>
      </c>
    </row>
    <row r="1784" spans="1:26" x14ac:dyDescent="0.25">
      <c r="A1784" t="s">
        <v>2136</v>
      </c>
      <c r="B1784" t="s">
        <v>27</v>
      </c>
      <c r="C1784" t="s">
        <v>28</v>
      </c>
      <c r="H1784" s="2">
        <v>45631.843553240738</v>
      </c>
      <c r="I1784" t="s">
        <v>556</v>
      </c>
      <c r="Z1784">
        <v>94484</v>
      </c>
    </row>
    <row r="1785" spans="1:26" x14ac:dyDescent="0.25">
      <c r="A1785" t="s">
        <v>2137</v>
      </c>
      <c r="C1785" t="s">
        <v>28</v>
      </c>
      <c r="E1785" t="s">
        <v>2138</v>
      </c>
      <c r="H1785" s="2">
        <v>45631.511562500003</v>
      </c>
      <c r="I1785" t="s">
        <v>31</v>
      </c>
      <c r="Z1785">
        <v>94466</v>
      </c>
    </row>
    <row r="1786" spans="1:26" x14ac:dyDescent="0.25">
      <c r="A1786" t="s">
        <v>2139</v>
      </c>
      <c r="B1786" t="s">
        <v>74</v>
      </c>
      <c r="C1786" t="s">
        <v>28</v>
      </c>
      <c r="E1786" t="s">
        <v>1360</v>
      </c>
      <c r="G1786" t="s">
        <v>2140</v>
      </c>
      <c r="H1786" s="2">
        <v>45628.892685185187</v>
      </c>
      <c r="I1786" t="s">
        <v>31</v>
      </c>
      <c r="Z1786">
        <v>94377</v>
      </c>
    </row>
    <row r="1787" spans="1:26" x14ac:dyDescent="0.25">
      <c r="A1787" t="s">
        <v>2141</v>
      </c>
      <c r="B1787" t="s">
        <v>27</v>
      </c>
      <c r="C1787" t="s">
        <v>28</v>
      </c>
      <c r="H1787" s="2">
        <v>45628.39644675926</v>
      </c>
      <c r="I1787" t="s">
        <v>1488</v>
      </c>
      <c r="Z1787">
        <v>94337</v>
      </c>
    </row>
    <row r="1788" spans="1:26" x14ac:dyDescent="0.25">
      <c r="A1788" t="s">
        <v>2142</v>
      </c>
      <c r="B1788" t="s">
        <v>1403</v>
      </c>
      <c r="C1788" t="s">
        <v>28</v>
      </c>
      <c r="E1788" t="s">
        <v>2143</v>
      </c>
      <c r="G1788" t="s">
        <v>2144</v>
      </c>
      <c r="H1788" s="2">
        <v>45627.542754629627</v>
      </c>
      <c r="I1788" t="s">
        <v>54</v>
      </c>
      <c r="Z1788">
        <v>94309</v>
      </c>
    </row>
    <row r="1789" spans="1:26" x14ac:dyDescent="0.25">
      <c r="A1789" t="s">
        <v>2145</v>
      </c>
      <c r="B1789" t="s">
        <v>27</v>
      </c>
      <c r="C1789" t="s">
        <v>28</v>
      </c>
      <c r="H1789" s="2">
        <v>45626.492245370369</v>
      </c>
      <c r="I1789" t="s">
        <v>31</v>
      </c>
      <c r="Z1789">
        <v>94275</v>
      </c>
    </row>
    <row r="1790" spans="1:26" x14ac:dyDescent="0.25">
      <c r="A1790" t="s">
        <v>2146</v>
      </c>
      <c r="B1790" t="s">
        <v>1403</v>
      </c>
      <c r="C1790" t="s">
        <v>333</v>
      </c>
      <c r="E1790" t="s">
        <v>2147</v>
      </c>
      <c r="H1790" s="2">
        <v>45624.992083333331</v>
      </c>
      <c r="I1790" t="s">
        <v>2148</v>
      </c>
      <c r="Z1790">
        <v>94234</v>
      </c>
    </row>
    <row r="1791" spans="1:26" x14ac:dyDescent="0.25">
      <c r="A1791" t="s">
        <v>2149</v>
      </c>
      <c r="C1791" t="s">
        <v>28</v>
      </c>
      <c r="E1791" t="s">
        <v>1516</v>
      </c>
      <c r="H1791" s="2">
        <v>45624.983946759261</v>
      </c>
      <c r="I1791" t="s">
        <v>2148</v>
      </c>
      <c r="Z1791">
        <v>94233</v>
      </c>
    </row>
    <row r="1792" spans="1:26" x14ac:dyDescent="0.25">
      <c r="A1792" t="s">
        <v>2150</v>
      </c>
      <c r="B1792" t="s">
        <v>27</v>
      </c>
      <c r="C1792" t="s">
        <v>28</v>
      </c>
      <c r="H1792" s="2">
        <v>45624.63486111111</v>
      </c>
      <c r="I1792" t="s">
        <v>2148</v>
      </c>
      <c r="Z1792">
        <v>94215</v>
      </c>
    </row>
    <row r="1793" spans="1:26" x14ac:dyDescent="0.25">
      <c r="A1793" t="s">
        <v>2151</v>
      </c>
      <c r="B1793" t="s">
        <v>27</v>
      </c>
      <c r="C1793" t="s">
        <v>28</v>
      </c>
      <c r="H1793" s="2">
        <v>45624.558333333334</v>
      </c>
      <c r="I1793" t="s">
        <v>1488</v>
      </c>
      <c r="Z1793">
        <v>94204</v>
      </c>
    </row>
    <row r="1794" spans="1:26" x14ac:dyDescent="0.25">
      <c r="A1794" t="s">
        <v>2152</v>
      </c>
      <c r="B1794" t="s">
        <v>27</v>
      </c>
      <c r="C1794" t="s">
        <v>28</v>
      </c>
      <c r="E1794" t="s">
        <v>290</v>
      </c>
      <c r="G1794" t="s">
        <v>2153</v>
      </c>
      <c r="H1794" s="2">
        <v>45624.410150462965</v>
      </c>
      <c r="I1794" t="s">
        <v>1488</v>
      </c>
      <c r="Z1794">
        <v>94186</v>
      </c>
    </row>
    <row r="1795" spans="1:26" x14ac:dyDescent="0.25">
      <c r="A1795" t="s">
        <v>2154</v>
      </c>
      <c r="B1795" t="s">
        <v>27</v>
      </c>
      <c r="C1795" t="s">
        <v>28</v>
      </c>
      <c r="H1795" s="2">
        <v>45623.542604166665</v>
      </c>
      <c r="I1795" t="s">
        <v>54</v>
      </c>
      <c r="Z1795">
        <v>94149</v>
      </c>
    </row>
    <row r="1796" spans="1:26" x14ac:dyDescent="0.25">
      <c r="A1796" t="s">
        <v>2155</v>
      </c>
      <c r="B1796" t="s">
        <v>27</v>
      </c>
      <c r="C1796" t="s">
        <v>28</v>
      </c>
      <c r="H1796" s="2">
        <v>45623.510833333334</v>
      </c>
      <c r="I1796" t="s">
        <v>54</v>
      </c>
      <c r="Z1796">
        <v>94143</v>
      </c>
    </row>
    <row r="1797" spans="1:26" x14ac:dyDescent="0.25">
      <c r="A1797" t="s">
        <v>2156</v>
      </c>
      <c r="B1797" t="s">
        <v>27</v>
      </c>
      <c r="C1797" t="s">
        <v>28</v>
      </c>
      <c r="H1797" s="2">
        <v>45623.479305555556</v>
      </c>
      <c r="I1797" t="s">
        <v>54</v>
      </c>
      <c r="Z1797">
        <v>94138</v>
      </c>
    </row>
    <row r="1798" spans="1:26" x14ac:dyDescent="0.25">
      <c r="A1798" t="s">
        <v>2157</v>
      </c>
      <c r="B1798" t="s">
        <v>1993</v>
      </c>
      <c r="C1798" t="s">
        <v>28</v>
      </c>
      <c r="E1798" t="s">
        <v>763</v>
      </c>
      <c r="H1798" s="2">
        <v>45623.466562499998</v>
      </c>
      <c r="I1798" t="s">
        <v>54</v>
      </c>
      <c r="Z1798">
        <v>94133</v>
      </c>
    </row>
    <row r="1799" spans="1:26" x14ac:dyDescent="0.25">
      <c r="A1799" t="s">
        <v>2158</v>
      </c>
      <c r="B1799" t="s">
        <v>1708</v>
      </c>
      <c r="C1799" t="s">
        <v>28</v>
      </c>
      <c r="E1799" t="s">
        <v>101</v>
      </c>
      <c r="H1799" s="2">
        <v>45623.45140046296</v>
      </c>
      <c r="I1799" t="s">
        <v>54</v>
      </c>
      <c r="Z1799">
        <v>94132</v>
      </c>
    </row>
    <row r="1800" spans="1:26" x14ac:dyDescent="0.25">
      <c r="A1800" t="s">
        <v>2159</v>
      </c>
      <c r="B1800" t="s">
        <v>27</v>
      </c>
      <c r="C1800" t="s">
        <v>28</v>
      </c>
      <c r="H1800" s="2">
        <v>45623.380624999998</v>
      </c>
      <c r="I1800" t="s">
        <v>54</v>
      </c>
      <c r="Z1800">
        <v>94124</v>
      </c>
    </row>
    <row r="1801" spans="1:26" x14ac:dyDescent="0.25">
      <c r="A1801" t="s">
        <v>2160</v>
      </c>
      <c r="B1801" t="s">
        <v>27</v>
      </c>
      <c r="C1801" t="s">
        <v>28</v>
      </c>
      <c r="H1801" s="2">
        <v>45622.70815972222</v>
      </c>
      <c r="I1801" t="s">
        <v>1488</v>
      </c>
      <c r="Z1801">
        <v>94109</v>
      </c>
    </row>
    <row r="1802" spans="1:26" x14ac:dyDescent="0.25">
      <c r="A1802" t="s">
        <v>2161</v>
      </c>
      <c r="B1802" t="s">
        <v>2162</v>
      </c>
      <c r="C1802" t="s">
        <v>28</v>
      </c>
      <c r="E1802" t="s">
        <v>61</v>
      </c>
      <c r="G1802" t="s">
        <v>2163</v>
      </c>
      <c r="H1802" s="2">
        <v>45622.697233796294</v>
      </c>
      <c r="I1802" t="s">
        <v>54</v>
      </c>
      <c r="Z1802">
        <v>94102</v>
      </c>
    </row>
    <row r="1803" spans="1:26" x14ac:dyDescent="0.25">
      <c r="A1803" t="s">
        <v>2164</v>
      </c>
      <c r="B1803" t="s">
        <v>27</v>
      </c>
      <c r="C1803" t="s">
        <v>28</v>
      </c>
      <c r="H1803" s="2">
        <v>45622.627858796295</v>
      </c>
      <c r="I1803" t="s">
        <v>2148</v>
      </c>
      <c r="Z1803">
        <v>94095</v>
      </c>
    </row>
    <row r="1804" spans="1:26" x14ac:dyDescent="0.25">
      <c r="A1804" t="s">
        <v>2165</v>
      </c>
      <c r="C1804" t="s">
        <v>28</v>
      </c>
      <c r="E1804" t="s">
        <v>2166</v>
      </c>
      <c r="H1804" s="2">
        <v>45622.416643518518</v>
      </c>
      <c r="I1804" t="s">
        <v>2148</v>
      </c>
      <c r="Z1804">
        <v>94066</v>
      </c>
    </row>
    <row r="1805" spans="1:26" x14ac:dyDescent="0.25">
      <c r="A1805" t="s">
        <v>2167</v>
      </c>
      <c r="B1805" t="s">
        <v>27</v>
      </c>
      <c r="C1805" t="s">
        <v>28</v>
      </c>
      <c r="E1805" t="s">
        <v>2168</v>
      </c>
      <c r="G1805" t="s">
        <v>2169</v>
      </c>
      <c r="H1805" s="2">
        <v>45621.692662037036</v>
      </c>
      <c r="I1805" t="s">
        <v>54</v>
      </c>
      <c r="Z1805">
        <v>94039</v>
      </c>
    </row>
    <row r="1806" spans="1:26" x14ac:dyDescent="0.25">
      <c r="A1806" t="s">
        <v>2170</v>
      </c>
      <c r="B1806" t="s">
        <v>27</v>
      </c>
      <c r="C1806" t="s">
        <v>28</v>
      </c>
      <c r="H1806" s="2">
        <v>45621.667673611111</v>
      </c>
      <c r="I1806" t="s">
        <v>2148</v>
      </c>
      <c r="Z1806">
        <v>94036</v>
      </c>
    </row>
    <row r="1807" spans="1:26" x14ac:dyDescent="0.25">
      <c r="A1807" t="s">
        <v>336</v>
      </c>
      <c r="C1807" t="s">
        <v>28</v>
      </c>
      <c r="E1807" t="s">
        <v>625</v>
      </c>
      <c r="H1807" s="2">
        <v>45620.713576388887</v>
      </c>
      <c r="I1807" t="s">
        <v>31</v>
      </c>
      <c r="Z1807">
        <v>93988</v>
      </c>
    </row>
    <row r="1808" spans="1:26" x14ac:dyDescent="0.25">
      <c r="A1808" t="s">
        <v>1903</v>
      </c>
      <c r="C1808" t="s">
        <v>28</v>
      </c>
      <c r="E1808" t="s">
        <v>101</v>
      </c>
      <c r="H1808" s="2">
        <v>45620.431620370371</v>
      </c>
      <c r="I1808" t="s">
        <v>31</v>
      </c>
      <c r="Z1808">
        <v>93964</v>
      </c>
    </row>
    <row r="1809" spans="1:26" x14ac:dyDescent="0.25">
      <c r="A1809" t="s">
        <v>2171</v>
      </c>
      <c r="B1809" t="s">
        <v>27</v>
      </c>
      <c r="C1809" t="s">
        <v>28</v>
      </c>
      <c r="H1809" s="2">
        <v>45618.741435185184</v>
      </c>
      <c r="I1809" t="s">
        <v>556</v>
      </c>
      <c r="Z1809">
        <v>93923</v>
      </c>
    </row>
    <row r="1810" spans="1:26" x14ac:dyDescent="0.25">
      <c r="A1810" t="s">
        <v>2172</v>
      </c>
      <c r="B1810" t="s">
        <v>1708</v>
      </c>
      <c r="C1810" t="s">
        <v>28</v>
      </c>
      <c r="E1810" t="s">
        <v>2173</v>
      </c>
      <c r="G1810" t="s">
        <v>2174</v>
      </c>
      <c r="H1810" s="2">
        <v>45618.700671296298</v>
      </c>
      <c r="I1810" t="s">
        <v>1488</v>
      </c>
      <c r="Z1810">
        <v>93921</v>
      </c>
    </row>
    <row r="1811" spans="1:26" x14ac:dyDescent="0.25">
      <c r="A1811" t="s">
        <v>2175</v>
      </c>
      <c r="B1811" t="s">
        <v>27</v>
      </c>
      <c r="C1811" t="s">
        <v>28</v>
      </c>
      <c r="H1811" s="2">
        <v>45618.693252314813</v>
      </c>
      <c r="I1811" t="s">
        <v>1488</v>
      </c>
      <c r="Z1811">
        <v>93920</v>
      </c>
    </row>
    <row r="1812" spans="1:26" x14ac:dyDescent="0.25">
      <c r="A1812" t="s">
        <v>2176</v>
      </c>
      <c r="B1812" t="s">
        <v>1708</v>
      </c>
      <c r="C1812" t="s">
        <v>28</v>
      </c>
      <c r="E1812" t="s">
        <v>427</v>
      </c>
      <c r="H1812" s="2">
        <v>45617.711446759262</v>
      </c>
      <c r="I1812" t="s">
        <v>1488</v>
      </c>
      <c r="Z1812">
        <v>93894</v>
      </c>
    </row>
    <row r="1813" spans="1:26" x14ac:dyDescent="0.25">
      <c r="A1813" t="s">
        <v>2177</v>
      </c>
      <c r="B1813" t="s">
        <v>27</v>
      </c>
      <c r="C1813" t="s">
        <v>28</v>
      </c>
      <c r="H1813" s="2">
        <v>45617.621238425927</v>
      </c>
      <c r="I1813" t="s">
        <v>1488</v>
      </c>
      <c r="Z1813">
        <v>93890</v>
      </c>
    </row>
    <row r="1814" spans="1:26" x14ac:dyDescent="0.25">
      <c r="A1814" t="s">
        <v>2178</v>
      </c>
      <c r="B1814" t="s">
        <v>27</v>
      </c>
      <c r="C1814" t="s">
        <v>28</v>
      </c>
      <c r="H1814" s="2">
        <v>45617.535891203705</v>
      </c>
      <c r="I1814" t="s">
        <v>54</v>
      </c>
      <c r="Z1814">
        <v>93883</v>
      </c>
    </row>
    <row r="1815" spans="1:26" x14ac:dyDescent="0.25">
      <c r="A1815" t="s">
        <v>2179</v>
      </c>
      <c r="B1815" t="s">
        <v>27</v>
      </c>
      <c r="C1815" t="s">
        <v>28</v>
      </c>
      <c r="H1815" s="2">
        <v>45617.515034722222</v>
      </c>
      <c r="I1815" t="s">
        <v>54</v>
      </c>
      <c r="Z1815">
        <v>93881</v>
      </c>
    </row>
    <row r="1816" spans="1:26" x14ac:dyDescent="0.25">
      <c r="A1816" t="s">
        <v>2180</v>
      </c>
      <c r="B1816" t="s">
        <v>1708</v>
      </c>
      <c r="C1816" t="s">
        <v>28</v>
      </c>
      <c r="E1816" t="s">
        <v>427</v>
      </c>
      <c r="H1816" s="2">
        <v>45616.730868055558</v>
      </c>
      <c r="I1816" t="s">
        <v>2148</v>
      </c>
      <c r="Z1816">
        <v>93854</v>
      </c>
    </row>
    <row r="1817" spans="1:26" x14ac:dyDescent="0.25">
      <c r="A1817" t="s">
        <v>2181</v>
      </c>
      <c r="B1817" t="s">
        <v>27</v>
      </c>
      <c r="C1817" t="s">
        <v>28</v>
      </c>
      <c r="H1817" s="2">
        <v>45616.468888888892</v>
      </c>
      <c r="I1817" t="s">
        <v>54</v>
      </c>
      <c r="Z1817">
        <v>93827</v>
      </c>
    </row>
    <row r="1818" spans="1:26" x14ac:dyDescent="0.25">
      <c r="A1818" t="s">
        <v>2182</v>
      </c>
      <c r="B1818" t="s">
        <v>27</v>
      </c>
      <c r="C1818" t="s">
        <v>28</v>
      </c>
      <c r="H1818" s="2">
        <v>45615.669224537036</v>
      </c>
      <c r="I1818" t="s">
        <v>31</v>
      </c>
      <c r="Z1818">
        <v>93798</v>
      </c>
    </row>
    <row r="1819" spans="1:26" x14ac:dyDescent="0.25">
      <c r="A1819" t="s">
        <v>2183</v>
      </c>
      <c r="B1819" t="s">
        <v>27</v>
      </c>
      <c r="C1819" t="s">
        <v>28</v>
      </c>
      <c r="H1819" s="2">
        <v>45615.532731481479</v>
      </c>
      <c r="I1819" t="s">
        <v>54</v>
      </c>
      <c r="Z1819">
        <v>93783</v>
      </c>
    </row>
    <row r="1820" spans="1:26" x14ac:dyDescent="0.25">
      <c r="A1820" t="s">
        <v>2184</v>
      </c>
      <c r="B1820" t="s">
        <v>27</v>
      </c>
      <c r="C1820" t="s">
        <v>28</v>
      </c>
      <c r="H1820" s="2">
        <v>45615.47855324074</v>
      </c>
      <c r="I1820" t="s">
        <v>54</v>
      </c>
      <c r="Z1820">
        <v>93775</v>
      </c>
    </row>
    <row r="1821" spans="1:26" x14ac:dyDescent="0.25">
      <c r="A1821" t="s">
        <v>2185</v>
      </c>
      <c r="B1821" t="s">
        <v>27</v>
      </c>
      <c r="C1821" t="s">
        <v>28</v>
      </c>
      <c r="H1821" s="2">
        <v>45615.455717592595</v>
      </c>
      <c r="I1821" t="s">
        <v>54</v>
      </c>
      <c r="Z1821">
        <v>93773</v>
      </c>
    </row>
    <row r="1822" spans="1:26" x14ac:dyDescent="0.25">
      <c r="A1822" t="s">
        <v>2186</v>
      </c>
      <c r="B1822" t="s">
        <v>1708</v>
      </c>
      <c r="C1822" t="s">
        <v>28</v>
      </c>
      <c r="E1822" t="s">
        <v>598</v>
      </c>
      <c r="H1822" s="2">
        <v>45615.455543981479</v>
      </c>
      <c r="I1822" t="s">
        <v>31</v>
      </c>
      <c r="Z1822">
        <v>93772</v>
      </c>
    </row>
    <row r="1823" spans="1:26" x14ac:dyDescent="0.25">
      <c r="A1823" t="s">
        <v>2187</v>
      </c>
      <c r="B1823" t="s">
        <v>27</v>
      </c>
      <c r="C1823" t="s">
        <v>28</v>
      </c>
      <c r="H1823" s="2">
        <v>45615.418171296296</v>
      </c>
      <c r="I1823" t="s">
        <v>31</v>
      </c>
      <c r="Z1823">
        <v>93767</v>
      </c>
    </row>
    <row r="1824" spans="1:26" x14ac:dyDescent="0.25">
      <c r="A1824" t="s">
        <v>2188</v>
      </c>
      <c r="B1824" t="s">
        <v>27</v>
      </c>
      <c r="C1824" t="s">
        <v>28</v>
      </c>
      <c r="H1824" s="2">
        <v>45614.580474537041</v>
      </c>
      <c r="I1824" t="s">
        <v>31</v>
      </c>
      <c r="Z1824">
        <v>93750</v>
      </c>
    </row>
    <row r="1825" spans="1:26" x14ac:dyDescent="0.25">
      <c r="A1825" t="s">
        <v>2189</v>
      </c>
      <c r="B1825" t="s">
        <v>1708</v>
      </c>
      <c r="C1825" t="s">
        <v>28</v>
      </c>
      <c r="E1825" t="s">
        <v>2190</v>
      </c>
      <c r="G1825" t="s">
        <v>2191</v>
      </c>
      <c r="H1825" s="2">
        <v>45614.534016203703</v>
      </c>
      <c r="I1825" t="s">
        <v>31</v>
      </c>
      <c r="Z1825">
        <v>93746</v>
      </c>
    </row>
    <row r="1826" spans="1:26" x14ac:dyDescent="0.25">
      <c r="A1826" t="s">
        <v>2192</v>
      </c>
      <c r="B1826" t="s">
        <v>1403</v>
      </c>
      <c r="C1826" t="s">
        <v>28</v>
      </c>
      <c r="E1826" t="s">
        <v>2190</v>
      </c>
      <c r="H1826" s="2">
        <v>45614.519687499997</v>
      </c>
      <c r="I1826" t="s">
        <v>31</v>
      </c>
      <c r="Z1826">
        <v>93743</v>
      </c>
    </row>
    <row r="1827" spans="1:26" x14ac:dyDescent="0.25">
      <c r="A1827" t="s">
        <v>2193</v>
      </c>
      <c r="C1827" t="s">
        <v>28</v>
      </c>
      <c r="E1827" t="s">
        <v>61</v>
      </c>
      <c r="H1827" s="2">
        <v>45613.672685185185</v>
      </c>
      <c r="I1827" t="s">
        <v>31</v>
      </c>
      <c r="Z1827">
        <v>93728</v>
      </c>
    </row>
    <row r="1828" spans="1:26" x14ac:dyDescent="0.25">
      <c r="A1828" t="s">
        <v>2194</v>
      </c>
      <c r="B1828" t="s">
        <v>27</v>
      </c>
      <c r="C1828" t="s">
        <v>28</v>
      </c>
      <c r="H1828" s="2">
        <v>45612.644479166665</v>
      </c>
      <c r="I1828" t="s">
        <v>556</v>
      </c>
      <c r="Z1828">
        <v>93693</v>
      </c>
    </row>
    <row r="1829" spans="1:26" x14ac:dyDescent="0.25">
      <c r="A1829" t="s">
        <v>2195</v>
      </c>
      <c r="C1829" t="s">
        <v>28</v>
      </c>
      <c r="E1829" t="s">
        <v>2196</v>
      </c>
      <c r="H1829" s="2">
        <v>45612.309594907405</v>
      </c>
      <c r="I1829" t="s">
        <v>556</v>
      </c>
      <c r="Z1829">
        <v>93675</v>
      </c>
    </row>
    <row r="1830" spans="1:26" x14ac:dyDescent="0.25">
      <c r="A1830" t="s">
        <v>2197</v>
      </c>
      <c r="B1830" t="s">
        <v>27</v>
      </c>
      <c r="C1830" t="s">
        <v>28</v>
      </c>
      <c r="H1830" s="2">
        <v>45611.778692129628</v>
      </c>
      <c r="I1830" t="s">
        <v>1488</v>
      </c>
      <c r="Z1830">
        <v>93671</v>
      </c>
    </row>
    <row r="1831" spans="1:26" x14ac:dyDescent="0.25">
      <c r="A1831" t="s">
        <v>2198</v>
      </c>
      <c r="B1831" t="s">
        <v>27</v>
      </c>
      <c r="C1831" t="s">
        <v>28</v>
      </c>
      <c r="H1831" s="2">
        <v>45611.728101851855</v>
      </c>
      <c r="I1831" t="s">
        <v>54</v>
      </c>
      <c r="Z1831">
        <v>93668</v>
      </c>
    </row>
    <row r="1832" spans="1:26" x14ac:dyDescent="0.25">
      <c r="A1832" t="s">
        <v>2199</v>
      </c>
      <c r="B1832" t="s">
        <v>27</v>
      </c>
      <c r="C1832" t="s">
        <v>28</v>
      </c>
      <c r="E1832" t="s">
        <v>2200</v>
      </c>
      <c r="H1832" s="2">
        <v>45611.649814814817</v>
      </c>
      <c r="I1832" t="s">
        <v>54</v>
      </c>
      <c r="Z1832">
        <v>93663</v>
      </c>
    </row>
    <row r="1833" spans="1:26" x14ac:dyDescent="0.25">
      <c r="A1833" t="s">
        <v>2201</v>
      </c>
      <c r="B1833" t="s">
        <v>27</v>
      </c>
      <c r="C1833" t="s">
        <v>28</v>
      </c>
      <c r="H1833" s="2">
        <v>45611.466643518521</v>
      </c>
      <c r="I1833" t="s">
        <v>1488</v>
      </c>
      <c r="Z1833">
        <v>93652</v>
      </c>
    </row>
    <row r="1834" spans="1:26" x14ac:dyDescent="0.25">
      <c r="A1834" t="s">
        <v>2202</v>
      </c>
      <c r="B1834" t="s">
        <v>1403</v>
      </c>
      <c r="C1834" t="s">
        <v>28</v>
      </c>
      <c r="E1834" t="s">
        <v>2203</v>
      </c>
      <c r="H1834" s="2">
        <v>45610.685231481482</v>
      </c>
      <c r="I1834" t="s">
        <v>31</v>
      </c>
      <c r="Z1834">
        <v>93633</v>
      </c>
    </row>
    <row r="1835" spans="1:26" x14ac:dyDescent="0.25">
      <c r="A1835" t="s">
        <v>2204</v>
      </c>
      <c r="B1835" t="s">
        <v>27</v>
      </c>
      <c r="C1835" t="s">
        <v>28</v>
      </c>
      <c r="H1835" s="2">
        <v>45610.567303240743</v>
      </c>
      <c r="I1835" t="s">
        <v>1488</v>
      </c>
      <c r="Z1835">
        <v>93616</v>
      </c>
    </row>
    <row r="1836" spans="1:26" x14ac:dyDescent="0.25">
      <c r="A1836" t="s">
        <v>2205</v>
      </c>
      <c r="B1836" t="s">
        <v>1708</v>
      </c>
      <c r="C1836" t="s">
        <v>28</v>
      </c>
      <c r="E1836" t="s">
        <v>101</v>
      </c>
      <c r="H1836" s="2">
        <v>45610.441967592589</v>
      </c>
      <c r="I1836" t="s">
        <v>1488</v>
      </c>
      <c r="Z1836">
        <v>93604</v>
      </c>
    </row>
    <row r="1837" spans="1:26" x14ac:dyDescent="0.25">
      <c r="A1837" t="s">
        <v>2206</v>
      </c>
      <c r="B1837" t="s">
        <v>1993</v>
      </c>
      <c r="C1837" t="s">
        <v>28</v>
      </c>
      <c r="E1837" t="s">
        <v>607</v>
      </c>
      <c r="H1837" s="2">
        <v>45609.771331018521</v>
      </c>
      <c r="I1837" t="s">
        <v>54</v>
      </c>
      <c r="Z1837">
        <v>93592</v>
      </c>
    </row>
    <row r="1838" spans="1:26" x14ac:dyDescent="0.25">
      <c r="A1838" t="s">
        <v>2207</v>
      </c>
      <c r="B1838" t="s">
        <v>27</v>
      </c>
      <c r="C1838" t="s">
        <v>28</v>
      </c>
      <c r="H1838" s="2">
        <v>45609.763715277775</v>
      </c>
      <c r="I1838" t="s">
        <v>54</v>
      </c>
      <c r="Z1838">
        <v>93590</v>
      </c>
    </row>
    <row r="1839" spans="1:26" x14ac:dyDescent="0.25">
      <c r="A1839" t="s">
        <v>2208</v>
      </c>
      <c r="B1839" t="s">
        <v>27</v>
      </c>
      <c r="C1839" t="s">
        <v>28</v>
      </c>
      <c r="H1839" s="2">
        <v>45609.738518518519</v>
      </c>
      <c r="I1839" t="s">
        <v>54</v>
      </c>
      <c r="Z1839">
        <v>93586</v>
      </c>
    </row>
    <row r="1840" spans="1:26" x14ac:dyDescent="0.25">
      <c r="A1840" t="s">
        <v>2209</v>
      </c>
      <c r="B1840" t="s">
        <v>27</v>
      </c>
      <c r="C1840" t="s">
        <v>28</v>
      </c>
      <c r="H1840" s="2">
        <v>45609.727835648147</v>
      </c>
      <c r="I1840" t="s">
        <v>54</v>
      </c>
      <c r="Z1840">
        <v>93585</v>
      </c>
    </row>
    <row r="1841" spans="1:26" x14ac:dyDescent="0.25">
      <c r="A1841" t="s">
        <v>2210</v>
      </c>
      <c r="B1841" t="s">
        <v>27</v>
      </c>
      <c r="C1841" t="s">
        <v>28</v>
      </c>
      <c r="H1841" s="2">
        <v>45609.719305555554</v>
      </c>
      <c r="I1841" t="s">
        <v>54</v>
      </c>
      <c r="Z1841">
        <v>93584</v>
      </c>
    </row>
    <row r="1842" spans="1:26" x14ac:dyDescent="0.25">
      <c r="A1842" t="s">
        <v>2211</v>
      </c>
      <c r="B1842" t="s">
        <v>27</v>
      </c>
      <c r="C1842" t="s">
        <v>28</v>
      </c>
      <c r="H1842" s="2">
        <v>45609.668240740742</v>
      </c>
      <c r="I1842" t="s">
        <v>54</v>
      </c>
      <c r="Z1842">
        <v>93579</v>
      </c>
    </row>
    <row r="1843" spans="1:26" x14ac:dyDescent="0.25">
      <c r="A1843" t="s">
        <v>2212</v>
      </c>
      <c r="B1843" t="s">
        <v>2162</v>
      </c>
      <c r="C1843" t="s">
        <v>28</v>
      </c>
      <c r="E1843" t="s">
        <v>1942</v>
      </c>
      <c r="G1843" t="s">
        <v>2213</v>
      </c>
      <c r="H1843" s="2">
        <v>45609.509386574071</v>
      </c>
      <c r="I1843" t="s">
        <v>31</v>
      </c>
      <c r="Z1843">
        <v>93562</v>
      </c>
    </row>
    <row r="1844" spans="1:26" x14ac:dyDescent="0.25">
      <c r="A1844" t="s">
        <v>2214</v>
      </c>
      <c r="B1844" t="s">
        <v>27</v>
      </c>
      <c r="C1844" t="s">
        <v>28</v>
      </c>
      <c r="H1844" s="2">
        <v>45608.511932870373</v>
      </c>
      <c r="I1844" t="s">
        <v>54</v>
      </c>
      <c r="Z1844">
        <v>93497</v>
      </c>
    </row>
    <row r="1845" spans="1:26" x14ac:dyDescent="0.25">
      <c r="A1845" t="s">
        <v>2215</v>
      </c>
      <c r="B1845" t="s">
        <v>1403</v>
      </c>
      <c r="C1845" t="s">
        <v>28</v>
      </c>
      <c r="E1845" t="s">
        <v>2216</v>
      </c>
      <c r="H1845" s="2">
        <v>45608.509421296294</v>
      </c>
      <c r="I1845" t="s">
        <v>31</v>
      </c>
      <c r="Z1845">
        <v>93495</v>
      </c>
    </row>
    <row r="1846" spans="1:26" x14ac:dyDescent="0.25">
      <c r="A1846" t="s">
        <v>2217</v>
      </c>
      <c r="B1846" t="s">
        <v>27</v>
      </c>
      <c r="C1846" t="s">
        <v>75</v>
      </c>
      <c r="H1846" s="2">
        <v>45607.685601851852</v>
      </c>
      <c r="I1846" t="s">
        <v>2148</v>
      </c>
      <c r="Z1846">
        <v>93453</v>
      </c>
    </row>
    <row r="1847" spans="1:26" x14ac:dyDescent="0.25">
      <c r="A1847" t="s">
        <v>1793</v>
      </c>
      <c r="B1847" t="s">
        <v>27</v>
      </c>
      <c r="C1847" t="s">
        <v>28</v>
      </c>
      <c r="H1847" s="2">
        <v>45607.500601851854</v>
      </c>
      <c r="I1847" t="s">
        <v>556</v>
      </c>
      <c r="Z1847">
        <v>93418</v>
      </c>
    </row>
    <row r="1848" spans="1:26" x14ac:dyDescent="0.25">
      <c r="A1848" t="s">
        <v>2218</v>
      </c>
      <c r="B1848" t="s">
        <v>306</v>
      </c>
      <c r="C1848" t="s">
        <v>2219</v>
      </c>
      <c r="E1848" t="s">
        <v>304</v>
      </c>
      <c r="H1848" s="2">
        <v>45607.461331018516</v>
      </c>
      <c r="I1848" t="s">
        <v>2148</v>
      </c>
      <c r="Z1848">
        <v>93409</v>
      </c>
    </row>
    <row r="1849" spans="1:26" x14ac:dyDescent="0.25">
      <c r="A1849" t="s">
        <v>2220</v>
      </c>
      <c r="B1849" t="s">
        <v>1708</v>
      </c>
      <c r="C1849" t="s">
        <v>185</v>
      </c>
      <c r="E1849">
        <v>79963426963</v>
      </c>
      <c r="H1849" s="2">
        <v>45607.461168981485</v>
      </c>
      <c r="I1849" t="s">
        <v>2148</v>
      </c>
      <c r="Z1849">
        <v>93408</v>
      </c>
    </row>
    <row r="1850" spans="1:26" x14ac:dyDescent="0.25">
      <c r="A1850" t="s">
        <v>2221</v>
      </c>
      <c r="B1850" t="s">
        <v>1403</v>
      </c>
      <c r="C1850" t="s">
        <v>28</v>
      </c>
      <c r="E1850" t="s">
        <v>260</v>
      </c>
      <c r="G1850" t="s">
        <v>2222</v>
      </c>
      <c r="H1850" s="2">
        <v>45606.827268518522</v>
      </c>
      <c r="I1850" t="s">
        <v>556</v>
      </c>
      <c r="Z1850">
        <v>93391</v>
      </c>
    </row>
    <row r="1851" spans="1:26" x14ac:dyDescent="0.25">
      <c r="A1851" t="s">
        <v>2223</v>
      </c>
      <c r="B1851" t="s">
        <v>27</v>
      </c>
      <c r="C1851" t="s">
        <v>28</v>
      </c>
      <c r="H1851" s="2">
        <v>45606.607407407406</v>
      </c>
      <c r="I1851" t="s">
        <v>556</v>
      </c>
      <c r="Z1851">
        <v>93376</v>
      </c>
    </row>
    <row r="1852" spans="1:26" x14ac:dyDescent="0.25">
      <c r="A1852" t="s">
        <v>2224</v>
      </c>
      <c r="B1852" t="s">
        <v>1708</v>
      </c>
      <c r="C1852" t="s">
        <v>28</v>
      </c>
      <c r="E1852" t="s">
        <v>2225</v>
      </c>
      <c r="G1852" t="s">
        <v>2226</v>
      </c>
      <c r="H1852" s="2">
        <v>45605.984826388885</v>
      </c>
      <c r="I1852" t="s">
        <v>1488</v>
      </c>
      <c r="Z1852">
        <v>93348</v>
      </c>
    </row>
    <row r="1853" spans="1:26" x14ac:dyDescent="0.25">
      <c r="A1853" t="s">
        <v>2227</v>
      </c>
      <c r="B1853" t="s">
        <v>1403</v>
      </c>
      <c r="C1853" t="s">
        <v>28</v>
      </c>
      <c r="E1853" t="s">
        <v>2228</v>
      </c>
      <c r="G1853" t="s">
        <v>2229</v>
      </c>
      <c r="H1853" s="2">
        <v>45605.983171296299</v>
      </c>
      <c r="I1853" t="s">
        <v>556</v>
      </c>
      <c r="Z1853">
        <v>93347</v>
      </c>
    </row>
    <row r="1854" spans="1:26" x14ac:dyDescent="0.25">
      <c r="A1854" t="s">
        <v>2230</v>
      </c>
      <c r="B1854" t="s">
        <v>74</v>
      </c>
      <c r="C1854" t="s">
        <v>28</v>
      </c>
      <c r="E1854" t="s">
        <v>2093</v>
      </c>
      <c r="G1854" t="s">
        <v>2094</v>
      </c>
      <c r="H1854" s="2">
        <v>45605.023842592593</v>
      </c>
      <c r="I1854" t="s">
        <v>556</v>
      </c>
      <c r="Z1854">
        <v>93311</v>
      </c>
    </row>
    <row r="1855" spans="1:26" x14ac:dyDescent="0.25">
      <c r="A1855" t="s">
        <v>2231</v>
      </c>
      <c r="B1855" t="s">
        <v>1708</v>
      </c>
      <c r="C1855" t="s">
        <v>28</v>
      </c>
      <c r="E1855" t="s">
        <v>571</v>
      </c>
      <c r="H1855" s="2">
        <v>45604.885868055557</v>
      </c>
      <c r="I1855" t="s">
        <v>54</v>
      </c>
      <c r="Z1855">
        <v>93310</v>
      </c>
    </row>
    <row r="1856" spans="1:26" x14ac:dyDescent="0.25">
      <c r="A1856" t="s">
        <v>2232</v>
      </c>
      <c r="B1856" t="s">
        <v>27</v>
      </c>
      <c r="C1856" t="s">
        <v>28</v>
      </c>
      <c r="E1856" t="s">
        <v>2233</v>
      </c>
      <c r="H1856" s="2">
        <v>45603.764803240738</v>
      </c>
      <c r="I1856" t="s">
        <v>54</v>
      </c>
      <c r="Z1856">
        <v>93266</v>
      </c>
    </row>
    <row r="1857" spans="1:26" x14ac:dyDescent="0.25">
      <c r="A1857" t="s">
        <v>2234</v>
      </c>
      <c r="B1857" t="s">
        <v>27</v>
      </c>
      <c r="C1857" t="s">
        <v>28</v>
      </c>
      <c r="E1857" t="s">
        <v>2235</v>
      </c>
      <c r="H1857" s="2">
        <v>45603.747314814813</v>
      </c>
      <c r="I1857" t="s">
        <v>54</v>
      </c>
      <c r="Z1857">
        <v>93263</v>
      </c>
    </row>
    <row r="1858" spans="1:26" x14ac:dyDescent="0.25">
      <c r="A1858" t="s">
        <v>2236</v>
      </c>
      <c r="B1858" t="s">
        <v>27</v>
      </c>
      <c r="C1858" t="s">
        <v>28</v>
      </c>
      <c r="H1858" s="2">
        <v>45603.699907407405</v>
      </c>
      <c r="I1858" t="s">
        <v>54</v>
      </c>
      <c r="Z1858">
        <v>93258</v>
      </c>
    </row>
    <row r="1859" spans="1:26" x14ac:dyDescent="0.25">
      <c r="A1859" t="s">
        <v>2237</v>
      </c>
      <c r="B1859" t="s">
        <v>27</v>
      </c>
      <c r="C1859" t="s">
        <v>28</v>
      </c>
      <c r="H1859" s="2">
        <v>45602.68891203704</v>
      </c>
      <c r="I1859" t="s">
        <v>556</v>
      </c>
      <c r="Z1859">
        <v>93202</v>
      </c>
    </row>
    <row r="1860" spans="1:26" x14ac:dyDescent="0.25">
      <c r="A1860" t="s">
        <v>2238</v>
      </c>
      <c r="B1860" t="s">
        <v>27</v>
      </c>
      <c r="C1860" t="s">
        <v>28</v>
      </c>
      <c r="H1860" s="2">
        <v>45602.571643518517</v>
      </c>
      <c r="I1860" t="s">
        <v>54</v>
      </c>
      <c r="Z1860">
        <v>93183</v>
      </c>
    </row>
    <row r="1861" spans="1:26" x14ac:dyDescent="0.25">
      <c r="A1861" t="s">
        <v>2239</v>
      </c>
      <c r="B1861" t="s">
        <v>27</v>
      </c>
      <c r="C1861" t="s">
        <v>28</v>
      </c>
      <c r="H1861" s="2">
        <v>45601.702488425923</v>
      </c>
      <c r="I1861" t="s">
        <v>1488</v>
      </c>
      <c r="Z1861">
        <v>93122</v>
      </c>
    </row>
    <row r="1862" spans="1:26" x14ac:dyDescent="0.25">
      <c r="A1862" t="s">
        <v>1462</v>
      </c>
      <c r="B1862" t="s">
        <v>27</v>
      </c>
      <c r="C1862" t="s">
        <v>28</v>
      </c>
      <c r="H1862" s="2">
        <v>45601.609803240739</v>
      </c>
      <c r="I1862" t="s">
        <v>1488</v>
      </c>
      <c r="Z1862">
        <v>93102</v>
      </c>
    </row>
    <row r="1863" spans="1:26" x14ac:dyDescent="0.25">
      <c r="A1863" t="s">
        <v>2240</v>
      </c>
      <c r="B1863" t="s">
        <v>27</v>
      </c>
      <c r="C1863" t="s">
        <v>28</v>
      </c>
      <c r="H1863" s="2">
        <v>45601.545787037037</v>
      </c>
      <c r="I1863" t="s">
        <v>556</v>
      </c>
      <c r="Z1863">
        <v>93091</v>
      </c>
    </row>
    <row r="1864" spans="1:26" x14ac:dyDescent="0.25">
      <c r="A1864" t="s">
        <v>2241</v>
      </c>
      <c r="B1864" t="s">
        <v>1708</v>
      </c>
      <c r="C1864" t="s">
        <v>28</v>
      </c>
      <c r="E1864" t="s">
        <v>101</v>
      </c>
      <c r="G1864" t="s">
        <v>2242</v>
      </c>
      <c r="H1864" s="2">
        <v>45600.650104166663</v>
      </c>
      <c r="I1864" t="s">
        <v>1488</v>
      </c>
      <c r="Z1864">
        <v>93002</v>
      </c>
    </row>
    <row r="1865" spans="1:26" x14ac:dyDescent="0.25">
      <c r="A1865" t="s">
        <v>2243</v>
      </c>
      <c r="B1865" t="s">
        <v>27</v>
      </c>
      <c r="C1865" t="s">
        <v>28</v>
      </c>
      <c r="H1865" s="2">
        <v>45600.380381944444</v>
      </c>
      <c r="I1865" t="s">
        <v>1488</v>
      </c>
      <c r="Z1865">
        <v>92948</v>
      </c>
    </row>
    <row r="1866" spans="1:26" x14ac:dyDescent="0.25">
      <c r="A1866" t="s">
        <v>2244</v>
      </c>
      <c r="B1866" t="s">
        <v>27</v>
      </c>
      <c r="C1866" t="s">
        <v>28</v>
      </c>
      <c r="H1866" s="2">
        <v>45599.833726851852</v>
      </c>
      <c r="I1866" t="s">
        <v>54</v>
      </c>
      <c r="Z1866">
        <v>92941</v>
      </c>
    </row>
    <row r="1867" spans="1:26" x14ac:dyDescent="0.25">
      <c r="A1867" t="s">
        <v>2245</v>
      </c>
      <c r="B1867" t="s">
        <v>27</v>
      </c>
      <c r="C1867" t="s">
        <v>28</v>
      </c>
      <c r="H1867" s="2">
        <v>45599.740208333336</v>
      </c>
      <c r="I1867" t="s">
        <v>1488</v>
      </c>
      <c r="Z1867">
        <v>92931</v>
      </c>
    </row>
    <row r="1868" spans="1:26" x14ac:dyDescent="0.25">
      <c r="A1868" t="s">
        <v>2246</v>
      </c>
      <c r="B1868" t="s">
        <v>27</v>
      </c>
      <c r="C1868" t="s">
        <v>28</v>
      </c>
      <c r="H1868" s="2">
        <v>45599.396944444445</v>
      </c>
      <c r="I1868" t="s">
        <v>54</v>
      </c>
      <c r="Z1868">
        <v>92864</v>
      </c>
    </row>
    <row r="1869" spans="1:26" x14ac:dyDescent="0.25">
      <c r="A1869" t="s">
        <v>2247</v>
      </c>
      <c r="B1869" t="s">
        <v>27</v>
      </c>
      <c r="C1869" t="s">
        <v>28</v>
      </c>
      <c r="H1869" s="2">
        <v>45598.589930555558</v>
      </c>
      <c r="I1869" t="s">
        <v>1488</v>
      </c>
      <c r="Z1869">
        <v>92817</v>
      </c>
    </row>
    <row r="1870" spans="1:26" x14ac:dyDescent="0.25">
      <c r="A1870" t="s">
        <v>2248</v>
      </c>
      <c r="B1870" t="s">
        <v>27</v>
      </c>
      <c r="C1870" t="s">
        <v>28</v>
      </c>
      <c r="H1870" s="2">
        <v>45598.544490740744</v>
      </c>
      <c r="I1870" t="s">
        <v>54</v>
      </c>
      <c r="Z1870">
        <v>92806</v>
      </c>
    </row>
    <row r="1871" spans="1:26" x14ac:dyDescent="0.25">
      <c r="A1871" t="s">
        <v>1220</v>
      </c>
      <c r="B1871" t="s">
        <v>1708</v>
      </c>
      <c r="C1871" t="s">
        <v>28</v>
      </c>
      <c r="E1871" t="s">
        <v>2249</v>
      </c>
      <c r="H1871" s="2">
        <v>45598.347557870373</v>
      </c>
      <c r="I1871" t="s">
        <v>54</v>
      </c>
      <c r="Z1871">
        <v>92786</v>
      </c>
    </row>
    <row r="1872" spans="1:26" x14ac:dyDescent="0.25">
      <c r="A1872" t="s">
        <v>1220</v>
      </c>
      <c r="B1872" t="s">
        <v>74</v>
      </c>
      <c r="C1872" t="s">
        <v>28</v>
      </c>
      <c r="E1872" t="s">
        <v>2250</v>
      </c>
      <c r="G1872" t="s">
        <v>2251</v>
      </c>
      <c r="H1872" s="2">
        <v>45597.863645833335</v>
      </c>
      <c r="I1872" t="s">
        <v>1488</v>
      </c>
      <c r="Z1872">
        <v>92784</v>
      </c>
    </row>
    <row r="1873" spans="1:26" x14ac:dyDescent="0.25">
      <c r="A1873" t="s">
        <v>2252</v>
      </c>
      <c r="B1873" t="s">
        <v>27</v>
      </c>
      <c r="C1873" t="s">
        <v>28</v>
      </c>
      <c r="H1873" s="2">
        <v>45597.725381944445</v>
      </c>
      <c r="I1873" t="s">
        <v>54</v>
      </c>
      <c r="Z1873">
        <v>92771</v>
      </c>
    </row>
    <row r="1874" spans="1:26" x14ac:dyDescent="0.25">
      <c r="A1874" t="s">
        <v>2253</v>
      </c>
      <c r="B1874" t="s">
        <v>27</v>
      </c>
      <c r="C1874" t="s">
        <v>28</v>
      </c>
      <c r="H1874" s="2">
        <v>45597.673194444447</v>
      </c>
      <c r="I1874" t="s">
        <v>54</v>
      </c>
      <c r="Z1874">
        <v>92759</v>
      </c>
    </row>
    <row r="1875" spans="1:26" x14ac:dyDescent="0.25">
      <c r="A1875" t="s">
        <v>570</v>
      </c>
      <c r="C1875" t="s">
        <v>28</v>
      </c>
      <c r="E1875" t="s">
        <v>929</v>
      </c>
      <c r="H1875" s="2">
        <v>45597.515740740739</v>
      </c>
      <c r="I1875" t="s">
        <v>556</v>
      </c>
      <c r="Z1875">
        <v>92728</v>
      </c>
    </row>
    <row r="1876" spans="1:26" x14ac:dyDescent="0.25">
      <c r="A1876" t="s">
        <v>2254</v>
      </c>
      <c r="B1876" t="s">
        <v>1403</v>
      </c>
      <c r="C1876" t="s">
        <v>28</v>
      </c>
      <c r="E1876" t="s">
        <v>1512</v>
      </c>
      <c r="G1876" t="s">
        <v>1513</v>
      </c>
      <c r="H1876" s="2">
        <v>45597.485208333332</v>
      </c>
      <c r="I1876" t="s">
        <v>556</v>
      </c>
      <c r="Z1876">
        <v>92721</v>
      </c>
    </row>
    <row r="1877" spans="1:26" x14ac:dyDescent="0.25">
      <c r="A1877" t="s">
        <v>1257</v>
      </c>
      <c r="B1877" t="s">
        <v>27</v>
      </c>
      <c r="C1877" t="s">
        <v>28</v>
      </c>
      <c r="H1877" s="2">
        <v>45596.759201388886</v>
      </c>
      <c r="I1877" t="s">
        <v>556</v>
      </c>
      <c r="Z1877">
        <v>92696</v>
      </c>
    </row>
    <row r="1878" spans="1:26" x14ac:dyDescent="0.25">
      <c r="A1878" t="s">
        <v>2255</v>
      </c>
      <c r="B1878" t="s">
        <v>27</v>
      </c>
      <c r="C1878" t="s">
        <v>28</v>
      </c>
      <c r="H1878" s="2">
        <v>45596.654965277776</v>
      </c>
      <c r="I1878" t="s">
        <v>54</v>
      </c>
      <c r="Z1878">
        <v>92678</v>
      </c>
    </row>
    <row r="1879" spans="1:26" x14ac:dyDescent="0.25">
      <c r="A1879" t="s">
        <v>2256</v>
      </c>
      <c r="B1879" t="s">
        <v>27</v>
      </c>
      <c r="C1879" t="s">
        <v>28</v>
      </c>
      <c r="H1879" s="2">
        <v>45596.499166666668</v>
      </c>
      <c r="I1879" t="s">
        <v>54</v>
      </c>
      <c r="Z1879">
        <v>92655</v>
      </c>
    </row>
    <row r="1880" spans="1:26" x14ac:dyDescent="0.25">
      <c r="A1880" t="s">
        <v>2257</v>
      </c>
      <c r="B1880" t="s">
        <v>27</v>
      </c>
      <c r="C1880" t="s">
        <v>28</v>
      </c>
      <c r="H1880" s="2">
        <v>45595.766099537039</v>
      </c>
      <c r="I1880" t="s">
        <v>556</v>
      </c>
      <c r="Z1880">
        <v>92631</v>
      </c>
    </row>
    <row r="1881" spans="1:26" x14ac:dyDescent="0.25">
      <c r="A1881" t="s">
        <v>2258</v>
      </c>
      <c r="B1881" t="s">
        <v>27</v>
      </c>
      <c r="C1881" t="s">
        <v>28</v>
      </c>
      <c r="H1881" s="2">
        <v>45595.585578703707</v>
      </c>
      <c r="I1881" t="s">
        <v>1488</v>
      </c>
      <c r="Z1881">
        <v>92612</v>
      </c>
    </row>
    <row r="1882" spans="1:26" x14ac:dyDescent="0.25">
      <c r="A1882" t="s">
        <v>2259</v>
      </c>
      <c r="B1882" t="s">
        <v>27</v>
      </c>
      <c r="C1882" t="s">
        <v>28</v>
      </c>
      <c r="H1882" s="2">
        <v>45594.706018518518</v>
      </c>
      <c r="I1882" t="s">
        <v>2001</v>
      </c>
      <c r="Z1882">
        <v>92581</v>
      </c>
    </row>
    <row r="1883" spans="1:26" x14ac:dyDescent="0.25">
      <c r="A1883" t="s">
        <v>2260</v>
      </c>
      <c r="B1883" t="s">
        <v>27</v>
      </c>
      <c r="C1883" t="s">
        <v>28</v>
      </c>
      <c r="H1883" s="2">
        <v>45594.67863425926</v>
      </c>
      <c r="I1883" t="s">
        <v>1488</v>
      </c>
      <c r="Z1883">
        <v>92579</v>
      </c>
    </row>
    <row r="1884" spans="1:26" x14ac:dyDescent="0.25">
      <c r="A1884" t="s">
        <v>2261</v>
      </c>
      <c r="B1884" t="s">
        <v>27</v>
      </c>
      <c r="C1884" t="s">
        <v>28</v>
      </c>
      <c r="H1884" s="2">
        <v>45594.545752314814</v>
      </c>
      <c r="I1884" t="s">
        <v>556</v>
      </c>
      <c r="Z1884">
        <v>92560</v>
      </c>
    </row>
    <row r="1885" spans="1:26" x14ac:dyDescent="0.25">
      <c r="A1885" t="s">
        <v>2262</v>
      </c>
      <c r="B1885" t="s">
        <v>1708</v>
      </c>
      <c r="C1885" t="s">
        <v>185</v>
      </c>
      <c r="E1885" t="s">
        <v>72</v>
      </c>
      <c r="G1885" t="s">
        <v>2263</v>
      </c>
      <c r="H1885" s="2">
        <v>45594.510752314818</v>
      </c>
      <c r="I1885" t="s">
        <v>556</v>
      </c>
      <c r="Z1885">
        <v>92549</v>
      </c>
    </row>
    <row r="1886" spans="1:26" x14ac:dyDescent="0.25">
      <c r="A1886" t="s">
        <v>2264</v>
      </c>
      <c r="B1886" t="s">
        <v>27</v>
      </c>
      <c r="C1886" t="s">
        <v>28</v>
      </c>
      <c r="H1886" s="2">
        <v>45594.462893518517</v>
      </c>
      <c r="I1886" t="s">
        <v>1488</v>
      </c>
      <c r="Z1886">
        <v>92541</v>
      </c>
    </row>
    <row r="1887" spans="1:26" x14ac:dyDescent="0.25">
      <c r="A1887" t="s">
        <v>2265</v>
      </c>
      <c r="B1887" t="s">
        <v>74</v>
      </c>
      <c r="C1887" t="s">
        <v>28</v>
      </c>
      <c r="E1887" t="s">
        <v>2266</v>
      </c>
      <c r="G1887" t="s">
        <v>2267</v>
      </c>
      <c r="H1887" s="2">
        <v>45593.920266203706</v>
      </c>
      <c r="I1887" t="s">
        <v>1488</v>
      </c>
      <c r="Z1887">
        <v>92527</v>
      </c>
    </row>
    <row r="1888" spans="1:26" x14ac:dyDescent="0.25">
      <c r="A1888" t="s">
        <v>2268</v>
      </c>
      <c r="B1888" t="s">
        <v>1403</v>
      </c>
      <c r="C1888" t="s">
        <v>28</v>
      </c>
      <c r="E1888" t="s">
        <v>2269</v>
      </c>
      <c r="H1888" s="2">
        <v>45593.707372685189</v>
      </c>
      <c r="I1888" t="s">
        <v>1488</v>
      </c>
      <c r="Z1888">
        <v>92514</v>
      </c>
    </row>
    <row r="1889" spans="1:26" x14ac:dyDescent="0.25">
      <c r="A1889" t="s">
        <v>2270</v>
      </c>
      <c r="B1889" t="s">
        <v>27</v>
      </c>
      <c r="C1889" t="s">
        <v>28</v>
      </c>
      <c r="H1889" s="2">
        <v>45593.680023148147</v>
      </c>
      <c r="I1889" t="s">
        <v>1488</v>
      </c>
      <c r="Z1889">
        <v>92509</v>
      </c>
    </row>
    <row r="1890" spans="1:26" x14ac:dyDescent="0.25">
      <c r="A1890" t="s">
        <v>33</v>
      </c>
      <c r="B1890" t="s">
        <v>27</v>
      </c>
      <c r="C1890" t="s">
        <v>28</v>
      </c>
      <c r="H1890" s="2">
        <v>45592.56653935185</v>
      </c>
      <c r="I1890" t="s">
        <v>1488</v>
      </c>
      <c r="Z1890">
        <v>92434</v>
      </c>
    </row>
    <row r="1891" spans="1:26" x14ac:dyDescent="0.25">
      <c r="A1891" t="s">
        <v>1220</v>
      </c>
      <c r="B1891" t="s">
        <v>27</v>
      </c>
      <c r="C1891" t="s">
        <v>28</v>
      </c>
      <c r="E1891" t="s">
        <v>2271</v>
      </c>
      <c r="G1891" t="s">
        <v>2271</v>
      </c>
      <c r="H1891" s="2">
        <v>45591.240902777776</v>
      </c>
      <c r="I1891" t="s">
        <v>556</v>
      </c>
      <c r="Z1891">
        <v>92389</v>
      </c>
    </row>
    <row r="1892" spans="1:26" x14ac:dyDescent="0.25">
      <c r="A1892" t="s">
        <v>2272</v>
      </c>
      <c r="B1892" t="s">
        <v>27</v>
      </c>
      <c r="C1892" t="s">
        <v>28</v>
      </c>
      <c r="H1892" s="2">
        <v>45590.50509259259</v>
      </c>
      <c r="I1892" t="s">
        <v>556</v>
      </c>
      <c r="Z1892">
        <v>92359</v>
      </c>
    </row>
    <row r="1893" spans="1:26" x14ac:dyDescent="0.25">
      <c r="A1893" t="s">
        <v>2273</v>
      </c>
      <c r="B1893" t="s">
        <v>27</v>
      </c>
      <c r="C1893" t="s">
        <v>28</v>
      </c>
      <c r="H1893" s="2">
        <v>45590.436736111114</v>
      </c>
      <c r="I1893" t="s">
        <v>54</v>
      </c>
      <c r="Z1893">
        <v>92350</v>
      </c>
    </row>
    <row r="1894" spans="1:26" x14ac:dyDescent="0.25">
      <c r="A1894" t="s">
        <v>2274</v>
      </c>
      <c r="B1894" t="s">
        <v>27</v>
      </c>
      <c r="C1894" t="s">
        <v>28</v>
      </c>
      <c r="H1894" s="2">
        <v>45589.524826388886</v>
      </c>
      <c r="I1894" t="s">
        <v>556</v>
      </c>
      <c r="Z1894">
        <v>92315</v>
      </c>
    </row>
    <row r="1895" spans="1:26" x14ac:dyDescent="0.25">
      <c r="A1895" t="s">
        <v>2275</v>
      </c>
      <c r="B1895" t="s">
        <v>1708</v>
      </c>
      <c r="C1895" t="s">
        <v>28</v>
      </c>
      <c r="E1895" t="s">
        <v>2276</v>
      </c>
      <c r="H1895" s="2">
        <v>45589.487534722219</v>
      </c>
      <c r="I1895" t="s">
        <v>1488</v>
      </c>
      <c r="Z1895">
        <v>92309</v>
      </c>
    </row>
    <row r="1896" spans="1:26" x14ac:dyDescent="0.25">
      <c r="A1896" t="s">
        <v>2277</v>
      </c>
      <c r="B1896" t="s">
        <v>27</v>
      </c>
      <c r="C1896" t="s">
        <v>28</v>
      </c>
      <c r="H1896" s="2">
        <v>45588.692708333336</v>
      </c>
      <c r="I1896" t="s">
        <v>1488</v>
      </c>
      <c r="Z1896">
        <v>92291</v>
      </c>
    </row>
    <row r="1897" spans="1:26" x14ac:dyDescent="0.25">
      <c r="A1897" t="s">
        <v>2278</v>
      </c>
      <c r="B1897" t="s">
        <v>27</v>
      </c>
      <c r="C1897" t="s">
        <v>28</v>
      </c>
      <c r="H1897" s="2">
        <v>45588.682511574072</v>
      </c>
      <c r="I1897" t="s">
        <v>556</v>
      </c>
      <c r="Z1897">
        <v>92289</v>
      </c>
    </row>
    <row r="1898" spans="1:26" x14ac:dyDescent="0.25">
      <c r="A1898" t="s">
        <v>2279</v>
      </c>
      <c r="B1898" t="s">
        <v>27</v>
      </c>
      <c r="C1898" t="s">
        <v>28</v>
      </c>
      <c r="H1898" s="2">
        <v>45588.60255787037</v>
      </c>
      <c r="I1898" t="s">
        <v>1488</v>
      </c>
      <c r="Z1898">
        <v>92278</v>
      </c>
    </row>
    <row r="1899" spans="1:26" x14ac:dyDescent="0.25">
      <c r="A1899" t="s">
        <v>2280</v>
      </c>
      <c r="B1899" t="s">
        <v>27</v>
      </c>
      <c r="C1899" t="s">
        <v>28</v>
      </c>
      <c r="H1899" s="2">
        <v>45588.598622685182</v>
      </c>
      <c r="I1899" t="s">
        <v>1488</v>
      </c>
      <c r="Z1899">
        <v>92276</v>
      </c>
    </row>
    <row r="1900" spans="1:26" x14ac:dyDescent="0.25">
      <c r="A1900" t="s">
        <v>2281</v>
      </c>
      <c r="B1900" t="s">
        <v>27</v>
      </c>
      <c r="C1900" t="s">
        <v>28</v>
      </c>
      <c r="H1900" s="2">
        <v>45587.829594907409</v>
      </c>
      <c r="I1900" t="s">
        <v>54</v>
      </c>
      <c r="Z1900">
        <v>92241</v>
      </c>
    </row>
    <row r="1901" spans="1:26" x14ac:dyDescent="0.25">
      <c r="A1901" t="s">
        <v>2282</v>
      </c>
      <c r="B1901" t="s">
        <v>27</v>
      </c>
      <c r="C1901" t="s">
        <v>75</v>
      </c>
      <c r="H1901" s="2">
        <v>45587.619432870371</v>
      </c>
      <c r="I1901" t="s">
        <v>54</v>
      </c>
      <c r="Z1901">
        <v>92221</v>
      </c>
    </row>
    <row r="1902" spans="1:26" x14ac:dyDescent="0.25">
      <c r="A1902" t="s">
        <v>2283</v>
      </c>
      <c r="B1902" t="s">
        <v>27</v>
      </c>
      <c r="C1902" t="s">
        <v>28</v>
      </c>
      <c r="H1902" s="2">
        <v>45587.587951388887</v>
      </c>
      <c r="I1902" t="s">
        <v>1488</v>
      </c>
      <c r="Z1902">
        <v>92215</v>
      </c>
    </row>
    <row r="1903" spans="1:26" x14ac:dyDescent="0.25">
      <c r="A1903" t="s">
        <v>2284</v>
      </c>
      <c r="B1903" t="s">
        <v>27</v>
      </c>
      <c r="C1903" t="s">
        <v>28</v>
      </c>
      <c r="H1903" s="2">
        <v>45587.498611111114</v>
      </c>
      <c r="I1903" t="s">
        <v>54</v>
      </c>
      <c r="Z1903">
        <v>92207</v>
      </c>
    </row>
    <row r="1904" spans="1:26" x14ac:dyDescent="0.25">
      <c r="A1904" t="s">
        <v>2285</v>
      </c>
      <c r="B1904" t="s">
        <v>27</v>
      </c>
      <c r="C1904" t="s">
        <v>28</v>
      </c>
      <c r="H1904" s="2">
        <v>45587.496435185189</v>
      </c>
      <c r="I1904" t="s">
        <v>54</v>
      </c>
      <c r="Z1904">
        <v>92206</v>
      </c>
    </row>
    <row r="1905" spans="1:26" x14ac:dyDescent="0.25">
      <c r="A1905" t="s">
        <v>2286</v>
      </c>
      <c r="B1905" t="s">
        <v>27</v>
      </c>
      <c r="C1905" t="s">
        <v>28</v>
      </c>
      <c r="H1905" s="2">
        <v>45587.474733796298</v>
      </c>
      <c r="I1905" t="s">
        <v>556</v>
      </c>
      <c r="Z1905">
        <v>92198</v>
      </c>
    </row>
    <row r="1906" spans="1:26" x14ac:dyDescent="0.25">
      <c r="A1906" t="s">
        <v>2287</v>
      </c>
      <c r="B1906" t="s">
        <v>27</v>
      </c>
      <c r="C1906" t="s">
        <v>28</v>
      </c>
      <c r="H1906" s="2">
        <v>45587.431388888886</v>
      </c>
      <c r="I1906" t="s">
        <v>54</v>
      </c>
      <c r="Z1906">
        <v>92192</v>
      </c>
    </row>
    <row r="1907" spans="1:26" x14ac:dyDescent="0.25">
      <c r="A1907" t="s">
        <v>2288</v>
      </c>
      <c r="B1907" t="s">
        <v>27</v>
      </c>
      <c r="C1907" t="s">
        <v>28</v>
      </c>
      <c r="H1907" s="2">
        <v>45586.705277777779</v>
      </c>
      <c r="I1907" t="s">
        <v>1488</v>
      </c>
      <c r="Z1907">
        <v>92182</v>
      </c>
    </row>
    <row r="1908" spans="1:26" x14ac:dyDescent="0.25">
      <c r="A1908" t="s">
        <v>2289</v>
      </c>
      <c r="C1908" t="s">
        <v>28</v>
      </c>
      <c r="E1908" t="s">
        <v>72</v>
      </c>
      <c r="H1908" s="2">
        <v>45586.510474537034</v>
      </c>
      <c r="I1908" t="s">
        <v>54</v>
      </c>
      <c r="Z1908">
        <v>92144</v>
      </c>
    </row>
    <row r="1909" spans="1:26" x14ac:dyDescent="0.25">
      <c r="A1909" t="s">
        <v>1220</v>
      </c>
      <c r="B1909" t="s">
        <v>1708</v>
      </c>
      <c r="C1909" t="s">
        <v>28</v>
      </c>
      <c r="E1909" t="s">
        <v>101</v>
      </c>
      <c r="H1909" s="2">
        <v>45585.756990740738</v>
      </c>
      <c r="I1909" t="s">
        <v>556</v>
      </c>
      <c r="K1909" t="s">
        <v>34</v>
      </c>
      <c r="L1909" t="s">
        <v>35</v>
      </c>
      <c r="M1909">
        <v>104108031</v>
      </c>
      <c r="N1909">
        <v>15649907027</v>
      </c>
      <c r="O1909" t="s">
        <v>2290</v>
      </c>
      <c r="Z1909">
        <v>92108</v>
      </c>
    </row>
    <row r="1910" spans="1:26" x14ac:dyDescent="0.25">
      <c r="A1910" t="s">
        <v>1536</v>
      </c>
      <c r="B1910" t="s">
        <v>1403</v>
      </c>
      <c r="C1910" t="s">
        <v>28</v>
      </c>
      <c r="E1910" t="s">
        <v>2291</v>
      </c>
      <c r="G1910" t="s">
        <v>72</v>
      </c>
      <c r="H1910" s="2">
        <v>45584.5393287037</v>
      </c>
      <c r="I1910" t="s">
        <v>54</v>
      </c>
      <c r="K1910" t="s">
        <v>34</v>
      </c>
      <c r="L1910" t="s">
        <v>35</v>
      </c>
      <c r="M1910">
        <v>67131912</v>
      </c>
      <c r="N1910">
        <v>11953101698</v>
      </c>
      <c r="O1910" t="s">
        <v>461</v>
      </c>
      <c r="Z1910">
        <v>92090</v>
      </c>
    </row>
    <row r="1911" spans="1:26" x14ac:dyDescent="0.25">
      <c r="A1911" t="s">
        <v>1980</v>
      </c>
      <c r="B1911" t="s">
        <v>1708</v>
      </c>
      <c r="C1911" t="s">
        <v>28</v>
      </c>
      <c r="E1911" t="s">
        <v>2292</v>
      </c>
      <c r="G1911" t="s">
        <v>72</v>
      </c>
      <c r="H1911" s="2">
        <v>45583.44091435185</v>
      </c>
      <c r="I1911" t="s">
        <v>556</v>
      </c>
      <c r="Z1911">
        <v>92048</v>
      </c>
    </row>
    <row r="1912" spans="1:26" x14ac:dyDescent="0.25">
      <c r="A1912" t="s">
        <v>1692</v>
      </c>
      <c r="B1912" t="s">
        <v>27</v>
      </c>
      <c r="C1912" t="s">
        <v>28</v>
      </c>
      <c r="H1912" s="2">
        <v>45583.409745370373</v>
      </c>
      <c r="I1912" t="s">
        <v>1488</v>
      </c>
      <c r="Z1912">
        <v>92043</v>
      </c>
    </row>
    <row r="1913" spans="1:26" x14ac:dyDescent="0.25">
      <c r="A1913" t="s">
        <v>2293</v>
      </c>
      <c r="B1913" t="s">
        <v>27</v>
      </c>
      <c r="C1913" t="s">
        <v>28</v>
      </c>
      <c r="H1913" s="2">
        <v>45581.625844907408</v>
      </c>
      <c r="I1913" t="s">
        <v>54</v>
      </c>
      <c r="Z1913">
        <v>91983</v>
      </c>
    </row>
    <row r="1914" spans="1:26" x14ac:dyDescent="0.25">
      <c r="A1914" t="s">
        <v>2294</v>
      </c>
      <c r="B1914" t="s">
        <v>27</v>
      </c>
      <c r="C1914" t="s">
        <v>28</v>
      </c>
      <c r="H1914" s="2">
        <v>45581.430196759262</v>
      </c>
      <c r="I1914" t="s">
        <v>54</v>
      </c>
      <c r="Z1914">
        <v>91955</v>
      </c>
    </row>
    <row r="1915" spans="1:26" x14ac:dyDescent="0.25">
      <c r="A1915" t="s">
        <v>207</v>
      </c>
      <c r="C1915" t="s">
        <v>28</v>
      </c>
      <c r="E1915" t="s">
        <v>2295</v>
      </c>
      <c r="H1915" s="2">
        <v>45581.251111111109</v>
      </c>
      <c r="I1915" t="s">
        <v>556</v>
      </c>
      <c r="Z1915">
        <v>91949</v>
      </c>
    </row>
    <row r="1916" spans="1:26" x14ac:dyDescent="0.25">
      <c r="A1916" t="s">
        <v>2296</v>
      </c>
      <c r="B1916" t="s">
        <v>1403</v>
      </c>
      <c r="C1916" t="s">
        <v>28</v>
      </c>
      <c r="E1916" t="s">
        <v>2143</v>
      </c>
      <c r="G1916" t="s">
        <v>2144</v>
      </c>
      <c r="H1916" s="2">
        <v>45580.749814814815</v>
      </c>
      <c r="I1916" t="s">
        <v>1488</v>
      </c>
      <c r="Z1916">
        <v>91937</v>
      </c>
    </row>
    <row r="1917" spans="1:26" x14ac:dyDescent="0.25">
      <c r="A1917" t="s">
        <v>2297</v>
      </c>
      <c r="B1917" t="s">
        <v>27</v>
      </c>
      <c r="C1917" t="s">
        <v>28</v>
      </c>
      <c r="H1917" s="2">
        <v>45580.610243055555</v>
      </c>
      <c r="I1917" t="s">
        <v>54</v>
      </c>
      <c r="Z1917">
        <v>91911</v>
      </c>
    </row>
    <row r="1918" spans="1:26" x14ac:dyDescent="0.25">
      <c r="A1918" t="s">
        <v>2298</v>
      </c>
      <c r="B1918" t="s">
        <v>27</v>
      </c>
      <c r="C1918" t="s">
        <v>28</v>
      </c>
      <c r="H1918" s="2">
        <v>45580.579710648148</v>
      </c>
      <c r="I1918" t="s">
        <v>556</v>
      </c>
      <c r="Z1918">
        <v>91907</v>
      </c>
    </row>
    <row r="1919" spans="1:26" x14ac:dyDescent="0.25">
      <c r="A1919" t="s">
        <v>2299</v>
      </c>
      <c r="B1919" t="s">
        <v>27</v>
      </c>
      <c r="C1919" t="s">
        <v>28</v>
      </c>
      <c r="H1919" s="2">
        <v>45579.758981481478</v>
      </c>
      <c r="I1919" t="s">
        <v>1488</v>
      </c>
      <c r="Z1919">
        <v>91871</v>
      </c>
    </row>
    <row r="1920" spans="1:26" x14ac:dyDescent="0.25">
      <c r="A1920" t="s">
        <v>606</v>
      </c>
      <c r="B1920" t="s">
        <v>306</v>
      </c>
      <c r="C1920" t="s">
        <v>28</v>
      </c>
      <c r="E1920" t="s">
        <v>1284</v>
      </c>
      <c r="H1920" s="2">
        <v>45579.676307870373</v>
      </c>
      <c r="I1920" t="s">
        <v>556</v>
      </c>
      <c r="Z1920">
        <v>91859</v>
      </c>
    </row>
    <row r="1921" spans="1:26" x14ac:dyDescent="0.25">
      <c r="A1921" t="s">
        <v>2300</v>
      </c>
      <c r="B1921" t="s">
        <v>27</v>
      </c>
      <c r="C1921" t="s">
        <v>28</v>
      </c>
      <c r="H1921" s="2">
        <v>45579.635300925926</v>
      </c>
      <c r="I1921" t="s">
        <v>54</v>
      </c>
      <c r="Z1921">
        <v>91853</v>
      </c>
    </row>
    <row r="1922" spans="1:26" x14ac:dyDescent="0.25">
      <c r="A1922" t="s">
        <v>2301</v>
      </c>
      <c r="B1922" t="s">
        <v>27</v>
      </c>
      <c r="C1922" t="s">
        <v>28</v>
      </c>
      <c r="H1922" s="2">
        <v>45579.616516203707</v>
      </c>
      <c r="I1922" t="s">
        <v>1488</v>
      </c>
      <c r="Z1922">
        <v>91849</v>
      </c>
    </row>
    <row r="1923" spans="1:26" x14ac:dyDescent="0.25">
      <c r="A1923" t="s">
        <v>2302</v>
      </c>
      <c r="B1923" t="s">
        <v>27</v>
      </c>
      <c r="C1923" t="s">
        <v>28</v>
      </c>
      <c r="H1923" s="2">
        <v>45579.597071759257</v>
      </c>
      <c r="I1923" t="s">
        <v>54</v>
      </c>
      <c r="Z1923">
        <v>91848</v>
      </c>
    </row>
    <row r="1924" spans="1:26" x14ac:dyDescent="0.25">
      <c r="A1924" t="s">
        <v>2303</v>
      </c>
      <c r="C1924" t="s">
        <v>28</v>
      </c>
      <c r="E1924" t="s">
        <v>607</v>
      </c>
      <c r="H1924" s="2">
        <v>45579.566643518519</v>
      </c>
      <c r="I1924" t="s">
        <v>54</v>
      </c>
      <c r="Z1924">
        <v>91843</v>
      </c>
    </row>
    <row r="1925" spans="1:26" x14ac:dyDescent="0.25">
      <c r="A1925" t="s">
        <v>2304</v>
      </c>
      <c r="B1925" t="s">
        <v>27</v>
      </c>
      <c r="C1925" t="s">
        <v>28</v>
      </c>
      <c r="H1925" s="2">
        <v>45579.432743055557</v>
      </c>
      <c r="I1925" t="s">
        <v>1488</v>
      </c>
      <c r="Z1925">
        <v>91809</v>
      </c>
    </row>
    <row r="1926" spans="1:26" x14ac:dyDescent="0.25">
      <c r="A1926" t="s">
        <v>2305</v>
      </c>
      <c r="B1926" t="s">
        <v>27</v>
      </c>
      <c r="C1926" t="s">
        <v>28</v>
      </c>
      <c r="E1926" t="s">
        <v>2306</v>
      </c>
      <c r="H1926" s="2">
        <v>45579.390567129631</v>
      </c>
      <c r="I1926" t="s">
        <v>556</v>
      </c>
      <c r="Z1926">
        <v>91802</v>
      </c>
    </row>
    <row r="1927" spans="1:26" x14ac:dyDescent="0.25">
      <c r="A1927" t="s">
        <v>2307</v>
      </c>
      <c r="B1927" t="s">
        <v>1708</v>
      </c>
      <c r="C1927" t="s">
        <v>28</v>
      </c>
      <c r="E1927">
        <v>79376488883</v>
      </c>
      <c r="H1927" s="2">
        <v>45576.428680555553</v>
      </c>
      <c r="I1927" t="s">
        <v>54</v>
      </c>
      <c r="Z1927">
        <v>91711</v>
      </c>
    </row>
    <row r="1928" spans="1:26" x14ac:dyDescent="0.25">
      <c r="A1928" t="s">
        <v>2308</v>
      </c>
      <c r="B1928" t="s">
        <v>1403</v>
      </c>
      <c r="C1928" t="s">
        <v>28</v>
      </c>
      <c r="E1928" t="s">
        <v>1378</v>
      </c>
      <c r="H1928" s="2">
        <v>45576.346458333333</v>
      </c>
      <c r="I1928" t="s">
        <v>54</v>
      </c>
      <c r="Z1928">
        <v>91696</v>
      </c>
    </row>
    <row r="1929" spans="1:26" x14ac:dyDescent="0.25">
      <c r="A1929" t="s">
        <v>2309</v>
      </c>
      <c r="B1929" t="s">
        <v>27</v>
      </c>
      <c r="C1929" t="s">
        <v>28</v>
      </c>
      <c r="H1929" s="2">
        <v>45575.506597222222</v>
      </c>
      <c r="I1929" t="s">
        <v>556</v>
      </c>
      <c r="Z1929">
        <v>91664</v>
      </c>
    </row>
    <row r="1930" spans="1:26" x14ac:dyDescent="0.25">
      <c r="A1930" t="s">
        <v>2310</v>
      </c>
      <c r="B1930" t="s">
        <v>27</v>
      </c>
      <c r="C1930" t="s">
        <v>28</v>
      </c>
      <c r="H1930" s="2">
        <v>45575.490127314813</v>
      </c>
      <c r="I1930" t="s">
        <v>54</v>
      </c>
      <c r="Z1930">
        <v>91663</v>
      </c>
    </row>
    <row r="1931" spans="1:26" x14ac:dyDescent="0.25">
      <c r="A1931" t="s">
        <v>2311</v>
      </c>
      <c r="B1931" t="s">
        <v>27</v>
      </c>
      <c r="C1931" t="s">
        <v>28</v>
      </c>
      <c r="H1931" s="2">
        <v>45575.468680555554</v>
      </c>
      <c r="I1931" t="s">
        <v>556</v>
      </c>
      <c r="Z1931">
        <v>91660</v>
      </c>
    </row>
    <row r="1932" spans="1:26" x14ac:dyDescent="0.25">
      <c r="A1932" t="s">
        <v>2312</v>
      </c>
      <c r="B1932" t="s">
        <v>27</v>
      </c>
      <c r="C1932" t="s">
        <v>28</v>
      </c>
      <c r="H1932" s="2">
        <v>45575.431087962963</v>
      </c>
      <c r="I1932" t="s">
        <v>54</v>
      </c>
      <c r="Z1932">
        <v>91655</v>
      </c>
    </row>
    <row r="1933" spans="1:26" x14ac:dyDescent="0.25">
      <c r="A1933" t="s">
        <v>2313</v>
      </c>
      <c r="B1933" t="s">
        <v>27</v>
      </c>
      <c r="C1933" t="s">
        <v>28</v>
      </c>
      <c r="H1933" s="2">
        <v>45575.429351851853</v>
      </c>
      <c r="I1933" t="s">
        <v>54</v>
      </c>
      <c r="Z1933">
        <v>91654</v>
      </c>
    </row>
    <row r="1934" spans="1:26" x14ac:dyDescent="0.25">
      <c r="A1934" t="s">
        <v>2314</v>
      </c>
      <c r="C1934" t="s">
        <v>28</v>
      </c>
      <c r="E1934" t="s">
        <v>2315</v>
      </c>
      <c r="H1934" s="2">
        <v>45574.573680555557</v>
      </c>
      <c r="I1934" t="s">
        <v>556</v>
      </c>
      <c r="Z1934">
        <v>91624</v>
      </c>
    </row>
    <row r="1935" spans="1:26" x14ac:dyDescent="0.25">
      <c r="A1935" t="s">
        <v>2316</v>
      </c>
      <c r="B1935" t="s">
        <v>74</v>
      </c>
      <c r="C1935" t="s">
        <v>28</v>
      </c>
      <c r="E1935" t="s">
        <v>72</v>
      </c>
      <c r="G1935" t="s">
        <v>2317</v>
      </c>
      <c r="H1935" s="2">
        <v>45574.54619212963</v>
      </c>
      <c r="I1935" t="s">
        <v>54</v>
      </c>
      <c r="Z1935">
        <v>91619</v>
      </c>
    </row>
    <row r="1936" spans="1:26" x14ac:dyDescent="0.25">
      <c r="A1936" t="s">
        <v>2318</v>
      </c>
      <c r="B1936" t="s">
        <v>27</v>
      </c>
      <c r="C1936" t="s">
        <v>28</v>
      </c>
      <c r="H1936" s="2">
        <v>45574.533206018517</v>
      </c>
      <c r="I1936" t="s">
        <v>54</v>
      </c>
      <c r="Z1936">
        <v>91617</v>
      </c>
    </row>
    <row r="1937" spans="1:26" x14ac:dyDescent="0.25">
      <c r="A1937" t="s">
        <v>2319</v>
      </c>
      <c r="B1937" t="s">
        <v>27</v>
      </c>
      <c r="C1937" t="s">
        <v>28</v>
      </c>
      <c r="H1937" s="2">
        <v>45574.490763888891</v>
      </c>
      <c r="I1937" t="s">
        <v>556</v>
      </c>
      <c r="Z1937">
        <v>91609</v>
      </c>
    </row>
    <row r="1938" spans="1:26" x14ac:dyDescent="0.25">
      <c r="A1938" t="s">
        <v>2320</v>
      </c>
      <c r="B1938" t="s">
        <v>27</v>
      </c>
      <c r="C1938" t="s">
        <v>28</v>
      </c>
      <c r="H1938" s="2">
        <v>45574.418888888889</v>
      </c>
      <c r="I1938" t="s">
        <v>54</v>
      </c>
      <c r="Z1938">
        <v>91601</v>
      </c>
    </row>
    <row r="1939" spans="1:26" x14ac:dyDescent="0.25">
      <c r="A1939" t="s">
        <v>2321</v>
      </c>
      <c r="B1939" t="s">
        <v>27</v>
      </c>
      <c r="C1939" t="s">
        <v>28</v>
      </c>
      <c r="H1939" s="2">
        <v>45574.396874999999</v>
      </c>
      <c r="I1939" t="s">
        <v>54</v>
      </c>
      <c r="Z1939">
        <v>91595</v>
      </c>
    </row>
    <row r="1940" spans="1:26" x14ac:dyDescent="0.25">
      <c r="A1940" t="s">
        <v>2322</v>
      </c>
      <c r="B1940" t="s">
        <v>1403</v>
      </c>
      <c r="C1940" t="s">
        <v>28</v>
      </c>
      <c r="E1940" t="s">
        <v>376</v>
      </c>
      <c r="G1940" t="s">
        <v>2323</v>
      </c>
      <c r="H1940" s="2">
        <v>45573.936886574076</v>
      </c>
      <c r="I1940" t="s">
        <v>54</v>
      </c>
      <c r="Z1940">
        <v>91593</v>
      </c>
    </row>
    <row r="1941" spans="1:26" x14ac:dyDescent="0.25">
      <c r="A1941" t="s">
        <v>2324</v>
      </c>
      <c r="B1941" t="s">
        <v>1403</v>
      </c>
      <c r="C1941" t="s">
        <v>28</v>
      </c>
      <c r="E1941" t="s">
        <v>2325</v>
      </c>
      <c r="G1941" t="s">
        <v>2326</v>
      </c>
      <c r="H1941" s="2">
        <v>45573.710972222223</v>
      </c>
      <c r="I1941" t="s">
        <v>54</v>
      </c>
      <c r="Z1941">
        <v>91586</v>
      </c>
    </row>
    <row r="1942" spans="1:26" x14ac:dyDescent="0.25">
      <c r="A1942" t="s">
        <v>2327</v>
      </c>
      <c r="B1942" t="s">
        <v>27</v>
      </c>
      <c r="C1942" t="s">
        <v>28</v>
      </c>
      <c r="H1942" s="2">
        <v>45573.554918981485</v>
      </c>
      <c r="I1942" t="s">
        <v>54</v>
      </c>
      <c r="Z1942">
        <v>91565</v>
      </c>
    </row>
    <row r="1943" spans="1:26" x14ac:dyDescent="0.25">
      <c r="A1943" t="s">
        <v>2328</v>
      </c>
      <c r="B1943" t="s">
        <v>1403</v>
      </c>
      <c r="C1943" t="s">
        <v>28</v>
      </c>
      <c r="E1943" t="s">
        <v>2329</v>
      </c>
      <c r="H1943" s="2">
        <v>45572.721365740741</v>
      </c>
      <c r="I1943" t="s">
        <v>1488</v>
      </c>
      <c r="Z1943">
        <v>91538</v>
      </c>
    </row>
    <row r="1944" spans="1:26" x14ac:dyDescent="0.25">
      <c r="A1944" t="s">
        <v>2330</v>
      </c>
      <c r="B1944" t="s">
        <v>306</v>
      </c>
      <c r="C1944" t="s">
        <v>28</v>
      </c>
      <c r="E1944" t="s">
        <v>1284</v>
      </c>
      <c r="H1944" s="2">
        <v>45572.598263888889</v>
      </c>
      <c r="I1944" t="s">
        <v>556</v>
      </c>
      <c r="Z1944">
        <v>91521</v>
      </c>
    </row>
    <row r="1945" spans="1:26" x14ac:dyDescent="0.25">
      <c r="A1945" t="s">
        <v>2331</v>
      </c>
      <c r="B1945" t="s">
        <v>27</v>
      </c>
      <c r="C1945" t="s">
        <v>28</v>
      </c>
      <c r="H1945" s="2">
        <v>45572.538402777776</v>
      </c>
      <c r="I1945" t="s">
        <v>54</v>
      </c>
      <c r="Z1945">
        <v>91513</v>
      </c>
    </row>
    <row r="1946" spans="1:26" x14ac:dyDescent="0.25">
      <c r="A1946" t="s">
        <v>2332</v>
      </c>
      <c r="B1946" t="s">
        <v>27</v>
      </c>
      <c r="C1946" t="s">
        <v>28</v>
      </c>
      <c r="H1946" s="2">
        <v>45572.497187499997</v>
      </c>
      <c r="I1946" t="s">
        <v>1488</v>
      </c>
      <c r="Z1946">
        <v>91511</v>
      </c>
    </row>
    <row r="1947" spans="1:26" x14ac:dyDescent="0.25">
      <c r="A1947" t="s">
        <v>2333</v>
      </c>
      <c r="B1947" t="s">
        <v>27</v>
      </c>
      <c r="C1947" t="s">
        <v>28</v>
      </c>
      <c r="H1947" s="2">
        <v>45572.391539351855</v>
      </c>
      <c r="I1947" t="s">
        <v>54</v>
      </c>
      <c r="Z1947">
        <v>91492</v>
      </c>
    </row>
    <row r="1948" spans="1:26" x14ac:dyDescent="0.25">
      <c r="A1948" t="s">
        <v>2334</v>
      </c>
      <c r="B1948" t="s">
        <v>27</v>
      </c>
      <c r="C1948" t="s">
        <v>28</v>
      </c>
      <c r="H1948" s="2">
        <v>45572.389560185184</v>
      </c>
      <c r="I1948" t="s">
        <v>54</v>
      </c>
      <c r="Z1948">
        <v>91491</v>
      </c>
    </row>
    <row r="1949" spans="1:26" x14ac:dyDescent="0.25">
      <c r="A1949" t="s">
        <v>2335</v>
      </c>
      <c r="B1949" t="s">
        <v>1993</v>
      </c>
      <c r="C1949" t="s">
        <v>155</v>
      </c>
      <c r="E1949" t="s">
        <v>61</v>
      </c>
      <c r="H1949" s="2">
        <v>45570.950555555559</v>
      </c>
      <c r="I1949" t="s">
        <v>54</v>
      </c>
      <c r="Z1949">
        <v>91473</v>
      </c>
    </row>
    <row r="1950" spans="1:26" x14ac:dyDescent="0.25">
      <c r="A1950" t="s">
        <v>2336</v>
      </c>
      <c r="B1950" t="s">
        <v>27</v>
      </c>
      <c r="C1950" t="s">
        <v>155</v>
      </c>
      <c r="E1950" t="s">
        <v>967</v>
      </c>
      <c r="H1950" s="2">
        <v>45570.421469907407</v>
      </c>
      <c r="I1950" t="s">
        <v>54</v>
      </c>
      <c r="Z1950">
        <v>91461</v>
      </c>
    </row>
    <row r="1951" spans="1:26" x14ac:dyDescent="0.25">
      <c r="A1951" t="s">
        <v>2337</v>
      </c>
      <c r="B1951" t="s">
        <v>27</v>
      </c>
      <c r="C1951" t="s">
        <v>28</v>
      </c>
      <c r="H1951" s="2">
        <v>45569.634155092594</v>
      </c>
      <c r="I1951" t="s">
        <v>1488</v>
      </c>
      <c r="Z1951">
        <v>91448</v>
      </c>
    </row>
    <row r="1952" spans="1:26" x14ac:dyDescent="0.25">
      <c r="A1952" t="s">
        <v>2338</v>
      </c>
      <c r="B1952" t="s">
        <v>27</v>
      </c>
      <c r="C1952" t="s">
        <v>28</v>
      </c>
      <c r="H1952" s="2">
        <v>45569.543541666666</v>
      </c>
      <c r="I1952" t="s">
        <v>54</v>
      </c>
      <c r="Z1952">
        <v>91432</v>
      </c>
    </row>
    <row r="1953" spans="1:26" x14ac:dyDescent="0.25">
      <c r="A1953" t="s">
        <v>2339</v>
      </c>
      <c r="B1953" t="s">
        <v>27</v>
      </c>
      <c r="C1953" t="s">
        <v>28</v>
      </c>
      <c r="H1953" s="2">
        <v>45568.540636574071</v>
      </c>
      <c r="I1953" t="s">
        <v>1488</v>
      </c>
      <c r="Z1953">
        <v>91374</v>
      </c>
    </row>
    <row r="1954" spans="1:26" x14ac:dyDescent="0.25">
      <c r="A1954" t="s">
        <v>2340</v>
      </c>
      <c r="B1954" t="s">
        <v>27</v>
      </c>
      <c r="C1954" t="s">
        <v>28</v>
      </c>
      <c r="H1954" s="2">
        <v>45567.645648148151</v>
      </c>
      <c r="I1954" t="s">
        <v>54</v>
      </c>
      <c r="Z1954">
        <v>91342</v>
      </c>
    </row>
    <row r="1955" spans="1:26" x14ac:dyDescent="0.25">
      <c r="A1955" t="s">
        <v>2341</v>
      </c>
      <c r="B1955" t="s">
        <v>1708</v>
      </c>
      <c r="C1955" t="s">
        <v>28</v>
      </c>
      <c r="E1955" t="s">
        <v>607</v>
      </c>
      <c r="G1955" t="s">
        <v>2342</v>
      </c>
      <c r="H1955" s="2">
        <v>45567.614155092589</v>
      </c>
      <c r="I1955" t="s">
        <v>1488</v>
      </c>
      <c r="Z1955">
        <v>91340</v>
      </c>
    </row>
    <row r="1956" spans="1:26" x14ac:dyDescent="0.25">
      <c r="A1956" t="s">
        <v>2343</v>
      </c>
      <c r="C1956" t="s">
        <v>28</v>
      </c>
      <c r="E1956" t="s">
        <v>2138</v>
      </c>
      <c r="H1956" s="2">
        <v>45567.358483796299</v>
      </c>
      <c r="I1956" t="s">
        <v>556</v>
      </c>
      <c r="Z1956">
        <v>91305</v>
      </c>
    </row>
    <row r="1957" spans="1:26" x14ac:dyDescent="0.25">
      <c r="A1957" t="s">
        <v>2344</v>
      </c>
      <c r="B1957" t="s">
        <v>27</v>
      </c>
      <c r="C1957" t="s">
        <v>28</v>
      </c>
      <c r="H1957" s="2">
        <v>45566.770775462966</v>
      </c>
      <c r="I1957" t="s">
        <v>2148</v>
      </c>
      <c r="Z1957">
        <v>91302</v>
      </c>
    </row>
    <row r="1958" spans="1:26" x14ac:dyDescent="0.25">
      <c r="A1958" t="s">
        <v>2345</v>
      </c>
      <c r="B1958" t="s">
        <v>27</v>
      </c>
      <c r="C1958" t="s">
        <v>28</v>
      </c>
      <c r="H1958" s="2">
        <v>45566.558113425926</v>
      </c>
      <c r="I1958" t="s">
        <v>2001</v>
      </c>
      <c r="Z1958">
        <v>91269</v>
      </c>
    </row>
    <row r="1959" spans="1:26" x14ac:dyDescent="0.25">
      <c r="A1959" t="s">
        <v>2346</v>
      </c>
      <c r="B1959" t="s">
        <v>27</v>
      </c>
      <c r="C1959" t="s">
        <v>28</v>
      </c>
      <c r="H1959" s="2">
        <v>45566.523842592593</v>
      </c>
      <c r="I1959" t="s">
        <v>2001</v>
      </c>
      <c r="Z1959">
        <v>91263</v>
      </c>
    </row>
    <row r="1960" spans="1:26" x14ac:dyDescent="0.25">
      <c r="A1960" t="s">
        <v>2347</v>
      </c>
      <c r="B1960" t="s">
        <v>27</v>
      </c>
      <c r="C1960" t="s">
        <v>28</v>
      </c>
      <c r="H1960" s="2">
        <v>45566.425243055557</v>
      </c>
      <c r="I1960" t="s">
        <v>2001</v>
      </c>
      <c r="Z1960">
        <v>91250</v>
      </c>
    </row>
    <row r="1961" spans="1:26" x14ac:dyDescent="0.25">
      <c r="A1961" t="s">
        <v>2348</v>
      </c>
      <c r="B1961" t="s">
        <v>27</v>
      </c>
      <c r="C1961" t="s">
        <v>28</v>
      </c>
      <c r="H1961" s="2">
        <v>45566.392939814818</v>
      </c>
      <c r="I1961" t="s">
        <v>2001</v>
      </c>
      <c r="Z1961">
        <v>91245</v>
      </c>
    </row>
    <row r="1962" spans="1:26" x14ac:dyDescent="0.25">
      <c r="A1962" t="s">
        <v>2349</v>
      </c>
      <c r="B1962" t="s">
        <v>27</v>
      </c>
      <c r="C1962" t="s">
        <v>28</v>
      </c>
      <c r="H1962" s="2">
        <v>45565.756261574075</v>
      </c>
      <c r="I1962" t="s">
        <v>2001</v>
      </c>
      <c r="Z1962">
        <v>91238</v>
      </c>
    </row>
    <row r="1963" spans="1:26" x14ac:dyDescent="0.25">
      <c r="A1963" t="s">
        <v>1692</v>
      </c>
      <c r="B1963" t="s">
        <v>27</v>
      </c>
      <c r="C1963" t="s">
        <v>28</v>
      </c>
      <c r="H1963" s="2">
        <v>45565.749745370369</v>
      </c>
      <c r="I1963" t="s">
        <v>2001</v>
      </c>
      <c r="Z1963">
        <v>91235</v>
      </c>
    </row>
    <row r="1964" spans="1:26" x14ac:dyDescent="0.25">
      <c r="A1964" t="s">
        <v>2350</v>
      </c>
      <c r="B1964" t="s">
        <v>27</v>
      </c>
      <c r="C1964" t="s">
        <v>28</v>
      </c>
      <c r="H1964" s="2">
        <v>45565.655995370369</v>
      </c>
      <c r="I1964" t="s">
        <v>2001</v>
      </c>
      <c r="Z1964">
        <v>91225</v>
      </c>
    </row>
    <row r="1965" spans="1:26" x14ac:dyDescent="0.25">
      <c r="A1965" t="s">
        <v>2351</v>
      </c>
      <c r="B1965" t="s">
        <v>27</v>
      </c>
      <c r="C1965" t="s">
        <v>28</v>
      </c>
      <c r="H1965" s="2">
        <v>45565.64570601852</v>
      </c>
      <c r="I1965" t="s">
        <v>54</v>
      </c>
      <c r="Z1965">
        <v>91224</v>
      </c>
    </row>
    <row r="1966" spans="1:26" x14ac:dyDescent="0.25">
      <c r="A1966" t="s">
        <v>2352</v>
      </c>
      <c r="B1966" t="s">
        <v>306</v>
      </c>
      <c r="C1966" t="s">
        <v>28</v>
      </c>
      <c r="E1966" t="s">
        <v>2353</v>
      </c>
      <c r="H1966" s="2">
        <v>45565.62091435185</v>
      </c>
      <c r="I1966" t="s">
        <v>2001</v>
      </c>
      <c r="Z1966">
        <v>91221</v>
      </c>
    </row>
    <row r="1967" spans="1:26" x14ac:dyDescent="0.25">
      <c r="A1967" t="s">
        <v>2354</v>
      </c>
      <c r="B1967" t="s">
        <v>27</v>
      </c>
      <c r="C1967" t="s">
        <v>75</v>
      </c>
      <c r="H1967" s="2">
        <v>45565.539120370369</v>
      </c>
      <c r="I1967" t="s">
        <v>54</v>
      </c>
      <c r="Z1967">
        <v>91208</v>
      </c>
    </row>
    <row r="1968" spans="1:26" x14ac:dyDescent="0.25">
      <c r="A1968" t="s">
        <v>2355</v>
      </c>
      <c r="C1968" t="s">
        <v>28</v>
      </c>
      <c r="E1968" t="s">
        <v>232</v>
      </c>
      <c r="H1968" s="2">
        <v>45563.789386574077</v>
      </c>
      <c r="I1968" t="s">
        <v>54</v>
      </c>
      <c r="Z1968">
        <v>91149</v>
      </c>
    </row>
    <row r="1969" spans="1:26" x14ac:dyDescent="0.25">
      <c r="A1969" t="s">
        <v>2356</v>
      </c>
      <c r="B1969" t="s">
        <v>27</v>
      </c>
      <c r="C1969" t="s">
        <v>28</v>
      </c>
      <c r="H1969" s="2">
        <v>45563.510578703703</v>
      </c>
      <c r="I1969" t="s">
        <v>2001</v>
      </c>
      <c r="Z1969">
        <v>91135</v>
      </c>
    </row>
    <row r="1970" spans="1:26" x14ac:dyDescent="0.25">
      <c r="A1970" t="s">
        <v>2357</v>
      </c>
      <c r="B1970" t="s">
        <v>27</v>
      </c>
      <c r="C1970" t="s">
        <v>28</v>
      </c>
      <c r="H1970" s="2">
        <v>45562.444039351853</v>
      </c>
      <c r="I1970" t="s">
        <v>556</v>
      </c>
      <c r="Z1970">
        <v>91099</v>
      </c>
    </row>
    <row r="1971" spans="1:26" x14ac:dyDescent="0.25">
      <c r="A1971" t="s">
        <v>2358</v>
      </c>
      <c r="B1971" t="s">
        <v>27</v>
      </c>
      <c r="C1971" t="s">
        <v>28</v>
      </c>
      <c r="H1971" s="2">
        <v>45562.417083333334</v>
      </c>
      <c r="I1971" t="s">
        <v>1488</v>
      </c>
      <c r="Z1971">
        <v>91093</v>
      </c>
    </row>
    <row r="1972" spans="1:26" x14ac:dyDescent="0.25">
      <c r="A1972" t="s">
        <v>2359</v>
      </c>
      <c r="B1972" t="s">
        <v>27</v>
      </c>
      <c r="C1972" t="s">
        <v>28</v>
      </c>
      <c r="H1972" s="2">
        <v>45562.413506944446</v>
      </c>
      <c r="I1972" t="s">
        <v>1488</v>
      </c>
      <c r="Z1972">
        <v>91092</v>
      </c>
    </row>
    <row r="1973" spans="1:26" x14ac:dyDescent="0.25">
      <c r="A1973" t="s">
        <v>2360</v>
      </c>
      <c r="B1973" t="s">
        <v>27</v>
      </c>
      <c r="C1973" t="s">
        <v>28</v>
      </c>
      <c r="H1973" s="2">
        <v>45562.405081018522</v>
      </c>
      <c r="I1973" t="s">
        <v>1488</v>
      </c>
      <c r="Z1973">
        <v>91090</v>
      </c>
    </row>
    <row r="1974" spans="1:26" x14ac:dyDescent="0.25">
      <c r="A1974" t="s">
        <v>2361</v>
      </c>
      <c r="B1974" t="s">
        <v>1708</v>
      </c>
      <c r="C1974" t="s">
        <v>28</v>
      </c>
      <c r="E1974" t="s">
        <v>2362</v>
      </c>
      <c r="H1974" s="2">
        <v>45562.373576388891</v>
      </c>
      <c r="I1974" t="s">
        <v>2001</v>
      </c>
      <c r="Z1974">
        <v>91083</v>
      </c>
    </row>
    <row r="1975" spans="1:26" x14ac:dyDescent="0.25">
      <c r="A1975" t="s">
        <v>2363</v>
      </c>
      <c r="B1975" t="s">
        <v>1708</v>
      </c>
      <c r="C1975" t="s">
        <v>28</v>
      </c>
      <c r="E1975" t="s">
        <v>1284</v>
      </c>
      <c r="H1975" s="2">
        <v>45562.352222222224</v>
      </c>
      <c r="I1975" t="s">
        <v>556</v>
      </c>
      <c r="Z1975">
        <v>91081</v>
      </c>
    </row>
    <row r="1976" spans="1:26" x14ac:dyDescent="0.25">
      <c r="A1976" t="s">
        <v>2364</v>
      </c>
      <c r="B1976" t="s">
        <v>27</v>
      </c>
      <c r="C1976" t="s">
        <v>28</v>
      </c>
      <c r="H1976" s="2">
        <v>45561.517835648148</v>
      </c>
      <c r="I1976" t="s">
        <v>1488</v>
      </c>
      <c r="Z1976">
        <v>91048</v>
      </c>
    </row>
    <row r="1977" spans="1:26" x14ac:dyDescent="0.25">
      <c r="A1977" t="s">
        <v>2365</v>
      </c>
      <c r="B1977" t="s">
        <v>27</v>
      </c>
      <c r="C1977" t="s">
        <v>28</v>
      </c>
      <c r="H1977" s="2">
        <v>45561.496736111112</v>
      </c>
      <c r="I1977" t="s">
        <v>1488</v>
      </c>
      <c r="Z1977">
        <v>91044</v>
      </c>
    </row>
    <row r="1978" spans="1:26" x14ac:dyDescent="0.25">
      <c r="A1978" t="s">
        <v>2366</v>
      </c>
      <c r="B1978" t="s">
        <v>27</v>
      </c>
      <c r="C1978" t="s">
        <v>28</v>
      </c>
      <c r="H1978" s="2">
        <v>45561.466238425928</v>
      </c>
      <c r="I1978" t="s">
        <v>556</v>
      </c>
      <c r="Z1978">
        <v>91038</v>
      </c>
    </row>
    <row r="1979" spans="1:26" x14ac:dyDescent="0.25">
      <c r="A1979" t="s">
        <v>1793</v>
      </c>
      <c r="B1979" t="s">
        <v>306</v>
      </c>
      <c r="C1979" t="s">
        <v>28</v>
      </c>
      <c r="E1979" t="s">
        <v>290</v>
      </c>
      <c r="H1979" s="2">
        <v>45561.442893518521</v>
      </c>
      <c r="I1979" t="s">
        <v>556</v>
      </c>
      <c r="Z1979">
        <v>91036</v>
      </c>
    </row>
    <row r="1980" spans="1:26" x14ac:dyDescent="0.25">
      <c r="A1980" t="s">
        <v>2367</v>
      </c>
      <c r="B1980" t="s">
        <v>27</v>
      </c>
      <c r="C1980" t="s">
        <v>28</v>
      </c>
      <c r="H1980" s="2">
        <v>45560.721550925926</v>
      </c>
      <c r="I1980" t="s">
        <v>2001</v>
      </c>
      <c r="Z1980">
        <v>91013</v>
      </c>
    </row>
    <row r="1981" spans="1:26" x14ac:dyDescent="0.25">
      <c r="A1981" t="s">
        <v>2368</v>
      </c>
      <c r="B1981" t="s">
        <v>1708</v>
      </c>
      <c r="C1981" t="s">
        <v>28</v>
      </c>
      <c r="E1981" t="s">
        <v>370</v>
      </c>
      <c r="H1981" s="2">
        <v>45560.67083333333</v>
      </c>
      <c r="I1981" t="s">
        <v>556</v>
      </c>
      <c r="K1981" t="s">
        <v>34</v>
      </c>
      <c r="L1981" t="s">
        <v>35</v>
      </c>
      <c r="M1981">
        <v>55887031</v>
      </c>
      <c r="N1981">
        <v>9754614514</v>
      </c>
      <c r="O1981" t="s">
        <v>461</v>
      </c>
      <c r="Z1981">
        <v>91004</v>
      </c>
    </row>
    <row r="1982" spans="1:26" x14ac:dyDescent="0.25">
      <c r="A1982" t="s">
        <v>1793</v>
      </c>
      <c r="B1982" t="s">
        <v>27</v>
      </c>
      <c r="C1982" t="s">
        <v>28</v>
      </c>
      <c r="H1982" s="2">
        <v>45560.599282407406</v>
      </c>
      <c r="I1982" t="s">
        <v>556</v>
      </c>
      <c r="Z1982">
        <v>90997</v>
      </c>
    </row>
    <row r="1983" spans="1:26" x14ac:dyDescent="0.25">
      <c r="A1983" t="s">
        <v>2369</v>
      </c>
      <c r="B1983" t="s">
        <v>27</v>
      </c>
      <c r="C1983" t="s">
        <v>28</v>
      </c>
      <c r="H1983" s="2">
        <v>45560.593194444446</v>
      </c>
      <c r="I1983" t="s">
        <v>556</v>
      </c>
      <c r="Z1983">
        <v>90995</v>
      </c>
    </row>
    <row r="1984" spans="1:26" x14ac:dyDescent="0.25">
      <c r="A1984" t="s">
        <v>2370</v>
      </c>
      <c r="B1984" t="s">
        <v>27</v>
      </c>
      <c r="C1984" t="s">
        <v>28</v>
      </c>
      <c r="H1984" s="2">
        <v>45560.451504629629</v>
      </c>
      <c r="I1984" t="s">
        <v>1488</v>
      </c>
      <c r="Z1984">
        <v>90971</v>
      </c>
    </row>
    <row r="1985" spans="1:26" x14ac:dyDescent="0.25">
      <c r="A1985" t="s">
        <v>2371</v>
      </c>
      <c r="B1985" t="s">
        <v>27</v>
      </c>
      <c r="C1985" t="s">
        <v>28</v>
      </c>
      <c r="H1985" s="2">
        <v>45560.44734953704</v>
      </c>
      <c r="I1985" t="s">
        <v>556</v>
      </c>
      <c r="Z1985">
        <v>90969</v>
      </c>
    </row>
    <row r="1986" spans="1:26" x14ac:dyDescent="0.25">
      <c r="A1986" t="s">
        <v>570</v>
      </c>
      <c r="C1986" t="s">
        <v>28</v>
      </c>
      <c r="E1986" t="s">
        <v>61</v>
      </c>
      <c r="H1986" s="2">
        <v>45559.622511574074</v>
      </c>
      <c r="I1986" t="s">
        <v>1488</v>
      </c>
      <c r="Z1986">
        <v>90933</v>
      </c>
    </row>
    <row r="1987" spans="1:26" x14ac:dyDescent="0.25">
      <c r="A1987" t="s">
        <v>2372</v>
      </c>
      <c r="B1987" t="s">
        <v>27</v>
      </c>
      <c r="C1987" t="s">
        <v>28</v>
      </c>
      <c r="H1987" s="2">
        <v>45559.552928240744</v>
      </c>
      <c r="I1987" t="s">
        <v>556</v>
      </c>
      <c r="Z1987">
        <v>90924</v>
      </c>
    </row>
    <row r="1988" spans="1:26" x14ac:dyDescent="0.25">
      <c r="A1988" t="s">
        <v>2373</v>
      </c>
      <c r="B1988" t="s">
        <v>74</v>
      </c>
      <c r="C1988" t="s">
        <v>28</v>
      </c>
      <c r="E1988" t="s">
        <v>2267</v>
      </c>
      <c r="G1988" t="s">
        <v>2374</v>
      </c>
      <c r="H1988" s="2">
        <v>45558.899548611109</v>
      </c>
      <c r="I1988" t="s">
        <v>1488</v>
      </c>
      <c r="Z1988">
        <v>90901</v>
      </c>
    </row>
    <row r="1989" spans="1:26" x14ac:dyDescent="0.25">
      <c r="A1989" t="s">
        <v>2375</v>
      </c>
      <c r="C1989" t="s">
        <v>28</v>
      </c>
      <c r="E1989" t="s">
        <v>2376</v>
      </c>
      <c r="H1989" s="2">
        <v>45558.870925925927</v>
      </c>
      <c r="I1989" t="s">
        <v>1488</v>
      </c>
      <c r="Z1989">
        <v>90900</v>
      </c>
    </row>
    <row r="1990" spans="1:26" x14ac:dyDescent="0.25">
      <c r="A1990" t="s">
        <v>2377</v>
      </c>
      <c r="B1990" t="s">
        <v>27</v>
      </c>
      <c r="C1990" t="s">
        <v>28</v>
      </c>
      <c r="H1990" s="2">
        <v>45558.744826388887</v>
      </c>
      <c r="I1990" t="s">
        <v>1488</v>
      </c>
      <c r="Z1990">
        <v>90892</v>
      </c>
    </row>
    <row r="1991" spans="1:26" x14ac:dyDescent="0.25">
      <c r="A1991" t="s">
        <v>2378</v>
      </c>
      <c r="B1991" t="s">
        <v>27</v>
      </c>
      <c r="C1991" t="s">
        <v>28</v>
      </c>
      <c r="H1991" s="2">
        <v>45558.732523148145</v>
      </c>
      <c r="I1991" t="s">
        <v>556</v>
      </c>
      <c r="Z1991">
        <v>90891</v>
      </c>
    </row>
    <row r="1992" spans="1:26" x14ac:dyDescent="0.25">
      <c r="A1992" t="s">
        <v>2379</v>
      </c>
      <c r="B1992" t="s">
        <v>27</v>
      </c>
      <c r="C1992" t="s">
        <v>28</v>
      </c>
      <c r="H1992" s="2">
        <v>45558.628495370373</v>
      </c>
      <c r="I1992" t="s">
        <v>556</v>
      </c>
      <c r="Z1992">
        <v>90880</v>
      </c>
    </row>
    <row r="1993" spans="1:26" x14ac:dyDescent="0.25">
      <c r="A1993" t="s">
        <v>2380</v>
      </c>
      <c r="B1993" t="s">
        <v>27</v>
      </c>
      <c r="C1993" t="s">
        <v>28</v>
      </c>
      <c r="H1993" s="2">
        <v>45558.621516203704</v>
      </c>
      <c r="I1993" t="s">
        <v>1488</v>
      </c>
      <c r="Z1993">
        <v>90876</v>
      </c>
    </row>
    <row r="1994" spans="1:26" x14ac:dyDescent="0.25">
      <c r="A1994" t="s">
        <v>2381</v>
      </c>
      <c r="B1994" t="s">
        <v>27</v>
      </c>
      <c r="C1994" t="s">
        <v>28</v>
      </c>
      <c r="H1994" s="2">
        <v>45558.566516203704</v>
      </c>
      <c r="I1994" t="s">
        <v>556</v>
      </c>
      <c r="Z1994">
        <v>90865</v>
      </c>
    </row>
    <row r="1995" spans="1:26" x14ac:dyDescent="0.25">
      <c r="A1995" t="s">
        <v>2382</v>
      </c>
      <c r="B1995" t="s">
        <v>27</v>
      </c>
      <c r="C1995" t="s">
        <v>28</v>
      </c>
      <c r="H1995" s="2">
        <v>45558.434432870374</v>
      </c>
      <c r="I1995" t="s">
        <v>556</v>
      </c>
      <c r="Z1995">
        <v>90839</v>
      </c>
    </row>
    <row r="1996" spans="1:26" x14ac:dyDescent="0.25">
      <c r="A1996" t="s">
        <v>1859</v>
      </c>
      <c r="B1996" t="s">
        <v>27</v>
      </c>
      <c r="C1996" t="s">
        <v>28</v>
      </c>
      <c r="H1996" s="2">
        <v>45558.425474537034</v>
      </c>
      <c r="I1996" t="s">
        <v>1488</v>
      </c>
      <c r="Z1996">
        <v>90834</v>
      </c>
    </row>
    <row r="1997" spans="1:26" x14ac:dyDescent="0.25">
      <c r="A1997" t="s">
        <v>2383</v>
      </c>
      <c r="B1997" t="s">
        <v>306</v>
      </c>
      <c r="C1997" t="s">
        <v>28</v>
      </c>
      <c r="E1997" t="s">
        <v>156</v>
      </c>
      <c r="H1997" s="2">
        <v>45557.815810185188</v>
      </c>
      <c r="I1997" t="s">
        <v>1488</v>
      </c>
      <c r="K1997" t="s">
        <v>34</v>
      </c>
      <c r="L1997" t="s">
        <v>35</v>
      </c>
      <c r="M1997">
        <v>55887113</v>
      </c>
      <c r="N1997">
        <v>9754620472</v>
      </c>
      <c r="O1997" t="s">
        <v>461</v>
      </c>
      <c r="Z1997">
        <v>90817</v>
      </c>
    </row>
    <row r="1998" spans="1:26" x14ac:dyDescent="0.25">
      <c r="A1998" t="s">
        <v>2384</v>
      </c>
      <c r="C1998" t="s">
        <v>28</v>
      </c>
      <c r="E1998" t="s">
        <v>2385</v>
      </c>
      <c r="H1998" s="2">
        <v>45556.68608796296</v>
      </c>
      <c r="I1998" t="s">
        <v>556</v>
      </c>
      <c r="Z1998">
        <v>90802</v>
      </c>
    </row>
    <row r="1999" spans="1:26" x14ac:dyDescent="0.25">
      <c r="A1999" t="s">
        <v>2386</v>
      </c>
      <c r="B1999" t="s">
        <v>27</v>
      </c>
      <c r="C1999" t="s">
        <v>28</v>
      </c>
      <c r="H1999" s="2">
        <v>45555.573460648149</v>
      </c>
      <c r="I1999" t="s">
        <v>1488</v>
      </c>
      <c r="Z1999">
        <v>90768</v>
      </c>
    </row>
    <row r="2000" spans="1:26" x14ac:dyDescent="0.25">
      <c r="A2000" t="s">
        <v>2387</v>
      </c>
      <c r="B2000" t="s">
        <v>27</v>
      </c>
      <c r="C2000" t="s">
        <v>28</v>
      </c>
      <c r="H2000" s="2">
        <v>45555.465312499997</v>
      </c>
      <c r="I2000" t="s">
        <v>1488</v>
      </c>
      <c r="Z2000">
        <v>90753</v>
      </c>
    </row>
    <row r="2001" spans="1:26" x14ac:dyDescent="0.25">
      <c r="A2001" t="s">
        <v>2388</v>
      </c>
      <c r="B2001" t="s">
        <v>27</v>
      </c>
      <c r="C2001" t="s">
        <v>28</v>
      </c>
      <c r="H2001" s="2">
        <v>45555.448113425926</v>
      </c>
      <c r="I2001" t="s">
        <v>1488</v>
      </c>
      <c r="Z2001">
        <v>90749</v>
      </c>
    </row>
    <row r="2002" spans="1:26" x14ac:dyDescent="0.25">
      <c r="A2002" t="s">
        <v>2389</v>
      </c>
      <c r="B2002" t="s">
        <v>27</v>
      </c>
      <c r="C2002" t="s">
        <v>75</v>
      </c>
      <c r="H2002" s="2">
        <v>45555.401678240742</v>
      </c>
      <c r="I2002" t="s">
        <v>2001</v>
      </c>
      <c r="Z2002">
        <v>90744</v>
      </c>
    </row>
    <row r="2003" spans="1:26" x14ac:dyDescent="0.25">
      <c r="A2003" t="s">
        <v>2390</v>
      </c>
      <c r="B2003" t="s">
        <v>27</v>
      </c>
      <c r="C2003" t="s">
        <v>28</v>
      </c>
      <c r="H2003" s="2">
        <v>45554.600983796299</v>
      </c>
      <c r="I2003" t="s">
        <v>2001</v>
      </c>
      <c r="Z2003">
        <v>90712</v>
      </c>
    </row>
    <row r="2004" spans="1:26" x14ac:dyDescent="0.25">
      <c r="A2004" t="s">
        <v>2391</v>
      </c>
      <c r="B2004" t="s">
        <v>27</v>
      </c>
      <c r="C2004" t="s">
        <v>28</v>
      </c>
      <c r="H2004" s="2">
        <v>45553.704386574071</v>
      </c>
      <c r="I2004" t="s">
        <v>54</v>
      </c>
      <c r="Z2004">
        <v>90685</v>
      </c>
    </row>
    <row r="2005" spans="1:26" x14ac:dyDescent="0.25">
      <c r="A2005" t="s">
        <v>2392</v>
      </c>
      <c r="B2005" t="s">
        <v>27</v>
      </c>
      <c r="C2005" t="s">
        <v>28</v>
      </c>
      <c r="H2005" s="2">
        <v>45553.642129629632</v>
      </c>
      <c r="I2005" t="s">
        <v>54</v>
      </c>
      <c r="Z2005">
        <v>90677</v>
      </c>
    </row>
    <row r="2006" spans="1:26" x14ac:dyDescent="0.25">
      <c r="A2006" t="s">
        <v>2393</v>
      </c>
      <c r="B2006" t="s">
        <v>27</v>
      </c>
      <c r="C2006" t="s">
        <v>28</v>
      </c>
      <c r="H2006" s="2">
        <v>45553.587337962963</v>
      </c>
      <c r="I2006" t="s">
        <v>556</v>
      </c>
      <c r="Z2006">
        <v>90670</v>
      </c>
    </row>
    <row r="2007" spans="1:26" x14ac:dyDescent="0.25">
      <c r="A2007" t="s">
        <v>2048</v>
      </c>
      <c r="B2007" t="s">
        <v>27</v>
      </c>
      <c r="C2007" t="s">
        <v>28</v>
      </c>
      <c r="H2007" s="2">
        <v>45553.554259259261</v>
      </c>
      <c r="I2007" t="s">
        <v>556</v>
      </c>
      <c r="Z2007">
        <v>90664</v>
      </c>
    </row>
    <row r="2008" spans="1:26" x14ac:dyDescent="0.25">
      <c r="A2008" t="s">
        <v>2394</v>
      </c>
      <c r="B2008" t="s">
        <v>27</v>
      </c>
      <c r="C2008" t="s">
        <v>28</v>
      </c>
      <c r="H2008" s="2">
        <v>45552.749409722222</v>
      </c>
      <c r="I2008" t="s">
        <v>556</v>
      </c>
      <c r="Z2008">
        <v>90633</v>
      </c>
    </row>
    <row r="2009" spans="1:26" x14ac:dyDescent="0.25">
      <c r="A2009" t="s">
        <v>2395</v>
      </c>
      <c r="B2009" t="s">
        <v>27</v>
      </c>
      <c r="C2009" t="s">
        <v>28</v>
      </c>
      <c r="H2009" s="2">
        <v>45552.69431712963</v>
      </c>
      <c r="I2009" t="s">
        <v>2001</v>
      </c>
      <c r="Z2009">
        <v>90626</v>
      </c>
    </row>
    <row r="2010" spans="1:26" x14ac:dyDescent="0.25">
      <c r="A2010" t="s">
        <v>2396</v>
      </c>
      <c r="B2010" t="s">
        <v>27</v>
      </c>
      <c r="C2010" t="s">
        <v>28</v>
      </c>
      <c r="H2010" s="2">
        <v>45552.508321759262</v>
      </c>
      <c r="I2010" t="s">
        <v>1488</v>
      </c>
      <c r="Z2010">
        <v>90607</v>
      </c>
    </row>
    <row r="2011" spans="1:26" x14ac:dyDescent="0.25">
      <c r="A2011" t="s">
        <v>2397</v>
      </c>
      <c r="B2011" t="s">
        <v>27</v>
      </c>
      <c r="C2011" t="s">
        <v>28</v>
      </c>
      <c r="H2011" s="2">
        <v>45552.485324074078</v>
      </c>
      <c r="I2011" t="s">
        <v>1488</v>
      </c>
      <c r="Z2011">
        <v>90604</v>
      </c>
    </row>
    <row r="2012" spans="1:26" x14ac:dyDescent="0.25">
      <c r="A2012" t="s">
        <v>2398</v>
      </c>
      <c r="B2012" t="s">
        <v>1993</v>
      </c>
      <c r="C2012" t="s">
        <v>28</v>
      </c>
      <c r="E2012" t="s">
        <v>2399</v>
      </c>
      <c r="H2012" s="2">
        <v>45551.740451388891</v>
      </c>
      <c r="I2012" t="s">
        <v>2001</v>
      </c>
      <c r="Z2012">
        <v>90585</v>
      </c>
    </row>
    <row r="2013" spans="1:26" x14ac:dyDescent="0.25">
      <c r="A2013" t="s">
        <v>2400</v>
      </c>
      <c r="B2013" t="s">
        <v>27</v>
      </c>
      <c r="C2013" t="s">
        <v>28</v>
      </c>
      <c r="H2013" s="2">
        <v>45551.473310185182</v>
      </c>
      <c r="I2013" t="s">
        <v>2001</v>
      </c>
      <c r="Z2013">
        <v>90550</v>
      </c>
    </row>
    <row r="2014" spans="1:26" x14ac:dyDescent="0.25">
      <c r="A2014" t="s">
        <v>2401</v>
      </c>
      <c r="B2014" t="s">
        <v>1708</v>
      </c>
      <c r="C2014" t="s">
        <v>28</v>
      </c>
      <c r="E2014" t="s">
        <v>2402</v>
      </c>
      <c r="H2014" s="2">
        <v>45550.796307870369</v>
      </c>
      <c r="I2014" t="s">
        <v>2001</v>
      </c>
      <c r="Z2014">
        <v>90526</v>
      </c>
    </row>
    <row r="2015" spans="1:26" x14ac:dyDescent="0.25">
      <c r="A2015" t="s">
        <v>2403</v>
      </c>
      <c r="B2015" t="s">
        <v>1403</v>
      </c>
      <c r="C2015" t="s">
        <v>28</v>
      </c>
      <c r="E2015" t="s">
        <v>2269</v>
      </c>
      <c r="H2015" s="2">
        <v>45550.396550925929</v>
      </c>
      <c r="I2015" t="s">
        <v>556</v>
      </c>
      <c r="Z2015">
        <v>90515</v>
      </c>
    </row>
    <row r="2016" spans="1:26" x14ac:dyDescent="0.25">
      <c r="A2016" t="s">
        <v>2404</v>
      </c>
      <c r="B2016" t="s">
        <v>1993</v>
      </c>
      <c r="C2016" t="s">
        <v>28</v>
      </c>
      <c r="E2016" t="s">
        <v>2405</v>
      </c>
      <c r="H2016" s="2">
        <v>45549.813657407409</v>
      </c>
      <c r="I2016" t="s">
        <v>1488</v>
      </c>
      <c r="Z2016">
        <v>90510</v>
      </c>
    </row>
    <row r="2017" spans="1:26" x14ac:dyDescent="0.25">
      <c r="A2017" t="s">
        <v>2406</v>
      </c>
      <c r="B2017" t="s">
        <v>27</v>
      </c>
      <c r="C2017" t="s">
        <v>28</v>
      </c>
      <c r="H2017" s="2">
        <v>45548.482592592591</v>
      </c>
      <c r="I2017" t="s">
        <v>1488</v>
      </c>
      <c r="Z2017">
        <v>90462</v>
      </c>
    </row>
    <row r="2018" spans="1:26" x14ac:dyDescent="0.25">
      <c r="A2018" t="s">
        <v>2407</v>
      </c>
      <c r="B2018" t="s">
        <v>1993</v>
      </c>
      <c r="C2018" t="s">
        <v>28</v>
      </c>
      <c r="E2018" t="s">
        <v>427</v>
      </c>
      <c r="H2018" s="2">
        <v>45547.956655092596</v>
      </c>
      <c r="I2018" t="s">
        <v>556</v>
      </c>
      <c r="Z2018">
        <v>90434</v>
      </c>
    </row>
    <row r="2019" spans="1:26" x14ac:dyDescent="0.25">
      <c r="A2019" t="s">
        <v>2408</v>
      </c>
      <c r="B2019" t="s">
        <v>1403</v>
      </c>
      <c r="C2019" t="s">
        <v>28</v>
      </c>
      <c r="E2019" t="s">
        <v>2409</v>
      </c>
      <c r="G2019" t="s">
        <v>2410</v>
      </c>
      <c r="H2019" s="2">
        <v>45547.788391203707</v>
      </c>
      <c r="I2019" t="s">
        <v>556</v>
      </c>
      <c r="Z2019">
        <v>90429</v>
      </c>
    </row>
    <row r="2020" spans="1:26" x14ac:dyDescent="0.25">
      <c r="A2020" t="s">
        <v>2411</v>
      </c>
      <c r="B2020" t="s">
        <v>1403</v>
      </c>
      <c r="C2020" t="s">
        <v>28</v>
      </c>
      <c r="E2020" t="s">
        <v>2093</v>
      </c>
      <c r="H2020" s="2">
        <v>45547.708287037036</v>
      </c>
      <c r="I2020" t="s">
        <v>31</v>
      </c>
      <c r="K2020" t="s">
        <v>34</v>
      </c>
      <c r="L2020" t="s">
        <v>35</v>
      </c>
      <c r="M2020">
        <v>67131912</v>
      </c>
      <c r="N2020">
        <v>11953101690</v>
      </c>
      <c r="O2020" t="s">
        <v>461</v>
      </c>
      <c r="Z2020">
        <v>90420</v>
      </c>
    </row>
    <row r="2021" spans="1:26" x14ac:dyDescent="0.25">
      <c r="A2021" t="s">
        <v>2412</v>
      </c>
      <c r="C2021" t="s">
        <v>28</v>
      </c>
      <c r="E2021" t="s">
        <v>1142</v>
      </c>
      <c r="H2021" s="2">
        <v>45547.681747685187</v>
      </c>
      <c r="I2021" t="s">
        <v>31</v>
      </c>
      <c r="Z2021">
        <v>90416</v>
      </c>
    </row>
    <row r="2022" spans="1:26" x14ac:dyDescent="0.25">
      <c r="A2022" t="s">
        <v>2413</v>
      </c>
      <c r="B2022" t="s">
        <v>27</v>
      </c>
      <c r="C2022" t="s">
        <v>28</v>
      </c>
      <c r="H2022" s="2">
        <v>45546.574317129627</v>
      </c>
      <c r="I2022" t="s">
        <v>2001</v>
      </c>
      <c r="Z2022">
        <v>90348</v>
      </c>
    </row>
    <row r="2023" spans="1:26" x14ac:dyDescent="0.25">
      <c r="A2023" t="s">
        <v>2414</v>
      </c>
      <c r="B2023" t="s">
        <v>1708</v>
      </c>
      <c r="C2023" t="s">
        <v>28</v>
      </c>
      <c r="E2023" t="s">
        <v>2415</v>
      </c>
      <c r="H2023" s="2">
        <v>45545.811018518521</v>
      </c>
      <c r="I2023" t="s">
        <v>556</v>
      </c>
      <c r="Z2023">
        <v>90319</v>
      </c>
    </row>
    <row r="2024" spans="1:26" x14ac:dyDescent="0.25">
      <c r="A2024" t="s">
        <v>2416</v>
      </c>
      <c r="B2024" t="s">
        <v>27</v>
      </c>
      <c r="C2024" t="s">
        <v>28</v>
      </c>
      <c r="H2024" s="2">
        <v>45545.736018518517</v>
      </c>
      <c r="I2024" t="s">
        <v>1488</v>
      </c>
      <c r="Z2024">
        <v>90314</v>
      </c>
    </row>
    <row r="2025" spans="1:26" x14ac:dyDescent="0.25">
      <c r="A2025" t="s">
        <v>2417</v>
      </c>
      <c r="B2025" t="s">
        <v>27</v>
      </c>
      <c r="C2025" t="s">
        <v>28</v>
      </c>
      <c r="H2025" s="2">
        <v>45545.532129629632</v>
      </c>
      <c r="I2025" t="s">
        <v>54</v>
      </c>
      <c r="Z2025">
        <v>90288</v>
      </c>
    </row>
    <row r="2026" spans="1:26" x14ac:dyDescent="0.25">
      <c r="A2026" t="s">
        <v>2418</v>
      </c>
      <c r="B2026" t="s">
        <v>27</v>
      </c>
      <c r="C2026" t="s">
        <v>28</v>
      </c>
      <c r="H2026" s="2">
        <v>45545.509201388886</v>
      </c>
      <c r="I2026" t="s">
        <v>31</v>
      </c>
      <c r="Z2026">
        <v>90284</v>
      </c>
    </row>
    <row r="2027" spans="1:26" x14ac:dyDescent="0.25">
      <c r="A2027" t="s">
        <v>1077</v>
      </c>
      <c r="B2027" t="s">
        <v>27</v>
      </c>
      <c r="C2027" t="s">
        <v>28</v>
      </c>
      <c r="H2027" s="2">
        <v>45545.474282407406</v>
      </c>
      <c r="I2027" t="s">
        <v>1488</v>
      </c>
      <c r="Z2027">
        <v>90281</v>
      </c>
    </row>
    <row r="2028" spans="1:26" x14ac:dyDescent="0.25">
      <c r="A2028" t="s">
        <v>2419</v>
      </c>
      <c r="B2028" t="s">
        <v>27</v>
      </c>
      <c r="C2028" t="s">
        <v>28</v>
      </c>
      <c r="H2028" s="2">
        <v>45545.45548611111</v>
      </c>
      <c r="I2028" t="s">
        <v>1488</v>
      </c>
      <c r="Z2028">
        <v>90279</v>
      </c>
    </row>
    <row r="2029" spans="1:26" x14ac:dyDescent="0.25">
      <c r="A2029" t="s">
        <v>1980</v>
      </c>
      <c r="B2029" t="s">
        <v>1403</v>
      </c>
      <c r="C2029" t="s">
        <v>28</v>
      </c>
      <c r="E2029" t="s">
        <v>1512</v>
      </c>
      <c r="G2029" t="s">
        <v>1513</v>
      </c>
      <c r="H2029" s="2">
        <v>45545.35193287037</v>
      </c>
      <c r="I2029" t="s">
        <v>2001</v>
      </c>
      <c r="Z2029">
        <v>90264</v>
      </c>
    </row>
    <row r="2030" spans="1:26" x14ac:dyDescent="0.25">
      <c r="A2030" t="s">
        <v>2420</v>
      </c>
      <c r="B2030" t="s">
        <v>27</v>
      </c>
      <c r="C2030" t="s">
        <v>28</v>
      </c>
      <c r="H2030" s="2">
        <v>45544.535636574074</v>
      </c>
      <c r="I2030" t="s">
        <v>556</v>
      </c>
      <c r="Z2030">
        <v>90215</v>
      </c>
    </row>
    <row r="2031" spans="1:26" x14ac:dyDescent="0.25">
      <c r="A2031" t="s">
        <v>2421</v>
      </c>
      <c r="B2031" t="s">
        <v>27</v>
      </c>
      <c r="C2031" t="s">
        <v>28</v>
      </c>
      <c r="H2031" s="2">
        <v>45544.52851851852</v>
      </c>
      <c r="I2031" t="s">
        <v>556</v>
      </c>
      <c r="Z2031">
        <v>90213</v>
      </c>
    </row>
    <row r="2032" spans="1:26" x14ac:dyDescent="0.25">
      <c r="A2032" t="s">
        <v>2422</v>
      </c>
      <c r="B2032" t="s">
        <v>27</v>
      </c>
      <c r="C2032" t="s">
        <v>28</v>
      </c>
      <c r="H2032" s="2">
        <v>45544.464108796295</v>
      </c>
      <c r="I2032" t="s">
        <v>31</v>
      </c>
      <c r="Z2032">
        <v>90200</v>
      </c>
    </row>
    <row r="2033" spans="1:26" x14ac:dyDescent="0.25">
      <c r="A2033" t="s">
        <v>2339</v>
      </c>
      <c r="B2033" t="s">
        <v>27</v>
      </c>
      <c r="C2033" t="s">
        <v>28</v>
      </c>
      <c r="H2033" s="2">
        <v>45544.380462962959</v>
      </c>
      <c r="I2033" t="s">
        <v>1488</v>
      </c>
      <c r="Z2033">
        <v>90188</v>
      </c>
    </row>
    <row r="2034" spans="1:26" x14ac:dyDescent="0.25">
      <c r="A2034" t="s">
        <v>2423</v>
      </c>
      <c r="B2034" t="s">
        <v>27</v>
      </c>
      <c r="C2034" t="s">
        <v>28</v>
      </c>
      <c r="H2034" s="2">
        <v>45542.65452546296</v>
      </c>
      <c r="I2034" t="s">
        <v>2001</v>
      </c>
      <c r="Z2034">
        <v>90170</v>
      </c>
    </row>
    <row r="2035" spans="1:26" x14ac:dyDescent="0.25">
      <c r="A2035" t="s">
        <v>2424</v>
      </c>
      <c r="B2035" t="s">
        <v>27</v>
      </c>
      <c r="C2035" t="s">
        <v>28</v>
      </c>
      <c r="H2035" s="2">
        <v>45542.531701388885</v>
      </c>
      <c r="I2035" t="s">
        <v>2001</v>
      </c>
      <c r="Z2035">
        <v>90169</v>
      </c>
    </row>
    <row r="2036" spans="1:26" x14ac:dyDescent="0.25">
      <c r="A2036" t="s">
        <v>2425</v>
      </c>
      <c r="B2036" t="s">
        <v>1708</v>
      </c>
      <c r="C2036" t="s">
        <v>28</v>
      </c>
      <c r="E2036" t="s">
        <v>2269</v>
      </c>
      <c r="H2036" s="2">
        <v>45542.529328703706</v>
      </c>
      <c r="I2036" t="s">
        <v>1488</v>
      </c>
      <c r="K2036" t="s">
        <v>34</v>
      </c>
      <c r="L2036" t="s">
        <v>35</v>
      </c>
      <c r="M2036">
        <v>55887089</v>
      </c>
      <c r="N2036">
        <v>9754619198</v>
      </c>
      <c r="O2036" t="s">
        <v>461</v>
      </c>
      <c r="Z2036">
        <v>90168</v>
      </c>
    </row>
    <row r="2037" spans="1:26" x14ac:dyDescent="0.25">
      <c r="A2037" t="s">
        <v>2426</v>
      </c>
      <c r="B2037" t="s">
        <v>27</v>
      </c>
      <c r="C2037" t="s">
        <v>28</v>
      </c>
      <c r="H2037" s="2">
        <v>45541.597048611111</v>
      </c>
      <c r="I2037" t="s">
        <v>1488</v>
      </c>
      <c r="Z2037">
        <v>90143</v>
      </c>
    </row>
    <row r="2038" spans="1:26" x14ac:dyDescent="0.25">
      <c r="A2038" t="s">
        <v>2427</v>
      </c>
      <c r="B2038" t="s">
        <v>27</v>
      </c>
      <c r="C2038" t="s">
        <v>28</v>
      </c>
      <c r="H2038" s="2">
        <v>45541.493680555555</v>
      </c>
      <c r="I2038" t="s">
        <v>1488</v>
      </c>
      <c r="Z2038">
        <v>90131</v>
      </c>
    </row>
    <row r="2039" spans="1:26" x14ac:dyDescent="0.25">
      <c r="A2039" t="s">
        <v>2428</v>
      </c>
      <c r="B2039" t="s">
        <v>27</v>
      </c>
      <c r="C2039" t="s">
        <v>28</v>
      </c>
      <c r="H2039" s="2">
        <v>45540.71193287037</v>
      </c>
      <c r="I2039" t="s">
        <v>1488</v>
      </c>
      <c r="Z2039">
        <v>90103</v>
      </c>
    </row>
    <row r="2040" spans="1:26" x14ac:dyDescent="0.25">
      <c r="A2040" t="s">
        <v>2429</v>
      </c>
      <c r="B2040" t="s">
        <v>27</v>
      </c>
      <c r="C2040" t="s">
        <v>28</v>
      </c>
      <c r="H2040" s="2">
        <v>45540.666689814818</v>
      </c>
      <c r="I2040" t="s">
        <v>2113</v>
      </c>
      <c r="Z2040">
        <v>90097</v>
      </c>
    </row>
    <row r="2041" spans="1:26" x14ac:dyDescent="0.25">
      <c r="A2041" t="s">
        <v>2430</v>
      </c>
      <c r="B2041" t="s">
        <v>1708</v>
      </c>
      <c r="C2041" t="s">
        <v>28</v>
      </c>
      <c r="E2041" t="s">
        <v>2173</v>
      </c>
      <c r="H2041" s="2">
        <v>45540.666261574072</v>
      </c>
      <c r="I2041" t="s">
        <v>31</v>
      </c>
      <c r="Z2041">
        <v>90095</v>
      </c>
    </row>
    <row r="2042" spans="1:26" x14ac:dyDescent="0.25">
      <c r="A2042" t="s">
        <v>2431</v>
      </c>
      <c r="B2042" t="s">
        <v>1708</v>
      </c>
      <c r="C2042" t="s">
        <v>28</v>
      </c>
      <c r="E2042" t="s">
        <v>1865</v>
      </c>
      <c r="H2042" s="2">
        <v>45540.506851851853</v>
      </c>
      <c r="I2042" t="s">
        <v>556</v>
      </c>
      <c r="Z2042">
        <v>90067</v>
      </c>
    </row>
    <row r="2043" spans="1:26" x14ac:dyDescent="0.25">
      <c r="A2043" t="s">
        <v>1724</v>
      </c>
      <c r="B2043" t="s">
        <v>27</v>
      </c>
      <c r="C2043" t="s">
        <v>28</v>
      </c>
      <c r="H2043" s="2">
        <v>45540.431562500002</v>
      </c>
      <c r="I2043" t="s">
        <v>2001</v>
      </c>
      <c r="Z2043">
        <v>90051</v>
      </c>
    </row>
    <row r="2044" spans="1:26" x14ac:dyDescent="0.25">
      <c r="A2044" t="s">
        <v>2432</v>
      </c>
      <c r="B2044" t="s">
        <v>1993</v>
      </c>
      <c r="C2044" t="s">
        <v>28</v>
      </c>
      <c r="H2044" s="2">
        <v>45540.43041666667</v>
      </c>
      <c r="I2044" t="s">
        <v>1488</v>
      </c>
      <c r="Z2044">
        <v>90049</v>
      </c>
    </row>
    <row r="2045" spans="1:26" x14ac:dyDescent="0.25">
      <c r="A2045" t="s">
        <v>2433</v>
      </c>
      <c r="B2045" t="s">
        <v>27</v>
      </c>
      <c r="C2045" t="s">
        <v>28</v>
      </c>
      <c r="H2045" s="2">
        <v>45539.641018518516</v>
      </c>
      <c r="I2045" t="s">
        <v>556</v>
      </c>
      <c r="Z2045">
        <v>90014</v>
      </c>
    </row>
    <row r="2046" spans="1:26" x14ac:dyDescent="0.25">
      <c r="A2046" t="s">
        <v>2434</v>
      </c>
      <c r="B2046" t="s">
        <v>27</v>
      </c>
      <c r="C2046" t="s">
        <v>28</v>
      </c>
      <c r="H2046" s="2">
        <v>45539.640868055554</v>
      </c>
      <c r="I2046" t="s">
        <v>1488</v>
      </c>
      <c r="Z2046">
        <v>90013</v>
      </c>
    </row>
    <row r="2047" spans="1:26" x14ac:dyDescent="0.25">
      <c r="A2047" t="s">
        <v>2435</v>
      </c>
      <c r="B2047" t="s">
        <v>27</v>
      </c>
      <c r="C2047" t="s">
        <v>28</v>
      </c>
      <c r="H2047" s="2">
        <v>45539.583078703705</v>
      </c>
      <c r="I2047" t="s">
        <v>1488</v>
      </c>
      <c r="Z2047">
        <v>90006</v>
      </c>
    </row>
    <row r="2048" spans="1:26" x14ac:dyDescent="0.25">
      <c r="A2048" t="s">
        <v>2436</v>
      </c>
      <c r="C2048" t="s">
        <v>28</v>
      </c>
      <c r="E2048" t="s">
        <v>304</v>
      </c>
      <c r="H2048" s="2">
        <v>45539.57849537037</v>
      </c>
      <c r="I2048" t="s">
        <v>1488</v>
      </c>
      <c r="Z2048">
        <v>90005</v>
      </c>
    </row>
    <row r="2049" spans="1:26" x14ac:dyDescent="0.25">
      <c r="A2049" t="s">
        <v>2437</v>
      </c>
      <c r="B2049" t="s">
        <v>27</v>
      </c>
      <c r="C2049" t="s">
        <v>28</v>
      </c>
      <c r="E2049" t="s">
        <v>72</v>
      </c>
      <c r="G2049" t="s">
        <v>2058</v>
      </c>
      <c r="H2049" s="2">
        <v>45539.549363425926</v>
      </c>
      <c r="I2049" t="s">
        <v>1488</v>
      </c>
      <c r="Z2049">
        <v>90001</v>
      </c>
    </row>
    <row r="2050" spans="1:26" x14ac:dyDescent="0.25">
      <c r="A2050" t="s">
        <v>606</v>
      </c>
      <c r="B2050" t="s">
        <v>306</v>
      </c>
      <c r="C2050" t="s">
        <v>28</v>
      </c>
      <c r="E2050" t="s">
        <v>59</v>
      </c>
      <c r="H2050" s="2">
        <v>45538.555706018517</v>
      </c>
      <c r="I2050" t="s">
        <v>556</v>
      </c>
      <c r="Z2050">
        <v>89949</v>
      </c>
    </row>
    <row r="2051" spans="1:26" x14ac:dyDescent="0.25">
      <c r="A2051" t="s">
        <v>2438</v>
      </c>
      <c r="B2051" t="s">
        <v>27</v>
      </c>
      <c r="C2051" t="s">
        <v>28</v>
      </c>
      <c r="H2051" s="2">
        <v>45538.525543981479</v>
      </c>
      <c r="I2051" t="s">
        <v>31</v>
      </c>
      <c r="Z2051">
        <v>89944</v>
      </c>
    </row>
    <row r="2052" spans="1:26" x14ac:dyDescent="0.25">
      <c r="A2052" t="s">
        <v>2439</v>
      </c>
      <c r="B2052" t="s">
        <v>1708</v>
      </c>
      <c r="C2052" t="s">
        <v>28</v>
      </c>
      <c r="E2052" t="s">
        <v>2267</v>
      </c>
      <c r="H2052" s="2">
        <v>45538.46297453704</v>
      </c>
      <c r="I2052" t="s">
        <v>1488</v>
      </c>
      <c r="Z2052">
        <v>89935</v>
      </c>
    </row>
    <row r="2053" spans="1:26" x14ac:dyDescent="0.25">
      <c r="A2053" t="s">
        <v>2440</v>
      </c>
      <c r="B2053" t="s">
        <v>27</v>
      </c>
      <c r="C2053" t="s">
        <v>28</v>
      </c>
      <c r="H2053" s="2">
        <v>45538.449571759258</v>
      </c>
      <c r="I2053" t="s">
        <v>556</v>
      </c>
      <c r="Z2053">
        <v>89932</v>
      </c>
    </row>
    <row r="2054" spans="1:26" x14ac:dyDescent="0.25">
      <c r="A2054" t="s">
        <v>2441</v>
      </c>
      <c r="B2054" t="s">
        <v>27</v>
      </c>
      <c r="C2054" t="s">
        <v>28</v>
      </c>
      <c r="H2054" s="2">
        <v>45537.832349537035</v>
      </c>
      <c r="I2054" t="s">
        <v>556</v>
      </c>
      <c r="Z2054">
        <v>89916</v>
      </c>
    </row>
    <row r="2055" spans="1:26" x14ac:dyDescent="0.25">
      <c r="A2055" t="s">
        <v>2442</v>
      </c>
      <c r="B2055" t="s">
        <v>1403</v>
      </c>
      <c r="C2055" t="s">
        <v>28</v>
      </c>
      <c r="E2055" t="s">
        <v>1942</v>
      </c>
      <c r="G2055" t="s">
        <v>2443</v>
      </c>
      <c r="H2055" s="2">
        <v>45537.811944444446</v>
      </c>
      <c r="I2055" t="s">
        <v>1488</v>
      </c>
      <c r="Z2055">
        <v>89913</v>
      </c>
    </row>
    <row r="2056" spans="1:26" x14ac:dyDescent="0.25">
      <c r="A2056" t="s">
        <v>2444</v>
      </c>
      <c r="B2056" t="s">
        <v>27</v>
      </c>
      <c r="C2056" t="s">
        <v>28</v>
      </c>
      <c r="H2056" s="2">
        <v>45537.749340277776</v>
      </c>
      <c r="I2056" t="s">
        <v>556</v>
      </c>
      <c r="Z2056">
        <v>89909</v>
      </c>
    </row>
    <row r="2057" spans="1:26" x14ac:dyDescent="0.25">
      <c r="A2057" t="s">
        <v>2445</v>
      </c>
      <c r="B2057" t="s">
        <v>27</v>
      </c>
      <c r="C2057" t="s">
        <v>28</v>
      </c>
      <c r="H2057" s="2">
        <v>45537.600543981483</v>
      </c>
      <c r="I2057" t="s">
        <v>1488</v>
      </c>
      <c r="Z2057">
        <v>89886</v>
      </c>
    </row>
    <row r="2058" spans="1:26" x14ac:dyDescent="0.25">
      <c r="A2058" t="s">
        <v>1220</v>
      </c>
      <c r="B2058" t="s">
        <v>1708</v>
      </c>
      <c r="C2058" t="s">
        <v>28</v>
      </c>
      <c r="E2058" t="s">
        <v>967</v>
      </c>
      <c r="H2058" s="2">
        <v>45537.588460648149</v>
      </c>
      <c r="I2058" t="s">
        <v>556</v>
      </c>
      <c r="Z2058">
        <v>89882</v>
      </c>
    </row>
    <row r="2059" spans="1:26" x14ac:dyDescent="0.25">
      <c r="A2059" t="s">
        <v>2446</v>
      </c>
      <c r="B2059" t="s">
        <v>1708</v>
      </c>
      <c r="C2059" t="s">
        <v>28</v>
      </c>
      <c r="E2059" t="s">
        <v>2447</v>
      </c>
      <c r="H2059" s="2">
        <v>45537.551111111112</v>
      </c>
      <c r="I2059" t="s">
        <v>1488</v>
      </c>
      <c r="K2059" t="s">
        <v>34</v>
      </c>
      <c r="L2059" t="s">
        <v>35</v>
      </c>
      <c r="M2059">
        <v>67131912</v>
      </c>
      <c r="N2059">
        <v>11953101652</v>
      </c>
      <c r="O2059" t="s">
        <v>461</v>
      </c>
      <c r="Z2059">
        <v>89876</v>
      </c>
    </row>
    <row r="2060" spans="1:26" x14ac:dyDescent="0.25">
      <c r="A2060" t="s">
        <v>2448</v>
      </c>
      <c r="B2060" t="s">
        <v>27</v>
      </c>
      <c r="C2060" t="s">
        <v>28</v>
      </c>
      <c r="H2060" s="2">
        <v>45537.496851851851</v>
      </c>
      <c r="I2060" t="s">
        <v>54</v>
      </c>
      <c r="Z2060">
        <v>89869</v>
      </c>
    </row>
    <row r="2061" spans="1:26" x14ac:dyDescent="0.25">
      <c r="A2061" t="s">
        <v>2449</v>
      </c>
      <c r="B2061" t="s">
        <v>27</v>
      </c>
      <c r="C2061" t="s">
        <v>28</v>
      </c>
      <c r="H2061" s="2">
        <v>45537.445162037038</v>
      </c>
      <c r="I2061" t="s">
        <v>1488</v>
      </c>
      <c r="Z2061">
        <v>89863</v>
      </c>
    </row>
    <row r="2062" spans="1:26" x14ac:dyDescent="0.25">
      <c r="A2062" t="s">
        <v>2450</v>
      </c>
      <c r="B2062" t="s">
        <v>1993</v>
      </c>
      <c r="C2062" t="s">
        <v>28</v>
      </c>
      <c r="E2062" t="s">
        <v>304</v>
      </c>
      <c r="H2062" s="2">
        <v>45536.455972222226</v>
      </c>
      <c r="I2062" t="s">
        <v>556</v>
      </c>
      <c r="Z2062">
        <v>89826</v>
      </c>
    </row>
    <row r="2063" spans="1:26" x14ac:dyDescent="0.25">
      <c r="A2063" t="s">
        <v>2451</v>
      </c>
      <c r="B2063" t="s">
        <v>1403</v>
      </c>
      <c r="C2063" t="s">
        <v>28</v>
      </c>
      <c r="E2063" t="s">
        <v>72</v>
      </c>
      <c r="H2063" s="2">
        <v>45536.442685185182</v>
      </c>
      <c r="I2063" t="s">
        <v>1488</v>
      </c>
      <c r="Z2063">
        <v>89825</v>
      </c>
    </row>
    <row r="2064" spans="1:26" x14ac:dyDescent="0.25">
      <c r="A2064" t="s">
        <v>2452</v>
      </c>
      <c r="B2064" t="s">
        <v>27</v>
      </c>
      <c r="C2064" t="s">
        <v>28</v>
      </c>
      <c r="H2064" s="2">
        <v>45534.855694444443</v>
      </c>
      <c r="I2064" t="s">
        <v>2001</v>
      </c>
      <c r="Z2064">
        <v>89803</v>
      </c>
    </row>
    <row r="2065" spans="1:26" x14ac:dyDescent="0.25">
      <c r="A2065" t="s">
        <v>2453</v>
      </c>
      <c r="B2065" t="s">
        <v>1403</v>
      </c>
      <c r="C2065" t="s">
        <v>28</v>
      </c>
      <c r="E2065" t="s">
        <v>1693</v>
      </c>
      <c r="G2065" t="s">
        <v>2454</v>
      </c>
      <c r="H2065" s="2">
        <v>45534.761689814812</v>
      </c>
      <c r="I2065" t="s">
        <v>1488</v>
      </c>
      <c r="Z2065">
        <v>89799</v>
      </c>
    </row>
    <row r="2066" spans="1:26" x14ac:dyDescent="0.25">
      <c r="A2066" t="s">
        <v>2455</v>
      </c>
      <c r="B2066" t="s">
        <v>27</v>
      </c>
      <c r="C2066" t="s">
        <v>28</v>
      </c>
      <c r="H2066" s="2">
        <v>45534.63208333333</v>
      </c>
      <c r="I2066" t="s">
        <v>1488</v>
      </c>
      <c r="Z2066">
        <v>89781</v>
      </c>
    </row>
    <row r="2067" spans="1:26" x14ac:dyDescent="0.25">
      <c r="A2067" t="s">
        <v>2456</v>
      </c>
      <c r="B2067" t="s">
        <v>27</v>
      </c>
      <c r="C2067" t="s">
        <v>28</v>
      </c>
      <c r="H2067" s="2">
        <v>45534.619247685187</v>
      </c>
      <c r="I2067" t="s">
        <v>1488</v>
      </c>
      <c r="Z2067">
        <v>89778</v>
      </c>
    </row>
    <row r="2068" spans="1:26" x14ac:dyDescent="0.25">
      <c r="A2068" t="s">
        <v>2457</v>
      </c>
      <c r="B2068" t="s">
        <v>1993</v>
      </c>
      <c r="C2068" t="s">
        <v>28</v>
      </c>
      <c r="E2068" t="s">
        <v>149</v>
      </c>
      <c r="H2068" s="2">
        <v>45534.618020833332</v>
      </c>
      <c r="I2068" t="s">
        <v>1488</v>
      </c>
      <c r="Z2068">
        <v>89777</v>
      </c>
    </row>
    <row r="2069" spans="1:26" x14ac:dyDescent="0.25">
      <c r="A2069" t="s">
        <v>2458</v>
      </c>
      <c r="B2069" t="s">
        <v>27</v>
      </c>
      <c r="C2069" t="s">
        <v>28</v>
      </c>
      <c r="H2069" s="2">
        <v>45534.48605324074</v>
      </c>
      <c r="I2069" t="s">
        <v>1488</v>
      </c>
      <c r="Z2069">
        <v>89760</v>
      </c>
    </row>
    <row r="2070" spans="1:26" x14ac:dyDescent="0.25">
      <c r="A2070" t="s">
        <v>2459</v>
      </c>
      <c r="B2070" t="s">
        <v>1993</v>
      </c>
      <c r="C2070" t="s">
        <v>28</v>
      </c>
      <c r="E2070" t="s">
        <v>212</v>
      </c>
      <c r="H2070" s="2">
        <v>45534.457025462965</v>
      </c>
      <c r="I2070" t="s">
        <v>1488</v>
      </c>
      <c r="Z2070">
        <v>89756</v>
      </c>
    </row>
    <row r="2071" spans="1:26" x14ac:dyDescent="0.25">
      <c r="A2071" t="s">
        <v>2460</v>
      </c>
      <c r="B2071" t="s">
        <v>1403</v>
      </c>
      <c r="C2071" t="s">
        <v>28</v>
      </c>
      <c r="E2071" t="s">
        <v>1642</v>
      </c>
      <c r="G2071" t="s">
        <v>2461</v>
      </c>
      <c r="H2071" s="2">
        <v>45534.396180555559</v>
      </c>
      <c r="I2071" t="s">
        <v>54</v>
      </c>
      <c r="Z2071">
        <v>89740</v>
      </c>
    </row>
    <row r="2072" spans="1:26" x14ac:dyDescent="0.25">
      <c r="A2072" t="s">
        <v>2462</v>
      </c>
      <c r="B2072" t="s">
        <v>27</v>
      </c>
      <c r="C2072" t="s">
        <v>185</v>
      </c>
      <c r="H2072" s="2">
        <v>45534.389884259261</v>
      </c>
      <c r="I2072" t="s">
        <v>54</v>
      </c>
      <c r="Z2072">
        <v>89739</v>
      </c>
    </row>
    <row r="2073" spans="1:26" x14ac:dyDescent="0.25">
      <c r="A2073" t="s">
        <v>2463</v>
      </c>
      <c r="B2073" t="s">
        <v>74</v>
      </c>
      <c r="C2073" t="s">
        <v>28</v>
      </c>
      <c r="E2073" t="s">
        <v>1512</v>
      </c>
      <c r="G2073" t="s">
        <v>2464</v>
      </c>
      <c r="H2073" s="2">
        <v>45534.11346064815</v>
      </c>
      <c r="I2073" t="s">
        <v>556</v>
      </c>
      <c r="Z2073">
        <v>89736</v>
      </c>
    </row>
    <row r="2074" spans="1:26" x14ac:dyDescent="0.25">
      <c r="A2074" t="s">
        <v>2465</v>
      </c>
      <c r="B2074" t="s">
        <v>27</v>
      </c>
      <c r="C2074" t="s">
        <v>28</v>
      </c>
      <c r="H2074" s="2">
        <v>45533.775717592594</v>
      </c>
      <c r="I2074" t="s">
        <v>54</v>
      </c>
      <c r="Z2074">
        <v>89730</v>
      </c>
    </row>
    <row r="2075" spans="1:26" x14ac:dyDescent="0.25">
      <c r="A2075" t="s">
        <v>2466</v>
      </c>
      <c r="B2075" t="s">
        <v>27</v>
      </c>
      <c r="C2075" t="s">
        <v>28</v>
      </c>
      <c r="H2075" s="2">
        <v>45533.518993055557</v>
      </c>
      <c r="I2075" t="s">
        <v>1488</v>
      </c>
      <c r="Z2075">
        <v>89698</v>
      </c>
    </row>
    <row r="2076" spans="1:26" x14ac:dyDescent="0.25">
      <c r="A2076" t="s">
        <v>2467</v>
      </c>
      <c r="B2076" t="s">
        <v>27</v>
      </c>
      <c r="C2076" t="s">
        <v>28</v>
      </c>
      <c r="H2076" s="2">
        <v>45533.435162037036</v>
      </c>
      <c r="I2076" t="s">
        <v>1488</v>
      </c>
      <c r="Z2076">
        <v>89685</v>
      </c>
    </row>
    <row r="2077" spans="1:26" x14ac:dyDescent="0.25">
      <c r="A2077" t="s">
        <v>2468</v>
      </c>
      <c r="B2077" t="s">
        <v>27</v>
      </c>
      <c r="C2077" t="s">
        <v>28</v>
      </c>
      <c r="E2077" t="s">
        <v>385</v>
      </c>
      <c r="H2077" s="2">
        <v>45532.603796296295</v>
      </c>
      <c r="I2077" t="s">
        <v>1488</v>
      </c>
      <c r="Z2077">
        <v>89647</v>
      </c>
    </row>
    <row r="2078" spans="1:26" x14ac:dyDescent="0.25">
      <c r="A2078" t="s">
        <v>2469</v>
      </c>
      <c r="B2078" t="s">
        <v>27</v>
      </c>
      <c r="C2078" t="s">
        <v>28</v>
      </c>
      <c r="H2078" s="2">
        <v>45532.47347222222</v>
      </c>
      <c r="I2078" t="s">
        <v>556</v>
      </c>
      <c r="Z2078">
        <v>89630</v>
      </c>
    </row>
    <row r="2079" spans="1:26" x14ac:dyDescent="0.25">
      <c r="A2079" t="s">
        <v>2470</v>
      </c>
      <c r="B2079" t="s">
        <v>27</v>
      </c>
      <c r="C2079" t="s">
        <v>28</v>
      </c>
      <c r="H2079" s="2">
        <v>45532.464861111112</v>
      </c>
      <c r="I2079" t="s">
        <v>54</v>
      </c>
      <c r="Z2079">
        <v>89629</v>
      </c>
    </row>
    <row r="2080" spans="1:26" x14ac:dyDescent="0.25">
      <c r="A2080" t="s">
        <v>2471</v>
      </c>
      <c r="C2080" t="s">
        <v>28</v>
      </c>
      <c r="E2080" t="s">
        <v>186</v>
      </c>
      <c r="H2080" s="2">
        <v>45532.4372337963</v>
      </c>
      <c r="I2080" t="s">
        <v>556</v>
      </c>
      <c r="Z2080">
        <v>89623</v>
      </c>
    </row>
    <row r="2081" spans="1:26" x14ac:dyDescent="0.25">
      <c r="A2081" t="s">
        <v>2472</v>
      </c>
      <c r="B2081" t="s">
        <v>27</v>
      </c>
      <c r="C2081" t="s">
        <v>28</v>
      </c>
      <c r="H2081" s="2">
        <v>45532.431273148148</v>
      </c>
      <c r="I2081" t="s">
        <v>54</v>
      </c>
      <c r="Z2081">
        <v>89622</v>
      </c>
    </row>
    <row r="2082" spans="1:26" x14ac:dyDescent="0.25">
      <c r="A2082" t="s">
        <v>2473</v>
      </c>
      <c r="B2082" t="s">
        <v>27</v>
      </c>
      <c r="C2082" t="s">
        <v>75</v>
      </c>
      <c r="H2082" s="2">
        <v>45532.382789351854</v>
      </c>
      <c r="I2082" t="s">
        <v>54</v>
      </c>
      <c r="Z2082">
        <v>89616</v>
      </c>
    </row>
    <row r="2083" spans="1:26" x14ac:dyDescent="0.25">
      <c r="A2083" t="s">
        <v>2474</v>
      </c>
      <c r="B2083" t="s">
        <v>27</v>
      </c>
      <c r="C2083" t="s">
        <v>28</v>
      </c>
      <c r="H2083" s="2">
        <v>45531.765914351854</v>
      </c>
      <c r="I2083" t="s">
        <v>54</v>
      </c>
      <c r="Z2083">
        <v>89606</v>
      </c>
    </row>
    <row r="2084" spans="1:26" x14ac:dyDescent="0.25">
      <c r="A2084" t="s">
        <v>2475</v>
      </c>
      <c r="B2084" t="s">
        <v>27</v>
      </c>
      <c r="C2084" t="s">
        <v>28</v>
      </c>
      <c r="H2084" s="2">
        <v>45531.70416666667</v>
      </c>
      <c r="I2084" t="s">
        <v>556</v>
      </c>
      <c r="Z2084">
        <v>89597</v>
      </c>
    </row>
    <row r="2085" spans="1:26" x14ac:dyDescent="0.25">
      <c r="A2085" t="s">
        <v>2476</v>
      </c>
      <c r="B2085" t="s">
        <v>27</v>
      </c>
      <c r="C2085" t="s">
        <v>28</v>
      </c>
      <c r="H2085" s="2">
        <v>45531.663148148145</v>
      </c>
      <c r="I2085" t="s">
        <v>1488</v>
      </c>
      <c r="Z2085">
        <v>89591</v>
      </c>
    </row>
    <row r="2086" spans="1:26" x14ac:dyDescent="0.25">
      <c r="A2086" t="s">
        <v>2477</v>
      </c>
      <c r="B2086" t="s">
        <v>27</v>
      </c>
      <c r="C2086" t="s">
        <v>28</v>
      </c>
      <c r="H2086" s="2">
        <v>45531.493518518517</v>
      </c>
      <c r="I2086" t="s">
        <v>556</v>
      </c>
      <c r="Z2086">
        <v>89561</v>
      </c>
    </row>
    <row r="2087" spans="1:26" x14ac:dyDescent="0.25">
      <c r="A2087" t="s">
        <v>2478</v>
      </c>
      <c r="B2087" t="s">
        <v>27</v>
      </c>
      <c r="C2087" t="s">
        <v>28</v>
      </c>
      <c r="H2087" s="2">
        <v>45531.439652777779</v>
      </c>
      <c r="I2087" t="s">
        <v>556</v>
      </c>
      <c r="Z2087">
        <v>89551</v>
      </c>
    </row>
    <row r="2088" spans="1:26" x14ac:dyDescent="0.25">
      <c r="A2088" t="s">
        <v>2479</v>
      </c>
      <c r="B2088" t="s">
        <v>27</v>
      </c>
      <c r="C2088" t="s">
        <v>28</v>
      </c>
      <c r="H2088" s="2">
        <v>45530.721342592595</v>
      </c>
      <c r="I2088" t="s">
        <v>54</v>
      </c>
      <c r="Z2088">
        <v>89519</v>
      </c>
    </row>
    <row r="2089" spans="1:26" x14ac:dyDescent="0.25">
      <c r="A2089" t="s">
        <v>2480</v>
      </c>
      <c r="B2089" t="s">
        <v>27</v>
      </c>
      <c r="C2089" t="s">
        <v>28</v>
      </c>
      <c r="E2089" t="s">
        <v>2480</v>
      </c>
      <c r="H2089" s="2">
        <v>45530.598356481481</v>
      </c>
      <c r="I2089" t="s">
        <v>1488</v>
      </c>
      <c r="Z2089">
        <v>89491</v>
      </c>
    </row>
    <row r="2090" spans="1:26" x14ac:dyDescent="0.25">
      <c r="A2090" t="s">
        <v>2481</v>
      </c>
      <c r="B2090" t="s">
        <v>27</v>
      </c>
      <c r="C2090" t="s">
        <v>28</v>
      </c>
      <c r="H2090" s="2">
        <v>45530.521874999999</v>
      </c>
      <c r="I2090" t="s">
        <v>1488</v>
      </c>
      <c r="Z2090">
        <v>89472</v>
      </c>
    </row>
    <row r="2091" spans="1:26" x14ac:dyDescent="0.25">
      <c r="A2091" t="s">
        <v>2482</v>
      </c>
      <c r="B2091" t="s">
        <v>27</v>
      </c>
      <c r="C2091" t="s">
        <v>28</v>
      </c>
      <c r="H2091" s="2">
        <v>45530.442766203705</v>
      </c>
      <c r="I2091" t="s">
        <v>1488</v>
      </c>
      <c r="Z2091">
        <v>89455</v>
      </c>
    </row>
    <row r="2092" spans="1:26" x14ac:dyDescent="0.25">
      <c r="A2092" t="s">
        <v>2483</v>
      </c>
      <c r="B2092" t="s">
        <v>27</v>
      </c>
      <c r="C2092" t="s">
        <v>28</v>
      </c>
      <c r="H2092" s="2">
        <v>45530.404166666667</v>
      </c>
      <c r="I2092" t="s">
        <v>54</v>
      </c>
      <c r="Z2092">
        <v>89445</v>
      </c>
    </row>
    <row r="2093" spans="1:26" x14ac:dyDescent="0.25">
      <c r="A2093" t="s">
        <v>2484</v>
      </c>
      <c r="B2093" t="s">
        <v>1993</v>
      </c>
      <c r="C2093" t="s">
        <v>28</v>
      </c>
      <c r="E2093" t="s">
        <v>156</v>
      </c>
      <c r="H2093" s="2">
        <v>45528.428113425929</v>
      </c>
      <c r="I2093" t="s">
        <v>54</v>
      </c>
      <c r="Z2093">
        <v>89396</v>
      </c>
    </row>
    <row r="2094" spans="1:26" x14ac:dyDescent="0.25">
      <c r="A2094" t="s">
        <v>2485</v>
      </c>
      <c r="B2094" t="s">
        <v>27</v>
      </c>
      <c r="C2094" t="s">
        <v>28</v>
      </c>
      <c r="H2094" s="2">
        <v>45528.389363425929</v>
      </c>
      <c r="I2094" t="s">
        <v>556</v>
      </c>
      <c r="Z2094">
        <v>89394</v>
      </c>
    </row>
    <row r="2095" spans="1:26" x14ac:dyDescent="0.25">
      <c r="A2095" t="s">
        <v>2486</v>
      </c>
      <c r="B2095" t="s">
        <v>27</v>
      </c>
      <c r="C2095" t="s">
        <v>28</v>
      </c>
      <c r="H2095" s="2">
        <v>45526.637430555558</v>
      </c>
      <c r="I2095" t="s">
        <v>2001</v>
      </c>
      <c r="Z2095">
        <v>89296</v>
      </c>
    </row>
    <row r="2096" spans="1:26" x14ac:dyDescent="0.25">
      <c r="A2096" t="s">
        <v>2487</v>
      </c>
      <c r="B2096" t="s">
        <v>27</v>
      </c>
      <c r="C2096" t="s">
        <v>28</v>
      </c>
      <c r="H2096" s="2">
        <v>45526.490324074075</v>
      </c>
      <c r="I2096" t="s">
        <v>556</v>
      </c>
      <c r="Z2096">
        <v>89270</v>
      </c>
    </row>
    <row r="2097" spans="1:26" x14ac:dyDescent="0.25">
      <c r="A2097" t="s">
        <v>1478</v>
      </c>
      <c r="B2097" t="s">
        <v>27</v>
      </c>
      <c r="C2097" t="s">
        <v>28</v>
      </c>
      <c r="H2097" s="2">
        <v>45526.470462962963</v>
      </c>
      <c r="I2097" t="s">
        <v>31</v>
      </c>
      <c r="Z2097">
        <v>89267</v>
      </c>
    </row>
    <row r="2098" spans="1:26" x14ac:dyDescent="0.25">
      <c r="A2098" t="s">
        <v>2488</v>
      </c>
      <c r="B2098" t="s">
        <v>27</v>
      </c>
      <c r="C2098" t="s">
        <v>28</v>
      </c>
      <c r="H2098" s="2">
        <v>45526.453310185185</v>
      </c>
      <c r="I2098" t="s">
        <v>2113</v>
      </c>
      <c r="Z2098">
        <v>89262</v>
      </c>
    </row>
    <row r="2099" spans="1:26" x14ac:dyDescent="0.25">
      <c r="A2099" t="s">
        <v>2489</v>
      </c>
      <c r="B2099" t="s">
        <v>1993</v>
      </c>
      <c r="C2099" t="s">
        <v>28</v>
      </c>
      <c r="E2099" t="s">
        <v>72</v>
      </c>
      <c r="H2099" s="2">
        <v>45526.437673611108</v>
      </c>
      <c r="I2099" t="s">
        <v>556</v>
      </c>
      <c r="Z2099">
        <v>89257</v>
      </c>
    </row>
    <row r="2100" spans="1:26" x14ac:dyDescent="0.25">
      <c r="A2100" t="s">
        <v>2490</v>
      </c>
      <c r="B2100" t="s">
        <v>1993</v>
      </c>
      <c r="C2100" t="s">
        <v>333</v>
      </c>
      <c r="E2100" t="s">
        <v>1357</v>
      </c>
      <c r="G2100" t="s">
        <v>1358</v>
      </c>
      <c r="H2100" s="2">
        <v>45525.678495370368</v>
      </c>
      <c r="I2100" t="s">
        <v>2148</v>
      </c>
      <c r="Z2100">
        <v>89225</v>
      </c>
    </row>
    <row r="2101" spans="1:26" x14ac:dyDescent="0.25">
      <c r="A2101" t="s">
        <v>2491</v>
      </c>
      <c r="B2101" t="s">
        <v>27</v>
      </c>
      <c r="C2101" t="s">
        <v>28</v>
      </c>
      <c r="H2101" s="2">
        <v>45525.6252662037</v>
      </c>
      <c r="I2101" t="s">
        <v>1488</v>
      </c>
      <c r="Z2101">
        <v>89221</v>
      </c>
    </row>
    <row r="2102" spans="1:26" x14ac:dyDescent="0.25">
      <c r="A2102" t="s">
        <v>2492</v>
      </c>
      <c r="B2102" t="s">
        <v>1708</v>
      </c>
      <c r="C2102" t="s">
        <v>28</v>
      </c>
      <c r="E2102" t="s">
        <v>272</v>
      </c>
      <c r="H2102" s="2">
        <v>45525.618530092594</v>
      </c>
      <c r="I2102" t="s">
        <v>31</v>
      </c>
      <c r="Z2102">
        <v>89220</v>
      </c>
    </row>
    <row r="2103" spans="1:26" x14ac:dyDescent="0.25">
      <c r="A2103" t="s">
        <v>2493</v>
      </c>
      <c r="B2103" t="s">
        <v>1993</v>
      </c>
      <c r="C2103" t="s">
        <v>28</v>
      </c>
      <c r="E2103" t="s">
        <v>2494</v>
      </c>
      <c r="H2103" s="2">
        <v>45524.81417824074</v>
      </c>
      <c r="I2103" t="s">
        <v>1488</v>
      </c>
      <c r="Z2103">
        <v>89171</v>
      </c>
    </row>
    <row r="2104" spans="1:26" x14ac:dyDescent="0.25">
      <c r="A2104" t="s">
        <v>2495</v>
      </c>
      <c r="B2104" t="s">
        <v>27</v>
      </c>
      <c r="C2104" t="s">
        <v>28</v>
      </c>
      <c r="H2104" s="2">
        <v>45524.708194444444</v>
      </c>
      <c r="I2104" t="s">
        <v>2113</v>
      </c>
      <c r="Z2104">
        <v>89156</v>
      </c>
    </row>
    <row r="2105" spans="1:26" x14ac:dyDescent="0.25">
      <c r="A2105" t="s">
        <v>2496</v>
      </c>
      <c r="B2105" t="s">
        <v>27</v>
      </c>
      <c r="C2105" t="s">
        <v>28</v>
      </c>
      <c r="H2105" s="2">
        <v>45524.606712962966</v>
      </c>
      <c r="I2105" t="s">
        <v>1488</v>
      </c>
      <c r="Z2105">
        <v>89137</v>
      </c>
    </row>
    <row r="2106" spans="1:26" x14ac:dyDescent="0.25">
      <c r="A2106" t="s">
        <v>1220</v>
      </c>
      <c r="B2106" t="s">
        <v>1403</v>
      </c>
      <c r="C2106" t="s">
        <v>28</v>
      </c>
      <c r="E2106" t="s">
        <v>59</v>
      </c>
      <c r="G2106" t="s">
        <v>2497</v>
      </c>
      <c r="H2106" s="2">
        <v>45524.390370370369</v>
      </c>
      <c r="I2106" t="s">
        <v>31</v>
      </c>
      <c r="K2106" t="s">
        <v>34</v>
      </c>
      <c r="L2106" t="s">
        <v>35</v>
      </c>
      <c r="M2106">
        <v>104108031</v>
      </c>
      <c r="N2106">
        <v>15719003139</v>
      </c>
      <c r="O2106" t="s">
        <v>461</v>
      </c>
      <c r="Z2106">
        <v>89089</v>
      </c>
    </row>
    <row r="2107" spans="1:26" x14ac:dyDescent="0.25">
      <c r="A2107" t="s">
        <v>2498</v>
      </c>
      <c r="B2107" t="s">
        <v>27</v>
      </c>
      <c r="C2107" t="s">
        <v>28</v>
      </c>
      <c r="H2107" s="2">
        <v>45524.246840277781</v>
      </c>
      <c r="I2107" t="s">
        <v>2148</v>
      </c>
      <c r="Z2107">
        <v>89083</v>
      </c>
    </row>
    <row r="2108" spans="1:26" x14ac:dyDescent="0.25">
      <c r="A2108" t="s">
        <v>2499</v>
      </c>
      <c r="B2108" t="s">
        <v>1708</v>
      </c>
      <c r="C2108" t="s">
        <v>28</v>
      </c>
      <c r="E2108" t="s">
        <v>1759</v>
      </c>
      <c r="H2108" s="2">
        <v>45523.732002314813</v>
      </c>
      <c r="I2108" t="s">
        <v>31</v>
      </c>
      <c r="Z2108">
        <v>89068</v>
      </c>
    </row>
    <row r="2109" spans="1:26" x14ac:dyDescent="0.25">
      <c r="A2109" t="s">
        <v>2500</v>
      </c>
      <c r="B2109" t="s">
        <v>27</v>
      </c>
      <c r="C2109" t="s">
        <v>28</v>
      </c>
      <c r="H2109" s="2">
        <v>45523.546597222223</v>
      </c>
      <c r="I2109" t="s">
        <v>556</v>
      </c>
      <c r="Z2109">
        <v>89036</v>
      </c>
    </row>
    <row r="2110" spans="1:26" x14ac:dyDescent="0.25">
      <c r="A2110" t="s">
        <v>2501</v>
      </c>
      <c r="B2110" t="s">
        <v>27</v>
      </c>
      <c r="C2110" t="s">
        <v>28</v>
      </c>
      <c r="H2110" s="2">
        <v>45523.539976851855</v>
      </c>
      <c r="I2110" t="s">
        <v>1488</v>
      </c>
      <c r="Z2110">
        <v>89035</v>
      </c>
    </row>
    <row r="2111" spans="1:26" x14ac:dyDescent="0.25">
      <c r="A2111" t="s">
        <v>2502</v>
      </c>
      <c r="B2111" t="s">
        <v>27</v>
      </c>
      <c r="C2111" t="s">
        <v>28</v>
      </c>
      <c r="E2111" t="s">
        <v>2503</v>
      </c>
      <c r="G2111" t="s">
        <v>2504</v>
      </c>
      <c r="H2111" s="2">
        <v>45523.379629629628</v>
      </c>
      <c r="I2111" t="s">
        <v>2001</v>
      </c>
      <c r="Z2111">
        <v>89000</v>
      </c>
    </row>
    <row r="2112" spans="1:26" x14ac:dyDescent="0.25">
      <c r="A2112" t="s">
        <v>2505</v>
      </c>
      <c r="B2112" t="s">
        <v>1708</v>
      </c>
      <c r="C2112" t="s">
        <v>28</v>
      </c>
      <c r="E2112" t="s">
        <v>198</v>
      </c>
      <c r="H2112" s="2">
        <v>45522.692280092589</v>
      </c>
      <c r="I2112" t="s">
        <v>1488</v>
      </c>
      <c r="K2112" t="s">
        <v>34</v>
      </c>
      <c r="L2112" t="s">
        <v>35</v>
      </c>
      <c r="M2112">
        <v>55887089</v>
      </c>
      <c r="N2112">
        <v>9754619174</v>
      </c>
      <c r="O2112" t="s">
        <v>461</v>
      </c>
      <c r="Z2112">
        <v>88987</v>
      </c>
    </row>
    <row r="2113" spans="1:26" x14ac:dyDescent="0.25">
      <c r="A2113" t="s">
        <v>2506</v>
      </c>
      <c r="B2113" t="s">
        <v>27</v>
      </c>
      <c r="C2113" t="s">
        <v>28</v>
      </c>
      <c r="H2113" s="2">
        <v>45520.752233796295</v>
      </c>
      <c r="I2113" t="s">
        <v>31</v>
      </c>
      <c r="Z2113">
        <v>88950</v>
      </c>
    </row>
    <row r="2114" spans="1:26" x14ac:dyDescent="0.25">
      <c r="A2114" t="s">
        <v>2507</v>
      </c>
      <c r="B2114" t="s">
        <v>27</v>
      </c>
      <c r="C2114" t="s">
        <v>28</v>
      </c>
      <c r="H2114" s="2">
        <v>45520.684467592589</v>
      </c>
      <c r="I2114" t="s">
        <v>556</v>
      </c>
      <c r="Z2114">
        <v>88933</v>
      </c>
    </row>
    <row r="2115" spans="1:26" x14ac:dyDescent="0.25">
      <c r="A2115" t="s">
        <v>2508</v>
      </c>
      <c r="B2115" t="s">
        <v>1403</v>
      </c>
      <c r="C2115" t="s">
        <v>28</v>
      </c>
      <c r="E2115" t="s">
        <v>232</v>
      </c>
      <c r="H2115" s="2">
        <v>45520.64502314815</v>
      </c>
      <c r="I2115" t="s">
        <v>1488</v>
      </c>
      <c r="Z2115">
        <v>88930</v>
      </c>
    </row>
    <row r="2116" spans="1:26" x14ac:dyDescent="0.25">
      <c r="A2116" t="s">
        <v>2509</v>
      </c>
      <c r="B2116" t="s">
        <v>27</v>
      </c>
      <c r="C2116" t="s">
        <v>28</v>
      </c>
      <c r="H2116" s="2">
        <v>45519.646539351852</v>
      </c>
      <c r="I2116" t="s">
        <v>31</v>
      </c>
      <c r="Z2116">
        <v>88876</v>
      </c>
    </row>
    <row r="2117" spans="1:26" x14ac:dyDescent="0.25">
      <c r="A2117" t="s">
        <v>2510</v>
      </c>
      <c r="B2117" t="s">
        <v>27</v>
      </c>
      <c r="C2117" t="s">
        <v>28</v>
      </c>
      <c r="H2117" s="2">
        <v>45519.482893518521</v>
      </c>
      <c r="I2117" t="s">
        <v>556</v>
      </c>
      <c r="Z2117">
        <v>88854</v>
      </c>
    </row>
    <row r="2118" spans="1:26" x14ac:dyDescent="0.25">
      <c r="A2118" t="s">
        <v>2511</v>
      </c>
      <c r="B2118" t="s">
        <v>27</v>
      </c>
      <c r="C2118" t="s">
        <v>28</v>
      </c>
      <c r="H2118" s="2">
        <v>45519.385821759257</v>
      </c>
      <c r="I2118" t="s">
        <v>1488</v>
      </c>
      <c r="Z2118">
        <v>88840</v>
      </c>
    </row>
    <row r="2119" spans="1:26" x14ac:dyDescent="0.25">
      <c r="A2119" t="s">
        <v>1793</v>
      </c>
      <c r="B2119" t="s">
        <v>27</v>
      </c>
      <c r="C2119" t="s">
        <v>28</v>
      </c>
      <c r="H2119" s="2">
        <v>45518.639791666668</v>
      </c>
      <c r="I2119" t="s">
        <v>31</v>
      </c>
      <c r="Z2119">
        <v>88825</v>
      </c>
    </row>
    <row r="2120" spans="1:26" x14ac:dyDescent="0.25">
      <c r="A2120" t="s">
        <v>2512</v>
      </c>
      <c r="B2120" t="s">
        <v>27</v>
      </c>
      <c r="C2120" t="s">
        <v>28</v>
      </c>
      <c r="H2120" s="2">
        <v>45518.49800925926</v>
      </c>
      <c r="I2120" t="s">
        <v>1488</v>
      </c>
      <c r="Z2120">
        <v>88812</v>
      </c>
    </row>
    <row r="2121" spans="1:26" x14ac:dyDescent="0.25">
      <c r="A2121" t="s">
        <v>2513</v>
      </c>
      <c r="B2121" t="s">
        <v>27</v>
      </c>
      <c r="C2121" t="s">
        <v>28</v>
      </c>
      <c r="H2121" s="2">
        <v>45517.744895833333</v>
      </c>
      <c r="I2121" t="s">
        <v>556</v>
      </c>
      <c r="Z2121">
        <v>88785</v>
      </c>
    </row>
    <row r="2122" spans="1:26" x14ac:dyDescent="0.25">
      <c r="A2122" t="s">
        <v>2514</v>
      </c>
      <c r="B2122" t="s">
        <v>27</v>
      </c>
      <c r="C2122" t="s">
        <v>28</v>
      </c>
      <c r="H2122" s="2">
        <v>45517.65697916667</v>
      </c>
      <c r="I2122" t="s">
        <v>1488</v>
      </c>
      <c r="Z2122">
        <v>88773</v>
      </c>
    </row>
    <row r="2123" spans="1:26" x14ac:dyDescent="0.25">
      <c r="A2123" t="s">
        <v>2515</v>
      </c>
      <c r="B2123" t="s">
        <v>27</v>
      </c>
      <c r="C2123" t="s">
        <v>28</v>
      </c>
      <c r="H2123" s="2">
        <v>45517.624479166669</v>
      </c>
      <c r="I2123" t="s">
        <v>556</v>
      </c>
      <c r="Z2123">
        <v>88771</v>
      </c>
    </row>
    <row r="2124" spans="1:26" x14ac:dyDescent="0.25">
      <c r="A2124" t="s">
        <v>2516</v>
      </c>
      <c r="B2124" t="s">
        <v>27</v>
      </c>
      <c r="C2124" t="s">
        <v>28</v>
      </c>
      <c r="H2124" s="2">
        <v>45517.588310185187</v>
      </c>
      <c r="I2124" t="s">
        <v>556</v>
      </c>
      <c r="Z2124">
        <v>88767</v>
      </c>
    </row>
    <row r="2125" spans="1:26" x14ac:dyDescent="0.25">
      <c r="A2125" t="s">
        <v>2517</v>
      </c>
      <c r="B2125" t="s">
        <v>27</v>
      </c>
      <c r="C2125" t="s">
        <v>28</v>
      </c>
      <c r="H2125" s="2">
        <v>45517.553298611114</v>
      </c>
      <c r="I2125" t="s">
        <v>1488</v>
      </c>
      <c r="Z2125">
        <v>88763</v>
      </c>
    </row>
    <row r="2126" spans="1:26" x14ac:dyDescent="0.25">
      <c r="A2126" t="s">
        <v>1692</v>
      </c>
      <c r="B2126" t="s">
        <v>27</v>
      </c>
      <c r="C2126" t="s">
        <v>28</v>
      </c>
      <c r="H2126" s="2">
        <v>45517.544189814813</v>
      </c>
      <c r="I2126" t="s">
        <v>556</v>
      </c>
      <c r="Z2126">
        <v>88761</v>
      </c>
    </row>
    <row r="2127" spans="1:26" x14ac:dyDescent="0.25">
      <c r="A2127" t="s">
        <v>1745</v>
      </c>
      <c r="B2127" t="s">
        <v>27</v>
      </c>
      <c r="C2127" t="s">
        <v>28</v>
      </c>
      <c r="H2127" s="2">
        <v>45517.494062500002</v>
      </c>
      <c r="I2127" t="s">
        <v>556</v>
      </c>
      <c r="Z2127">
        <v>88755</v>
      </c>
    </row>
    <row r="2128" spans="1:26" x14ac:dyDescent="0.25">
      <c r="A2128" t="s">
        <v>2518</v>
      </c>
      <c r="B2128" t="s">
        <v>27</v>
      </c>
      <c r="C2128" t="s">
        <v>28</v>
      </c>
      <c r="H2128" s="2">
        <v>45517.438715277778</v>
      </c>
      <c r="I2128" t="s">
        <v>2001</v>
      </c>
      <c r="Z2128">
        <v>88743</v>
      </c>
    </row>
    <row r="2129" spans="1:26" x14ac:dyDescent="0.25">
      <c r="A2129" t="s">
        <v>1793</v>
      </c>
      <c r="B2129" t="s">
        <v>27</v>
      </c>
      <c r="C2129" t="s">
        <v>28</v>
      </c>
      <c r="H2129" s="2">
        <v>45517.393125000002</v>
      </c>
      <c r="I2129" t="s">
        <v>2113</v>
      </c>
      <c r="Z2129">
        <v>88739</v>
      </c>
    </row>
    <row r="2130" spans="1:26" x14ac:dyDescent="0.25">
      <c r="A2130" t="s">
        <v>2519</v>
      </c>
      <c r="B2130" t="s">
        <v>27</v>
      </c>
      <c r="C2130" t="s">
        <v>28</v>
      </c>
      <c r="H2130" s="2">
        <v>45517.383206018516</v>
      </c>
      <c r="I2130" t="s">
        <v>2113</v>
      </c>
      <c r="Z2130">
        <v>88737</v>
      </c>
    </row>
    <row r="2131" spans="1:26" x14ac:dyDescent="0.25">
      <c r="A2131" t="s">
        <v>2520</v>
      </c>
      <c r="B2131" t="s">
        <v>27</v>
      </c>
      <c r="C2131" t="s">
        <v>28</v>
      </c>
      <c r="E2131" t="s">
        <v>955</v>
      </c>
      <c r="G2131" t="s">
        <v>626</v>
      </c>
      <c r="H2131" s="2">
        <v>45516.732002314813</v>
      </c>
      <c r="I2131" t="s">
        <v>1488</v>
      </c>
      <c r="Z2131">
        <v>88725</v>
      </c>
    </row>
    <row r="2132" spans="1:26" x14ac:dyDescent="0.25">
      <c r="A2132" t="s">
        <v>2521</v>
      </c>
      <c r="B2132" t="s">
        <v>306</v>
      </c>
      <c r="C2132" t="s">
        <v>28</v>
      </c>
      <c r="E2132" t="s">
        <v>2138</v>
      </c>
      <c r="H2132" s="2">
        <v>45516.564768518518</v>
      </c>
      <c r="I2132" t="s">
        <v>31</v>
      </c>
      <c r="K2132" t="s">
        <v>34</v>
      </c>
      <c r="L2132" t="s">
        <v>35</v>
      </c>
      <c r="M2132">
        <v>67175279</v>
      </c>
      <c r="N2132">
        <v>11954064477</v>
      </c>
      <c r="O2132" t="s">
        <v>461</v>
      </c>
      <c r="Z2132">
        <v>88699</v>
      </c>
    </row>
    <row r="2133" spans="1:26" x14ac:dyDescent="0.25">
      <c r="A2133" t="s">
        <v>2522</v>
      </c>
      <c r="B2133" t="s">
        <v>27</v>
      </c>
      <c r="C2133" t="s">
        <v>28</v>
      </c>
      <c r="H2133" s="2">
        <v>45516.40284722222</v>
      </c>
      <c r="I2133" t="s">
        <v>556</v>
      </c>
      <c r="Z2133">
        <v>88671</v>
      </c>
    </row>
    <row r="2134" spans="1:26" x14ac:dyDescent="0.25">
      <c r="A2134" t="s">
        <v>2523</v>
      </c>
      <c r="B2134" t="s">
        <v>27</v>
      </c>
      <c r="C2134" t="s">
        <v>28</v>
      </c>
      <c r="H2134" s="2">
        <v>45515.663414351853</v>
      </c>
      <c r="I2134" t="s">
        <v>556</v>
      </c>
      <c r="Z2134">
        <v>88655</v>
      </c>
    </row>
    <row r="2135" spans="1:26" x14ac:dyDescent="0.25">
      <c r="A2135" t="s">
        <v>1220</v>
      </c>
      <c r="B2135" t="s">
        <v>74</v>
      </c>
      <c r="C2135" t="s">
        <v>28</v>
      </c>
      <c r="E2135" t="s">
        <v>72</v>
      </c>
      <c r="G2135" t="s">
        <v>2058</v>
      </c>
      <c r="H2135" s="2">
        <v>45515.485520833332</v>
      </c>
      <c r="I2135" t="s">
        <v>31</v>
      </c>
      <c r="Z2135">
        <v>88649</v>
      </c>
    </row>
    <row r="2136" spans="1:26" x14ac:dyDescent="0.25">
      <c r="A2136" t="s">
        <v>2524</v>
      </c>
      <c r="B2136" t="s">
        <v>1403</v>
      </c>
      <c r="C2136" t="s">
        <v>28</v>
      </c>
      <c r="E2136" t="s">
        <v>2525</v>
      </c>
      <c r="H2136" s="2">
        <v>45514.506631944445</v>
      </c>
      <c r="I2136" t="s">
        <v>556</v>
      </c>
      <c r="Z2136">
        <v>88630</v>
      </c>
    </row>
    <row r="2137" spans="1:26" x14ac:dyDescent="0.25">
      <c r="A2137" t="s">
        <v>2526</v>
      </c>
      <c r="B2137" t="s">
        <v>27</v>
      </c>
      <c r="C2137" t="s">
        <v>28</v>
      </c>
      <c r="H2137" s="2">
        <v>45514.433599537035</v>
      </c>
      <c r="I2137" t="s">
        <v>1488</v>
      </c>
      <c r="Z2137">
        <v>88628</v>
      </c>
    </row>
    <row r="2138" spans="1:26" x14ac:dyDescent="0.25">
      <c r="A2138" t="s">
        <v>2527</v>
      </c>
      <c r="B2138" t="s">
        <v>27</v>
      </c>
      <c r="C2138" t="s">
        <v>28</v>
      </c>
      <c r="H2138" s="2">
        <v>45513.728958333333</v>
      </c>
      <c r="I2138" t="s">
        <v>556</v>
      </c>
      <c r="Z2138">
        <v>88624</v>
      </c>
    </row>
    <row r="2139" spans="1:26" x14ac:dyDescent="0.25">
      <c r="A2139" t="s">
        <v>2528</v>
      </c>
      <c r="B2139" t="s">
        <v>1403</v>
      </c>
      <c r="C2139" t="s">
        <v>28</v>
      </c>
      <c r="E2139" t="s">
        <v>2267</v>
      </c>
      <c r="G2139" t="s">
        <v>2529</v>
      </c>
      <c r="H2139" s="2">
        <v>45513.66983796296</v>
      </c>
      <c r="I2139" t="s">
        <v>556</v>
      </c>
      <c r="Z2139">
        <v>88617</v>
      </c>
    </row>
    <row r="2140" spans="1:26" x14ac:dyDescent="0.25">
      <c r="A2140" t="s">
        <v>2530</v>
      </c>
      <c r="B2140" t="s">
        <v>27</v>
      </c>
      <c r="C2140" t="s">
        <v>28</v>
      </c>
      <c r="H2140" s="2">
        <v>45513.616446759261</v>
      </c>
      <c r="I2140" t="s">
        <v>556</v>
      </c>
      <c r="Z2140">
        <v>88612</v>
      </c>
    </row>
    <row r="2141" spans="1:26" x14ac:dyDescent="0.25">
      <c r="A2141" t="s">
        <v>2531</v>
      </c>
      <c r="B2141" t="s">
        <v>27</v>
      </c>
      <c r="C2141" t="s">
        <v>28</v>
      </c>
      <c r="H2141" s="2">
        <v>45513.567037037035</v>
      </c>
      <c r="I2141" t="s">
        <v>2148</v>
      </c>
      <c r="Z2141">
        <v>88608</v>
      </c>
    </row>
    <row r="2142" spans="1:26" x14ac:dyDescent="0.25">
      <c r="A2142" t="s">
        <v>2532</v>
      </c>
      <c r="B2142" t="s">
        <v>27</v>
      </c>
      <c r="C2142" t="s">
        <v>28</v>
      </c>
      <c r="H2142" s="2">
        <v>45513.562372685185</v>
      </c>
      <c r="I2142" t="s">
        <v>556</v>
      </c>
      <c r="Z2142">
        <v>88607</v>
      </c>
    </row>
    <row r="2143" spans="1:26" x14ac:dyDescent="0.25">
      <c r="A2143" t="s">
        <v>2533</v>
      </c>
      <c r="B2143" t="s">
        <v>27</v>
      </c>
      <c r="C2143" t="s">
        <v>28</v>
      </c>
      <c r="H2143" s="2">
        <v>45512.537847222222</v>
      </c>
      <c r="I2143" t="s">
        <v>556</v>
      </c>
      <c r="Z2143">
        <v>88565</v>
      </c>
    </row>
    <row r="2144" spans="1:26" x14ac:dyDescent="0.25">
      <c r="A2144" t="s">
        <v>2534</v>
      </c>
      <c r="B2144" t="s">
        <v>27</v>
      </c>
      <c r="C2144" t="s">
        <v>28</v>
      </c>
      <c r="H2144" s="2">
        <v>45512.485289351855</v>
      </c>
      <c r="I2144" t="s">
        <v>31</v>
      </c>
      <c r="Z2144">
        <v>88555</v>
      </c>
    </row>
    <row r="2145" spans="1:26" x14ac:dyDescent="0.25">
      <c r="A2145" t="s">
        <v>2535</v>
      </c>
      <c r="B2145" t="s">
        <v>27</v>
      </c>
      <c r="C2145" t="s">
        <v>28</v>
      </c>
      <c r="H2145" s="2">
        <v>45512.476331018515</v>
      </c>
      <c r="I2145" t="s">
        <v>1488</v>
      </c>
      <c r="Z2145">
        <v>88554</v>
      </c>
    </row>
    <row r="2146" spans="1:26" x14ac:dyDescent="0.25">
      <c r="A2146" t="s">
        <v>2536</v>
      </c>
      <c r="B2146" t="s">
        <v>27</v>
      </c>
      <c r="C2146" t="s">
        <v>28</v>
      </c>
      <c r="H2146" s="2">
        <v>45511.724236111113</v>
      </c>
      <c r="I2146" t="s">
        <v>31</v>
      </c>
      <c r="Z2146">
        <v>88534</v>
      </c>
    </row>
    <row r="2147" spans="1:26" x14ac:dyDescent="0.25">
      <c r="A2147" t="s">
        <v>2537</v>
      </c>
      <c r="B2147" t="s">
        <v>74</v>
      </c>
      <c r="C2147" t="s">
        <v>28</v>
      </c>
      <c r="E2147" t="s">
        <v>385</v>
      </c>
      <c r="G2147" t="s">
        <v>2538</v>
      </c>
      <c r="H2147" s="2">
        <v>45511.668668981481</v>
      </c>
      <c r="I2147" t="s">
        <v>31</v>
      </c>
      <c r="Z2147">
        <v>88521</v>
      </c>
    </row>
    <row r="2148" spans="1:26" x14ac:dyDescent="0.25">
      <c r="A2148" t="s">
        <v>2539</v>
      </c>
      <c r="B2148" t="s">
        <v>1708</v>
      </c>
      <c r="C2148" t="s">
        <v>28</v>
      </c>
      <c r="E2148" t="s">
        <v>2540</v>
      </c>
      <c r="H2148" s="2">
        <v>45511.38554398148</v>
      </c>
      <c r="I2148" t="s">
        <v>1488</v>
      </c>
      <c r="Z2148">
        <v>88477</v>
      </c>
    </row>
    <row r="2149" spans="1:26" x14ac:dyDescent="0.25">
      <c r="A2149" t="s">
        <v>2541</v>
      </c>
      <c r="B2149" t="s">
        <v>27</v>
      </c>
      <c r="C2149" t="s">
        <v>28</v>
      </c>
      <c r="H2149" s="2">
        <v>45510.601712962962</v>
      </c>
      <c r="I2149" t="s">
        <v>2001</v>
      </c>
      <c r="Z2149">
        <v>88443</v>
      </c>
    </row>
    <row r="2150" spans="1:26" x14ac:dyDescent="0.25">
      <c r="A2150" t="s">
        <v>2542</v>
      </c>
      <c r="B2150" t="s">
        <v>27</v>
      </c>
      <c r="C2150" t="s">
        <v>28</v>
      </c>
      <c r="H2150" s="2">
        <v>45510.525300925925</v>
      </c>
      <c r="I2150" t="s">
        <v>2001</v>
      </c>
      <c r="Z2150">
        <v>88436</v>
      </c>
    </row>
    <row r="2151" spans="1:26" x14ac:dyDescent="0.25">
      <c r="A2151" t="s">
        <v>1220</v>
      </c>
      <c r="B2151" t="s">
        <v>1708</v>
      </c>
      <c r="C2151" t="s">
        <v>28</v>
      </c>
      <c r="E2151" t="s">
        <v>2543</v>
      </c>
      <c r="G2151">
        <v>4</v>
      </c>
      <c r="H2151" s="2">
        <v>45510.520949074074</v>
      </c>
      <c r="I2151" t="s">
        <v>1488</v>
      </c>
      <c r="Z2151">
        <v>88435</v>
      </c>
    </row>
    <row r="2152" spans="1:26" x14ac:dyDescent="0.25">
      <c r="A2152" t="s">
        <v>2544</v>
      </c>
      <c r="B2152" t="s">
        <v>74</v>
      </c>
      <c r="C2152" t="s">
        <v>28</v>
      </c>
      <c r="E2152" t="s">
        <v>146</v>
      </c>
      <c r="G2152" t="s">
        <v>2545</v>
      </c>
      <c r="H2152" s="2">
        <v>45510.511284722219</v>
      </c>
      <c r="I2152" t="s">
        <v>1488</v>
      </c>
      <c r="Z2152">
        <v>88430</v>
      </c>
    </row>
    <row r="2153" spans="1:26" x14ac:dyDescent="0.25">
      <c r="A2153" t="s">
        <v>2546</v>
      </c>
      <c r="B2153" t="s">
        <v>27</v>
      </c>
      <c r="C2153" t="s">
        <v>28</v>
      </c>
      <c r="H2153" s="2">
        <v>45510.435057870367</v>
      </c>
      <c r="I2153" t="s">
        <v>1488</v>
      </c>
      <c r="Z2153">
        <v>88420</v>
      </c>
    </row>
    <row r="2154" spans="1:26" x14ac:dyDescent="0.25">
      <c r="A2154" t="s">
        <v>2547</v>
      </c>
      <c r="B2154" t="s">
        <v>27</v>
      </c>
      <c r="C2154" t="s">
        <v>28</v>
      </c>
      <c r="H2154" s="2">
        <v>45509.754918981482</v>
      </c>
      <c r="I2154" t="s">
        <v>1488</v>
      </c>
      <c r="Z2154">
        <v>88402</v>
      </c>
    </row>
    <row r="2155" spans="1:26" x14ac:dyDescent="0.25">
      <c r="A2155" t="s">
        <v>2548</v>
      </c>
      <c r="B2155" t="s">
        <v>27</v>
      </c>
      <c r="C2155" t="s">
        <v>28</v>
      </c>
      <c r="H2155" s="2">
        <v>45509.735925925925</v>
      </c>
      <c r="I2155" t="s">
        <v>1488</v>
      </c>
      <c r="Z2155">
        <v>88400</v>
      </c>
    </row>
    <row r="2156" spans="1:26" x14ac:dyDescent="0.25">
      <c r="A2156" t="s">
        <v>2549</v>
      </c>
      <c r="B2156" t="s">
        <v>27</v>
      </c>
      <c r="C2156" t="s">
        <v>28</v>
      </c>
      <c r="H2156" s="2">
        <v>45509.530115740738</v>
      </c>
      <c r="I2156" t="s">
        <v>1488</v>
      </c>
      <c r="Z2156">
        <v>88365</v>
      </c>
    </row>
    <row r="2157" spans="1:26" x14ac:dyDescent="0.25">
      <c r="A2157" t="s">
        <v>2550</v>
      </c>
      <c r="B2157" t="s">
        <v>1403</v>
      </c>
      <c r="C2157" t="s">
        <v>28</v>
      </c>
      <c r="E2157" t="s">
        <v>2551</v>
      </c>
      <c r="H2157" s="2">
        <v>45509.527858796297</v>
      </c>
      <c r="I2157" t="s">
        <v>1488</v>
      </c>
      <c r="Z2157">
        <v>88364</v>
      </c>
    </row>
    <row r="2158" spans="1:26" x14ac:dyDescent="0.25">
      <c r="A2158" t="s">
        <v>2552</v>
      </c>
      <c r="B2158" t="s">
        <v>1403</v>
      </c>
      <c r="C2158" t="s">
        <v>28</v>
      </c>
      <c r="E2158" t="s">
        <v>2553</v>
      </c>
      <c r="H2158" s="2">
        <v>45509.506655092591</v>
      </c>
      <c r="I2158" t="s">
        <v>1488</v>
      </c>
      <c r="Z2158">
        <v>88359</v>
      </c>
    </row>
    <row r="2159" spans="1:26" x14ac:dyDescent="0.25">
      <c r="A2159" t="s">
        <v>2554</v>
      </c>
      <c r="C2159" t="s">
        <v>28</v>
      </c>
      <c r="E2159" t="s">
        <v>427</v>
      </c>
      <c r="H2159" s="2">
        <v>45507.489745370367</v>
      </c>
      <c r="I2159" t="s">
        <v>2113</v>
      </c>
      <c r="Z2159">
        <v>88307</v>
      </c>
    </row>
    <row r="2160" spans="1:26" x14ac:dyDescent="0.25">
      <c r="A2160" t="s">
        <v>2555</v>
      </c>
      <c r="B2160" t="s">
        <v>1403</v>
      </c>
      <c r="C2160" t="s">
        <v>28</v>
      </c>
      <c r="E2160" t="s">
        <v>2551</v>
      </c>
      <c r="H2160" s="2">
        <v>45506.837719907409</v>
      </c>
      <c r="I2160" t="s">
        <v>556</v>
      </c>
      <c r="Z2160">
        <v>88298</v>
      </c>
    </row>
    <row r="2161" spans="1:26" x14ac:dyDescent="0.25">
      <c r="A2161" t="s">
        <v>2556</v>
      </c>
      <c r="B2161" t="s">
        <v>27</v>
      </c>
      <c r="C2161" t="s">
        <v>28</v>
      </c>
      <c r="H2161" s="2">
        <v>45506.742326388892</v>
      </c>
      <c r="I2161" t="s">
        <v>556</v>
      </c>
      <c r="Z2161">
        <v>88294</v>
      </c>
    </row>
    <row r="2162" spans="1:26" x14ac:dyDescent="0.25">
      <c r="A2162" t="s">
        <v>2557</v>
      </c>
      <c r="B2162" t="s">
        <v>27</v>
      </c>
      <c r="C2162" t="s">
        <v>28</v>
      </c>
      <c r="H2162" s="2">
        <v>45506.551006944443</v>
      </c>
      <c r="I2162" t="s">
        <v>54</v>
      </c>
      <c r="Z2162">
        <v>88271</v>
      </c>
    </row>
    <row r="2163" spans="1:26" x14ac:dyDescent="0.25">
      <c r="A2163" t="s">
        <v>2558</v>
      </c>
      <c r="B2163" t="s">
        <v>27</v>
      </c>
      <c r="C2163" t="s">
        <v>28</v>
      </c>
      <c r="H2163" s="2">
        <v>45506.421817129631</v>
      </c>
      <c r="I2163" t="s">
        <v>1488</v>
      </c>
      <c r="Z2163">
        <v>88249</v>
      </c>
    </row>
    <row r="2164" spans="1:26" x14ac:dyDescent="0.25">
      <c r="A2164" t="s">
        <v>2559</v>
      </c>
      <c r="B2164" t="s">
        <v>27</v>
      </c>
      <c r="C2164" t="s">
        <v>28</v>
      </c>
      <c r="H2164" s="2">
        <v>45506.410451388889</v>
      </c>
      <c r="I2164" t="s">
        <v>1488</v>
      </c>
      <c r="Z2164">
        <v>88247</v>
      </c>
    </row>
    <row r="2165" spans="1:26" x14ac:dyDescent="0.25">
      <c r="A2165" t="s">
        <v>2560</v>
      </c>
      <c r="B2165" t="s">
        <v>27</v>
      </c>
      <c r="C2165" t="s">
        <v>28</v>
      </c>
      <c r="H2165" s="2">
        <v>45506.401944444442</v>
      </c>
      <c r="I2165" t="s">
        <v>1488</v>
      </c>
      <c r="Z2165">
        <v>88245</v>
      </c>
    </row>
    <row r="2166" spans="1:26" x14ac:dyDescent="0.25">
      <c r="A2166" t="s">
        <v>2125</v>
      </c>
      <c r="B2166" t="s">
        <v>27</v>
      </c>
      <c r="C2166" t="s">
        <v>28</v>
      </c>
      <c r="H2166" s="2">
        <v>45506.372627314813</v>
      </c>
      <c r="I2166" t="s">
        <v>1488</v>
      </c>
      <c r="Z2166">
        <v>88243</v>
      </c>
    </row>
    <row r="2167" spans="1:26" x14ac:dyDescent="0.25">
      <c r="A2167" t="s">
        <v>2561</v>
      </c>
      <c r="B2167" t="s">
        <v>27</v>
      </c>
      <c r="C2167" t="s">
        <v>28</v>
      </c>
      <c r="H2167" s="2">
        <v>45505.657280092593</v>
      </c>
      <c r="I2167" t="s">
        <v>54</v>
      </c>
      <c r="Z2167">
        <v>88226</v>
      </c>
    </row>
    <row r="2168" spans="1:26" x14ac:dyDescent="0.25">
      <c r="A2168" t="s">
        <v>2562</v>
      </c>
      <c r="B2168" t="s">
        <v>27</v>
      </c>
      <c r="C2168" t="s">
        <v>28</v>
      </c>
      <c r="H2168" s="2">
        <v>45505.620891203704</v>
      </c>
      <c r="I2168" t="s">
        <v>54</v>
      </c>
      <c r="Z2168">
        <v>88218</v>
      </c>
    </row>
    <row r="2169" spans="1:26" x14ac:dyDescent="0.25">
      <c r="A2169" t="s">
        <v>2563</v>
      </c>
      <c r="B2169" t="s">
        <v>27</v>
      </c>
      <c r="C2169" t="s">
        <v>28</v>
      </c>
      <c r="H2169" s="2">
        <v>45505.578692129631</v>
      </c>
      <c r="I2169" t="s">
        <v>1488</v>
      </c>
      <c r="Z2169">
        <v>88214</v>
      </c>
    </row>
    <row r="2170" spans="1:26" x14ac:dyDescent="0.25">
      <c r="A2170" t="s">
        <v>2564</v>
      </c>
      <c r="B2170" t="s">
        <v>27</v>
      </c>
      <c r="C2170" t="s">
        <v>28</v>
      </c>
      <c r="H2170" s="2">
        <v>45505.504340277781</v>
      </c>
      <c r="I2170" t="s">
        <v>31</v>
      </c>
      <c r="Z2170">
        <v>88205</v>
      </c>
    </row>
    <row r="2171" spans="1:26" x14ac:dyDescent="0.25">
      <c r="A2171" t="s">
        <v>2565</v>
      </c>
      <c r="B2171" t="s">
        <v>27</v>
      </c>
      <c r="C2171" t="s">
        <v>28</v>
      </c>
      <c r="H2171" s="2">
        <v>45505.488657407404</v>
      </c>
      <c r="I2171" t="s">
        <v>1488</v>
      </c>
      <c r="Z2171">
        <v>88200</v>
      </c>
    </row>
    <row r="2172" spans="1:26" x14ac:dyDescent="0.25">
      <c r="A2172" t="s">
        <v>2566</v>
      </c>
      <c r="B2172" t="s">
        <v>27</v>
      </c>
      <c r="C2172" t="s">
        <v>28</v>
      </c>
      <c r="H2172" s="2">
        <v>45504.696770833332</v>
      </c>
      <c r="I2172" t="s">
        <v>2001</v>
      </c>
      <c r="Z2172">
        <v>88155</v>
      </c>
    </row>
    <row r="2173" spans="1:26" x14ac:dyDescent="0.25">
      <c r="A2173" t="s">
        <v>2567</v>
      </c>
      <c r="B2173" t="s">
        <v>27</v>
      </c>
      <c r="C2173" t="s">
        <v>28</v>
      </c>
      <c r="H2173" s="2">
        <v>45504.585729166669</v>
      </c>
      <c r="I2173" t="s">
        <v>1488</v>
      </c>
      <c r="Z2173">
        <v>88137</v>
      </c>
    </row>
    <row r="2174" spans="1:26" x14ac:dyDescent="0.25">
      <c r="A2174" t="s">
        <v>2568</v>
      </c>
      <c r="B2174" t="s">
        <v>27</v>
      </c>
      <c r="C2174" t="s">
        <v>28</v>
      </c>
      <c r="H2174" s="2">
        <v>45504.569432870368</v>
      </c>
      <c r="I2174" t="s">
        <v>1488</v>
      </c>
      <c r="Z2174">
        <v>88133</v>
      </c>
    </row>
    <row r="2175" spans="1:26" x14ac:dyDescent="0.25">
      <c r="A2175" t="s">
        <v>2569</v>
      </c>
      <c r="B2175" t="s">
        <v>27</v>
      </c>
      <c r="C2175" t="s">
        <v>28</v>
      </c>
      <c r="H2175" s="2">
        <v>45504.41196759259</v>
      </c>
      <c r="I2175" t="s">
        <v>1488</v>
      </c>
      <c r="Z2175">
        <v>88118</v>
      </c>
    </row>
    <row r="2176" spans="1:26" x14ac:dyDescent="0.25">
      <c r="A2176" t="s">
        <v>2570</v>
      </c>
      <c r="B2176" t="s">
        <v>27</v>
      </c>
      <c r="C2176" t="s">
        <v>28</v>
      </c>
      <c r="H2176" s="2">
        <v>45503.766701388886</v>
      </c>
      <c r="I2176" t="s">
        <v>1488</v>
      </c>
      <c r="Z2176">
        <v>88109</v>
      </c>
    </row>
    <row r="2177" spans="1:26" x14ac:dyDescent="0.25">
      <c r="A2177" t="s">
        <v>2571</v>
      </c>
      <c r="B2177" t="s">
        <v>27</v>
      </c>
      <c r="C2177" t="s">
        <v>28</v>
      </c>
      <c r="H2177" s="2">
        <v>45503.607893518521</v>
      </c>
      <c r="I2177" t="s">
        <v>1488</v>
      </c>
      <c r="Z2177">
        <v>88082</v>
      </c>
    </row>
    <row r="2178" spans="1:26" x14ac:dyDescent="0.25">
      <c r="A2178" t="s">
        <v>2572</v>
      </c>
      <c r="B2178" t="s">
        <v>1403</v>
      </c>
      <c r="C2178" t="s">
        <v>28</v>
      </c>
      <c r="E2178" t="s">
        <v>1406</v>
      </c>
      <c r="G2178" t="s">
        <v>2573</v>
      </c>
      <c r="H2178" s="2">
        <v>45503.516562500001</v>
      </c>
      <c r="I2178" t="s">
        <v>54</v>
      </c>
      <c r="Z2178">
        <v>88066</v>
      </c>
    </row>
    <row r="2179" spans="1:26" x14ac:dyDescent="0.25">
      <c r="A2179" t="s">
        <v>2574</v>
      </c>
      <c r="B2179" t="s">
        <v>27</v>
      </c>
      <c r="C2179" t="s">
        <v>28</v>
      </c>
      <c r="H2179" s="2">
        <v>45503.496817129628</v>
      </c>
      <c r="I2179" t="s">
        <v>1488</v>
      </c>
      <c r="Z2179">
        <v>88063</v>
      </c>
    </row>
    <row r="2180" spans="1:26" x14ac:dyDescent="0.25">
      <c r="A2180" t="s">
        <v>2575</v>
      </c>
      <c r="B2180" t="s">
        <v>27</v>
      </c>
      <c r="C2180" t="s">
        <v>28</v>
      </c>
      <c r="H2180" s="2">
        <v>45503.436203703706</v>
      </c>
      <c r="I2180" t="s">
        <v>54</v>
      </c>
      <c r="Z2180">
        <v>88057</v>
      </c>
    </row>
    <row r="2181" spans="1:26" x14ac:dyDescent="0.25">
      <c r="A2181" t="s">
        <v>2576</v>
      </c>
      <c r="B2181" t="s">
        <v>27</v>
      </c>
      <c r="C2181" t="s">
        <v>28</v>
      </c>
      <c r="H2181" s="2">
        <v>45503.435289351852</v>
      </c>
      <c r="I2181" t="s">
        <v>2001</v>
      </c>
      <c r="Z2181">
        <v>88056</v>
      </c>
    </row>
    <row r="2182" spans="1:26" x14ac:dyDescent="0.25">
      <c r="A2182" t="s">
        <v>2577</v>
      </c>
      <c r="B2182" t="s">
        <v>1708</v>
      </c>
      <c r="C2182" t="s">
        <v>28</v>
      </c>
      <c r="E2182" t="s">
        <v>278</v>
      </c>
      <c r="H2182" s="2">
        <v>45502.759386574071</v>
      </c>
      <c r="I2182" t="s">
        <v>1488</v>
      </c>
      <c r="Z2182">
        <v>88037</v>
      </c>
    </row>
    <row r="2183" spans="1:26" x14ac:dyDescent="0.25">
      <c r="A2183" t="s">
        <v>2578</v>
      </c>
      <c r="B2183" t="s">
        <v>27</v>
      </c>
      <c r="C2183" t="s">
        <v>28</v>
      </c>
      <c r="H2183" s="2">
        <v>45502.686354166668</v>
      </c>
      <c r="I2183" t="s">
        <v>54</v>
      </c>
      <c r="Z2183">
        <v>88024</v>
      </c>
    </row>
    <row r="2184" spans="1:26" x14ac:dyDescent="0.25">
      <c r="A2184" t="s">
        <v>2579</v>
      </c>
      <c r="B2184" t="s">
        <v>27</v>
      </c>
      <c r="C2184" t="s">
        <v>28</v>
      </c>
      <c r="H2184" s="2">
        <v>45502.683113425926</v>
      </c>
      <c r="I2184" t="s">
        <v>54</v>
      </c>
      <c r="Z2184">
        <v>88023</v>
      </c>
    </row>
    <row r="2185" spans="1:26" x14ac:dyDescent="0.25">
      <c r="A2185" t="s">
        <v>2580</v>
      </c>
      <c r="C2185" t="s">
        <v>28</v>
      </c>
      <c r="E2185" t="s">
        <v>61</v>
      </c>
      <c r="H2185" s="2">
        <v>45502.600995370369</v>
      </c>
      <c r="I2185" t="s">
        <v>1488</v>
      </c>
      <c r="Z2185">
        <v>88015</v>
      </c>
    </row>
    <row r="2186" spans="1:26" x14ac:dyDescent="0.25">
      <c r="A2186" t="s">
        <v>2581</v>
      </c>
      <c r="B2186" t="s">
        <v>27</v>
      </c>
      <c r="C2186" t="s">
        <v>28</v>
      </c>
      <c r="H2186" s="2">
        <v>45502.557118055556</v>
      </c>
      <c r="I2186" t="s">
        <v>54</v>
      </c>
      <c r="Z2186">
        <v>88008</v>
      </c>
    </row>
    <row r="2187" spans="1:26" x14ac:dyDescent="0.25">
      <c r="A2187" t="s">
        <v>2582</v>
      </c>
      <c r="B2187" t="s">
        <v>27</v>
      </c>
      <c r="C2187" t="s">
        <v>28</v>
      </c>
      <c r="H2187" s="2">
        <v>45502.525277777779</v>
      </c>
      <c r="I2187" t="s">
        <v>1488</v>
      </c>
      <c r="Z2187">
        <v>88004</v>
      </c>
    </row>
    <row r="2188" spans="1:26" x14ac:dyDescent="0.25">
      <c r="A2188" t="s">
        <v>2583</v>
      </c>
      <c r="C2188" t="s">
        <v>28</v>
      </c>
      <c r="E2188" t="s">
        <v>232</v>
      </c>
      <c r="H2188" s="2">
        <v>45499.581273148149</v>
      </c>
      <c r="I2188" t="s">
        <v>1488</v>
      </c>
      <c r="Z2188">
        <v>87904</v>
      </c>
    </row>
    <row r="2189" spans="1:26" x14ac:dyDescent="0.25">
      <c r="A2189" t="s">
        <v>2584</v>
      </c>
      <c r="B2189" t="s">
        <v>27</v>
      </c>
      <c r="C2189" t="s">
        <v>28</v>
      </c>
      <c r="H2189" s="2">
        <v>45498.801585648151</v>
      </c>
      <c r="I2189" t="s">
        <v>54</v>
      </c>
      <c r="Z2189">
        <v>87878</v>
      </c>
    </row>
    <row r="2190" spans="1:26" x14ac:dyDescent="0.25">
      <c r="A2190" t="s">
        <v>2585</v>
      </c>
      <c r="B2190" t="s">
        <v>27</v>
      </c>
      <c r="C2190" t="s">
        <v>28</v>
      </c>
      <c r="H2190" s="2">
        <v>45498.748611111114</v>
      </c>
      <c r="I2190" t="s">
        <v>1488</v>
      </c>
      <c r="Z2190">
        <v>87875</v>
      </c>
    </row>
    <row r="2191" spans="1:26" x14ac:dyDescent="0.25">
      <c r="A2191" t="s">
        <v>2586</v>
      </c>
      <c r="B2191" t="s">
        <v>27</v>
      </c>
      <c r="C2191" t="s">
        <v>28</v>
      </c>
      <c r="H2191" s="2">
        <v>45498.484085648146</v>
      </c>
      <c r="I2191" t="s">
        <v>1488</v>
      </c>
      <c r="Z2191">
        <v>87850</v>
      </c>
    </row>
    <row r="2192" spans="1:26" x14ac:dyDescent="0.25">
      <c r="A2192" t="s">
        <v>2587</v>
      </c>
      <c r="B2192" t="s">
        <v>27</v>
      </c>
      <c r="C2192" t="s">
        <v>28</v>
      </c>
      <c r="H2192" s="2">
        <v>45497.676527777781</v>
      </c>
      <c r="I2192" t="s">
        <v>1488</v>
      </c>
      <c r="Z2192">
        <v>87818</v>
      </c>
    </row>
    <row r="2193" spans="1:26" x14ac:dyDescent="0.25">
      <c r="A2193" t="s">
        <v>238</v>
      </c>
      <c r="B2193" t="s">
        <v>27</v>
      </c>
      <c r="C2193" t="s">
        <v>28</v>
      </c>
      <c r="H2193" s="2">
        <v>45497.582071759258</v>
      </c>
      <c r="I2193" t="s">
        <v>54</v>
      </c>
      <c r="Z2193">
        <v>87804</v>
      </c>
    </row>
    <row r="2194" spans="1:26" x14ac:dyDescent="0.25">
      <c r="A2194" t="s">
        <v>2588</v>
      </c>
      <c r="B2194" t="s">
        <v>27</v>
      </c>
      <c r="C2194" t="s">
        <v>28</v>
      </c>
      <c r="H2194" s="2">
        <v>45497.54583333333</v>
      </c>
      <c r="I2194" t="s">
        <v>54</v>
      </c>
      <c r="Z2194">
        <v>87799</v>
      </c>
    </row>
    <row r="2195" spans="1:26" x14ac:dyDescent="0.25">
      <c r="A2195" t="s">
        <v>2589</v>
      </c>
      <c r="B2195" t="s">
        <v>1403</v>
      </c>
      <c r="C2195" t="s">
        <v>28</v>
      </c>
      <c r="E2195" t="s">
        <v>2590</v>
      </c>
      <c r="H2195" s="2">
        <v>45497.514513888891</v>
      </c>
      <c r="I2195" t="s">
        <v>1488</v>
      </c>
      <c r="Z2195">
        <v>87793</v>
      </c>
    </row>
    <row r="2196" spans="1:26" x14ac:dyDescent="0.25">
      <c r="A2196" t="s">
        <v>2591</v>
      </c>
      <c r="B2196" t="s">
        <v>27</v>
      </c>
      <c r="C2196" t="s">
        <v>28</v>
      </c>
      <c r="H2196" s="2">
        <v>45497.454618055555</v>
      </c>
      <c r="I2196" t="s">
        <v>54</v>
      </c>
      <c r="Z2196">
        <v>87784</v>
      </c>
    </row>
    <row r="2197" spans="1:26" x14ac:dyDescent="0.25">
      <c r="A2197" t="s">
        <v>2592</v>
      </c>
      <c r="B2197" t="s">
        <v>27</v>
      </c>
      <c r="C2197" t="s">
        <v>28</v>
      </c>
      <c r="H2197" s="2">
        <v>45496.649861111109</v>
      </c>
      <c r="I2197" t="s">
        <v>1488</v>
      </c>
      <c r="Z2197">
        <v>87750</v>
      </c>
    </row>
    <row r="2198" spans="1:26" x14ac:dyDescent="0.25">
      <c r="A2198" t="s">
        <v>2593</v>
      </c>
      <c r="B2198" t="s">
        <v>27</v>
      </c>
      <c r="C2198" t="s">
        <v>28</v>
      </c>
      <c r="E2198" t="s">
        <v>1229</v>
      </c>
      <c r="H2198" s="2">
        <v>45496.609027777777</v>
      </c>
      <c r="I2198" t="s">
        <v>1488</v>
      </c>
      <c r="Z2198">
        <v>87745</v>
      </c>
    </row>
    <row r="2199" spans="1:26" x14ac:dyDescent="0.25">
      <c r="A2199" t="s">
        <v>2594</v>
      </c>
      <c r="B2199" t="s">
        <v>27</v>
      </c>
      <c r="C2199" t="s">
        <v>28</v>
      </c>
      <c r="H2199" s="2">
        <v>45496.532418981478</v>
      </c>
      <c r="I2199" t="s">
        <v>1488</v>
      </c>
      <c r="Z2199">
        <v>87732</v>
      </c>
    </row>
    <row r="2200" spans="1:26" x14ac:dyDescent="0.25">
      <c r="A2200" t="s">
        <v>2595</v>
      </c>
      <c r="B2200" t="s">
        <v>27</v>
      </c>
      <c r="C2200" t="s">
        <v>28</v>
      </c>
      <c r="H2200" s="2">
        <v>45496.423541666663</v>
      </c>
      <c r="I2200" t="s">
        <v>2001</v>
      </c>
      <c r="Z2200">
        <v>87720</v>
      </c>
    </row>
    <row r="2201" spans="1:26" x14ac:dyDescent="0.25">
      <c r="A2201" t="s">
        <v>2596</v>
      </c>
      <c r="C2201" t="s">
        <v>28</v>
      </c>
      <c r="E2201" t="s">
        <v>146</v>
      </c>
      <c r="H2201" s="2">
        <v>45495.662268518521</v>
      </c>
      <c r="I2201" t="s">
        <v>1488</v>
      </c>
      <c r="Z2201">
        <v>87693</v>
      </c>
    </row>
    <row r="2202" spans="1:26" x14ac:dyDescent="0.25">
      <c r="A2202" t="s">
        <v>2597</v>
      </c>
      <c r="B2202" t="s">
        <v>27</v>
      </c>
      <c r="C2202" t="s">
        <v>28</v>
      </c>
      <c r="H2202" s="2">
        <v>45495.637430555558</v>
      </c>
      <c r="I2202" t="s">
        <v>1488</v>
      </c>
      <c r="Z2202">
        <v>87689</v>
      </c>
    </row>
    <row r="2203" spans="1:26" x14ac:dyDescent="0.25">
      <c r="A2203" t="s">
        <v>2598</v>
      </c>
      <c r="B2203" t="s">
        <v>27</v>
      </c>
      <c r="C2203" t="s">
        <v>28</v>
      </c>
      <c r="H2203" s="2">
        <v>45495.616226851853</v>
      </c>
      <c r="I2203" t="s">
        <v>54</v>
      </c>
      <c r="Z2203">
        <v>87687</v>
      </c>
    </row>
    <row r="2204" spans="1:26" x14ac:dyDescent="0.25">
      <c r="A2204" t="s">
        <v>2599</v>
      </c>
      <c r="B2204" t="s">
        <v>27</v>
      </c>
      <c r="C2204" t="s">
        <v>28</v>
      </c>
      <c r="H2204" s="2">
        <v>45495.543553240743</v>
      </c>
      <c r="I2204" t="s">
        <v>1488</v>
      </c>
      <c r="Z2204">
        <v>87675</v>
      </c>
    </row>
    <row r="2205" spans="1:26" x14ac:dyDescent="0.25">
      <c r="A2205" t="s">
        <v>2600</v>
      </c>
      <c r="B2205" t="s">
        <v>27</v>
      </c>
      <c r="C2205" t="s">
        <v>28</v>
      </c>
      <c r="H2205" s="2">
        <v>45495.49858796296</v>
      </c>
      <c r="I2205" t="s">
        <v>1488</v>
      </c>
      <c r="Z2205">
        <v>87670</v>
      </c>
    </row>
    <row r="2206" spans="1:26" x14ac:dyDescent="0.25">
      <c r="A2206" t="s">
        <v>2601</v>
      </c>
      <c r="B2206" t="s">
        <v>27</v>
      </c>
      <c r="C2206" t="s">
        <v>28</v>
      </c>
      <c r="H2206" s="2">
        <v>45494.655381944445</v>
      </c>
      <c r="I2206" t="s">
        <v>1488</v>
      </c>
      <c r="Z2206">
        <v>87645</v>
      </c>
    </row>
    <row r="2207" spans="1:26" x14ac:dyDescent="0.25">
      <c r="A2207" t="s">
        <v>2602</v>
      </c>
      <c r="B2207" t="s">
        <v>27</v>
      </c>
      <c r="C2207" t="s">
        <v>28</v>
      </c>
      <c r="H2207" s="2">
        <v>45493.787118055552</v>
      </c>
      <c r="I2207" t="s">
        <v>54</v>
      </c>
      <c r="Z2207">
        <v>87636</v>
      </c>
    </row>
    <row r="2208" spans="1:26" x14ac:dyDescent="0.25">
      <c r="A2208" t="s">
        <v>2603</v>
      </c>
      <c r="B2208" t="s">
        <v>1708</v>
      </c>
      <c r="C2208" t="s">
        <v>28</v>
      </c>
      <c r="E2208" t="s">
        <v>2111</v>
      </c>
      <c r="G2208" t="s">
        <v>2604</v>
      </c>
      <c r="H2208" s="2">
        <v>45493.502615740741</v>
      </c>
      <c r="I2208" t="s">
        <v>1488</v>
      </c>
      <c r="Z2208">
        <v>87627</v>
      </c>
    </row>
    <row r="2209" spans="1:26" x14ac:dyDescent="0.25">
      <c r="A2209" t="s">
        <v>2605</v>
      </c>
      <c r="B2209" t="s">
        <v>27</v>
      </c>
      <c r="C2209" t="s">
        <v>28</v>
      </c>
      <c r="H2209" s="2">
        <v>45492.61509259259</v>
      </c>
      <c r="I2209" t="s">
        <v>1488</v>
      </c>
      <c r="Z2209">
        <v>87590</v>
      </c>
    </row>
    <row r="2210" spans="1:26" x14ac:dyDescent="0.25">
      <c r="A2210" t="s">
        <v>2606</v>
      </c>
      <c r="C2210" t="s">
        <v>28</v>
      </c>
      <c r="E2210" t="s">
        <v>458</v>
      </c>
      <c r="H2210" s="2">
        <v>45491.821759259263</v>
      </c>
      <c r="I2210" t="s">
        <v>54</v>
      </c>
      <c r="Z2210">
        <v>87556</v>
      </c>
    </row>
    <row r="2211" spans="1:26" x14ac:dyDescent="0.25">
      <c r="A2211" t="s">
        <v>2607</v>
      </c>
      <c r="B2211" t="s">
        <v>27</v>
      </c>
      <c r="C2211" t="s">
        <v>28</v>
      </c>
      <c r="H2211" s="2">
        <v>45491.670092592591</v>
      </c>
      <c r="I2211" t="s">
        <v>1488</v>
      </c>
      <c r="Z2211">
        <v>87543</v>
      </c>
    </row>
    <row r="2212" spans="1:26" x14ac:dyDescent="0.25">
      <c r="A2212" t="s">
        <v>2608</v>
      </c>
      <c r="B2212" t="s">
        <v>27</v>
      </c>
      <c r="C2212" t="s">
        <v>28</v>
      </c>
      <c r="H2212" s="2">
        <v>45491.652453703704</v>
      </c>
      <c r="I2212" t="s">
        <v>54</v>
      </c>
      <c r="Z2212">
        <v>87542</v>
      </c>
    </row>
    <row r="2213" spans="1:26" x14ac:dyDescent="0.25">
      <c r="A2213" t="s">
        <v>2609</v>
      </c>
      <c r="B2213" t="s">
        <v>27</v>
      </c>
      <c r="C2213" t="s">
        <v>28</v>
      </c>
      <c r="H2213" s="2">
        <v>45491.462500000001</v>
      </c>
      <c r="I2213" t="s">
        <v>54</v>
      </c>
      <c r="Z2213">
        <v>87518</v>
      </c>
    </row>
    <row r="2214" spans="1:26" x14ac:dyDescent="0.25">
      <c r="A2214" t="s">
        <v>2610</v>
      </c>
      <c r="B2214" t="s">
        <v>27</v>
      </c>
      <c r="C2214" t="s">
        <v>28</v>
      </c>
      <c r="H2214" s="2">
        <v>45490.744398148148</v>
      </c>
      <c r="I2214" t="s">
        <v>1488</v>
      </c>
      <c r="Z2214">
        <v>87501</v>
      </c>
    </row>
    <row r="2215" spans="1:26" x14ac:dyDescent="0.25">
      <c r="A2215" t="s">
        <v>2611</v>
      </c>
      <c r="B2215" t="s">
        <v>27</v>
      </c>
      <c r="C2215" t="s">
        <v>28</v>
      </c>
      <c r="H2215" s="2">
        <v>45490.58489583333</v>
      </c>
      <c r="I2215" t="s">
        <v>1488</v>
      </c>
      <c r="Z2215">
        <v>87466</v>
      </c>
    </row>
    <row r="2216" spans="1:26" x14ac:dyDescent="0.25">
      <c r="A2216" t="s">
        <v>2612</v>
      </c>
      <c r="B2216" t="s">
        <v>1708</v>
      </c>
      <c r="C2216" t="s">
        <v>28</v>
      </c>
      <c r="E2216" t="s">
        <v>1320</v>
      </c>
      <c r="H2216" s="2">
        <v>45490.349629629629</v>
      </c>
      <c r="I2216" t="s">
        <v>1488</v>
      </c>
      <c r="Z2216">
        <v>87442</v>
      </c>
    </row>
    <row r="2217" spans="1:26" x14ac:dyDescent="0.25">
      <c r="A2217" t="s">
        <v>2613</v>
      </c>
      <c r="B2217" t="s">
        <v>1403</v>
      </c>
      <c r="C2217" t="s">
        <v>28</v>
      </c>
      <c r="E2217" t="s">
        <v>2614</v>
      </c>
      <c r="G2217" t="s">
        <v>2615</v>
      </c>
      <c r="H2217" s="2">
        <v>45490.347974537035</v>
      </c>
      <c r="I2217" t="s">
        <v>31</v>
      </c>
      <c r="Z2217">
        <v>87441</v>
      </c>
    </row>
    <row r="2218" spans="1:26" x14ac:dyDescent="0.25">
      <c r="A2218" t="s">
        <v>1220</v>
      </c>
      <c r="B2218" t="s">
        <v>1708</v>
      </c>
      <c r="C2218" t="s">
        <v>28</v>
      </c>
      <c r="E2218" t="s">
        <v>2045</v>
      </c>
      <c r="H2218" s="2">
        <v>45489.807002314818</v>
      </c>
      <c r="I2218" t="s">
        <v>1488</v>
      </c>
      <c r="Z2218">
        <v>87436</v>
      </c>
    </row>
    <row r="2219" spans="1:26" x14ac:dyDescent="0.25">
      <c r="A2219" t="s">
        <v>2616</v>
      </c>
      <c r="B2219" t="s">
        <v>27</v>
      </c>
      <c r="C2219" t="s">
        <v>28</v>
      </c>
      <c r="H2219" s="2">
        <v>45489.79142361111</v>
      </c>
      <c r="I2219" t="s">
        <v>1488</v>
      </c>
      <c r="Z2219">
        <v>87432</v>
      </c>
    </row>
    <row r="2220" spans="1:26" x14ac:dyDescent="0.25">
      <c r="A2220" t="s">
        <v>2617</v>
      </c>
      <c r="B2220" t="s">
        <v>27</v>
      </c>
      <c r="C2220" t="s">
        <v>28</v>
      </c>
      <c r="H2220" s="2">
        <v>45489.531307870369</v>
      </c>
      <c r="I2220" t="s">
        <v>54</v>
      </c>
      <c r="Z2220">
        <v>87398</v>
      </c>
    </row>
    <row r="2221" spans="1:26" x14ac:dyDescent="0.25">
      <c r="A2221" t="s">
        <v>1692</v>
      </c>
      <c r="B2221" t="s">
        <v>27</v>
      </c>
      <c r="C2221" t="s">
        <v>28</v>
      </c>
      <c r="H2221" s="2">
        <v>45489.508622685185</v>
      </c>
      <c r="I2221" t="s">
        <v>1488</v>
      </c>
      <c r="Z2221">
        <v>87395</v>
      </c>
    </row>
    <row r="2222" spans="1:26" x14ac:dyDescent="0.25">
      <c r="A2222" t="s">
        <v>2618</v>
      </c>
      <c r="B2222" t="s">
        <v>27</v>
      </c>
      <c r="C2222" t="s">
        <v>28</v>
      </c>
      <c r="H2222" s="2">
        <v>45489.502847222226</v>
      </c>
      <c r="I2222" t="s">
        <v>54</v>
      </c>
      <c r="Z2222">
        <v>87393</v>
      </c>
    </row>
    <row r="2223" spans="1:26" x14ac:dyDescent="0.25">
      <c r="A2223" t="s">
        <v>2619</v>
      </c>
      <c r="B2223" t="s">
        <v>1403</v>
      </c>
      <c r="C2223" t="s">
        <v>28</v>
      </c>
      <c r="E2223" t="s">
        <v>272</v>
      </c>
      <c r="H2223" s="2">
        <v>45488.735173611109</v>
      </c>
      <c r="I2223" t="s">
        <v>1488</v>
      </c>
      <c r="Z2223">
        <v>87362</v>
      </c>
    </row>
    <row r="2224" spans="1:26" x14ac:dyDescent="0.25">
      <c r="A2224" t="s">
        <v>2620</v>
      </c>
      <c r="B2224" t="s">
        <v>27</v>
      </c>
      <c r="C2224" t="s">
        <v>28</v>
      </c>
      <c r="H2224" s="2">
        <v>45488.702488425923</v>
      </c>
      <c r="I2224" t="s">
        <v>556</v>
      </c>
      <c r="Z2224">
        <v>87358</v>
      </c>
    </row>
    <row r="2225" spans="1:26" x14ac:dyDescent="0.25">
      <c r="A2225" t="s">
        <v>2621</v>
      </c>
      <c r="B2225" t="s">
        <v>27</v>
      </c>
      <c r="C2225" t="s">
        <v>28</v>
      </c>
      <c r="H2225" s="2">
        <v>45488.696689814817</v>
      </c>
      <c r="I2225" t="s">
        <v>1488</v>
      </c>
      <c r="Z2225">
        <v>87357</v>
      </c>
    </row>
    <row r="2226" spans="1:26" x14ac:dyDescent="0.25">
      <c r="A2226" t="s">
        <v>2622</v>
      </c>
      <c r="B2226" t="s">
        <v>27</v>
      </c>
      <c r="C2226" t="s">
        <v>28</v>
      </c>
      <c r="H2226" s="2">
        <v>45488.446886574071</v>
      </c>
      <c r="I2226" t="s">
        <v>1488</v>
      </c>
      <c r="Z2226">
        <v>87314</v>
      </c>
    </row>
    <row r="2227" spans="1:26" x14ac:dyDescent="0.25">
      <c r="A2227" t="s">
        <v>2623</v>
      </c>
      <c r="B2227" t="s">
        <v>27</v>
      </c>
      <c r="C2227" t="s">
        <v>28</v>
      </c>
      <c r="H2227" s="2">
        <v>45488.426886574074</v>
      </c>
      <c r="I2227" t="s">
        <v>1488</v>
      </c>
      <c r="Z2227">
        <v>87305</v>
      </c>
    </row>
    <row r="2228" spans="1:26" x14ac:dyDescent="0.25">
      <c r="A2228" t="s">
        <v>2624</v>
      </c>
      <c r="B2228" t="s">
        <v>27</v>
      </c>
      <c r="C2228" t="s">
        <v>28</v>
      </c>
      <c r="H2228" s="2">
        <v>45488.376504629632</v>
      </c>
      <c r="I2228" t="s">
        <v>556</v>
      </c>
      <c r="Z2228">
        <v>87298</v>
      </c>
    </row>
    <row r="2229" spans="1:26" x14ac:dyDescent="0.25">
      <c r="A2229" t="s">
        <v>2625</v>
      </c>
      <c r="B2229" t="s">
        <v>1403</v>
      </c>
      <c r="C2229" t="s">
        <v>28</v>
      </c>
      <c r="E2229" t="s">
        <v>2269</v>
      </c>
      <c r="G2229" t="s">
        <v>2626</v>
      </c>
      <c r="H2229" s="2">
        <v>45487.965624999997</v>
      </c>
      <c r="I2229" t="s">
        <v>54</v>
      </c>
      <c r="Z2229">
        <v>87294</v>
      </c>
    </row>
    <row r="2230" spans="1:26" x14ac:dyDescent="0.25">
      <c r="A2230" t="s">
        <v>2627</v>
      </c>
      <c r="C2230" t="s">
        <v>28</v>
      </c>
      <c r="E2230" t="s">
        <v>370</v>
      </c>
      <c r="H2230" s="2">
        <v>45487.715104166666</v>
      </c>
      <c r="I2230" t="s">
        <v>556</v>
      </c>
      <c r="Z2230">
        <v>87285</v>
      </c>
    </row>
    <row r="2231" spans="1:26" x14ac:dyDescent="0.25">
      <c r="A2231" t="s">
        <v>2628</v>
      </c>
      <c r="B2231" t="s">
        <v>1708</v>
      </c>
      <c r="C2231" t="s">
        <v>28</v>
      </c>
      <c r="E2231" t="s">
        <v>2629</v>
      </c>
      <c r="G2231" t="s">
        <v>2630</v>
      </c>
      <c r="H2231" s="2">
        <v>45485.880601851852</v>
      </c>
      <c r="I2231" t="s">
        <v>31</v>
      </c>
      <c r="Z2231">
        <v>87254</v>
      </c>
    </row>
    <row r="2232" spans="1:26" x14ac:dyDescent="0.25">
      <c r="A2232" t="s">
        <v>2631</v>
      </c>
      <c r="B2232" t="s">
        <v>27</v>
      </c>
      <c r="C2232" t="s">
        <v>28</v>
      </c>
      <c r="H2232" s="2">
        <v>45485.702881944446</v>
      </c>
      <c r="I2232" t="s">
        <v>1488</v>
      </c>
      <c r="Z2232">
        <v>87247</v>
      </c>
    </row>
    <row r="2233" spans="1:26" x14ac:dyDescent="0.25">
      <c r="A2233" t="s">
        <v>2632</v>
      </c>
      <c r="B2233" t="s">
        <v>1403</v>
      </c>
      <c r="C2233" t="s">
        <v>28</v>
      </c>
      <c r="E2233" t="s">
        <v>272</v>
      </c>
      <c r="H2233" s="2">
        <v>45485.460046296299</v>
      </c>
      <c r="I2233" t="s">
        <v>31</v>
      </c>
      <c r="Z2233">
        <v>87218</v>
      </c>
    </row>
    <row r="2234" spans="1:26" x14ac:dyDescent="0.25">
      <c r="A2234" t="s">
        <v>2319</v>
      </c>
      <c r="B2234" t="s">
        <v>27</v>
      </c>
      <c r="C2234" t="s">
        <v>28</v>
      </c>
      <c r="H2234" s="2">
        <v>45485.418634259258</v>
      </c>
      <c r="I2234" t="s">
        <v>1488</v>
      </c>
      <c r="Z2234">
        <v>87212</v>
      </c>
    </row>
    <row r="2235" spans="1:26" x14ac:dyDescent="0.25">
      <c r="A2235" t="s">
        <v>2633</v>
      </c>
      <c r="B2235" t="s">
        <v>27</v>
      </c>
      <c r="C2235" t="s">
        <v>28</v>
      </c>
      <c r="H2235" s="2">
        <v>45484.743831018517</v>
      </c>
      <c r="I2235" t="s">
        <v>1488</v>
      </c>
      <c r="Z2235">
        <v>87194</v>
      </c>
    </row>
    <row r="2236" spans="1:26" x14ac:dyDescent="0.25">
      <c r="A2236" t="s">
        <v>2634</v>
      </c>
      <c r="B2236" t="s">
        <v>27</v>
      </c>
      <c r="C2236" t="s">
        <v>28</v>
      </c>
      <c r="H2236" s="2">
        <v>45484.725277777776</v>
      </c>
      <c r="I2236" t="s">
        <v>556</v>
      </c>
      <c r="Z2236">
        <v>87193</v>
      </c>
    </row>
    <row r="2237" spans="1:26" x14ac:dyDescent="0.25">
      <c r="A2237" t="s">
        <v>2635</v>
      </c>
      <c r="B2237" t="s">
        <v>27</v>
      </c>
      <c r="C2237" t="s">
        <v>28</v>
      </c>
      <c r="H2237" s="2">
        <v>45484.539756944447</v>
      </c>
      <c r="I2237" t="s">
        <v>1488</v>
      </c>
      <c r="Z2237">
        <v>87175</v>
      </c>
    </row>
    <row r="2238" spans="1:26" x14ac:dyDescent="0.25">
      <c r="A2238" t="s">
        <v>2636</v>
      </c>
      <c r="B2238" t="s">
        <v>27</v>
      </c>
      <c r="C2238" t="s">
        <v>28</v>
      </c>
      <c r="H2238" s="2">
        <v>45484.445208333331</v>
      </c>
      <c r="I2238" t="s">
        <v>1488</v>
      </c>
      <c r="Z2238">
        <v>87164</v>
      </c>
    </row>
    <row r="2239" spans="1:26" x14ac:dyDescent="0.25">
      <c r="A2239" t="s">
        <v>2637</v>
      </c>
      <c r="B2239" t="s">
        <v>27</v>
      </c>
      <c r="C2239" t="s">
        <v>28</v>
      </c>
      <c r="H2239" s="2">
        <v>45484.387430555558</v>
      </c>
      <c r="I2239" t="s">
        <v>54</v>
      </c>
      <c r="Z2239">
        <v>87158</v>
      </c>
    </row>
    <row r="2240" spans="1:26" x14ac:dyDescent="0.25">
      <c r="A2240" t="s">
        <v>2638</v>
      </c>
      <c r="B2240" t="s">
        <v>27</v>
      </c>
      <c r="C2240" t="s">
        <v>185</v>
      </c>
      <c r="H2240" s="2">
        <v>45483.728229166663</v>
      </c>
      <c r="I2240" t="s">
        <v>54</v>
      </c>
      <c r="Z2240">
        <v>87138</v>
      </c>
    </row>
    <row r="2241" spans="1:26" x14ac:dyDescent="0.25">
      <c r="A2241" t="s">
        <v>2639</v>
      </c>
      <c r="C2241" t="s">
        <v>28</v>
      </c>
      <c r="E2241" t="s">
        <v>1284</v>
      </c>
      <c r="H2241" s="2">
        <v>45483.582719907405</v>
      </c>
      <c r="I2241" t="s">
        <v>556</v>
      </c>
      <c r="Z2241">
        <v>87121</v>
      </c>
    </row>
    <row r="2242" spans="1:26" x14ac:dyDescent="0.25">
      <c r="A2242" t="s">
        <v>2640</v>
      </c>
      <c r="B2242" t="s">
        <v>27</v>
      </c>
      <c r="C2242" t="s">
        <v>28</v>
      </c>
      <c r="H2242" s="2">
        <v>45483.538472222222</v>
      </c>
      <c r="I2242" t="s">
        <v>1488</v>
      </c>
      <c r="Z2242">
        <v>87116</v>
      </c>
    </row>
    <row r="2243" spans="1:26" x14ac:dyDescent="0.25">
      <c r="A2243" t="s">
        <v>2641</v>
      </c>
      <c r="B2243" t="s">
        <v>27</v>
      </c>
      <c r="C2243" t="s">
        <v>28</v>
      </c>
      <c r="H2243" s="2">
        <v>45483.434618055559</v>
      </c>
      <c r="I2243" t="s">
        <v>556</v>
      </c>
      <c r="Z2243">
        <v>87107</v>
      </c>
    </row>
    <row r="2244" spans="1:26" x14ac:dyDescent="0.25">
      <c r="A2244" t="s">
        <v>2642</v>
      </c>
      <c r="B2244" t="s">
        <v>27</v>
      </c>
      <c r="C2244" t="s">
        <v>28</v>
      </c>
      <c r="H2244" s="2">
        <v>45483.399143518516</v>
      </c>
      <c r="I2244" t="s">
        <v>1488</v>
      </c>
      <c r="Z2244">
        <v>87101</v>
      </c>
    </row>
    <row r="2245" spans="1:26" x14ac:dyDescent="0.25">
      <c r="A2245" t="s">
        <v>2640</v>
      </c>
      <c r="B2245" t="s">
        <v>27</v>
      </c>
      <c r="C2245" t="s">
        <v>28</v>
      </c>
      <c r="H2245" s="2">
        <v>45483.388981481483</v>
      </c>
      <c r="I2245" t="s">
        <v>556</v>
      </c>
      <c r="Z2245">
        <v>87100</v>
      </c>
    </row>
    <row r="2246" spans="1:26" x14ac:dyDescent="0.25">
      <c r="A2246" t="s">
        <v>2643</v>
      </c>
      <c r="B2246" t="s">
        <v>1993</v>
      </c>
      <c r="C2246" t="s">
        <v>28</v>
      </c>
      <c r="E2246" t="s">
        <v>458</v>
      </c>
      <c r="G2246" t="s">
        <v>2644</v>
      </c>
      <c r="H2246" s="2">
        <v>45482.88784722222</v>
      </c>
      <c r="I2246" t="s">
        <v>556</v>
      </c>
      <c r="Z2246">
        <v>87097</v>
      </c>
    </row>
    <row r="2247" spans="1:26" x14ac:dyDescent="0.25">
      <c r="A2247" t="s">
        <v>2645</v>
      </c>
      <c r="B2247" t="s">
        <v>27</v>
      </c>
      <c r="C2247" t="s">
        <v>28</v>
      </c>
      <c r="H2247" s="2">
        <v>45482.821817129632</v>
      </c>
      <c r="I2247" t="s">
        <v>1488</v>
      </c>
      <c r="Z2247">
        <v>87094</v>
      </c>
    </row>
    <row r="2248" spans="1:26" x14ac:dyDescent="0.25">
      <c r="A2248" t="s">
        <v>2646</v>
      </c>
      <c r="B2248" t="s">
        <v>27</v>
      </c>
      <c r="C2248" t="s">
        <v>28</v>
      </c>
      <c r="H2248" s="2">
        <v>45482.687824074077</v>
      </c>
      <c r="I2248" t="s">
        <v>31</v>
      </c>
      <c r="Z2248">
        <v>87081</v>
      </c>
    </row>
    <row r="2249" spans="1:26" x14ac:dyDescent="0.25">
      <c r="A2249" t="s">
        <v>1514</v>
      </c>
      <c r="B2249" t="s">
        <v>27</v>
      </c>
      <c r="C2249" t="s">
        <v>28</v>
      </c>
      <c r="H2249" s="2">
        <v>45482.664618055554</v>
      </c>
      <c r="I2249" t="s">
        <v>1488</v>
      </c>
      <c r="Z2249">
        <v>87077</v>
      </c>
    </row>
    <row r="2250" spans="1:26" x14ac:dyDescent="0.25">
      <c r="A2250" t="s">
        <v>2647</v>
      </c>
      <c r="B2250" t="s">
        <v>27</v>
      </c>
      <c r="C2250" t="s">
        <v>28</v>
      </c>
      <c r="H2250" s="2">
        <v>45482.592650462961</v>
      </c>
      <c r="I2250" t="s">
        <v>1488</v>
      </c>
      <c r="Z2250">
        <v>87064</v>
      </c>
    </row>
    <row r="2251" spans="1:26" x14ac:dyDescent="0.25">
      <c r="A2251" t="s">
        <v>2648</v>
      </c>
      <c r="B2251" t="s">
        <v>27</v>
      </c>
      <c r="C2251" t="s">
        <v>28</v>
      </c>
      <c r="H2251" s="2">
        <v>45482.592256944445</v>
      </c>
      <c r="I2251" t="s">
        <v>556</v>
      </c>
      <c r="Z2251">
        <v>87063</v>
      </c>
    </row>
    <row r="2252" spans="1:26" x14ac:dyDescent="0.25">
      <c r="A2252" t="s">
        <v>2649</v>
      </c>
      <c r="B2252" t="s">
        <v>27</v>
      </c>
      <c r="C2252" t="s">
        <v>28</v>
      </c>
      <c r="H2252" s="2">
        <v>45482.569571759261</v>
      </c>
      <c r="I2252" t="s">
        <v>556</v>
      </c>
      <c r="Z2252">
        <v>87060</v>
      </c>
    </row>
    <row r="2253" spans="1:26" x14ac:dyDescent="0.25">
      <c r="A2253" t="s">
        <v>2650</v>
      </c>
      <c r="B2253" t="s">
        <v>27</v>
      </c>
      <c r="C2253" t="s">
        <v>28</v>
      </c>
      <c r="H2253" s="2">
        <v>45482.566122685188</v>
      </c>
      <c r="I2253" t="s">
        <v>556</v>
      </c>
      <c r="Z2253">
        <v>87058</v>
      </c>
    </row>
    <row r="2254" spans="1:26" x14ac:dyDescent="0.25">
      <c r="A2254" t="s">
        <v>2651</v>
      </c>
      <c r="B2254" t="s">
        <v>27</v>
      </c>
      <c r="C2254" t="s">
        <v>28</v>
      </c>
      <c r="H2254" s="2">
        <v>45482.552835648145</v>
      </c>
      <c r="I2254" t="s">
        <v>1488</v>
      </c>
      <c r="Z2254">
        <v>87057</v>
      </c>
    </row>
    <row r="2255" spans="1:26" x14ac:dyDescent="0.25">
      <c r="A2255" t="s">
        <v>2652</v>
      </c>
      <c r="B2255" t="s">
        <v>27</v>
      </c>
      <c r="C2255" t="s">
        <v>28</v>
      </c>
      <c r="H2255" s="2">
        <v>45482.51699074074</v>
      </c>
      <c r="I2255" t="s">
        <v>1488</v>
      </c>
      <c r="Z2255">
        <v>87044</v>
      </c>
    </row>
    <row r="2256" spans="1:26" x14ac:dyDescent="0.25">
      <c r="A2256" t="s">
        <v>2653</v>
      </c>
      <c r="B2256" t="s">
        <v>27</v>
      </c>
      <c r="C2256" t="s">
        <v>28</v>
      </c>
      <c r="H2256" s="2">
        <v>45482.510636574072</v>
      </c>
      <c r="I2256" t="s">
        <v>1488</v>
      </c>
      <c r="Z2256">
        <v>87042</v>
      </c>
    </row>
    <row r="2257" spans="1:26" x14ac:dyDescent="0.25">
      <c r="A2257" t="s">
        <v>2654</v>
      </c>
      <c r="B2257" t="s">
        <v>27</v>
      </c>
      <c r="C2257" t="s">
        <v>28</v>
      </c>
      <c r="H2257" s="2">
        <v>45481.826516203706</v>
      </c>
      <c r="I2257" t="s">
        <v>1488</v>
      </c>
      <c r="Z2257">
        <v>87005</v>
      </c>
    </row>
    <row r="2258" spans="1:26" x14ac:dyDescent="0.25">
      <c r="A2258" t="s">
        <v>2655</v>
      </c>
      <c r="B2258" t="s">
        <v>27</v>
      </c>
      <c r="C2258" t="s">
        <v>28</v>
      </c>
      <c r="H2258" s="2">
        <v>45481.821504629632</v>
      </c>
      <c r="I2258" t="s">
        <v>1488</v>
      </c>
      <c r="Z2258">
        <v>87004</v>
      </c>
    </row>
    <row r="2259" spans="1:26" x14ac:dyDescent="0.25">
      <c r="A2259" t="s">
        <v>2656</v>
      </c>
      <c r="B2259" t="s">
        <v>27</v>
      </c>
      <c r="C2259" t="s">
        <v>28</v>
      </c>
      <c r="H2259" s="2">
        <v>45481.809004629627</v>
      </c>
      <c r="I2259" t="s">
        <v>31</v>
      </c>
      <c r="Z2259">
        <v>87002</v>
      </c>
    </row>
    <row r="2260" spans="1:26" x14ac:dyDescent="0.25">
      <c r="A2260" t="s">
        <v>2657</v>
      </c>
      <c r="B2260" t="s">
        <v>27</v>
      </c>
      <c r="C2260" t="s">
        <v>28</v>
      </c>
      <c r="H2260" s="2">
        <v>45481.769814814812</v>
      </c>
      <c r="I2260" t="s">
        <v>1488</v>
      </c>
      <c r="Z2260">
        <v>86995</v>
      </c>
    </row>
    <row r="2261" spans="1:26" x14ac:dyDescent="0.25">
      <c r="A2261" t="s">
        <v>2658</v>
      </c>
      <c r="B2261" t="s">
        <v>27</v>
      </c>
      <c r="C2261" t="s">
        <v>28</v>
      </c>
      <c r="H2261" s="2">
        <v>45481.743530092594</v>
      </c>
      <c r="I2261" t="s">
        <v>31</v>
      </c>
      <c r="Z2261">
        <v>86990</v>
      </c>
    </row>
    <row r="2262" spans="1:26" x14ac:dyDescent="0.25">
      <c r="A2262" t="s">
        <v>2659</v>
      </c>
      <c r="B2262" t="s">
        <v>1708</v>
      </c>
      <c r="C2262" t="s">
        <v>28</v>
      </c>
      <c r="E2262" t="s">
        <v>2660</v>
      </c>
      <c r="H2262" s="2">
        <v>45481.684756944444</v>
      </c>
      <c r="I2262" t="s">
        <v>556</v>
      </c>
      <c r="Z2262">
        <v>86984</v>
      </c>
    </row>
    <row r="2263" spans="1:26" x14ac:dyDescent="0.25">
      <c r="A2263" t="s">
        <v>2661</v>
      </c>
      <c r="B2263" t="s">
        <v>27</v>
      </c>
      <c r="C2263" t="s">
        <v>28</v>
      </c>
      <c r="H2263" s="2">
        <v>45481.647835648146</v>
      </c>
      <c r="I2263" t="s">
        <v>556</v>
      </c>
      <c r="Z2263">
        <v>86982</v>
      </c>
    </row>
    <row r="2264" spans="1:26" x14ac:dyDescent="0.25">
      <c r="A2264" t="s">
        <v>2662</v>
      </c>
      <c r="B2264" t="s">
        <v>27</v>
      </c>
      <c r="C2264" t="s">
        <v>28</v>
      </c>
      <c r="H2264" s="2">
        <v>45481.618472222224</v>
      </c>
      <c r="I2264" t="s">
        <v>556</v>
      </c>
      <c r="Z2264">
        <v>86973</v>
      </c>
    </row>
    <row r="2265" spans="1:26" x14ac:dyDescent="0.25">
      <c r="A2265" t="s">
        <v>2663</v>
      </c>
      <c r="B2265" t="s">
        <v>27</v>
      </c>
      <c r="C2265" t="s">
        <v>28</v>
      </c>
      <c r="H2265" s="2">
        <v>45481.6175</v>
      </c>
      <c r="I2265" t="s">
        <v>1488</v>
      </c>
      <c r="Z2265">
        <v>86971</v>
      </c>
    </row>
    <row r="2266" spans="1:26" x14ac:dyDescent="0.25">
      <c r="A2266" t="s">
        <v>2664</v>
      </c>
      <c r="B2266" t="s">
        <v>27</v>
      </c>
      <c r="C2266" t="s">
        <v>28</v>
      </c>
      <c r="H2266" s="2">
        <v>45481.509328703702</v>
      </c>
      <c r="I2266" t="s">
        <v>1488</v>
      </c>
      <c r="Z2266">
        <v>86949</v>
      </c>
    </row>
    <row r="2267" spans="1:26" x14ac:dyDescent="0.25">
      <c r="A2267" t="s">
        <v>2665</v>
      </c>
      <c r="B2267" t="s">
        <v>27</v>
      </c>
      <c r="C2267" t="s">
        <v>28</v>
      </c>
      <c r="H2267" s="2">
        <v>45481.507407407407</v>
      </c>
      <c r="I2267" t="s">
        <v>556</v>
      </c>
      <c r="Z2267">
        <v>86948</v>
      </c>
    </row>
    <row r="2268" spans="1:26" x14ac:dyDescent="0.25">
      <c r="A2268" t="s">
        <v>2666</v>
      </c>
      <c r="B2268" t="s">
        <v>27</v>
      </c>
      <c r="C2268" t="s">
        <v>28</v>
      </c>
      <c r="H2268" s="2">
        <v>45481.47797453704</v>
      </c>
      <c r="I2268" t="s">
        <v>556</v>
      </c>
      <c r="Z2268">
        <v>86942</v>
      </c>
    </row>
    <row r="2269" spans="1:26" x14ac:dyDescent="0.25">
      <c r="A2269" t="s">
        <v>2667</v>
      </c>
      <c r="B2269" t="s">
        <v>27</v>
      </c>
      <c r="C2269" t="s">
        <v>28</v>
      </c>
      <c r="H2269" s="2">
        <v>45481.388240740744</v>
      </c>
      <c r="I2269" t="s">
        <v>54</v>
      </c>
      <c r="Z2269">
        <v>86924</v>
      </c>
    </row>
    <row r="2270" spans="1:26" x14ac:dyDescent="0.25">
      <c r="A2270" t="s">
        <v>2668</v>
      </c>
      <c r="B2270" t="s">
        <v>27</v>
      </c>
      <c r="C2270" t="s">
        <v>28</v>
      </c>
      <c r="H2270" s="2">
        <v>45480.762488425928</v>
      </c>
      <c r="I2270" t="s">
        <v>556</v>
      </c>
      <c r="Z2270">
        <v>86910</v>
      </c>
    </row>
    <row r="2271" spans="1:26" x14ac:dyDescent="0.25">
      <c r="A2271" t="s">
        <v>2669</v>
      </c>
      <c r="B2271" t="s">
        <v>1993</v>
      </c>
      <c r="C2271" t="s">
        <v>28</v>
      </c>
      <c r="E2271" t="s">
        <v>1080</v>
      </c>
      <c r="H2271" s="2">
        <v>45480.732881944445</v>
      </c>
      <c r="I2271" t="s">
        <v>1488</v>
      </c>
      <c r="Z2271">
        <v>86906</v>
      </c>
    </row>
    <row r="2272" spans="1:26" x14ac:dyDescent="0.25">
      <c r="A2272" t="s">
        <v>2670</v>
      </c>
      <c r="B2272" t="s">
        <v>27</v>
      </c>
      <c r="C2272" t="s">
        <v>28</v>
      </c>
      <c r="H2272" s="2">
        <v>45480.604571759257</v>
      </c>
      <c r="I2272" t="s">
        <v>1488</v>
      </c>
      <c r="Z2272">
        <v>86888</v>
      </c>
    </row>
    <row r="2273" spans="1:26" x14ac:dyDescent="0.25">
      <c r="A2273" t="s">
        <v>2671</v>
      </c>
      <c r="B2273" t="s">
        <v>1403</v>
      </c>
      <c r="C2273" t="s">
        <v>28</v>
      </c>
      <c r="E2273" t="s">
        <v>2672</v>
      </c>
      <c r="H2273" s="2">
        <v>45480.487523148149</v>
      </c>
      <c r="I2273" t="s">
        <v>556</v>
      </c>
      <c r="Z2273">
        <v>86871</v>
      </c>
    </row>
    <row r="2274" spans="1:26" x14ac:dyDescent="0.25">
      <c r="A2274" t="s">
        <v>2673</v>
      </c>
      <c r="B2274" t="s">
        <v>27</v>
      </c>
      <c r="C2274" t="s">
        <v>28</v>
      </c>
      <c r="H2274" s="2">
        <v>45479.588506944441</v>
      </c>
      <c r="I2274" t="s">
        <v>2674</v>
      </c>
      <c r="Z2274">
        <v>86840</v>
      </c>
    </row>
    <row r="2275" spans="1:26" x14ac:dyDescent="0.25">
      <c r="A2275" t="s">
        <v>2675</v>
      </c>
      <c r="B2275" t="s">
        <v>27</v>
      </c>
      <c r="C2275" t="s">
        <v>28</v>
      </c>
      <c r="H2275" s="2">
        <v>45479.401458333334</v>
      </c>
      <c r="I2275" t="s">
        <v>2674</v>
      </c>
      <c r="Z2275">
        <v>86822</v>
      </c>
    </row>
    <row r="2276" spans="1:26" x14ac:dyDescent="0.25">
      <c r="A2276" t="s">
        <v>2676</v>
      </c>
      <c r="B2276" t="s">
        <v>27</v>
      </c>
      <c r="C2276" t="s">
        <v>28</v>
      </c>
      <c r="H2276" s="2">
        <v>45478.696331018517</v>
      </c>
      <c r="I2276" t="s">
        <v>2674</v>
      </c>
      <c r="Z2276">
        <v>86804</v>
      </c>
    </row>
    <row r="2277" spans="1:26" x14ac:dyDescent="0.25">
      <c r="A2277" t="s">
        <v>2677</v>
      </c>
      <c r="B2277" t="s">
        <v>27</v>
      </c>
      <c r="C2277" t="s">
        <v>28</v>
      </c>
      <c r="H2277" s="2">
        <v>45478.671631944446</v>
      </c>
      <c r="I2277" t="s">
        <v>2674</v>
      </c>
      <c r="Z2277">
        <v>86800</v>
      </c>
    </row>
    <row r="2278" spans="1:26" x14ac:dyDescent="0.25">
      <c r="A2278" t="s">
        <v>2678</v>
      </c>
      <c r="B2278" t="s">
        <v>27</v>
      </c>
      <c r="C2278" t="s">
        <v>28</v>
      </c>
      <c r="H2278" s="2">
        <v>45478.59646990741</v>
      </c>
      <c r="I2278" t="s">
        <v>2674</v>
      </c>
      <c r="Z2278">
        <v>86790</v>
      </c>
    </row>
    <row r="2279" spans="1:26" x14ac:dyDescent="0.25">
      <c r="A2279" t="s">
        <v>2679</v>
      </c>
      <c r="B2279" t="s">
        <v>27</v>
      </c>
      <c r="C2279" t="s">
        <v>28</v>
      </c>
      <c r="H2279" s="2">
        <v>45478.430520833332</v>
      </c>
      <c r="I2279" t="s">
        <v>2674</v>
      </c>
      <c r="Z2279">
        <v>86770</v>
      </c>
    </row>
    <row r="2280" spans="1:26" x14ac:dyDescent="0.25">
      <c r="A2280" t="s">
        <v>2680</v>
      </c>
      <c r="B2280" t="s">
        <v>27</v>
      </c>
      <c r="C2280" t="s">
        <v>28</v>
      </c>
      <c r="H2280" s="2">
        <v>45477.657546296294</v>
      </c>
      <c r="I2280" t="s">
        <v>2681</v>
      </c>
      <c r="Z2280">
        <v>86735</v>
      </c>
    </row>
    <row r="2281" spans="1:26" x14ac:dyDescent="0.25">
      <c r="A2281" t="s">
        <v>2682</v>
      </c>
      <c r="C2281" t="s">
        <v>28</v>
      </c>
      <c r="E2281" t="s">
        <v>304</v>
      </c>
      <c r="H2281" s="2">
        <v>45476.610682870371</v>
      </c>
      <c r="I2281" t="s">
        <v>556</v>
      </c>
      <c r="Z2281">
        <v>86661</v>
      </c>
    </row>
    <row r="2282" spans="1:26" x14ac:dyDescent="0.25">
      <c r="A2282" t="s">
        <v>2683</v>
      </c>
      <c r="B2282" t="s">
        <v>27</v>
      </c>
      <c r="C2282" t="s">
        <v>28</v>
      </c>
      <c r="H2282" s="2">
        <v>45476.517395833333</v>
      </c>
      <c r="I2282" t="s">
        <v>556</v>
      </c>
      <c r="Z2282">
        <v>86647</v>
      </c>
    </row>
    <row r="2283" spans="1:26" x14ac:dyDescent="0.25">
      <c r="A2283" t="s">
        <v>1793</v>
      </c>
      <c r="B2283" t="s">
        <v>27</v>
      </c>
      <c r="C2283" t="s">
        <v>28</v>
      </c>
      <c r="H2283" s="2">
        <v>45476.49895833333</v>
      </c>
      <c r="I2283" t="s">
        <v>556</v>
      </c>
      <c r="Z2283">
        <v>86643</v>
      </c>
    </row>
    <row r="2284" spans="1:26" x14ac:dyDescent="0.25">
      <c r="A2284" t="s">
        <v>2684</v>
      </c>
      <c r="B2284" t="s">
        <v>27</v>
      </c>
      <c r="C2284" t="s">
        <v>28</v>
      </c>
      <c r="H2284" s="2">
        <v>45476.438726851855</v>
      </c>
      <c r="I2284" t="s">
        <v>2681</v>
      </c>
      <c r="Z2284">
        <v>86630</v>
      </c>
    </row>
    <row r="2285" spans="1:26" x14ac:dyDescent="0.25">
      <c r="A2285" t="s">
        <v>2685</v>
      </c>
      <c r="B2285" t="s">
        <v>27</v>
      </c>
      <c r="C2285" t="s">
        <v>28</v>
      </c>
      <c r="H2285" s="2">
        <v>45475.754293981481</v>
      </c>
      <c r="I2285" t="s">
        <v>1488</v>
      </c>
      <c r="Z2285">
        <v>86615</v>
      </c>
    </row>
    <row r="2286" spans="1:26" x14ac:dyDescent="0.25">
      <c r="A2286" t="s">
        <v>2686</v>
      </c>
      <c r="B2286" t="s">
        <v>27</v>
      </c>
      <c r="C2286" t="s">
        <v>28</v>
      </c>
      <c r="H2286" s="2">
        <v>45475.700543981482</v>
      </c>
      <c r="I2286" t="s">
        <v>556</v>
      </c>
      <c r="Z2286">
        <v>86606</v>
      </c>
    </row>
    <row r="2287" spans="1:26" x14ac:dyDescent="0.25">
      <c r="A2287" t="s">
        <v>2687</v>
      </c>
      <c r="B2287" t="s">
        <v>27</v>
      </c>
      <c r="C2287" t="s">
        <v>28</v>
      </c>
      <c r="H2287" s="2">
        <v>45475.63453703704</v>
      </c>
      <c r="I2287" t="s">
        <v>1488</v>
      </c>
      <c r="Z2287">
        <v>86596</v>
      </c>
    </row>
    <row r="2288" spans="1:26" x14ac:dyDescent="0.25">
      <c r="A2288" t="s">
        <v>2688</v>
      </c>
      <c r="B2288" t="s">
        <v>27</v>
      </c>
      <c r="C2288" t="s">
        <v>28</v>
      </c>
      <c r="H2288" s="2">
        <v>45475.566377314812</v>
      </c>
      <c r="I2288" t="s">
        <v>54</v>
      </c>
      <c r="Z2288">
        <v>86590</v>
      </c>
    </row>
    <row r="2289" spans="1:26" x14ac:dyDescent="0.25">
      <c r="A2289" t="s">
        <v>2689</v>
      </c>
      <c r="B2289" t="s">
        <v>27</v>
      </c>
      <c r="C2289" t="s">
        <v>28</v>
      </c>
      <c r="H2289" s="2">
        <v>45475.396550925929</v>
      </c>
      <c r="I2289" t="s">
        <v>556</v>
      </c>
      <c r="Z2289">
        <v>86572</v>
      </c>
    </row>
    <row r="2290" spans="1:26" x14ac:dyDescent="0.25">
      <c r="A2290" t="s">
        <v>2690</v>
      </c>
      <c r="B2290" t="s">
        <v>27</v>
      </c>
      <c r="C2290" t="s">
        <v>28</v>
      </c>
      <c r="H2290" s="2">
        <v>45474.722928240742</v>
      </c>
      <c r="I2290" t="s">
        <v>1488</v>
      </c>
      <c r="Z2290">
        <v>86548</v>
      </c>
    </row>
    <row r="2291" spans="1:26" x14ac:dyDescent="0.25">
      <c r="A2291" t="s">
        <v>2691</v>
      </c>
      <c r="B2291" t="s">
        <v>27</v>
      </c>
      <c r="C2291" t="s">
        <v>28</v>
      </c>
      <c r="H2291" s="2">
        <v>45474.669629629629</v>
      </c>
      <c r="I2291" t="s">
        <v>1488</v>
      </c>
      <c r="Z2291">
        <v>86539</v>
      </c>
    </row>
    <row r="2292" spans="1:26" x14ac:dyDescent="0.25">
      <c r="A2292" t="s">
        <v>2692</v>
      </c>
      <c r="B2292" t="s">
        <v>306</v>
      </c>
      <c r="C2292" t="s">
        <v>28</v>
      </c>
      <c r="E2292" t="s">
        <v>72</v>
      </c>
      <c r="H2292" s="2">
        <v>45474.575706018521</v>
      </c>
      <c r="I2292" t="s">
        <v>556</v>
      </c>
      <c r="Z2292">
        <v>86525</v>
      </c>
    </row>
    <row r="2293" spans="1:26" x14ac:dyDescent="0.25">
      <c r="A2293" t="s">
        <v>2693</v>
      </c>
      <c r="B2293" t="s">
        <v>27</v>
      </c>
      <c r="C2293" t="s">
        <v>28</v>
      </c>
      <c r="H2293" s="2">
        <v>45474.503680555557</v>
      </c>
      <c r="I2293" t="s">
        <v>1488</v>
      </c>
      <c r="Z2293">
        <v>86509</v>
      </c>
    </row>
    <row r="2294" spans="1:26" x14ac:dyDescent="0.25">
      <c r="A2294" t="s">
        <v>570</v>
      </c>
      <c r="C2294" t="s">
        <v>28</v>
      </c>
      <c r="E2294" t="s">
        <v>1229</v>
      </c>
      <c r="H2294" s="2">
        <v>45474.474733796298</v>
      </c>
      <c r="I2294" t="s">
        <v>54</v>
      </c>
      <c r="Z2294">
        <v>86504</v>
      </c>
    </row>
    <row r="2295" spans="1:26" x14ac:dyDescent="0.25">
      <c r="A2295" t="s">
        <v>2694</v>
      </c>
      <c r="B2295" t="s">
        <v>27</v>
      </c>
      <c r="C2295" t="s">
        <v>28</v>
      </c>
      <c r="H2295" s="2">
        <v>45474.473807870374</v>
      </c>
      <c r="I2295" t="s">
        <v>556</v>
      </c>
      <c r="Z2295">
        <v>86503</v>
      </c>
    </row>
    <row r="2296" spans="1:26" x14ac:dyDescent="0.25">
      <c r="A2296" t="s">
        <v>2695</v>
      </c>
      <c r="B2296" t="s">
        <v>27</v>
      </c>
      <c r="C2296" t="s">
        <v>28</v>
      </c>
      <c r="H2296" s="2">
        <v>45474.419027777774</v>
      </c>
      <c r="I2296" t="s">
        <v>556</v>
      </c>
      <c r="Z2296">
        <v>86490</v>
      </c>
    </row>
    <row r="2297" spans="1:26" x14ac:dyDescent="0.25">
      <c r="A2297" t="s">
        <v>2666</v>
      </c>
      <c r="B2297" t="s">
        <v>1708</v>
      </c>
      <c r="C2297" t="s">
        <v>28</v>
      </c>
      <c r="E2297" t="s">
        <v>1052</v>
      </c>
      <c r="G2297" t="s">
        <v>2696</v>
      </c>
      <c r="H2297" s="2">
        <v>45474.412094907406</v>
      </c>
      <c r="I2297" t="s">
        <v>54</v>
      </c>
      <c r="Z2297">
        <v>86486</v>
      </c>
    </row>
    <row r="2298" spans="1:26" x14ac:dyDescent="0.25">
      <c r="A2298" t="s">
        <v>2009</v>
      </c>
      <c r="B2298" t="s">
        <v>1708</v>
      </c>
      <c r="C2298" t="s">
        <v>28</v>
      </c>
      <c r="E2298" t="s">
        <v>2010</v>
      </c>
      <c r="H2298" s="2">
        <v>45473.668657407405</v>
      </c>
      <c r="I2298" t="s">
        <v>1488</v>
      </c>
      <c r="Z2298">
        <v>86458</v>
      </c>
    </row>
    <row r="2299" spans="1:26" x14ac:dyDescent="0.25">
      <c r="A2299" t="s">
        <v>2697</v>
      </c>
      <c r="B2299" t="s">
        <v>27</v>
      </c>
      <c r="C2299" t="s">
        <v>28</v>
      </c>
      <c r="H2299" s="2">
        <v>45473.596909722219</v>
      </c>
      <c r="I2299" t="s">
        <v>1488</v>
      </c>
      <c r="Z2299">
        <v>86448</v>
      </c>
    </row>
    <row r="2300" spans="1:26" x14ac:dyDescent="0.25">
      <c r="A2300" t="s">
        <v>1793</v>
      </c>
      <c r="B2300" t="s">
        <v>1708</v>
      </c>
      <c r="C2300" t="s">
        <v>28</v>
      </c>
      <c r="E2300" t="s">
        <v>2698</v>
      </c>
      <c r="G2300" t="s">
        <v>2699</v>
      </c>
      <c r="H2300" s="2">
        <v>45473.574224537035</v>
      </c>
      <c r="I2300" t="s">
        <v>1488</v>
      </c>
      <c r="Z2300">
        <v>86447</v>
      </c>
    </row>
    <row r="2301" spans="1:26" x14ac:dyDescent="0.25">
      <c r="A2301" t="s">
        <v>570</v>
      </c>
      <c r="C2301" t="s">
        <v>28</v>
      </c>
      <c r="E2301" t="s">
        <v>929</v>
      </c>
      <c r="H2301" s="2">
        <v>45473.39435185185</v>
      </c>
      <c r="I2301" t="s">
        <v>1488</v>
      </c>
      <c r="Z2301">
        <v>86426</v>
      </c>
    </row>
    <row r="2302" spans="1:26" x14ac:dyDescent="0.25">
      <c r="A2302" t="s">
        <v>2700</v>
      </c>
      <c r="B2302" t="s">
        <v>74</v>
      </c>
      <c r="C2302" t="s">
        <v>28</v>
      </c>
      <c r="E2302" t="s">
        <v>272</v>
      </c>
      <c r="G2302" t="s">
        <v>2701</v>
      </c>
      <c r="H2302" s="2">
        <v>45472.854247685187</v>
      </c>
      <c r="I2302" t="s">
        <v>1488</v>
      </c>
      <c r="Z2302">
        <v>86419</v>
      </c>
    </row>
    <row r="2303" spans="1:26" x14ac:dyDescent="0.25">
      <c r="A2303" t="s">
        <v>2702</v>
      </c>
      <c r="B2303" t="s">
        <v>1403</v>
      </c>
      <c r="C2303" t="s">
        <v>28</v>
      </c>
      <c r="E2303" t="s">
        <v>1406</v>
      </c>
      <c r="G2303" t="s">
        <v>2573</v>
      </c>
      <c r="H2303" s="2">
        <v>45472.753807870373</v>
      </c>
      <c r="I2303" t="s">
        <v>1488</v>
      </c>
      <c r="Z2303">
        <v>86417</v>
      </c>
    </row>
    <row r="2304" spans="1:26" x14ac:dyDescent="0.25">
      <c r="A2304" t="s">
        <v>2703</v>
      </c>
      <c r="B2304" t="s">
        <v>27</v>
      </c>
      <c r="C2304" t="s">
        <v>28</v>
      </c>
      <c r="H2304" s="2">
        <v>45472.692233796297</v>
      </c>
      <c r="I2304" t="s">
        <v>2674</v>
      </c>
      <c r="Z2304">
        <v>86414</v>
      </c>
    </row>
    <row r="2305" spans="1:26" x14ac:dyDescent="0.25">
      <c r="A2305" t="s">
        <v>2704</v>
      </c>
      <c r="B2305" t="s">
        <v>27</v>
      </c>
      <c r="C2305" t="s">
        <v>28</v>
      </c>
      <c r="H2305" s="2">
        <v>45472.684525462966</v>
      </c>
      <c r="I2305" t="s">
        <v>2674</v>
      </c>
      <c r="Z2305">
        <v>86413</v>
      </c>
    </row>
    <row r="2306" spans="1:26" x14ac:dyDescent="0.25">
      <c r="A2306" t="s">
        <v>2705</v>
      </c>
      <c r="B2306" t="s">
        <v>27</v>
      </c>
      <c r="C2306" t="s">
        <v>28</v>
      </c>
      <c r="H2306" s="2">
        <v>45472.524062500001</v>
      </c>
      <c r="I2306" t="s">
        <v>2674</v>
      </c>
      <c r="Z2306">
        <v>86395</v>
      </c>
    </row>
    <row r="2307" spans="1:26" x14ac:dyDescent="0.25">
      <c r="A2307" t="s">
        <v>2706</v>
      </c>
      <c r="B2307" t="s">
        <v>1708</v>
      </c>
      <c r="C2307" t="s">
        <v>28</v>
      </c>
      <c r="E2307" t="s">
        <v>72</v>
      </c>
      <c r="H2307" s="2">
        <v>45472.440833333334</v>
      </c>
      <c r="I2307" t="s">
        <v>2681</v>
      </c>
      <c r="Z2307">
        <v>86384</v>
      </c>
    </row>
    <row r="2308" spans="1:26" x14ac:dyDescent="0.25">
      <c r="A2308" t="s">
        <v>2707</v>
      </c>
      <c r="B2308" t="s">
        <v>27</v>
      </c>
      <c r="C2308" t="s">
        <v>28</v>
      </c>
      <c r="H2308" s="2">
        <v>45471.907013888886</v>
      </c>
      <c r="I2308" t="s">
        <v>2674</v>
      </c>
      <c r="Z2308">
        <v>86379</v>
      </c>
    </row>
    <row r="2309" spans="1:26" x14ac:dyDescent="0.25">
      <c r="A2309" t="s">
        <v>2708</v>
      </c>
      <c r="B2309" t="s">
        <v>27</v>
      </c>
      <c r="C2309" t="s">
        <v>28</v>
      </c>
      <c r="H2309" s="2">
        <v>45471.588275462964</v>
      </c>
      <c r="I2309" t="s">
        <v>2674</v>
      </c>
      <c r="Z2309">
        <v>86355</v>
      </c>
    </row>
    <row r="2310" spans="1:26" x14ac:dyDescent="0.25">
      <c r="A2310" t="s">
        <v>2709</v>
      </c>
      <c r="B2310" t="s">
        <v>27</v>
      </c>
      <c r="C2310" t="s">
        <v>28</v>
      </c>
      <c r="H2310" s="2">
        <v>45470.590243055558</v>
      </c>
      <c r="I2310" t="s">
        <v>556</v>
      </c>
      <c r="Z2310">
        <v>86283</v>
      </c>
    </row>
    <row r="2311" spans="1:26" x14ac:dyDescent="0.25">
      <c r="A2311" t="s">
        <v>2710</v>
      </c>
      <c r="B2311" t="s">
        <v>27</v>
      </c>
      <c r="C2311" t="s">
        <v>28</v>
      </c>
      <c r="H2311" s="2">
        <v>45470.539143518516</v>
      </c>
      <c r="I2311" t="s">
        <v>556</v>
      </c>
      <c r="Z2311">
        <v>86271</v>
      </c>
    </row>
    <row r="2312" spans="1:26" x14ac:dyDescent="0.25">
      <c r="A2312" t="s">
        <v>2711</v>
      </c>
      <c r="B2312" t="s">
        <v>27</v>
      </c>
      <c r="C2312" t="s">
        <v>28</v>
      </c>
      <c r="H2312" s="2">
        <v>45470.52480324074</v>
      </c>
      <c r="I2312" t="s">
        <v>556</v>
      </c>
      <c r="Z2312">
        <v>86266</v>
      </c>
    </row>
    <row r="2313" spans="1:26" x14ac:dyDescent="0.25">
      <c r="A2313" t="s">
        <v>2712</v>
      </c>
      <c r="B2313" t="s">
        <v>74</v>
      </c>
      <c r="C2313" t="s">
        <v>28</v>
      </c>
      <c r="E2313" t="s">
        <v>101</v>
      </c>
      <c r="G2313" t="s">
        <v>2713</v>
      </c>
      <c r="H2313" s="2">
        <v>45470.451516203706</v>
      </c>
      <c r="I2313" t="s">
        <v>2681</v>
      </c>
      <c r="Z2313">
        <v>86260</v>
      </c>
    </row>
    <row r="2314" spans="1:26" x14ac:dyDescent="0.25">
      <c r="A2314" t="s">
        <v>2714</v>
      </c>
      <c r="B2314" t="s">
        <v>27</v>
      </c>
      <c r="C2314" t="s">
        <v>28</v>
      </c>
      <c r="H2314" s="2">
        <v>45469.782604166663</v>
      </c>
      <c r="I2314" t="s">
        <v>2681</v>
      </c>
      <c r="Z2314">
        <v>86246</v>
      </c>
    </row>
    <row r="2315" spans="1:26" x14ac:dyDescent="0.25">
      <c r="A2315" t="s">
        <v>2715</v>
      </c>
      <c r="B2315" t="s">
        <v>27</v>
      </c>
      <c r="C2315" t="s">
        <v>28</v>
      </c>
      <c r="H2315" s="2">
        <v>45469.695173611108</v>
      </c>
      <c r="I2315" t="s">
        <v>2681</v>
      </c>
      <c r="Z2315">
        <v>86237</v>
      </c>
    </row>
    <row r="2316" spans="1:26" x14ac:dyDescent="0.25">
      <c r="A2316" t="s">
        <v>2716</v>
      </c>
      <c r="B2316" t="s">
        <v>27</v>
      </c>
      <c r="C2316" t="s">
        <v>28</v>
      </c>
      <c r="E2316" t="s">
        <v>2717</v>
      </c>
      <c r="H2316" s="2">
        <v>45469.571481481478</v>
      </c>
      <c r="I2316" t="s">
        <v>556</v>
      </c>
      <c r="Z2316">
        <v>86216</v>
      </c>
    </row>
    <row r="2317" spans="1:26" x14ac:dyDescent="0.25">
      <c r="A2317" t="s">
        <v>1177</v>
      </c>
      <c r="B2317" t="s">
        <v>1708</v>
      </c>
      <c r="C2317" t="s">
        <v>28</v>
      </c>
      <c r="E2317" t="s">
        <v>2718</v>
      </c>
      <c r="H2317" s="2">
        <v>45469.531041666669</v>
      </c>
      <c r="I2317" t="s">
        <v>31</v>
      </c>
      <c r="Z2317">
        <v>86210</v>
      </c>
    </row>
    <row r="2318" spans="1:26" x14ac:dyDescent="0.25">
      <c r="A2318" t="s">
        <v>2719</v>
      </c>
      <c r="B2318" t="s">
        <v>27</v>
      </c>
      <c r="C2318" t="s">
        <v>28</v>
      </c>
      <c r="H2318" s="2">
        <v>45469.477453703701</v>
      </c>
      <c r="I2318" t="s">
        <v>2720</v>
      </c>
      <c r="Z2318">
        <v>86202</v>
      </c>
    </row>
    <row r="2319" spans="1:26" x14ac:dyDescent="0.25">
      <c r="A2319" t="s">
        <v>2721</v>
      </c>
      <c r="C2319" t="s">
        <v>28</v>
      </c>
      <c r="E2319" t="s">
        <v>2722</v>
      </c>
      <c r="H2319" s="2">
        <v>45469.421076388891</v>
      </c>
      <c r="I2319" t="s">
        <v>556</v>
      </c>
      <c r="Z2319">
        <v>86192</v>
      </c>
    </row>
    <row r="2320" spans="1:26" x14ac:dyDescent="0.25">
      <c r="A2320" t="s">
        <v>2723</v>
      </c>
      <c r="B2320" t="s">
        <v>27</v>
      </c>
      <c r="C2320" t="s">
        <v>28</v>
      </c>
      <c r="H2320" s="2">
        <v>45469.391145833331</v>
      </c>
      <c r="I2320" t="s">
        <v>556</v>
      </c>
      <c r="Z2320">
        <v>86189</v>
      </c>
    </row>
    <row r="2321" spans="1:26" x14ac:dyDescent="0.25">
      <c r="A2321" t="s">
        <v>2724</v>
      </c>
      <c r="B2321" t="s">
        <v>27</v>
      </c>
      <c r="C2321" t="s">
        <v>28</v>
      </c>
      <c r="H2321" s="2">
        <v>45468.703032407408</v>
      </c>
      <c r="I2321" t="s">
        <v>2681</v>
      </c>
      <c r="Z2321">
        <v>86169</v>
      </c>
    </row>
    <row r="2322" spans="1:26" x14ac:dyDescent="0.25">
      <c r="A2322" t="s">
        <v>2725</v>
      </c>
      <c r="B2322" t="s">
        <v>27</v>
      </c>
      <c r="C2322" t="s">
        <v>28</v>
      </c>
      <c r="H2322" s="2">
        <v>45468.66070601852</v>
      </c>
      <c r="I2322" t="s">
        <v>556</v>
      </c>
      <c r="Z2322">
        <v>86164</v>
      </c>
    </row>
    <row r="2323" spans="1:26" x14ac:dyDescent="0.25">
      <c r="A2323" t="s">
        <v>2726</v>
      </c>
      <c r="B2323" t="s">
        <v>27</v>
      </c>
      <c r="C2323" t="s">
        <v>28</v>
      </c>
      <c r="H2323" s="2">
        <v>45468.53434027778</v>
      </c>
      <c r="I2323" t="s">
        <v>556</v>
      </c>
      <c r="Z2323">
        <v>86142</v>
      </c>
    </row>
    <row r="2324" spans="1:26" x14ac:dyDescent="0.25">
      <c r="A2324" t="s">
        <v>2727</v>
      </c>
      <c r="B2324" t="s">
        <v>27</v>
      </c>
      <c r="C2324" t="s">
        <v>28</v>
      </c>
      <c r="H2324" s="2">
        <v>45467.766238425924</v>
      </c>
      <c r="I2324" t="s">
        <v>2674</v>
      </c>
      <c r="Z2324">
        <v>86115</v>
      </c>
    </row>
    <row r="2325" spans="1:26" x14ac:dyDescent="0.25">
      <c r="A2325" t="s">
        <v>2728</v>
      </c>
      <c r="B2325" t="s">
        <v>27</v>
      </c>
      <c r="C2325" t="s">
        <v>28</v>
      </c>
      <c r="H2325" s="2">
        <v>45467.65662037037</v>
      </c>
      <c r="I2325" t="s">
        <v>2681</v>
      </c>
      <c r="Z2325">
        <v>86102</v>
      </c>
    </row>
    <row r="2326" spans="1:26" x14ac:dyDescent="0.25">
      <c r="A2326" t="s">
        <v>2729</v>
      </c>
      <c r="B2326" t="s">
        <v>27</v>
      </c>
      <c r="C2326" t="s">
        <v>28</v>
      </c>
      <c r="H2326" s="2">
        <v>45467.537048611113</v>
      </c>
      <c r="I2326" t="s">
        <v>2674</v>
      </c>
      <c r="Z2326">
        <v>86086</v>
      </c>
    </row>
    <row r="2327" spans="1:26" x14ac:dyDescent="0.25">
      <c r="A2327" t="s">
        <v>2730</v>
      </c>
      <c r="B2327" t="s">
        <v>27</v>
      </c>
      <c r="C2327" t="s">
        <v>28</v>
      </c>
      <c r="H2327" s="2">
        <v>45467.462187500001</v>
      </c>
      <c r="I2327" t="s">
        <v>2681</v>
      </c>
      <c r="Z2327">
        <v>86072</v>
      </c>
    </row>
    <row r="2328" spans="1:26" x14ac:dyDescent="0.25">
      <c r="A2328" t="s">
        <v>2240</v>
      </c>
      <c r="B2328" t="s">
        <v>27</v>
      </c>
      <c r="C2328" t="s">
        <v>28</v>
      </c>
      <c r="H2328" s="2">
        <v>45467.400717592594</v>
      </c>
      <c r="I2328" t="s">
        <v>2681</v>
      </c>
      <c r="Z2328">
        <v>86059</v>
      </c>
    </row>
    <row r="2329" spans="1:26" x14ac:dyDescent="0.25">
      <c r="A2329" t="s">
        <v>606</v>
      </c>
      <c r="B2329" t="s">
        <v>306</v>
      </c>
      <c r="C2329" t="s">
        <v>28</v>
      </c>
      <c r="E2329" t="s">
        <v>458</v>
      </c>
      <c r="H2329" s="2">
        <v>45466.668807870374</v>
      </c>
      <c r="I2329" t="s">
        <v>2674</v>
      </c>
      <c r="Z2329">
        <v>86043</v>
      </c>
    </row>
    <row r="2330" spans="1:26" x14ac:dyDescent="0.25">
      <c r="A2330" t="s">
        <v>2731</v>
      </c>
      <c r="B2330" t="s">
        <v>27</v>
      </c>
      <c r="C2330" t="s">
        <v>28</v>
      </c>
      <c r="H2330" s="2">
        <v>45466.586527777778</v>
      </c>
      <c r="I2330" t="s">
        <v>2674</v>
      </c>
      <c r="Z2330">
        <v>86037</v>
      </c>
    </row>
    <row r="2331" spans="1:26" x14ac:dyDescent="0.25">
      <c r="A2331" t="s">
        <v>2732</v>
      </c>
      <c r="B2331" t="s">
        <v>27</v>
      </c>
      <c r="C2331" t="s">
        <v>28</v>
      </c>
      <c r="H2331" s="2">
        <v>45465.582604166666</v>
      </c>
      <c r="I2331" t="s">
        <v>1488</v>
      </c>
      <c r="Z2331">
        <v>86000</v>
      </c>
    </row>
    <row r="2332" spans="1:26" x14ac:dyDescent="0.25">
      <c r="A2332" t="s">
        <v>2733</v>
      </c>
      <c r="B2332" t="s">
        <v>27</v>
      </c>
      <c r="C2332" t="s">
        <v>28</v>
      </c>
      <c r="H2332" s="2">
        <v>45464.798321759263</v>
      </c>
      <c r="I2332" t="s">
        <v>556</v>
      </c>
      <c r="Z2332">
        <v>85981</v>
      </c>
    </row>
    <row r="2333" spans="1:26" x14ac:dyDescent="0.25">
      <c r="A2333" t="s">
        <v>2734</v>
      </c>
      <c r="B2333" t="s">
        <v>27</v>
      </c>
      <c r="C2333" t="s">
        <v>28</v>
      </c>
      <c r="H2333" s="2">
        <v>45464.673171296294</v>
      </c>
      <c r="I2333" t="s">
        <v>556</v>
      </c>
      <c r="Z2333">
        <v>85972</v>
      </c>
    </row>
    <row r="2334" spans="1:26" x14ac:dyDescent="0.25">
      <c r="A2334" t="s">
        <v>2735</v>
      </c>
      <c r="B2334" t="s">
        <v>27</v>
      </c>
      <c r="C2334" t="s">
        <v>28</v>
      </c>
      <c r="H2334" s="2">
        <v>45464.511481481481</v>
      </c>
      <c r="I2334" t="s">
        <v>1488</v>
      </c>
      <c r="Z2334">
        <v>85953</v>
      </c>
    </row>
    <row r="2335" spans="1:26" x14ac:dyDescent="0.25">
      <c r="A2335" t="s">
        <v>663</v>
      </c>
      <c r="C2335" t="s">
        <v>28</v>
      </c>
      <c r="E2335" t="s">
        <v>209</v>
      </c>
      <c r="H2335" s="2">
        <v>45464.003599537034</v>
      </c>
      <c r="I2335" t="s">
        <v>1488</v>
      </c>
      <c r="Z2335">
        <v>85934</v>
      </c>
    </row>
    <row r="2336" spans="1:26" x14ac:dyDescent="0.25">
      <c r="A2336" t="s">
        <v>2736</v>
      </c>
      <c r="B2336" t="s">
        <v>74</v>
      </c>
      <c r="C2336" t="s">
        <v>28</v>
      </c>
      <c r="E2336" t="s">
        <v>2737</v>
      </c>
      <c r="G2336" t="s">
        <v>2738</v>
      </c>
      <c r="H2336" s="2">
        <v>45463.883611111109</v>
      </c>
      <c r="I2336" t="s">
        <v>1488</v>
      </c>
      <c r="Z2336">
        <v>85931</v>
      </c>
    </row>
    <row r="2337" spans="1:26" x14ac:dyDescent="0.25">
      <c r="A2337" t="s">
        <v>2739</v>
      </c>
      <c r="B2337" t="s">
        <v>27</v>
      </c>
      <c r="C2337" t="s">
        <v>28</v>
      </c>
      <c r="H2337" s="2">
        <v>45463.653194444443</v>
      </c>
      <c r="I2337" t="s">
        <v>556</v>
      </c>
      <c r="Z2337">
        <v>85905</v>
      </c>
    </row>
    <row r="2338" spans="1:26" x14ac:dyDescent="0.25">
      <c r="A2338" t="s">
        <v>2740</v>
      </c>
      <c r="B2338" t="s">
        <v>27</v>
      </c>
      <c r="C2338" t="s">
        <v>28</v>
      </c>
      <c r="H2338" s="2">
        <v>45463.512499999997</v>
      </c>
      <c r="I2338" t="s">
        <v>1488</v>
      </c>
      <c r="Z2338">
        <v>85887</v>
      </c>
    </row>
    <row r="2339" spans="1:26" x14ac:dyDescent="0.25">
      <c r="A2339" t="s">
        <v>2741</v>
      </c>
      <c r="B2339" t="s">
        <v>1708</v>
      </c>
      <c r="C2339" t="s">
        <v>28</v>
      </c>
      <c r="E2339" t="s">
        <v>2267</v>
      </c>
      <c r="H2339" s="2">
        <v>45462.873657407406</v>
      </c>
      <c r="I2339" t="s">
        <v>556</v>
      </c>
      <c r="Z2339">
        <v>85867</v>
      </c>
    </row>
    <row r="2340" spans="1:26" x14ac:dyDescent="0.25">
      <c r="A2340" t="s">
        <v>2742</v>
      </c>
      <c r="B2340" t="s">
        <v>27</v>
      </c>
      <c r="C2340" t="s">
        <v>28</v>
      </c>
      <c r="H2340" s="2">
        <v>45462.779629629629</v>
      </c>
      <c r="I2340" t="s">
        <v>556</v>
      </c>
      <c r="Z2340">
        <v>85861</v>
      </c>
    </row>
    <row r="2341" spans="1:26" x14ac:dyDescent="0.25">
      <c r="A2341" t="s">
        <v>2743</v>
      </c>
      <c r="B2341" t="s">
        <v>27</v>
      </c>
      <c r="C2341" t="s">
        <v>28</v>
      </c>
      <c r="H2341" s="2">
        <v>45462.667534722219</v>
      </c>
      <c r="I2341" t="s">
        <v>556</v>
      </c>
      <c r="Z2341">
        <v>85852</v>
      </c>
    </row>
    <row r="2342" spans="1:26" x14ac:dyDescent="0.25">
      <c r="A2342" t="s">
        <v>2744</v>
      </c>
      <c r="B2342" t="s">
        <v>27</v>
      </c>
      <c r="C2342" t="s">
        <v>28</v>
      </c>
      <c r="H2342" s="2">
        <v>45462.485625000001</v>
      </c>
      <c r="I2342" t="s">
        <v>556</v>
      </c>
      <c r="Z2342">
        <v>85828</v>
      </c>
    </row>
    <row r="2343" spans="1:26" x14ac:dyDescent="0.25">
      <c r="A2343" t="s">
        <v>2745</v>
      </c>
      <c r="B2343" t="s">
        <v>27</v>
      </c>
      <c r="C2343" t="s">
        <v>28</v>
      </c>
      <c r="H2343" s="2">
        <v>45461.860138888886</v>
      </c>
      <c r="I2343" t="s">
        <v>2674</v>
      </c>
      <c r="Z2343">
        <v>85809</v>
      </c>
    </row>
    <row r="2344" spans="1:26" x14ac:dyDescent="0.25">
      <c r="A2344" t="s">
        <v>2746</v>
      </c>
      <c r="B2344" t="s">
        <v>27</v>
      </c>
      <c r="C2344" t="s">
        <v>28</v>
      </c>
      <c r="H2344" s="2">
        <v>45461.780162037037</v>
      </c>
      <c r="I2344" t="s">
        <v>1488</v>
      </c>
      <c r="Z2344">
        <v>85803</v>
      </c>
    </row>
    <row r="2345" spans="1:26" x14ac:dyDescent="0.25">
      <c r="A2345" t="s">
        <v>2747</v>
      </c>
      <c r="B2345" t="s">
        <v>27</v>
      </c>
      <c r="C2345" t="s">
        <v>28</v>
      </c>
      <c r="H2345" s="2">
        <v>45461.707094907404</v>
      </c>
      <c r="I2345" t="s">
        <v>2674</v>
      </c>
      <c r="Z2345">
        <v>85791</v>
      </c>
    </row>
    <row r="2346" spans="1:26" x14ac:dyDescent="0.25">
      <c r="A2346" t="s">
        <v>2748</v>
      </c>
      <c r="B2346" t="s">
        <v>27</v>
      </c>
      <c r="C2346" t="s">
        <v>28</v>
      </c>
      <c r="E2346" t="s">
        <v>304</v>
      </c>
      <c r="G2346" t="s">
        <v>2749</v>
      </c>
      <c r="H2346" s="2">
        <v>45461.644004629627</v>
      </c>
      <c r="I2346" t="s">
        <v>1488</v>
      </c>
      <c r="Z2346">
        <v>85783</v>
      </c>
    </row>
    <row r="2347" spans="1:26" x14ac:dyDescent="0.25">
      <c r="A2347" t="s">
        <v>2750</v>
      </c>
      <c r="B2347" t="s">
        <v>1403</v>
      </c>
      <c r="C2347" t="s">
        <v>28</v>
      </c>
      <c r="E2347" t="s">
        <v>2751</v>
      </c>
      <c r="H2347" s="2">
        <v>45461.605219907404</v>
      </c>
      <c r="I2347" t="s">
        <v>1488</v>
      </c>
      <c r="Z2347">
        <v>85776</v>
      </c>
    </row>
    <row r="2348" spans="1:26" x14ac:dyDescent="0.25">
      <c r="A2348" t="s">
        <v>2752</v>
      </c>
      <c r="B2348" t="s">
        <v>27</v>
      </c>
      <c r="C2348" t="s">
        <v>28</v>
      </c>
      <c r="H2348" s="2">
        <v>45461.57880787037</v>
      </c>
      <c r="I2348" t="s">
        <v>2674</v>
      </c>
      <c r="Z2348">
        <v>85773</v>
      </c>
    </row>
    <row r="2349" spans="1:26" x14ac:dyDescent="0.25">
      <c r="A2349" t="s">
        <v>2753</v>
      </c>
      <c r="B2349" t="s">
        <v>27</v>
      </c>
      <c r="C2349" t="s">
        <v>28</v>
      </c>
      <c r="H2349" s="2">
        <v>45461.446909722225</v>
      </c>
      <c r="I2349" t="s">
        <v>1488</v>
      </c>
      <c r="Z2349">
        <v>85755</v>
      </c>
    </row>
    <row r="2350" spans="1:26" x14ac:dyDescent="0.25">
      <c r="A2350" t="s">
        <v>2754</v>
      </c>
      <c r="B2350" t="s">
        <v>27</v>
      </c>
      <c r="C2350" t="s">
        <v>28</v>
      </c>
      <c r="H2350" s="2">
        <v>45461.385925925926</v>
      </c>
      <c r="I2350" t="s">
        <v>1488</v>
      </c>
      <c r="Z2350">
        <v>85749</v>
      </c>
    </row>
    <row r="2351" spans="1:26" x14ac:dyDescent="0.25">
      <c r="A2351" t="s">
        <v>1992</v>
      </c>
      <c r="B2351" t="s">
        <v>1708</v>
      </c>
      <c r="C2351" t="s">
        <v>28</v>
      </c>
      <c r="E2351" t="s">
        <v>2755</v>
      </c>
      <c r="H2351" s="2">
        <v>45461.117638888885</v>
      </c>
      <c r="I2351" t="s">
        <v>1488</v>
      </c>
      <c r="Z2351">
        <v>85743</v>
      </c>
    </row>
    <row r="2352" spans="1:26" x14ac:dyDescent="0.25">
      <c r="A2352" t="s">
        <v>2756</v>
      </c>
      <c r="B2352" t="s">
        <v>1403</v>
      </c>
      <c r="C2352" t="s">
        <v>28</v>
      </c>
      <c r="E2352" t="s">
        <v>2757</v>
      </c>
      <c r="G2352" t="s">
        <v>2758</v>
      </c>
      <c r="H2352" s="2">
        <v>45460.858495370368</v>
      </c>
      <c r="I2352" t="s">
        <v>2681</v>
      </c>
      <c r="K2352" t="s">
        <v>34</v>
      </c>
      <c r="L2352" t="s">
        <v>35</v>
      </c>
      <c r="M2352">
        <v>55887089</v>
      </c>
      <c r="N2352">
        <v>12886156207</v>
      </c>
      <c r="O2352" t="s">
        <v>2759</v>
      </c>
      <c r="Z2352">
        <v>85740</v>
      </c>
    </row>
    <row r="2353" spans="1:26" x14ac:dyDescent="0.25">
      <c r="A2353" t="s">
        <v>2240</v>
      </c>
      <c r="B2353" t="s">
        <v>27</v>
      </c>
      <c r="C2353" t="s">
        <v>28</v>
      </c>
      <c r="H2353" s="2">
        <v>45460.716423611113</v>
      </c>
      <c r="I2353" t="s">
        <v>2681</v>
      </c>
      <c r="Z2353">
        <v>85720</v>
      </c>
    </row>
    <row r="2354" spans="1:26" x14ac:dyDescent="0.25">
      <c r="A2354" t="s">
        <v>2760</v>
      </c>
      <c r="B2354" t="s">
        <v>27</v>
      </c>
      <c r="C2354" t="s">
        <v>28</v>
      </c>
      <c r="H2354" s="2">
        <v>45460.45652777778</v>
      </c>
      <c r="I2354" t="s">
        <v>2681</v>
      </c>
      <c r="Z2354">
        <v>85669</v>
      </c>
    </row>
    <row r="2355" spans="1:26" x14ac:dyDescent="0.25">
      <c r="A2355" t="s">
        <v>2761</v>
      </c>
      <c r="B2355" t="s">
        <v>27</v>
      </c>
      <c r="C2355" t="s">
        <v>28</v>
      </c>
      <c r="H2355" s="2">
        <v>45460.384502314817</v>
      </c>
      <c r="I2355" t="s">
        <v>2674</v>
      </c>
      <c r="Z2355">
        <v>85662</v>
      </c>
    </row>
    <row r="2356" spans="1:26" x14ac:dyDescent="0.25">
      <c r="A2356" t="s">
        <v>2125</v>
      </c>
      <c r="B2356" t="s">
        <v>27</v>
      </c>
      <c r="C2356" t="s">
        <v>28</v>
      </c>
      <c r="H2356" s="2">
        <v>45459.431840277779</v>
      </c>
      <c r="I2356" t="s">
        <v>2674</v>
      </c>
      <c r="Z2356">
        <v>85598</v>
      </c>
    </row>
    <row r="2357" spans="1:26" x14ac:dyDescent="0.25">
      <c r="A2357" t="s">
        <v>2762</v>
      </c>
      <c r="B2357" t="s">
        <v>27</v>
      </c>
      <c r="C2357" t="s">
        <v>28</v>
      </c>
      <c r="H2357" s="2">
        <v>45458.700706018521</v>
      </c>
      <c r="I2357" t="s">
        <v>556</v>
      </c>
      <c r="Z2357">
        <v>85584</v>
      </c>
    </row>
    <row r="2358" spans="1:26" x14ac:dyDescent="0.25">
      <c r="A2358" t="s">
        <v>2763</v>
      </c>
      <c r="B2358" t="s">
        <v>27</v>
      </c>
      <c r="C2358" t="s">
        <v>28</v>
      </c>
      <c r="H2358" s="2">
        <v>45458.465092592596</v>
      </c>
      <c r="I2358" t="s">
        <v>2681</v>
      </c>
      <c r="Z2358">
        <v>85553</v>
      </c>
    </row>
    <row r="2359" spans="1:26" x14ac:dyDescent="0.25">
      <c r="A2359" t="s">
        <v>2764</v>
      </c>
      <c r="B2359" t="s">
        <v>1403</v>
      </c>
      <c r="C2359" t="s">
        <v>28</v>
      </c>
      <c r="E2359" t="s">
        <v>2590</v>
      </c>
      <c r="H2359" s="2">
        <v>45457.96197916667</v>
      </c>
      <c r="I2359" t="s">
        <v>2681</v>
      </c>
      <c r="Z2359">
        <v>85546</v>
      </c>
    </row>
    <row r="2360" spans="1:26" x14ac:dyDescent="0.25">
      <c r="A2360" t="s">
        <v>663</v>
      </c>
      <c r="C2360" t="s">
        <v>28</v>
      </c>
      <c r="E2360" t="s">
        <v>356</v>
      </c>
      <c r="H2360" s="2">
        <v>45457.809849537036</v>
      </c>
      <c r="I2360" t="s">
        <v>1488</v>
      </c>
      <c r="Z2360">
        <v>85531</v>
      </c>
    </row>
    <row r="2361" spans="1:26" x14ac:dyDescent="0.25">
      <c r="A2361" t="s">
        <v>570</v>
      </c>
      <c r="C2361" t="s">
        <v>28</v>
      </c>
      <c r="E2361" t="s">
        <v>929</v>
      </c>
      <c r="H2361" s="2">
        <v>45457.754236111112</v>
      </c>
      <c r="I2361" t="s">
        <v>1488</v>
      </c>
      <c r="Z2361">
        <v>85527</v>
      </c>
    </row>
    <row r="2362" spans="1:26" x14ac:dyDescent="0.25">
      <c r="A2362" t="s">
        <v>606</v>
      </c>
      <c r="B2362" t="s">
        <v>306</v>
      </c>
      <c r="C2362" t="s">
        <v>75</v>
      </c>
      <c r="E2362" t="s">
        <v>146</v>
      </c>
      <c r="G2362" t="s">
        <v>2765</v>
      </c>
      <c r="H2362" s="2">
        <v>45457.487662037034</v>
      </c>
      <c r="I2362" t="s">
        <v>556</v>
      </c>
      <c r="Z2362">
        <v>85492</v>
      </c>
    </row>
    <row r="2363" spans="1:26" x14ac:dyDescent="0.25">
      <c r="A2363" t="s">
        <v>2766</v>
      </c>
      <c r="B2363" t="s">
        <v>27</v>
      </c>
      <c r="C2363" t="s">
        <v>28</v>
      </c>
      <c r="H2363" s="2">
        <v>45457.469965277778</v>
      </c>
      <c r="I2363" t="s">
        <v>1488</v>
      </c>
      <c r="Z2363">
        <v>85489</v>
      </c>
    </row>
    <row r="2364" spans="1:26" x14ac:dyDescent="0.25">
      <c r="A2364" t="s">
        <v>2767</v>
      </c>
      <c r="B2364" t="s">
        <v>27</v>
      </c>
      <c r="C2364" t="s">
        <v>28</v>
      </c>
      <c r="H2364" s="2">
        <v>45456.691087962965</v>
      </c>
      <c r="I2364" t="s">
        <v>556</v>
      </c>
      <c r="Z2364">
        <v>85453</v>
      </c>
    </row>
    <row r="2365" spans="1:26" x14ac:dyDescent="0.25">
      <c r="A2365" t="s">
        <v>2768</v>
      </c>
      <c r="B2365" t="s">
        <v>27</v>
      </c>
      <c r="C2365" t="s">
        <v>28</v>
      </c>
      <c r="H2365" s="2">
        <v>45456.670567129629</v>
      </c>
      <c r="I2365" t="s">
        <v>556</v>
      </c>
      <c r="Z2365">
        <v>85447</v>
      </c>
    </row>
    <row r="2366" spans="1:26" x14ac:dyDescent="0.25">
      <c r="A2366" t="s">
        <v>2769</v>
      </c>
      <c r="B2366" t="s">
        <v>306</v>
      </c>
      <c r="C2366" t="s">
        <v>28</v>
      </c>
      <c r="E2366" t="s">
        <v>2770</v>
      </c>
      <c r="H2366" s="2">
        <v>45456.515439814815</v>
      </c>
      <c r="I2366" t="s">
        <v>2681</v>
      </c>
      <c r="K2366" t="s">
        <v>34</v>
      </c>
      <c r="L2366" t="s">
        <v>35</v>
      </c>
      <c r="M2366">
        <v>55887089</v>
      </c>
      <c r="N2366">
        <v>9754619189</v>
      </c>
      <c r="O2366" t="s">
        <v>2771</v>
      </c>
      <c r="Z2366">
        <v>85421</v>
      </c>
    </row>
    <row r="2367" spans="1:26" x14ac:dyDescent="0.25">
      <c r="A2367" t="s">
        <v>2772</v>
      </c>
      <c r="B2367" t="s">
        <v>27</v>
      </c>
      <c r="C2367" t="s">
        <v>28</v>
      </c>
      <c r="H2367" s="2">
        <v>45456.506898148145</v>
      </c>
      <c r="I2367" t="s">
        <v>2681</v>
      </c>
      <c r="Z2367">
        <v>85420</v>
      </c>
    </row>
    <row r="2368" spans="1:26" x14ac:dyDescent="0.25">
      <c r="A2368" t="s">
        <v>2773</v>
      </c>
      <c r="B2368" t="s">
        <v>27</v>
      </c>
      <c r="C2368" t="s">
        <v>28</v>
      </c>
      <c r="H2368" s="2">
        <v>45456.484351851854</v>
      </c>
      <c r="I2368" t="s">
        <v>556</v>
      </c>
      <c r="Z2368">
        <v>85416</v>
      </c>
    </row>
    <row r="2369" spans="1:26" x14ac:dyDescent="0.25">
      <c r="A2369" t="s">
        <v>2774</v>
      </c>
      <c r="B2369" t="s">
        <v>27</v>
      </c>
      <c r="C2369" t="s">
        <v>28</v>
      </c>
      <c r="H2369" s="2">
        <v>45456.454050925924</v>
      </c>
      <c r="I2369" t="s">
        <v>556</v>
      </c>
      <c r="Z2369">
        <v>85410</v>
      </c>
    </row>
    <row r="2370" spans="1:26" x14ac:dyDescent="0.25">
      <c r="A2370" t="s">
        <v>2775</v>
      </c>
      <c r="B2370" t="s">
        <v>27</v>
      </c>
      <c r="C2370" t="s">
        <v>28</v>
      </c>
      <c r="H2370" s="2">
        <v>45456.44253472222</v>
      </c>
      <c r="I2370" t="s">
        <v>2681</v>
      </c>
      <c r="Z2370">
        <v>85408</v>
      </c>
    </row>
    <row r="2371" spans="1:26" x14ac:dyDescent="0.25">
      <c r="A2371" t="s">
        <v>2776</v>
      </c>
      <c r="B2371" t="s">
        <v>27</v>
      </c>
      <c r="C2371" t="s">
        <v>28</v>
      </c>
      <c r="H2371" s="2">
        <v>45455.711863425924</v>
      </c>
      <c r="I2371" t="s">
        <v>2674</v>
      </c>
      <c r="Z2371">
        <v>85390</v>
      </c>
    </row>
    <row r="2372" spans="1:26" x14ac:dyDescent="0.25">
      <c r="A2372" t="s">
        <v>2777</v>
      </c>
      <c r="B2372" t="s">
        <v>27</v>
      </c>
      <c r="C2372" t="s">
        <v>28</v>
      </c>
      <c r="H2372" s="2">
        <v>45455.433958333335</v>
      </c>
      <c r="I2372" t="s">
        <v>2674</v>
      </c>
      <c r="Z2372">
        <v>85361</v>
      </c>
    </row>
    <row r="2373" spans="1:26" x14ac:dyDescent="0.25">
      <c r="A2373" t="s">
        <v>2778</v>
      </c>
      <c r="B2373" t="s">
        <v>1403</v>
      </c>
      <c r="C2373" t="s">
        <v>28</v>
      </c>
      <c r="E2373" t="s">
        <v>1406</v>
      </c>
      <c r="G2373" t="s">
        <v>2573</v>
      </c>
      <c r="H2373" s="2">
        <v>45454.998553240737</v>
      </c>
      <c r="I2373" t="s">
        <v>2674</v>
      </c>
      <c r="Z2373">
        <v>85349</v>
      </c>
    </row>
    <row r="2374" spans="1:26" x14ac:dyDescent="0.25">
      <c r="A2374" t="s">
        <v>2779</v>
      </c>
      <c r="B2374" t="s">
        <v>27</v>
      </c>
      <c r="C2374" t="s">
        <v>28</v>
      </c>
      <c r="H2374" s="2">
        <v>45454.822118055556</v>
      </c>
      <c r="I2374" t="s">
        <v>2674</v>
      </c>
      <c r="Z2374">
        <v>85336</v>
      </c>
    </row>
    <row r="2375" spans="1:26" x14ac:dyDescent="0.25">
      <c r="A2375" t="s">
        <v>2780</v>
      </c>
      <c r="C2375" t="s">
        <v>28</v>
      </c>
      <c r="E2375" t="s">
        <v>290</v>
      </c>
      <c r="H2375" s="2">
        <v>45454.804710648146</v>
      </c>
      <c r="I2375" t="s">
        <v>1488</v>
      </c>
      <c r="Z2375">
        <v>85334</v>
      </c>
    </row>
    <row r="2376" spans="1:26" x14ac:dyDescent="0.25">
      <c r="A2376" t="s">
        <v>2781</v>
      </c>
      <c r="B2376" t="s">
        <v>27</v>
      </c>
      <c r="C2376" t="s">
        <v>28</v>
      </c>
      <c r="H2376" s="2">
        <v>45454.574537037035</v>
      </c>
      <c r="I2376" t="s">
        <v>2674</v>
      </c>
      <c r="Z2376">
        <v>85298</v>
      </c>
    </row>
    <row r="2377" spans="1:26" x14ac:dyDescent="0.25">
      <c r="A2377" t="s">
        <v>2782</v>
      </c>
      <c r="B2377" t="s">
        <v>1708</v>
      </c>
      <c r="C2377" t="s">
        <v>28</v>
      </c>
      <c r="E2377" t="s">
        <v>370</v>
      </c>
      <c r="H2377" s="2">
        <v>45454.471203703702</v>
      </c>
      <c r="I2377" t="s">
        <v>1488</v>
      </c>
      <c r="K2377" t="s">
        <v>34</v>
      </c>
      <c r="L2377" t="s">
        <v>35</v>
      </c>
      <c r="M2377">
        <v>104108031</v>
      </c>
      <c r="N2377">
        <v>15719003148</v>
      </c>
      <c r="O2377" t="s">
        <v>2290</v>
      </c>
      <c r="Z2377">
        <v>85281</v>
      </c>
    </row>
    <row r="2378" spans="1:26" x14ac:dyDescent="0.25">
      <c r="A2378" t="s">
        <v>2783</v>
      </c>
      <c r="B2378" t="s">
        <v>1403</v>
      </c>
      <c r="C2378" t="s">
        <v>28</v>
      </c>
      <c r="E2378" t="s">
        <v>209</v>
      </c>
      <c r="G2378" t="s">
        <v>2784</v>
      </c>
      <c r="H2378" s="2">
        <v>45453.921111111114</v>
      </c>
      <c r="I2378" t="s">
        <v>1488</v>
      </c>
      <c r="Z2378">
        <v>85261</v>
      </c>
    </row>
    <row r="2379" spans="1:26" x14ac:dyDescent="0.25">
      <c r="A2379" t="s">
        <v>2785</v>
      </c>
      <c r="B2379" t="s">
        <v>27</v>
      </c>
      <c r="C2379" t="s">
        <v>28</v>
      </c>
      <c r="H2379" s="2">
        <v>45453.797511574077</v>
      </c>
      <c r="I2379" t="s">
        <v>1488</v>
      </c>
      <c r="Z2379">
        <v>85248</v>
      </c>
    </row>
    <row r="2380" spans="1:26" x14ac:dyDescent="0.25">
      <c r="A2380" t="s">
        <v>2786</v>
      </c>
      <c r="B2380" t="s">
        <v>27</v>
      </c>
      <c r="C2380" t="s">
        <v>28</v>
      </c>
      <c r="H2380" s="2">
        <v>45453.434918981482</v>
      </c>
      <c r="I2380" t="s">
        <v>2148</v>
      </c>
      <c r="Z2380">
        <v>85189</v>
      </c>
    </row>
    <row r="2381" spans="1:26" x14ac:dyDescent="0.25">
      <c r="A2381" t="s">
        <v>2787</v>
      </c>
      <c r="B2381" t="s">
        <v>1708</v>
      </c>
      <c r="C2381" t="s">
        <v>28</v>
      </c>
      <c r="E2381" t="s">
        <v>72</v>
      </c>
      <c r="H2381" s="2">
        <v>45452.906493055554</v>
      </c>
      <c r="I2381" t="s">
        <v>1488</v>
      </c>
      <c r="Z2381">
        <v>85178</v>
      </c>
    </row>
    <row r="2382" spans="1:26" x14ac:dyDescent="0.25">
      <c r="A2382" t="s">
        <v>2788</v>
      </c>
      <c r="B2382" t="s">
        <v>27</v>
      </c>
      <c r="C2382" t="s">
        <v>28</v>
      </c>
      <c r="E2382" t="s">
        <v>2789</v>
      </c>
      <c r="G2382" t="s">
        <v>607</v>
      </c>
      <c r="H2382" s="2">
        <v>45452.880740740744</v>
      </c>
      <c r="I2382" t="s">
        <v>2148</v>
      </c>
      <c r="Z2382">
        <v>85176</v>
      </c>
    </row>
    <row r="2383" spans="1:26" x14ac:dyDescent="0.25">
      <c r="A2383" t="s">
        <v>2790</v>
      </c>
      <c r="B2383" t="s">
        <v>27</v>
      </c>
      <c r="C2383" t="s">
        <v>28</v>
      </c>
      <c r="H2383" s="2">
        <v>45452.481423611112</v>
      </c>
      <c r="I2383" t="s">
        <v>2791</v>
      </c>
      <c r="Z2383">
        <v>85142</v>
      </c>
    </row>
    <row r="2384" spans="1:26" x14ac:dyDescent="0.25">
      <c r="A2384" t="s">
        <v>2792</v>
      </c>
      <c r="B2384" t="s">
        <v>27</v>
      </c>
      <c r="C2384" t="s">
        <v>28</v>
      </c>
      <c r="H2384" s="2">
        <v>45452.45449074074</v>
      </c>
      <c r="I2384" t="s">
        <v>1488</v>
      </c>
      <c r="Z2384">
        <v>85137</v>
      </c>
    </row>
    <row r="2385" spans="1:26" x14ac:dyDescent="0.25">
      <c r="A2385" t="s">
        <v>2793</v>
      </c>
      <c r="B2385" t="s">
        <v>27</v>
      </c>
      <c r="C2385" t="s">
        <v>28</v>
      </c>
      <c r="H2385" s="2">
        <v>45452.447662037041</v>
      </c>
      <c r="I2385" t="s">
        <v>556</v>
      </c>
      <c r="Z2385">
        <v>85134</v>
      </c>
    </row>
    <row r="2386" spans="1:26" x14ac:dyDescent="0.25">
      <c r="A2386" t="s">
        <v>2794</v>
      </c>
      <c r="B2386" t="s">
        <v>27</v>
      </c>
      <c r="C2386" t="s">
        <v>28</v>
      </c>
      <c r="H2386" s="2">
        <v>45451.612187500003</v>
      </c>
      <c r="I2386" t="s">
        <v>1488</v>
      </c>
      <c r="Z2386">
        <v>85114</v>
      </c>
    </row>
    <row r="2387" spans="1:26" x14ac:dyDescent="0.25">
      <c r="A2387" t="s">
        <v>2795</v>
      </c>
      <c r="B2387" t="s">
        <v>27</v>
      </c>
      <c r="C2387" t="s">
        <v>28</v>
      </c>
      <c r="H2387" s="2">
        <v>45451.594965277778</v>
      </c>
      <c r="I2387" t="s">
        <v>556</v>
      </c>
      <c r="Z2387">
        <v>85112</v>
      </c>
    </row>
    <row r="2388" spans="1:26" x14ac:dyDescent="0.25">
      <c r="A2388" t="s">
        <v>2796</v>
      </c>
      <c r="C2388" t="s">
        <v>28</v>
      </c>
      <c r="E2388" t="s">
        <v>2797</v>
      </c>
      <c r="H2388" s="2">
        <v>45451.537175925929</v>
      </c>
      <c r="I2388" t="s">
        <v>2791</v>
      </c>
      <c r="Z2388">
        <v>85109</v>
      </c>
    </row>
    <row r="2389" spans="1:26" x14ac:dyDescent="0.25">
      <c r="A2389" t="s">
        <v>2798</v>
      </c>
      <c r="B2389" t="s">
        <v>27</v>
      </c>
      <c r="C2389" t="s">
        <v>28</v>
      </c>
      <c r="H2389" s="2">
        <v>45450.707245370373</v>
      </c>
      <c r="I2389" t="s">
        <v>2681</v>
      </c>
      <c r="Z2389">
        <v>85070</v>
      </c>
    </row>
    <row r="2390" spans="1:26" x14ac:dyDescent="0.25">
      <c r="A2390" t="s">
        <v>2799</v>
      </c>
      <c r="B2390" t="s">
        <v>27</v>
      </c>
      <c r="C2390" t="s">
        <v>28</v>
      </c>
      <c r="H2390" s="2">
        <v>45450.6719212963</v>
      </c>
      <c r="I2390" t="s">
        <v>2681</v>
      </c>
      <c r="Z2390">
        <v>85065</v>
      </c>
    </row>
    <row r="2391" spans="1:26" x14ac:dyDescent="0.25">
      <c r="A2391" t="s">
        <v>2800</v>
      </c>
      <c r="B2391" t="s">
        <v>27</v>
      </c>
      <c r="C2391" t="s">
        <v>28</v>
      </c>
      <c r="H2391" s="2">
        <v>45450.66479166667</v>
      </c>
      <c r="I2391" t="s">
        <v>2681</v>
      </c>
      <c r="Z2391">
        <v>85063</v>
      </c>
    </row>
    <row r="2392" spans="1:26" x14ac:dyDescent="0.25">
      <c r="A2392" t="s">
        <v>2801</v>
      </c>
      <c r="B2392" t="s">
        <v>1708</v>
      </c>
      <c r="C2392" t="s">
        <v>28</v>
      </c>
      <c r="E2392" t="s">
        <v>2233</v>
      </c>
      <c r="H2392" s="2">
        <v>45450.546493055554</v>
      </c>
      <c r="I2392" t="s">
        <v>556</v>
      </c>
      <c r="Z2392">
        <v>85041</v>
      </c>
    </row>
    <row r="2393" spans="1:26" x14ac:dyDescent="0.25">
      <c r="A2393" t="s">
        <v>2802</v>
      </c>
      <c r="B2393" t="s">
        <v>1708</v>
      </c>
      <c r="C2393" t="s">
        <v>28</v>
      </c>
      <c r="E2393" t="s">
        <v>2111</v>
      </c>
      <c r="H2393" s="2">
        <v>45450.396678240744</v>
      </c>
      <c r="I2393" t="s">
        <v>2681</v>
      </c>
      <c r="Z2393">
        <v>85026</v>
      </c>
    </row>
    <row r="2394" spans="1:26" x14ac:dyDescent="0.25">
      <c r="A2394" t="s">
        <v>2803</v>
      </c>
      <c r="B2394" t="s">
        <v>27</v>
      </c>
      <c r="C2394" t="s">
        <v>75</v>
      </c>
      <c r="H2394" s="2">
        <v>45449.780092592591</v>
      </c>
      <c r="I2394" t="s">
        <v>2681</v>
      </c>
      <c r="Z2394">
        <v>85013</v>
      </c>
    </row>
    <row r="2395" spans="1:26" x14ac:dyDescent="0.25">
      <c r="A2395" t="s">
        <v>2804</v>
      </c>
      <c r="B2395" t="s">
        <v>27</v>
      </c>
      <c r="C2395" t="s">
        <v>28</v>
      </c>
      <c r="H2395" s="2">
        <v>45449.687662037039</v>
      </c>
      <c r="I2395" t="s">
        <v>2674</v>
      </c>
      <c r="Z2395">
        <v>85004</v>
      </c>
    </row>
    <row r="2396" spans="1:26" x14ac:dyDescent="0.25">
      <c r="A2396" t="s">
        <v>2805</v>
      </c>
      <c r="B2396" t="s">
        <v>2162</v>
      </c>
      <c r="C2396" t="s">
        <v>75</v>
      </c>
      <c r="E2396" t="s">
        <v>72</v>
      </c>
      <c r="G2396" t="s">
        <v>2806</v>
      </c>
      <c r="H2396" s="2">
        <v>45448.897430555553</v>
      </c>
      <c r="I2396" t="s">
        <v>2681</v>
      </c>
      <c r="Z2396">
        <v>84957</v>
      </c>
    </row>
    <row r="2397" spans="1:26" x14ac:dyDescent="0.25">
      <c r="A2397" t="s">
        <v>2807</v>
      </c>
      <c r="B2397" t="s">
        <v>27</v>
      </c>
      <c r="C2397" t="s">
        <v>28</v>
      </c>
      <c r="H2397" s="2">
        <v>45448.842048611114</v>
      </c>
      <c r="I2397" t="s">
        <v>2674</v>
      </c>
      <c r="Z2397">
        <v>84952</v>
      </c>
    </row>
    <row r="2398" spans="1:26" x14ac:dyDescent="0.25">
      <c r="A2398" t="s">
        <v>606</v>
      </c>
      <c r="B2398" t="s">
        <v>306</v>
      </c>
      <c r="C2398" t="s">
        <v>28</v>
      </c>
      <c r="E2398" t="s">
        <v>458</v>
      </c>
      <c r="H2398" s="2">
        <v>45448.770150462966</v>
      </c>
      <c r="I2398" t="s">
        <v>2681</v>
      </c>
      <c r="Z2398">
        <v>84947</v>
      </c>
    </row>
    <row r="2399" spans="1:26" x14ac:dyDescent="0.25">
      <c r="A2399" t="s">
        <v>2808</v>
      </c>
      <c r="B2399" t="s">
        <v>27</v>
      </c>
      <c r="C2399" t="s">
        <v>28</v>
      </c>
      <c r="H2399" s="2">
        <v>45448.715543981481</v>
      </c>
      <c r="I2399" t="s">
        <v>2809</v>
      </c>
      <c r="Z2399">
        <v>84939</v>
      </c>
    </row>
    <row r="2400" spans="1:26" x14ac:dyDescent="0.25">
      <c r="A2400" t="s">
        <v>2810</v>
      </c>
      <c r="B2400" t="s">
        <v>27</v>
      </c>
      <c r="C2400" t="s">
        <v>28</v>
      </c>
      <c r="H2400" s="2">
        <v>45448.664398148147</v>
      </c>
      <c r="I2400" t="s">
        <v>2681</v>
      </c>
      <c r="Z2400">
        <v>84933</v>
      </c>
    </row>
    <row r="2401" spans="1:26" x14ac:dyDescent="0.25">
      <c r="A2401" t="s">
        <v>2811</v>
      </c>
      <c r="C2401" t="s">
        <v>28</v>
      </c>
      <c r="E2401" t="s">
        <v>2812</v>
      </c>
      <c r="H2401" s="2">
        <v>45448.650983796295</v>
      </c>
      <c r="I2401" t="s">
        <v>2674</v>
      </c>
      <c r="Z2401">
        <v>84931</v>
      </c>
    </row>
    <row r="2402" spans="1:26" x14ac:dyDescent="0.25">
      <c r="A2402" t="s">
        <v>2813</v>
      </c>
      <c r="B2402" t="s">
        <v>2162</v>
      </c>
      <c r="C2402" t="s">
        <v>28</v>
      </c>
      <c r="E2402" t="s">
        <v>59</v>
      </c>
      <c r="H2402" s="2">
        <v>45447.864756944444</v>
      </c>
      <c r="I2402" t="s">
        <v>1488</v>
      </c>
      <c r="Z2402">
        <v>84879</v>
      </c>
    </row>
    <row r="2403" spans="1:26" x14ac:dyDescent="0.25">
      <c r="A2403" t="s">
        <v>2814</v>
      </c>
      <c r="B2403" t="s">
        <v>27</v>
      </c>
      <c r="C2403" t="s">
        <v>28</v>
      </c>
      <c r="H2403" s="2">
        <v>45447.697453703702</v>
      </c>
      <c r="I2403" t="s">
        <v>2674</v>
      </c>
      <c r="Z2403">
        <v>84862</v>
      </c>
    </row>
    <row r="2404" spans="1:26" x14ac:dyDescent="0.25">
      <c r="A2404" t="s">
        <v>2815</v>
      </c>
      <c r="B2404" t="s">
        <v>27</v>
      </c>
      <c r="C2404" t="s">
        <v>28</v>
      </c>
      <c r="H2404" s="2">
        <v>45446.524560185186</v>
      </c>
      <c r="I2404" t="s">
        <v>556</v>
      </c>
      <c r="Z2404">
        <v>84745</v>
      </c>
    </row>
    <row r="2405" spans="1:26" x14ac:dyDescent="0.25">
      <c r="A2405" t="s">
        <v>2816</v>
      </c>
      <c r="B2405" t="s">
        <v>27</v>
      </c>
      <c r="C2405" t="s">
        <v>28</v>
      </c>
      <c r="H2405" s="2">
        <v>45446.480370370373</v>
      </c>
      <c r="I2405" t="s">
        <v>556</v>
      </c>
      <c r="Z2405">
        <v>84735</v>
      </c>
    </row>
    <row r="2406" spans="1:26" x14ac:dyDescent="0.25">
      <c r="A2406" t="s">
        <v>2817</v>
      </c>
      <c r="B2406" t="s">
        <v>27</v>
      </c>
      <c r="C2406" t="s">
        <v>28</v>
      </c>
      <c r="H2406" s="2">
        <v>45446.456921296296</v>
      </c>
      <c r="I2406" t="s">
        <v>1488</v>
      </c>
      <c r="Z2406">
        <v>84731</v>
      </c>
    </row>
    <row r="2407" spans="1:26" x14ac:dyDescent="0.25">
      <c r="A2407" t="s">
        <v>2818</v>
      </c>
      <c r="B2407" t="s">
        <v>27</v>
      </c>
      <c r="C2407" t="s">
        <v>28</v>
      </c>
      <c r="H2407" s="2">
        <v>45445.780381944445</v>
      </c>
      <c r="I2407" t="s">
        <v>556</v>
      </c>
      <c r="Z2407">
        <v>84708</v>
      </c>
    </row>
    <row r="2408" spans="1:26" x14ac:dyDescent="0.25">
      <c r="A2408" t="s">
        <v>2819</v>
      </c>
      <c r="B2408" t="s">
        <v>27</v>
      </c>
      <c r="C2408" t="s">
        <v>28</v>
      </c>
      <c r="H2408" s="2">
        <v>45445.725902777776</v>
      </c>
      <c r="I2408" t="s">
        <v>556</v>
      </c>
      <c r="Z2408">
        <v>84704</v>
      </c>
    </row>
    <row r="2409" spans="1:26" x14ac:dyDescent="0.25">
      <c r="A2409" t="s">
        <v>663</v>
      </c>
      <c r="C2409" t="s">
        <v>28</v>
      </c>
      <c r="E2409" t="s">
        <v>72</v>
      </c>
      <c r="H2409" s="2">
        <v>45445.604456018518</v>
      </c>
      <c r="I2409" t="s">
        <v>556</v>
      </c>
      <c r="Z2409">
        <v>84686</v>
      </c>
    </row>
    <row r="2410" spans="1:26" x14ac:dyDescent="0.25">
      <c r="A2410" t="s">
        <v>2820</v>
      </c>
      <c r="B2410" t="s">
        <v>27</v>
      </c>
      <c r="C2410" t="s">
        <v>28</v>
      </c>
      <c r="H2410" s="2">
        <v>45445.601203703707</v>
      </c>
      <c r="I2410" t="s">
        <v>556</v>
      </c>
      <c r="Z2410">
        <v>84685</v>
      </c>
    </row>
    <row r="2411" spans="1:26" x14ac:dyDescent="0.25">
      <c r="A2411" t="s">
        <v>2821</v>
      </c>
      <c r="B2411" t="s">
        <v>27</v>
      </c>
      <c r="C2411" t="s">
        <v>28</v>
      </c>
      <c r="H2411" s="2">
        <v>45443.728379629632</v>
      </c>
      <c r="I2411" t="s">
        <v>2674</v>
      </c>
      <c r="Z2411">
        <v>84588</v>
      </c>
    </row>
    <row r="2412" spans="1:26" x14ac:dyDescent="0.25">
      <c r="A2412" t="s">
        <v>2822</v>
      </c>
      <c r="B2412" t="s">
        <v>27</v>
      </c>
      <c r="C2412" t="s">
        <v>28</v>
      </c>
      <c r="H2412" s="2">
        <v>45443.722800925927</v>
      </c>
      <c r="I2412" t="s">
        <v>2809</v>
      </c>
      <c r="Z2412">
        <v>84586</v>
      </c>
    </row>
    <row r="2413" spans="1:26" x14ac:dyDescent="0.25">
      <c r="A2413" t="s">
        <v>2823</v>
      </c>
      <c r="B2413" t="s">
        <v>27</v>
      </c>
      <c r="C2413" t="s">
        <v>28</v>
      </c>
      <c r="H2413" s="2">
        <v>45443.612812500003</v>
      </c>
      <c r="I2413" t="s">
        <v>2681</v>
      </c>
      <c r="Z2413">
        <v>84574</v>
      </c>
    </row>
    <row r="2414" spans="1:26" x14ac:dyDescent="0.25">
      <c r="A2414" t="s">
        <v>2824</v>
      </c>
      <c r="B2414" t="s">
        <v>27</v>
      </c>
      <c r="C2414" t="s">
        <v>28</v>
      </c>
      <c r="H2414" s="2">
        <v>45443.434374999997</v>
      </c>
      <c r="I2414" t="s">
        <v>2809</v>
      </c>
      <c r="Z2414">
        <v>84547</v>
      </c>
    </row>
    <row r="2415" spans="1:26" x14ac:dyDescent="0.25">
      <c r="A2415" t="s">
        <v>2825</v>
      </c>
      <c r="B2415" t="s">
        <v>27</v>
      </c>
      <c r="C2415" t="s">
        <v>28</v>
      </c>
      <c r="H2415" s="2">
        <v>45443.388981481483</v>
      </c>
      <c r="I2415" t="s">
        <v>2681</v>
      </c>
      <c r="Z2415">
        <v>84534</v>
      </c>
    </row>
    <row r="2416" spans="1:26" x14ac:dyDescent="0.25">
      <c r="A2416" t="s">
        <v>2826</v>
      </c>
      <c r="B2416" t="s">
        <v>1403</v>
      </c>
      <c r="C2416" t="s">
        <v>28</v>
      </c>
      <c r="E2416" t="s">
        <v>1942</v>
      </c>
      <c r="H2416" s="2">
        <v>45442.955300925925</v>
      </c>
      <c r="I2416" t="s">
        <v>2681</v>
      </c>
      <c r="Z2416">
        <v>84531</v>
      </c>
    </row>
    <row r="2417" spans="1:26" x14ac:dyDescent="0.25">
      <c r="A2417" t="s">
        <v>2827</v>
      </c>
      <c r="B2417" t="s">
        <v>27</v>
      </c>
      <c r="C2417" t="s">
        <v>28</v>
      </c>
      <c r="H2417" s="2">
        <v>45442.855844907404</v>
      </c>
      <c r="I2417" t="s">
        <v>2674</v>
      </c>
      <c r="Z2417">
        <v>84529</v>
      </c>
    </row>
    <row r="2418" spans="1:26" x14ac:dyDescent="0.25">
      <c r="A2418" t="s">
        <v>2828</v>
      </c>
      <c r="B2418" t="s">
        <v>27</v>
      </c>
      <c r="C2418" t="s">
        <v>28</v>
      </c>
      <c r="H2418" s="2">
        <v>45442.730810185189</v>
      </c>
      <c r="I2418" t="s">
        <v>2809</v>
      </c>
      <c r="Z2418">
        <v>84522</v>
      </c>
    </row>
    <row r="2419" spans="1:26" x14ac:dyDescent="0.25">
      <c r="A2419" t="s">
        <v>2829</v>
      </c>
      <c r="B2419" t="s">
        <v>27</v>
      </c>
      <c r="C2419" t="s">
        <v>28</v>
      </c>
      <c r="H2419" s="2">
        <v>45442.70521990741</v>
      </c>
      <c r="I2419" t="s">
        <v>2809</v>
      </c>
      <c r="Z2419">
        <v>84516</v>
      </c>
    </row>
    <row r="2420" spans="1:26" x14ac:dyDescent="0.25">
      <c r="A2420" t="s">
        <v>2830</v>
      </c>
      <c r="C2420" t="s">
        <v>28</v>
      </c>
      <c r="E2420" t="s">
        <v>2831</v>
      </c>
      <c r="H2420" s="2">
        <v>45441.749664351853</v>
      </c>
      <c r="I2420" t="s">
        <v>1488</v>
      </c>
      <c r="Z2420">
        <v>84467</v>
      </c>
    </row>
    <row r="2421" spans="1:26" x14ac:dyDescent="0.25">
      <c r="A2421" t="s">
        <v>2832</v>
      </c>
      <c r="B2421" t="s">
        <v>27</v>
      </c>
      <c r="C2421" t="s">
        <v>28</v>
      </c>
      <c r="H2421" s="2">
        <v>45441.669733796298</v>
      </c>
      <c r="I2421" t="s">
        <v>2791</v>
      </c>
      <c r="Z2421">
        <v>84457</v>
      </c>
    </row>
    <row r="2422" spans="1:26" x14ac:dyDescent="0.25">
      <c r="A2422" t="s">
        <v>2833</v>
      </c>
      <c r="B2422" t="s">
        <v>27</v>
      </c>
      <c r="C2422" t="s">
        <v>28</v>
      </c>
      <c r="H2422" s="2">
        <v>45441.512407407405</v>
      </c>
      <c r="I2422" t="s">
        <v>1488</v>
      </c>
      <c r="Z2422">
        <v>84428</v>
      </c>
    </row>
    <row r="2423" spans="1:26" x14ac:dyDescent="0.25">
      <c r="A2423" t="s">
        <v>2834</v>
      </c>
      <c r="B2423" t="s">
        <v>27</v>
      </c>
      <c r="C2423" t="s">
        <v>28</v>
      </c>
      <c r="H2423" s="2">
        <v>45441.484895833331</v>
      </c>
      <c r="I2423" t="s">
        <v>1488</v>
      </c>
      <c r="Z2423">
        <v>84424</v>
      </c>
    </row>
    <row r="2424" spans="1:26" x14ac:dyDescent="0.25">
      <c r="A2424" t="s">
        <v>2835</v>
      </c>
      <c r="B2424" t="s">
        <v>1708</v>
      </c>
      <c r="C2424" t="s">
        <v>28</v>
      </c>
      <c r="E2424" t="s">
        <v>2836</v>
      </c>
      <c r="G2424" t="s">
        <v>2837</v>
      </c>
      <c r="H2424" s="2">
        <v>45440.893587962964</v>
      </c>
      <c r="I2424" t="s">
        <v>1488</v>
      </c>
      <c r="Z2424">
        <v>84400</v>
      </c>
    </row>
    <row r="2425" spans="1:26" x14ac:dyDescent="0.25">
      <c r="A2425" t="s">
        <v>2838</v>
      </c>
      <c r="B2425" t="s">
        <v>27</v>
      </c>
      <c r="C2425" t="s">
        <v>28</v>
      </c>
      <c r="H2425" s="2">
        <v>45440.707685185182</v>
      </c>
      <c r="I2425" t="s">
        <v>1488</v>
      </c>
      <c r="Z2425">
        <v>84380</v>
      </c>
    </row>
    <row r="2426" spans="1:26" x14ac:dyDescent="0.25">
      <c r="A2426" t="s">
        <v>1926</v>
      </c>
      <c r="B2426" t="s">
        <v>27</v>
      </c>
      <c r="C2426" t="s">
        <v>28</v>
      </c>
      <c r="H2426" s="2">
        <v>45440.550243055557</v>
      </c>
      <c r="I2426" t="s">
        <v>556</v>
      </c>
      <c r="Z2426">
        <v>84354</v>
      </c>
    </row>
    <row r="2427" spans="1:26" x14ac:dyDescent="0.25">
      <c r="A2427" t="s">
        <v>2839</v>
      </c>
      <c r="B2427" t="s">
        <v>27</v>
      </c>
      <c r="C2427" t="s">
        <v>28</v>
      </c>
      <c r="H2427" s="2">
        <v>45440.385960648149</v>
      </c>
      <c r="I2427" t="s">
        <v>1488</v>
      </c>
      <c r="Z2427">
        <v>84328</v>
      </c>
    </row>
    <row r="2428" spans="1:26" x14ac:dyDescent="0.25">
      <c r="A2428" t="s">
        <v>2840</v>
      </c>
      <c r="B2428" t="s">
        <v>27</v>
      </c>
      <c r="C2428" t="s">
        <v>28</v>
      </c>
      <c r="H2428" s="2">
        <v>45439.760416666664</v>
      </c>
      <c r="I2428" t="s">
        <v>1488</v>
      </c>
      <c r="Z2428">
        <v>84318</v>
      </c>
    </row>
    <row r="2429" spans="1:26" x14ac:dyDescent="0.25">
      <c r="A2429" t="s">
        <v>2841</v>
      </c>
      <c r="B2429" t="s">
        <v>27</v>
      </c>
      <c r="C2429" t="s">
        <v>28</v>
      </c>
      <c r="H2429" s="2">
        <v>45439.591527777775</v>
      </c>
      <c r="I2429" t="s">
        <v>1488</v>
      </c>
      <c r="Z2429">
        <v>84286</v>
      </c>
    </row>
    <row r="2430" spans="1:26" x14ac:dyDescent="0.25">
      <c r="A2430" t="s">
        <v>2842</v>
      </c>
      <c r="B2430" t="s">
        <v>27</v>
      </c>
      <c r="C2430" t="s">
        <v>28</v>
      </c>
      <c r="H2430" s="2">
        <v>45439.572824074072</v>
      </c>
      <c r="I2430" t="s">
        <v>556</v>
      </c>
      <c r="Z2430">
        <v>84283</v>
      </c>
    </row>
    <row r="2431" spans="1:26" x14ac:dyDescent="0.25">
      <c r="A2431" t="s">
        <v>2843</v>
      </c>
      <c r="B2431" t="s">
        <v>27</v>
      </c>
      <c r="C2431" t="s">
        <v>28</v>
      </c>
      <c r="H2431" s="2">
        <v>45439.47152777778</v>
      </c>
      <c r="I2431" t="s">
        <v>556</v>
      </c>
      <c r="Z2431">
        <v>84270</v>
      </c>
    </row>
    <row r="2432" spans="1:26" x14ac:dyDescent="0.25">
      <c r="A2432" t="s">
        <v>1793</v>
      </c>
      <c r="B2432" t="s">
        <v>306</v>
      </c>
      <c r="C2432" t="s">
        <v>28</v>
      </c>
      <c r="E2432" t="s">
        <v>1215</v>
      </c>
      <c r="H2432" s="2">
        <v>45438.644571759258</v>
      </c>
      <c r="I2432" t="s">
        <v>2681</v>
      </c>
      <c r="Z2432">
        <v>84235</v>
      </c>
    </row>
    <row r="2433" spans="1:26" x14ac:dyDescent="0.25">
      <c r="A2433" t="s">
        <v>2844</v>
      </c>
      <c r="B2433" t="s">
        <v>27</v>
      </c>
      <c r="C2433" t="s">
        <v>28</v>
      </c>
      <c r="H2433" s="2">
        <v>45438.513807870368</v>
      </c>
      <c r="I2433" t="s">
        <v>2681</v>
      </c>
      <c r="Z2433">
        <v>84219</v>
      </c>
    </row>
    <row r="2434" spans="1:26" x14ac:dyDescent="0.25">
      <c r="A2434" t="s">
        <v>2805</v>
      </c>
      <c r="B2434" t="s">
        <v>2162</v>
      </c>
      <c r="C2434" t="s">
        <v>28</v>
      </c>
      <c r="E2434" t="s">
        <v>72</v>
      </c>
      <c r="G2434" t="s">
        <v>2806</v>
      </c>
      <c r="H2434" s="2">
        <v>45438.347939814812</v>
      </c>
      <c r="I2434" t="s">
        <v>2681</v>
      </c>
      <c r="Z2434">
        <v>84195</v>
      </c>
    </row>
    <row r="2435" spans="1:26" x14ac:dyDescent="0.25">
      <c r="A2435" t="s">
        <v>2845</v>
      </c>
      <c r="B2435" t="s">
        <v>27</v>
      </c>
      <c r="C2435" t="s">
        <v>28</v>
      </c>
      <c r="H2435" s="2">
        <v>45437.861087962963</v>
      </c>
      <c r="I2435" t="s">
        <v>2681</v>
      </c>
      <c r="Z2435">
        <v>84189</v>
      </c>
    </row>
    <row r="2436" spans="1:26" x14ac:dyDescent="0.25">
      <c r="A2436" t="s">
        <v>2846</v>
      </c>
      <c r="B2436" t="s">
        <v>27</v>
      </c>
      <c r="C2436" t="s">
        <v>28</v>
      </c>
      <c r="H2436" s="2">
        <v>45437.77685185185</v>
      </c>
      <c r="I2436" t="s">
        <v>1488</v>
      </c>
      <c r="Z2436">
        <v>84183</v>
      </c>
    </row>
    <row r="2437" spans="1:26" x14ac:dyDescent="0.25">
      <c r="A2437" t="s">
        <v>2847</v>
      </c>
      <c r="B2437" t="s">
        <v>27</v>
      </c>
      <c r="C2437" t="s">
        <v>28</v>
      </c>
      <c r="H2437" s="2">
        <v>45437.698495370372</v>
      </c>
      <c r="I2437" t="s">
        <v>2674</v>
      </c>
      <c r="Z2437">
        <v>84177</v>
      </c>
    </row>
    <row r="2438" spans="1:26" x14ac:dyDescent="0.25">
      <c r="A2438" t="s">
        <v>2848</v>
      </c>
      <c r="B2438" t="s">
        <v>27</v>
      </c>
      <c r="C2438" t="s">
        <v>28</v>
      </c>
      <c r="H2438" s="2">
        <v>45436.678449074076</v>
      </c>
      <c r="I2438" t="s">
        <v>2681</v>
      </c>
      <c r="Z2438">
        <v>84103</v>
      </c>
    </row>
    <row r="2439" spans="1:26" x14ac:dyDescent="0.25">
      <c r="A2439" t="s">
        <v>2849</v>
      </c>
      <c r="B2439" t="s">
        <v>27</v>
      </c>
      <c r="C2439" t="s">
        <v>28</v>
      </c>
      <c r="H2439" s="2">
        <v>45436.634166666663</v>
      </c>
      <c r="I2439" t="s">
        <v>2674</v>
      </c>
      <c r="Z2439">
        <v>84092</v>
      </c>
    </row>
    <row r="2440" spans="1:26" x14ac:dyDescent="0.25">
      <c r="A2440" t="s">
        <v>2850</v>
      </c>
      <c r="B2440" t="s">
        <v>27</v>
      </c>
      <c r="C2440" t="s">
        <v>28</v>
      </c>
      <c r="H2440" s="2">
        <v>45436.577662037038</v>
      </c>
      <c r="I2440" t="s">
        <v>2720</v>
      </c>
      <c r="Z2440">
        <v>84081</v>
      </c>
    </row>
    <row r="2441" spans="1:26" x14ac:dyDescent="0.25">
      <c r="A2441" t="s">
        <v>2851</v>
      </c>
      <c r="B2441" t="s">
        <v>27</v>
      </c>
      <c r="C2441" t="s">
        <v>28</v>
      </c>
      <c r="H2441" s="2">
        <v>45436.562534722223</v>
      </c>
      <c r="I2441" t="s">
        <v>2674</v>
      </c>
      <c r="Z2441">
        <v>84077</v>
      </c>
    </row>
    <row r="2442" spans="1:26" x14ac:dyDescent="0.25">
      <c r="A2442" t="s">
        <v>2852</v>
      </c>
      <c r="B2442" t="s">
        <v>27</v>
      </c>
      <c r="C2442" t="s">
        <v>28</v>
      </c>
      <c r="H2442" s="2">
        <v>45436.458009259259</v>
      </c>
      <c r="I2442" t="s">
        <v>2681</v>
      </c>
      <c r="Z2442">
        <v>84059</v>
      </c>
    </row>
    <row r="2443" spans="1:26" x14ac:dyDescent="0.25">
      <c r="A2443" t="s">
        <v>2853</v>
      </c>
      <c r="B2443" t="s">
        <v>74</v>
      </c>
      <c r="C2443" t="s">
        <v>28</v>
      </c>
      <c r="E2443" t="s">
        <v>2854</v>
      </c>
      <c r="G2443" t="s">
        <v>2855</v>
      </c>
      <c r="H2443" s="2">
        <v>45435.547939814816</v>
      </c>
      <c r="I2443" t="s">
        <v>2681</v>
      </c>
      <c r="Z2443">
        <v>83989</v>
      </c>
    </row>
    <row r="2444" spans="1:26" x14ac:dyDescent="0.25">
      <c r="A2444" t="s">
        <v>2856</v>
      </c>
      <c r="B2444" t="s">
        <v>27</v>
      </c>
      <c r="C2444" t="s">
        <v>28</v>
      </c>
      <c r="H2444" s="2">
        <v>45435.369317129633</v>
      </c>
      <c r="I2444" t="s">
        <v>2674</v>
      </c>
      <c r="Z2444">
        <v>83968</v>
      </c>
    </row>
    <row r="2445" spans="1:26" x14ac:dyDescent="0.25">
      <c r="A2445" t="s">
        <v>2857</v>
      </c>
      <c r="B2445" t="s">
        <v>27</v>
      </c>
      <c r="C2445" t="s">
        <v>28</v>
      </c>
      <c r="H2445" s="2">
        <v>45434.743900462963</v>
      </c>
      <c r="I2445" t="s">
        <v>1488</v>
      </c>
      <c r="Z2445">
        <v>83950</v>
      </c>
    </row>
    <row r="2446" spans="1:26" x14ac:dyDescent="0.25">
      <c r="A2446" t="s">
        <v>570</v>
      </c>
      <c r="C2446" t="s">
        <v>28</v>
      </c>
      <c r="E2446" t="s">
        <v>2858</v>
      </c>
      <c r="H2446" s="2">
        <v>45434.739039351851</v>
      </c>
      <c r="I2446" t="s">
        <v>1488</v>
      </c>
      <c r="Z2446">
        <v>83947</v>
      </c>
    </row>
    <row r="2447" spans="1:26" x14ac:dyDescent="0.25">
      <c r="A2447" t="s">
        <v>2859</v>
      </c>
      <c r="B2447" t="s">
        <v>27</v>
      </c>
      <c r="C2447" t="s">
        <v>28</v>
      </c>
      <c r="H2447" s="2">
        <v>45434.736967592595</v>
      </c>
      <c r="I2447" t="s">
        <v>1488</v>
      </c>
      <c r="Z2447">
        <v>83946</v>
      </c>
    </row>
    <row r="2448" spans="1:26" x14ac:dyDescent="0.25">
      <c r="A2448" t="s">
        <v>2729</v>
      </c>
      <c r="B2448" t="s">
        <v>27</v>
      </c>
      <c r="C2448" t="s">
        <v>28</v>
      </c>
      <c r="H2448" s="2">
        <v>45434.697175925925</v>
      </c>
      <c r="I2448" t="s">
        <v>1488</v>
      </c>
      <c r="Z2448">
        <v>83942</v>
      </c>
    </row>
    <row r="2449" spans="1:26" x14ac:dyDescent="0.25">
      <c r="A2449" t="s">
        <v>2860</v>
      </c>
      <c r="B2449" t="s">
        <v>27</v>
      </c>
      <c r="C2449" t="s">
        <v>28</v>
      </c>
      <c r="H2449" s="2">
        <v>45434.676678240743</v>
      </c>
      <c r="I2449" t="s">
        <v>2791</v>
      </c>
      <c r="Z2449">
        <v>83940</v>
      </c>
    </row>
    <row r="2450" spans="1:26" x14ac:dyDescent="0.25">
      <c r="A2450" t="s">
        <v>2861</v>
      </c>
      <c r="B2450" t="s">
        <v>27</v>
      </c>
      <c r="C2450" t="s">
        <v>28</v>
      </c>
      <c r="H2450" s="2">
        <v>45434.663518518515</v>
      </c>
      <c r="I2450" t="s">
        <v>1488</v>
      </c>
      <c r="Z2450">
        <v>83936</v>
      </c>
    </row>
    <row r="2451" spans="1:26" x14ac:dyDescent="0.25">
      <c r="A2451" t="s">
        <v>2862</v>
      </c>
      <c r="B2451" t="s">
        <v>27</v>
      </c>
      <c r="C2451" t="s">
        <v>28</v>
      </c>
      <c r="H2451" s="2">
        <v>45434.590960648151</v>
      </c>
      <c r="I2451" t="s">
        <v>556</v>
      </c>
      <c r="Z2451">
        <v>83928</v>
      </c>
    </row>
    <row r="2452" spans="1:26" x14ac:dyDescent="0.25">
      <c r="A2452" t="s">
        <v>2863</v>
      </c>
      <c r="B2452" t="s">
        <v>2162</v>
      </c>
      <c r="C2452" t="s">
        <v>28</v>
      </c>
      <c r="E2452" t="s">
        <v>59</v>
      </c>
      <c r="H2452" s="2">
        <v>45433.903495370374</v>
      </c>
      <c r="I2452" t="s">
        <v>556</v>
      </c>
      <c r="K2452" t="s">
        <v>34</v>
      </c>
      <c r="L2452" t="s">
        <v>35</v>
      </c>
      <c r="M2452">
        <v>55887083</v>
      </c>
      <c r="N2452">
        <v>9754618982</v>
      </c>
      <c r="O2452" t="s">
        <v>461</v>
      </c>
      <c r="Z2452">
        <v>83888</v>
      </c>
    </row>
    <row r="2453" spans="1:26" x14ac:dyDescent="0.25">
      <c r="A2453" t="s">
        <v>2864</v>
      </c>
      <c r="B2453" t="s">
        <v>27</v>
      </c>
      <c r="C2453" t="s">
        <v>28</v>
      </c>
      <c r="H2453" s="2">
        <v>45433.862187500003</v>
      </c>
      <c r="I2453" t="s">
        <v>1488</v>
      </c>
      <c r="Z2453">
        <v>83887</v>
      </c>
    </row>
    <row r="2454" spans="1:26" x14ac:dyDescent="0.25">
      <c r="A2454" t="s">
        <v>1177</v>
      </c>
      <c r="B2454" t="s">
        <v>27</v>
      </c>
      <c r="C2454" t="s">
        <v>28</v>
      </c>
      <c r="H2454" s="2">
        <v>45433.804803240739</v>
      </c>
      <c r="I2454" t="s">
        <v>1488</v>
      </c>
      <c r="Z2454">
        <v>83879</v>
      </c>
    </row>
    <row r="2455" spans="1:26" x14ac:dyDescent="0.25">
      <c r="A2455" t="s">
        <v>2865</v>
      </c>
      <c r="B2455" t="s">
        <v>27</v>
      </c>
      <c r="C2455" t="s">
        <v>28</v>
      </c>
      <c r="H2455" s="2">
        <v>45433.772453703707</v>
      </c>
      <c r="I2455" t="s">
        <v>556</v>
      </c>
      <c r="Z2455">
        <v>83871</v>
      </c>
    </row>
    <row r="2456" spans="1:26" x14ac:dyDescent="0.25">
      <c r="A2456" t="s">
        <v>2866</v>
      </c>
      <c r="B2456" t="s">
        <v>27</v>
      </c>
      <c r="C2456" t="s">
        <v>28</v>
      </c>
      <c r="H2456" s="2">
        <v>45433.634513888886</v>
      </c>
      <c r="I2456" t="s">
        <v>556</v>
      </c>
      <c r="Z2456">
        <v>83851</v>
      </c>
    </row>
    <row r="2457" spans="1:26" x14ac:dyDescent="0.25">
      <c r="A2457" t="s">
        <v>2867</v>
      </c>
      <c r="B2457" t="s">
        <v>74</v>
      </c>
      <c r="C2457" t="s">
        <v>28</v>
      </c>
      <c r="E2457" t="s">
        <v>1357</v>
      </c>
      <c r="G2457" t="s">
        <v>2868</v>
      </c>
      <c r="H2457" s="2">
        <v>45433.633935185186</v>
      </c>
      <c r="I2457" t="s">
        <v>1488</v>
      </c>
      <c r="K2457" t="s">
        <v>34</v>
      </c>
      <c r="L2457" t="s">
        <v>35</v>
      </c>
      <c r="M2457">
        <v>55887089</v>
      </c>
      <c r="N2457">
        <v>12886132963</v>
      </c>
      <c r="O2457" t="s">
        <v>2869</v>
      </c>
      <c r="Z2457">
        <v>83850</v>
      </c>
    </row>
    <row r="2458" spans="1:26" x14ac:dyDescent="0.25">
      <c r="A2458" t="s">
        <v>2870</v>
      </c>
      <c r="B2458" t="s">
        <v>27</v>
      </c>
      <c r="C2458" t="s">
        <v>28</v>
      </c>
      <c r="H2458" s="2">
        <v>45433.620266203703</v>
      </c>
      <c r="I2458" t="s">
        <v>1488</v>
      </c>
      <c r="Z2458">
        <v>83844</v>
      </c>
    </row>
    <row r="2459" spans="1:26" x14ac:dyDescent="0.25">
      <c r="A2459" t="s">
        <v>2871</v>
      </c>
      <c r="B2459" t="s">
        <v>27</v>
      </c>
      <c r="C2459" t="s">
        <v>28</v>
      </c>
      <c r="H2459" s="2">
        <v>45433.561168981483</v>
      </c>
      <c r="I2459" t="s">
        <v>2809</v>
      </c>
      <c r="Z2459">
        <v>83835</v>
      </c>
    </row>
    <row r="2460" spans="1:26" x14ac:dyDescent="0.25">
      <c r="A2460" t="s">
        <v>2872</v>
      </c>
      <c r="B2460" t="s">
        <v>27</v>
      </c>
      <c r="C2460" t="s">
        <v>28</v>
      </c>
      <c r="H2460" s="2">
        <v>45433.514791666668</v>
      </c>
      <c r="I2460" t="s">
        <v>1488</v>
      </c>
      <c r="Z2460">
        <v>83823</v>
      </c>
    </row>
    <row r="2461" spans="1:26" x14ac:dyDescent="0.25">
      <c r="A2461" t="s">
        <v>2873</v>
      </c>
      <c r="B2461" t="s">
        <v>27</v>
      </c>
      <c r="C2461" t="s">
        <v>28</v>
      </c>
      <c r="H2461" s="2">
        <v>45433.511493055557</v>
      </c>
      <c r="I2461" t="s">
        <v>556</v>
      </c>
      <c r="Z2461">
        <v>83821</v>
      </c>
    </row>
    <row r="2462" spans="1:26" x14ac:dyDescent="0.25">
      <c r="A2462" t="s">
        <v>2874</v>
      </c>
      <c r="B2462" t="s">
        <v>27</v>
      </c>
      <c r="C2462" t="s">
        <v>28</v>
      </c>
      <c r="H2462" s="2">
        <v>45433.484803240739</v>
      </c>
      <c r="I2462" t="s">
        <v>1488</v>
      </c>
      <c r="Z2462">
        <v>83816</v>
      </c>
    </row>
    <row r="2463" spans="1:26" x14ac:dyDescent="0.25">
      <c r="A2463" t="s">
        <v>2875</v>
      </c>
      <c r="B2463" t="s">
        <v>27</v>
      </c>
      <c r="C2463" t="s">
        <v>28</v>
      </c>
      <c r="H2463" s="2">
        <v>45433.428680555553</v>
      </c>
      <c r="I2463" t="s">
        <v>2809</v>
      </c>
      <c r="Z2463">
        <v>83804</v>
      </c>
    </row>
    <row r="2464" spans="1:26" x14ac:dyDescent="0.25">
      <c r="A2464" t="s">
        <v>2876</v>
      </c>
      <c r="B2464" t="s">
        <v>1708</v>
      </c>
      <c r="C2464" t="s">
        <v>28</v>
      </c>
      <c r="E2464" t="s">
        <v>2877</v>
      </c>
      <c r="G2464" t="s">
        <v>2878</v>
      </c>
      <c r="H2464" s="2">
        <v>45432.913958333331</v>
      </c>
      <c r="I2464" t="s">
        <v>1488</v>
      </c>
      <c r="Z2464">
        <v>83787</v>
      </c>
    </row>
    <row r="2465" spans="1:26" x14ac:dyDescent="0.25">
      <c r="A2465" t="s">
        <v>2879</v>
      </c>
      <c r="B2465" t="s">
        <v>27</v>
      </c>
      <c r="C2465" t="s">
        <v>28</v>
      </c>
      <c r="H2465" s="2">
        <v>45432.590266203704</v>
      </c>
      <c r="I2465" t="s">
        <v>556</v>
      </c>
      <c r="Z2465">
        <v>83750</v>
      </c>
    </row>
    <row r="2466" spans="1:26" x14ac:dyDescent="0.25">
      <c r="A2466" t="s">
        <v>932</v>
      </c>
      <c r="B2466" t="s">
        <v>27</v>
      </c>
      <c r="C2466" t="s">
        <v>28</v>
      </c>
      <c r="H2466" s="2">
        <v>45432.587291666663</v>
      </c>
      <c r="I2466" t="s">
        <v>2681</v>
      </c>
      <c r="Z2466">
        <v>83749</v>
      </c>
    </row>
    <row r="2467" spans="1:26" x14ac:dyDescent="0.25">
      <c r="A2467" t="s">
        <v>2880</v>
      </c>
      <c r="B2467" t="s">
        <v>27</v>
      </c>
      <c r="C2467" t="s">
        <v>28</v>
      </c>
      <c r="E2467" t="s">
        <v>232</v>
      </c>
      <c r="G2467" t="s">
        <v>2881</v>
      </c>
      <c r="H2467" s="2">
        <v>45432.514930555553</v>
      </c>
      <c r="I2467" t="s">
        <v>2681</v>
      </c>
      <c r="Z2467">
        <v>83726</v>
      </c>
    </row>
    <row r="2468" spans="1:26" x14ac:dyDescent="0.25">
      <c r="A2468" t="s">
        <v>2393</v>
      </c>
      <c r="B2468" t="s">
        <v>27</v>
      </c>
      <c r="C2468" t="s">
        <v>28</v>
      </c>
      <c r="H2468" s="2">
        <v>45432.427291666667</v>
      </c>
      <c r="I2468" t="s">
        <v>556</v>
      </c>
      <c r="Z2468">
        <v>83709</v>
      </c>
    </row>
    <row r="2469" spans="1:26" x14ac:dyDescent="0.25">
      <c r="A2469" t="s">
        <v>2132</v>
      </c>
      <c r="B2469" t="s">
        <v>27</v>
      </c>
      <c r="C2469" t="s">
        <v>28</v>
      </c>
      <c r="H2469" s="2">
        <v>45432.405763888892</v>
      </c>
      <c r="I2469" t="s">
        <v>2681</v>
      </c>
      <c r="Z2469">
        <v>83707</v>
      </c>
    </row>
    <row r="2470" spans="1:26" x14ac:dyDescent="0.25">
      <c r="A2470" t="s">
        <v>2882</v>
      </c>
      <c r="B2470" t="s">
        <v>27</v>
      </c>
      <c r="C2470" t="s">
        <v>28</v>
      </c>
      <c r="H2470" s="2">
        <v>45431.660636574074</v>
      </c>
      <c r="I2470" t="s">
        <v>2674</v>
      </c>
      <c r="Z2470">
        <v>83674</v>
      </c>
    </row>
    <row r="2471" spans="1:26" x14ac:dyDescent="0.25">
      <c r="A2471" t="s">
        <v>2883</v>
      </c>
      <c r="B2471" t="s">
        <v>27</v>
      </c>
      <c r="C2471" t="s">
        <v>28</v>
      </c>
      <c r="H2471" s="2">
        <v>45431.579965277779</v>
      </c>
      <c r="I2471" t="s">
        <v>2681</v>
      </c>
      <c r="Z2471">
        <v>83661</v>
      </c>
    </row>
    <row r="2472" spans="1:26" x14ac:dyDescent="0.25">
      <c r="A2472" t="s">
        <v>2802</v>
      </c>
      <c r="B2472" t="s">
        <v>1708</v>
      </c>
      <c r="C2472" t="s">
        <v>28</v>
      </c>
      <c r="E2472" t="s">
        <v>2884</v>
      </c>
      <c r="H2472" s="2">
        <v>45431.483194444445</v>
      </c>
      <c r="I2472" t="s">
        <v>2681</v>
      </c>
      <c r="Z2472">
        <v>83643</v>
      </c>
    </row>
    <row r="2473" spans="1:26" x14ac:dyDescent="0.25">
      <c r="A2473" t="s">
        <v>2885</v>
      </c>
      <c r="B2473" t="s">
        <v>27</v>
      </c>
      <c r="C2473" t="s">
        <v>28</v>
      </c>
      <c r="H2473" s="2">
        <v>45431.446886574071</v>
      </c>
      <c r="I2473" t="s">
        <v>2681</v>
      </c>
      <c r="Z2473">
        <v>83637</v>
      </c>
    </row>
    <row r="2474" spans="1:26" x14ac:dyDescent="0.25">
      <c r="A2474" t="s">
        <v>2886</v>
      </c>
      <c r="B2474" t="s">
        <v>27</v>
      </c>
      <c r="C2474" t="s">
        <v>28</v>
      </c>
      <c r="H2474" s="2">
        <v>45430.437557870369</v>
      </c>
      <c r="I2474" t="s">
        <v>2674</v>
      </c>
      <c r="Z2474">
        <v>83584</v>
      </c>
    </row>
    <row r="2475" spans="1:26" x14ac:dyDescent="0.25">
      <c r="A2475" t="s">
        <v>2887</v>
      </c>
      <c r="B2475" t="s">
        <v>1708</v>
      </c>
      <c r="C2475" t="s">
        <v>28</v>
      </c>
      <c r="E2475" t="s">
        <v>2888</v>
      </c>
      <c r="H2475" s="2">
        <v>45430.371134259258</v>
      </c>
      <c r="I2475" t="s">
        <v>2681</v>
      </c>
      <c r="Z2475">
        <v>83567</v>
      </c>
    </row>
    <row r="2476" spans="1:26" x14ac:dyDescent="0.25">
      <c r="A2476" t="s">
        <v>2889</v>
      </c>
      <c r="B2476" t="s">
        <v>1403</v>
      </c>
      <c r="C2476" t="s">
        <v>28</v>
      </c>
      <c r="E2476" t="s">
        <v>2890</v>
      </c>
      <c r="H2476" s="2">
        <v>45430.369837962964</v>
      </c>
      <c r="I2476" t="s">
        <v>2681</v>
      </c>
      <c r="Z2476">
        <v>83566</v>
      </c>
    </row>
    <row r="2477" spans="1:26" x14ac:dyDescent="0.25">
      <c r="A2477" t="s">
        <v>2891</v>
      </c>
      <c r="B2477" t="s">
        <v>27</v>
      </c>
      <c r="C2477" t="s">
        <v>28</v>
      </c>
      <c r="E2477" t="s">
        <v>370</v>
      </c>
      <c r="H2477" s="2">
        <v>45429.83121527778</v>
      </c>
      <c r="I2477" t="s">
        <v>2674</v>
      </c>
      <c r="Z2477">
        <v>83556</v>
      </c>
    </row>
    <row r="2478" spans="1:26" x14ac:dyDescent="0.25">
      <c r="A2478" t="s">
        <v>1745</v>
      </c>
      <c r="B2478" t="s">
        <v>27</v>
      </c>
      <c r="C2478" t="s">
        <v>28</v>
      </c>
      <c r="H2478" s="2">
        <v>45429.79378472222</v>
      </c>
      <c r="I2478" t="s">
        <v>2674</v>
      </c>
      <c r="Z2478">
        <v>83546</v>
      </c>
    </row>
    <row r="2479" spans="1:26" x14ac:dyDescent="0.25">
      <c r="A2479" t="s">
        <v>2892</v>
      </c>
      <c r="B2479" t="s">
        <v>27</v>
      </c>
      <c r="C2479" t="s">
        <v>28</v>
      </c>
      <c r="H2479" s="2">
        <v>45429.768182870372</v>
      </c>
      <c r="I2479" t="s">
        <v>2674</v>
      </c>
      <c r="Z2479">
        <v>83543</v>
      </c>
    </row>
    <row r="2480" spans="1:26" x14ac:dyDescent="0.25">
      <c r="A2480" t="s">
        <v>2893</v>
      </c>
      <c r="B2480" t="s">
        <v>27</v>
      </c>
      <c r="C2480" t="s">
        <v>28</v>
      </c>
      <c r="H2480" s="2">
        <v>45429.703136574077</v>
      </c>
      <c r="I2480" t="s">
        <v>1488</v>
      </c>
      <c r="Z2480">
        <v>83534</v>
      </c>
    </row>
    <row r="2481" spans="1:26" x14ac:dyDescent="0.25">
      <c r="A2481" t="s">
        <v>2894</v>
      </c>
      <c r="B2481" t="s">
        <v>27</v>
      </c>
      <c r="C2481" t="s">
        <v>28</v>
      </c>
      <c r="H2481" s="2">
        <v>45429.656435185185</v>
      </c>
      <c r="I2481" t="s">
        <v>1488</v>
      </c>
      <c r="Z2481">
        <v>83527</v>
      </c>
    </row>
    <row r="2482" spans="1:26" x14ac:dyDescent="0.25">
      <c r="A2482" t="s">
        <v>2895</v>
      </c>
      <c r="B2482" t="s">
        <v>27</v>
      </c>
      <c r="C2482" t="s">
        <v>28</v>
      </c>
      <c r="H2482" s="2">
        <v>45429.470659722225</v>
      </c>
      <c r="I2482" t="s">
        <v>2148</v>
      </c>
      <c r="Z2482">
        <v>83492</v>
      </c>
    </row>
    <row r="2483" spans="1:26" x14ac:dyDescent="0.25">
      <c r="A2483" t="s">
        <v>2896</v>
      </c>
      <c r="B2483" t="s">
        <v>27</v>
      </c>
      <c r="C2483" t="s">
        <v>28</v>
      </c>
      <c r="H2483" s="2">
        <v>45428.719259259262</v>
      </c>
      <c r="I2483" t="s">
        <v>1488</v>
      </c>
      <c r="Z2483">
        <v>83448</v>
      </c>
    </row>
    <row r="2484" spans="1:26" x14ac:dyDescent="0.25">
      <c r="A2484" t="s">
        <v>2897</v>
      </c>
      <c r="B2484" t="s">
        <v>1708</v>
      </c>
      <c r="C2484" t="s">
        <v>28</v>
      </c>
      <c r="E2484" t="s">
        <v>2898</v>
      </c>
      <c r="H2484" s="2">
        <v>45428.635740740741</v>
      </c>
      <c r="I2484" t="s">
        <v>2681</v>
      </c>
      <c r="K2484" t="s">
        <v>34</v>
      </c>
      <c r="L2484" t="s">
        <v>35</v>
      </c>
      <c r="M2484">
        <v>67131912</v>
      </c>
      <c r="N2484">
        <v>11953101690</v>
      </c>
      <c r="O2484" t="s">
        <v>1756</v>
      </c>
      <c r="Z2484">
        <v>83436</v>
      </c>
    </row>
    <row r="2485" spans="1:26" x14ac:dyDescent="0.25">
      <c r="A2485" t="s">
        <v>2899</v>
      </c>
      <c r="B2485" t="s">
        <v>27</v>
      </c>
      <c r="C2485" t="s">
        <v>28</v>
      </c>
      <c r="H2485" s="2">
        <v>45428.615381944444</v>
      </c>
      <c r="I2485" t="s">
        <v>2791</v>
      </c>
      <c r="Z2485">
        <v>83431</v>
      </c>
    </row>
    <row r="2486" spans="1:26" x14ac:dyDescent="0.25">
      <c r="A2486" t="s">
        <v>2900</v>
      </c>
      <c r="B2486" t="s">
        <v>27</v>
      </c>
      <c r="C2486" t="s">
        <v>28</v>
      </c>
      <c r="H2486" s="2">
        <v>45427.686041666668</v>
      </c>
      <c r="I2486" t="s">
        <v>2681</v>
      </c>
      <c r="Z2486">
        <v>83353</v>
      </c>
    </row>
    <row r="2487" spans="1:26" x14ac:dyDescent="0.25">
      <c r="A2487" t="s">
        <v>2901</v>
      </c>
      <c r="B2487" t="s">
        <v>1708</v>
      </c>
      <c r="C2487" t="s">
        <v>28</v>
      </c>
      <c r="E2487" t="s">
        <v>61</v>
      </c>
      <c r="H2487" s="2">
        <v>45427.637719907405</v>
      </c>
      <c r="I2487" t="s">
        <v>556</v>
      </c>
      <c r="Z2487">
        <v>83343</v>
      </c>
    </row>
    <row r="2488" spans="1:26" x14ac:dyDescent="0.25">
      <c r="A2488" t="s">
        <v>663</v>
      </c>
      <c r="C2488" t="s">
        <v>28</v>
      </c>
      <c r="E2488" t="s">
        <v>458</v>
      </c>
      <c r="H2488" s="2">
        <v>45427.63622685185</v>
      </c>
      <c r="I2488" t="s">
        <v>556</v>
      </c>
      <c r="Z2488">
        <v>83342</v>
      </c>
    </row>
    <row r="2489" spans="1:26" x14ac:dyDescent="0.25">
      <c r="A2489" t="s">
        <v>2902</v>
      </c>
      <c r="B2489" t="s">
        <v>27</v>
      </c>
      <c r="C2489" t="s">
        <v>28</v>
      </c>
      <c r="H2489" s="2">
        <v>45427.629282407404</v>
      </c>
      <c r="I2489" t="s">
        <v>2681</v>
      </c>
      <c r="Z2489">
        <v>83339</v>
      </c>
    </row>
    <row r="2490" spans="1:26" x14ac:dyDescent="0.25">
      <c r="A2490" t="s">
        <v>2903</v>
      </c>
      <c r="B2490" t="s">
        <v>27</v>
      </c>
      <c r="C2490" t="s">
        <v>28</v>
      </c>
      <c r="H2490" s="2">
        <v>45427.579270833332</v>
      </c>
      <c r="I2490" t="s">
        <v>556</v>
      </c>
      <c r="Z2490">
        <v>83332</v>
      </c>
    </row>
    <row r="2491" spans="1:26" x14ac:dyDescent="0.25">
      <c r="A2491" t="s">
        <v>2904</v>
      </c>
      <c r="B2491" t="s">
        <v>27</v>
      </c>
      <c r="C2491" t="s">
        <v>28</v>
      </c>
      <c r="H2491" s="2">
        <v>45427.419444444444</v>
      </c>
      <c r="I2491" t="s">
        <v>556</v>
      </c>
      <c r="Z2491">
        <v>83306</v>
      </c>
    </row>
    <row r="2492" spans="1:26" x14ac:dyDescent="0.25">
      <c r="A2492" t="s">
        <v>2905</v>
      </c>
      <c r="B2492" t="s">
        <v>27</v>
      </c>
      <c r="C2492" t="s">
        <v>28</v>
      </c>
      <c r="H2492" s="2">
        <v>45427.383842592593</v>
      </c>
      <c r="I2492" t="s">
        <v>556</v>
      </c>
      <c r="Z2492">
        <v>83302</v>
      </c>
    </row>
    <row r="2493" spans="1:26" x14ac:dyDescent="0.25">
      <c r="A2493" t="s">
        <v>2906</v>
      </c>
      <c r="B2493" t="s">
        <v>27</v>
      </c>
      <c r="C2493" t="s">
        <v>28</v>
      </c>
      <c r="H2493" s="2">
        <v>45427.378217592595</v>
      </c>
      <c r="I2493" t="s">
        <v>556</v>
      </c>
      <c r="Z2493">
        <v>83300</v>
      </c>
    </row>
    <row r="2494" spans="1:26" x14ac:dyDescent="0.25">
      <c r="A2494" t="s">
        <v>2907</v>
      </c>
      <c r="B2494" t="s">
        <v>1403</v>
      </c>
      <c r="C2494" t="s">
        <v>333</v>
      </c>
      <c r="E2494" t="s">
        <v>198</v>
      </c>
      <c r="H2494" s="2">
        <v>45426.946064814816</v>
      </c>
      <c r="I2494" t="s">
        <v>2681</v>
      </c>
      <c r="K2494" t="s">
        <v>34</v>
      </c>
      <c r="L2494" t="s">
        <v>35</v>
      </c>
      <c r="M2494">
        <v>67131912</v>
      </c>
      <c r="N2494">
        <v>11953101652</v>
      </c>
      <c r="O2494" t="s">
        <v>2908</v>
      </c>
      <c r="Z2494">
        <v>83296</v>
      </c>
    </row>
    <row r="2495" spans="1:26" x14ac:dyDescent="0.25">
      <c r="A2495" t="s">
        <v>2909</v>
      </c>
      <c r="B2495" t="s">
        <v>27</v>
      </c>
      <c r="C2495" t="s">
        <v>28</v>
      </c>
      <c r="H2495" s="2">
        <v>45426.736296296294</v>
      </c>
      <c r="I2495" t="s">
        <v>2809</v>
      </c>
      <c r="Z2495">
        <v>83273</v>
      </c>
    </row>
    <row r="2496" spans="1:26" x14ac:dyDescent="0.25">
      <c r="A2496" t="s">
        <v>1887</v>
      </c>
      <c r="B2496" t="s">
        <v>27</v>
      </c>
      <c r="C2496" t="s">
        <v>28</v>
      </c>
      <c r="H2496" s="2">
        <v>45426.568506944444</v>
      </c>
      <c r="I2496" t="s">
        <v>2681</v>
      </c>
      <c r="Z2496">
        <v>83247</v>
      </c>
    </row>
    <row r="2497" spans="1:26" x14ac:dyDescent="0.25">
      <c r="A2497" t="s">
        <v>2910</v>
      </c>
      <c r="B2497" t="s">
        <v>27</v>
      </c>
      <c r="C2497" t="s">
        <v>28</v>
      </c>
      <c r="H2497" s="2">
        <v>45425.750590277778</v>
      </c>
      <c r="I2497" t="s">
        <v>2681</v>
      </c>
      <c r="Z2497">
        <v>83193</v>
      </c>
    </row>
    <row r="2498" spans="1:26" x14ac:dyDescent="0.25">
      <c r="A2498" t="s">
        <v>2911</v>
      </c>
      <c r="B2498" t="s">
        <v>27</v>
      </c>
      <c r="C2498" t="s">
        <v>28</v>
      </c>
      <c r="H2498" s="2">
        <v>45425.636747685188</v>
      </c>
      <c r="I2498" t="s">
        <v>2681</v>
      </c>
      <c r="Z2498">
        <v>83175</v>
      </c>
    </row>
    <row r="2499" spans="1:26" x14ac:dyDescent="0.25">
      <c r="A2499" t="s">
        <v>2912</v>
      </c>
      <c r="B2499" t="s">
        <v>27</v>
      </c>
      <c r="C2499" t="s">
        <v>28</v>
      </c>
      <c r="H2499" s="2">
        <v>45425.501157407409</v>
      </c>
      <c r="I2499" t="s">
        <v>2681</v>
      </c>
      <c r="Z2499">
        <v>83147</v>
      </c>
    </row>
    <row r="2500" spans="1:26" x14ac:dyDescent="0.25">
      <c r="A2500" t="s">
        <v>2913</v>
      </c>
      <c r="B2500" t="s">
        <v>27</v>
      </c>
      <c r="C2500" t="s">
        <v>28</v>
      </c>
      <c r="H2500" s="2">
        <v>45425.450775462959</v>
      </c>
      <c r="I2500" t="s">
        <v>2681</v>
      </c>
      <c r="Z2500">
        <v>83139</v>
      </c>
    </row>
    <row r="2501" spans="1:26" x14ac:dyDescent="0.25">
      <c r="A2501" t="s">
        <v>2914</v>
      </c>
      <c r="B2501" t="s">
        <v>27</v>
      </c>
      <c r="C2501" t="s">
        <v>28</v>
      </c>
      <c r="H2501" s="2">
        <v>45425.43209490741</v>
      </c>
      <c r="I2501" t="s">
        <v>1488</v>
      </c>
      <c r="Z2501">
        <v>83135</v>
      </c>
    </row>
    <row r="2502" spans="1:26" x14ac:dyDescent="0.25">
      <c r="A2502" t="s">
        <v>2915</v>
      </c>
      <c r="B2502" t="s">
        <v>27</v>
      </c>
      <c r="C2502" t="s">
        <v>28</v>
      </c>
      <c r="H2502" s="2">
        <v>45424.873726851853</v>
      </c>
      <c r="I2502" t="s">
        <v>1488</v>
      </c>
      <c r="Z2502">
        <v>83113</v>
      </c>
    </row>
    <row r="2503" spans="1:26" x14ac:dyDescent="0.25">
      <c r="A2503" t="s">
        <v>2916</v>
      </c>
      <c r="B2503" t="s">
        <v>27</v>
      </c>
      <c r="C2503" t="s">
        <v>28</v>
      </c>
      <c r="H2503" s="2">
        <v>45424.521469907406</v>
      </c>
      <c r="I2503" t="s">
        <v>1488</v>
      </c>
      <c r="Z2503">
        <v>83079</v>
      </c>
    </row>
    <row r="2504" spans="1:26" x14ac:dyDescent="0.25">
      <c r="A2504" t="s">
        <v>2917</v>
      </c>
      <c r="B2504" t="s">
        <v>27</v>
      </c>
      <c r="C2504" t="s">
        <v>28</v>
      </c>
      <c r="H2504" s="2">
        <v>45424.505173611113</v>
      </c>
      <c r="I2504" t="s">
        <v>1488</v>
      </c>
      <c r="Z2504">
        <v>83078</v>
      </c>
    </row>
    <row r="2505" spans="1:26" x14ac:dyDescent="0.25">
      <c r="A2505" t="s">
        <v>2918</v>
      </c>
      <c r="B2505" t="s">
        <v>27</v>
      </c>
      <c r="C2505" t="s">
        <v>75</v>
      </c>
      <c r="H2505" s="2">
        <v>45424.48027777778</v>
      </c>
      <c r="I2505" t="s">
        <v>2148</v>
      </c>
      <c r="Z2505">
        <v>83075</v>
      </c>
    </row>
    <row r="2506" spans="1:26" x14ac:dyDescent="0.25">
      <c r="A2506" t="s">
        <v>2919</v>
      </c>
      <c r="B2506" t="s">
        <v>1708</v>
      </c>
      <c r="C2506" t="s">
        <v>28</v>
      </c>
      <c r="E2506" t="s">
        <v>2920</v>
      </c>
      <c r="H2506" s="2">
        <v>45423.878587962965</v>
      </c>
      <c r="I2506" t="s">
        <v>1488</v>
      </c>
      <c r="Z2506">
        <v>83064</v>
      </c>
    </row>
    <row r="2507" spans="1:26" x14ac:dyDescent="0.25">
      <c r="A2507" t="s">
        <v>2921</v>
      </c>
      <c r="B2507" t="s">
        <v>74</v>
      </c>
      <c r="C2507" t="s">
        <v>28</v>
      </c>
      <c r="E2507" t="s">
        <v>186</v>
      </c>
      <c r="G2507" t="s">
        <v>2922</v>
      </c>
      <c r="H2507" s="2">
        <v>45423.605810185189</v>
      </c>
      <c r="I2507" t="s">
        <v>556</v>
      </c>
      <c r="Z2507">
        <v>83044</v>
      </c>
    </row>
    <row r="2508" spans="1:26" x14ac:dyDescent="0.25">
      <c r="A2508" t="s">
        <v>2923</v>
      </c>
      <c r="B2508" t="s">
        <v>27</v>
      </c>
      <c r="C2508" t="s">
        <v>28</v>
      </c>
      <c r="H2508" s="2">
        <v>45423.555960648147</v>
      </c>
      <c r="I2508" t="s">
        <v>1488</v>
      </c>
      <c r="Z2508">
        <v>83039</v>
      </c>
    </row>
    <row r="2509" spans="1:26" x14ac:dyDescent="0.25">
      <c r="A2509" t="s">
        <v>2835</v>
      </c>
      <c r="B2509" t="s">
        <v>1708</v>
      </c>
      <c r="C2509" t="s">
        <v>28</v>
      </c>
      <c r="E2509" t="s">
        <v>2924</v>
      </c>
      <c r="G2509" t="s">
        <v>101</v>
      </c>
      <c r="H2509" s="2">
        <v>45423.484826388885</v>
      </c>
      <c r="I2509" t="s">
        <v>556</v>
      </c>
      <c r="Z2509">
        <v>83034</v>
      </c>
    </row>
    <row r="2510" spans="1:26" x14ac:dyDescent="0.25">
      <c r="A2510" t="s">
        <v>2009</v>
      </c>
      <c r="B2510" t="s">
        <v>1708</v>
      </c>
      <c r="C2510" t="s">
        <v>28</v>
      </c>
      <c r="E2510" t="s">
        <v>2010</v>
      </c>
      <c r="H2510" s="2">
        <v>45423.411574074074</v>
      </c>
      <c r="I2510" t="s">
        <v>556</v>
      </c>
      <c r="K2510" t="s">
        <v>34</v>
      </c>
      <c r="L2510" t="s">
        <v>35</v>
      </c>
      <c r="M2510">
        <v>55887083</v>
      </c>
      <c r="N2510">
        <v>9754618980</v>
      </c>
      <c r="O2510" t="s">
        <v>461</v>
      </c>
      <c r="Z2510">
        <v>83024</v>
      </c>
    </row>
    <row r="2511" spans="1:26" x14ac:dyDescent="0.25">
      <c r="A2511" t="s">
        <v>2925</v>
      </c>
      <c r="B2511" t="s">
        <v>27</v>
      </c>
      <c r="C2511" t="s">
        <v>28</v>
      </c>
      <c r="H2511" s="2">
        <v>45422.800717592596</v>
      </c>
      <c r="I2511" t="s">
        <v>1488</v>
      </c>
      <c r="Z2511">
        <v>83016</v>
      </c>
    </row>
    <row r="2512" spans="1:26" x14ac:dyDescent="0.25">
      <c r="A2512" t="s">
        <v>2926</v>
      </c>
      <c r="B2512" t="s">
        <v>27</v>
      </c>
      <c r="C2512" t="s">
        <v>28</v>
      </c>
      <c r="H2512" s="2">
        <v>45422.747048611112</v>
      </c>
      <c r="I2512" t="s">
        <v>1488</v>
      </c>
      <c r="Z2512">
        <v>83012</v>
      </c>
    </row>
    <row r="2513" spans="1:26" x14ac:dyDescent="0.25">
      <c r="A2513" t="s">
        <v>2927</v>
      </c>
      <c r="B2513" t="s">
        <v>27</v>
      </c>
      <c r="C2513" t="s">
        <v>28</v>
      </c>
      <c r="H2513" s="2">
        <v>45422.586793981478</v>
      </c>
      <c r="I2513" t="s">
        <v>1488</v>
      </c>
      <c r="Z2513">
        <v>82993</v>
      </c>
    </row>
    <row r="2514" spans="1:26" x14ac:dyDescent="0.25">
      <c r="A2514" t="s">
        <v>2030</v>
      </c>
      <c r="B2514" t="s">
        <v>27</v>
      </c>
      <c r="C2514" t="s">
        <v>28</v>
      </c>
      <c r="H2514" s="2">
        <v>45422.53398148148</v>
      </c>
      <c r="I2514" t="s">
        <v>1488</v>
      </c>
      <c r="Z2514">
        <v>82984</v>
      </c>
    </row>
    <row r="2515" spans="1:26" x14ac:dyDescent="0.25">
      <c r="A2515" t="s">
        <v>2928</v>
      </c>
      <c r="B2515" t="s">
        <v>27</v>
      </c>
      <c r="C2515" t="s">
        <v>28</v>
      </c>
      <c r="H2515" s="2">
        <v>45422.487754629627</v>
      </c>
      <c r="I2515" t="s">
        <v>556</v>
      </c>
      <c r="Z2515">
        <v>82980</v>
      </c>
    </row>
    <row r="2516" spans="1:26" x14ac:dyDescent="0.25">
      <c r="A2516" t="s">
        <v>2177</v>
      </c>
      <c r="B2516" t="s">
        <v>27</v>
      </c>
      <c r="C2516" t="s">
        <v>28</v>
      </c>
      <c r="H2516" s="2">
        <v>45421.240532407406</v>
      </c>
      <c r="I2516" t="s">
        <v>2681</v>
      </c>
      <c r="Z2516">
        <v>82924</v>
      </c>
    </row>
    <row r="2517" spans="1:26" x14ac:dyDescent="0.25">
      <c r="A2517" t="s">
        <v>2929</v>
      </c>
      <c r="B2517" t="s">
        <v>1708</v>
      </c>
      <c r="C2517" t="s">
        <v>28</v>
      </c>
      <c r="E2517" t="s">
        <v>304</v>
      </c>
      <c r="H2517" s="2">
        <v>45420.800023148149</v>
      </c>
      <c r="I2517" t="s">
        <v>556</v>
      </c>
      <c r="Z2517">
        <v>82906</v>
      </c>
    </row>
    <row r="2518" spans="1:26" x14ac:dyDescent="0.25">
      <c r="A2518" t="s">
        <v>2930</v>
      </c>
      <c r="B2518" t="s">
        <v>85</v>
      </c>
      <c r="C2518" t="s">
        <v>28</v>
      </c>
      <c r="H2518" s="2">
        <v>45420.675034722219</v>
      </c>
      <c r="I2518" t="s">
        <v>556</v>
      </c>
      <c r="Z2518">
        <v>82892</v>
      </c>
    </row>
    <row r="2519" spans="1:26" x14ac:dyDescent="0.25">
      <c r="A2519" t="s">
        <v>1303</v>
      </c>
      <c r="B2519" t="s">
        <v>27</v>
      </c>
      <c r="C2519" t="s">
        <v>28</v>
      </c>
      <c r="H2519" s="2">
        <v>45420.583182870374</v>
      </c>
      <c r="I2519" t="s">
        <v>556</v>
      </c>
      <c r="Z2519">
        <v>82879</v>
      </c>
    </row>
    <row r="2520" spans="1:26" x14ac:dyDescent="0.25">
      <c r="A2520" t="s">
        <v>2931</v>
      </c>
      <c r="B2520" t="s">
        <v>74</v>
      </c>
      <c r="C2520" t="s">
        <v>28</v>
      </c>
      <c r="E2520" t="s">
        <v>2932</v>
      </c>
      <c r="G2520" t="s">
        <v>2933</v>
      </c>
      <c r="H2520" s="2">
        <v>45420.51935185185</v>
      </c>
      <c r="I2520" t="s">
        <v>2681</v>
      </c>
      <c r="Z2520">
        <v>82864</v>
      </c>
    </row>
    <row r="2521" spans="1:26" x14ac:dyDescent="0.25">
      <c r="A2521" t="s">
        <v>663</v>
      </c>
      <c r="C2521" t="s">
        <v>28</v>
      </c>
      <c r="E2521" t="s">
        <v>373</v>
      </c>
      <c r="H2521" s="2">
        <v>45420.490312499998</v>
      </c>
      <c r="I2521" t="s">
        <v>2681</v>
      </c>
      <c r="Z2521">
        <v>82859</v>
      </c>
    </row>
    <row r="2522" spans="1:26" x14ac:dyDescent="0.25">
      <c r="A2522" t="s">
        <v>2934</v>
      </c>
      <c r="B2522" t="s">
        <v>1708</v>
      </c>
      <c r="C2522" t="s">
        <v>28</v>
      </c>
      <c r="E2522" t="s">
        <v>101</v>
      </c>
      <c r="G2522" t="s">
        <v>2935</v>
      </c>
      <c r="H2522" s="2">
        <v>45420.418761574074</v>
      </c>
      <c r="I2522" t="s">
        <v>556</v>
      </c>
      <c r="Z2522">
        <v>82856</v>
      </c>
    </row>
    <row r="2523" spans="1:26" x14ac:dyDescent="0.25">
      <c r="A2523" t="s">
        <v>2936</v>
      </c>
      <c r="B2523" t="s">
        <v>74</v>
      </c>
      <c r="C2523" t="s">
        <v>28</v>
      </c>
      <c r="E2523" t="s">
        <v>186</v>
      </c>
      <c r="G2523" t="s">
        <v>2937</v>
      </c>
      <c r="H2523" s="2">
        <v>45420.103576388887</v>
      </c>
      <c r="I2523" t="s">
        <v>556</v>
      </c>
      <c r="Z2523">
        <v>82854</v>
      </c>
    </row>
    <row r="2524" spans="1:26" x14ac:dyDescent="0.25">
      <c r="A2524" t="s">
        <v>2938</v>
      </c>
      <c r="B2524" t="s">
        <v>27</v>
      </c>
      <c r="C2524" t="s">
        <v>28</v>
      </c>
      <c r="H2524" s="2">
        <v>45419.692291666666</v>
      </c>
      <c r="I2524" t="s">
        <v>1488</v>
      </c>
      <c r="Z2524">
        <v>82841</v>
      </c>
    </row>
    <row r="2525" spans="1:26" x14ac:dyDescent="0.25">
      <c r="A2525" t="s">
        <v>2939</v>
      </c>
      <c r="B2525" t="s">
        <v>74</v>
      </c>
      <c r="C2525" t="s">
        <v>28</v>
      </c>
      <c r="E2525" t="s">
        <v>458</v>
      </c>
      <c r="G2525" t="s">
        <v>2940</v>
      </c>
      <c r="H2525" s="2">
        <v>45419.552465277775</v>
      </c>
      <c r="I2525" t="s">
        <v>2681</v>
      </c>
      <c r="Z2525">
        <v>82825</v>
      </c>
    </row>
    <row r="2526" spans="1:26" x14ac:dyDescent="0.25">
      <c r="A2526" t="s">
        <v>2941</v>
      </c>
      <c r="B2526" t="s">
        <v>27</v>
      </c>
      <c r="C2526" t="s">
        <v>28</v>
      </c>
      <c r="H2526" s="2">
        <v>45419.483124999999</v>
      </c>
      <c r="I2526" t="s">
        <v>1488</v>
      </c>
      <c r="Z2526">
        <v>82815</v>
      </c>
    </row>
    <row r="2527" spans="1:26" x14ac:dyDescent="0.25">
      <c r="A2527" t="s">
        <v>2942</v>
      </c>
      <c r="B2527" t="s">
        <v>27</v>
      </c>
      <c r="C2527" t="s">
        <v>28</v>
      </c>
      <c r="E2527" t="s">
        <v>1772</v>
      </c>
      <c r="H2527" s="2">
        <v>45418.877916666665</v>
      </c>
      <c r="I2527" t="s">
        <v>1488</v>
      </c>
      <c r="Z2527">
        <v>82802</v>
      </c>
    </row>
    <row r="2528" spans="1:26" x14ac:dyDescent="0.25">
      <c r="A2528" t="s">
        <v>2943</v>
      </c>
      <c r="B2528" t="s">
        <v>27</v>
      </c>
      <c r="C2528" t="s">
        <v>28</v>
      </c>
      <c r="H2528" s="2">
        <v>45418.648101851853</v>
      </c>
      <c r="I2528" t="s">
        <v>2681</v>
      </c>
      <c r="Z2528">
        <v>82777</v>
      </c>
    </row>
    <row r="2529" spans="1:26" x14ac:dyDescent="0.25">
      <c r="A2529" t="s">
        <v>2944</v>
      </c>
      <c r="B2529" t="s">
        <v>27</v>
      </c>
      <c r="C2529" t="s">
        <v>28</v>
      </c>
      <c r="H2529" s="2">
        <v>45418.632152777776</v>
      </c>
      <c r="I2529" t="s">
        <v>1488</v>
      </c>
      <c r="Z2529">
        <v>82775</v>
      </c>
    </row>
    <row r="2530" spans="1:26" x14ac:dyDescent="0.25">
      <c r="A2530" t="s">
        <v>2945</v>
      </c>
      <c r="B2530" t="s">
        <v>27</v>
      </c>
      <c r="C2530" t="s">
        <v>28</v>
      </c>
      <c r="H2530" s="2">
        <v>45418.578333333331</v>
      </c>
      <c r="I2530" t="s">
        <v>2681</v>
      </c>
      <c r="Z2530">
        <v>82771</v>
      </c>
    </row>
    <row r="2531" spans="1:26" x14ac:dyDescent="0.25">
      <c r="A2531" t="s">
        <v>2946</v>
      </c>
      <c r="B2531" t="s">
        <v>27</v>
      </c>
      <c r="C2531" t="s">
        <v>28</v>
      </c>
      <c r="H2531" s="2">
        <v>45418.523715277777</v>
      </c>
      <c r="I2531" t="s">
        <v>2681</v>
      </c>
      <c r="Z2531">
        <v>82758</v>
      </c>
    </row>
    <row r="2532" spans="1:26" x14ac:dyDescent="0.25">
      <c r="A2532" t="s">
        <v>2947</v>
      </c>
      <c r="B2532" t="s">
        <v>1708</v>
      </c>
      <c r="C2532" t="s">
        <v>75</v>
      </c>
      <c r="E2532" t="s">
        <v>2948</v>
      </c>
      <c r="H2532" s="2">
        <v>45418.418136574073</v>
      </c>
      <c r="I2532" t="s">
        <v>31</v>
      </c>
      <c r="Z2532">
        <v>82726</v>
      </c>
    </row>
    <row r="2533" spans="1:26" x14ac:dyDescent="0.25">
      <c r="A2533" t="s">
        <v>2949</v>
      </c>
      <c r="B2533" t="s">
        <v>1708</v>
      </c>
      <c r="C2533" t="s">
        <v>28</v>
      </c>
      <c r="E2533" t="s">
        <v>2950</v>
      </c>
      <c r="H2533" s="2">
        <v>45418.417754629627</v>
      </c>
      <c r="I2533" t="s">
        <v>1488</v>
      </c>
      <c r="Z2533">
        <v>82721</v>
      </c>
    </row>
    <row r="2534" spans="1:26" x14ac:dyDescent="0.25">
      <c r="A2534" t="s">
        <v>2951</v>
      </c>
      <c r="B2534" t="s">
        <v>1708</v>
      </c>
      <c r="C2534" t="s">
        <v>28</v>
      </c>
      <c r="E2534">
        <v>79270076101</v>
      </c>
      <c r="H2534" s="2">
        <v>45418.417731481481</v>
      </c>
      <c r="I2534" t="s">
        <v>2681</v>
      </c>
      <c r="Z2534">
        <v>82720</v>
      </c>
    </row>
    <row r="2535" spans="1:26" x14ac:dyDescent="0.25">
      <c r="A2535" t="s">
        <v>1793</v>
      </c>
      <c r="B2535" t="s">
        <v>306</v>
      </c>
      <c r="C2535" t="s">
        <v>28</v>
      </c>
      <c r="E2535" t="s">
        <v>209</v>
      </c>
      <c r="H2535" s="2">
        <v>45417.701458333337</v>
      </c>
      <c r="I2535" t="s">
        <v>2681</v>
      </c>
      <c r="K2535" t="s">
        <v>34</v>
      </c>
      <c r="L2535" t="s">
        <v>35</v>
      </c>
      <c r="M2535">
        <v>55887089</v>
      </c>
      <c r="N2535">
        <v>12886132963</v>
      </c>
      <c r="O2535" t="s">
        <v>2952</v>
      </c>
      <c r="Z2535">
        <v>82700</v>
      </c>
    </row>
    <row r="2536" spans="1:26" x14ac:dyDescent="0.25">
      <c r="A2536" t="s">
        <v>2953</v>
      </c>
      <c r="B2536" t="s">
        <v>27</v>
      </c>
      <c r="C2536" t="s">
        <v>28</v>
      </c>
      <c r="H2536" s="2">
        <v>45417.497939814813</v>
      </c>
      <c r="I2536" t="s">
        <v>1488</v>
      </c>
      <c r="Z2536">
        <v>82677</v>
      </c>
    </row>
    <row r="2537" spans="1:26" x14ac:dyDescent="0.25">
      <c r="A2537" t="s">
        <v>2954</v>
      </c>
      <c r="C2537" t="s">
        <v>28</v>
      </c>
      <c r="E2537" t="s">
        <v>101</v>
      </c>
      <c r="H2537" s="2">
        <v>45416.973240740743</v>
      </c>
      <c r="I2537" t="s">
        <v>556</v>
      </c>
      <c r="Z2537">
        <v>82671</v>
      </c>
    </row>
    <row r="2538" spans="1:26" x14ac:dyDescent="0.25">
      <c r="A2538" t="s">
        <v>2955</v>
      </c>
      <c r="B2538" t="s">
        <v>27</v>
      </c>
      <c r="C2538" t="s">
        <v>28</v>
      </c>
      <c r="H2538" s="2">
        <v>45416.65042824074</v>
      </c>
      <c r="I2538" t="s">
        <v>556</v>
      </c>
      <c r="Z2538">
        <v>82647</v>
      </c>
    </row>
    <row r="2539" spans="1:26" x14ac:dyDescent="0.25">
      <c r="A2539" t="s">
        <v>2956</v>
      </c>
      <c r="B2539" t="s">
        <v>27</v>
      </c>
      <c r="C2539" t="s">
        <v>28</v>
      </c>
      <c r="H2539" s="2">
        <v>45416.547395833331</v>
      </c>
      <c r="I2539" t="s">
        <v>556</v>
      </c>
      <c r="Z2539">
        <v>82632</v>
      </c>
    </row>
    <row r="2540" spans="1:26" x14ac:dyDescent="0.25">
      <c r="A2540" t="s">
        <v>2957</v>
      </c>
      <c r="B2540" t="s">
        <v>27</v>
      </c>
      <c r="C2540" t="s">
        <v>28</v>
      </c>
      <c r="H2540" s="2">
        <v>45416.508113425924</v>
      </c>
      <c r="I2540" t="s">
        <v>556</v>
      </c>
      <c r="Z2540">
        <v>82628</v>
      </c>
    </row>
    <row r="2541" spans="1:26" x14ac:dyDescent="0.25">
      <c r="A2541" t="s">
        <v>2958</v>
      </c>
      <c r="B2541" t="s">
        <v>27</v>
      </c>
      <c r="C2541" t="s">
        <v>28</v>
      </c>
      <c r="H2541" s="2">
        <v>45416.483067129629</v>
      </c>
      <c r="I2541" t="s">
        <v>1488</v>
      </c>
      <c r="Z2541">
        <v>82622</v>
      </c>
    </row>
    <row r="2542" spans="1:26" x14ac:dyDescent="0.25">
      <c r="A2542" t="s">
        <v>2959</v>
      </c>
      <c r="B2542" t="s">
        <v>27</v>
      </c>
      <c r="C2542" t="s">
        <v>28</v>
      </c>
      <c r="H2542" s="2">
        <v>45416.476655092592</v>
      </c>
      <c r="I2542" t="s">
        <v>556</v>
      </c>
      <c r="Z2542">
        <v>82619</v>
      </c>
    </row>
    <row r="2543" spans="1:26" x14ac:dyDescent="0.25">
      <c r="A2543" t="s">
        <v>2960</v>
      </c>
      <c r="B2543" t="s">
        <v>27</v>
      </c>
      <c r="C2543" t="s">
        <v>28</v>
      </c>
      <c r="H2543" s="2">
        <v>45415.586643518516</v>
      </c>
      <c r="I2543" t="s">
        <v>556</v>
      </c>
      <c r="Z2543">
        <v>82581</v>
      </c>
    </row>
    <row r="2544" spans="1:26" x14ac:dyDescent="0.25">
      <c r="A2544" t="s">
        <v>2961</v>
      </c>
      <c r="B2544" t="s">
        <v>27</v>
      </c>
      <c r="C2544" t="s">
        <v>28</v>
      </c>
      <c r="H2544" s="2">
        <v>45415.435833333337</v>
      </c>
      <c r="I2544" t="s">
        <v>2681</v>
      </c>
      <c r="Z2544">
        <v>82560</v>
      </c>
    </row>
    <row r="2545" spans="1:26" x14ac:dyDescent="0.25">
      <c r="A2545" t="s">
        <v>2962</v>
      </c>
      <c r="B2545" t="s">
        <v>27</v>
      </c>
      <c r="C2545" t="s">
        <v>28</v>
      </c>
      <c r="H2545" s="2">
        <v>45415.386805555558</v>
      </c>
      <c r="I2545" t="s">
        <v>556</v>
      </c>
      <c r="Z2545">
        <v>82555</v>
      </c>
    </row>
    <row r="2546" spans="1:26" x14ac:dyDescent="0.25">
      <c r="A2546" t="s">
        <v>2963</v>
      </c>
      <c r="B2546" t="s">
        <v>27</v>
      </c>
      <c r="C2546" t="s">
        <v>28</v>
      </c>
      <c r="H2546" s="2">
        <v>45414.775520833333</v>
      </c>
      <c r="I2546" t="s">
        <v>1488</v>
      </c>
      <c r="Z2546">
        <v>82538</v>
      </c>
    </row>
    <row r="2547" spans="1:26" x14ac:dyDescent="0.25">
      <c r="A2547" t="s">
        <v>2755</v>
      </c>
      <c r="B2547" t="s">
        <v>27</v>
      </c>
      <c r="C2547" t="s">
        <v>28</v>
      </c>
      <c r="H2547" s="2">
        <v>45414.729537037034</v>
      </c>
      <c r="I2547" t="s">
        <v>1488</v>
      </c>
      <c r="Z2547">
        <v>82534</v>
      </c>
    </row>
    <row r="2548" spans="1:26" x14ac:dyDescent="0.25">
      <c r="A2548" t="s">
        <v>2807</v>
      </c>
      <c r="B2548" t="s">
        <v>27</v>
      </c>
      <c r="C2548" t="s">
        <v>28</v>
      </c>
      <c r="H2548" s="2">
        <v>45414.705497685187</v>
      </c>
      <c r="I2548" t="s">
        <v>1488</v>
      </c>
      <c r="Z2548">
        <v>82531</v>
      </c>
    </row>
    <row r="2549" spans="1:26" x14ac:dyDescent="0.25">
      <c r="A2549" t="s">
        <v>2964</v>
      </c>
      <c r="B2549" t="s">
        <v>27</v>
      </c>
      <c r="C2549" t="s">
        <v>28</v>
      </c>
      <c r="H2549" s="2">
        <v>45414.689583333333</v>
      </c>
      <c r="I2549" t="s">
        <v>2809</v>
      </c>
      <c r="Z2549">
        <v>82530</v>
      </c>
    </row>
    <row r="2550" spans="1:26" x14ac:dyDescent="0.25">
      <c r="A2550" t="s">
        <v>2965</v>
      </c>
      <c r="B2550" t="s">
        <v>74</v>
      </c>
      <c r="C2550" t="s">
        <v>28</v>
      </c>
      <c r="E2550" t="s">
        <v>2168</v>
      </c>
      <c r="G2550" t="s">
        <v>2169</v>
      </c>
      <c r="H2550" s="2">
        <v>45414.652453703704</v>
      </c>
      <c r="I2550" t="s">
        <v>556</v>
      </c>
      <c r="Z2550">
        <v>82520</v>
      </c>
    </row>
    <row r="2551" spans="1:26" x14ac:dyDescent="0.25">
      <c r="A2551" t="s">
        <v>2966</v>
      </c>
      <c r="B2551" t="s">
        <v>27</v>
      </c>
      <c r="C2551" t="s">
        <v>28</v>
      </c>
      <c r="H2551" s="2">
        <v>45414.608831018515</v>
      </c>
      <c r="I2551" t="s">
        <v>1488</v>
      </c>
      <c r="Z2551">
        <v>82508</v>
      </c>
    </row>
    <row r="2552" spans="1:26" x14ac:dyDescent="0.25">
      <c r="A2552" t="s">
        <v>2967</v>
      </c>
      <c r="B2552" t="s">
        <v>27</v>
      </c>
      <c r="C2552" t="s">
        <v>28</v>
      </c>
      <c r="H2552" s="2">
        <v>45414.406921296293</v>
      </c>
      <c r="I2552" t="s">
        <v>556</v>
      </c>
      <c r="Z2552">
        <v>82466</v>
      </c>
    </row>
    <row r="2553" spans="1:26" x14ac:dyDescent="0.25">
      <c r="A2553" t="s">
        <v>2968</v>
      </c>
      <c r="B2553" t="s">
        <v>27</v>
      </c>
      <c r="C2553" t="s">
        <v>28</v>
      </c>
      <c r="H2553" s="2">
        <v>45414.40452546296</v>
      </c>
      <c r="I2553" t="s">
        <v>556</v>
      </c>
      <c r="Z2553">
        <v>82465</v>
      </c>
    </row>
    <row r="2554" spans="1:26" x14ac:dyDescent="0.25">
      <c r="A2554" t="s">
        <v>2969</v>
      </c>
      <c r="B2554" t="s">
        <v>1403</v>
      </c>
      <c r="C2554" t="s">
        <v>28</v>
      </c>
      <c r="E2554" t="s">
        <v>385</v>
      </c>
      <c r="H2554" s="2">
        <v>45414.276921296296</v>
      </c>
      <c r="I2554" t="s">
        <v>1488</v>
      </c>
      <c r="Z2554">
        <v>82460</v>
      </c>
    </row>
    <row r="2555" spans="1:26" x14ac:dyDescent="0.25">
      <c r="A2555" t="s">
        <v>2970</v>
      </c>
      <c r="B2555" t="s">
        <v>74</v>
      </c>
      <c r="C2555" t="s">
        <v>28</v>
      </c>
      <c r="E2555" t="s">
        <v>209</v>
      </c>
      <c r="G2555" t="s">
        <v>2971</v>
      </c>
      <c r="H2555" s="2">
        <v>45413.812268518515</v>
      </c>
      <c r="I2555" t="s">
        <v>556</v>
      </c>
      <c r="Z2555">
        <v>82451</v>
      </c>
    </row>
    <row r="2556" spans="1:26" x14ac:dyDescent="0.25">
      <c r="A2556" t="s">
        <v>2972</v>
      </c>
      <c r="B2556" t="s">
        <v>27</v>
      </c>
      <c r="C2556" t="s">
        <v>28</v>
      </c>
      <c r="H2556" s="2">
        <v>45413.479722222219</v>
      </c>
      <c r="I2556" t="s">
        <v>2674</v>
      </c>
      <c r="Z2556">
        <v>82413</v>
      </c>
    </row>
    <row r="2557" spans="1:26" x14ac:dyDescent="0.25">
      <c r="A2557" t="s">
        <v>2973</v>
      </c>
      <c r="B2557" t="s">
        <v>27</v>
      </c>
      <c r="C2557" t="s">
        <v>28</v>
      </c>
      <c r="H2557" s="2">
        <v>45413.450949074075</v>
      </c>
      <c r="I2557" t="s">
        <v>2674</v>
      </c>
      <c r="Z2557">
        <v>82408</v>
      </c>
    </row>
    <row r="2558" spans="1:26" x14ac:dyDescent="0.25">
      <c r="A2558" t="s">
        <v>2974</v>
      </c>
      <c r="B2558" t="s">
        <v>27</v>
      </c>
      <c r="C2558" t="s">
        <v>28</v>
      </c>
      <c r="H2558" s="2">
        <v>45413.443067129629</v>
      </c>
      <c r="I2558" t="s">
        <v>1488</v>
      </c>
      <c r="Z2558">
        <v>82405</v>
      </c>
    </row>
    <row r="2559" spans="1:26" x14ac:dyDescent="0.25">
      <c r="A2559" t="s">
        <v>2975</v>
      </c>
      <c r="B2559" t="s">
        <v>27</v>
      </c>
      <c r="C2559" t="s">
        <v>28</v>
      </c>
      <c r="H2559" s="2">
        <v>45412.70815972222</v>
      </c>
      <c r="I2559" t="s">
        <v>2674</v>
      </c>
      <c r="Z2559">
        <v>82374</v>
      </c>
    </row>
    <row r="2560" spans="1:26" x14ac:dyDescent="0.25">
      <c r="A2560" t="s">
        <v>2976</v>
      </c>
      <c r="B2560" t="s">
        <v>27</v>
      </c>
      <c r="C2560" t="s">
        <v>28</v>
      </c>
      <c r="H2560" s="2">
        <v>45412.706562500003</v>
      </c>
      <c r="I2560" t="s">
        <v>2674</v>
      </c>
      <c r="Z2560">
        <v>82373</v>
      </c>
    </row>
    <row r="2561" spans="1:26" x14ac:dyDescent="0.25">
      <c r="A2561" t="s">
        <v>2977</v>
      </c>
      <c r="B2561" t="s">
        <v>27</v>
      </c>
      <c r="C2561" t="s">
        <v>28</v>
      </c>
      <c r="H2561" s="2">
        <v>45412.391574074078</v>
      </c>
      <c r="I2561" t="s">
        <v>2674</v>
      </c>
      <c r="Z2561">
        <v>82335</v>
      </c>
    </row>
    <row r="2562" spans="1:26" x14ac:dyDescent="0.25">
      <c r="A2562" t="s">
        <v>2978</v>
      </c>
      <c r="B2562" t="s">
        <v>27</v>
      </c>
      <c r="C2562" t="s">
        <v>28</v>
      </c>
      <c r="H2562" s="2">
        <v>45411.618564814817</v>
      </c>
      <c r="I2562" t="s">
        <v>2674</v>
      </c>
      <c r="Z2562">
        <v>82311</v>
      </c>
    </row>
    <row r="2563" spans="1:26" x14ac:dyDescent="0.25">
      <c r="A2563" t="s">
        <v>2979</v>
      </c>
      <c r="B2563" t="s">
        <v>27</v>
      </c>
      <c r="C2563" t="s">
        <v>28</v>
      </c>
      <c r="H2563" s="2">
        <v>45411.491423611114</v>
      </c>
      <c r="I2563" t="s">
        <v>2674</v>
      </c>
      <c r="Z2563">
        <v>82292</v>
      </c>
    </row>
    <row r="2564" spans="1:26" x14ac:dyDescent="0.25">
      <c r="A2564" t="s">
        <v>2980</v>
      </c>
      <c r="B2564" t="s">
        <v>27</v>
      </c>
      <c r="C2564" t="s">
        <v>28</v>
      </c>
      <c r="H2564" s="2">
        <v>45410.717534722222</v>
      </c>
      <c r="I2564" t="s">
        <v>1488</v>
      </c>
      <c r="Z2564">
        <v>82258</v>
      </c>
    </row>
    <row r="2565" spans="1:26" x14ac:dyDescent="0.25">
      <c r="A2565" t="s">
        <v>663</v>
      </c>
      <c r="C2565" t="s">
        <v>28</v>
      </c>
      <c r="E2565" t="s">
        <v>212</v>
      </c>
      <c r="H2565" s="2">
        <v>45410.553935185184</v>
      </c>
      <c r="I2565" t="s">
        <v>1488</v>
      </c>
      <c r="Z2565">
        <v>82235</v>
      </c>
    </row>
    <row r="2566" spans="1:26" x14ac:dyDescent="0.25">
      <c r="A2566" t="s">
        <v>2981</v>
      </c>
      <c r="B2566" t="s">
        <v>1708</v>
      </c>
      <c r="C2566" t="s">
        <v>28</v>
      </c>
      <c r="E2566" t="s">
        <v>1916</v>
      </c>
      <c r="H2566" s="2">
        <v>45409.666898148149</v>
      </c>
      <c r="I2566" t="s">
        <v>1488</v>
      </c>
      <c r="Z2566">
        <v>82180</v>
      </c>
    </row>
    <row r="2567" spans="1:26" x14ac:dyDescent="0.25">
      <c r="A2567" t="s">
        <v>2982</v>
      </c>
      <c r="B2567" t="s">
        <v>27</v>
      </c>
      <c r="C2567" t="s">
        <v>28</v>
      </c>
      <c r="H2567" s="2">
        <v>45409.536087962966</v>
      </c>
      <c r="I2567" t="s">
        <v>1488</v>
      </c>
      <c r="Z2567">
        <v>82155</v>
      </c>
    </row>
    <row r="2568" spans="1:26" x14ac:dyDescent="0.25">
      <c r="A2568" t="s">
        <v>2983</v>
      </c>
      <c r="B2568" t="s">
        <v>27</v>
      </c>
      <c r="C2568" t="s">
        <v>28</v>
      </c>
      <c r="H2568" s="2">
        <v>45409.471331018518</v>
      </c>
      <c r="I2568" t="s">
        <v>1488</v>
      </c>
      <c r="Z2568">
        <v>82146</v>
      </c>
    </row>
    <row r="2569" spans="1:26" x14ac:dyDescent="0.25">
      <c r="A2569" t="s">
        <v>2984</v>
      </c>
      <c r="B2569" t="s">
        <v>27</v>
      </c>
      <c r="C2569" t="s">
        <v>28</v>
      </c>
      <c r="H2569" s="2">
        <v>45408.778900462959</v>
      </c>
      <c r="I2569" t="s">
        <v>1488</v>
      </c>
      <c r="Z2569">
        <v>82121</v>
      </c>
    </row>
    <row r="2570" spans="1:26" x14ac:dyDescent="0.25">
      <c r="A2570" t="s">
        <v>2985</v>
      </c>
      <c r="B2570" t="s">
        <v>27</v>
      </c>
      <c r="C2570" t="s">
        <v>28</v>
      </c>
      <c r="H2570" s="2">
        <v>45408.705428240741</v>
      </c>
      <c r="I2570" t="s">
        <v>2681</v>
      </c>
      <c r="Z2570">
        <v>82109</v>
      </c>
    </row>
    <row r="2571" spans="1:26" x14ac:dyDescent="0.25">
      <c r="A2571" t="s">
        <v>2986</v>
      </c>
      <c r="B2571" t="s">
        <v>27</v>
      </c>
      <c r="C2571" t="s">
        <v>28</v>
      </c>
      <c r="H2571" s="2">
        <v>45408.556585648148</v>
      </c>
      <c r="I2571" t="s">
        <v>1488</v>
      </c>
      <c r="Z2571">
        <v>82081</v>
      </c>
    </row>
    <row r="2572" spans="1:26" x14ac:dyDescent="0.25">
      <c r="A2572" t="s">
        <v>2987</v>
      </c>
      <c r="B2572" t="s">
        <v>27</v>
      </c>
      <c r="C2572" t="s">
        <v>28</v>
      </c>
      <c r="H2572" s="2">
        <v>45408.438576388886</v>
      </c>
      <c r="I2572" t="s">
        <v>1488</v>
      </c>
      <c r="Z2572">
        <v>82057</v>
      </c>
    </row>
    <row r="2573" spans="1:26" x14ac:dyDescent="0.25">
      <c r="A2573" t="s">
        <v>2667</v>
      </c>
      <c r="B2573" t="s">
        <v>27</v>
      </c>
      <c r="C2573" t="s">
        <v>28</v>
      </c>
      <c r="H2573" s="2">
        <v>45408.39634259259</v>
      </c>
      <c r="I2573" t="s">
        <v>2809</v>
      </c>
      <c r="Z2573">
        <v>82053</v>
      </c>
    </row>
    <row r="2574" spans="1:26" x14ac:dyDescent="0.25">
      <c r="A2574" t="s">
        <v>2988</v>
      </c>
      <c r="B2574" t="s">
        <v>27</v>
      </c>
      <c r="C2574" t="s">
        <v>28</v>
      </c>
      <c r="H2574" s="2">
        <v>45407.853136574071</v>
      </c>
      <c r="I2574" t="s">
        <v>2681</v>
      </c>
      <c r="Z2574">
        <v>82035</v>
      </c>
    </row>
    <row r="2575" spans="1:26" x14ac:dyDescent="0.25">
      <c r="A2575" t="s">
        <v>2989</v>
      </c>
      <c r="B2575" t="s">
        <v>27</v>
      </c>
      <c r="C2575" t="s">
        <v>28</v>
      </c>
      <c r="H2575" s="2">
        <v>45407.807557870372</v>
      </c>
      <c r="I2575" t="s">
        <v>2681</v>
      </c>
      <c r="Z2575">
        <v>82030</v>
      </c>
    </row>
    <row r="2576" spans="1:26" x14ac:dyDescent="0.25">
      <c r="A2576" t="s">
        <v>2990</v>
      </c>
      <c r="B2576" t="s">
        <v>27</v>
      </c>
      <c r="C2576" t="s">
        <v>28</v>
      </c>
      <c r="H2576" s="2">
        <v>45407.689780092594</v>
      </c>
      <c r="I2576" t="s">
        <v>2674</v>
      </c>
      <c r="Z2576">
        <v>82012</v>
      </c>
    </row>
    <row r="2577" spans="1:26" x14ac:dyDescent="0.25">
      <c r="A2577" t="s">
        <v>1793</v>
      </c>
      <c r="B2577" t="s">
        <v>1708</v>
      </c>
      <c r="C2577" t="s">
        <v>28</v>
      </c>
      <c r="E2577" t="s">
        <v>2991</v>
      </c>
      <c r="H2577" s="2">
        <v>45407.647268518522</v>
      </c>
      <c r="I2577" t="s">
        <v>2681</v>
      </c>
      <c r="Z2577">
        <v>82001</v>
      </c>
    </row>
    <row r="2578" spans="1:26" x14ac:dyDescent="0.25">
      <c r="A2578" t="s">
        <v>2992</v>
      </c>
      <c r="B2578" t="s">
        <v>27</v>
      </c>
      <c r="C2578" t="s">
        <v>28</v>
      </c>
      <c r="H2578" s="2">
        <v>45407.47929398148</v>
      </c>
      <c r="I2578" t="s">
        <v>2674</v>
      </c>
      <c r="Z2578">
        <v>81964</v>
      </c>
    </row>
    <row r="2579" spans="1:26" x14ac:dyDescent="0.25">
      <c r="A2579" t="s">
        <v>2993</v>
      </c>
      <c r="B2579" t="s">
        <v>27</v>
      </c>
      <c r="C2579" t="s">
        <v>28</v>
      </c>
      <c r="H2579" s="2">
        <v>45407.407141203701</v>
      </c>
      <c r="I2579" t="s">
        <v>2681</v>
      </c>
      <c r="Z2579">
        <v>81942</v>
      </c>
    </row>
    <row r="2580" spans="1:26" x14ac:dyDescent="0.25">
      <c r="A2580" t="s">
        <v>2994</v>
      </c>
      <c r="B2580" t="s">
        <v>27</v>
      </c>
      <c r="C2580" t="s">
        <v>28</v>
      </c>
      <c r="H2580" s="2">
        <v>45407.39671296296</v>
      </c>
      <c r="I2580" t="s">
        <v>2681</v>
      </c>
      <c r="Z2580">
        <v>81940</v>
      </c>
    </row>
    <row r="2581" spans="1:26" x14ac:dyDescent="0.25">
      <c r="A2581" t="s">
        <v>2828</v>
      </c>
      <c r="C2581" t="s">
        <v>28</v>
      </c>
      <c r="E2581" t="s">
        <v>370</v>
      </c>
      <c r="H2581" s="2">
        <v>45407.180046296293</v>
      </c>
      <c r="I2581" t="s">
        <v>2809</v>
      </c>
      <c r="Z2581">
        <v>81924</v>
      </c>
    </row>
    <row r="2582" spans="1:26" x14ac:dyDescent="0.25">
      <c r="A2582" t="s">
        <v>2995</v>
      </c>
      <c r="B2582" t="s">
        <v>1708</v>
      </c>
      <c r="C2582" t="s">
        <v>28</v>
      </c>
      <c r="E2582" t="s">
        <v>763</v>
      </c>
      <c r="H2582" s="2">
        <v>45406.849861111114</v>
      </c>
      <c r="I2582" t="s">
        <v>2681</v>
      </c>
      <c r="K2582" t="s">
        <v>34</v>
      </c>
      <c r="L2582" t="s">
        <v>35</v>
      </c>
      <c r="M2582">
        <v>67175279</v>
      </c>
      <c r="N2582">
        <v>11954064519</v>
      </c>
      <c r="Z2582">
        <v>81919</v>
      </c>
    </row>
    <row r="2583" spans="1:26" x14ac:dyDescent="0.25">
      <c r="A2583" t="s">
        <v>2996</v>
      </c>
      <c r="B2583" t="s">
        <v>27</v>
      </c>
      <c r="C2583" t="s">
        <v>28</v>
      </c>
      <c r="H2583" s="2">
        <v>45406.815717592595</v>
      </c>
      <c r="I2583" t="s">
        <v>2674</v>
      </c>
      <c r="Z2583">
        <v>81915</v>
      </c>
    </row>
    <row r="2584" spans="1:26" x14ac:dyDescent="0.25">
      <c r="A2584" t="s">
        <v>2997</v>
      </c>
      <c r="B2584" t="s">
        <v>27</v>
      </c>
      <c r="C2584" t="s">
        <v>28</v>
      </c>
      <c r="H2584" s="2">
        <v>45406.744074074071</v>
      </c>
      <c r="I2584" t="s">
        <v>2674</v>
      </c>
      <c r="Z2584">
        <v>81902</v>
      </c>
    </row>
    <row r="2585" spans="1:26" x14ac:dyDescent="0.25">
      <c r="A2585" t="s">
        <v>1793</v>
      </c>
      <c r="C2585" t="s">
        <v>28</v>
      </c>
      <c r="E2585" t="s">
        <v>2998</v>
      </c>
      <c r="H2585" s="2">
        <v>45406.707476851851</v>
      </c>
      <c r="I2585" t="s">
        <v>2681</v>
      </c>
      <c r="Z2585">
        <v>81890</v>
      </c>
    </row>
    <row r="2586" spans="1:26" x14ac:dyDescent="0.25">
      <c r="A2586" t="s">
        <v>2999</v>
      </c>
      <c r="B2586" t="s">
        <v>27</v>
      </c>
      <c r="C2586" t="s">
        <v>28</v>
      </c>
      <c r="E2586">
        <v>79879528864</v>
      </c>
      <c r="H2586" s="2">
        <v>45406.594409722224</v>
      </c>
      <c r="I2586" t="s">
        <v>2681</v>
      </c>
      <c r="Z2586">
        <v>81857</v>
      </c>
    </row>
    <row r="2587" spans="1:26" x14ac:dyDescent="0.25">
      <c r="A2587" t="s">
        <v>3000</v>
      </c>
      <c r="B2587" t="s">
        <v>27</v>
      </c>
      <c r="C2587" t="s">
        <v>28</v>
      </c>
      <c r="H2587" s="2">
        <v>45406.424432870372</v>
      </c>
      <c r="I2587" t="s">
        <v>2674</v>
      </c>
      <c r="Z2587">
        <v>81817</v>
      </c>
    </row>
    <row r="2588" spans="1:26" x14ac:dyDescent="0.25">
      <c r="A2588" t="s">
        <v>3001</v>
      </c>
      <c r="B2588" t="s">
        <v>27</v>
      </c>
      <c r="C2588" t="s">
        <v>28</v>
      </c>
      <c r="H2588" s="2">
        <v>45406.409571759257</v>
      </c>
      <c r="I2588" t="s">
        <v>2681</v>
      </c>
      <c r="Z2588">
        <v>81813</v>
      </c>
    </row>
    <row r="2589" spans="1:26" x14ac:dyDescent="0.25">
      <c r="A2589" t="s">
        <v>3002</v>
      </c>
      <c r="B2589" t="s">
        <v>1403</v>
      </c>
      <c r="C2589" t="s">
        <v>28</v>
      </c>
      <c r="E2589" t="s">
        <v>1693</v>
      </c>
      <c r="H2589" s="2">
        <v>45406.397928240738</v>
      </c>
      <c r="I2589" t="s">
        <v>2809</v>
      </c>
      <c r="Z2589">
        <v>81810</v>
      </c>
    </row>
    <row r="2590" spans="1:26" x14ac:dyDescent="0.25">
      <c r="A2590" t="s">
        <v>3003</v>
      </c>
      <c r="B2590" t="s">
        <v>1403</v>
      </c>
      <c r="C2590" t="s">
        <v>28</v>
      </c>
      <c r="E2590" t="s">
        <v>3004</v>
      </c>
      <c r="H2590" s="2">
        <v>45405.986805555556</v>
      </c>
      <c r="I2590" t="s">
        <v>2681</v>
      </c>
      <c r="Z2590">
        <v>81801</v>
      </c>
    </row>
    <row r="2591" spans="1:26" x14ac:dyDescent="0.25">
      <c r="A2591" t="s">
        <v>3005</v>
      </c>
      <c r="B2591" t="s">
        <v>27</v>
      </c>
      <c r="C2591" t="s">
        <v>28</v>
      </c>
      <c r="H2591" s="2">
        <v>45405.708298611113</v>
      </c>
      <c r="I2591" t="s">
        <v>2674</v>
      </c>
      <c r="Z2591">
        <v>81775</v>
      </c>
    </row>
    <row r="2592" spans="1:26" x14ac:dyDescent="0.25">
      <c r="A2592" t="s">
        <v>3006</v>
      </c>
      <c r="B2592" t="s">
        <v>27</v>
      </c>
      <c r="C2592" t="s">
        <v>28</v>
      </c>
      <c r="H2592" s="2">
        <v>45405.699490740742</v>
      </c>
      <c r="I2592" t="s">
        <v>2674</v>
      </c>
      <c r="Z2592">
        <v>81774</v>
      </c>
    </row>
    <row r="2593" spans="1:26" x14ac:dyDescent="0.25">
      <c r="A2593" t="s">
        <v>3007</v>
      </c>
      <c r="B2593" t="s">
        <v>1708</v>
      </c>
      <c r="C2593" t="s">
        <v>28</v>
      </c>
      <c r="E2593" t="s">
        <v>370</v>
      </c>
      <c r="H2593" s="2">
        <v>45405.590046296296</v>
      </c>
      <c r="I2593" t="s">
        <v>1488</v>
      </c>
      <c r="Z2593">
        <v>81756</v>
      </c>
    </row>
    <row r="2594" spans="1:26" x14ac:dyDescent="0.25">
      <c r="A2594" t="s">
        <v>3008</v>
      </c>
      <c r="B2594" t="s">
        <v>27</v>
      </c>
      <c r="C2594" t="s">
        <v>28</v>
      </c>
      <c r="H2594" s="2">
        <v>45405.518055555556</v>
      </c>
      <c r="I2594" t="s">
        <v>556</v>
      </c>
      <c r="Z2594">
        <v>81738</v>
      </c>
    </row>
    <row r="2595" spans="1:26" x14ac:dyDescent="0.25">
      <c r="A2595" t="s">
        <v>3009</v>
      </c>
      <c r="B2595" t="s">
        <v>27</v>
      </c>
      <c r="C2595" t="s">
        <v>28</v>
      </c>
      <c r="H2595" s="2">
        <v>45405.485844907409</v>
      </c>
      <c r="I2595" t="s">
        <v>2674</v>
      </c>
      <c r="Z2595">
        <v>81730</v>
      </c>
    </row>
    <row r="2596" spans="1:26" x14ac:dyDescent="0.25">
      <c r="A2596" t="s">
        <v>3010</v>
      </c>
      <c r="B2596" t="s">
        <v>27</v>
      </c>
      <c r="C2596" t="s">
        <v>28</v>
      </c>
      <c r="H2596" s="2">
        <v>45405.382141203707</v>
      </c>
      <c r="I2596" t="s">
        <v>2674</v>
      </c>
      <c r="Z2596">
        <v>81708</v>
      </c>
    </row>
    <row r="2597" spans="1:26" x14ac:dyDescent="0.25">
      <c r="A2597" t="s">
        <v>1793</v>
      </c>
      <c r="B2597" t="s">
        <v>74</v>
      </c>
      <c r="C2597" t="s">
        <v>185</v>
      </c>
      <c r="E2597" t="s">
        <v>156</v>
      </c>
      <c r="G2597" t="s">
        <v>2937</v>
      </c>
      <c r="H2597" s="2">
        <v>45404.946435185186</v>
      </c>
      <c r="I2597" t="s">
        <v>1488</v>
      </c>
      <c r="Z2597">
        <v>81703</v>
      </c>
    </row>
    <row r="2598" spans="1:26" x14ac:dyDescent="0.25">
      <c r="A2598" t="s">
        <v>3011</v>
      </c>
      <c r="B2598" t="s">
        <v>1708</v>
      </c>
      <c r="C2598" t="s">
        <v>28</v>
      </c>
      <c r="E2598" t="s">
        <v>3012</v>
      </c>
      <c r="H2598" s="2">
        <v>45404.746932870374</v>
      </c>
      <c r="I2598" t="s">
        <v>2674</v>
      </c>
      <c r="K2598" t="s">
        <v>34</v>
      </c>
      <c r="L2598" t="s">
        <v>35</v>
      </c>
      <c r="M2598">
        <v>55887089</v>
      </c>
      <c r="N2598">
        <v>12886156207</v>
      </c>
      <c r="O2598" t="s">
        <v>3013</v>
      </c>
      <c r="Z2598">
        <v>81684</v>
      </c>
    </row>
    <row r="2599" spans="1:26" x14ac:dyDescent="0.25">
      <c r="A2599" t="s">
        <v>3014</v>
      </c>
      <c r="B2599" t="s">
        <v>27</v>
      </c>
      <c r="C2599" t="s">
        <v>28</v>
      </c>
      <c r="H2599" s="2">
        <v>45404.691562499997</v>
      </c>
      <c r="I2599" t="s">
        <v>556</v>
      </c>
      <c r="Z2599">
        <v>81676</v>
      </c>
    </row>
    <row r="2600" spans="1:26" x14ac:dyDescent="0.25">
      <c r="A2600" t="s">
        <v>3015</v>
      </c>
      <c r="B2600" t="s">
        <v>27</v>
      </c>
      <c r="C2600" t="s">
        <v>28</v>
      </c>
      <c r="H2600" s="2">
        <v>45404.65552083333</v>
      </c>
      <c r="I2600" t="s">
        <v>556</v>
      </c>
      <c r="Z2600">
        <v>81665</v>
      </c>
    </row>
    <row r="2601" spans="1:26" x14ac:dyDescent="0.25">
      <c r="A2601" t="s">
        <v>3016</v>
      </c>
      <c r="B2601" t="s">
        <v>27</v>
      </c>
      <c r="C2601" t="s">
        <v>28</v>
      </c>
      <c r="H2601" s="2">
        <v>45404.532152777778</v>
      </c>
      <c r="I2601" t="s">
        <v>1488</v>
      </c>
      <c r="Z2601">
        <v>81631</v>
      </c>
    </row>
    <row r="2602" spans="1:26" x14ac:dyDescent="0.25">
      <c r="A2602" t="s">
        <v>3017</v>
      </c>
      <c r="B2602" t="s">
        <v>1993</v>
      </c>
      <c r="C2602" t="s">
        <v>28</v>
      </c>
      <c r="E2602" t="s">
        <v>186</v>
      </c>
      <c r="H2602" s="2">
        <v>45404.487870370373</v>
      </c>
      <c r="I2602" t="s">
        <v>2681</v>
      </c>
      <c r="Z2602">
        <v>81613</v>
      </c>
    </row>
    <row r="2603" spans="1:26" x14ac:dyDescent="0.25">
      <c r="A2603" t="s">
        <v>3018</v>
      </c>
      <c r="B2603" t="s">
        <v>27</v>
      </c>
      <c r="C2603" t="s">
        <v>28</v>
      </c>
      <c r="E2603" t="s">
        <v>3019</v>
      </c>
      <c r="H2603" s="2">
        <v>45403.554340277777</v>
      </c>
      <c r="I2603" t="s">
        <v>1488</v>
      </c>
      <c r="Z2603">
        <v>81520</v>
      </c>
    </row>
    <row r="2604" spans="1:26" x14ac:dyDescent="0.25">
      <c r="A2604" t="s">
        <v>3020</v>
      </c>
      <c r="B2604" t="s">
        <v>27</v>
      </c>
      <c r="C2604" t="s">
        <v>28</v>
      </c>
      <c r="H2604" s="2">
        <v>45403.546168981484</v>
      </c>
      <c r="I2604" t="s">
        <v>2791</v>
      </c>
      <c r="Z2604">
        <v>81515</v>
      </c>
    </row>
    <row r="2605" spans="1:26" x14ac:dyDescent="0.25">
      <c r="A2605" t="s">
        <v>3021</v>
      </c>
      <c r="B2605" t="s">
        <v>27</v>
      </c>
      <c r="C2605" t="s">
        <v>28</v>
      </c>
      <c r="H2605" s="2">
        <v>45403.509155092594</v>
      </c>
      <c r="I2605" t="s">
        <v>556</v>
      </c>
      <c r="Z2605">
        <v>81504</v>
      </c>
    </row>
    <row r="2606" spans="1:26" x14ac:dyDescent="0.25">
      <c r="A2606" t="s">
        <v>3022</v>
      </c>
      <c r="B2606" t="s">
        <v>74</v>
      </c>
      <c r="C2606" t="s">
        <v>28</v>
      </c>
      <c r="E2606" t="s">
        <v>304</v>
      </c>
      <c r="G2606" t="s">
        <v>3023</v>
      </c>
      <c r="H2606" s="2">
        <v>45402.494756944441</v>
      </c>
      <c r="I2606" t="s">
        <v>2681</v>
      </c>
      <c r="Z2606">
        <v>81426</v>
      </c>
    </row>
    <row r="2607" spans="1:26" x14ac:dyDescent="0.25">
      <c r="A2607" t="s">
        <v>3024</v>
      </c>
      <c r="B2607" t="s">
        <v>27</v>
      </c>
      <c r="C2607" t="s">
        <v>28</v>
      </c>
      <c r="H2607" s="2">
        <v>45401.698344907411</v>
      </c>
      <c r="I2607" t="s">
        <v>2681</v>
      </c>
      <c r="Z2607">
        <v>81375</v>
      </c>
    </row>
    <row r="2608" spans="1:26" x14ac:dyDescent="0.25">
      <c r="A2608" t="s">
        <v>3025</v>
      </c>
      <c r="B2608" t="s">
        <v>1708</v>
      </c>
      <c r="C2608" t="s">
        <v>28</v>
      </c>
      <c r="E2608" t="s">
        <v>3026</v>
      </c>
      <c r="H2608" s="2">
        <v>45401.504953703705</v>
      </c>
      <c r="I2608" t="s">
        <v>2681</v>
      </c>
      <c r="Z2608">
        <v>81321</v>
      </c>
    </row>
    <row r="2609" spans="1:26" x14ac:dyDescent="0.25">
      <c r="A2609" t="s">
        <v>3027</v>
      </c>
      <c r="B2609" t="s">
        <v>27</v>
      </c>
      <c r="C2609" t="s">
        <v>28</v>
      </c>
      <c r="H2609" s="2">
        <v>45401.454398148147</v>
      </c>
      <c r="I2609" t="s">
        <v>2674</v>
      </c>
      <c r="Z2609">
        <v>81309</v>
      </c>
    </row>
    <row r="2610" spans="1:26" x14ac:dyDescent="0.25">
      <c r="A2610" t="s">
        <v>3028</v>
      </c>
      <c r="B2610" t="s">
        <v>27</v>
      </c>
      <c r="C2610" t="s">
        <v>28</v>
      </c>
      <c r="E2610" t="s">
        <v>3029</v>
      </c>
      <c r="H2610" s="2">
        <v>45400.627754629626</v>
      </c>
      <c r="I2610" t="s">
        <v>1488</v>
      </c>
      <c r="Z2610">
        <v>81251</v>
      </c>
    </row>
    <row r="2611" spans="1:26" x14ac:dyDescent="0.25">
      <c r="A2611" t="s">
        <v>3030</v>
      </c>
      <c r="B2611" t="s">
        <v>1403</v>
      </c>
      <c r="C2611" t="s">
        <v>28</v>
      </c>
      <c r="E2611" t="s">
        <v>458</v>
      </c>
      <c r="G2611" t="s">
        <v>3031</v>
      </c>
      <c r="H2611" s="2">
        <v>45399.707731481481</v>
      </c>
      <c r="I2611" t="s">
        <v>556</v>
      </c>
      <c r="Z2611">
        <v>81155</v>
      </c>
    </row>
    <row r="2612" spans="1:26" x14ac:dyDescent="0.25">
      <c r="A2612" t="s">
        <v>3032</v>
      </c>
      <c r="B2612" t="s">
        <v>27</v>
      </c>
      <c r="C2612" t="s">
        <v>28</v>
      </c>
      <c r="H2612" s="2">
        <v>45399.63921296296</v>
      </c>
      <c r="I2612" t="s">
        <v>556</v>
      </c>
      <c r="Z2612">
        <v>81138</v>
      </c>
    </row>
    <row r="2613" spans="1:26" x14ac:dyDescent="0.25">
      <c r="A2613" t="s">
        <v>3033</v>
      </c>
      <c r="B2613" t="s">
        <v>27</v>
      </c>
      <c r="C2613" t="s">
        <v>28</v>
      </c>
      <c r="H2613" s="2">
        <v>45399.416909722226</v>
      </c>
      <c r="I2613" t="s">
        <v>2674</v>
      </c>
      <c r="Z2613">
        <v>81064</v>
      </c>
    </row>
    <row r="2614" spans="1:26" x14ac:dyDescent="0.25">
      <c r="A2614" t="s">
        <v>1014</v>
      </c>
      <c r="B2614" t="s">
        <v>27</v>
      </c>
      <c r="C2614" t="s">
        <v>28</v>
      </c>
      <c r="H2614" s="2">
        <v>45398.870775462965</v>
      </c>
      <c r="I2614" t="s">
        <v>1488</v>
      </c>
      <c r="Z2614">
        <v>81052</v>
      </c>
    </row>
    <row r="2615" spans="1:26" x14ac:dyDescent="0.25">
      <c r="A2615" t="s">
        <v>1191</v>
      </c>
      <c r="B2615" t="s">
        <v>27</v>
      </c>
      <c r="C2615" t="s">
        <v>28</v>
      </c>
      <c r="H2615" s="2">
        <v>45398.792696759258</v>
      </c>
      <c r="I2615" t="s">
        <v>556</v>
      </c>
      <c r="Z2615">
        <v>81038</v>
      </c>
    </row>
    <row r="2616" spans="1:26" x14ac:dyDescent="0.25">
      <c r="A2616" t="s">
        <v>3034</v>
      </c>
      <c r="B2616" t="s">
        <v>27</v>
      </c>
      <c r="C2616" t="s">
        <v>28</v>
      </c>
      <c r="H2616" s="2">
        <v>45398.778622685182</v>
      </c>
      <c r="I2616" t="s">
        <v>1488</v>
      </c>
      <c r="Z2616">
        <v>81036</v>
      </c>
    </row>
    <row r="2617" spans="1:26" x14ac:dyDescent="0.25">
      <c r="A2617" t="s">
        <v>3035</v>
      </c>
      <c r="B2617" t="s">
        <v>27</v>
      </c>
      <c r="C2617" t="s">
        <v>28</v>
      </c>
      <c r="H2617" s="2">
        <v>45398.71875</v>
      </c>
      <c r="I2617" t="s">
        <v>556</v>
      </c>
      <c r="Z2617">
        <v>81020</v>
      </c>
    </row>
    <row r="2618" spans="1:26" x14ac:dyDescent="0.25">
      <c r="A2618" t="s">
        <v>3036</v>
      </c>
      <c r="B2618" t="s">
        <v>1403</v>
      </c>
      <c r="C2618" t="s">
        <v>28</v>
      </c>
      <c r="E2618" t="s">
        <v>1628</v>
      </c>
      <c r="H2618" s="2">
        <v>45398.664756944447</v>
      </c>
      <c r="I2618" t="s">
        <v>556</v>
      </c>
      <c r="Z2618">
        <v>81010</v>
      </c>
    </row>
    <row r="2619" spans="1:26" x14ac:dyDescent="0.25">
      <c r="A2619" t="s">
        <v>3037</v>
      </c>
      <c r="B2619" t="s">
        <v>27</v>
      </c>
      <c r="C2619" t="s">
        <v>28</v>
      </c>
      <c r="H2619" s="2">
        <v>45398.647314814814</v>
      </c>
      <c r="I2619" t="s">
        <v>1488</v>
      </c>
      <c r="Z2619">
        <v>81001</v>
      </c>
    </row>
    <row r="2620" spans="1:26" x14ac:dyDescent="0.25">
      <c r="A2620" t="s">
        <v>3038</v>
      </c>
      <c r="B2620" t="s">
        <v>74</v>
      </c>
      <c r="C2620" t="s">
        <v>28</v>
      </c>
      <c r="E2620" t="s">
        <v>3039</v>
      </c>
      <c r="G2620" t="s">
        <v>3040</v>
      </c>
      <c r="H2620" s="2">
        <v>45398.478113425925</v>
      </c>
      <c r="I2620" t="s">
        <v>1488</v>
      </c>
      <c r="Z2620">
        <v>80954</v>
      </c>
    </row>
    <row r="2621" spans="1:26" x14ac:dyDescent="0.25">
      <c r="A2621" t="s">
        <v>3041</v>
      </c>
      <c r="C2621" t="s">
        <v>28</v>
      </c>
      <c r="E2621" t="s">
        <v>2190</v>
      </c>
      <c r="H2621" s="2">
        <v>45397.779097222221</v>
      </c>
      <c r="I2621" t="s">
        <v>1488</v>
      </c>
      <c r="Z2621">
        <v>80920</v>
      </c>
    </row>
    <row r="2622" spans="1:26" x14ac:dyDescent="0.25">
      <c r="A2622" t="s">
        <v>3042</v>
      </c>
      <c r="B2622" t="s">
        <v>27</v>
      </c>
      <c r="C2622" t="s">
        <v>28</v>
      </c>
      <c r="H2622" s="2">
        <v>45397.620104166665</v>
      </c>
      <c r="I2622" t="s">
        <v>1488</v>
      </c>
      <c r="Z2622">
        <v>80889</v>
      </c>
    </row>
    <row r="2623" spans="1:26" x14ac:dyDescent="0.25">
      <c r="A2623" t="s">
        <v>3043</v>
      </c>
      <c r="B2623" t="s">
        <v>27</v>
      </c>
      <c r="C2623" t="s">
        <v>28</v>
      </c>
      <c r="H2623" s="2">
        <v>45397.595625000002</v>
      </c>
      <c r="I2623" t="s">
        <v>556</v>
      </c>
      <c r="Z2623">
        <v>80887</v>
      </c>
    </row>
    <row r="2624" spans="1:26" x14ac:dyDescent="0.25">
      <c r="A2624" t="s">
        <v>570</v>
      </c>
      <c r="C2624" t="s">
        <v>28</v>
      </c>
      <c r="E2624" t="s">
        <v>209</v>
      </c>
      <c r="H2624" s="2">
        <v>45397.551898148151</v>
      </c>
      <c r="I2624" t="s">
        <v>1488</v>
      </c>
      <c r="Z2624">
        <v>80877</v>
      </c>
    </row>
    <row r="2625" spans="1:26" x14ac:dyDescent="0.25">
      <c r="A2625" t="s">
        <v>3044</v>
      </c>
      <c r="B2625" t="s">
        <v>27</v>
      </c>
      <c r="C2625" t="s">
        <v>28</v>
      </c>
      <c r="H2625" s="2">
        <v>45397.447523148148</v>
      </c>
      <c r="I2625" t="s">
        <v>2791</v>
      </c>
      <c r="Z2625">
        <v>80858</v>
      </c>
    </row>
    <row r="2626" spans="1:26" x14ac:dyDescent="0.25">
      <c r="A2626" t="s">
        <v>3045</v>
      </c>
      <c r="B2626" t="s">
        <v>27</v>
      </c>
      <c r="C2626" t="s">
        <v>28</v>
      </c>
      <c r="H2626" s="2">
        <v>45397.438055555554</v>
      </c>
      <c r="I2626" t="s">
        <v>1488</v>
      </c>
      <c r="Z2626">
        <v>80854</v>
      </c>
    </row>
    <row r="2627" spans="1:26" x14ac:dyDescent="0.25">
      <c r="A2627" t="s">
        <v>663</v>
      </c>
      <c r="C2627" t="s">
        <v>28</v>
      </c>
      <c r="E2627" t="s">
        <v>545</v>
      </c>
      <c r="H2627" s="2">
        <v>45397.419791666667</v>
      </c>
      <c r="I2627" t="s">
        <v>1488</v>
      </c>
      <c r="Z2627">
        <v>80848</v>
      </c>
    </row>
    <row r="2628" spans="1:26" x14ac:dyDescent="0.25">
      <c r="A2628" t="s">
        <v>3046</v>
      </c>
      <c r="B2628" t="s">
        <v>27</v>
      </c>
      <c r="C2628" t="s">
        <v>28</v>
      </c>
      <c r="H2628" s="2">
        <v>45397.379849537036</v>
      </c>
      <c r="I2628" t="s">
        <v>1488</v>
      </c>
      <c r="Z2628">
        <v>80842</v>
      </c>
    </row>
    <row r="2629" spans="1:26" x14ac:dyDescent="0.25">
      <c r="A2629" t="s">
        <v>3047</v>
      </c>
      <c r="B2629" t="s">
        <v>27</v>
      </c>
      <c r="C2629" t="s">
        <v>28</v>
      </c>
      <c r="H2629" s="2">
        <v>45396.794861111113</v>
      </c>
      <c r="I2629" t="s">
        <v>1488</v>
      </c>
      <c r="Z2629">
        <v>80824</v>
      </c>
    </row>
    <row r="2630" spans="1:26" x14ac:dyDescent="0.25">
      <c r="A2630" t="s">
        <v>3048</v>
      </c>
      <c r="B2630" t="s">
        <v>27</v>
      </c>
      <c r="C2630" t="s">
        <v>28</v>
      </c>
      <c r="H2630" s="2">
        <v>45396.627372685187</v>
      </c>
      <c r="I2630" t="s">
        <v>1488</v>
      </c>
      <c r="Z2630">
        <v>80799</v>
      </c>
    </row>
    <row r="2631" spans="1:26" x14ac:dyDescent="0.25">
      <c r="A2631" t="s">
        <v>3049</v>
      </c>
      <c r="B2631" t="s">
        <v>27</v>
      </c>
      <c r="C2631" t="s">
        <v>28</v>
      </c>
      <c r="H2631" s="2">
        <v>45396.520300925928</v>
      </c>
      <c r="I2631" t="s">
        <v>556</v>
      </c>
      <c r="Z2631">
        <v>80783</v>
      </c>
    </row>
    <row r="2632" spans="1:26" x14ac:dyDescent="0.25">
      <c r="A2632" t="s">
        <v>3050</v>
      </c>
      <c r="B2632" t="s">
        <v>27</v>
      </c>
      <c r="C2632" t="s">
        <v>28</v>
      </c>
      <c r="H2632" s="2">
        <v>45396.480856481481</v>
      </c>
      <c r="I2632" t="s">
        <v>1488</v>
      </c>
      <c r="Z2632">
        <v>80775</v>
      </c>
    </row>
    <row r="2633" spans="1:26" x14ac:dyDescent="0.25">
      <c r="A2633" t="s">
        <v>3051</v>
      </c>
      <c r="B2633" t="s">
        <v>27</v>
      </c>
      <c r="C2633" t="s">
        <v>28</v>
      </c>
      <c r="H2633" s="2">
        <v>45396.394652777781</v>
      </c>
      <c r="I2633" t="s">
        <v>2681</v>
      </c>
      <c r="Z2633">
        <v>80755</v>
      </c>
    </row>
    <row r="2634" spans="1:26" x14ac:dyDescent="0.25">
      <c r="A2634" t="s">
        <v>3052</v>
      </c>
      <c r="B2634" t="s">
        <v>1708</v>
      </c>
      <c r="C2634" t="s">
        <v>28</v>
      </c>
      <c r="E2634" t="s">
        <v>1360</v>
      </c>
      <c r="H2634" s="2">
        <v>45396.388981481483</v>
      </c>
      <c r="I2634" t="s">
        <v>1488</v>
      </c>
      <c r="Z2634">
        <v>80754</v>
      </c>
    </row>
    <row r="2635" spans="1:26" x14ac:dyDescent="0.25">
      <c r="A2635" t="s">
        <v>3053</v>
      </c>
      <c r="B2635" t="s">
        <v>1708</v>
      </c>
      <c r="C2635" t="s">
        <v>28</v>
      </c>
      <c r="E2635" t="s">
        <v>146</v>
      </c>
      <c r="H2635" s="2">
        <v>45395.732395833336</v>
      </c>
      <c r="I2635" t="s">
        <v>3054</v>
      </c>
      <c r="K2635" t="s">
        <v>34</v>
      </c>
      <c r="L2635" t="s">
        <v>35</v>
      </c>
      <c r="M2635">
        <v>104108031</v>
      </c>
      <c r="N2635">
        <v>15719003150</v>
      </c>
      <c r="O2635" t="s">
        <v>2290</v>
      </c>
      <c r="Z2635">
        <v>80727</v>
      </c>
    </row>
    <row r="2636" spans="1:26" x14ac:dyDescent="0.25">
      <c r="A2636" t="s">
        <v>3055</v>
      </c>
      <c r="B2636" t="s">
        <v>27</v>
      </c>
      <c r="C2636" t="s">
        <v>28</v>
      </c>
      <c r="H2636" s="2">
        <v>45395.730798611112</v>
      </c>
      <c r="I2636" t="s">
        <v>2674</v>
      </c>
      <c r="Z2636">
        <v>80726</v>
      </c>
    </row>
    <row r="2637" spans="1:26" x14ac:dyDescent="0.25">
      <c r="A2637" t="s">
        <v>3056</v>
      </c>
      <c r="B2637" t="s">
        <v>27</v>
      </c>
      <c r="C2637" t="s">
        <v>28</v>
      </c>
      <c r="H2637" s="2">
        <v>45395.644259259258</v>
      </c>
      <c r="I2637" t="s">
        <v>2674</v>
      </c>
      <c r="Z2637">
        <v>80712</v>
      </c>
    </row>
    <row r="2638" spans="1:26" x14ac:dyDescent="0.25">
      <c r="A2638" t="s">
        <v>2724</v>
      </c>
      <c r="B2638" t="s">
        <v>27</v>
      </c>
      <c r="C2638" t="s">
        <v>28</v>
      </c>
      <c r="H2638" s="2">
        <v>45395.622488425928</v>
      </c>
      <c r="I2638" t="s">
        <v>2674</v>
      </c>
      <c r="Z2638">
        <v>80709</v>
      </c>
    </row>
    <row r="2639" spans="1:26" x14ac:dyDescent="0.25">
      <c r="A2639" t="s">
        <v>3057</v>
      </c>
      <c r="B2639" t="s">
        <v>74</v>
      </c>
      <c r="C2639" t="s">
        <v>28</v>
      </c>
      <c r="E2639" t="s">
        <v>3058</v>
      </c>
      <c r="G2639" t="s">
        <v>3059</v>
      </c>
      <c r="H2639" s="2">
        <v>45394.87672453704</v>
      </c>
      <c r="I2639" t="s">
        <v>1488</v>
      </c>
      <c r="Z2639">
        <v>80655</v>
      </c>
    </row>
    <row r="2640" spans="1:26" x14ac:dyDescent="0.25">
      <c r="A2640" t="s">
        <v>3060</v>
      </c>
      <c r="B2640" t="s">
        <v>27</v>
      </c>
      <c r="C2640" t="s">
        <v>28</v>
      </c>
      <c r="H2640" s="2">
        <v>45394.817013888889</v>
      </c>
      <c r="I2640" t="s">
        <v>2001</v>
      </c>
      <c r="Z2640">
        <v>80649</v>
      </c>
    </row>
    <row r="2641" spans="1:26" x14ac:dyDescent="0.25">
      <c r="A2641" t="s">
        <v>2851</v>
      </c>
      <c r="B2641" t="s">
        <v>27</v>
      </c>
      <c r="C2641" t="s">
        <v>28</v>
      </c>
      <c r="H2641" s="2">
        <v>45394.729016203702</v>
      </c>
      <c r="I2641" t="s">
        <v>2674</v>
      </c>
      <c r="Z2641">
        <v>80633</v>
      </c>
    </row>
    <row r="2642" spans="1:26" x14ac:dyDescent="0.25">
      <c r="A2642" t="s">
        <v>3061</v>
      </c>
      <c r="B2642" t="s">
        <v>27</v>
      </c>
      <c r="C2642" t="s">
        <v>28</v>
      </c>
      <c r="H2642" s="2">
        <v>45394.674942129626</v>
      </c>
      <c r="I2642" t="s">
        <v>2674</v>
      </c>
      <c r="Z2642">
        <v>80621</v>
      </c>
    </row>
    <row r="2643" spans="1:26" x14ac:dyDescent="0.25">
      <c r="A2643" t="s">
        <v>1793</v>
      </c>
      <c r="B2643" t="s">
        <v>27</v>
      </c>
      <c r="C2643" t="s">
        <v>28</v>
      </c>
      <c r="E2643" t="s">
        <v>2269</v>
      </c>
      <c r="G2643" t="s">
        <v>3062</v>
      </c>
      <c r="H2643" s="2">
        <v>45394.670439814814</v>
      </c>
      <c r="I2643" t="s">
        <v>2681</v>
      </c>
      <c r="Z2643">
        <v>80618</v>
      </c>
    </row>
    <row r="2644" spans="1:26" x14ac:dyDescent="0.25">
      <c r="A2644" t="s">
        <v>3063</v>
      </c>
      <c r="B2644" t="s">
        <v>74</v>
      </c>
      <c r="C2644" t="s">
        <v>28</v>
      </c>
      <c r="E2644" t="s">
        <v>3064</v>
      </c>
      <c r="G2644" t="s">
        <v>3065</v>
      </c>
      <c r="H2644" s="2">
        <v>45394.458194444444</v>
      </c>
      <c r="I2644" t="s">
        <v>2681</v>
      </c>
      <c r="Z2644">
        <v>80552</v>
      </c>
    </row>
    <row r="2645" spans="1:26" x14ac:dyDescent="0.25">
      <c r="A2645" t="s">
        <v>3066</v>
      </c>
      <c r="B2645" t="s">
        <v>27</v>
      </c>
      <c r="C2645" t="s">
        <v>28</v>
      </c>
      <c r="H2645" s="2">
        <v>45392.807013888887</v>
      </c>
      <c r="I2645" t="s">
        <v>1488</v>
      </c>
      <c r="Z2645">
        <v>80393</v>
      </c>
    </row>
    <row r="2646" spans="1:26" x14ac:dyDescent="0.25">
      <c r="A2646" t="s">
        <v>3067</v>
      </c>
      <c r="B2646" t="s">
        <v>27</v>
      </c>
      <c r="C2646" t="s">
        <v>28</v>
      </c>
      <c r="H2646" s="2">
        <v>45392.468715277777</v>
      </c>
      <c r="I2646" t="s">
        <v>556</v>
      </c>
      <c r="Z2646">
        <v>80312</v>
      </c>
    </row>
    <row r="2647" spans="1:26" x14ac:dyDescent="0.25">
      <c r="A2647" t="s">
        <v>3068</v>
      </c>
      <c r="B2647" t="s">
        <v>27</v>
      </c>
      <c r="C2647" t="s">
        <v>28</v>
      </c>
      <c r="H2647" s="2">
        <v>45390.771736111114</v>
      </c>
      <c r="I2647" t="s">
        <v>1488</v>
      </c>
      <c r="Z2647">
        <v>80126</v>
      </c>
    </row>
    <row r="2648" spans="1:26" x14ac:dyDescent="0.25">
      <c r="A2648" t="s">
        <v>3069</v>
      </c>
      <c r="B2648" t="s">
        <v>27</v>
      </c>
      <c r="C2648" t="s">
        <v>28</v>
      </c>
      <c r="H2648" s="2">
        <v>45390.766516203701</v>
      </c>
      <c r="I2648" t="s">
        <v>1488</v>
      </c>
      <c r="Z2648">
        <v>80124</v>
      </c>
    </row>
    <row r="2649" spans="1:26" x14ac:dyDescent="0.25">
      <c r="A2649" t="s">
        <v>3070</v>
      </c>
      <c r="C2649" t="s">
        <v>28</v>
      </c>
      <c r="E2649" t="s">
        <v>649</v>
      </c>
      <c r="H2649" s="2">
        <v>45390.697824074072</v>
      </c>
      <c r="I2649" t="s">
        <v>1488</v>
      </c>
      <c r="Z2649">
        <v>80110</v>
      </c>
    </row>
    <row r="2650" spans="1:26" x14ac:dyDescent="0.25">
      <c r="A2650" t="s">
        <v>3071</v>
      </c>
      <c r="B2650" t="s">
        <v>27</v>
      </c>
      <c r="C2650" t="s">
        <v>28</v>
      </c>
      <c r="H2650" s="2">
        <v>45389.438819444447</v>
      </c>
      <c r="I2650" t="s">
        <v>2674</v>
      </c>
      <c r="Z2650">
        <v>79901</v>
      </c>
    </row>
    <row r="2651" spans="1:26" x14ac:dyDescent="0.25">
      <c r="A2651" t="s">
        <v>3072</v>
      </c>
      <c r="B2651" t="s">
        <v>27</v>
      </c>
      <c r="C2651" t="s">
        <v>28</v>
      </c>
      <c r="H2651" s="2">
        <v>45388.424155092594</v>
      </c>
      <c r="I2651" t="s">
        <v>2681</v>
      </c>
      <c r="Z2651">
        <v>79822</v>
      </c>
    </row>
    <row r="2652" spans="1:26" x14ac:dyDescent="0.25">
      <c r="A2652" t="s">
        <v>3073</v>
      </c>
      <c r="B2652" t="s">
        <v>27</v>
      </c>
      <c r="C2652" t="s">
        <v>28</v>
      </c>
      <c r="E2652" t="s">
        <v>427</v>
      </c>
      <c r="H2652" s="2">
        <v>45388.399988425925</v>
      </c>
      <c r="I2652" t="s">
        <v>2681</v>
      </c>
      <c r="Z2652">
        <v>79816</v>
      </c>
    </row>
    <row r="2653" spans="1:26" x14ac:dyDescent="0.25">
      <c r="A2653" t="s">
        <v>2977</v>
      </c>
      <c r="B2653" t="s">
        <v>27</v>
      </c>
      <c r="C2653" t="s">
        <v>28</v>
      </c>
      <c r="E2653" t="s">
        <v>3074</v>
      </c>
      <c r="H2653" s="2">
        <v>45387.52134259259</v>
      </c>
      <c r="I2653" t="s">
        <v>2674</v>
      </c>
      <c r="Z2653">
        <v>79728</v>
      </c>
    </row>
    <row r="2654" spans="1:26" x14ac:dyDescent="0.25">
      <c r="A2654" t="s">
        <v>606</v>
      </c>
      <c r="B2654" t="s">
        <v>306</v>
      </c>
      <c r="C2654" t="s">
        <v>28</v>
      </c>
      <c r="E2654" t="s">
        <v>72</v>
      </c>
      <c r="H2654" s="2">
        <v>45387.500740740739</v>
      </c>
      <c r="I2654" t="s">
        <v>556</v>
      </c>
      <c r="Z2654">
        <v>79723</v>
      </c>
    </row>
    <row r="2655" spans="1:26" x14ac:dyDescent="0.25">
      <c r="A2655" t="s">
        <v>3075</v>
      </c>
      <c r="B2655" t="s">
        <v>27</v>
      </c>
      <c r="C2655" t="s">
        <v>28</v>
      </c>
      <c r="H2655" s="2">
        <v>45386.70103009259</v>
      </c>
      <c r="I2655" t="s">
        <v>1488</v>
      </c>
      <c r="Z2655">
        <v>79658</v>
      </c>
    </row>
    <row r="2656" spans="1:26" x14ac:dyDescent="0.25">
      <c r="A2656" t="s">
        <v>3076</v>
      </c>
      <c r="B2656" t="s">
        <v>27</v>
      </c>
      <c r="C2656" t="s">
        <v>28</v>
      </c>
      <c r="H2656" s="2">
        <v>45386.591053240743</v>
      </c>
      <c r="I2656" t="s">
        <v>1488</v>
      </c>
      <c r="Z2656">
        <v>79623</v>
      </c>
    </row>
    <row r="2657" spans="1:26" x14ac:dyDescent="0.25">
      <c r="A2657" t="s">
        <v>3077</v>
      </c>
      <c r="B2657" t="s">
        <v>1708</v>
      </c>
      <c r="C2657" t="s">
        <v>28</v>
      </c>
      <c r="E2657" t="s">
        <v>101</v>
      </c>
      <c r="G2657" t="s">
        <v>3078</v>
      </c>
      <c r="H2657" s="2">
        <v>45386.575937499998</v>
      </c>
      <c r="I2657" t="s">
        <v>3054</v>
      </c>
      <c r="Z2657">
        <v>79618</v>
      </c>
    </row>
    <row r="2658" spans="1:26" x14ac:dyDescent="0.25">
      <c r="A2658" t="s">
        <v>3079</v>
      </c>
      <c r="B2658" t="s">
        <v>27</v>
      </c>
      <c r="C2658" t="s">
        <v>28</v>
      </c>
      <c r="H2658" s="2">
        <v>45386.567800925928</v>
      </c>
      <c r="I2658" t="s">
        <v>1488</v>
      </c>
      <c r="Z2658">
        <v>79614</v>
      </c>
    </row>
    <row r="2659" spans="1:26" x14ac:dyDescent="0.25">
      <c r="A2659" t="s">
        <v>3080</v>
      </c>
      <c r="B2659" t="s">
        <v>27</v>
      </c>
      <c r="C2659" t="s">
        <v>28</v>
      </c>
      <c r="H2659" s="2">
        <v>45386.560682870368</v>
      </c>
      <c r="I2659" t="s">
        <v>556</v>
      </c>
      <c r="Z2659">
        <v>79610</v>
      </c>
    </row>
    <row r="2660" spans="1:26" x14ac:dyDescent="0.25">
      <c r="A2660" t="s">
        <v>2787</v>
      </c>
      <c r="B2660" t="s">
        <v>1708</v>
      </c>
      <c r="C2660" t="s">
        <v>28</v>
      </c>
      <c r="E2660" t="s">
        <v>3081</v>
      </c>
      <c r="H2660" s="2">
        <v>45386.457858796297</v>
      </c>
      <c r="I2660" t="s">
        <v>2791</v>
      </c>
      <c r="Z2660">
        <v>79583</v>
      </c>
    </row>
    <row r="2661" spans="1:26" x14ac:dyDescent="0.25">
      <c r="A2661" t="s">
        <v>3082</v>
      </c>
      <c r="B2661" t="s">
        <v>27</v>
      </c>
      <c r="C2661" t="s">
        <v>28</v>
      </c>
      <c r="H2661" s="2">
        <v>45385.770520833335</v>
      </c>
      <c r="I2661" t="s">
        <v>556</v>
      </c>
      <c r="Z2661">
        <v>79541</v>
      </c>
    </row>
    <row r="2662" spans="1:26" x14ac:dyDescent="0.25">
      <c r="A2662" t="s">
        <v>570</v>
      </c>
      <c r="C2662" t="s">
        <v>28</v>
      </c>
      <c r="E2662" t="s">
        <v>143</v>
      </c>
      <c r="H2662" s="2">
        <v>45385.605162037034</v>
      </c>
      <c r="I2662" t="s">
        <v>1488</v>
      </c>
      <c r="Z2662">
        <v>79506</v>
      </c>
    </row>
    <row r="2663" spans="1:26" x14ac:dyDescent="0.25">
      <c r="A2663" t="s">
        <v>3083</v>
      </c>
      <c r="B2663" t="s">
        <v>27</v>
      </c>
      <c r="C2663" t="s">
        <v>28</v>
      </c>
      <c r="H2663" s="2">
        <v>45385.500798611109</v>
      </c>
      <c r="I2663" t="s">
        <v>1488</v>
      </c>
      <c r="Z2663">
        <v>79479</v>
      </c>
    </row>
    <row r="2664" spans="1:26" x14ac:dyDescent="0.25">
      <c r="A2664" t="s">
        <v>3084</v>
      </c>
      <c r="B2664" t="s">
        <v>27</v>
      </c>
      <c r="C2664" t="s">
        <v>28</v>
      </c>
      <c r="H2664" s="2">
        <v>45385.425324074073</v>
      </c>
      <c r="I2664" t="s">
        <v>556</v>
      </c>
      <c r="Z2664">
        <v>79455</v>
      </c>
    </row>
    <row r="2665" spans="1:26" x14ac:dyDescent="0.25">
      <c r="A2665" t="s">
        <v>3085</v>
      </c>
      <c r="B2665" t="s">
        <v>27</v>
      </c>
      <c r="C2665" t="s">
        <v>28</v>
      </c>
      <c r="H2665" s="2">
        <v>45385.405613425923</v>
      </c>
      <c r="I2665" t="s">
        <v>31</v>
      </c>
      <c r="Z2665">
        <v>79447</v>
      </c>
    </row>
    <row r="2666" spans="1:26" x14ac:dyDescent="0.25">
      <c r="A2666" t="s">
        <v>3086</v>
      </c>
      <c r="B2666" t="s">
        <v>27</v>
      </c>
      <c r="C2666" t="s">
        <v>28</v>
      </c>
      <c r="H2666" s="2">
        <v>45385.387962962966</v>
      </c>
      <c r="I2666" t="s">
        <v>1488</v>
      </c>
      <c r="Z2666">
        <v>79442</v>
      </c>
    </row>
    <row r="2667" spans="1:26" x14ac:dyDescent="0.25">
      <c r="A2667" t="s">
        <v>3087</v>
      </c>
      <c r="B2667" t="s">
        <v>27</v>
      </c>
      <c r="C2667" t="s">
        <v>28</v>
      </c>
      <c r="H2667" s="2">
        <v>45384.636770833335</v>
      </c>
      <c r="I2667" t="s">
        <v>31</v>
      </c>
      <c r="Z2667">
        <v>79395</v>
      </c>
    </row>
    <row r="2668" spans="1:26" x14ac:dyDescent="0.25">
      <c r="A2668" t="s">
        <v>3088</v>
      </c>
      <c r="B2668" t="s">
        <v>27</v>
      </c>
      <c r="C2668" t="s">
        <v>28</v>
      </c>
      <c r="H2668" s="2">
        <v>45383.741284722222</v>
      </c>
      <c r="I2668" t="s">
        <v>31</v>
      </c>
      <c r="Z2668">
        <v>79326</v>
      </c>
    </row>
    <row r="2669" spans="1:26" x14ac:dyDescent="0.25">
      <c r="A2669" t="s">
        <v>3089</v>
      </c>
      <c r="B2669" t="s">
        <v>27</v>
      </c>
      <c r="C2669" t="s">
        <v>28</v>
      </c>
      <c r="H2669" s="2">
        <v>45383.591666666667</v>
      </c>
      <c r="I2669" t="s">
        <v>2674</v>
      </c>
      <c r="Z2669">
        <v>79292</v>
      </c>
    </row>
    <row r="2670" spans="1:26" x14ac:dyDescent="0.25">
      <c r="A2670" t="s">
        <v>606</v>
      </c>
      <c r="B2670" t="s">
        <v>306</v>
      </c>
      <c r="C2670" t="s">
        <v>28</v>
      </c>
      <c r="E2670" t="s">
        <v>3090</v>
      </c>
      <c r="H2670" s="2">
        <v>45382.944074074076</v>
      </c>
      <c r="I2670" t="s">
        <v>2674</v>
      </c>
      <c r="Z2670">
        <v>79244</v>
      </c>
    </row>
    <row r="2671" spans="1:26" x14ac:dyDescent="0.25">
      <c r="A2671" t="s">
        <v>606</v>
      </c>
      <c r="B2671" t="s">
        <v>306</v>
      </c>
      <c r="C2671" t="s">
        <v>28</v>
      </c>
      <c r="E2671" t="s">
        <v>763</v>
      </c>
      <c r="H2671" s="2">
        <v>45382.739699074074</v>
      </c>
      <c r="I2671" t="s">
        <v>2674</v>
      </c>
      <c r="Z2671">
        <v>79232</v>
      </c>
    </row>
    <row r="2672" spans="1:26" x14ac:dyDescent="0.25">
      <c r="A2672" t="s">
        <v>3091</v>
      </c>
      <c r="B2672" t="s">
        <v>1708</v>
      </c>
      <c r="C2672" t="s">
        <v>28</v>
      </c>
      <c r="E2672" t="s">
        <v>376</v>
      </c>
      <c r="G2672">
        <v>515</v>
      </c>
      <c r="H2672" s="2">
        <v>45382.579421296294</v>
      </c>
      <c r="I2672" t="s">
        <v>2681</v>
      </c>
      <c r="Z2672">
        <v>79212</v>
      </c>
    </row>
    <row r="2673" spans="1:26" x14ac:dyDescent="0.25">
      <c r="A2673" t="s">
        <v>3092</v>
      </c>
      <c r="B2673" t="s">
        <v>27</v>
      </c>
      <c r="C2673" t="s">
        <v>28</v>
      </c>
      <c r="H2673" s="2">
        <v>45382.484444444446</v>
      </c>
      <c r="I2673" t="s">
        <v>2681</v>
      </c>
      <c r="Z2673">
        <v>79202</v>
      </c>
    </row>
    <row r="2674" spans="1:26" x14ac:dyDescent="0.25">
      <c r="A2674" t="s">
        <v>3093</v>
      </c>
      <c r="B2674" t="s">
        <v>1708</v>
      </c>
      <c r="C2674" t="s">
        <v>28</v>
      </c>
      <c r="E2674" t="s">
        <v>3094</v>
      </c>
      <c r="H2674" s="2">
        <v>45382.408368055556</v>
      </c>
      <c r="I2674" t="s">
        <v>2681</v>
      </c>
      <c r="Z2674">
        <v>79195</v>
      </c>
    </row>
    <row r="2675" spans="1:26" x14ac:dyDescent="0.25">
      <c r="A2675" t="s">
        <v>3095</v>
      </c>
      <c r="B2675" t="s">
        <v>1708</v>
      </c>
      <c r="C2675" t="s">
        <v>28</v>
      </c>
      <c r="E2675" t="s">
        <v>3096</v>
      </c>
      <c r="H2675" s="2">
        <v>45381.596030092594</v>
      </c>
      <c r="I2675" t="s">
        <v>556</v>
      </c>
      <c r="Z2675">
        <v>79173</v>
      </c>
    </row>
    <row r="2676" spans="1:26" x14ac:dyDescent="0.25">
      <c r="A2676" t="s">
        <v>3097</v>
      </c>
      <c r="B2676" t="s">
        <v>27</v>
      </c>
      <c r="C2676" t="s">
        <v>28</v>
      </c>
      <c r="H2676" s="2">
        <v>45381.51803240741</v>
      </c>
      <c r="I2676" t="s">
        <v>31</v>
      </c>
      <c r="Z2676">
        <v>79153</v>
      </c>
    </row>
    <row r="2677" spans="1:26" x14ac:dyDescent="0.25">
      <c r="A2677" t="s">
        <v>3098</v>
      </c>
      <c r="B2677" t="s">
        <v>27</v>
      </c>
      <c r="C2677" t="s">
        <v>28</v>
      </c>
      <c r="H2677" s="2">
        <v>45380.554432870369</v>
      </c>
      <c r="I2677" t="s">
        <v>1488</v>
      </c>
      <c r="Z2677">
        <v>79078</v>
      </c>
    </row>
    <row r="2678" spans="1:26" x14ac:dyDescent="0.25">
      <c r="A2678" t="s">
        <v>3099</v>
      </c>
      <c r="B2678" t="s">
        <v>27</v>
      </c>
      <c r="C2678" t="s">
        <v>28</v>
      </c>
      <c r="H2678" s="2">
        <v>45380.544768518521</v>
      </c>
      <c r="I2678" t="s">
        <v>1488</v>
      </c>
      <c r="Z2678">
        <v>79076</v>
      </c>
    </row>
    <row r="2679" spans="1:26" x14ac:dyDescent="0.25">
      <c r="A2679" t="s">
        <v>3100</v>
      </c>
      <c r="B2679" t="s">
        <v>27</v>
      </c>
      <c r="C2679" t="s">
        <v>28</v>
      </c>
      <c r="H2679" s="2">
        <v>45380.492581018516</v>
      </c>
      <c r="I2679" t="s">
        <v>31</v>
      </c>
      <c r="Z2679">
        <v>79070</v>
      </c>
    </row>
    <row r="2680" spans="1:26" x14ac:dyDescent="0.25">
      <c r="A2680" t="s">
        <v>3101</v>
      </c>
      <c r="B2680" t="s">
        <v>27</v>
      </c>
      <c r="C2680" t="s">
        <v>28</v>
      </c>
      <c r="H2680" s="2">
        <v>45380.387569444443</v>
      </c>
      <c r="I2680" t="s">
        <v>1488</v>
      </c>
      <c r="Z2680">
        <v>79056</v>
      </c>
    </row>
    <row r="2681" spans="1:26" x14ac:dyDescent="0.25">
      <c r="A2681" t="s">
        <v>3102</v>
      </c>
      <c r="B2681" t="s">
        <v>27</v>
      </c>
      <c r="C2681" t="s">
        <v>28</v>
      </c>
      <c r="E2681" t="s">
        <v>2315</v>
      </c>
      <c r="G2681" t="s">
        <v>3103</v>
      </c>
      <c r="H2681" s="2">
        <v>45379.763171296298</v>
      </c>
      <c r="I2681" t="s">
        <v>1488</v>
      </c>
      <c r="Z2681">
        <v>79047</v>
      </c>
    </row>
    <row r="2682" spans="1:26" x14ac:dyDescent="0.25">
      <c r="A2682" t="s">
        <v>3104</v>
      </c>
      <c r="B2682" t="s">
        <v>27</v>
      </c>
      <c r="C2682" t="s">
        <v>28</v>
      </c>
      <c r="H2682" s="2">
        <v>45379.60423611111</v>
      </c>
      <c r="I2682" t="s">
        <v>1488</v>
      </c>
      <c r="Z2682">
        <v>79028</v>
      </c>
    </row>
    <row r="2683" spans="1:26" x14ac:dyDescent="0.25">
      <c r="A2683" t="s">
        <v>3105</v>
      </c>
      <c r="B2683" t="s">
        <v>27</v>
      </c>
      <c r="C2683" t="s">
        <v>28</v>
      </c>
      <c r="H2683" s="2">
        <v>45379.514594907407</v>
      </c>
      <c r="I2683" t="s">
        <v>556</v>
      </c>
      <c r="Z2683">
        <v>79017</v>
      </c>
    </row>
    <row r="2684" spans="1:26" x14ac:dyDescent="0.25">
      <c r="A2684" t="s">
        <v>3106</v>
      </c>
      <c r="B2684" t="s">
        <v>27</v>
      </c>
      <c r="C2684" t="s">
        <v>28</v>
      </c>
      <c r="H2684" s="2">
        <v>45379.392141203702</v>
      </c>
      <c r="I2684" t="s">
        <v>2681</v>
      </c>
      <c r="Z2684">
        <v>79004</v>
      </c>
    </row>
    <row r="2685" spans="1:26" x14ac:dyDescent="0.25">
      <c r="A2685" t="s">
        <v>3107</v>
      </c>
      <c r="B2685" t="s">
        <v>27</v>
      </c>
      <c r="C2685" t="s">
        <v>28</v>
      </c>
      <c r="H2685" s="2">
        <v>45379.391331018516</v>
      </c>
      <c r="I2685" t="s">
        <v>1488</v>
      </c>
      <c r="Z2685">
        <v>79003</v>
      </c>
    </row>
    <row r="2686" spans="1:26" x14ac:dyDescent="0.25">
      <c r="A2686" t="s">
        <v>606</v>
      </c>
      <c r="B2686" t="s">
        <v>306</v>
      </c>
      <c r="C2686" t="s">
        <v>28</v>
      </c>
      <c r="E2686" t="s">
        <v>59</v>
      </c>
      <c r="H2686" s="2">
        <v>45378.667627314811</v>
      </c>
      <c r="I2686" t="s">
        <v>1488</v>
      </c>
      <c r="Z2686">
        <v>78986</v>
      </c>
    </row>
    <row r="2687" spans="1:26" x14ac:dyDescent="0.25">
      <c r="A2687" t="s">
        <v>3108</v>
      </c>
      <c r="B2687" t="s">
        <v>27</v>
      </c>
      <c r="C2687" t="s">
        <v>28</v>
      </c>
      <c r="H2687" s="2">
        <v>45378.598356481481</v>
      </c>
      <c r="I2687" t="s">
        <v>1488</v>
      </c>
      <c r="Z2687">
        <v>78979</v>
      </c>
    </row>
    <row r="2688" spans="1:26" x14ac:dyDescent="0.25">
      <c r="A2688" t="s">
        <v>3109</v>
      </c>
      <c r="B2688" t="s">
        <v>27</v>
      </c>
      <c r="C2688" t="s">
        <v>28</v>
      </c>
      <c r="H2688" s="2">
        <v>45378.466238425928</v>
      </c>
      <c r="I2688" t="s">
        <v>1488</v>
      </c>
      <c r="Z2688">
        <v>78966</v>
      </c>
    </row>
    <row r="2689" spans="1:26" x14ac:dyDescent="0.25">
      <c r="A2689" t="s">
        <v>3110</v>
      </c>
      <c r="B2689" t="s">
        <v>27</v>
      </c>
      <c r="C2689" t="s">
        <v>28</v>
      </c>
      <c r="H2689" s="2">
        <v>45378.457118055558</v>
      </c>
      <c r="I2689" t="s">
        <v>1488</v>
      </c>
      <c r="Z2689">
        <v>78964</v>
      </c>
    </row>
    <row r="2690" spans="1:26" x14ac:dyDescent="0.25">
      <c r="A2690" t="s">
        <v>3111</v>
      </c>
      <c r="B2690" t="s">
        <v>27</v>
      </c>
      <c r="C2690" t="s">
        <v>28</v>
      </c>
      <c r="H2690" s="2">
        <v>45377.66474537037</v>
      </c>
      <c r="I2690" t="s">
        <v>2674</v>
      </c>
      <c r="Z2690">
        <v>78940</v>
      </c>
    </row>
    <row r="2691" spans="1:26" x14ac:dyDescent="0.25">
      <c r="A2691" t="s">
        <v>3112</v>
      </c>
      <c r="C2691" t="s">
        <v>28</v>
      </c>
      <c r="E2691" t="s">
        <v>72</v>
      </c>
      <c r="H2691" s="2">
        <v>45377.583344907405</v>
      </c>
      <c r="I2691" t="s">
        <v>2674</v>
      </c>
      <c r="Z2691">
        <v>78923</v>
      </c>
    </row>
    <row r="2692" spans="1:26" x14ac:dyDescent="0.25">
      <c r="A2692" t="s">
        <v>3113</v>
      </c>
      <c r="B2692" t="s">
        <v>1403</v>
      </c>
      <c r="C2692" t="s">
        <v>28</v>
      </c>
      <c r="E2692" t="s">
        <v>3114</v>
      </c>
      <c r="G2692" t="s">
        <v>3115</v>
      </c>
      <c r="H2692" s="2">
        <v>45376.833067129628</v>
      </c>
      <c r="I2692" t="s">
        <v>2681</v>
      </c>
      <c r="Z2692">
        <v>78896</v>
      </c>
    </row>
    <row r="2693" spans="1:26" x14ac:dyDescent="0.25">
      <c r="A2693" t="s">
        <v>1793</v>
      </c>
      <c r="B2693" t="s">
        <v>27</v>
      </c>
      <c r="C2693" t="s">
        <v>28</v>
      </c>
      <c r="H2693" s="2">
        <v>45376.753101851849</v>
      </c>
      <c r="I2693" t="s">
        <v>2681</v>
      </c>
      <c r="Z2693">
        <v>78887</v>
      </c>
    </row>
    <row r="2694" spans="1:26" x14ac:dyDescent="0.25">
      <c r="A2694" t="s">
        <v>1756</v>
      </c>
      <c r="B2694" t="s">
        <v>27</v>
      </c>
      <c r="C2694" t="s">
        <v>28</v>
      </c>
      <c r="H2694" s="2">
        <v>45376.719502314816</v>
      </c>
      <c r="I2694" t="s">
        <v>2674</v>
      </c>
      <c r="Z2694">
        <v>78885</v>
      </c>
    </row>
    <row r="2695" spans="1:26" x14ac:dyDescent="0.25">
      <c r="A2695" t="s">
        <v>3116</v>
      </c>
      <c r="B2695" t="s">
        <v>27</v>
      </c>
      <c r="C2695" t="s">
        <v>28</v>
      </c>
      <c r="H2695" s="2">
        <v>45376.577418981484</v>
      </c>
      <c r="I2695" t="s">
        <v>2674</v>
      </c>
      <c r="Z2695">
        <v>78863</v>
      </c>
    </row>
    <row r="2696" spans="1:26" x14ac:dyDescent="0.25">
      <c r="A2696" t="s">
        <v>3019</v>
      </c>
      <c r="B2696" t="s">
        <v>27</v>
      </c>
      <c r="C2696" t="s">
        <v>28</v>
      </c>
      <c r="H2696" s="2">
        <v>45376.452777777777</v>
      </c>
      <c r="I2696" t="s">
        <v>2681</v>
      </c>
      <c r="Z2696">
        <v>78843</v>
      </c>
    </row>
    <row r="2697" spans="1:26" x14ac:dyDescent="0.25">
      <c r="A2697" t="s">
        <v>3117</v>
      </c>
      <c r="B2697" t="s">
        <v>27</v>
      </c>
      <c r="C2697" t="s">
        <v>28</v>
      </c>
      <c r="H2697" s="2">
        <v>45376.371724537035</v>
      </c>
      <c r="I2697" t="s">
        <v>2674</v>
      </c>
      <c r="Z2697">
        <v>78830</v>
      </c>
    </row>
    <row r="2698" spans="1:26" x14ac:dyDescent="0.25">
      <c r="A2698" t="s">
        <v>3118</v>
      </c>
      <c r="B2698" t="s">
        <v>74</v>
      </c>
      <c r="C2698" t="s">
        <v>28</v>
      </c>
      <c r="E2698" t="s">
        <v>967</v>
      </c>
      <c r="G2698" t="s">
        <v>3119</v>
      </c>
      <c r="H2698" s="2">
        <v>45376.029062499998</v>
      </c>
      <c r="I2698" t="s">
        <v>2681</v>
      </c>
      <c r="Z2698">
        <v>78827</v>
      </c>
    </row>
    <row r="2699" spans="1:26" x14ac:dyDescent="0.25">
      <c r="A2699" t="s">
        <v>3120</v>
      </c>
      <c r="B2699" t="s">
        <v>1708</v>
      </c>
      <c r="C2699" t="s">
        <v>28</v>
      </c>
      <c r="E2699" t="s">
        <v>3121</v>
      </c>
      <c r="H2699" s="2">
        <v>45374.709641203706</v>
      </c>
      <c r="I2699" t="s">
        <v>556</v>
      </c>
      <c r="Z2699">
        <v>78773</v>
      </c>
    </row>
    <row r="2700" spans="1:26" x14ac:dyDescent="0.25">
      <c r="A2700" t="s">
        <v>3122</v>
      </c>
      <c r="B2700" t="s">
        <v>27</v>
      </c>
      <c r="C2700" t="s">
        <v>28</v>
      </c>
      <c r="H2700" s="2">
        <v>45374.693206018521</v>
      </c>
      <c r="I2700" t="s">
        <v>1488</v>
      </c>
      <c r="Z2700">
        <v>78770</v>
      </c>
    </row>
    <row r="2701" spans="1:26" x14ac:dyDescent="0.25">
      <c r="A2701" t="s">
        <v>3123</v>
      </c>
      <c r="B2701" t="s">
        <v>27</v>
      </c>
      <c r="C2701" t="s">
        <v>28</v>
      </c>
      <c r="H2701" s="2">
        <v>45374.480763888889</v>
      </c>
      <c r="I2701" t="s">
        <v>31</v>
      </c>
      <c r="Z2701">
        <v>78741</v>
      </c>
    </row>
    <row r="2702" spans="1:26" x14ac:dyDescent="0.25">
      <c r="A2702" t="s">
        <v>3124</v>
      </c>
      <c r="B2702" t="s">
        <v>27</v>
      </c>
      <c r="C2702" t="s">
        <v>28</v>
      </c>
      <c r="H2702" s="2">
        <v>45373.814699074072</v>
      </c>
      <c r="I2702" t="s">
        <v>1488</v>
      </c>
      <c r="Z2702">
        <v>78726</v>
      </c>
    </row>
    <row r="2703" spans="1:26" x14ac:dyDescent="0.25">
      <c r="A2703" t="s">
        <v>3125</v>
      </c>
      <c r="B2703" t="s">
        <v>27</v>
      </c>
      <c r="C2703" t="s">
        <v>28</v>
      </c>
      <c r="H2703" s="2">
        <v>45373.732777777775</v>
      </c>
      <c r="I2703" t="s">
        <v>1488</v>
      </c>
      <c r="Z2703">
        <v>78715</v>
      </c>
    </row>
    <row r="2704" spans="1:26" x14ac:dyDescent="0.25">
      <c r="A2704" t="s">
        <v>3126</v>
      </c>
      <c r="B2704" t="s">
        <v>27</v>
      </c>
      <c r="C2704" t="s">
        <v>28</v>
      </c>
      <c r="H2704" s="2">
        <v>45373.514085648145</v>
      </c>
      <c r="I2704" t="s">
        <v>31</v>
      </c>
      <c r="Z2704">
        <v>78680</v>
      </c>
    </row>
    <row r="2705" spans="1:26" x14ac:dyDescent="0.25">
      <c r="A2705" t="s">
        <v>3127</v>
      </c>
      <c r="B2705" t="s">
        <v>27</v>
      </c>
      <c r="C2705" t="s">
        <v>28</v>
      </c>
      <c r="H2705" s="2">
        <v>45373.499224537038</v>
      </c>
      <c r="I2705" t="s">
        <v>1488</v>
      </c>
      <c r="Z2705">
        <v>78679</v>
      </c>
    </row>
    <row r="2706" spans="1:26" x14ac:dyDescent="0.25">
      <c r="A2706" t="s">
        <v>3128</v>
      </c>
      <c r="B2706" t="s">
        <v>27</v>
      </c>
      <c r="C2706" t="s">
        <v>28</v>
      </c>
      <c r="H2706" s="2">
        <v>45373.401493055557</v>
      </c>
      <c r="I2706" t="s">
        <v>556</v>
      </c>
      <c r="Z2706">
        <v>78667</v>
      </c>
    </row>
    <row r="2707" spans="1:26" x14ac:dyDescent="0.25">
      <c r="A2707" t="s">
        <v>3129</v>
      </c>
      <c r="C2707" t="s">
        <v>28</v>
      </c>
      <c r="E2707" t="s">
        <v>198</v>
      </c>
      <c r="H2707" s="2">
        <v>45372.828923611109</v>
      </c>
      <c r="I2707" t="s">
        <v>1488</v>
      </c>
      <c r="Z2707">
        <v>78654</v>
      </c>
    </row>
    <row r="2708" spans="1:26" x14ac:dyDescent="0.25">
      <c r="A2708" t="s">
        <v>663</v>
      </c>
      <c r="C2708" t="s">
        <v>28</v>
      </c>
      <c r="E2708" t="s">
        <v>1653</v>
      </c>
      <c r="H2708" s="2">
        <v>45372.592245370368</v>
      </c>
      <c r="I2708" t="s">
        <v>1488</v>
      </c>
      <c r="Z2708">
        <v>78628</v>
      </c>
    </row>
    <row r="2709" spans="1:26" x14ac:dyDescent="0.25">
      <c r="A2709" t="s">
        <v>3130</v>
      </c>
      <c r="B2709" t="s">
        <v>1708</v>
      </c>
      <c r="C2709" t="s">
        <v>28</v>
      </c>
      <c r="E2709" t="s">
        <v>3081</v>
      </c>
      <c r="H2709" s="2">
        <v>45372.493935185186</v>
      </c>
      <c r="I2709" t="s">
        <v>2791</v>
      </c>
      <c r="Z2709">
        <v>78614</v>
      </c>
    </row>
    <row r="2710" spans="1:26" x14ac:dyDescent="0.25">
      <c r="A2710" t="s">
        <v>3131</v>
      </c>
      <c r="B2710" t="s">
        <v>74</v>
      </c>
      <c r="C2710" t="s">
        <v>28</v>
      </c>
      <c r="E2710" t="s">
        <v>3132</v>
      </c>
      <c r="G2710" t="s">
        <v>2784</v>
      </c>
      <c r="H2710" s="2">
        <v>45370.862141203703</v>
      </c>
      <c r="I2710" t="s">
        <v>2681</v>
      </c>
      <c r="Z2710">
        <v>78528</v>
      </c>
    </row>
    <row r="2711" spans="1:26" x14ac:dyDescent="0.25">
      <c r="A2711" t="s">
        <v>3133</v>
      </c>
      <c r="B2711" t="s">
        <v>1403</v>
      </c>
      <c r="C2711" t="s">
        <v>28</v>
      </c>
      <c r="E2711" t="s">
        <v>3114</v>
      </c>
      <c r="G2711" t="s">
        <v>3115</v>
      </c>
      <c r="H2711" s="2">
        <v>45369.846006944441</v>
      </c>
      <c r="I2711" t="s">
        <v>2681</v>
      </c>
      <c r="Z2711">
        <v>78452</v>
      </c>
    </row>
    <row r="2712" spans="1:26" x14ac:dyDescent="0.25">
      <c r="A2712" t="s">
        <v>3134</v>
      </c>
      <c r="B2712" t="s">
        <v>1708</v>
      </c>
      <c r="C2712" t="s">
        <v>28</v>
      </c>
      <c r="E2712" t="s">
        <v>3135</v>
      </c>
      <c r="G2712" t="s">
        <v>3136</v>
      </c>
      <c r="H2712" s="2">
        <v>45369.684849537036</v>
      </c>
      <c r="I2712" t="s">
        <v>556</v>
      </c>
      <c r="Z2712">
        <v>78432</v>
      </c>
    </row>
    <row r="2713" spans="1:26" x14ac:dyDescent="0.25">
      <c r="A2713" t="s">
        <v>3137</v>
      </c>
      <c r="B2713" t="s">
        <v>27</v>
      </c>
      <c r="C2713" t="s">
        <v>28</v>
      </c>
      <c r="H2713" s="2">
        <v>45369.683298611111</v>
      </c>
      <c r="I2713" t="s">
        <v>556</v>
      </c>
      <c r="Z2713">
        <v>78431</v>
      </c>
    </row>
    <row r="2714" spans="1:26" x14ac:dyDescent="0.25">
      <c r="A2714" t="s">
        <v>2640</v>
      </c>
      <c r="B2714" t="s">
        <v>27</v>
      </c>
      <c r="C2714" t="s">
        <v>28</v>
      </c>
      <c r="H2714" s="2">
        <v>45369.611550925925</v>
      </c>
      <c r="I2714" t="s">
        <v>2674</v>
      </c>
      <c r="Z2714">
        <v>78425</v>
      </c>
    </row>
    <row r="2715" spans="1:26" x14ac:dyDescent="0.25">
      <c r="A2715" t="s">
        <v>3138</v>
      </c>
      <c r="B2715" t="s">
        <v>27</v>
      </c>
      <c r="C2715" t="s">
        <v>28</v>
      </c>
      <c r="H2715" s="2">
        <v>45369.488541666666</v>
      </c>
      <c r="I2715" t="s">
        <v>31</v>
      </c>
      <c r="Z2715">
        <v>78399</v>
      </c>
    </row>
    <row r="2716" spans="1:26" x14ac:dyDescent="0.25">
      <c r="A2716" t="s">
        <v>3139</v>
      </c>
      <c r="B2716" t="s">
        <v>27</v>
      </c>
      <c r="C2716" t="s">
        <v>28</v>
      </c>
      <c r="H2716" s="2">
        <v>45369.416006944448</v>
      </c>
      <c r="I2716" t="s">
        <v>31</v>
      </c>
      <c r="Z2716">
        <v>78389</v>
      </c>
    </row>
    <row r="2717" spans="1:26" x14ac:dyDescent="0.25">
      <c r="A2717" t="s">
        <v>3140</v>
      </c>
      <c r="B2717" t="s">
        <v>27</v>
      </c>
      <c r="C2717" t="s">
        <v>28</v>
      </c>
      <c r="H2717" s="2">
        <v>45369.399363425924</v>
      </c>
      <c r="I2717" t="s">
        <v>2674</v>
      </c>
      <c r="Z2717">
        <v>78380</v>
      </c>
    </row>
    <row r="2718" spans="1:26" x14ac:dyDescent="0.25">
      <c r="A2718" t="s">
        <v>3141</v>
      </c>
      <c r="B2718" t="s">
        <v>27</v>
      </c>
      <c r="C2718" t="s">
        <v>28</v>
      </c>
      <c r="H2718" s="2">
        <v>45368.555509259262</v>
      </c>
      <c r="I2718" t="s">
        <v>556</v>
      </c>
      <c r="Z2718">
        <v>78345</v>
      </c>
    </row>
    <row r="2719" spans="1:26" x14ac:dyDescent="0.25">
      <c r="A2719" t="s">
        <v>3142</v>
      </c>
      <c r="B2719" t="s">
        <v>27</v>
      </c>
      <c r="C2719" t="s">
        <v>28</v>
      </c>
      <c r="H2719" s="2">
        <v>45367.86515046296</v>
      </c>
      <c r="I2719" t="s">
        <v>1488</v>
      </c>
      <c r="Z2719">
        <v>78324</v>
      </c>
    </row>
    <row r="2720" spans="1:26" x14ac:dyDescent="0.25">
      <c r="A2720" t="s">
        <v>3143</v>
      </c>
      <c r="B2720" t="s">
        <v>27</v>
      </c>
      <c r="C2720" t="s">
        <v>28</v>
      </c>
      <c r="H2720" s="2">
        <v>45367.813437500001</v>
      </c>
      <c r="I2720" t="s">
        <v>556</v>
      </c>
      <c r="Z2720">
        <v>78320</v>
      </c>
    </row>
    <row r="2721" spans="1:26" x14ac:dyDescent="0.25">
      <c r="A2721" t="s">
        <v>3144</v>
      </c>
      <c r="B2721" t="s">
        <v>27</v>
      </c>
      <c r="C2721" t="s">
        <v>28</v>
      </c>
      <c r="H2721" s="2">
        <v>45367.678437499999</v>
      </c>
      <c r="I2721" t="s">
        <v>1488</v>
      </c>
      <c r="Z2721">
        <v>78307</v>
      </c>
    </row>
    <row r="2722" spans="1:26" x14ac:dyDescent="0.25">
      <c r="A2722" t="s">
        <v>570</v>
      </c>
      <c r="C2722" t="s">
        <v>28</v>
      </c>
      <c r="E2722" t="s">
        <v>72</v>
      </c>
      <c r="H2722" s="2">
        <v>45367.483356481483</v>
      </c>
      <c r="I2722" t="s">
        <v>1488</v>
      </c>
      <c r="Z2722">
        <v>78284</v>
      </c>
    </row>
    <row r="2723" spans="1:26" x14ac:dyDescent="0.25">
      <c r="A2723" t="s">
        <v>3145</v>
      </c>
      <c r="B2723" t="s">
        <v>27</v>
      </c>
      <c r="C2723" t="s">
        <v>28</v>
      </c>
      <c r="H2723" s="2">
        <v>45366.787349537037</v>
      </c>
      <c r="I2723" t="s">
        <v>2681</v>
      </c>
      <c r="Z2723">
        <v>78261</v>
      </c>
    </row>
    <row r="2724" spans="1:26" x14ac:dyDescent="0.25">
      <c r="A2724" t="s">
        <v>3146</v>
      </c>
      <c r="B2724" t="s">
        <v>27</v>
      </c>
      <c r="C2724" t="s">
        <v>28</v>
      </c>
      <c r="H2724" s="2">
        <v>45366.785995370374</v>
      </c>
      <c r="I2724" t="s">
        <v>1488</v>
      </c>
      <c r="Z2724">
        <v>78260</v>
      </c>
    </row>
    <row r="2725" spans="1:26" x14ac:dyDescent="0.25">
      <c r="A2725" t="s">
        <v>3147</v>
      </c>
      <c r="B2725" t="s">
        <v>27</v>
      </c>
      <c r="C2725" t="s">
        <v>28</v>
      </c>
      <c r="H2725" s="2">
        <v>45366.671840277777</v>
      </c>
      <c r="I2725" t="s">
        <v>1488</v>
      </c>
      <c r="Z2725">
        <v>78242</v>
      </c>
    </row>
    <row r="2726" spans="1:26" x14ac:dyDescent="0.25">
      <c r="A2726" t="s">
        <v>570</v>
      </c>
      <c r="C2726" t="s">
        <v>28</v>
      </c>
      <c r="E2726" t="s">
        <v>61</v>
      </c>
      <c r="H2726" s="2">
        <v>45366.661712962959</v>
      </c>
      <c r="I2726" t="s">
        <v>1488</v>
      </c>
      <c r="Z2726">
        <v>78239</v>
      </c>
    </row>
    <row r="2727" spans="1:26" x14ac:dyDescent="0.25">
      <c r="A2727" t="s">
        <v>3148</v>
      </c>
      <c r="B2727" t="s">
        <v>1403</v>
      </c>
      <c r="C2727" t="s">
        <v>28</v>
      </c>
      <c r="E2727" t="s">
        <v>3149</v>
      </c>
      <c r="H2727" s="2">
        <v>45366.600486111114</v>
      </c>
      <c r="I2727" t="s">
        <v>2681</v>
      </c>
      <c r="Z2727">
        <v>78237</v>
      </c>
    </row>
    <row r="2728" spans="1:26" x14ac:dyDescent="0.25">
      <c r="A2728" t="s">
        <v>1601</v>
      </c>
      <c r="B2728" t="s">
        <v>27</v>
      </c>
      <c r="C2728" t="s">
        <v>28</v>
      </c>
      <c r="H2728" s="2">
        <v>45366.549293981479</v>
      </c>
      <c r="I2728" t="s">
        <v>1488</v>
      </c>
      <c r="Z2728">
        <v>78230</v>
      </c>
    </row>
    <row r="2729" spans="1:26" x14ac:dyDescent="0.25">
      <c r="A2729" t="s">
        <v>3150</v>
      </c>
      <c r="B2729" t="s">
        <v>27</v>
      </c>
      <c r="C2729" t="s">
        <v>28</v>
      </c>
      <c r="H2729" s="2">
        <v>45366.445057870369</v>
      </c>
      <c r="I2729" t="s">
        <v>1488</v>
      </c>
      <c r="Z2729">
        <v>78214</v>
      </c>
    </row>
    <row r="2730" spans="1:26" x14ac:dyDescent="0.25">
      <c r="A2730" t="s">
        <v>3151</v>
      </c>
      <c r="B2730" t="s">
        <v>27</v>
      </c>
      <c r="C2730" t="s">
        <v>28</v>
      </c>
      <c r="H2730" s="2">
        <v>45366.413854166669</v>
      </c>
      <c r="I2730" t="s">
        <v>1488</v>
      </c>
      <c r="Z2730">
        <v>78210</v>
      </c>
    </row>
    <row r="2731" spans="1:26" x14ac:dyDescent="0.25">
      <c r="A2731" t="s">
        <v>3152</v>
      </c>
      <c r="B2731" t="s">
        <v>27</v>
      </c>
      <c r="C2731" t="s">
        <v>28</v>
      </c>
      <c r="H2731" s="2">
        <v>45365.648472222223</v>
      </c>
      <c r="I2731" t="s">
        <v>2674</v>
      </c>
      <c r="Z2731">
        <v>78181</v>
      </c>
    </row>
    <row r="2732" spans="1:26" x14ac:dyDescent="0.25">
      <c r="A2732" t="s">
        <v>3153</v>
      </c>
      <c r="B2732" t="s">
        <v>27</v>
      </c>
      <c r="C2732" t="s">
        <v>28</v>
      </c>
      <c r="H2732" s="2">
        <v>45365.425636574073</v>
      </c>
      <c r="I2732" t="s">
        <v>2681</v>
      </c>
      <c r="Z2732">
        <v>78147</v>
      </c>
    </row>
    <row r="2733" spans="1:26" x14ac:dyDescent="0.25">
      <c r="A2733" t="s">
        <v>3154</v>
      </c>
      <c r="B2733" t="s">
        <v>1708</v>
      </c>
      <c r="C2733" t="s">
        <v>28</v>
      </c>
      <c r="E2733" t="s">
        <v>198</v>
      </c>
      <c r="H2733" s="2">
        <v>45364.916238425925</v>
      </c>
      <c r="I2733" t="s">
        <v>2681</v>
      </c>
      <c r="Z2733">
        <v>78137</v>
      </c>
    </row>
    <row r="2734" spans="1:26" x14ac:dyDescent="0.25">
      <c r="A2734" t="s">
        <v>3155</v>
      </c>
      <c r="B2734" t="s">
        <v>27</v>
      </c>
      <c r="C2734" t="s">
        <v>28</v>
      </c>
      <c r="H2734" s="2">
        <v>45364.739791666667</v>
      </c>
      <c r="I2734" t="s">
        <v>2681</v>
      </c>
      <c r="Z2734">
        <v>78126</v>
      </c>
    </row>
    <row r="2735" spans="1:26" x14ac:dyDescent="0.25">
      <c r="A2735" t="s">
        <v>3156</v>
      </c>
      <c r="B2735" t="s">
        <v>27</v>
      </c>
      <c r="C2735" t="s">
        <v>75</v>
      </c>
      <c r="H2735" s="2">
        <v>45364.732245370367</v>
      </c>
      <c r="I2735" t="s">
        <v>2148</v>
      </c>
      <c r="Z2735">
        <v>78125</v>
      </c>
    </row>
    <row r="2736" spans="1:26" x14ac:dyDescent="0.25">
      <c r="A2736" t="s">
        <v>3157</v>
      </c>
      <c r="B2736" t="s">
        <v>27</v>
      </c>
      <c r="C2736" t="s">
        <v>28</v>
      </c>
      <c r="H2736" s="2">
        <v>45364.564027777778</v>
      </c>
      <c r="I2736" t="s">
        <v>2674</v>
      </c>
      <c r="Z2736">
        <v>78093</v>
      </c>
    </row>
    <row r="2737" spans="1:26" x14ac:dyDescent="0.25">
      <c r="A2737" t="s">
        <v>3158</v>
      </c>
      <c r="B2737" t="s">
        <v>27</v>
      </c>
      <c r="C2737" t="s">
        <v>28</v>
      </c>
      <c r="H2737" s="2">
        <v>45364.465300925927</v>
      </c>
      <c r="I2737" t="s">
        <v>31</v>
      </c>
      <c r="Z2737">
        <v>78076</v>
      </c>
    </row>
    <row r="2738" spans="1:26" x14ac:dyDescent="0.25">
      <c r="A2738" t="s">
        <v>3159</v>
      </c>
      <c r="B2738" t="s">
        <v>27</v>
      </c>
      <c r="C2738" t="s">
        <v>28</v>
      </c>
      <c r="H2738" s="2">
        <v>45364.418275462966</v>
      </c>
      <c r="I2738" t="s">
        <v>2674</v>
      </c>
      <c r="Z2738">
        <v>78070</v>
      </c>
    </row>
    <row r="2739" spans="1:26" x14ac:dyDescent="0.25">
      <c r="A2739" t="s">
        <v>3160</v>
      </c>
      <c r="B2739" t="s">
        <v>27</v>
      </c>
      <c r="C2739" t="s">
        <v>28</v>
      </c>
      <c r="H2739" s="2">
        <v>45363.620706018519</v>
      </c>
      <c r="I2739" t="s">
        <v>556</v>
      </c>
      <c r="Z2739">
        <v>78048</v>
      </c>
    </row>
    <row r="2740" spans="1:26" x14ac:dyDescent="0.25">
      <c r="A2740" t="s">
        <v>3161</v>
      </c>
      <c r="B2740" t="s">
        <v>27</v>
      </c>
      <c r="C2740" t="s">
        <v>28</v>
      </c>
      <c r="H2740" s="2">
        <v>45363.526770833334</v>
      </c>
      <c r="I2740" t="s">
        <v>2674</v>
      </c>
      <c r="Z2740">
        <v>78034</v>
      </c>
    </row>
    <row r="2741" spans="1:26" x14ac:dyDescent="0.25">
      <c r="A2741" t="s">
        <v>3162</v>
      </c>
      <c r="B2741" t="s">
        <v>27</v>
      </c>
      <c r="C2741" t="s">
        <v>28</v>
      </c>
      <c r="H2741" s="2">
        <v>45363.520671296297</v>
      </c>
      <c r="I2741" t="s">
        <v>2674</v>
      </c>
      <c r="Z2741">
        <v>78032</v>
      </c>
    </row>
    <row r="2742" spans="1:26" x14ac:dyDescent="0.25">
      <c r="A2742" t="s">
        <v>3163</v>
      </c>
      <c r="B2742" t="s">
        <v>27</v>
      </c>
      <c r="C2742" t="s">
        <v>28</v>
      </c>
      <c r="H2742" s="2">
        <v>45363.50439814815</v>
      </c>
      <c r="I2742" t="s">
        <v>2674</v>
      </c>
      <c r="Z2742">
        <v>78029</v>
      </c>
    </row>
    <row r="2743" spans="1:26" x14ac:dyDescent="0.25">
      <c r="A2743" t="s">
        <v>3164</v>
      </c>
      <c r="B2743" t="s">
        <v>27</v>
      </c>
      <c r="C2743" t="s">
        <v>28</v>
      </c>
      <c r="H2743" s="2">
        <v>45363.484733796293</v>
      </c>
      <c r="I2743" t="s">
        <v>2674</v>
      </c>
      <c r="Z2743">
        <v>78024</v>
      </c>
    </row>
    <row r="2744" spans="1:26" x14ac:dyDescent="0.25">
      <c r="A2744" t="s">
        <v>3165</v>
      </c>
      <c r="B2744" t="s">
        <v>27</v>
      </c>
      <c r="C2744" t="s">
        <v>28</v>
      </c>
      <c r="H2744" s="2">
        <v>45363.444236111114</v>
      </c>
      <c r="I2744" t="s">
        <v>556</v>
      </c>
      <c r="Z2744">
        <v>78015</v>
      </c>
    </row>
    <row r="2745" spans="1:26" x14ac:dyDescent="0.25">
      <c r="A2745" t="s">
        <v>3166</v>
      </c>
      <c r="B2745" t="s">
        <v>27</v>
      </c>
      <c r="C2745" t="s">
        <v>28</v>
      </c>
      <c r="H2745" s="2">
        <v>45363.365300925929</v>
      </c>
      <c r="I2745" t="s">
        <v>2674</v>
      </c>
      <c r="Z2745">
        <v>78006</v>
      </c>
    </row>
    <row r="2746" spans="1:26" x14ac:dyDescent="0.25">
      <c r="A2746" t="s">
        <v>3167</v>
      </c>
      <c r="B2746" t="s">
        <v>27</v>
      </c>
      <c r="C2746" t="s">
        <v>75</v>
      </c>
      <c r="H2746" s="2">
        <v>45362.632349537038</v>
      </c>
      <c r="I2746" t="s">
        <v>1488</v>
      </c>
      <c r="Z2746">
        <v>77981</v>
      </c>
    </row>
    <row r="2747" spans="1:26" x14ac:dyDescent="0.25">
      <c r="A2747" t="s">
        <v>3168</v>
      </c>
      <c r="B2747" t="s">
        <v>1708</v>
      </c>
      <c r="C2747" t="s">
        <v>28</v>
      </c>
      <c r="E2747">
        <v>79376543898</v>
      </c>
      <c r="H2747" s="2">
        <v>45362.55296296296</v>
      </c>
      <c r="I2747" t="s">
        <v>556</v>
      </c>
      <c r="K2747" t="s">
        <v>34</v>
      </c>
      <c r="L2747" t="s">
        <v>35</v>
      </c>
      <c r="M2747">
        <v>55887089</v>
      </c>
      <c r="N2747">
        <v>12886132962</v>
      </c>
      <c r="O2747" t="s">
        <v>3169</v>
      </c>
      <c r="Z2747">
        <v>77971</v>
      </c>
    </row>
    <row r="2748" spans="1:26" x14ac:dyDescent="0.25">
      <c r="A2748" t="s">
        <v>3170</v>
      </c>
      <c r="B2748" t="s">
        <v>27</v>
      </c>
      <c r="C2748" t="s">
        <v>28</v>
      </c>
      <c r="H2748" s="2">
        <v>45362.490173611113</v>
      </c>
      <c r="I2748" t="s">
        <v>31</v>
      </c>
      <c r="Z2748">
        <v>77960</v>
      </c>
    </row>
    <row r="2749" spans="1:26" x14ac:dyDescent="0.25">
      <c r="A2749" t="s">
        <v>3171</v>
      </c>
      <c r="B2749" t="s">
        <v>27</v>
      </c>
      <c r="C2749" t="s">
        <v>28</v>
      </c>
      <c r="H2749" s="2">
        <v>45362.428113425929</v>
      </c>
      <c r="I2749" t="s">
        <v>1488</v>
      </c>
      <c r="Z2749">
        <v>77953</v>
      </c>
    </row>
    <row r="2750" spans="1:26" x14ac:dyDescent="0.25">
      <c r="A2750" t="s">
        <v>3172</v>
      </c>
      <c r="B2750" t="s">
        <v>1403</v>
      </c>
      <c r="C2750" t="s">
        <v>28</v>
      </c>
      <c r="E2750" t="s">
        <v>3173</v>
      </c>
      <c r="H2750" s="2">
        <v>45362.413414351853</v>
      </c>
      <c r="I2750" t="s">
        <v>1488</v>
      </c>
      <c r="Z2750">
        <v>77952</v>
      </c>
    </row>
    <row r="2751" spans="1:26" x14ac:dyDescent="0.25">
      <c r="A2751" t="s">
        <v>3174</v>
      </c>
      <c r="B2751" t="s">
        <v>27</v>
      </c>
      <c r="C2751" t="s">
        <v>28</v>
      </c>
      <c r="H2751" s="2">
        <v>45361.623831018522</v>
      </c>
      <c r="I2751" t="s">
        <v>1488</v>
      </c>
      <c r="Z2751">
        <v>77924</v>
      </c>
    </row>
    <row r="2752" spans="1:26" x14ac:dyDescent="0.25">
      <c r="A2752" t="s">
        <v>3175</v>
      </c>
      <c r="B2752" t="s">
        <v>27</v>
      </c>
      <c r="C2752" t="s">
        <v>28</v>
      </c>
      <c r="H2752" s="2">
        <v>45360.74596064815</v>
      </c>
      <c r="I2752" t="s">
        <v>1488</v>
      </c>
      <c r="Z2752">
        <v>77887</v>
      </c>
    </row>
    <row r="2753" spans="1:26" x14ac:dyDescent="0.25">
      <c r="A2753" t="s">
        <v>3176</v>
      </c>
      <c r="B2753" t="s">
        <v>27</v>
      </c>
      <c r="C2753" t="s">
        <v>28</v>
      </c>
      <c r="H2753" s="2">
        <v>45360.543414351851</v>
      </c>
      <c r="I2753" t="s">
        <v>2681</v>
      </c>
      <c r="Z2753">
        <v>77873</v>
      </c>
    </row>
    <row r="2754" spans="1:26" x14ac:dyDescent="0.25">
      <c r="A2754" t="s">
        <v>3177</v>
      </c>
      <c r="B2754" t="s">
        <v>1708</v>
      </c>
      <c r="C2754" t="s">
        <v>28</v>
      </c>
      <c r="E2754" t="s">
        <v>3178</v>
      </c>
      <c r="H2754" s="2">
        <v>45359.861493055556</v>
      </c>
      <c r="I2754" t="s">
        <v>1488</v>
      </c>
      <c r="K2754" t="s">
        <v>34</v>
      </c>
      <c r="L2754" t="s">
        <v>35</v>
      </c>
      <c r="M2754">
        <v>55887101</v>
      </c>
      <c r="N2754">
        <v>9754620252</v>
      </c>
      <c r="O2754" t="s">
        <v>461</v>
      </c>
      <c r="Z2754">
        <v>77860</v>
      </c>
    </row>
    <row r="2755" spans="1:26" x14ac:dyDescent="0.25">
      <c r="A2755" t="s">
        <v>3179</v>
      </c>
      <c r="B2755" t="s">
        <v>27</v>
      </c>
      <c r="C2755" t="s">
        <v>28</v>
      </c>
      <c r="H2755" s="2">
        <v>45358.694363425922</v>
      </c>
      <c r="I2755" t="s">
        <v>31</v>
      </c>
      <c r="Z2755">
        <v>77792</v>
      </c>
    </row>
    <row r="2756" spans="1:26" x14ac:dyDescent="0.25">
      <c r="A2756" t="s">
        <v>3180</v>
      </c>
      <c r="B2756" t="s">
        <v>27</v>
      </c>
      <c r="C2756" t="s">
        <v>28</v>
      </c>
      <c r="H2756" s="2">
        <v>45358.508668981478</v>
      </c>
      <c r="I2756" t="s">
        <v>2681</v>
      </c>
      <c r="Z2756">
        <v>77768</v>
      </c>
    </row>
    <row r="2757" spans="1:26" x14ac:dyDescent="0.25">
      <c r="A2757" t="s">
        <v>570</v>
      </c>
      <c r="C2757" t="s">
        <v>28</v>
      </c>
      <c r="E2757" t="s">
        <v>370</v>
      </c>
      <c r="H2757" s="2">
        <v>45358.444340277776</v>
      </c>
      <c r="I2757" t="s">
        <v>2674</v>
      </c>
      <c r="Z2757">
        <v>77759</v>
      </c>
    </row>
    <row r="2758" spans="1:26" x14ac:dyDescent="0.25">
      <c r="A2758" t="s">
        <v>3181</v>
      </c>
      <c r="B2758" t="s">
        <v>1708</v>
      </c>
      <c r="C2758" t="s">
        <v>28</v>
      </c>
      <c r="E2758" t="s">
        <v>186</v>
      </c>
      <c r="G2758" t="s">
        <v>3182</v>
      </c>
      <c r="H2758" s="2">
        <v>45357.790092592593</v>
      </c>
      <c r="I2758" t="s">
        <v>31</v>
      </c>
      <c r="Z2758">
        <v>77746</v>
      </c>
    </row>
    <row r="2759" spans="1:26" x14ac:dyDescent="0.25">
      <c r="A2759" t="s">
        <v>3183</v>
      </c>
      <c r="B2759" t="s">
        <v>27</v>
      </c>
      <c r="C2759" t="s">
        <v>28</v>
      </c>
      <c r="H2759" s="2">
        <v>45357.768275462964</v>
      </c>
      <c r="I2759" t="s">
        <v>2674</v>
      </c>
      <c r="Z2759">
        <v>77745</v>
      </c>
    </row>
    <row r="2760" spans="1:26" x14ac:dyDescent="0.25">
      <c r="A2760" t="s">
        <v>3184</v>
      </c>
      <c r="B2760" t="s">
        <v>27</v>
      </c>
      <c r="C2760" t="s">
        <v>28</v>
      </c>
      <c r="H2760" s="2">
        <v>45357.615949074076</v>
      </c>
      <c r="I2760" t="s">
        <v>556</v>
      </c>
      <c r="Z2760">
        <v>77726</v>
      </c>
    </row>
    <row r="2761" spans="1:26" x14ac:dyDescent="0.25">
      <c r="A2761" t="s">
        <v>3185</v>
      </c>
      <c r="B2761" t="s">
        <v>27</v>
      </c>
      <c r="C2761" t="s">
        <v>28</v>
      </c>
      <c r="E2761" t="s">
        <v>3186</v>
      </c>
      <c r="H2761" s="2">
        <v>45357.469351851854</v>
      </c>
      <c r="I2761" t="s">
        <v>2674</v>
      </c>
      <c r="Z2761">
        <v>77706</v>
      </c>
    </row>
    <row r="2762" spans="1:26" x14ac:dyDescent="0.25">
      <c r="A2762" t="s">
        <v>3187</v>
      </c>
      <c r="B2762" t="s">
        <v>27</v>
      </c>
      <c r="C2762" t="s">
        <v>28</v>
      </c>
      <c r="H2762" s="2">
        <v>45356.840567129628</v>
      </c>
      <c r="I2762" t="s">
        <v>556</v>
      </c>
      <c r="Z2762">
        <v>77681</v>
      </c>
    </row>
    <row r="2763" spans="1:26" x14ac:dyDescent="0.25">
      <c r="A2763" t="s">
        <v>3188</v>
      </c>
      <c r="B2763" t="s">
        <v>1708</v>
      </c>
      <c r="C2763" t="s">
        <v>28</v>
      </c>
      <c r="E2763" t="s">
        <v>3189</v>
      </c>
      <c r="H2763" s="2">
        <v>45356.724108796298</v>
      </c>
      <c r="I2763" t="s">
        <v>31</v>
      </c>
      <c r="Z2763">
        <v>77672</v>
      </c>
    </row>
    <row r="2764" spans="1:26" x14ac:dyDescent="0.25">
      <c r="A2764" t="s">
        <v>3190</v>
      </c>
      <c r="B2764" t="s">
        <v>27</v>
      </c>
      <c r="C2764" t="s">
        <v>185</v>
      </c>
      <c r="H2764" s="2">
        <v>45356.698842592596</v>
      </c>
      <c r="I2764" t="s">
        <v>1488</v>
      </c>
      <c r="Z2764">
        <v>77669</v>
      </c>
    </row>
    <row r="2765" spans="1:26" x14ac:dyDescent="0.25">
      <c r="A2765" t="s">
        <v>3191</v>
      </c>
      <c r="B2765" t="s">
        <v>27</v>
      </c>
      <c r="C2765" t="s">
        <v>28</v>
      </c>
      <c r="H2765" s="2">
        <v>45356.633900462963</v>
      </c>
      <c r="I2765" t="s">
        <v>556</v>
      </c>
      <c r="Z2765">
        <v>77666</v>
      </c>
    </row>
    <row r="2766" spans="1:26" x14ac:dyDescent="0.25">
      <c r="A2766" t="s">
        <v>3192</v>
      </c>
      <c r="B2766" t="s">
        <v>27</v>
      </c>
      <c r="C2766" t="s">
        <v>28</v>
      </c>
      <c r="H2766" s="2">
        <v>45356.596284722225</v>
      </c>
      <c r="I2766" t="s">
        <v>31</v>
      </c>
      <c r="Z2766">
        <v>77660</v>
      </c>
    </row>
    <row r="2767" spans="1:26" x14ac:dyDescent="0.25">
      <c r="A2767" t="s">
        <v>3193</v>
      </c>
      <c r="B2767" t="s">
        <v>27</v>
      </c>
      <c r="C2767" t="s">
        <v>28</v>
      </c>
      <c r="H2767" s="2">
        <v>45356.466516203705</v>
      </c>
      <c r="I2767" t="s">
        <v>31</v>
      </c>
      <c r="Z2767">
        <v>77643</v>
      </c>
    </row>
    <row r="2768" spans="1:26" x14ac:dyDescent="0.25">
      <c r="A2768" t="s">
        <v>1793</v>
      </c>
      <c r="B2768" t="s">
        <v>27</v>
      </c>
      <c r="C2768" t="s">
        <v>28</v>
      </c>
      <c r="H2768" s="2">
        <v>45356.368460648147</v>
      </c>
      <c r="I2768" t="s">
        <v>556</v>
      </c>
      <c r="Z2768">
        <v>77634</v>
      </c>
    </row>
    <row r="2769" spans="1:26" x14ac:dyDescent="0.25">
      <c r="A2769" t="s">
        <v>3194</v>
      </c>
      <c r="B2769" t="s">
        <v>1403</v>
      </c>
      <c r="C2769" t="s">
        <v>28</v>
      </c>
      <c r="E2769" t="s">
        <v>3195</v>
      </c>
      <c r="H2769" s="2">
        <v>45355.858935185184</v>
      </c>
      <c r="I2769" t="s">
        <v>1488</v>
      </c>
      <c r="Z2769">
        <v>77632</v>
      </c>
    </row>
    <row r="2770" spans="1:26" x14ac:dyDescent="0.25">
      <c r="A2770" t="s">
        <v>3196</v>
      </c>
      <c r="B2770" t="s">
        <v>1708</v>
      </c>
      <c r="C2770" t="s">
        <v>28</v>
      </c>
      <c r="E2770" t="s">
        <v>3197</v>
      </c>
      <c r="H2770" s="2">
        <v>45355.844814814816</v>
      </c>
      <c r="I2770" t="s">
        <v>556</v>
      </c>
      <c r="Z2770">
        <v>77630</v>
      </c>
    </row>
    <row r="2771" spans="1:26" x14ac:dyDescent="0.25">
      <c r="A2771" t="s">
        <v>3198</v>
      </c>
      <c r="B2771" t="s">
        <v>1403</v>
      </c>
      <c r="C2771" t="s">
        <v>28</v>
      </c>
      <c r="E2771" t="s">
        <v>198</v>
      </c>
      <c r="H2771" s="2">
        <v>45355.708136574074</v>
      </c>
      <c r="I2771" t="s">
        <v>31</v>
      </c>
      <c r="Z2771">
        <v>77615</v>
      </c>
    </row>
    <row r="2772" spans="1:26" x14ac:dyDescent="0.25">
      <c r="A2772" t="s">
        <v>3199</v>
      </c>
      <c r="B2772" t="s">
        <v>27</v>
      </c>
      <c r="C2772" t="s">
        <v>28</v>
      </c>
      <c r="H2772" s="2">
        <v>45355.591585648152</v>
      </c>
      <c r="I2772" t="s">
        <v>556</v>
      </c>
      <c r="Z2772">
        <v>77600</v>
      </c>
    </row>
    <row r="2773" spans="1:26" x14ac:dyDescent="0.25">
      <c r="A2773" t="s">
        <v>3200</v>
      </c>
      <c r="B2773" t="s">
        <v>27</v>
      </c>
      <c r="C2773" t="s">
        <v>28</v>
      </c>
      <c r="H2773" s="2">
        <v>45355.590474537035</v>
      </c>
      <c r="I2773" t="s">
        <v>1488</v>
      </c>
      <c r="Z2773">
        <v>77599</v>
      </c>
    </row>
    <row r="2774" spans="1:26" x14ac:dyDescent="0.25">
      <c r="A2774" t="s">
        <v>3201</v>
      </c>
      <c r="B2774" t="s">
        <v>27</v>
      </c>
      <c r="C2774" t="s">
        <v>28</v>
      </c>
      <c r="H2774" s="2">
        <v>45355.429409722223</v>
      </c>
      <c r="I2774" t="s">
        <v>556</v>
      </c>
      <c r="Z2774">
        <v>77576</v>
      </c>
    </row>
    <row r="2775" spans="1:26" x14ac:dyDescent="0.25">
      <c r="A2775" t="s">
        <v>3202</v>
      </c>
      <c r="B2775" t="s">
        <v>74</v>
      </c>
      <c r="C2775" t="s">
        <v>28</v>
      </c>
      <c r="E2775" t="s">
        <v>1235</v>
      </c>
      <c r="G2775" t="s">
        <v>3203</v>
      </c>
      <c r="H2775" s="2">
        <v>45355.031099537038</v>
      </c>
      <c r="I2775" t="s">
        <v>556</v>
      </c>
      <c r="Z2775">
        <v>77566</v>
      </c>
    </row>
    <row r="2776" spans="1:26" x14ac:dyDescent="0.25">
      <c r="A2776" t="s">
        <v>3204</v>
      </c>
      <c r="B2776" t="s">
        <v>27</v>
      </c>
      <c r="C2776" t="s">
        <v>333</v>
      </c>
      <c r="H2776" s="2">
        <v>45353.465497685182</v>
      </c>
      <c r="I2776" t="s">
        <v>31</v>
      </c>
      <c r="Z2776">
        <v>77464</v>
      </c>
    </row>
    <row r="2777" spans="1:26" x14ac:dyDescent="0.25">
      <c r="A2777" t="s">
        <v>1992</v>
      </c>
      <c r="B2777" t="s">
        <v>1708</v>
      </c>
      <c r="C2777" t="s">
        <v>28</v>
      </c>
      <c r="E2777" t="s">
        <v>3205</v>
      </c>
      <c r="H2777" s="2">
        <v>45352.75372685185</v>
      </c>
      <c r="I2777" t="s">
        <v>2681</v>
      </c>
      <c r="Z2777">
        <v>77439</v>
      </c>
    </row>
    <row r="2778" spans="1:26" x14ac:dyDescent="0.25">
      <c r="A2778" t="s">
        <v>3206</v>
      </c>
      <c r="B2778" t="s">
        <v>1403</v>
      </c>
      <c r="C2778" t="s">
        <v>28</v>
      </c>
      <c r="E2778" t="s">
        <v>3207</v>
      </c>
      <c r="H2778" s="2">
        <v>45352.737893518519</v>
      </c>
      <c r="I2778" t="s">
        <v>2681</v>
      </c>
      <c r="Z2778">
        <v>77437</v>
      </c>
    </row>
    <row r="2779" spans="1:26" x14ac:dyDescent="0.25">
      <c r="A2779" t="s">
        <v>3208</v>
      </c>
      <c r="B2779" t="s">
        <v>27</v>
      </c>
      <c r="C2779" t="s">
        <v>28</v>
      </c>
      <c r="H2779" s="2">
        <v>45352.677442129629</v>
      </c>
      <c r="I2779" t="s">
        <v>31</v>
      </c>
      <c r="Z2779">
        <v>77429</v>
      </c>
    </row>
    <row r="2780" spans="1:26" x14ac:dyDescent="0.25">
      <c r="A2780" t="s">
        <v>3209</v>
      </c>
      <c r="B2780" t="s">
        <v>74</v>
      </c>
      <c r="C2780" t="s">
        <v>28</v>
      </c>
      <c r="E2780" t="s">
        <v>198</v>
      </c>
      <c r="G2780" t="s">
        <v>3210</v>
      </c>
      <c r="H2780" s="2">
        <v>45352.604201388887</v>
      </c>
      <c r="I2780" t="s">
        <v>2681</v>
      </c>
      <c r="Z2780">
        <v>77422</v>
      </c>
    </row>
    <row r="2781" spans="1:26" x14ac:dyDescent="0.25">
      <c r="A2781" t="s">
        <v>3211</v>
      </c>
      <c r="B2781" t="s">
        <v>27</v>
      </c>
      <c r="C2781" t="s">
        <v>28</v>
      </c>
      <c r="H2781" s="2">
        <v>45351.652557870373</v>
      </c>
      <c r="I2781" t="s">
        <v>31</v>
      </c>
      <c r="Z2781">
        <v>77357</v>
      </c>
    </row>
    <row r="2782" spans="1:26" x14ac:dyDescent="0.25">
      <c r="A2782" t="s">
        <v>3212</v>
      </c>
      <c r="B2782" t="s">
        <v>27</v>
      </c>
      <c r="C2782" t="s">
        <v>28</v>
      </c>
      <c r="H2782" s="2">
        <v>45350.793900462966</v>
      </c>
      <c r="I2782" t="s">
        <v>1488</v>
      </c>
      <c r="Z2782">
        <v>77314</v>
      </c>
    </row>
    <row r="2783" spans="1:26" x14ac:dyDescent="0.25">
      <c r="A2783" t="s">
        <v>3213</v>
      </c>
      <c r="B2783" t="s">
        <v>27</v>
      </c>
      <c r="C2783" t="s">
        <v>28</v>
      </c>
      <c r="H2783" s="2">
        <v>45350.565879629627</v>
      </c>
      <c r="I2783" t="s">
        <v>1488</v>
      </c>
      <c r="Z2783">
        <v>77278</v>
      </c>
    </row>
    <row r="2784" spans="1:26" x14ac:dyDescent="0.25">
      <c r="A2784" t="s">
        <v>3214</v>
      </c>
      <c r="B2784" t="s">
        <v>1403</v>
      </c>
      <c r="C2784" t="s">
        <v>28</v>
      </c>
      <c r="E2784" t="s">
        <v>427</v>
      </c>
      <c r="G2784" t="s">
        <v>3215</v>
      </c>
      <c r="H2784" s="2">
        <v>45350.505972222221</v>
      </c>
      <c r="I2784" t="s">
        <v>1488</v>
      </c>
      <c r="Z2784">
        <v>77269</v>
      </c>
    </row>
    <row r="2785" spans="1:26" x14ac:dyDescent="0.25">
      <c r="A2785" t="s">
        <v>3216</v>
      </c>
      <c r="B2785" t="s">
        <v>27</v>
      </c>
      <c r="C2785" t="s">
        <v>28</v>
      </c>
      <c r="H2785" s="2">
        <v>45350.435219907406</v>
      </c>
      <c r="I2785" t="s">
        <v>31</v>
      </c>
      <c r="Z2785">
        <v>77257</v>
      </c>
    </row>
    <row r="2786" spans="1:26" x14ac:dyDescent="0.25">
      <c r="A2786" t="s">
        <v>606</v>
      </c>
      <c r="B2786" t="s">
        <v>306</v>
      </c>
      <c r="C2786" t="s">
        <v>333</v>
      </c>
      <c r="E2786" t="s">
        <v>388</v>
      </c>
      <c r="H2786" s="2">
        <v>45349.889479166668</v>
      </c>
      <c r="I2786" t="s">
        <v>556</v>
      </c>
      <c r="Z2786">
        <v>77245</v>
      </c>
    </row>
    <row r="2787" spans="1:26" x14ac:dyDescent="0.25">
      <c r="A2787" t="s">
        <v>3217</v>
      </c>
      <c r="B2787" t="s">
        <v>1708</v>
      </c>
      <c r="C2787" t="s">
        <v>28</v>
      </c>
      <c r="E2787" t="s">
        <v>2329</v>
      </c>
      <c r="H2787" s="2">
        <v>45349.803206018521</v>
      </c>
      <c r="I2787" t="s">
        <v>31</v>
      </c>
      <c r="Z2787">
        <v>77242</v>
      </c>
    </row>
    <row r="2788" spans="1:26" x14ac:dyDescent="0.25">
      <c r="A2788" t="s">
        <v>3218</v>
      </c>
      <c r="B2788" t="s">
        <v>27</v>
      </c>
      <c r="C2788" t="s">
        <v>28</v>
      </c>
      <c r="H2788" s="2">
        <v>45349.764317129629</v>
      </c>
      <c r="I2788" t="s">
        <v>1488</v>
      </c>
      <c r="Z2788">
        <v>77236</v>
      </c>
    </row>
    <row r="2789" spans="1:26" x14ac:dyDescent="0.25">
      <c r="A2789" t="s">
        <v>3219</v>
      </c>
      <c r="B2789" t="s">
        <v>27</v>
      </c>
      <c r="C2789" t="s">
        <v>28</v>
      </c>
      <c r="H2789" s="2">
        <v>45349.69425925926</v>
      </c>
      <c r="I2789" t="s">
        <v>31</v>
      </c>
      <c r="Z2789">
        <v>77224</v>
      </c>
    </row>
    <row r="2790" spans="1:26" x14ac:dyDescent="0.25">
      <c r="A2790" t="s">
        <v>3220</v>
      </c>
      <c r="B2790" t="s">
        <v>27</v>
      </c>
      <c r="C2790" t="s">
        <v>28</v>
      </c>
      <c r="H2790" s="2">
        <v>45349.640081018515</v>
      </c>
      <c r="I2790" t="s">
        <v>1488</v>
      </c>
      <c r="Z2790">
        <v>77217</v>
      </c>
    </row>
    <row r="2791" spans="1:26" x14ac:dyDescent="0.25">
      <c r="A2791" t="s">
        <v>3221</v>
      </c>
      <c r="B2791" t="s">
        <v>27</v>
      </c>
      <c r="C2791" t="s">
        <v>28</v>
      </c>
      <c r="H2791" s="2">
        <v>45349.632847222223</v>
      </c>
      <c r="I2791" t="s">
        <v>31</v>
      </c>
      <c r="Z2791">
        <v>77215</v>
      </c>
    </row>
    <row r="2792" spans="1:26" x14ac:dyDescent="0.25">
      <c r="A2792" t="s">
        <v>1992</v>
      </c>
      <c r="B2792" t="s">
        <v>1708</v>
      </c>
      <c r="C2792" t="s">
        <v>28</v>
      </c>
      <c r="E2792" t="s">
        <v>370</v>
      </c>
      <c r="H2792" s="2">
        <v>45349.534456018519</v>
      </c>
      <c r="I2792" t="s">
        <v>1488</v>
      </c>
      <c r="Z2792">
        <v>77192</v>
      </c>
    </row>
    <row r="2793" spans="1:26" x14ac:dyDescent="0.25">
      <c r="A2793" t="s">
        <v>3222</v>
      </c>
      <c r="B2793" t="s">
        <v>27</v>
      </c>
      <c r="C2793" t="s">
        <v>28</v>
      </c>
      <c r="H2793" s="2">
        <v>45349.431585648148</v>
      </c>
      <c r="I2793" t="s">
        <v>1488</v>
      </c>
      <c r="Z2793">
        <v>77181</v>
      </c>
    </row>
    <row r="2794" spans="1:26" x14ac:dyDescent="0.25">
      <c r="A2794" t="s">
        <v>3223</v>
      </c>
      <c r="B2794" t="s">
        <v>27</v>
      </c>
      <c r="C2794" t="s">
        <v>28</v>
      </c>
      <c r="E2794" t="s">
        <v>3223</v>
      </c>
      <c r="H2794" s="2">
        <v>45349.406909722224</v>
      </c>
      <c r="I2794" t="s">
        <v>31</v>
      </c>
      <c r="Z2794">
        <v>77174</v>
      </c>
    </row>
    <row r="2795" spans="1:26" x14ac:dyDescent="0.25">
      <c r="A2795" t="s">
        <v>3224</v>
      </c>
      <c r="B2795" t="s">
        <v>27</v>
      </c>
      <c r="C2795" t="s">
        <v>28</v>
      </c>
      <c r="H2795" s="2">
        <v>45349.393067129633</v>
      </c>
      <c r="I2795" t="s">
        <v>31</v>
      </c>
      <c r="Z2795">
        <v>77172</v>
      </c>
    </row>
    <row r="2796" spans="1:26" x14ac:dyDescent="0.25">
      <c r="A2796" t="s">
        <v>3225</v>
      </c>
      <c r="B2796" t="s">
        <v>27</v>
      </c>
      <c r="C2796" t="s">
        <v>28</v>
      </c>
      <c r="H2796" s="2">
        <v>45348.47923611111</v>
      </c>
      <c r="I2796" t="s">
        <v>1488</v>
      </c>
      <c r="Z2796">
        <v>77117</v>
      </c>
    </row>
    <row r="2797" spans="1:26" x14ac:dyDescent="0.25">
      <c r="A2797" t="s">
        <v>2034</v>
      </c>
      <c r="B2797" t="s">
        <v>27</v>
      </c>
      <c r="C2797" t="s">
        <v>28</v>
      </c>
      <c r="H2797" s="2">
        <v>45348.451388888891</v>
      </c>
      <c r="I2797" t="s">
        <v>1488</v>
      </c>
      <c r="Z2797">
        <v>77110</v>
      </c>
    </row>
    <row r="2798" spans="1:26" x14ac:dyDescent="0.25">
      <c r="A2798" t="s">
        <v>3226</v>
      </c>
      <c r="B2798" t="s">
        <v>27</v>
      </c>
      <c r="C2798" t="s">
        <v>28</v>
      </c>
      <c r="E2798" t="s">
        <v>3227</v>
      </c>
      <c r="H2798" s="2">
        <v>45347.534432870372</v>
      </c>
      <c r="I2798" t="s">
        <v>2681</v>
      </c>
      <c r="Z2798">
        <v>77058</v>
      </c>
    </row>
    <row r="2799" spans="1:26" x14ac:dyDescent="0.25">
      <c r="A2799" t="s">
        <v>3228</v>
      </c>
      <c r="B2799" t="s">
        <v>27</v>
      </c>
      <c r="C2799" t="s">
        <v>28</v>
      </c>
      <c r="H2799" s="2">
        <v>45347.517939814818</v>
      </c>
      <c r="I2799" t="s">
        <v>2681</v>
      </c>
      <c r="Z2799">
        <v>77054</v>
      </c>
    </row>
    <row r="2800" spans="1:26" x14ac:dyDescent="0.25">
      <c r="A2800" t="s">
        <v>3229</v>
      </c>
      <c r="B2800" t="s">
        <v>27</v>
      </c>
      <c r="C2800" t="s">
        <v>28</v>
      </c>
      <c r="H2800" s="2">
        <v>45347.442048611112</v>
      </c>
      <c r="I2800" t="s">
        <v>3230</v>
      </c>
      <c r="Z2800">
        <v>77044</v>
      </c>
    </row>
    <row r="2801" spans="1:26" x14ac:dyDescent="0.25">
      <c r="A2801" t="s">
        <v>3231</v>
      </c>
      <c r="B2801" t="s">
        <v>27</v>
      </c>
      <c r="C2801" t="s">
        <v>28</v>
      </c>
      <c r="E2801" t="s">
        <v>3231</v>
      </c>
      <c r="H2801" s="2">
        <v>45346.417812500003</v>
      </c>
      <c r="I2801" t="s">
        <v>2674</v>
      </c>
      <c r="Z2801">
        <v>77003</v>
      </c>
    </row>
    <row r="2802" spans="1:26" x14ac:dyDescent="0.25">
      <c r="A2802" t="s">
        <v>3232</v>
      </c>
      <c r="B2802" t="s">
        <v>74</v>
      </c>
      <c r="C2802" t="s">
        <v>28</v>
      </c>
      <c r="E2802" t="s">
        <v>61</v>
      </c>
      <c r="G2802" t="s">
        <v>3233</v>
      </c>
      <c r="H2802" s="2">
        <v>45346.35560185185</v>
      </c>
      <c r="I2802" t="s">
        <v>2681</v>
      </c>
      <c r="Z2802">
        <v>77001</v>
      </c>
    </row>
    <row r="2803" spans="1:26" x14ac:dyDescent="0.25">
      <c r="A2803" t="s">
        <v>3234</v>
      </c>
      <c r="B2803" t="s">
        <v>27</v>
      </c>
      <c r="C2803" t="s">
        <v>28</v>
      </c>
      <c r="H2803" s="2">
        <v>45345.720752314817</v>
      </c>
      <c r="I2803" t="s">
        <v>2674</v>
      </c>
      <c r="Z2803">
        <v>76984</v>
      </c>
    </row>
    <row r="2804" spans="1:26" x14ac:dyDescent="0.25">
      <c r="A2804" t="s">
        <v>3235</v>
      </c>
      <c r="B2804" t="s">
        <v>27</v>
      </c>
      <c r="C2804" t="s">
        <v>28</v>
      </c>
      <c r="H2804" s="2">
        <v>45345.671226851853</v>
      </c>
      <c r="I2804" t="s">
        <v>31</v>
      </c>
      <c r="Z2804">
        <v>76981</v>
      </c>
    </row>
    <row r="2805" spans="1:26" x14ac:dyDescent="0.25">
      <c r="A2805" t="s">
        <v>3236</v>
      </c>
      <c r="B2805" t="s">
        <v>27</v>
      </c>
      <c r="C2805" t="s">
        <v>28</v>
      </c>
      <c r="H2805" s="2">
        <v>45345.501620370371</v>
      </c>
      <c r="I2805" t="s">
        <v>556</v>
      </c>
      <c r="Z2805">
        <v>76954</v>
      </c>
    </row>
    <row r="2806" spans="1:26" x14ac:dyDescent="0.25">
      <c r="A2806" t="s">
        <v>3237</v>
      </c>
      <c r="B2806" t="s">
        <v>1708</v>
      </c>
      <c r="C2806" t="s">
        <v>28</v>
      </c>
      <c r="E2806" t="s">
        <v>3238</v>
      </c>
      <c r="H2806" s="2">
        <v>45344.788807870369</v>
      </c>
      <c r="I2806" t="s">
        <v>1488</v>
      </c>
      <c r="Z2806">
        <v>76936</v>
      </c>
    </row>
    <row r="2807" spans="1:26" x14ac:dyDescent="0.25">
      <c r="A2807" t="s">
        <v>3239</v>
      </c>
      <c r="B2807" t="s">
        <v>27</v>
      </c>
      <c r="C2807" t="s">
        <v>28</v>
      </c>
      <c r="H2807" s="2">
        <v>45344.701956018522</v>
      </c>
      <c r="I2807" t="s">
        <v>1488</v>
      </c>
      <c r="Z2807">
        <v>76926</v>
      </c>
    </row>
    <row r="2808" spans="1:26" x14ac:dyDescent="0.25">
      <c r="A2808" t="s">
        <v>3240</v>
      </c>
      <c r="B2808" t="s">
        <v>27</v>
      </c>
      <c r="C2808" t="s">
        <v>28</v>
      </c>
      <c r="H2808" s="2">
        <v>45344.594155092593</v>
      </c>
      <c r="I2808" t="s">
        <v>1488</v>
      </c>
      <c r="Z2808">
        <v>76910</v>
      </c>
    </row>
    <row r="2809" spans="1:26" x14ac:dyDescent="0.25">
      <c r="A2809" t="s">
        <v>3241</v>
      </c>
      <c r="B2809" t="s">
        <v>27</v>
      </c>
      <c r="C2809" t="s">
        <v>28</v>
      </c>
      <c r="H2809" s="2">
        <v>45344.553460648145</v>
      </c>
      <c r="I2809" t="s">
        <v>3230</v>
      </c>
      <c r="Z2809">
        <v>76901</v>
      </c>
    </row>
    <row r="2810" spans="1:26" x14ac:dyDescent="0.25">
      <c r="A2810" t="s">
        <v>3242</v>
      </c>
      <c r="B2810" t="s">
        <v>27</v>
      </c>
      <c r="C2810" t="s">
        <v>28</v>
      </c>
      <c r="H2810" s="2">
        <v>45343.710011574076</v>
      </c>
      <c r="I2810" t="s">
        <v>1488</v>
      </c>
      <c r="Z2810">
        <v>76867</v>
      </c>
    </row>
    <row r="2811" spans="1:26" x14ac:dyDescent="0.25">
      <c r="A2811" t="s">
        <v>3243</v>
      </c>
      <c r="B2811" t="s">
        <v>74</v>
      </c>
      <c r="C2811" t="s">
        <v>28</v>
      </c>
      <c r="E2811" t="s">
        <v>3244</v>
      </c>
      <c r="G2811" t="s">
        <v>3245</v>
      </c>
      <c r="H2811" s="2">
        <v>45343.51421296296</v>
      </c>
      <c r="I2811" t="s">
        <v>1488</v>
      </c>
      <c r="Z2811">
        <v>76833</v>
      </c>
    </row>
    <row r="2812" spans="1:26" x14ac:dyDescent="0.25">
      <c r="A2812" t="s">
        <v>2091</v>
      </c>
      <c r="B2812" t="s">
        <v>27</v>
      </c>
      <c r="C2812" t="s">
        <v>28</v>
      </c>
      <c r="H2812" s="2">
        <v>45343.50953703704</v>
      </c>
      <c r="I2812" t="s">
        <v>556</v>
      </c>
      <c r="Z2812">
        <v>76832</v>
      </c>
    </row>
    <row r="2813" spans="1:26" x14ac:dyDescent="0.25">
      <c r="A2813" t="s">
        <v>3246</v>
      </c>
      <c r="B2813" t="s">
        <v>27</v>
      </c>
      <c r="C2813" t="s">
        <v>28</v>
      </c>
      <c r="H2813" s="2">
        <v>45342.755358796298</v>
      </c>
      <c r="I2813" t="s">
        <v>31</v>
      </c>
      <c r="Z2813">
        <v>76793</v>
      </c>
    </row>
    <row r="2814" spans="1:26" x14ac:dyDescent="0.25">
      <c r="A2814" t="s">
        <v>2772</v>
      </c>
      <c r="B2814" t="s">
        <v>27</v>
      </c>
      <c r="C2814" t="s">
        <v>28</v>
      </c>
      <c r="H2814" s="2">
        <v>45342.672835648147</v>
      </c>
      <c r="I2814" t="s">
        <v>1488</v>
      </c>
      <c r="Z2814">
        <v>76780</v>
      </c>
    </row>
    <row r="2815" spans="1:26" x14ac:dyDescent="0.25">
      <c r="A2815" t="s">
        <v>663</v>
      </c>
      <c r="C2815" t="s">
        <v>28</v>
      </c>
      <c r="E2815" t="s">
        <v>146</v>
      </c>
      <c r="H2815" s="2">
        <v>45342.609803240739</v>
      </c>
      <c r="I2815" t="s">
        <v>1488</v>
      </c>
      <c r="Z2815">
        <v>76775</v>
      </c>
    </row>
    <row r="2816" spans="1:26" x14ac:dyDescent="0.25">
      <c r="A2816" t="s">
        <v>3247</v>
      </c>
      <c r="B2816" t="s">
        <v>27</v>
      </c>
      <c r="C2816" t="s">
        <v>28</v>
      </c>
      <c r="H2816" s="2">
        <v>45342.517256944448</v>
      </c>
      <c r="I2816" t="s">
        <v>1488</v>
      </c>
      <c r="Z2816">
        <v>76758</v>
      </c>
    </row>
    <row r="2817" spans="1:26" x14ac:dyDescent="0.25">
      <c r="A2817" t="s">
        <v>3248</v>
      </c>
      <c r="B2817" t="s">
        <v>27</v>
      </c>
      <c r="C2817" t="s">
        <v>28</v>
      </c>
      <c r="H2817" s="2">
        <v>45342.504849537036</v>
      </c>
      <c r="I2817" t="s">
        <v>3230</v>
      </c>
      <c r="Z2817">
        <v>76756</v>
      </c>
    </row>
    <row r="2818" spans="1:26" x14ac:dyDescent="0.25">
      <c r="A2818" t="s">
        <v>3249</v>
      </c>
      <c r="B2818" t="s">
        <v>1403</v>
      </c>
      <c r="C2818" t="s">
        <v>28</v>
      </c>
      <c r="E2818" t="s">
        <v>3250</v>
      </c>
      <c r="H2818" s="2">
        <v>45342.480405092596</v>
      </c>
      <c r="I2818" t="s">
        <v>1488</v>
      </c>
      <c r="Z2818">
        <v>76752</v>
      </c>
    </row>
    <row r="2819" spans="1:26" x14ac:dyDescent="0.25">
      <c r="A2819" t="s">
        <v>3251</v>
      </c>
      <c r="B2819" t="s">
        <v>1708</v>
      </c>
      <c r="C2819" t="s">
        <v>28</v>
      </c>
      <c r="E2819" t="s">
        <v>72</v>
      </c>
      <c r="G2819" t="s">
        <v>3252</v>
      </c>
      <c r="H2819" s="2">
        <v>45342.420324074075</v>
      </c>
      <c r="I2819" t="s">
        <v>31</v>
      </c>
      <c r="Z2819">
        <v>76739</v>
      </c>
    </row>
    <row r="2820" spans="1:26" x14ac:dyDescent="0.25">
      <c r="A2820" t="s">
        <v>606</v>
      </c>
      <c r="B2820" t="s">
        <v>306</v>
      </c>
      <c r="C2820" t="s">
        <v>28</v>
      </c>
      <c r="E2820" t="s">
        <v>260</v>
      </c>
      <c r="H2820" s="2">
        <v>45341.910555555558</v>
      </c>
      <c r="I2820" t="s">
        <v>1488</v>
      </c>
      <c r="Z2820">
        <v>76732</v>
      </c>
    </row>
    <row r="2821" spans="1:26" x14ac:dyDescent="0.25">
      <c r="A2821" t="s">
        <v>3253</v>
      </c>
      <c r="B2821" t="s">
        <v>27</v>
      </c>
      <c r="C2821" t="s">
        <v>28</v>
      </c>
      <c r="H2821" s="2">
        <v>45340.854467592595</v>
      </c>
      <c r="I2821" t="s">
        <v>2674</v>
      </c>
      <c r="Z2821">
        <v>76674</v>
      </c>
    </row>
    <row r="2822" spans="1:26" x14ac:dyDescent="0.25">
      <c r="A2822" t="s">
        <v>3254</v>
      </c>
      <c r="B2822" t="s">
        <v>27</v>
      </c>
      <c r="C2822" t="s">
        <v>28</v>
      </c>
      <c r="H2822" s="2">
        <v>45340.741331018522</v>
      </c>
      <c r="I2822" t="s">
        <v>2674</v>
      </c>
      <c r="Z2822">
        <v>76665</v>
      </c>
    </row>
    <row r="2823" spans="1:26" x14ac:dyDescent="0.25">
      <c r="A2823" t="s">
        <v>3255</v>
      </c>
      <c r="B2823" t="s">
        <v>27</v>
      </c>
      <c r="C2823" t="s">
        <v>28</v>
      </c>
      <c r="H2823" s="2">
        <v>45340.692696759259</v>
      </c>
      <c r="I2823" t="s">
        <v>2674</v>
      </c>
      <c r="Z2823">
        <v>76660</v>
      </c>
    </row>
    <row r="2824" spans="1:26" x14ac:dyDescent="0.25">
      <c r="A2824" t="s">
        <v>3256</v>
      </c>
      <c r="B2824" t="s">
        <v>27</v>
      </c>
      <c r="C2824" t="s">
        <v>28</v>
      </c>
      <c r="H2824" s="2">
        <v>45340.600162037037</v>
      </c>
      <c r="I2824" t="s">
        <v>2674</v>
      </c>
      <c r="Z2824">
        <v>76651</v>
      </c>
    </row>
    <row r="2825" spans="1:26" x14ac:dyDescent="0.25">
      <c r="A2825" t="s">
        <v>3257</v>
      </c>
      <c r="B2825" t="s">
        <v>27</v>
      </c>
      <c r="C2825" t="s">
        <v>28</v>
      </c>
      <c r="H2825" s="2">
        <v>45339.513298611113</v>
      </c>
      <c r="I2825" t="s">
        <v>556</v>
      </c>
      <c r="Z2825">
        <v>76575</v>
      </c>
    </row>
    <row r="2826" spans="1:26" x14ac:dyDescent="0.25">
      <c r="A2826" t="s">
        <v>3258</v>
      </c>
      <c r="B2826" t="s">
        <v>27</v>
      </c>
      <c r="C2826" t="s">
        <v>28</v>
      </c>
      <c r="H2826" s="2">
        <v>45338.785000000003</v>
      </c>
      <c r="I2826" t="s">
        <v>1488</v>
      </c>
      <c r="Z2826">
        <v>76548</v>
      </c>
    </row>
    <row r="2827" spans="1:26" x14ac:dyDescent="0.25">
      <c r="A2827" t="s">
        <v>1926</v>
      </c>
      <c r="B2827" t="s">
        <v>27</v>
      </c>
      <c r="C2827" t="s">
        <v>28</v>
      </c>
      <c r="H2827" s="2">
        <v>45338.489814814813</v>
      </c>
      <c r="I2827" t="s">
        <v>1488</v>
      </c>
      <c r="Z2827">
        <v>76516</v>
      </c>
    </row>
    <row r="2828" spans="1:26" x14ac:dyDescent="0.25">
      <c r="A2828" t="s">
        <v>3259</v>
      </c>
      <c r="B2828" t="s">
        <v>27</v>
      </c>
      <c r="C2828" t="s">
        <v>28</v>
      </c>
      <c r="H2828" s="2">
        <v>45338.485798611109</v>
      </c>
      <c r="I2828" t="s">
        <v>31</v>
      </c>
      <c r="Z2828">
        <v>76514</v>
      </c>
    </row>
    <row r="2829" spans="1:26" x14ac:dyDescent="0.25">
      <c r="A2829" t="s">
        <v>3260</v>
      </c>
      <c r="B2829" t="s">
        <v>27</v>
      </c>
      <c r="C2829" t="s">
        <v>28</v>
      </c>
      <c r="H2829" s="2">
        <v>45337.771990740737</v>
      </c>
      <c r="I2829" t="s">
        <v>1488</v>
      </c>
      <c r="Z2829">
        <v>76482</v>
      </c>
    </row>
    <row r="2830" spans="1:26" x14ac:dyDescent="0.25">
      <c r="A2830" t="s">
        <v>3261</v>
      </c>
      <c r="B2830" t="s">
        <v>27</v>
      </c>
      <c r="C2830" t="s">
        <v>28</v>
      </c>
      <c r="E2830" t="s">
        <v>3262</v>
      </c>
      <c r="H2830" s="2">
        <v>45337.68109953704</v>
      </c>
      <c r="I2830" t="s">
        <v>31</v>
      </c>
      <c r="Z2830">
        <v>76474</v>
      </c>
    </row>
    <row r="2831" spans="1:26" x14ac:dyDescent="0.25">
      <c r="A2831" t="s">
        <v>3263</v>
      </c>
      <c r="B2831" t="s">
        <v>27</v>
      </c>
      <c r="C2831" t="s">
        <v>28</v>
      </c>
      <c r="H2831" s="2">
        <v>45337.608807870369</v>
      </c>
      <c r="I2831" t="s">
        <v>31</v>
      </c>
      <c r="Z2831">
        <v>76462</v>
      </c>
    </row>
    <row r="2832" spans="1:26" x14ac:dyDescent="0.25">
      <c r="A2832" t="s">
        <v>3264</v>
      </c>
      <c r="B2832" t="s">
        <v>27</v>
      </c>
      <c r="C2832" t="s">
        <v>28</v>
      </c>
      <c r="H2832" s="2">
        <v>45337.431319444448</v>
      </c>
      <c r="I2832" t="s">
        <v>1488</v>
      </c>
      <c r="Z2832">
        <v>76432</v>
      </c>
    </row>
    <row r="2833" spans="1:26" x14ac:dyDescent="0.25">
      <c r="A2833" t="s">
        <v>3265</v>
      </c>
      <c r="B2833" t="s">
        <v>27</v>
      </c>
      <c r="C2833" t="s">
        <v>28</v>
      </c>
      <c r="H2833" s="2">
        <v>45337.42895833333</v>
      </c>
      <c r="I2833" t="s">
        <v>1488</v>
      </c>
      <c r="Z2833">
        <v>76430</v>
      </c>
    </row>
    <row r="2834" spans="1:26" x14ac:dyDescent="0.25">
      <c r="A2834" t="s">
        <v>3266</v>
      </c>
      <c r="B2834" t="s">
        <v>74</v>
      </c>
      <c r="C2834" t="s">
        <v>28</v>
      </c>
      <c r="E2834" t="s">
        <v>3267</v>
      </c>
      <c r="G2834" t="s">
        <v>3268</v>
      </c>
      <c r="H2834" s="2">
        <v>45336.860810185186</v>
      </c>
      <c r="I2834" t="s">
        <v>1488</v>
      </c>
      <c r="Z2834">
        <v>76417</v>
      </c>
    </row>
    <row r="2835" spans="1:26" x14ac:dyDescent="0.25">
      <c r="A2835" t="s">
        <v>3269</v>
      </c>
      <c r="B2835" t="s">
        <v>27</v>
      </c>
      <c r="C2835" t="s">
        <v>28</v>
      </c>
      <c r="H2835" s="2">
        <v>45336.744699074072</v>
      </c>
      <c r="I2835" t="s">
        <v>1488</v>
      </c>
      <c r="Z2835">
        <v>76412</v>
      </c>
    </row>
    <row r="2836" spans="1:26" x14ac:dyDescent="0.25">
      <c r="A2836" t="s">
        <v>3270</v>
      </c>
      <c r="B2836" t="s">
        <v>27</v>
      </c>
      <c r="C2836" t="s">
        <v>28</v>
      </c>
      <c r="H2836" s="2">
        <v>45336.74287037037</v>
      </c>
      <c r="I2836" t="s">
        <v>31</v>
      </c>
      <c r="Z2836">
        <v>76410</v>
      </c>
    </row>
    <row r="2837" spans="1:26" x14ac:dyDescent="0.25">
      <c r="A2837" t="s">
        <v>3271</v>
      </c>
      <c r="B2837" t="s">
        <v>27</v>
      </c>
      <c r="C2837" t="s">
        <v>28</v>
      </c>
      <c r="H2837" s="2">
        <v>45336.626840277779</v>
      </c>
      <c r="I2837" t="s">
        <v>1488</v>
      </c>
      <c r="Z2837">
        <v>76396</v>
      </c>
    </row>
    <row r="2838" spans="1:26" x14ac:dyDescent="0.25">
      <c r="A2838" t="s">
        <v>3272</v>
      </c>
      <c r="B2838" t="s">
        <v>27</v>
      </c>
      <c r="C2838" t="s">
        <v>28</v>
      </c>
      <c r="H2838" s="2">
        <v>45336.605104166665</v>
      </c>
      <c r="I2838" t="s">
        <v>31</v>
      </c>
      <c r="Z2838">
        <v>76391</v>
      </c>
    </row>
    <row r="2839" spans="1:26" x14ac:dyDescent="0.25">
      <c r="A2839" t="s">
        <v>2813</v>
      </c>
      <c r="B2839" t="s">
        <v>1708</v>
      </c>
      <c r="C2839" t="s">
        <v>28</v>
      </c>
      <c r="E2839" t="s">
        <v>59</v>
      </c>
      <c r="H2839" s="2">
        <v>45336.429537037038</v>
      </c>
      <c r="I2839" t="s">
        <v>1488</v>
      </c>
      <c r="Z2839">
        <v>76369</v>
      </c>
    </row>
    <row r="2840" spans="1:26" x14ac:dyDescent="0.25">
      <c r="A2840" t="s">
        <v>3273</v>
      </c>
      <c r="B2840" t="s">
        <v>74</v>
      </c>
      <c r="C2840" t="s">
        <v>28</v>
      </c>
      <c r="E2840" t="s">
        <v>3274</v>
      </c>
      <c r="G2840" t="s">
        <v>3275</v>
      </c>
      <c r="H2840" s="2">
        <v>45335.747847222221</v>
      </c>
      <c r="I2840" t="s">
        <v>31</v>
      </c>
      <c r="Z2840">
        <v>76347</v>
      </c>
    </row>
    <row r="2841" spans="1:26" x14ac:dyDescent="0.25">
      <c r="A2841" t="s">
        <v>3276</v>
      </c>
      <c r="B2841" t="s">
        <v>27</v>
      </c>
      <c r="C2841" t="s">
        <v>28</v>
      </c>
      <c r="H2841" s="2">
        <v>45334.717719907407</v>
      </c>
      <c r="I2841" t="s">
        <v>31</v>
      </c>
      <c r="Z2841">
        <v>76302</v>
      </c>
    </row>
    <row r="2842" spans="1:26" x14ac:dyDescent="0.25">
      <c r="A2842" t="s">
        <v>663</v>
      </c>
      <c r="C2842" t="s">
        <v>185</v>
      </c>
      <c r="E2842" t="s">
        <v>3277</v>
      </c>
      <c r="H2842" s="2">
        <v>45334.660763888889</v>
      </c>
      <c r="I2842" t="s">
        <v>2681</v>
      </c>
      <c r="Z2842">
        <v>76296</v>
      </c>
    </row>
    <row r="2843" spans="1:26" x14ac:dyDescent="0.25">
      <c r="A2843" t="s">
        <v>3278</v>
      </c>
      <c r="B2843" t="s">
        <v>27</v>
      </c>
      <c r="C2843" t="s">
        <v>28</v>
      </c>
      <c r="H2843" s="2">
        <v>45334.537002314813</v>
      </c>
      <c r="I2843" t="s">
        <v>2001</v>
      </c>
      <c r="Z2843">
        <v>76283</v>
      </c>
    </row>
    <row r="2844" spans="1:26" x14ac:dyDescent="0.25">
      <c r="A2844" t="s">
        <v>3279</v>
      </c>
      <c r="B2844" t="s">
        <v>27</v>
      </c>
      <c r="C2844" t="s">
        <v>28</v>
      </c>
      <c r="H2844" s="2">
        <v>45333.456145833334</v>
      </c>
      <c r="I2844" t="s">
        <v>2674</v>
      </c>
      <c r="Z2844">
        <v>76171</v>
      </c>
    </row>
    <row r="2845" spans="1:26" x14ac:dyDescent="0.25">
      <c r="A2845" t="s">
        <v>3280</v>
      </c>
      <c r="B2845" t="s">
        <v>27</v>
      </c>
      <c r="C2845" t="s">
        <v>28</v>
      </c>
      <c r="H2845" s="2">
        <v>45332.658587962964</v>
      </c>
      <c r="I2845" t="s">
        <v>1488</v>
      </c>
      <c r="Z2845">
        <v>76138</v>
      </c>
    </row>
    <row r="2846" spans="1:26" x14ac:dyDescent="0.25">
      <c r="A2846" t="s">
        <v>1177</v>
      </c>
      <c r="B2846" t="s">
        <v>27</v>
      </c>
      <c r="C2846" t="s">
        <v>28</v>
      </c>
      <c r="H2846" s="2">
        <v>45332.582083333335</v>
      </c>
      <c r="I2846" t="s">
        <v>3230</v>
      </c>
      <c r="Z2846">
        <v>76131</v>
      </c>
    </row>
    <row r="2847" spans="1:26" x14ac:dyDescent="0.25">
      <c r="A2847" t="s">
        <v>3281</v>
      </c>
      <c r="B2847" t="s">
        <v>27</v>
      </c>
      <c r="C2847" t="s">
        <v>28</v>
      </c>
      <c r="H2847" s="2">
        <v>45332.548726851855</v>
      </c>
      <c r="I2847" t="s">
        <v>1488</v>
      </c>
      <c r="Z2847">
        <v>76124</v>
      </c>
    </row>
    <row r="2848" spans="1:26" x14ac:dyDescent="0.25">
      <c r="A2848" t="s">
        <v>3282</v>
      </c>
      <c r="B2848" t="s">
        <v>27</v>
      </c>
      <c r="C2848" t="s">
        <v>28</v>
      </c>
      <c r="H2848" s="2">
        <v>45332.420891203707</v>
      </c>
      <c r="I2848" t="s">
        <v>3230</v>
      </c>
      <c r="Z2848">
        <v>76099</v>
      </c>
    </row>
    <row r="2849" spans="1:26" x14ac:dyDescent="0.25">
      <c r="A2849" t="s">
        <v>3283</v>
      </c>
      <c r="B2849" t="s">
        <v>27</v>
      </c>
      <c r="C2849" t="s">
        <v>28</v>
      </c>
      <c r="H2849" s="2">
        <v>45332.394884259258</v>
      </c>
      <c r="I2849" t="s">
        <v>556</v>
      </c>
      <c r="Z2849">
        <v>76095</v>
      </c>
    </row>
    <row r="2850" spans="1:26" x14ac:dyDescent="0.25">
      <c r="A2850" t="s">
        <v>3284</v>
      </c>
      <c r="B2850" t="s">
        <v>27</v>
      </c>
      <c r="C2850" t="s">
        <v>28</v>
      </c>
      <c r="H2850" s="2">
        <v>45331.699444444443</v>
      </c>
      <c r="I2850" t="s">
        <v>1488</v>
      </c>
      <c r="Z2850">
        <v>76053</v>
      </c>
    </row>
    <row r="2851" spans="1:26" x14ac:dyDescent="0.25">
      <c r="A2851" t="s">
        <v>3285</v>
      </c>
      <c r="B2851" t="s">
        <v>27</v>
      </c>
      <c r="C2851" t="s">
        <v>28</v>
      </c>
      <c r="H2851" s="2">
        <v>45331.66547453704</v>
      </c>
      <c r="I2851" t="s">
        <v>1488</v>
      </c>
      <c r="Z2851">
        <v>76047</v>
      </c>
    </row>
    <row r="2852" spans="1:26" x14ac:dyDescent="0.25">
      <c r="A2852" t="s">
        <v>3286</v>
      </c>
      <c r="B2852" t="s">
        <v>27</v>
      </c>
      <c r="C2852" t="s">
        <v>28</v>
      </c>
      <c r="H2852" s="2">
        <v>45330.699884259258</v>
      </c>
      <c r="I2852" t="s">
        <v>2681</v>
      </c>
      <c r="Z2852">
        <v>75989</v>
      </c>
    </row>
    <row r="2853" spans="1:26" x14ac:dyDescent="0.25">
      <c r="A2853" t="s">
        <v>3287</v>
      </c>
      <c r="B2853" t="s">
        <v>27</v>
      </c>
      <c r="C2853" t="s">
        <v>185</v>
      </c>
      <c r="H2853" s="2">
        <v>45330.615081018521</v>
      </c>
      <c r="I2853" t="s">
        <v>2791</v>
      </c>
      <c r="Z2853">
        <v>75977</v>
      </c>
    </row>
    <row r="2854" spans="1:26" x14ac:dyDescent="0.25">
      <c r="A2854" t="s">
        <v>3288</v>
      </c>
      <c r="B2854" t="s">
        <v>27</v>
      </c>
      <c r="C2854" t="s">
        <v>28</v>
      </c>
      <c r="H2854" s="2">
        <v>45330.575277777774</v>
      </c>
      <c r="I2854" t="s">
        <v>3230</v>
      </c>
      <c r="Z2854">
        <v>75970</v>
      </c>
    </row>
    <row r="2855" spans="1:26" x14ac:dyDescent="0.25">
      <c r="A2855" t="s">
        <v>3289</v>
      </c>
      <c r="B2855" t="s">
        <v>27</v>
      </c>
      <c r="C2855" t="s">
        <v>28</v>
      </c>
      <c r="H2855" s="2">
        <v>45329.48809027778</v>
      </c>
      <c r="I2855" t="s">
        <v>31</v>
      </c>
      <c r="Z2855">
        <v>75918</v>
      </c>
    </row>
    <row r="2856" spans="1:26" x14ac:dyDescent="0.25">
      <c r="A2856" t="s">
        <v>3290</v>
      </c>
      <c r="B2856" t="s">
        <v>27</v>
      </c>
      <c r="C2856" t="s">
        <v>28</v>
      </c>
      <c r="H2856" s="2">
        <v>45328.59238425926</v>
      </c>
      <c r="I2856" t="s">
        <v>2674</v>
      </c>
      <c r="Z2856">
        <v>75883</v>
      </c>
    </row>
    <row r="2857" spans="1:26" x14ac:dyDescent="0.25">
      <c r="A2857" t="s">
        <v>3291</v>
      </c>
      <c r="B2857" t="s">
        <v>27</v>
      </c>
      <c r="C2857" t="s">
        <v>28</v>
      </c>
      <c r="H2857" s="2">
        <v>45328.416851851849</v>
      </c>
      <c r="I2857" t="s">
        <v>31</v>
      </c>
      <c r="Z2857">
        <v>75861</v>
      </c>
    </row>
    <row r="2858" spans="1:26" x14ac:dyDescent="0.25">
      <c r="A2858" t="s">
        <v>3292</v>
      </c>
      <c r="B2858" t="s">
        <v>27</v>
      </c>
      <c r="C2858" t="s">
        <v>28</v>
      </c>
      <c r="H2858" s="2">
        <v>45328.397349537037</v>
      </c>
      <c r="I2858" t="s">
        <v>31</v>
      </c>
      <c r="Z2858">
        <v>75855</v>
      </c>
    </row>
    <row r="2859" spans="1:26" x14ac:dyDescent="0.25">
      <c r="A2859" t="s">
        <v>3293</v>
      </c>
      <c r="B2859" t="s">
        <v>27</v>
      </c>
      <c r="C2859" t="s">
        <v>28</v>
      </c>
      <c r="H2859" s="2">
        <v>45327.837395833332</v>
      </c>
      <c r="I2859" t="s">
        <v>2674</v>
      </c>
      <c r="Z2859">
        <v>75850</v>
      </c>
    </row>
    <row r="2860" spans="1:26" x14ac:dyDescent="0.25">
      <c r="A2860" t="s">
        <v>3294</v>
      </c>
      <c r="B2860" t="s">
        <v>27</v>
      </c>
      <c r="C2860" t="s">
        <v>28</v>
      </c>
      <c r="H2860" s="2">
        <v>45327.791932870372</v>
      </c>
      <c r="I2860" t="s">
        <v>2674</v>
      </c>
      <c r="Z2860">
        <v>75845</v>
      </c>
    </row>
    <row r="2861" spans="1:26" x14ac:dyDescent="0.25">
      <c r="A2861" t="s">
        <v>3295</v>
      </c>
      <c r="B2861" t="s">
        <v>27</v>
      </c>
      <c r="C2861" t="s">
        <v>28</v>
      </c>
      <c r="H2861" s="2">
        <v>45327.662060185183</v>
      </c>
      <c r="I2861" t="s">
        <v>31</v>
      </c>
      <c r="Z2861">
        <v>75834</v>
      </c>
    </row>
    <row r="2862" spans="1:26" x14ac:dyDescent="0.25">
      <c r="A2862" t="s">
        <v>3296</v>
      </c>
      <c r="B2862" t="s">
        <v>1993</v>
      </c>
      <c r="C2862" t="s">
        <v>28</v>
      </c>
      <c r="E2862" t="s">
        <v>72</v>
      </c>
      <c r="H2862" s="2">
        <v>45327.642152777778</v>
      </c>
      <c r="I2862" t="s">
        <v>31</v>
      </c>
      <c r="Z2862">
        <v>75830</v>
      </c>
    </row>
    <row r="2863" spans="1:26" x14ac:dyDescent="0.25">
      <c r="A2863" t="s">
        <v>3297</v>
      </c>
      <c r="B2863" t="s">
        <v>27</v>
      </c>
      <c r="C2863" t="s">
        <v>28</v>
      </c>
      <c r="H2863" s="2">
        <v>45326.590833333335</v>
      </c>
      <c r="I2863" t="s">
        <v>556</v>
      </c>
      <c r="Z2863">
        <v>75774</v>
      </c>
    </row>
    <row r="2864" spans="1:26" x14ac:dyDescent="0.25">
      <c r="A2864" t="s">
        <v>3298</v>
      </c>
      <c r="B2864" t="s">
        <v>27</v>
      </c>
      <c r="C2864" t="s">
        <v>28</v>
      </c>
      <c r="H2864" s="2">
        <v>45325.87023148148</v>
      </c>
      <c r="I2864" t="s">
        <v>556</v>
      </c>
      <c r="Z2864">
        <v>75748</v>
      </c>
    </row>
    <row r="2865" spans="1:26" x14ac:dyDescent="0.25">
      <c r="A2865" t="s">
        <v>3299</v>
      </c>
      <c r="B2865" t="s">
        <v>27</v>
      </c>
      <c r="C2865" t="s">
        <v>28</v>
      </c>
      <c r="H2865" s="2">
        <v>45325.692453703705</v>
      </c>
      <c r="I2865" t="s">
        <v>556</v>
      </c>
      <c r="Z2865">
        <v>75743</v>
      </c>
    </row>
    <row r="2866" spans="1:26" x14ac:dyDescent="0.25">
      <c r="A2866" t="s">
        <v>3300</v>
      </c>
      <c r="B2866" t="s">
        <v>74</v>
      </c>
      <c r="C2866" t="s">
        <v>28</v>
      </c>
      <c r="E2866" t="s">
        <v>370</v>
      </c>
      <c r="G2866" t="s">
        <v>3301</v>
      </c>
      <c r="H2866" s="2">
        <v>45325.635347222225</v>
      </c>
      <c r="I2866" t="s">
        <v>1488</v>
      </c>
      <c r="Z2866">
        <v>75739</v>
      </c>
    </row>
    <row r="2867" spans="1:26" x14ac:dyDescent="0.25">
      <c r="A2867" t="s">
        <v>3302</v>
      </c>
      <c r="B2867" t="s">
        <v>27</v>
      </c>
      <c r="C2867" t="s">
        <v>28</v>
      </c>
      <c r="H2867" s="2">
        <v>45324.655648148146</v>
      </c>
      <c r="I2867" t="s">
        <v>1488</v>
      </c>
      <c r="Z2867">
        <v>75692</v>
      </c>
    </row>
    <row r="2868" spans="1:26" x14ac:dyDescent="0.25">
      <c r="A2868" t="s">
        <v>3303</v>
      </c>
      <c r="B2868" t="s">
        <v>27</v>
      </c>
      <c r="C2868" t="s">
        <v>28</v>
      </c>
      <c r="H2868" s="2">
        <v>45324.57953703704</v>
      </c>
      <c r="I2868" t="s">
        <v>1488</v>
      </c>
      <c r="Z2868">
        <v>75679</v>
      </c>
    </row>
    <row r="2869" spans="1:26" x14ac:dyDescent="0.25">
      <c r="A2869" t="s">
        <v>3304</v>
      </c>
      <c r="B2869" t="s">
        <v>27</v>
      </c>
      <c r="C2869" t="s">
        <v>28</v>
      </c>
      <c r="H2869" s="2">
        <v>45324.508518518516</v>
      </c>
      <c r="I2869" t="s">
        <v>1488</v>
      </c>
      <c r="Z2869">
        <v>75670</v>
      </c>
    </row>
    <row r="2870" spans="1:26" x14ac:dyDescent="0.25">
      <c r="A2870" t="s">
        <v>3305</v>
      </c>
      <c r="B2870" t="s">
        <v>27</v>
      </c>
      <c r="C2870" t="s">
        <v>28</v>
      </c>
      <c r="H2870" s="2">
        <v>45323.693807870368</v>
      </c>
      <c r="I2870" t="s">
        <v>31</v>
      </c>
      <c r="Z2870">
        <v>75645</v>
      </c>
    </row>
    <row r="2871" spans="1:26" x14ac:dyDescent="0.25">
      <c r="A2871" t="s">
        <v>3306</v>
      </c>
      <c r="B2871" t="s">
        <v>306</v>
      </c>
      <c r="C2871" t="s">
        <v>28</v>
      </c>
      <c r="E2871" t="s">
        <v>370</v>
      </c>
      <c r="H2871" s="2">
        <v>45323.488229166665</v>
      </c>
      <c r="I2871" t="s">
        <v>31</v>
      </c>
      <c r="K2871" t="s">
        <v>34</v>
      </c>
      <c r="L2871" t="s">
        <v>35</v>
      </c>
      <c r="M2871">
        <v>55887089</v>
      </c>
      <c r="N2871">
        <v>9754619165</v>
      </c>
      <c r="O2871" t="s">
        <v>3307</v>
      </c>
      <c r="Z2871">
        <v>75631</v>
      </c>
    </row>
    <row r="2872" spans="1:26" x14ac:dyDescent="0.25">
      <c r="A2872" t="s">
        <v>3308</v>
      </c>
      <c r="B2872" t="s">
        <v>27</v>
      </c>
      <c r="C2872" t="s">
        <v>28</v>
      </c>
      <c r="H2872" s="2">
        <v>45323.436736111114</v>
      </c>
      <c r="I2872" t="s">
        <v>31</v>
      </c>
      <c r="Z2872">
        <v>75624</v>
      </c>
    </row>
    <row r="2873" spans="1:26" x14ac:dyDescent="0.25">
      <c r="A2873" t="s">
        <v>3309</v>
      </c>
      <c r="B2873" t="s">
        <v>27</v>
      </c>
      <c r="C2873" t="s">
        <v>28</v>
      </c>
      <c r="H2873" s="2">
        <v>45322.691666666666</v>
      </c>
      <c r="I2873" t="s">
        <v>2674</v>
      </c>
      <c r="Z2873">
        <v>75584</v>
      </c>
    </row>
    <row r="2874" spans="1:26" x14ac:dyDescent="0.25">
      <c r="A2874" t="s">
        <v>3310</v>
      </c>
      <c r="B2874" t="s">
        <v>1403</v>
      </c>
      <c r="C2874" t="s">
        <v>28</v>
      </c>
      <c r="E2874" t="s">
        <v>3311</v>
      </c>
      <c r="G2874" t="s">
        <v>3312</v>
      </c>
      <c r="H2874" s="2">
        <v>45322.672835648147</v>
      </c>
      <c r="I2874" t="s">
        <v>2681</v>
      </c>
      <c r="Z2874">
        <v>75583</v>
      </c>
    </row>
    <row r="2875" spans="1:26" x14ac:dyDescent="0.25">
      <c r="A2875" t="s">
        <v>3313</v>
      </c>
      <c r="B2875" t="s">
        <v>1708</v>
      </c>
      <c r="C2875" t="s">
        <v>3314</v>
      </c>
      <c r="E2875" t="s">
        <v>3315</v>
      </c>
      <c r="H2875" s="2">
        <v>45322.636192129627</v>
      </c>
      <c r="I2875" t="s">
        <v>2681</v>
      </c>
      <c r="Z2875">
        <v>75580</v>
      </c>
    </row>
    <row r="2876" spans="1:26" x14ac:dyDescent="0.25">
      <c r="A2876" t="s">
        <v>3316</v>
      </c>
      <c r="B2876" t="s">
        <v>27</v>
      </c>
      <c r="C2876" t="s">
        <v>28</v>
      </c>
      <c r="H2876" s="2">
        <v>45322.620983796296</v>
      </c>
      <c r="I2876" t="s">
        <v>2681</v>
      </c>
      <c r="Z2876">
        <v>75578</v>
      </c>
    </row>
    <row r="2877" spans="1:26" x14ac:dyDescent="0.25">
      <c r="A2877" t="s">
        <v>3317</v>
      </c>
      <c r="C2877" t="s">
        <v>28</v>
      </c>
      <c r="E2877" t="s">
        <v>1142</v>
      </c>
      <c r="H2877" s="2">
        <v>45322.461064814815</v>
      </c>
      <c r="I2877" t="s">
        <v>31</v>
      </c>
      <c r="Z2877">
        <v>75554</v>
      </c>
    </row>
    <row r="2878" spans="1:26" x14ac:dyDescent="0.25">
      <c r="A2878" t="s">
        <v>3318</v>
      </c>
      <c r="B2878" t="s">
        <v>1993</v>
      </c>
      <c r="C2878" t="s">
        <v>28</v>
      </c>
      <c r="E2878" t="s">
        <v>3319</v>
      </c>
      <c r="G2878" t="s">
        <v>3320</v>
      </c>
      <c r="H2878" s="2">
        <v>45322.268391203703</v>
      </c>
      <c r="I2878" t="s">
        <v>2681</v>
      </c>
      <c r="Z2878">
        <v>75545</v>
      </c>
    </row>
    <row r="2879" spans="1:26" x14ac:dyDescent="0.25">
      <c r="A2879" t="s">
        <v>3318</v>
      </c>
      <c r="B2879" t="s">
        <v>1993</v>
      </c>
      <c r="C2879" t="s">
        <v>28</v>
      </c>
      <c r="E2879" t="s">
        <v>135</v>
      </c>
      <c r="H2879" s="2">
        <v>45321.975219907406</v>
      </c>
      <c r="I2879" t="s">
        <v>2681</v>
      </c>
      <c r="Z2879">
        <v>75544</v>
      </c>
    </row>
    <row r="2880" spans="1:26" x14ac:dyDescent="0.25">
      <c r="A2880" t="s">
        <v>3321</v>
      </c>
      <c r="B2880" t="s">
        <v>27</v>
      </c>
      <c r="C2880" t="s">
        <v>28</v>
      </c>
      <c r="H2880" s="2">
        <v>45321.619108796294</v>
      </c>
      <c r="I2880" t="s">
        <v>2674</v>
      </c>
      <c r="Z2880">
        <v>75513</v>
      </c>
    </row>
    <row r="2881" spans="1:26" x14ac:dyDescent="0.25">
      <c r="A2881" t="s">
        <v>3322</v>
      </c>
      <c r="B2881" t="s">
        <v>27</v>
      </c>
      <c r="C2881" t="s">
        <v>28</v>
      </c>
      <c r="H2881" s="2">
        <v>45321.543680555558</v>
      </c>
      <c r="I2881" t="s">
        <v>31</v>
      </c>
      <c r="Z2881">
        <v>75499</v>
      </c>
    </row>
    <row r="2882" spans="1:26" x14ac:dyDescent="0.25">
      <c r="A2882" t="s">
        <v>3323</v>
      </c>
      <c r="B2882" t="s">
        <v>27</v>
      </c>
      <c r="C2882" t="s">
        <v>28</v>
      </c>
      <c r="H2882" s="2">
        <v>45320.652974537035</v>
      </c>
      <c r="I2882" t="s">
        <v>31</v>
      </c>
      <c r="Z2882">
        <v>75455</v>
      </c>
    </row>
    <row r="2883" spans="1:26" x14ac:dyDescent="0.25">
      <c r="A2883" t="s">
        <v>3324</v>
      </c>
      <c r="B2883" t="s">
        <v>27</v>
      </c>
      <c r="C2883" t="s">
        <v>28</v>
      </c>
      <c r="H2883" s="2">
        <v>45320.577465277776</v>
      </c>
      <c r="I2883" t="s">
        <v>2791</v>
      </c>
      <c r="Z2883">
        <v>75436</v>
      </c>
    </row>
    <row r="2884" spans="1:26" x14ac:dyDescent="0.25">
      <c r="A2884" t="s">
        <v>3325</v>
      </c>
      <c r="B2884" t="s">
        <v>27</v>
      </c>
      <c r="C2884" t="s">
        <v>28</v>
      </c>
      <c r="H2884" s="2">
        <v>45320.542951388888</v>
      </c>
      <c r="I2884" t="s">
        <v>556</v>
      </c>
      <c r="Z2884">
        <v>75431</v>
      </c>
    </row>
    <row r="2885" spans="1:26" x14ac:dyDescent="0.25">
      <c r="A2885" t="s">
        <v>3326</v>
      </c>
      <c r="B2885" t="s">
        <v>27</v>
      </c>
      <c r="C2885" t="s">
        <v>28</v>
      </c>
      <c r="H2885" s="2">
        <v>45320.523657407408</v>
      </c>
      <c r="I2885" t="s">
        <v>1488</v>
      </c>
      <c r="Z2885">
        <v>75426</v>
      </c>
    </row>
    <row r="2886" spans="1:26" x14ac:dyDescent="0.25">
      <c r="A2886" t="s">
        <v>3327</v>
      </c>
      <c r="B2886" t="s">
        <v>27</v>
      </c>
      <c r="C2886" t="s">
        <v>28</v>
      </c>
      <c r="H2886" s="2">
        <v>45320.513148148151</v>
      </c>
      <c r="I2886" t="s">
        <v>1488</v>
      </c>
      <c r="Z2886">
        <v>75422</v>
      </c>
    </row>
    <row r="2887" spans="1:26" x14ac:dyDescent="0.25">
      <c r="A2887" t="s">
        <v>3328</v>
      </c>
      <c r="B2887" t="s">
        <v>27</v>
      </c>
      <c r="C2887" t="s">
        <v>28</v>
      </c>
      <c r="H2887" s="2">
        <v>45320.437986111108</v>
      </c>
      <c r="I2887" t="s">
        <v>1488</v>
      </c>
      <c r="Z2887">
        <v>75405</v>
      </c>
    </row>
    <row r="2888" spans="1:26" x14ac:dyDescent="0.25">
      <c r="A2888" t="s">
        <v>3329</v>
      </c>
      <c r="B2888" t="s">
        <v>27</v>
      </c>
      <c r="C2888" t="s">
        <v>28</v>
      </c>
      <c r="H2888" s="2">
        <v>45319.636203703703</v>
      </c>
      <c r="I2888" t="s">
        <v>1488</v>
      </c>
      <c r="Z2888">
        <v>75377</v>
      </c>
    </row>
    <row r="2889" spans="1:26" x14ac:dyDescent="0.25">
      <c r="A2889" t="s">
        <v>3330</v>
      </c>
      <c r="B2889" t="s">
        <v>27</v>
      </c>
      <c r="C2889" t="s">
        <v>28</v>
      </c>
      <c r="H2889" s="2">
        <v>45319.508101851854</v>
      </c>
      <c r="I2889" t="s">
        <v>1488</v>
      </c>
      <c r="Z2889">
        <v>75369</v>
      </c>
    </row>
    <row r="2890" spans="1:26" x14ac:dyDescent="0.25">
      <c r="A2890" t="s">
        <v>3331</v>
      </c>
      <c r="B2890" t="s">
        <v>27</v>
      </c>
      <c r="C2890" t="s">
        <v>28</v>
      </c>
      <c r="H2890" s="2">
        <v>45319.434675925928</v>
      </c>
      <c r="I2890" t="s">
        <v>556</v>
      </c>
      <c r="Z2890">
        <v>75359</v>
      </c>
    </row>
    <row r="2891" spans="1:26" x14ac:dyDescent="0.25">
      <c r="A2891" t="s">
        <v>3332</v>
      </c>
      <c r="B2891" t="s">
        <v>1708</v>
      </c>
      <c r="C2891" t="s">
        <v>28</v>
      </c>
      <c r="E2891" t="s">
        <v>232</v>
      </c>
      <c r="H2891" s="2">
        <v>45318.929305555554</v>
      </c>
      <c r="I2891" t="s">
        <v>2791</v>
      </c>
      <c r="Z2891">
        <v>75353</v>
      </c>
    </row>
    <row r="2892" spans="1:26" x14ac:dyDescent="0.25">
      <c r="A2892" t="s">
        <v>3333</v>
      </c>
      <c r="B2892" t="s">
        <v>1708</v>
      </c>
      <c r="C2892" t="s">
        <v>28</v>
      </c>
      <c r="E2892" t="s">
        <v>3334</v>
      </c>
      <c r="H2892" s="2">
        <v>45318.747604166667</v>
      </c>
      <c r="I2892" t="s">
        <v>2681</v>
      </c>
      <c r="Z2892">
        <v>75345</v>
      </c>
    </row>
    <row r="2893" spans="1:26" x14ac:dyDescent="0.25">
      <c r="A2893" t="s">
        <v>3335</v>
      </c>
      <c r="B2893" t="s">
        <v>27</v>
      </c>
      <c r="C2893" t="s">
        <v>28</v>
      </c>
      <c r="H2893" s="2">
        <v>45318.534988425927</v>
      </c>
      <c r="I2893" t="s">
        <v>2791</v>
      </c>
      <c r="Z2893">
        <v>75324</v>
      </c>
    </row>
    <row r="2894" spans="1:26" x14ac:dyDescent="0.25">
      <c r="A2894" t="s">
        <v>3336</v>
      </c>
      <c r="B2894" t="s">
        <v>74</v>
      </c>
      <c r="C2894" t="s">
        <v>28</v>
      </c>
      <c r="E2894" t="s">
        <v>3337</v>
      </c>
      <c r="G2894" t="s">
        <v>3338</v>
      </c>
      <c r="H2894" s="2">
        <v>45317.89267361111</v>
      </c>
      <c r="I2894" t="s">
        <v>31</v>
      </c>
      <c r="Z2894">
        <v>75299</v>
      </c>
    </row>
    <row r="2895" spans="1:26" x14ac:dyDescent="0.25">
      <c r="A2895" t="s">
        <v>3339</v>
      </c>
      <c r="B2895" t="s">
        <v>1403</v>
      </c>
      <c r="C2895" t="s">
        <v>28</v>
      </c>
      <c r="E2895" t="s">
        <v>3340</v>
      </c>
      <c r="H2895" s="2">
        <v>45316.880590277775</v>
      </c>
      <c r="I2895" t="s">
        <v>1488</v>
      </c>
      <c r="Z2895">
        <v>75249</v>
      </c>
    </row>
    <row r="2896" spans="1:26" x14ac:dyDescent="0.25">
      <c r="A2896" t="s">
        <v>3341</v>
      </c>
      <c r="B2896" t="s">
        <v>27</v>
      </c>
      <c r="C2896" t="s">
        <v>28</v>
      </c>
      <c r="H2896" s="2">
        <v>45316.429444444446</v>
      </c>
      <c r="I2896" t="s">
        <v>1488</v>
      </c>
      <c r="Z2896">
        <v>75190</v>
      </c>
    </row>
    <row r="2897" spans="1:26" x14ac:dyDescent="0.25">
      <c r="A2897" t="s">
        <v>3342</v>
      </c>
      <c r="B2897" t="s">
        <v>27</v>
      </c>
      <c r="C2897" t="s">
        <v>28</v>
      </c>
      <c r="H2897" s="2">
        <v>45315.474409722221</v>
      </c>
      <c r="I2897" t="s">
        <v>2674</v>
      </c>
      <c r="Z2897">
        <v>75130</v>
      </c>
    </row>
    <row r="2898" spans="1:26" x14ac:dyDescent="0.25">
      <c r="A2898" t="s">
        <v>3343</v>
      </c>
      <c r="B2898" t="s">
        <v>27</v>
      </c>
      <c r="C2898" t="s">
        <v>28</v>
      </c>
      <c r="H2898" s="2">
        <v>45314.52207175926</v>
      </c>
      <c r="I2898" t="s">
        <v>2791</v>
      </c>
      <c r="Z2898">
        <v>75057</v>
      </c>
    </row>
    <row r="2899" spans="1:26" x14ac:dyDescent="0.25">
      <c r="A2899" t="s">
        <v>3344</v>
      </c>
      <c r="B2899" t="s">
        <v>27</v>
      </c>
      <c r="C2899" t="s">
        <v>2219</v>
      </c>
      <c r="H2899" s="2">
        <v>45314.49523148148</v>
      </c>
      <c r="I2899" t="s">
        <v>3230</v>
      </c>
      <c r="Z2899">
        <v>75051</v>
      </c>
    </row>
    <row r="2900" spans="1:26" x14ac:dyDescent="0.25">
      <c r="A2900" t="s">
        <v>3345</v>
      </c>
      <c r="B2900" t="s">
        <v>27</v>
      </c>
      <c r="C2900" t="s">
        <v>28</v>
      </c>
      <c r="H2900" s="2">
        <v>45313.706122685187</v>
      </c>
      <c r="I2900" t="s">
        <v>556</v>
      </c>
      <c r="Z2900">
        <v>75011</v>
      </c>
    </row>
    <row r="2901" spans="1:26" x14ac:dyDescent="0.25">
      <c r="A2901" t="s">
        <v>3346</v>
      </c>
      <c r="B2901" t="s">
        <v>27</v>
      </c>
      <c r="C2901" t="s">
        <v>28</v>
      </c>
      <c r="H2901" s="2">
        <v>45313.620439814818</v>
      </c>
      <c r="I2901" t="s">
        <v>31</v>
      </c>
      <c r="Z2901">
        <v>74992</v>
      </c>
    </row>
    <row r="2902" spans="1:26" x14ac:dyDescent="0.25">
      <c r="A2902" t="s">
        <v>3347</v>
      </c>
      <c r="B2902" t="s">
        <v>27</v>
      </c>
      <c r="C2902" t="s">
        <v>28</v>
      </c>
      <c r="H2902" s="2">
        <v>45313.424953703703</v>
      </c>
      <c r="I2902" t="s">
        <v>1488</v>
      </c>
      <c r="Z2902">
        <v>74936</v>
      </c>
    </row>
    <row r="2903" spans="1:26" x14ac:dyDescent="0.25">
      <c r="A2903" t="s">
        <v>3348</v>
      </c>
      <c r="B2903" t="s">
        <v>27</v>
      </c>
      <c r="C2903" t="s">
        <v>28</v>
      </c>
      <c r="H2903" s="2">
        <v>45312.660798611112</v>
      </c>
      <c r="I2903" t="s">
        <v>2791</v>
      </c>
      <c r="Z2903">
        <v>74908</v>
      </c>
    </row>
    <row r="2904" spans="1:26" x14ac:dyDescent="0.25">
      <c r="A2904" t="s">
        <v>3349</v>
      </c>
      <c r="C2904" t="s">
        <v>28</v>
      </c>
      <c r="E2904" t="s">
        <v>458</v>
      </c>
      <c r="H2904" s="2">
        <v>45312.559236111112</v>
      </c>
      <c r="I2904" t="s">
        <v>31</v>
      </c>
      <c r="Z2904">
        <v>74897</v>
      </c>
    </row>
    <row r="2905" spans="1:26" x14ac:dyDescent="0.25">
      <c r="A2905" t="s">
        <v>3350</v>
      </c>
      <c r="B2905" t="s">
        <v>27</v>
      </c>
      <c r="C2905" t="s">
        <v>28</v>
      </c>
      <c r="H2905" s="2">
        <v>45312.493194444447</v>
      </c>
      <c r="I2905" t="s">
        <v>2791</v>
      </c>
      <c r="Z2905">
        <v>74889</v>
      </c>
    </row>
    <row r="2906" spans="1:26" x14ac:dyDescent="0.25">
      <c r="A2906" t="s">
        <v>3351</v>
      </c>
      <c r="B2906" t="s">
        <v>27</v>
      </c>
      <c r="C2906" t="s">
        <v>28</v>
      </c>
      <c r="H2906" s="2">
        <v>45311.670277777775</v>
      </c>
      <c r="I2906" t="s">
        <v>2148</v>
      </c>
      <c r="Z2906">
        <v>74867</v>
      </c>
    </row>
    <row r="2907" spans="1:26" x14ac:dyDescent="0.25">
      <c r="A2907" t="s">
        <v>3333</v>
      </c>
      <c r="B2907" t="s">
        <v>1708</v>
      </c>
      <c r="C2907" t="s">
        <v>28</v>
      </c>
      <c r="E2907" t="s">
        <v>3334</v>
      </c>
      <c r="H2907" s="2">
        <v>45310.624108796299</v>
      </c>
      <c r="I2907" t="s">
        <v>1488</v>
      </c>
      <c r="Z2907">
        <v>74818</v>
      </c>
    </row>
    <row r="2908" spans="1:26" x14ac:dyDescent="0.25">
      <c r="A2908" t="s">
        <v>3352</v>
      </c>
      <c r="B2908" t="s">
        <v>27</v>
      </c>
      <c r="C2908" t="s">
        <v>28</v>
      </c>
      <c r="H2908" s="2">
        <v>45310.475717592592</v>
      </c>
      <c r="I2908" t="s">
        <v>2674</v>
      </c>
      <c r="Z2908">
        <v>74794</v>
      </c>
    </row>
    <row r="2909" spans="1:26" x14ac:dyDescent="0.25">
      <c r="A2909" t="s">
        <v>663</v>
      </c>
      <c r="C2909" t="s">
        <v>28</v>
      </c>
      <c r="E2909" t="s">
        <v>3353</v>
      </c>
      <c r="H2909" s="2">
        <v>45309.809328703705</v>
      </c>
      <c r="I2909" t="s">
        <v>556</v>
      </c>
      <c r="Z2909">
        <v>74772</v>
      </c>
    </row>
    <row r="2910" spans="1:26" x14ac:dyDescent="0.25">
      <c r="A2910" t="s">
        <v>3354</v>
      </c>
      <c r="B2910" t="s">
        <v>27</v>
      </c>
      <c r="C2910" t="s">
        <v>28</v>
      </c>
      <c r="H2910" s="2">
        <v>45309.572500000002</v>
      </c>
      <c r="I2910" t="s">
        <v>3230</v>
      </c>
      <c r="Z2910">
        <v>74749</v>
      </c>
    </row>
    <row r="2911" spans="1:26" x14ac:dyDescent="0.25">
      <c r="A2911" t="s">
        <v>3355</v>
      </c>
      <c r="B2911" t="s">
        <v>1403</v>
      </c>
      <c r="C2911" t="s">
        <v>28</v>
      </c>
      <c r="E2911" t="s">
        <v>3356</v>
      </c>
      <c r="H2911" s="2">
        <v>45309.527766203704</v>
      </c>
      <c r="I2911" t="s">
        <v>556</v>
      </c>
      <c r="Z2911">
        <v>74744</v>
      </c>
    </row>
    <row r="2912" spans="1:26" x14ac:dyDescent="0.25">
      <c r="A2912" t="s">
        <v>3357</v>
      </c>
      <c r="B2912" t="s">
        <v>1708</v>
      </c>
      <c r="C2912" t="s">
        <v>28</v>
      </c>
      <c r="E2912" t="s">
        <v>3358</v>
      </c>
      <c r="G2912" t="s">
        <v>3359</v>
      </c>
      <c r="H2912" s="2">
        <v>45309.473043981481</v>
      </c>
      <c r="I2912" t="s">
        <v>3230</v>
      </c>
      <c r="K2912" t="s">
        <v>34</v>
      </c>
      <c r="L2912" t="s">
        <v>35</v>
      </c>
      <c r="M2912">
        <v>67127941</v>
      </c>
      <c r="N2912">
        <v>15675662683</v>
      </c>
      <c r="O2912" t="s">
        <v>3360</v>
      </c>
      <c r="Z2912">
        <v>74735</v>
      </c>
    </row>
    <row r="2913" spans="1:26" x14ac:dyDescent="0.25">
      <c r="A2913" t="s">
        <v>3361</v>
      </c>
      <c r="B2913" t="s">
        <v>27</v>
      </c>
      <c r="C2913" t="s">
        <v>28</v>
      </c>
      <c r="H2913" s="2">
        <v>45308.688831018517</v>
      </c>
      <c r="I2913" t="s">
        <v>556</v>
      </c>
      <c r="Z2913">
        <v>74702</v>
      </c>
    </row>
    <row r="2914" spans="1:26" x14ac:dyDescent="0.25">
      <c r="A2914" t="s">
        <v>3362</v>
      </c>
      <c r="B2914" t="s">
        <v>27</v>
      </c>
      <c r="C2914" t="s">
        <v>28</v>
      </c>
      <c r="H2914" s="2">
        <v>45308.398541666669</v>
      </c>
      <c r="I2914" t="s">
        <v>3230</v>
      </c>
      <c r="Z2914">
        <v>74657</v>
      </c>
    </row>
    <row r="2915" spans="1:26" x14ac:dyDescent="0.25">
      <c r="A2915" t="s">
        <v>3363</v>
      </c>
      <c r="B2915" t="s">
        <v>27</v>
      </c>
      <c r="C2915" t="s">
        <v>185</v>
      </c>
      <c r="H2915" s="2">
        <v>45308.381979166668</v>
      </c>
      <c r="I2915" t="s">
        <v>3230</v>
      </c>
      <c r="Z2915">
        <v>74656</v>
      </c>
    </row>
    <row r="2916" spans="1:26" x14ac:dyDescent="0.25">
      <c r="A2916" t="s">
        <v>3364</v>
      </c>
      <c r="B2916" t="s">
        <v>27</v>
      </c>
      <c r="C2916" t="s">
        <v>28</v>
      </c>
      <c r="H2916" s="2">
        <v>45308.371296296296</v>
      </c>
      <c r="I2916" t="s">
        <v>3230</v>
      </c>
      <c r="Z2916">
        <v>74651</v>
      </c>
    </row>
    <row r="2917" spans="1:26" x14ac:dyDescent="0.25">
      <c r="A2917" t="s">
        <v>3365</v>
      </c>
      <c r="B2917" t="s">
        <v>27</v>
      </c>
      <c r="C2917" t="s">
        <v>28</v>
      </c>
      <c r="H2917" s="2">
        <v>45307.873078703706</v>
      </c>
      <c r="I2917" t="s">
        <v>3230</v>
      </c>
      <c r="Z2917">
        <v>74649</v>
      </c>
    </row>
    <row r="2918" spans="1:26" x14ac:dyDescent="0.25">
      <c r="A2918" t="s">
        <v>3366</v>
      </c>
      <c r="B2918" t="s">
        <v>27</v>
      </c>
      <c r="C2918" t="s">
        <v>28</v>
      </c>
      <c r="H2918" s="2">
        <v>45307.653784722221</v>
      </c>
      <c r="I2918" t="s">
        <v>31</v>
      </c>
      <c r="Z2918">
        <v>74629</v>
      </c>
    </row>
    <row r="2919" spans="1:26" x14ac:dyDescent="0.25">
      <c r="A2919" t="s">
        <v>3367</v>
      </c>
      <c r="B2919" t="s">
        <v>27</v>
      </c>
      <c r="C2919" t="s">
        <v>28</v>
      </c>
      <c r="H2919" s="2">
        <v>45307.576111111113</v>
      </c>
      <c r="I2919" t="s">
        <v>556</v>
      </c>
      <c r="Z2919">
        <v>74613</v>
      </c>
    </row>
    <row r="2920" spans="1:26" x14ac:dyDescent="0.25">
      <c r="A2920" t="s">
        <v>3368</v>
      </c>
      <c r="C2920" t="s">
        <v>28</v>
      </c>
      <c r="E2920" t="s">
        <v>1235</v>
      </c>
      <c r="H2920" s="2">
        <v>45306.412581018521</v>
      </c>
      <c r="I2920" t="s">
        <v>31</v>
      </c>
      <c r="Z2920">
        <v>74514</v>
      </c>
    </row>
    <row r="2921" spans="1:26" x14ac:dyDescent="0.25">
      <c r="A2921" t="s">
        <v>3369</v>
      </c>
      <c r="B2921" t="s">
        <v>27</v>
      </c>
      <c r="C2921" t="s">
        <v>28</v>
      </c>
      <c r="H2921" s="2">
        <v>45305.471689814818</v>
      </c>
      <c r="I2921" t="s">
        <v>2674</v>
      </c>
      <c r="Z2921">
        <v>74483</v>
      </c>
    </row>
    <row r="2922" spans="1:26" x14ac:dyDescent="0.25">
      <c r="A2922" t="s">
        <v>3370</v>
      </c>
      <c r="B2922" t="s">
        <v>27</v>
      </c>
      <c r="C2922" t="s">
        <v>28</v>
      </c>
      <c r="H2922" s="2">
        <v>45304.444467592592</v>
      </c>
      <c r="I2922" t="s">
        <v>2148</v>
      </c>
      <c r="Z2922">
        <v>74440</v>
      </c>
    </row>
    <row r="2923" spans="1:26" x14ac:dyDescent="0.25">
      <c r="A2923" t="s">
        <v>3371</v>
      </c>
      <c r="B2923" t="s">
        <v>27</v>
      </c>
      <c r="C2923" t="s">
        <v>28</v>
      </c>
      <c r="H2923" s="2">
        <v>45303.623356481483</v>
      </c>
      <c r="I2923" t="s">
        <v>2674</v>
      </c>
      <c r="Z2923">
        <v>74415</v>
      </c>
    </row>
    <row r="2924" spans="1:26" x14ac:dyDescent="0.25">
      <c r="A2924" t="s">
        <v>3372</v>
      </c>
      <c r="B2924" t="s">
        <v>27</v>
      </c>
      <c r="C2924" t="s">
        <v>28</v>
      </c>
      <c r="H2924" s="2">
        <v>45302.620162037034</v>
      </c>
      <c r="I2924" t="s">
        <v>31</v>
      </c>
      <c r="Z2924">
        <v>74339</v>
      </c>
    </row>
    <row r="2925" spans="1:26" x14ac:dyDescent="0.25">
      <c r="A2925" t="s">
        <v>3373</v>
      </c>
      <c r="B2925" t="s">
        <v>27</v>
      </c>
      <c r="C2925" t="s">
        <v>28</v>
      </c>
      <c r="H2925" s="2">
        <v>45302.492789351854</v>
      </c>
      <c r="I2925" t="s">
        <v>2791</v>
      </c>
      <c r="Z2925">
        <v>74319</v>
      </c>
    </row>
    <row r="2926" spans="1:26" x14ac:dyDescent="0.25">
      <c r="A2926" t="s">
        <v>3374</v>
      </c>
      <c r="B2926" t="s">
        <v>1403</v>
      </c>
      <c r="C2926" t="s">
        <v>28</v>
      </c>
      <c r="E2926" t="s">
        <v>198</v>
      </c>
      <c r="G2926" t="s">
        <v>1169</v>
      </c>
      <c r="H2926" s="2">
        <v>45302.420416666668</v>
      </c>
      <c r="I2926" t="s">
        <v>31</v>
      </c>
      <c r="Z2926">
        <v>74304</v>
      </c>
    </row>
    <row r="2927" spans="1:26" x14ac:dyDescent="0.25">
      <c r="A2927" t="s">
        <v>3375</v>
      </c>
      <c r="C2927" t="s">
        <v>28</v>
      </c>
      <c r="E2927" t="s">
        <v>260</v>
      </c>
      <c r="H2927" s="2">
        <v>45301.47960648148</v>
      </c>
      <c r="I2927" t="s">
        <v>2791</v>
      </c>
      <c r="Z2927">
        <v>74229</v>
      </c>
    </row>
    <row r="2928" spans="1:26" x14ac:dyDescent="0.25">
      <c r="A2928" t="s">
        <v>3376</v>
      </c>
      <c r="B2928" t="s">
        <v>1708</v>
      </c>
      <c r="C2928" t="s">
        <v>28</v>
      </c>
      <c r="E2928" t="s">
        <v>61</v>
      </c>
      <c r="G2928" t="s">
        <v>3215</v>
      </c>
      <c r="H2928" s="2">
        <v>45300.876018518517</v>
      </c>
      <c r="I2928" t="s">
        <v>31</v>
      </c>
      <c r="K2928" t="s">
        <v>34</v>
      </c>
      <c r="L2928" t="s">
        <v>35</v>
      </c>
      <c r="M2928">
        <v>55887089</v>
      </c>
      <c r="N2928">
        <v>12886132962</v>
      </c>
      <c r="O2928" t="s">
        <v>3377</v>
      </c>
      <c r="Z2928">
        <v>74209</v>
      </c>
    </row>
    <row r="2929" spans="1:26" x14ac:dyDescent="0.25">
      <c r="A2929" t="s">
        <v>3378</v>
      </c>
      <c r="B2929" t="s">
        <v>27</v>
      </c>
      <c r="C2929" t="s">
        <v>28</v>
      </c>
      <c r="H2929" s="2">
        <v>45300.669502314813</v>
      </c>
      <c r="I2929" t="s">
        <v>1488</v>
      </c>
      <c r="Z2929">
        <v>74178</v>
      </c>
    </row>
    <row r="2930" spans="1:26" x14ac:dyDescent="0.25">
      <c r="A2930" t="s">
        <v>3379</v>
      </c>
      <c r="B2930" t="s">
        <v>27</v>
      </c>
      <c r="C2930" t="s">
        <v>28</v>
      </c>
      <c r="H2930" s="2">
        <v>45300.58693287037</v>
      </c>
      <c r="I2930" t="s">
        <v>3230</v>
      </c>
      <c r="Z2930">
        <v>74159</v>
      </c>
    </row>
    <row r="2931" spans="1:26" x14ac:dyDescent="0.25">
      <c r="A2931" t="s">
        <v>3380</v>
      </c>
      <c r="B2931" t="s">
        <v>27</v>
      </c>
      <c r="C2931" t="s">
        <v>28</v>
      </c>
      <c r="H2931" s="2">
        <v>45300.481226851851</v>
      </c>
      <c r="I2931" t="s">
        <v>31</v>
      </c>
      <c r="Z2931">
        <v>74135</v>
      </c>
    </row>
    <row r="2932" spans="1:26" x14ac:dyDescent="0.25">
      <c r="A2932" t="s">
        <v>3381</v>
      </c>
      <c r="B2932" t="s">
        <v>27</v>
      </c>
      <c r="C2932" t="s">
        <v>28</v>
      </c>
      <c r="H2932" s="2">
        <v>45299.774791666663</v>
      </c>
      <c r="I2932" t="s">
        <v>2674</v>
      </c>
      <c r="Z2932">
        <v>74106</v>
      </c>
    </row>
    <row r="2933" spans="1:26" x14ac:dyDescent="0.25">
      <c r="A2933" t="s">
        <v>3382</v>
      </c>
      <c r="B2933" t="s">
        <v>27</v>
      </c>
      <c r="C2933" t="s">
        <v>28</v>
      </c>
      <c r="H2933" s="2">
        <v>45299.685601851852</v>
      </c>
      <c r="I2933" t="s">
        <v>1488</v>
      </c>
      <c r="Z2933">
        <v>74094</v>
      </c>
    </row>
    <row r="2934" spans="1:26" x14ac:dyDescent="0.25">
      <c r="A2934" t="s">
        <v>3383</v>
      </c>
      <c r="B2934" t="s">
        <v>1403</v>
      </c>
      <c r="C2934" t="s">
        <v>28</v>
      </c>
      <c r="E2934" t="s">
        <v>72</v>
      </c>
      <c r="G2934" t="s">
        <v>3384</v>
      </c>
      <c r="H2934" s="2">
        <v>45299.484710648147</v>
      </c>
      <c r="I2934" t="s">
        <v>31</v>
      </c>
      <c r="Z2934">
        <v>74058</v>
      </c>
    </row>
    <row r="2935" spans="1:26" x14ac:dyDescent="0.25">
      <c r="A2935" t="s">
        <v>3385</v>
      </c>
      <c r="B2935" t="s">
        <v>27</v>
      </c>
      <c r="C2935" t="s">
        <v>28</v>
      </c>
      <c r="H2935" s="2">
        <v>45298.616678240738</v>
      </c>
      <c r="I2935" t="s">
        <v>1488</v>
      </c>
      <c r="Z2935">
        <v>74021</v>
      </c>
    </row>
    <row r="2936" spans="1:26" x14ac:dyDescent="0.25">
      <c r="A2936" t="s">
        <v>3386</v>
      </c>
      <c r="B2936" t="s">
        <v>27</v>
      </c>
      <c r="C2936" t="s">
        <v>28</v>
      </c>
      <c r="H2936" s="2">
        <v>45298.535046296296</v>
      </c>
      <c r="I2936" t="s">
        <v>2148</v>
      </c>
      <c r="Z2936">
        <v>74009</v>
      </c>
    </row>
    <row r="2937" spans="1:26" x14ac:dyDescent="0.25">
      <c r="A2937" t="s">
        <v>3387</v>
      </c>
      <c r="B2937" t="s">
        <v>27</v>
      </c>
      <c r="C2937" t="s">
        <v>28</v>
      </c>
      <c r="H2937" s="2">
        <v>45297.77511574074</v>
      </c>
      <c r="I2937" t="s">
        <v>556</v>
      </c>
      <c r="Z2937">
        <v>73986</v>
      </c>
    </row>
    <row r="2938" spans="1:26" x14ac:dyDescent="0.25">
      <c r="A2938" t="s">
        <v>3388</v>
      </c>
      <c r="B2938" t="s">
        <v>27</v>
      </c>
      <c r="C2938" t="s">
        <v>28</v>
      </c>
      <c r="H2938" s="2">
        <v>45296.712245370371</v>
      </c>
      <c r="I2938" t="s">
        <v>556</v>
      </c>
      <c r="Z2938">
        <v>73917</v>
      </c>
    </row>
    <row r="2939" spans="1:26" x14ac:dyDescent="0.25">
      <c r="A2939" t="s">
        <v>3389</v>
      </c>
      <c r="B2939" t="s">
        <v>27</v>
      </c>
      <c r="C2939" t="s">
        <v>28</v>
      </c>
      <c r="H2939" s="2">
        <v>45295.654108796298</v>
      </c>
      <c r="I2939" t="s">
        <v>1488</v>
      </c>
      <c r="Z2939">
        <v>73820</v>
      </c>
    </row>
    <row r="2940" spans="1:26" x14ac:dyDescent="0.25">
      <c r="A2940" t="s">
        <v>3390</v>
      </c>
      <c r="B2940" t="s">
        <v>27</v>
      </c>
      <c r="C2940" t="s">
        <v>28</v>
      </c>
      <c r="H2940" s="2">
        <v>45295.557534722226</v>
      </c>
      <c r="I2940" t="s">
        <v>1488</v>
      </c>
      <c r="Z2940">
        <v>73799</v>
      </c>
    </row>
    <row r="2941" spans="1:26" x14ac:dyDescent="0.25">
      <c r="A2941" t="s">
        <v>3391</v>
      </c>
      <c r="B2941" t="s">
        <v>1708</v>
      </c>
      <c r="C2941" t="s">
        <v>28</v>
      </c>
      <c r="E2941" t="s">
        <v>156</v>
      </c>
      <c r="H2941" s="2">
        <v>45294.626284722224</v>
      </c>
      <c r="I2941" t="s">
        <v>1488</v>
      </c>
      <c r="Z2941">
        <v>73742</v>
      </c>
    </row>
    <row r="2942" spans="1:26" x14ac:dyDescent="0.25">
      <c r="A2942" t="s">
        <v>3392</v>
      </c>
      <c r="B2942" t="s">
        <v>1708</v>
      </c>
      <c r="C2942" t="s">
        <v>28</v>
      </c>
      <c r="E2942" t="s">
        <v>3393</v>
      </c>
      <c r="H2942" s="2">
        <v>45290.89402777778</v>
      </c>
      <c r="I2942" t="s">
        <v>2674</v>
      </c>
      <c r="Z2942">
        <v>72614</v>
      </c>
    </row>
    <row r="2943" spans="1:26" x14ac:dyDescent="0.25">
      <c r="A2943" t="s">
        <v>3394</v>
      </c>
      <c r="B2943" t="s">
        <v>1403</v>
      </c>
      <c r="C2943" t="s">
        <v>28</v>
      </c>
      <c r="E2943" t="s">
        <v>3395</v>
      </c>
      <c r="H2943" s="2">
        <v>45290.751840277779</v>
      </c>
      <c r="I2943" t="s">
        <v>556</v>
      </c>
      <c r="Z2943">
        <v>72606</v>
      </c>
    </row>
    <row r="2944" spans="1:26" x14ac:dyDescent="0.25">
      <c r="A2944" t="s">
        <v>3396</v>
      </c>
      <c r="B2944" t="s">
        <v>27</v>
      </c>
      <c r="C2944" t="s">
        <v>28</v>
      </c>
      <c r="H2944" s="2">
        <v>45290.469571759262</v>
      </c>
      <c r="I2944" t="s">
        <v>2791</v>
      </c>
      <c r="Z2944">
        <v>72584</v>
      </c>
    </row>
    <row r="2945" spans="1:26" x14ac:dyDescent="0.25">
      <c r="A2945" t="s">
        <v>3397</v>
      </c>
      <c r="B2945" t="s">
        <v>27</v>
      </c>
      <c r="C2945" t="s">
        <v>28</v>
      </c>
      <c r="H2945" s="2">
        <v>45290.42732638889</v>
      </c>
      <c r="I2945" t="s">
        <v>2674</v>
      </c>
      <c r="Z2945">
        <v>72575</v>
      </c>
    </row>
    <row r="2946" spans="1:26" x14ac:dyDescent="0.25">
      <c r="A2946" t="s">
        <v>3398</v>
      </c>
      <c r="B2946" t="s">
        <v>27</v>
      </c>
      <c r="C2946" t="s">
        <v>28</v>
      </c>
      <c r="H2946" s="2">
        <v>45289.551030092596</v>
      </c>
      <c r="I2946" t="s">
        <v>3230</v>
      </c>
      <c r="Z2946">
        <v>72521</v>
      </c>
    </row>
    <row r="2947" spans="1:26" x14ac:dyDescent="0.25">
      <c r="A2947" t="s">
        <v>3399</v>
      </c>
      <c r="B2947" t="s">
        <v>27</v>
      </c>
      <c r="C2947" t="s">
        <v>28</v>
      </c>
      <c r="H2947" s="2">
        <v>45289.468414351853</v>
      </c>
      <c r="I2947" t="s">
        <v>3230</v>
      </c>
      <c r="Z2947">
        <v>72506</v>
      </c>
    </row>
    <row r="2948" spans="1:26" x14ac:dyDescent="0.25">
      <c r="A2948" t="s">
        <v>3400</v>
      </c>
      <c r="B2948" t="s">
        <v>27</v>
      </c>
      <c r="C2948" t="s">
        <v>28</v>
      </c>
      <c r="H2948" s="2">
        <v>45287.671157407407</v>
      </c>
      <c r="I2948" t="s">
        <v>2791</v>
      </c>
      <c r="Z2948">
        <v>72394</v>
      </c>
    </row>
    <row r="2949" spans="1:26" x14ac:dyDescent="0.25">
      <c r="A2949" t="s">
        <v>3401</v>
      </c>
      <c r="B2949" t="s">
        <v>27</v>
      </c>
      <c r="C2949" t="s">
        <v>28</v>
      </c>
      <c r="H2949" s="2">
        <v>45287.527557870373</v>
      </c>
      <c r="I2949" t="s">
        <v>3230</v>
      </c>
      <c r="Z2949">
        <v>72366</v>
      </c>
    </row>
    <row r="2950" spans="1:26" x14ac:dyDescent="0.25">
      <c r="A2950" t="s">
        <v>3402</v>
      </c>
      <c r="B2950" t="s">
        <v>27</v>
      </c>
      <c r="C2950" t="s">
        <v>28</v>
      </c>
      <c r="H2950" s="2">
        <v>45286.651909722219</v>
      </c>
      <c r="I2950" t="s">
        <v>556</v>
      </c>
      <c r="Z2950">
        <v>72331</v>
      </c>
    </row>
    <row r="2951" spans="1:26" x14ac:dyDescent="0.25">
      <c r="A2951" t="s">
        <v>3403</v>
      </c>
      <c r="B2951" t="s">
        <v>27</v>
      </c>
      <c r="C2951" t="s">
        <v>28</v>
      </c>
      <c r="H2951" s="2">
        <v>45286.622708333336</v>
      </c>
      <c r="I2951" t="s">
        <v>31</v>
      </c>
      <c r="Z2951">
        <v>72324</v>
      </c>
    </row>
    <row r="2952" spans="1:26" x14ac:dyDescent="0.25">
      <c r="A2952" t="s">
        <v>606</v>
      </c>
      <c r="B2952" t="s">
        <v>306</v>
      </c>
      <c r="C2952" t="s">
        <v>28</v>
      </c>
      <c r="E2952" t="s">
        <v>3404</v>
      </c>
      <c r="H2952" s="2">
        <v>45285.873379629629</v>
      </c>
      <c r="I2952" t="s">
        <v>556</v>
      </c>
      <c r="Z2952">
        <v>72279</v>
      </c>
    </row>
    <row r="2953" spans="1:26" x14ac:dyDescent="0.25">
      <c r="A2953" t="s">
        <v>3405</v>
      </c>
      <c r="B2953" t="s">
        <v>27</v>
      </c>
      <c r="C2953" t="s">
        <v>28</v>
      </c>
      <c r="H2953" s="2">
        <v>45285.521504629629</v>
      </c>
      <c r="I2953" t="s">
        <v>2674</v>
      </c>
      <c r="Z2953">
        <v>72228</v>
      </c>
    </row>
    <row r="2954" spans="1:26" x14ac:dyDescent="0.25">
      <c r="A2954" t="s">
        <v>3406</v>
      </c>
      <c r="B2954" t="s">
        <v>27</v>
      </c>
      <c r="C2954" t="s">
        <v>28</v>
      </c>
      <c r="H2954" s="2">
        <v>45285.452708333331</v>
      </c>
      <c r="I2954" t="s">
        <v>2148</v>
      </c>
      <c r="Z2954">
        <v>72214</v>
      </c>
    </row>
    <row r="2955" spans="1:26" x14ac:dyDescent="0.25">
      <c r="A2955" t="s">
        <v>3407</v>
      </c>
      <c r="B2955" t="s">
        <v>74</v>
      </c>
      <c r="C2955" t="s">
        <v>28</v>
      </c>
      <c r="E2955" t="s">
        <v>304</v>
      </c>
      <c r="G2955" t="s">
        <v>3408</v>
      </c>
      <c r="H2955" s="2">
        <v>45283.654907407406</v>
      </c>
      <c r="I2955" t="s">
        <v>31</v>
      </c>
      <c r="K2955" t="s">
        <v>34</v>
      </c>
      <c r="L2955" t="s">
        <v>35</v>
      </c>
      <c r="M2955">
        <v>67131912</v>
      </c>
      <c r="N2955">
        <v>12886389950</v>
      </c>
      <c r="O2955" t="s">
        <v>3409</v>
      </c>
      <c r="Z2955">
        <v>72174</v>
      </c>
    </row>
    <row r="2956" spans="1:26" x14ac:dyDescent="0.25">
      <c r="A2956" t="s">
        <v>3410</v>
      </c>
      <c r="B2956" t="s">
        <v>27</v>
      </c>
      <c r="C2956" t="s">
        <v>28</v>
      </c>
      <c r="H2956" s="2">
        <v>45283.517175925925</v>
      </c>
      <c r="I2956" t="s">
        <v>2681</v>
      </c>
      <c r="Z2956">
        <v>72158</v>
      </c>
    </row>
    <row r="2957" spans="1:26" x14ac:dyDescent="0.25">
      <c r="A2957" t="s">
        <v>3411</v>
      </c>
      <c r="B2957" t="s">
        <v>27</v>
      </c>
      <c r="C2957" t="s">
        <v>28</v>
      </c>
      <c r="H2957" s="2">
        <v>45282.83152777778</v>
      </c>
      <c r="I2957" t="s">
        <v>2791</v>
      </c>
      <c r="Z2957">
        <v>72139</v>
      </c>
    </row>
    <row r="2958" spans="1:26" x14ac:dyDescent="0.25">
      <c r="A2958" t="s">
        <v>3412</v>
      </c>
      <c r="B2958" t="s">
        <v>27</v>
      </c>
      <c r="C2958" t="s">
        <v>28</v>
      </c>
      <c r="H2958" s="2">
        <v>45282.686296296299</v>
      </c>
      <c r="I2958" t="s">
        <v>2681</v>
      </c>
      <c r="Z2958">
        <v>72129</v>
      </c>
    </row>
    <row r="2959" spans="1:26" x14ac:dyDescent="0.25">
      <c r="A2959" t="s">
        <v>3413</v>
      </c>
      <c r="B2959" t="s">
        <v>27</v>
      </c>
      <c r="C2959" t="s">
        <v>28</v>
      </c>
      <c r="H2959" s="2">
        <v>45282.50271990741</v>
      </c>
      <c r="I2959" t="s">
        <v>2791</v>
      </c>
      <c r="Z2959">
        <v>72102</v>
      </c>
    </row>
    <row r="2960" spans="1:26" x14ac:dyDescent="0.25">
      <c r="A2960" t="s">
        <v>3414</v>
      </c>
      <c r="B2960" t="s">
        <v>27</v>
      </c>
      <c r="C2960" t="s">
        <v>28</v>
      </c>
      <c r="H2960" s="2">
        <v>45282.40357638889</v>
      </c>
      <c r="I2960" t="s">
        <v>31</v>
      </c>
      <c r="Z2960">
        <v>72083</v>
      </c>
    </row>
    <row r="2961" spans="1:26" x14ac:dyDescent="0.25">
      <c r="A2961" t="s">
        <v>3415</v>
      </c>
      <c r="B2961" t="s">
        <v>27</v>
      </c>
      <c r="C2961" t="s">
        <v>28</v>
      </c>
      <c r="H2961" s="2">
        <v>45281.685624999998</v>
      </c>
      <c r="I2961" t="s">
        <v>2791</v>
      </c>
      <c r="Z2961">
        <v>72061</v>
      </c>
    </row>
    <row r="2962" spans="1:26" x14ac:dyDescent="0.25">
      <c r="A2962" t="s">
        <v>3416</v>
      </c>
      <c r="B2962" t="s">
        <v>27</v>
      </c>
      <c r="C2962" t="s">
        <v>28</v>
      </c>
      <c r="H2962" s="2">
        <v>45281.488136574073</v>
      </c>
      <c r="I2962" t="s">
        <v>31</v>
      </c>
      <c r="Z2962">
        <v>72027</v>
      </c>
    </row>
    <row r="2963" spans="1:26" x14ac:dyDescent="0.25">
      <c r="A2963" t="s">
        <v>3417</v>
      </c>
      <c r="B2963" t="s">
        <v>27</v>
      </c>
      <c r="C2963" t="s">
        <v>28</v>
      </c>
      <c r="H2963" s="2">
        <v>45281.382256944446</v>
      </c>
      <c r="I2963" t="s">
        <v>2791</v>
      </c>
      <c r="Z2963">
        <v>72009</v>
      </c>
    </row>
    <row r="2964" spans="1:26" x14ac:dyDescent="0.25">
      <c r="A2964" t="s">
        <v>3418</v>
      </c>
      <c r="B2964" t="s">
        <v>1708</v>
      </c>
      <c r="C2964" t="s">
        <v>28</v>
      </c>
      <c r="E2964" t="s">
        <v>2494</v>
      </c>
      <c r="H2964" s="2">
        <v>45281.088310185187</v>
      </c>
      <c r="I2964" t="s">
        <v>31</v>
      </c>
      <c r="Z2964">
        <v>72008</v>
      </c>
    </row>
    <row r="2965" spans="1:26" x14ac:dyDescent="0.25">
      <c r="A2965" t="s">
        <v>3419</v>
      </c>
      <c r="B2965" t="s">
        <v>27</v>
      </c>
      <c r="C2965" t="s">
        <v>28</v>
      </c>
      <c r="H2965" s="2">
        <v>45280.393726851849</v>
      </c>
      <c r="I2965" t="s">
        <v>31</v>
      </c>
      <c r="Z2965">
        <v>71955</v>
      </c>
    </row>
    <row r="2966" spans="1:26" x14ac:dyDescent="0.25">
      <c r="A2966" t="s">
        <v>3420</v>
      </c>
      <c r="B2966" t="s">
        <v>27</v>
      </c>
      <c r="C2966" t="s">
        <v>28</v>
      </c>
      <c r="E2966" t="s">
        <v>3421</v>
      </c>
      <c r="H2966" s="2">
        <v>45279.492037037038</v>
      </c>
      <c r="I2966" t="s">
        <v>556</v>
      </c>
      <c r="Z2966">
        <v>71904</v>
      </c>
    </row>
    <row r="2967" spans="1:26" x14ac:dyDescent="0.25">
      <c r="A2967" t="s">
        <v>3422</v>
      </c>
      <c r="B2967" t="s">
        <v>27</v>
      </c>
      <c r="C2967" t="s">
        <v>28</v>
      </c>
      <c r="H2967" s="2">
        <v>45278.762465277781</v>
      </c>
      <c r="I2967" t="s">
        <v>2674</v>
      </c>
      <c r="Z2967">
        <v>71879</v>
      </c>
    </row>
    <row r="2968" spans="1:26" x14ac:dyDescent="0.25">
      <c r="A2968" t="s">
        <v>3330</v>
      </c>
      <c r="B2968" t="s">
        <v>27</v>
      </c>
      <c r="C2968" t="s">
        <v>28</v>
      </c>
      <c r="H2968" s="2">
        <v>45278.575231481482</v>
      </c>
      <c r="I2968" t="s">
        <v>2674</v>
      </c>
      <c r="Z2968">
        <v>71857</v>
      </c>
    </row>
    <row r="2969" spans="1:26" x14ac:dyDescent="0.25">
      <c r="A2969" t="s">
        <v>3423</v>
      </c>
      <c r="B2969" t="s">
        <v>27</v>
      </c>
      <c r="C2969" t="s">
        <v>28</v>
      </c>
      <c r="H2969" s="2">
        <v>45277.592453703706</v>
      </c>
      <c r="I2969" t="s">
        <v>2674</v>
      </c>
      <c r="Z2969">
        <v>71806</v>
      </c>
    </row>
    <row r="2970" spans="1:26" x14ac:dyDescent="0.25">
      <c r="A2970" t="s">
        <v>3424</v>
      </c>
      <c r="B2970" t="s">
        <v>306</v>
      </c>
      <c r="C2970" t="s">
        <v>28</v>
      </c>
      <c r="E2970" t="s">
        <v>61</v>
      </c>
      <c r="H2970" s="2">
        <v>45275.318171296298</v>
      </c>
      <c r="I2970" t="s">
        <v>31</v>
      </c>
      <c r="Z2970">
        <v>71652</v>
      </c>
    </row>
    <row r="2971" spans="1:26" x14ac:dyDescent="0.25">
      <c r="A2971" t="s">
        <v>3425</v>
      </c>
      <c r="C2971" t="s">
        <v>28</v>
      </c>
      <c r="E2971" t="s">
        <v>3426</v>
      </c>
      <c r="H2971" s="2">
        <v>45274.600092592591</v>
      </c>
      <c r="I2971" t="s">
        <v>31</v>
      </c>
      <c r="Z2971">
        <v>71630</v>
      </c>
    </row>
    <row r="2972" spans="1:26" x14ac:dyDescent="0.25">
      <c r="A2972" t="s">
        <v>3427</v>
      </c>
      <c r="B2972" t="s">
        <v>27</v>
      </c>
      <c r="C2972" t="s">
        <v>28</v>
      </c>
      <c r="H2972" s="2">
        <v>45274.488576388889</v>
      </c>
      <c r="I2972" t="s">
        <v>31</v>
      </c>
      <c r="Z2972">
        <v>71602</v>
      </c>
    </row>
    <row r="2973" spans="1:26" x14ac:dyDescent="0.25">
      <c r="A2973" t="s">
        <v>3428</v>
      </c>
      <c r="B2973" t="s">
        <v>27</v>
      </c>
      <c r="C2973" t="s">
        <v>28</v>
      </c>
      <c r="H2973" s="2">
        <v>45273.648622685185</v>
      </c>
      <c r="I2973" t="s">
        <v>2674</v>
      </c>
      <c r="Z2973">
        <v>71541</v>
      </c>
    </row>
    <row r="2974" spans="1:26" x14ac:dyDescent="0.25">
      <c r="A2974" t="s">
        <v>3429</v>
      </c>
      <c r="B2974" t="s">
        <v>27</v>
      </c>
      <c r="C2974" t="s">
        <v>28</v>
      </c>
      <c r="H2974" s="2">
        <v>45273.644074074073</v>
      </c>
      <c r="I2974" t="s">
        <v>2148</v>
      </c>
      <c r="Z2974">
        <v>71540</v>
      </c>
    </row>
    <row r="2975" spans="1:26" x14ac:dyDescent="0.25">
      <c r="A2975" t="s">
        <v>3430</v>
      </c>
      <c r="B2975" t="s">
        <v>27</v>
      </c>
      <c r="C2975" t="s">
        <v>185</v>
      </c>
      <c r="H2975" s="2">
        <v>45273.478425925925</v>
      </c>
      <c r="I2975" t="s">
        <v>2148</v>
      </c>
      <c r="Z2975">
        <v>71502</v>
      </c>
    </row>
    <row r="2976" spans="1:26" x14ac:dyDescent="0.25">
      <c r="A2976" t="s">
        <v>3431</v>
      </c>
      <c r="B2976" t="s">
        <v>27</v>
      </c>
      <c r="C2976" t="s">
        <v>28</v>
      </c>
      <c r="H2976" s="2">
        <v>45273.417685185188</v>
      </c>
      <c r="I2976" t="s">
        <v>2674</v>
      </c>
      <c r="Z2976">
        <v>71490</v>
      </c>
    </row>
    <row r="2977" spans="1:26" x14ac:dyDescent="0.25">
      <c r="A2977" t="s">
        <v>3432</v>
      </c>
      <c r="B2977" t="s">
        <v>27</v>
      </c>
      <c r="C2977" t="s">
        <v>28</v>
      </c>
      <c r="H2977" s="2">
        <v>45273.383159722223</v>
      </c>
      <c r="I2977" t="s">
        <v>3230</v>
      </c>
      <c r="Z2977">
        <v>71485</v>
      </c>
    </row>
    <row r="2978" spans="1:26" x14ac:dyDescent="0.25">
      <c r="A2978" t="s">
        <v>3433</v>
      </c>
      <c r="B2978" t="s">
        <v>1708</v>
      </c>
      <c r="C2978" t="s">
        <v>28</v>
      </c>
      <c r="E2978" t="s">
        <v>2854</v>
      </c>
      <c r="H2978" s="2">
        <v>45271.844097222223</v>
      </c>
      <c r="I2978" t="s">
        <v>2681</v>
      </c>
      <c r="K2978" t="s">
        <v>34</v>
      </c>
      <c r="L2978" t="s">
        <v>35</v>
      </c>
      <c r="M2978">
        <v>67131912</v>
      </c>
      <c r="N2978">
        <v>11953101698</v>
      </c>
      <c r="O2978" t="s">
        <v>461</v>
      </c>
      <c r="Z2978">
        <v>71397</v>
      </c>
    </row>
    <row r="2979" spans="1:26" x14ac:dyDescent="0.25">
      <c r="A2979" t="s">
        <v>3434</v>
      </c>
      <c r="B2979" t="s">
        <v>27</v>
      </c>
      <c r="C2979" t="s">
        <v>28</v>
      </c>
      <c r="H2979" s="2">
        <v>45271.512997685182</v>
      </c>
      <c r="I2979" t="s">
        <v>2791</v>
      </c>
      <c r="Z2979">
        <v>71350</v>
      </c>
    </row>
    <row r="2980" spans="1:26" x14ac:dyDescent="0.25">
      <c r="A2980" t="s">
        <v>3435</v>
      </c>
      <c r="B2980" t="s">
        <v>27</v>
      </c>
      <c r="C2980" t="s">
        <v>28</v>
      </c>
      <c r="H2980" s="2">
        <v>45269.619212962964</v>
      </c>
      <c r="I2980" t="s">
        <v>3230</v>
      </c>
      <c r="Z2980">
        <v>71234</v>
      </c>
    </row>
    <row r="2981" spans="1:26" x14ac:dyDescent="0.25">
      <c r="A2981" t="s">
        <v>3436</v>
      </c>
      <c r="B2981" t="s">
        <v>27</v>
      </c>
      <c r="C2981" t="s">
        <v>28</v>
      </c>
      <c r="H2981" s="2">
        <v>45269.463865740741</v>
      </c>
      <c r="I2981" t="s">
        <v>556</v>
      </c>
      <c r="Z2981">
        <v>71198</v>
      </c>
    </row>
    <row r="2982" spans="1:26" x14ac:dyDescent="0.25">
      <c r="A2982" t="s">
        <v>3437</v>
      </c>
      <c r="B2982" t="s">
        <v>1403</v>
      </c>
      <c r="C2982" t="s">
        <v>28</v>
      </c>
      <c r="E2982" t="s">
        <v>3438</v>
      </c>
      <c r="H2982" s="2">
        <v>45269.427789351852</v>
      </c>
      <c r="I2982" t="s">
        <v>556</v>
      </c>
      <c r="Z2982">
        <v>71193</v>
      </c>
    </row>
    <row r="2983" spans="1:26" x14ac:dyDescent="0.25">
      <c r="A2983" t="s">
        <v>336</v>
      </c>
      <c r="B2983" t="s">
        <v>1708</v>
      </c>
      <c r="C2983" t="s">
        <v>28</v>
      </c>
      <c r="E2983" t="s">
        <v>101</v>
      </c>
      <c r="H2983" s="2">
        <v>45269.3671412037</v>
      </c>
      <c r="I2983" t="s">
        <v>31</v>
      </c>
      <c r="Z2983">
        <v>71184</v>
      </c>
    </row>
    <row r="2984" spans="1:26" x14ac:dyDescent="0.25">
      <c r="A2984" t="s">
        <v>3439</v>
      </c>
      <c r="B2984" t="s">
        <v>1708</v>
      </c>
      <c r="C2984" t="s">
        <v>28</v>
      </c>
      <c r="E2984" t="s">
        <v>1942</v>
      </c>
      <c r="G2984" t="s">
        <v>3440</v>
      </c>
      <c r="H2984" s="2">
        <v>45268.808576388888</v>
      </c>
      <c r="I2984" t="s">
        <v>31</v>
      </c>
      <c r="Z2984">
        <v>71177</v>
      </c>
    </row>
    <row r="2985" spans="1:26" x14ac:dyDescent="0.25">
      <c r="A2985" t="s">
        <v>3441</v>
      </c>
      <c r="B2985" t="s">
        <v>27</v>
      </c>
      <c r="C2985" t="s">
        <v>28</v>
      </c>
      <c r="H2985" s="2">
        <v>45268.531597222223</v>
      </c>
      <c r="I2985" t="s">
        <v>2148</v>
      </c>
      <c r="Z2985">
        <v>71128</v>
      </c>
    </row>
    <row r="2986" spans="1:26" x14ac:dyDescent="0.25">
      <c r="A2986" t="s">
        <v>3442</v>
      </c>
      <c r="B2986" t="s">
        <v>27</v>
      </c>
      <c r="C2986" t="s">
        <v>28</v>
      </c>
      <c r="H2986" s="2">
        <v>45268.469456018516</v>
      </c>
      <c r="I2986" t="s">
        <v>556</v>
      </c>
      <c r="Z2986">
        <v>71114</v>
      </c>
    </row>
    <row r="2987" spans="1:26" x14ac:dyDescent="0.25">
      <c r="A2987" t="s">
        <v>3443</v>
      </c>
      <c r="B2987" t="s">
        <v>1993</v>
      </c>
      <c r="C2987" t="s">
        <v>28</v>
      </c>
      <c r="H2987" s="2">
        <v>45268.450856481482</v>
      </c>
      <c r="I2987" t="s">
        <v>556</v>
      </c>
      <c r="Z2987">
        <v>71108</v>
      </c>
    </row>
    <row r="2988" spans="1:26" x14ac:dyDescent="0.25">
      <c r="A2988" t="s">
        <v>3444</v>
      </c>
      <c r="B2988" t="s">
        <v>27</v>
      </c>
      <c r="C2988" t="s">
        <v>28</v>
      </c>
      <c r="H2988" s="2">
        <v>45267.839074074072</v>
      </c>
      <c r="I2988" t="s">
        <v>2148</v>
      </c>
      <c r="Z2988">
        <v>71089</v>
      </c>
    </row>
    <row r="2989" spans="1:26" x14ac:dyDescent="0.25">
      <c r="A2989" t="s">
        <v>3445</v>
      </c>
      <c r="B2989" t="s">
        <v>1708</v>
      </c>
      <c r="C2989" t="s">
        <v>28</v>
      </c>
      <c r="E2989" t="s">
        <v>3446</v>
      </c>
      <c r="G2989" t="s">
        <v>3447</v>
      </c>
      <c r="H2989" s="2">
        <v>45265.868530092594</v>
      </c>
      <c r="I2989" t="s">
        <v>2681</v>
      </c>
      <c r="Z2989">
        <v>70885</v>
      </c>
    </row>
    <row r="2990" spans="1:26" x14ac:dyDescent="0.25">
      <c r="A2990" t="s">
        <v>3448</v>
      </c>
      <c r="B2990" t="s">
        <v>27</v>
      </c>
      <c r="C2990" t="s">
        <v>28</v>
      </c>
      <c r="H2990" s="2">
        <v>45265.806400462963</v>
      </c>
      <c r="I2990" t="s">
        <v>2791</v>
      </c>
      <c r="Z2990">
        <v>70880</v>
      </c>
    </row>
    <row r="2991" spans="1:26" x14ac:dyDescent="0.25">
      <c r="A2991" t="s">
        <v>3449</v>
      </c>
      <c r="B2991" t="s">
        <v>27</v>
      </c>
      <c r="C2991" t="s">
        <v>28</v>
      </c>
      <c r="H2991" s="2">
        <v>45265.716979166667</v>
      </c>
      <c r="I2991" t="s">
        <v>2791</v>
      </c>
      <c r="Z2991">
        <v>70870</v>
      </c>
    </row>
    <row r="2992" spans="1:26" x14ac:dyDescent="0.25">
      <c r="A2992" t="s">
        <v>3450</v>
      </c>
      <c r="B2992" t="s">
        <v>27</v>
      </c>
      <c r="C2992" t="s">
        <v>28</v>
      </c>
      <c r="H2992" s="2">
        <v>45264.576226851852</v>
      </c>
      <c r="I2992" t="s">
        <v>31</v>
      </c>
      <c r="Z2992">
        <v>70743</v>
      </c>
    </row>
    <row r="2993" spans="1:26" x14ac:dyDescent="0.25">
      <c r="A2993" t="s">
        <v>3451</v>
      </c>
      <c r="B2993" t="s">
        <v>27</v>
      </c>
      <c r="C2993" t="s">
        <v>28</v>
      </c>
      <c r="H2993" s="2">
        <v>45264.53802083333</v>
      </c>
      <c r="I2993" t="s">
        <v>2681</v>
      </c>
      <c r="Z2993">
        <v>70733</v>
      </c>
    </row>
    <row r="2994" spans="1:26" x14ac:dyDescent="0.25">
      <c r="A2994" t="s">
        <v>3452</v>
      </c>
      <c r="B2994" t="s">
        <v>27</v>
      </c>
      <c r="C2994" t="s">
        <v>28</v>
      </c>
      <c r="H2994" s="2">
        <v>45263.734270833331</v>
      </c>
      <c r="I2994" t="s">
        <v>556</v>
      </c>
      <c r="Z2994">
        <v>70676</v>
      </c>
    </row>
    <row r="2995" spans="1:26" x14ac:dyDescent="0.25">
      <c r="A2995" t="s">
        <v>3453</v>
      </c>
      <c r="B2995" t="s">
        <v>27</v>
      </c>
      <c r="C2995" t="s">
        <v>28</v>
      </c>
      <c r="H2995" s="2">
        <v>45262.549004629633</v>
      </c>
      <c r="I2995" t="s">
        <v>2148</v>
      </c>
      <c r="Z2995">
        <v>70612</v>
      </c>
    </row>
    <row r="2996" spans="1:26" x14ac:dyDescent="0.25">
      <c r="A2996" t="s">
        <v>3454</v>
      </c>
      <c r="B2996" t="s">
        <v>27</v>
      </c>
      <c r="C2996" t="s">
        <v>28</v>
      </c>
      <c r="H2996" s="2">
        <v>45262.546053240738</v>
      </c>
      <c r="I2996" t="s">
        <v>2791</v>
      </c>
      <c r="Z2996">
        <v>70611</v>
      </c>
    </row>
    <row r="2997" spans="1:26" x14ac:dyDescent="0.25">
      <c r="A2997" t="s">
        <v>3455</v>
      </c>
      <c r="B2997" t="s">
        <v>27</v>
      </c>
      <c r="C2997" t="s">
        <v>28</v>
      </c>
      <c r="H2997" s="2">
        <v>45262.534328703703</v>
      </c>
      <c r="I2997" t="s">
        <v>556</v>
      </c>
      <c r="Z2997">
        <v>70609</v>
      </c>
    </row>
    <row r="2998" spans="1:26" x14ac:dyDescent="0.25">
      <c r="A2998" t="s">
        <v>570</v>
      </c>
      <c r="C2998" t="s">
        <v>28</v>
      </c>
      <c r="E2998" t="s">
        <v>1215</v>
      </c>
      <c r="H2998" s="2">
        <v>45261.70753472222</v>
      </c>
      <c r="I2998" t="s">
        <v>556</v>
      </c>
      <c r="Z2998">
        <v>70588</v>
      </c>
    </row>
    <row r="2999" spans="1:26" x14ac:dyDescent="0.25">
      <c r="A2999" t="s">
        <v>3456</v>
      </c>
      <c r="B2999" t="s">
        <v>27</v>
      </c>
      <c r="C2999" t="s">
        <v>28</v>
      </c>
      <c r="H2999" s="2">
        <v>45261.703252314815</v>
      </c>
      <c r="I2999" t="s">
        <v>556</v>
      </c>
      <c r="Z2999">
        <v>70586</v>
      </c>
    </row>
    <row r="3000" spans="1:26" x14ac:dyDescent="0.25">
      <c r="A3000" t="s">
        <v>3457</v>
      </c>
      <c r="B3000" t="s">
        <v>27</v>
      </c>
      <c r="C3000" t="s">
        <v>333</v>
      </c>
      <c r="H3000" s="2">
        <v>45261.68240740741</v>
      </c>
      <c r="I3000" t="s">
        <v>2148</v>
      </c>
      <c r="Z3000">
        <v>70579</v>
      </c>
    </row>
    <row r="3001" spans="1:26" x14ac:dyDescent="0.25">
      <c r="A3001" t="s">
        <v>3458</v>
      </c>
      <c r="B3001" t="s">
        <v>27</v>
      </c>
      <c r="C3001" t="s">
        <v>28</v>
      </c>
      <c r="H3001" s="2">
        <v>45261.433148148149</v>
      </c>
      <c r="I3001" t="s">
        <v>556</v>
      </c>
      <c r="Z3001">
        <v>70541</v>
      </c>
    </row>
    <row r="3002" spans="1:26" x14ac:dyDescent="0.25">
      <c r="A3002" t="s">
        <v>3459</v>
      </c>
      <c r="B3002" t="s">
        <v>27</v>
      </c>
      <c r="C3002" t="s">
        <v>28</v>
      </c>
      <c r="H3002" s="2">
        <v>45259.642777777779</v>
      </c>
      <c r="I3002" t="s">
        <v>2001</v>
      </c>
      <c r="Z3002">
        <v>70432</v>
      </c>
    </row>
    <row r="3003" spans="1:26" x14ac:dyDescent="0.25">
      <c r="A3003" t="s">
        <v>3460</v>
      </c>
      <c r="B3003" t="s">
        <v>27</v>
      </c>
      <c r="C3003" t="s">
        <v>28</v>
      </c>
      <c r="H3003" s="2">
        <v>45258.741770833331</v>
      </c>
      <c r="I3003" t="s">
        <v>556</v>
      </c>
      <c r="Z3003">
        <v>70371</v>
      </c>
    </row>
    <row r="3004" spans="1:26" x14ac:dyDescent="0.25">
      <c r="A3004" t="s">
        <v>3461</v>
      </c>
      <c r="B3004" t="s">
        <v>27</v>
      </c>
      <c r="C3004" t="s">
        <v>28</v>
      </c>
      <c r="H3004" s="2">
        <v>45258.739849537036</v>
      </c>
      <c r="I3004" t="s">
        <v>2674</v>
      </c>
      <c r="Z3004">
        <v>70369</v>
      </c>
    </row>
    <row r="3005" spans="1:26" x14ac:dyDescent="0.25">
      <c r="A3005" t="s">
        <v>3462</v>
      </c>
      <c r="B3005" t="s">
        <v>27</v>
      </c>
      <c r="C3005" t="s">
        <v>28</v>
      </c>
      <c r="H3005" s="2">
        <v>45257.747175925928</v>
      </c>
      <c r="I3005" t="s">
        <v>3230</v>
      </c>
      <c r="Z3005">
        <v>70306</v>
      </c>
    </row>
    <row r="3006" spans="1:26" x14ac:dyDescent="0.25">
      <c r="A3006" t="s">
        <v>3463</v>
      </c>
      <c r="B3006" t="s">
        <v>306</v>
      </c>
      <c r="C3006" t="s">
        <v>28</v>
      </c>
      <c r="E3006" t="s">
        <v>3464</v>
      </c>
      <c r="H3006" s="2">
        <v>45257.618842592594</v>
      </c>
      <c r="I3006" t="s">
        <v>31</v>
      </c>
      <c r="K3006" t="s">
        <v>34</v>
      </c>
      <c r="L3006" t="s">
        <v>35</v>
      </c>
      <c r="M3006">
        <v>67131912</v>
      </c>
      <c r="N3006">
        <v>11953101697</v>
      </c>
      <c r="O3006" t="s">
        <v>3465</v>
      </c>
      <c r="Z3006">
        <v>70270</v>
      </c>
    </row>
    <row r="3007" spans="1:26" x14ac:dyDescent="0.25">
      <c r="A3007" t="s">
        <v>3466</v>
      </c>
      <c r="B3007" t="s">
        <v>1403</v>
      </c>
      <c r="C3007" t="s">
        <v>28</v>
      </c>
      <c r="E3007" t="s">
        <v>3467</v>
      </c>
      <c r="G3007" t="s">
        <v>3468</v>
      </c>
      <c r="H3007" s="2">
        <v>45257.601319444446</v>
      </c>
      <c r="I3007" t="s">
        <v>31</v>
      </c>
      <c r="Z3007">
        <v>70267</v>
      </c>
    </row>
    <row r="3008" spans="1:26" x14ac:dyDescent="0.25">
      <c r="A3008" t="s">
        <v>3469</v>
      </c>
      <c r="B3008" t="s">
        <v>74</v>
      </c>
      <c r="C3008" t="s">
        <v>28</v>
      </c>
      <c r="E3008" t="s">
        <v>1516</v>
      </c>
      <c r="G3008" t="s">
        <v>3470</v>
      </c>
      <c r="H3008" s="2">
        <v>45257.512650462966</v>
      </c>
      <c r="I3008" t="s">
        <v>556</v>
      </c>
      <c r="Z3008">
        <v>70259</v>
      </c>
    </row>
    <row r="3009" spans="1:26" x14ac:dyDescent="0.25">
      <c r="A3009" t="s">
        <v>3471</v>
      </c>
      <c r="B3009" t="s">
        <v>27</v>
      </c>
      <c r="C3009" t="s">
        <v>28</v>
      </c>
      <c r="H3009" s="2">
        <v>45257.405057870368</v>
      </c>
      <c r="I3009" t="s">
        <v>31</v>
      </c>
      <c r="Z3009">
        <v>70237</v>
      </c>
    </row>
    <row r="3010" spans="1:26" x14ac:dyDescent="0.25">
      <c r="A3010" t="s">
        <v>3472</v>
      </c>
      <c r="B3010" t="s">
        <v>27</v>
      </c>
      <c r="C3010" t="s">
        <v>28</v>
      </c>
      <c r="H3010" s="2">
        <v>45256.753807870373</v>
      </c>
      <c r="I3010" t="s">
        <v>2148</v>
      </c>
      <c r="Z3010">
        <v>70224</v>
      </c>
    </row>
    <row r="3011" spans="1:26" x14ac:dyDescent="0.25">
      <c r="A3011" t="s">
        <v>3473</v>
      </c>
      <c r="B3011" t="s">
        <v>27</v>
      </c>
      <c r="C3011" t="s">
        <v>28</v>
      </c>
      <c r="H3011" s="2">
        <v>45256.632326388892</v>
      </c>
      <c r="I3011" t="s">
        <v>2791</v>
      </c>
      <c r="Z3011">
        <v>70217</v>
      </c>
    </row>
    <row r="3012" spans="1:26" x14ac:dyDescent="0.25">
      <c r="A3012" t="s">
        <v>3474</v>
      </c>
      <c r="B3012" t="s">
        <v>27</v>
      </c>
      <c r="C3012" t="s">
        <v>28</v>
      </c>
      <c r="H3012" s="2">
        <v>45256.605578703704</v>
      </c>
      <c r="I3012" t="s">
        <v>2674</v>
      </c>
      <c r="Z3012">
        <v>70215</v>
      </c>
    </row>
    <row r="3013" spans="1:26" x14ac:dyDescent="0.25">
      <c r="A3013" t="s">
        <v>3475</v>
      </c>
      <c r="B3013" t="s">
        <v>1708</v>
      </c>
      <c r="C3013" t="s">
        <v>28</v>
      </c>
      <c r="E3013" t="s">
        <v>763</v>
      </c>
      <c r="H3013" s="2">
        <v>45256.447708333333</v>
      </c>
      <c r="I3013" t="s">
        <v>556</v>
      </c>
      <c r="K3013" t="s">
        <v>34</v>
      </c>
      <c r="L3013" t="s">
        <v>35</v>
      </c>
      <c r="M3013">
        <v>55887089</v>
      </c>
      <c r="N3013">
        <v>12886132962</v>
      </c>
      <c r="O3013" t="s">
        <v>3476</v>
      </c>
      <c r="Z3013">
        <v>70201</v>
      </c>
    </row>
    <row r="3014" spans="1:26" x14ac:dyDescent="0.25">
      <c r="A3014" t="s">
        <v>1992</v>
      </c>
      <c r="B3014" t="s">
        <v>1403</v>
      </c>
      <c r="C3014" t="s">
        <v>28</v>
      </c>
      <c r="E3014" t="s">
        <v>370</v>
      </c>
      <c r="H3014" s="2">
        <v>45255.865370370368</v>
      </c>
      <c r="I3014" t="s">
        <v>556</v>
      </c>
      <c r="Z3014">
        <v>70190</v>
      </c>
    </row>
    <row r="3015" spans="1:26" x14ac:dyDescent="0.25">
      <c r="A3015" t="s">
        <v>3477</v>
      </c>
      <c r="B3015" t="s">
        <v>27</v>
      </c>
      <c r="C3015" t="s">
        <v>28</v>
      </c>
      <c r="H3015" s="2">
        <v>45255.642685185187</v>
      </c>
      <c r="I3015" t="s">
        <v>2148</v>
      </c>
      <c r="Z3015">
        <v>70179</v>
      </c>
    </row>
    <row r="3016" spans="1:26" x14ac:dyDescent="0.25">
      <c r="A3016" t="s">
        <v>3478</v>
      </c>
      <c r="B3016" t="s">
        <v>27</v>
      </c>
      <c r="C3016" t="s">
        <v>28</v>
      </c>
      <c r="H3016" s="2">
        <v>45255.47515046296</v>
      </c>
      <c r="I3016" t="s">
        <v>2791</v>
      </c>
      <c r="Z3016">
        <v>70153</v>
      </c>
    </row>
    <row r="3017" spans="1:26" x14ac:dyDescent="0.25">
      <c r="A3017" t="s">
        <v>3405</v>
      </c>
      <c r="B3017" t="s">
        <v>27</v>
      </c>
      <c r="C3017" t="s">
        <v>28</v>
      </c>
      <c r="H3017" s="2">
        <v>45254.804282407407</v>
      </c>
      <c r="I3017" t="s">
        <v>2674</v>
      </c>
      <c r="Z3017">
        <v>70142</v>
      </c>
    </row>
    <row r="3018" spans="1:26" x14ac:dyDescent="0.25">
      <c r="A3018" t="s">
        <v>3479</v>
      </c>
      <c r="B3018" t="s">
        <v>27</v>
      </c>
      <c r="C3018" t="s">
        <v>28</v>
      </c>
      <c r="H3018" s="2">
        <v>45253.74722222222</v>
      </c>
      <c r="I3018" t="s">
        <v>3230</v>
      </c>
      <c r="Z3018">
        <v>70102</v>
      </c>
    </row>
    <row r="3019" spans="1:26" x14ac:dyDescent="0.25">
      <c r="A3019" t="s">
        <v>3480</v>
      </c>
      <c r="B3019" t="s">
        <v>27</v>
      </c>
      <c r="C3019" t="s">
        <v>28</v>
      </c>
      <c r="H3019" s="2">
        <v>45253.646921296298</v>
      </c>
      <c r="I3019" t="s">
        <v>3230</v>
      </c>
      <c r="Z3019">
        <v>70084</v>
      </c>
    </row>
    <row r="3020" spans="1:26" x14ac:dyDescent="0.25">
      <c r="A3020" t="s">
        <v>3481</v>
      </c>
      <c r="B3020" t="s">
        <v>27</v>
      </c>
      <c r="C3020" t="s">
        <v>28</v>
      </c>
      <c r="H3020" s="2">
        <v>45253.617685185185</v>
      </c>
      <c r="I3020" t="s">
        <v>2674</v>
      </c>
      <c r="Z3020">
        <v>70077</v>
      </c>
    </row>
    <row r="3021" spans="1:26" x14ac:dyDescent="0.25">
      <c r="A3021" t="s">
        <v>3482</v>
      </c>
      <c r="B3021" t="s">
        <v>74</v>
      </c>
      <c r="C3021" t="s">
        <v>28</v>
      </c>
      <c r="E3021" t="s">
        <v>212</v>
      </c>
      <c r="G3021" t="s">
        <v>3483</v>
      </c>
      <c r="H3021" s="2">
        <v>45253.382673611108</v>
      </c>
      <c r="I3021" t="s">
        <v>2681</v>
      </c>
      <c r="Z3021">
        <v>70043</v>
      </c>
    </row>
    <row r="3022" spans="1:26" x14ac:dyDescent="0.25">
      <c r="A3022" t="s">
        <v>3484</v>
      </c>
      <c r="B3022" t="s">
        <v>27</v>
      </c>
      <c r="C3022" t="s">
        <v>28</v>
      </c>
      <c r="H3022" s="2">
        <v>45252.854351851849</v>
      </c>
      <c r="I3022" t="s">
        <v>2681</v>
      </c>
      <c r="Z3022">
        <v>70031</v>
      </c>
    </row>
    <row r="3023" spans="1:26" x14ac:dyDescent="0.25">
      <c r="A3023" t="s">
        <v>3485</v>
      </c>
      <c r="B3023" t="s">
        <v>27</v>
      </c>
      <c r="C3023" t="s">
        <v>28</v>
      </c>
      <c r="H3023" s="2">
        <v>45252.734502314815</v>
      </c>
      <c r="I3023" t="s">
        <v>31</v>
      </c>
      <c r="Z3023">
        <v>70019</v>
      </c>
    </row>
    <row r="3024" spans="1:26" x14ac:dyDescent="0.25">
      <c r="A3024" t="s">
        <v>3486</v>
      </c>
      <c r="B3024" t="s">
        <v>27</v>
      </c>
      <c r="C3024" t="s">
        <v>28</v>
      </c>
      <c r="H3024" s="2">
        <v>45252.55678240741</v>
      </c>
      <c r="I3024" t="s">
        <v>31</v>
      </c>
      <c r="Z3024">
        <v>69988</v>
      </c>
    </row>
    <row r="3025" spans="1:26" x14ac:dyDescent="0.25">
      <c r="A3025" t="s">
        <v>3487</v>
      </c>
      <c r="B3025" t="s">
        <v>27</v>
      </c>
      <c r="C3025" t="s">
        <v>28</v>
      </c>
      <c r="H3025" s="2">
        <v>45252.452361111114</v>
      </c>
      <c r="I3025" t="s">
        <v>31</v>
      </c>
      <c r="Z3025">
        <v>69978</v>
      </c>
    </row>
    <row r="3026" spans="1:26" x14ac:dyDescent="0.25">
      <c r="A3026" t="s">
        <v>3488</v>
      </c>
      <c r="B3026" t="s">
        <v>27</v>
      </c>
      <c r="C3026" t="s">
        <v>28</v>
      </c>
      <c r="H3026" s="2">
        <v>45251.678194444445</v>
      </c>
      <c r="I3026" t="s">
        <v>556</v>
      </c>
      <c r="Z3026">
        <v>69942</v>
      </c>
    </row>
    <row r="3027" spans="1:26" x14ac:dyDescent="0.25">
      <c r="A3027" t="s">
        <v>3489</v>
      </c>
      <c r="B3027" t="s">
        <v>1708</v>
      </c>
      <c r="C3027" t="s">
        <v>28</v>
      </c>
      <c r="E3027" t="s">
        <v>598</v>
      </c>
      <c r="H3027" s="2">
        <v>45251.619976851849</v>
      </c>
      <c r="I3027" t="s">
        <v>556</v>
      </c>
      <c r="Z3027">
        <v>69935</v>
      </c>
    </row>
    <row r="3028" spans="1:26" x14ac:dyDescent="0.25">
      <c r="A3028" t="s">
        <v>3490</v>
      </c>
      <c r="B3028" t="s">
        <v>27</v>
      </c>
      <c r="C3028" t="s">
        <v>28</v>
      </c>
      <c r="H3028" s="2">
        <v>45251.469849537039</v>
      </c>
      <c r="I3028" t="s">
        <v>31</v>
      </c>
      <c r="Z3028">
        <v>69914</v>
      </c>
    </row>
    <row r="3029" spans="1:26" x14ac:dyDescent="0.25">
      <c r="A3029" t="s">
        <v>3491</v>
      </c>
      <c r="C3029" t="s">
        <v>28</v>
      </c>
      <c r="E3029" t="s">
        <v>3492</v>
      </c>
      <c r="H3029" s="2">
        <v>45251.441481481481</v>
      </c>
      <c r="I3029" t="s">
        <v>31</v>
      </c>
      <c r="Z3029">
        <v>69910</v>
      </c>
    </row>
    <row r="3030" spans="1:26" x14ac:dyDescent="0.25">
      <c r="A3030" t="s">
        <v>3493</v>
      </c>
      <c r="B3030" t="s">
        <v>27</v>
      </c>
      <c r="C3030" t="s">
        <v>28</v>
      </c>
      <c r="H3030" s="2">
        <v>45251.441481481481</v>
      </c>
      <c r="I3030" t="s">
        <v>556</v>
      </c>
      <c r="Z3030">
        <v>69909</v>
      </c>
    </row>
    <row r="3031" spans="1:26" x14ac:dyDescent="0.25">
      <c r="A3031" t="s">
        <v>3494</v>
      </c>
      <c r="B3031" t="s">
        <v>27</v>
      </c>
      <c r="C3031" t="s">
        <v>28</v>
      </c>
      <c r="H3031" s="2">
        <v>45251.433356481481</v>
      </c>
      <c r="I3031" t="s">
        <v>556</v>
      </c>
      <c r="Z3031">
        <v>69907</v>
      </c>
    </row>
    <row r="3032" spans="1:26" x14ac:dyDescent="0.25">
      <c r="A3032" t="s">
        <v>3495</v>
      </c>
      <c r="B3032" t="s">
        <v>1708</v>
      </c>
      <c r="C3032" t="s">
        <v>28</v>
      </c>
      <c r="E3032" t="s">
        <v>3496</v>
      </c>
      <c r="H3032" s="2">
        <v>45250.824895833335</v>
      </c>
      <c r="I3032" t="s">
        <v>31</v>
      </c>
      <c r="Z3032">
        <v>69895</v>
      </c>
    </row>
    <row r="3033" spans="1:26" x14ac:dyDescent="0.25">
      <c r="A3033" t="s">
        <v>3497</v>
      </c>
      <c r="B3033" t="s">
        <v>1403</v>
      </c>
      <c r="C3033" t="s">
        <v>28</v>
      </c>
      <c r="E3033" t="s">
        <v>598</v>
      </c>
      <c r="H3033" s="2">
        <v>45250.702511574076</v>
      </c>
      <c r="I3033" t="s">
        <v>31</v>
      </c>
      <c r="K3033" t="s">
        <v>34</v>
      </c>
      <c r="L3033" t="s">
        <v>35</v>
      </c>
      <c r="M3033">
        <v>67131912</v>
      </c>
      <c r="N3033">
        <v>11953101697</v>
      </c>
      <c r="O3033" t="s">
        <v>461</v>
      </c>
      <c r="Z3033">
        <v>69880</v>
      </c>
    </row>
    <row r="3034" spans="1:26" x14ac:dyDescent="0.25">
      <c r="A3034" t="s">
        <v>3498</v>
      </c>
      <c r="B3034" t="s">
        <v>27</v>
      </c>
      <c r="C3034" t="s">
        <v>28</v>
      </c>
      <c r="H3034" s="2">
        <v>45250.433159722219</v>
      </c>
      <c r="I3034" t="s">
        <v>556</v>
      </c>
      <c r="Z3034">
        <v>69825</v>
      </c>
    </row>
    <row r="3035" spans="1:26" x14ac:dyDescent="0.25">
      <c r="A3035" t="s">
        <v>3499</v>
      </c>
      <c r="B3035" t="s">
        <v>1708</v>
      </c>
      <c r="C3035" t="s">
        <v>28</v>
      </c>
      <c r="E3035" t="s">
        <v>101</v>
      </c>
      <c r="H3035" s="2">
        <v>45250.361504629633</v>
      </c>
      <c r="I3035" t="s">
        <v>2148</v>
      </c>
      <c r="Z3035">
        <v>69815</v>
      </c>
    </row>
    <row r="3036" spans="1:26" x14ac:dyDescent="0.25">
      <c r="A3036" t="s">
        <v>3500</v>
      </c>
      <c r="B3036" t="s">
        <v>27</v>
      </c>
      <c r="C3036" t="s">
        <v>2219</v>
      </c>
      <c r="H3036" s="2">
        <v>45249.723402777781</v>
      </c>
      <c r="I3036" t="s">
        <v>2148</v>
      </c>
      <c r="Z3036">
        <v>69792</v>
      </c>
    </row>
    <row r="3037" spans="1:26" x14ac:dyDescent="0.25">
      <c r="A3037" t="s">
        <v>3501</v>
      </c>
      <c r="B3037" t="s">
        <v>27</v>
      </c>
      <c r="C3037" t="s">
        <v>28</v>
      </c>
      <c r="H3037" s="2">
        <v>45249.569641203707</v>
      </c>
      <c r="I3037" t="s">
        <v>556</v>
      </c>
      <c r="Z3037">
        <v>69763</v>
      </c>
    </row>
    <row r="3038" spans="1:26" x14ac:dyDescent="0.25">
      <c r="A3038" t="s">
        <v>3502</v>
      </c>
      <c r="B3038" t="s">
        <v>27</v>
      </c>
      <c r="C3038" t="s">
        <v>28</v>
      </c>
      <c r="H3038" s="2">
        <v>45248.563252314816</v>
      </c>
      <c r="I3038" t="s">
        <v>3230</v>
      </c>
      <c r="Z3038">
        <v>69680</v>
      </c>
    </row>
    <row r="3039" spans="1:26" x14ac:dyDescent="0.25">
      <c r="A3039" t="s">
        <v>3503</v>
      </c>
      <c r="B3039" t="s">
        <v>27</v>
      </c>
      <c r="C3039" t="s">
        <v>28</v>
      </c>
      <c r="H3039" s="2">
        <v>45248.558229166665</v>
      </c>
      <c r="I3039" t="s">
        <v>2674</v>
      </c>
      <c r="Z3039">
        <v>69679</v>
      </c>
    </row>
    <row r="3040" spans="1:26" x14ac:dyDescent="0.25">
      <c r="A3040" t="s">
        <v>3504</v>
      </c>
      <c r="B3040" t="s">
        <v>27</v>
      </c>
      <c r="C3040" t="s">
        <v>28</v>
      </c>
      <c r="E3040">
        <v>79297064414</v>
      </c>
      <c r="H3040" s="2">
        <v>45248.48064814815</v>
      </c>
      <c r="I3040" t="s">
        <v>2681</v>
      </c>
      <c r="Z3040">
        <v>69661</v>
      </c>
    </row>
    <row r="3041" spans="1:26" x14ac:dyDescent="0.25">
      <c r="A3041" t="s">
        <v>1976</v>
      </c>
      <c r="B3041" t="s">
        <v>1708</v>
      </c>
      <c r="C3041" t="s">
        <v>28</v>
      </c>
      <c r="E3041" t="s">
        <v>1653</v>
      </c>
      <c r="H3041" s="2">
        <v>45248.471921296295</v>
      </c>
      <c r="I3041" t="s">
        <v>2681</v>
      </c>
      <c r="K3041" t="s">
        <v>34</v>
      </c>
      <c r="L3041" t="s">
        <v>35</v>
      </c>
      <c r="M3041">
        <v>55887083</v>
      </c>
      <c r="N3041">
        <v>9754618980</v>
      </c>
      <c r="O3041" t="s">
        <v>3505</v>
      </c>
      <c r="Z3041">
        <v>69657</v>
      </c>
    </row>
    <row r="3042" spans="1:26" x14ac:dyDescent="0.25">
      <c r="A3042" t="s">
        <v>3506</v>
      </c>
      <c r="B3042" t="s">
        <v>1708</v>
      </c>
      <c r="C3042" t="s">
        <v>28</v>
      </c>
      <c r="E3042" t="s">
        <v>3507</v>
      </c>
      <c r="H3042" s="2">
        <v>45246.579479166663</v>
      </c>
      <c r="I3042" t="s">
        <v>2681</v>
      </c>
      <c r="Z3042">
        <v>69478</v>
      </c>
    </row>
    <row r="3043" spans="1:26" x14ac:dyDescent="0.25">
      <c r="A3043" t="s">
        <v>3508</v>
      </c>
      <c r="B3043" t="s">
        <v>27</v>
      </c>
      <c r="C3043" t="s">
        <v>28</v>
      </c>
      <c r="H3043" s="2">
        <v>45246.502916666665</v>
      </c>
      <c r="I3043" t="s">
        <v>556</v>
      </c>
      <c r="Z3043">
        <v>69457</v>
      </c>
    </row>
    <row r="3044" spans="1:26" x14ac:dyDescent="0.25">
      <c r="A3044" t="s">
        <v>3509</v>
      </c>
      <c r="B3044" t="s">
        <v>27</v>
      </c>
      <c r="C3044" t="s">
        <v>28</v>
      </c>
      <c r="H3044" s="2">
        <v>45246.480092592596</v>
      </c>
      <c r="I3044" t="s">
        <v>3230</v>
      </c>
      <c r="Z3044">
        <v>69454</v>
      </c>
    </row>
    <row r="3045" spans="1:26" x14ac:dyDescent="0.25">
      <c r="A3045" t="s">
        <v>3510</v>
      </c>
      <c r="B3045" t="s">
        <v>27</v>
      </c>
      <c r="C3045" t="s">
        <v>28</v>
      </c>
      <c r="H3045" s="2">
        <v>45246.414004629631</v>
      </c>
      <c r="I3045" t="s">
        <v>3230</v>
      </c>
      <c r="Z3045">
        <v>69434</v>
      </c>
    </row>
    <row r="3046" spans="1:26" x14ac:dyDescent="0.25">
      <c r="A3046" t="s">
        <v>3511</v>
      </c>
      <c r="B3046" t="s">
        <v>2162</v>
      </c>
      <c r="C3046" t="s">
        <v>28</v>
      </c>
      <c r="E3046" t="s">
        <v>1284</v>
      </c>
      <c r="H3046" s="2">
        <v>45245.867094907408</v>
      </c>
      <c r="I3046" t="s">
        <v>2681</v>
      </c>
      <c r="K3046" t="s">
        <v>34</v>
      </c>
      <c r="L3046" t="s">
        <v>35</v>
      </c>
      <c r="M3046">
        <v>55887089</v>
      </c>
      <c r="N3046">
        <v>9754619162</v>
      </c>
      <c r="O3046" t="s">
        <v>3512</v>
      </c>
      <c r="Z3046">
        <v>69426</v>
      </c>
    </row>
    <row r="3047" spans="1:26" x14ac:dyDescent="0.25">
      <c r="A3047" t="s">
        <v>3513</v>
      </c>
      <c r="B3047" t="s">
        <v>27</v>
      </c>
      <c r="C3047" t="s">
        <v>28</v>
      </c>
      <c r="H3047" s="2">
        <v>45245.783518518518</v>
      </c>
      <c r="I3047" t="s">
        <v>3230</v>
      </c>
      <c r="Z3047">
        <v>69410</v>
      </c>
    </row>
    <row r="3048" spans="1:26" x14ac:dyDescent="0.25">
      <c r="A3048" t="s">
        <v>3514</v>
      </c>
      <c r="B3048" t="s">
        <v>27</v>
      </c>
      <c r="C3048" t="s">
        <v>28</v>
      </c>
      <c r="H3048" s="2">
        <v>45245.525219907409</v>
      </c>
      <c r="I3048" t="s">
        <v>31</v>
      </c>
      <c r="Z3048">
        <v>69362</v>
      </c>
    </row>
    <row r="3049" spans="1:26" x14ac:dyDescent="0.25">
      <c r="A3049" t="s">
        <v>3515</v>
      </c>
      <c r="B3049" t="s">
        <v>27</v>
      </c>
      <c r="C3049" t="s">
        <v>28</v>
      </c>
      <c r="E3049" t="s">
        <v>3516</v>
      </c>
      <c r="H3049" s="2">
        <v>45245.514097222222</v>
      </c>
      <c r="I3049" t="s">
        <v>31</v>
      </c>
      <c r="Z3049">
        <v>69360</v>
      </c>
    </row>
    <row r="3050" spans="1:26" x14ac:dyDescent="0.25">
      <c r="A3050" t="s">
        <v>3517</v>
      </c>
      <c r="B3050" t="s">
        <v>27</v>
      </c>
      <c r="C3050" t="s">
        <v>28</v>
      </c>
      <c r="H3050" s="2">
        <v>45244.52857638889</v>
      </c>
      <c r="I3050" t="s">
        <v>2148</v>
      </c>
      <c r="Z3050">
        <v>69274</v>
      </c>
    </row>
    <row r="3051" spans="1:26" x14ac:dyDescent="0.25">
      <c r="A3051" t="s">
        <v>2128</v>
      </c>
      <c r="B3051" t="s">
        <v>27</v>
      </c>
      <c r="C3051" t="s">
        <v>28</v>
      </c>
      <c r="H3051" s="2">
        <v>45244.459317129629</v>
      </c>
      <c r="I3051" t="s">
        <v>31</v>
      </c>
      <c r="Z3051">
        <v>69257</v>
      </c>
    </row>
    <row r="3052" spans="1:26" x14ac:dyDescent="0.25">
      <c r="A3052" t="s">
        <v>3518</v>
      </c>
      <c r="B3052" t="s">
        <v>27</v>
      </c>
      <c r="C3052" t="s">
        <v>333</v>
      </c>
      <c r="H3052" s="2">
        <v>45244.430277777778</v>
      </c>
      <c r="I3052" t="s">
        <v>2148</v>
      </c>
      <c r="Z3052">
        <v>69249</v>
      </c>
    </row>
    <row r="3053" spans="1:26" x14ac:dyDescent="0.25">
      <c r="A3053" t="s">
        <v>3519</v>
      </c>
      <c r="B3053" t="s">
        <v>1403</v>
      </c>
      <c r="C3053" t="s">
        <v>28</v>
      </c>
      <c r="E3053" t="s">
        <v>3520</v>
      </c>
      <c r="H3053" s="2">
        <v>45243.674178240741</v>
      </c>
      <c r="I3053" t="s">
        <v>2791</v>
      </c>
      <c r="Z3053">
        <v>69215</v>
      </c>
    </row>
    <row r="3054" spans="1:26" x14ac:dyDescent="0.25">
      <c r="A3054" t="s">
        <v>3521</v>
      </c>
      <c r="B3054" t="s">
        <v>27</v>
      </c>
      <c r="C3054" t="s">
        <v>28</v>
      </c>
      <c r="H3054" s="2">
        <v>45243.556805555556</v>
      </c>
      <c r="I3054" t="s">
        <v>2148</v>
      </c>
      <c r="Z3054">
        <v>69185</v>
      </c>
    </row>
    <row r="3055" spans="1:26" x14ac:dyDescent="0.25">
      <c r="A3055" t="s">
        <v>3522</v>
      </c>
      <c r="B3055" t="s">
        <v>27</v>
      </c>
      <c r="C3055" t="s">
        <v>28</v>
      </c>
      <c r="H3055" s="2">
        <v>45242.485578703701</v>
      </c>
      <c r="I3055" t="s">
        <v>2148</v>
      </c>
      <c r="Z3055">
        <v>69085</v>
      </c>
    </row>
    <row r="3056" spans="1:26" x14ac:dyDescent="0.25">
      <c r="A3056" t="s">
        <v>3523</v>
      </c>
      <c r="B3056" t="s">
        <v>1403</v>
      </c>
      <c r="C3056" t="s">
        <v>28</v>
      </c>
      <c r="E3056" t="s">
        <v>3524</v>
      </c>
      <c r="H3056" s="2">
        <v>45242.45412037037</v>
      </c>
      <c r="I3056" t="s">
        <v>2681</v>
      </c>
      <c r="Z3056">
        <v>69080</v>
      </c>
    </row>
    <row r="3057" spans="1:26" x14ac:dyDescent="0.25">
      <c r="A3057" t="s">
        <v>3506</v>
      </c>
      <c r="B3057" t="s">
        <v>1708</v>
      </c>
      <c r="C3057" t="s">
        <v>185</v>
      </c>
      <c r="E3057" t="s">
        <v>3507</v>
      </c>
      <c r="H3057" s="2">
        <v>45242.421446759261</v>
      </c>
      <c r="I3057" t="s">
        <v>2681</v>
      </c>
      <c r="Z3057">
        <v>69077</v>
      </c>
    </row>
    <row r="3058" spans="1:26" x14ac:dyDescent="0.25">
      <c r="A3058" t="s">
        <v>3525</v>
      </c>
      <c r="B3058" t="s">
        <v>27</v>
      </c>
      <c r="C3058" t="s">
        <v>28</v>
      </c>
      <c r="H3058" s="2">
        <v>45241.590937499997</v>
      </c>
      <c r="I3058" t="s">
        <v>2674</v>
      </c>
      <c r="Z3058">
        <v>69019</v>
      </c>
    </row>
    <row r="3059" spans="1:26" x14ac:dyDescent="0.25">
      <c r="A3059" t="s">
        <v>3526</v>
      </c>
      <c r="B3059" t="s">
        <v>27</v>
      </c>
      <c r="C3059" t="s">
        <v>28</v>
      </c>
      <c r="H3059" s="2">
        <v>45241.5159375</v>
      </c>
      <c r="I3059" t="s">
        <v>3230</v>
      </c>
      <c r="Z3059">
        <v>69000</v>
      </c>
    </row>
    <row r="3060" spans="1:26" x14ac:dyDescent="0.25">
      <c r="A3060" t="s">
        <v>3527</v>
      </c>
      <c r="B3060" t="s">
        <v>27</v>
      </c>
      <c r="C3060" t="s">
        <v>28</v>
      </c>
      <c r="H3060" s="2">
        <v>45240.764166666668</v>
      </c>
      <c r="I3060" t="s">
        <v>2791</v>
      </c>
      <c r="Z3060">
        <v>68966</v>
      </c>
    </row>
    <row r="3061" spans="1:26" x14ac:dyDescent="0.25">
      <c r="A3061" t="s">
        <v>3528</v>
      </c>
      <c r="B3061" t="s">
        <v>27</v>
      </c>
      <c r="C3061" t="s">
        <v>28</v>
      </c>
      <c r="H3061" s="2">
        <v>45240.64335648148</v>
      </c>
      <c r="I3061" t="s">
        <v>2791</v>
      </c>
      <c r="Z3061">
        <v>68945</v>
      </c>
    </row>
    <row r="3062" spans="1:26" x14ac:dyDescent="0.25">
      <c r="A3062" t="s">
        <v>3529</v>
      </c>
      <c r="B3062" t="s">
        <v>27</v>
      </c>
      <c r="C3062" t="s">
        <v>28</v>
      </c>
      <c r="H3062" s="2">
        <v>45240.569861111115</v>
      </c>
      <c r="I3062" t="s">
        <v>31</v>
      </c>
      <c r="Z3062">
        <v>68927</v>
      </c>
    </row>
    <row r="3063" spans="1:26" x14ac:dyDescent="0.25">
      <c r="A3063" t="s">
        <v>3530</v>
      </c>
      <c r="B3063" t="s">
        <v>27</v>
      </c>
      <c r="C3063" t="s">
        <v>28</v>
      </c>
      <c r="H3063" s="2">
        <v>45238.62462962963</v>
      </c>
      <c r="I3063" t="s">
        <v>556</v>
      </c>
      <c r="Z3063">
        <v>68804</v>
      </c>
    </row>
    <row r="3064" spans="1:26" x14ac:dyDescent="0.25">
      <c r="A3064" t="s">
        <v>3531</v>
      </c>
      <c r="B3064" t="s">
        <v>27</v>
      </c>
      <c r="C3064" t="s">
        <v>28</v>
      </c>
      <c r="H3064" s="2">
        <v>45238.577916666669</v>
      </c>
      <c r="I3064" t="s">
        <v>556</v>
      </c>
      <c r="Z3064">
        <v>68791</v>
      </c>
    </row>
    <row r="3065" spans="1:26" x14ac:dyDescent="0.25">
      <c r="A3065" t="s">
        <v>3532</v>
      </c>
      <c r="B3065" t="s">
        <v>27</v>
      </c>
      <c r="C3065" t="s">
        <v>28</v>
      </c>
      <c r="H3065" s="2">
        <v>45238.513842592591</v>
      </c>
      <c r="I3065" t="s">
        <v>2148</v>
      </c>
      <c r="Z3065">
        <v>68775</v>
      </c>
    </row>
    <row r="3066" spans="1:26" x14ac:dyDescent="0.25">
      <c r="A3066" t="s">
        <v>3533</v>
      </c>
      <c r="B3066" t="s">
        <v>27</v>
      </c>
      <c r="C3066" t="s">
        <v>28</v>
      </c>
      <c r="H3066" s="2">
        <v>45238.482812499999</v>
      </c>
      <c r="I3066" t="s">
        <v>2791</v>
      </c>
      <c r="Z3066">
        <v>68767</v>
      </c>
    </row>
    <row r="3067" spans="1:26" x14ac:dyDescent="0.25">
      <c r="A3067" t="s">
        <v>663</v>
      </c>
      <c r="C3067" t="s">
        <v>28</v>
      </c>
      <c r="E3067" t="s">
        <v>3534</v>
      </c>
      <c r="H3067" s="2">
        <v>45237.749930555554</v>
      </c>
      <c r="I3067" t="s">
        <v>556</v>
      </c>
      <c r="Z3067">
        <v>68741</v>
      </c>
    </row>
    <row r="3068" spans="1:26" x14ac:dyDescent="0.25">
      <c r="A3068" t="s">
        <v>3535</v>
      </c>
      <c r="B3068" t="s">
        <v>27</v>
      </c>
      <c r="C3068" t="s">
        <v>28</v>
      </c>
      <c r="H3068" s="2">
        <v>45237.563263888886</v>
      </c>
      <c r="I3068" t="s">
        <v>2674</v>
      </c>
      <c r="Z3068">
        <v>68707</v>
      </c>
    </row>
    <row r="3069" spans="1:26" x14ac:dyDescent="0.25">
      <c r="A3069" t="s">
        <v>3536</v>
      </c>
      <c r="B3069" t="s">
        <v>27</v>
      </c>
      <c r="C3069" t="s">
        <v>28</v>
      </c>
      <c r="H3069" s="2">
        <v>45237.553726851853</v>
      </c>
      <c r="I3069" t="s">
        <v>2674</v>
      </c>
      <c r="Z3069">
        <v>68704</v>
      </c>
    </row>
    <row r="3070" spans="1:26" x14ac:dyDescent="0.25">
      <c r="A3070" t="s">
        <v>3537</v>
      </c>
      <c r="B3070" t="s">
        <v>27</v>
      </c>
      <c r="C3070" t="s">
        <v>28</v>
      </c>
      <c r="H3070" s="2">
        <v>45237.524733796294</v>
      </c>
      <c r="I3070" t="s">
        <v>556</v>
      </c>
      <c r="Z3070">
        <v>68696</v>
      </c>
    </row>
    <row r="3071" spans="1:26" x14ac:dyDescent="0.25">
      <c r="A3071" t="s">
        <v>3538</v>
      </c>
      <c r="B3071" t="s">
        <v>27</v>
      </c>
      <c r="C3071" t="s">
        <v>28</v>
      </c>
      <c r="H3071" s="2">
        <v>45236.890694444446</v>
      </c>
      <c r="I3071" t="s">
        <v>2674</v>
      </c>
      <c r="Z3071">
        <v>68655</v>
      </c>
    </row>
    <row r="3072" spans="1:26" x14ac:dyDescent="0.25">
      <c r="A3072" t="s">
        <v>3539</v>
      </c>
      <c r="B3072" t="s">
        <v>27</v>
      </c>
      <c r="C3072" t="s">
        <v>28</v>
      </c>
      <c r="H3072" s="2">
        <v>45236.504849537036</v>
      </c>
      <c r="I3072" t="s">
        <v>2681</v>
      </c>
      <c r="Z3072">
        <v>68596</v>
      </c>
    </row>
    <row r="3073" spans="1:26" x14ac:dyDescent="0.25">
      <c r="A3073" t="s">
        <v>3540</v>
      </c>
      <c r="B3073" t="s">
        <v>1993</v>
      </c>
      <c r="C3073" t="s">
        <v>28</v>
      </c>
      <c r="E3073" t="s">
        <v>626</v>
      </c>
      <c r="G3073" t="s">
        <v>3541</v>
      </c>
      <c r="H3073" s="2">
        <v>45236.401284722226</v>
      </c>
      <c r="I3073" t="s">
        <v>2681</v>
      </c>
      <c r="Z3073">
        <v>68584</v>
      </c>
    </row>
    <row r="3074" spans="1:26" x14ac:dyDescent="0.25">
      <c r="A3074" t="s">
        <v>3542</v>
      </c>
      <c r="B3074" t="s">
        <v>27</v>
      </c>
      <c r="C3074" t="s">
        <v>28</v>
      </c>
      <c r="H3074" s="2">
        <v>45235.712951388887</v>
      </c>
      <c r="I3074" t="s">
        <v>2148</v>
      </c>
      <c r="Z3074">
        <v>68561</v>
      </c>
    </row>
    <row r="3075" spans="1:26" x14ac:dyDescent="0.25">
      <c r="A3075" t="s">
        <v>3543</v>
      </c>
      <c r="B3075" t="s">
        <v>27</v>
      </c>
      <c r="C3075" t="s">
        <v>28</v>
      </c>
      <c r="H3075" s="2">
        <v>45235.519317129627</v>
      </c>
      <c r="I3075" t="s">
        <v>3230</v>
      </c>
      <c r="Z3075">
        <v>68524</v>
      </c>
    </row>
    <row r="3076" spans="1:26" x14ac:dyDescent="0.25">
      <c r="A3076" t="s">
        <v>663</v>
      </c>
      <c r="C3076" t="s">
        <v>28</v>
      </c>
      <c r="E3076" t="s">
        <v>209</v>
      </c>
      <c r="H3076" s="2">
        <v>45235.446886574071</v>
      </c>
      <c r="I3076" t="s">
        <v>2681</v>
      </c>
      <c r="Z3076">
        <v>68513</v>
      </c>
    </row>
    <row r="3077" spans="1:26" x14ac:dyDescent="0.25">
      <c r="A3077" t="s">
        <v>3544</v>
      </c>
      <c r="B3077" t="s">
        <v>1993</v>
      </c>
      <c r="C3077" t="s">
        <v>185</v>
      </c>
      <c r="E3077" t="s">
        <v>598</v>
      </c>
      <c r="H3077" s="2">
        <v>45234.764675925922</v>
      </c>
      <c r="I3077" t="s">
        <v>31</v>
      </c>
      <c r="Z3077">
        <v>68502</v>
      </c>
    </row>
    <row r="3078" spans="1:26" x14ac:dyDescent="0.25">
      <c r="A3078" t="s">
        <v>3545</v>
      </c>
      <c r="B3078" t="s">
        <v>27</v>
      </c>
      <c r="C3078" t="s">
        <v>28</v>
      </c>
      <c r="H3078" s="2">
        <v>45233.730983796297</v>
      </c>
      <c r="I3078" t="s">
        <v>2791</v>
      </c>
      <c r="Z3078">
        <v>68426</v>
      </c>
    </row>
    <row r="3079" spans="1:26" x14ac:dyDescent="0.25">
      <c r="A3079" t="s">
        <v>3546</v>
      </c>
      <c r="B3079" t="s">
        <v>27</v>
      </c>
      <c r="C3079" t="s">
        <v>28</v>
      </c>
      <c r="H3079" s="2">
        <v>45233.66710648148</v>
      </c>
      <c r="I3079" t="s">
        <v>31</v>
      </c>
      <c r="Z3079">
        <v>68407</v>
      </c>
    </row>
    <row r="3080" spans="1:26" x14ac:dyDescent="0.25">
      <c r="A3080" t="s">
        <v>3547</v>
      </c>
      <c r="B3080" t="s">
        <v>27</v>
      </c>
      <c r="C3080" t="s">
        <v>28</v>
      </c>
      <c r="H3080" s="2">
        <v>45233.623252314814</v>
      </c>
      <c r="I3080" t="s">
        <v>2791</v>
      </c>
      <c r="Z3080">
        <v>68387</v>
      </c>
    </row>
    <row r="3081" spans="1:26" x14ac:dyDescent="0.25">
      <c r="A3081" t="s">
        <v>3548</v>
      </c>
      <c r="B3081" t="s">
        <v>27</v>
      </c>
      <c r="C3081" t="s">
        <v>28</v>
      </c>
      <c r="H3081" s="2">
        <v>45233.557662037034</v>
      </c>
      <c r="I3081" t="s">
        <v>3230</v>
      </c>
      <c r="Z3081">
        <v>68365</v>
      </c>
    </row>
    <row r="3082" spans="1:26" x14ac:dyDescent="0.25">
      <c r="A3082" t="s">
        <v>3549</v>
      </c>
      <c r="B3082" t="s">
        <v>74</v>
      </c>
      <c r="C3082" t="s">
        <v>28</v>
      </c>
      <c r="E3082" t="s">
        <v>3550</v>
      </c>
      <c r="G3082" t="s">
        <v>3551</v>
      </c>
      <c r="H3082" s="2">
        <v>45233.251967592594</v>
      </c>
      <c r="I3082" t="s">
        <v>31</v>
      </c>
      <c r="Z3082">
        <v>68320</v>
      </c>
    </row>
    <row r="3083" spans="1:26" x14ac:dyDescent="0.25">
      <c r="A3083" t="s">
        <v>3552</v>
      </c>
      <c r="B3083" t="s">
        <v>27</v>
      </c>
      <c r="C3083" t="s">
        <v>28</v>
      </c>
      <c r="H3083" s="2">
        <v>45232.76972222222</v>
      </c>
      <c r="I3083" t="s">
        <v>2148</v>
      </c>
      <c r="Z3083">
        <v>68315</v>
      </c>
    </row>
    <row r="3084" spans="1:26" x14ac:dyDescent="0.25">
      <c r="A3084" t="s">
        <v>3553</v>
      </c>
      <c r="B3084" t="s">
        <v>27</v>
      </c>
      <c r="C3084" t="s">
        <v>28</v>
      </c>
      <c r="H3084" s="2">
        <v>45232.695717592593</v>
      </c>
      <c r="I3084" t="s">
        <v>556</v>
      </c>
      <c r="Z3084">
        <v>68298</v>
      </c>
    </row>
    <row r="3085" spans="1:26" x14ac:dyDescent="0.25">
      <c r="A3085" t="s">
        <v>3554</v>
      </c>
      <c r="B3085" t="s">
        <v>27</v>
      </c>
      <c r="C3085" t="s">
        <v>28</v>
      </c>
      <c r="H3085" s="2">
        <v>45232.602094907408</v>
      </c>
      <c r="I3085" t="s">
        <v>31</v>
      </c>
      <c r="Z3085">
        <v>68280</v>
      </c>
    </row>
    <row r="3086" spans="1:26" x14ac:dyDescent="0.25">
      <c r="A3086" t="s">
        <v>3555</v>
      </c>
      <c r="B3086" t="s">
        <v>27</v>
      </c>
      <c r="C3086" t="s">
        <v>28</v>
      </c>
      <c r="H3086" s="2">
        <v>45231.792546296296</v>
      </c>
      <c r="I3086" t="s">
        <v>2148</v>
      </c>
      <c r="Z3086">
        <v>68236</v>
      </c>
    </row>
    <row r="3087" spans="1:26" x14ac:dyDescent="0.25">
      <c r="A3087" t="s">
        <v>3556</v>
      </c>
      <c r="B3087" t="s">
        <v>27</v>
      </c>
      <c r="C3087" t="s">
        <v>28</v>
      </c>
      <c r="H3087" s="2">
        <v>45231.68304398148</v>
      </c>
      <c r="I3087" t="s">
        <v>2148</v>
      </c>
      <c r="Z3087">
        <v>68225</v>
      </c>
    </row>
    <row r="3088" spans="1:26" x14ac:dyDescent="0.25">
      <c r="A3088" t="s">
        <v>3557</v>
      </c>
      <c r="B3088" t="s">
        <v>27</v>
      </c>
      <c r="C3088" t="s">
        <v>75</v>
      </c>
      <c r="H3088" s="2">
        <v>45231.665023148147</v>
      </c>
      <c r="I3088" t="s">
        <v>2148</v>
      </c>
      <c r="Z3088">
        <v>68224</v>
      </c>
    </row>
    <row r="3089" spans="1:26" x14ac:dyDescent="0.25">
      <c r="A3089" t="s">
        <v>3558</v>
      </c>
      <c r="B3089" t="s">
        <v>27</v>
      </c>
      <c r="C3089" t="s">
        <v>28</v>
      </c>
      <c r="H3089" s="2">
        <v>45231.56653935185</v>
      </c>
      <c r="I3089" t="s">
        <v>2791</v>
      </c>
      <c r="Z3089">
        <v>68207</v>
      </c>
    </row>
    <row r="3090" spans="1:26" x14ac:dyDescent="0.25">
      <c r="A3090" t="s">
        <v>3559</v>
      </c>
      <c r="B3090" t="s">
        <v>1993</v>
      </c>
      <c r="C3090" t="s">
        <v>28</v>
      </c>
      <c r="E3090" t="s">
        <v>370</v>
      </c>
      <c r="G3090" t="s">
        <v>3560</v>
      </c>
      <c r="H3090" s="2">
        <v>45230.929918981485</v>
      </c>
      <c r="I3090" t="s">
        <v>2681</v>
      </c>
      <c r="Z3090">
        <v>68175</v>
      </c>
    </row>
    <row r="3091" spans="1:26" x14ac:dyDescent="0.25">
      <c r="A3091" t="s">
        <v>3561</v>
      </c>
      <c r="B3091" t="s">
        <v>27</v>
      </c>
      <c r="C3091" t="s">
        <v>28</v>
      </c>
      <c r="H3091" s="2">
        <v>45230.615370370368</v>
      </c>
      <c r="I3091" t="s">
        <v>3230</v>
      </c>
      <c r="Z3091">
        <v>68142</v>
      </c>
    </row>
    <row r="3092" spans="1:26" x14ac:dyDescent="0.25">
      <c r="A3092" t="s">
        <v>3562</v>
      </c>
      <c r="B3092" t="s">
        <v>27</v>
      </c>
      <c r="C3092" t="s">
        <v>28</v>
      </c>
      <c r="H3092" s="2">
        <v>45230.48946759259</v>
      </c>
      <c r="I3092" t="s">
        <v>2681</v>
      </c>
      <c r="Z3092">
        <v>68119</v>
      </c>
    </row>
    <row r="3093" spans="1:26" x14ac:dyDescent="0.25">
      <c r="A3093" t="s">
        <v>3563</v>
      </c>
      <c r="B3093" t="s">
        <v>27</v>
      </c>
      <c r="C3093" t="s">
        <v>28</v>
      </c>
      <c r="H3093" s="2">
        <v>45230.461875000001</v>
      </c>
      <c r="I3093" t="s">
        <v>3230</v>
      </c>
      <c r="Z3093">
        <v>68116</v>
      </c>
    </row>
    <row r="3094" spans="1:26" x14ac:dyDescent="0.25">
      <c r="A3094" t="s">
        <v>3564</v>
      </c>
      <c r="B3094" t="s">
        <v>27</v>
      </c>
      <c r="C3094" t="s">
        <v>28</v>
      </c>
      <c r="H3094" s="2">
        <v>45230.457453703704</v>
      </c>
      <c r="I3094" t="s">
        <v>3230</v>
      </c>
      <c r="Z3094">
        <v>68114</v>
      </c>
    </row>
    <row r="3095" spans="1:26" x14ac:dyDescent="0.25">
      <c r="A3095" t="s">
        <v>606</v>
      </c>
      <c r="B3095" t="s">
        <v>306</v>
      </c>
      <c r="C3095" t="s">
        <v>28</v>
      </c>
      <c r="E3095" t="s">
        <v>101</v>
      </c>
      <c r="H3095" s="2">
        <v>45229.68990740741</v>
      </c>
      <c r="I3095" t="s">
        <v>2674</v>
      </c>
      <c r="K3095" t="s">
        <v>34</v>
      </c>
      <c r="L3095" t="s">
        <v>35</v>
      </c>
      <c r="M3095">
        <v>55887089</v>
      </c>
      <c r="N3095">
        <v>12886132962</v>
      </c>
      <c r="O3095" t="s">
        <v>3169</v>
      </c>
      <c r="Z3095">
        <v>68081</v>
      </c>
    </row>
    <row r="3096" spans="1:26" x14ac:dyDescent="0.25">
      <c r="A3096" t="s">
        <v>3565</v>
      </c>
      <c r="B3096" t="s">
        <v>1708</v>
      </c>
      <c r="C3096" t="s">
        <v>28</v>
      </c>
      <c r="E3096" t="s">
        <v>3566</v>
      </c>
      <c r="H3096" s="2">
        <v>45229.577546296299</v>
      </c>
      <c r="I3096" t="s">
        <v>2681</v>
      </c>
      <c r="Z3096">
        <v>68047</v>
      </c>
    </row>
    <row r="3097" spans="1:26" x14ac:dyDescent="0.25">
      <c r="A3097" t="s">
        <v>3567</v>
      </c>
      <c r="B3097" t="s">
        <v>27</v>
      </c>
      <c r="C3097" t="s">
        <v>28</v>
      </c>
      <c r="H3097" s="2">
        <v>45229.508263888885</v>
      </c>
      <c r="I3097" t="s">
        <v>2681</v>
      </c>
      <c r="Z3097">
        <v>68028</v>
      </c>
    </row>
    <row r="3098" spans="1:26" x14ac:dyDescent="0.25">
      <c r="A3098" t="s">
        <v>3568</v>
      </c>
      <c r="B3098" t="s">
        <v>27</v>
      </c>
      <c r="C3098" t="s">
        <v>28</v>
      </c>
      <c r="H3098" s="2">
        <v>45228.807581018518</v>
      </c>
      <c r="I3098" t="s">
        <v>31</v>
      </c>
      <c r="Z3098">
        <v>67983</v>
      </c>
    </row>
    <row r="3099" spans="1:26" x14ac:dyDescent="0.25">
      <c r="A3099" t="s">
        <v>3569</v>
      </c>
      <c r="B3099" t="s">
        <v>74</v>
      </c>
      <c r="C3099" t="s">
        <v>28</v>
      </c>
      <c r="E3099" t="s">
        <v>458</v>
      </c>
      <c r="G3099" t="s">
        <v>3570</v>
      </c>
      <c r="H3099" s="2">
        <v>45228.783206018517</v>
      </c>
      <c r="I3099" t="s">
        <v>556</v>
      </c>
      <c r="Z3099">
        <v>67982</v>
      </c>
    </row>
    <row r="3100" spans="1:26" x14ac:dyDescent="0.25">
      <c r="A3100" t="s">
        <v>3571</v>
      </c>
      <c r="B3100" t="s">
        <v>27</v>
      </c>
      <c r="C3100" t="s">
        <v>28</v>
      </c>
      <c r="H3100" s="2">
        <v>45228.607442129629</v>
      </c>
      <c r="I3100" t="s">
        <v>556</v>
      </c>
      <c r="Z3100">
        <v>67966</v>
      </c>
    </row>
    <row r="3101" spans="1:26" x14ac:dyDescent="0.25">
      <c r="A3101" t="s">
        <v>3572</v>
      </c>
      <c r="B3101" t="s">
        <v>27</v>
      </c>
      <c r="C3101" t="s">
        <v>28</v>
      </c>
      <c r="H3101" s="2">
        <v>45228.467442129629</v>
      </c>
      <c r="I3101" t="s">
        <v>3230</v>
      </c>
      <c r="Z3101">
        <v>67944</v>
      </c>
    </row>
    <row r="3102" spans="1:26" x14ac:dyDescent="0.25">
      <c r="A3102" t="s">
        <v>3573</v>
      </c>
      <c r="B3102" t="s">
        <v>27</v>
      </c>
      <c r="C3102" t="s">
        <v>28</v>
      </c>
      <c r="E3102">
        <v>79263897920</v>
      </c>
      <c r="H3102" s="2">
        <v>45227.526331018518</v>
      </c>
      <c r="I3102" t="s">
        <v>556</v>
      </c>
      <c r="Z3102">
        <v>67915</v>
      </c>
    </row>
    <row r="3103" spans="1:26" x14ac:dyDescent="0.25">
      <c r="A3103" t="s">
        <v>3574</v>
      </c>
      <c r="B3103" t="s">
        <v>27</v>
      </c>
      <c r="C3103" t="s">
        <v>28</v>
      </c>
      <c r="H3103" s="2">
        <v>45227.44253472222</v>
      </c>
      <c r="I3103" t="s">
        <v>31</v>
      </c>
      <c r="Z3103">
        <v>67910</v>
      </c>
    </row>
    <row r="3104" spans="1:26" x14ac:dyDescent="0.25">
      <c r="A3104" t="s">
        <v>3575</v>
      </c>
      <c r="B3104" t="s">
        <v>27</v>
      </c>
      <c r="C3104" t="s">
        <v>28</v>
      </c>
      <c r="H3104" s="2">
        <v>45226.640729166669</v>
      </c>
      <c r="I3104" t="s">
        <v>556</v>
      </c>
      <c r="Z3104">
        <v>67872</v>
      </c>
    </row>
    <row r="3105" spans="1:26" x14ac:dyDescent="0.25">
      <c r="A3105" t="s">
        <v>3576</v>
      </c>
      <c r="B3105" t="s">
        <v>27</v>
      </c>
      <c r="C3105" t="s">
        <v>28</v>
      </c>
      <c r="H3105" s="2">
        <v>45226.521539351852</v>
      </c>
      <c r="I3105" t="s">
        <v>31</v>
      </c>
      <c r="Z3105">
        <v>67837</v>
      </c>
    </row>
    <row r="3106" spans="1:26" x14ac:dyDescent="0.25">
      <c r="A3106" t="s">
        <v>3577</v>
      </c>
      <c r="B3106" t="s">
        <v>27</v>
      </c>
      <c r="C3106" t="s">
        <v>28</v>
      </c>
      <c r="H3106" s="2">
        <v>45226.501701388886</v>
      </c>
      <c r="I3106" t="s">
        <v>3230</v>
      </c>
      <c r="Z3106">
        <v>67833</v>
      </c>
    </row>
    <row r="3107" spans="1:26" x14ac:dyDescent="0.25">
      <c r="A3107" t="s">
        <v>3578</v>
      </c>
      <c r="B3107" t="s">
        <v>27</v>
      </c>
      <c r="C3107" t="s">
        <v>28</v>
      </c>
      <c r="H3107" s="2">
        <v>45225.798055555555</v>
      </c>
      <c r="I3107" t="s">
        <v>2681</v>
      </c>
      <c r="Z3107">
        <v>67784</v>
      </c>
    </row>
    <row r="3108" spans="1:26" x14ac:dyDescent="0.25">
      <c r="A3108" t="s">
        <v>3579</v>
      </c>
      <c r="B3108" t="s">
        <v>27</v>
      </c>
      <c r="C3108" t="s">
        <v>28</v>
      </c>
      <c r="H3108" s="2">
        <v>45225.686145833337</v>
      </c>
      <c r="I3108" t="s">
        <v>2148</v>
      </c>
      <c r="Z3108">
        <v>67770</v>
      </c>
    </row>
    <row r="3109" spans="1:26" x14ac:dyDescent="0.25">
      <c r="A3109" t="s">
        <v>3580</v>
      </c>
      <c r="B3109" t="s">
        <v>27</v>
      </c>
      <c r="C3109" t="s">
        <v>28</v>
      </c>
      <c r="H3109" s="2">
        <v>45225.683576388888</v>
      </c>
      <c r="I3109" t="s">
        <v>2681</v>
      </c>
      <c r="Z3109">
        <v>67769</v>
      </c>
    </row>
    <row r="3110" spans="1:26" x14ac:dyDescent="0.25">
      <c r="A3110" t="s">
        <v>3581</v>
      </c>
      <c r="B3110" t="s">
        <v>27</v>
      </c>
      <c r="C3110" t="s">
        <v>28</v>
      </c>
      <c r="H3110" s="2">
        <v>45225.542858796296</v>
      </c>
      <c r="I3110" t="s">
        <v>2681</v>
      </c>
      <c r="Z3110">
        <v>67739</v>
      </c>
    </row>
    <row r="3111" spans="1:26" x14ac:dyDescent="0.25">
      <c r="A3111" t="s">
        <v>3582</v>
      </c>
      <c r="B3111" t="s">
        <v>27</v>
      </c>
      <c r="C3111" t="s">
        <v>28</v>
      </c>
      <c r="H3111" s="2">
        <v>45225.470092592594</v>
      </c>
      <c r="I3111" t="s">
        <v>2791</v>
      </c>
      <c r="Z3111">
        <v>67730</v>
      </c>
    </row>
    <row r="3112" spans="1:26" x14ac:dyDescent="0.25">
      <c r="A3112" t="s">
        <v>3583</v>
      </c>
      <c r="B3112" t="s">
        <v>1708</v>
      </c>
      <c r="C3112" t="s">
        <v>28</v>
      </c>
      <c r="E3112" t="s">
        <v>2190</v>
      </c>
      <c r="H3112" s="2">
        <v>45224.564004629632</v>
      </c>
      <c r="I3112" t="s">
        <v>2681</v>
      </c>
      <c r="Z3112">
        <v>67658</v>
      </c>
    </row>
    <row r="3113" spans="1:26" x14ac:dyDescent="0.25">
      <c r="A3113" t="s">
        <v>3584</v>
      </c>
      <c r="B3113" t="s">
        <v>27</v>
      </c>
      <c r="C3113" t="s">
        <v>28</v>
      </c>
      <c r="H3113" s="2">
        <v>45224.464270833334</v>
      </c>
      <c r="I3113" t="s">
        <v>2148</v>
      </c>
      <c r="Z3113">
        <v>67631</v>
      </c>
    </row>
    <row r="3114" spans="1:26" x14ac:dyDescent="0.25">
      <c r="A3114" t="s">
        <v>3585</v>
      </c>
      <c r="B3114" t="s">
        <v>27</v>
      </c>
      <c r="C3114" t="s">
        <v>28</v>
      </c>
      <c r="H3114" s="2">
        <v>45224.433703703704</v>
      </c>
      <c r="I3114" t="s">
        <v>2674</v>
      </c>
      <c r="Z3114">
        <v>67621</v>
      </c>
    </row>
    <row r="3115" spans="1:26" x14ac:dyDescent="0.25">
      <c r="A3115" t="s">
        <v>3586</v>
      </c>
      <c r="B3115" t="s">
        <v>27</v>
      </c>
      <c r="C3115" t="s">
        <v>28</v>
      </c>
      <c r="H3115" s="2">
        <v>45224.42832175926</v>
      </c>
      <c r="I3115" t="s">
        <v>2148</v>
      </c>
      <c r="Z3115">
        <v>67619</v>
      </c>
    </row>
    <row r="3116" spans="1:26" x14ac:dyDescent="0.25">
      <c r="A3116" t="s">
        <v>3587</v>
      </c>
      <c r="B3116" t="s">
        <v>27</v>
      </c>
      <c r="C3116" t="s">
        <v>28</v>
      </c>
      <c r="H3116" s="2">
        <v>45224.405995370369</v>
      </c>
      <c r="I3116" t="s">
        <v>2148</v>
      </c>
      <c r="Z3116">
        <v>67610</v>
      </c>
    </row>
    <row r="3117" spans="1:26" x14ac:dyDescent="0.25">
      <c r="A3117" t="s">
        <v>3588</v>
      </c>
      <c r="B3117" t="s">
        <v>1708</v>
      </c>
      <c r="C3117" t="s">
        <v>28</v>
      </c>
      <c r="E3117">
        <v>79179454595</v>
      </c>
      <c r="H3117" s="2">
        <v>45224.095960648148</v>
      </c>
      <c r="I3117" t="s">
        <v>2681</v>
      </c>
      <c r="Z3117">
        <v>67598</v>
      </c>
    </row>
    <row r="3118" spans="1:26" x14ac:dyDescent="0.25">
      <c r="A3118" t="s">
        <v>3589</v>
      </c>
      <c r="B3118" t="s">
        <v>27</v>
      </c>
      <c r="C3118" t="s">
        <v>28</v>
      </c>
      <c r="H3118" s="2">
        <v>45223.656898148147</v>
      </c>
      <c r="I3118" t="s">
        <v>2674</v>
      </c>
      <c r="Z3118">
        <v>67550</v>
      </c>
    </row>
    <row r="3119" spans="1:26" x14ac:dyDescent="0.25">
      <c r="A3119" t="s">
        <v>3588</v>
      </c>
      <c r="B3119" t="s">
        <v>1708</v>
      </c>
      <c r="C3119" t="s">
        <v>28</v>
      </c>
      <c r="E3119">
        <v>79179454595</v>
      </c>
      <c r="H3119" s="2">
        <v>45223.460081018522</v>
      </c>
      <c r="I3119" t="s">
        <v>2681</v>
      </c>
      <c r="Z3119">
        <v>67508</v>
      </c>
    </row>
    <row r="3120" spans="1:26" x14ac:dyDescent="0.25">
      <c r="A3120" t="s">
        <v>3590</v>
      </c>
      <c r="B3120" t="s">
        <v>1708</v>
      </c>
      <c r="C3120" t="s">
        <v>3314</v>
      </c>
      <c r="E3120" t="s">
        <v>3591</v>
      </c>
      <c r="H3120" s="2">
        <v>45223.456875000003</v>
      </c>
      <c r="I3120" t="s">
        <v>3054</v>
      </c>
      <c r="Z3120">
        <v>67495</v>
      </c>
    </row>
    <row r="3121" spans="1:26" x14ac:dyDescent="0.25">
      <c r="A3121" t="s">
        <v>3592</v>
      </c>
      <c r="B3121" t="s">
        <v>27</v>
      </c>
      <c r="C3121" t="s">
        <v>28</v>
      </c>
      <c r="H3121" s="2">
        <v>45223.380474537036</v>
      </c>
      <c r="I3121" t="s">
        <v>3230</v>
      </c>
      <c r="Z3121">
        <v>67477</v>
      </c>
    </row>
    <row r="3122" spans="1:26" x14ac:dyDescent="0.25">
      <c r="A3122" t="s">
        <v>3593</v>
      </c>
      <c r="B3122" t="s">
        <v>27</v>
      </c>
      <c r="C3122" t="s">
        <v>28</v>
      </c>
      <c r="H3122" s="2">
        <v>45223.376122685186</v>
      </c>
      <c r="I3122" t="s">
        <v>2681</v>
      </c>
      <c r="Z3122">
        <v>67476</v>
      </c>
    </row>
    <row r="3123" spans="1:26" x14ac:dyDescent="0.25">
      <c r="A3123" t="s">
        <v>3594</v>
      </c>
      <c r="B3123" t="s">
        <v>27</v>
      </c>
      <c r="C3123" t="s">
        <v>28</v>
      </c>
      <c r="H3123" s="2">
        <v>45222.774050925924</v>
      </c>
      <c r="I3123" t="s">
        <v>556</v>
      </c>
      <c r="Z3123">
        <v>67459</v>
      </c>
    </row>
    <row r="3124" spans="1:26" x14ac:dyDescent="0.25">
      <c r="A3124" t="s">
        <v>3595</v>
      </c>
      <c r="B3124" t="s">
        <v>27</v>
      </c>
      <c r="C3124" t="s">
        <v>28</v>
      </c>
      <c r="H3124" s="2">
        <v>45222.676053240742</v>
      </c>
      <c r="I3124" t="s">
        <v>3230</v>
      </c>
      <c r="Z3124">
        <v>67440</v>
      </c>
    </row>
    <row r="3125" spans="1:26" x14ac:dyDescent="0.25">
      <c r="A3125" t="s">
        <v>3596</v>
      </c>
      <c r="B3125" t="s">
        <v>27</v>
      </c>
      <c r="C3125" t="s">
        <v>28</v>
      </c>
      <c r="H3125" s="2">
        <v>45222.642685185187</v>
      </c>
      <c r="I3125" t="s">
        <v>2791</v>
      </c>
      <c r="Z3125">
        <v>67427</v>
      </c>
    </row>
    <row r="3126" spans="1:26" x14ac:dyDescent="0.25">
      <c r="A3126" t="s">
        <v>3597</v>
      </c>
      <c r="B3126" t="s">
        <v>27</v>
      </c>
      <c r="C3126" t="s">
        <v>28</v>
      </c>
      <c r="H3126" s="2">
        <v>45222.632650462961</v>
      </c>
      <c r="I3126" t="s">
        <v>3230</v>
      </c>
      <c r="Z3126">
        <v>67425</v>
      </c>
    </row>
    <row r="3127" spans="1:26" x14ac:dyDescent="0.25">
      <c r="A3127" t="s">
        <v>3598</v>
      </c>
      <c r="B3127" t="s">
        <v>27</v>
      </c>
      <c r="C3127" t="s">
        <v>75</v>
      </c>
      <c r="H3127" s="2">
        <v>45222.618275462963</v>
      </c>
      <c r="I3127" t="s">
        <v>556</v>
      </c>
      <c r="Z3127">
        <v>67421</v>
      </c>
    </row>
    <row r="3128" spans="1:26" x14ac:dyDescent="0.25">
      <c r="A3128" t="s">
        <v>3599</v>
      </c>
      <c r="B3128" t="s">
        <v>27</v>
      </c>
      <c r="C3128" t="s">
        <v>28</v>
      </c>
      <c r="H3128" s="2">
        <v>45222.601261574076</v>
      </c>
      <c r="I3128" t="s">
        <v>2791</v>
      </c>
      <c r="Z3128">
        <v>67414</v>
      </c>
    </row>
    <row r="3129" spans="1:26" x14ac:dyDescent="0.25">
      <c r="A3129" t="s">
        <v>3600</v>
      </c>
      <c r="B3129" t="s">
        <v>27</v>
      </c>
      <c r="C3129" t="s">
        <v>28</v>
      </c>
      <c r="H3129" s="2">
        <v>45222.586782407408</v>
      </c>
      <c r="I3129" t="s">
        <v>31</v>
      </c>
      <c r="Z3129">
        <v>67411</v>
      </c>
    </row>
    <row r="3130" spans="1:26" x14ac:dyDescent="0.25">
      <c r="A3130" t="s">
        <v>3601</v>
      </c>
      <c r="C3130" t="s">
        <v>28</v>
      </c>
      <c r="E3130" t="s">
        <v>3602</v>
      </c>
      <c r="H3130" s="2">
        <v>45222.586145833331</v>
      </c>
      <c r="I3130" t="s">
        <v>31</v>
      </c>
      <c r="Z3130">
        <v>67410</v>
      </c>
    </row>
    <row r="3131" spans="1:26" x14ac:dyDescent="0.25">
      <c r="A3131" t="s">
        <v>3603</v>
      </c>
      <c r="B3131" t="s">
        <v>27</v>
      </c>
      <c r="C3131" t="s">
        <v>28</v>
      </c>
      <c r="H3131" s="2">
        <v>45222.522928240738</v>
      </c>
      <c r="I3131" t="s">
        <v>31</v>
      </c>
      <c r="Z3131">
        <v>67382</v>
      </c>
    </row>
    <row r="3132" spans="1:26" x14ac:dyDescent="0.25">
      <c r="A3132" t="s">
        <v>3604</v>
      </c>
      <c r="B3132" t="s">
        <v>27</v>
      </c>
      <c r="C3132" t="s">
        <v>28</v>
      </c>
      <c r="H3132" s="2">
        <v>45222.508622685185</v>
      </c>
      <c r="I3132" t="s">
        <v>556</v>
      </c>
      <c r="Z3132">
        <v>67376</v>
      </c>
    </row>
    <row r="3133" spans="1:26" x14ac:dyDescent="0.25">
      <c r="A3133" t="s">
        <v>3605</v>
      </c>
      <c r="B3133" t="s">
        <v>27</v>
      </c>
      <c r="C3133" t="s">
        <v>28</v>
      </c>
      <c r="H3133" s="2">
        <v>45222.437164351853</v>
      </c>
      <c r="I3133" t="s">
        <v>31</v>
      </c>
      <c r="Z3133">
        <v>67358</v>
      </c>
    </row>
    <row r="3134" spans="1:26" x14ac:dyDescent="0.25">
      <c r="A3134" t="s">
        <v>3606</v>
      </c>
      <c r="B3134" t="s">
        <v>27</v>
      </c>
      <c r="C3134" t="s">
        <v>28</v>
      </c>
      <c r="H3134" s="2">
        <v>45222.382199074076</v>
      </c>
      <c r="I3134" t="s">
        <v>556</v>
      </c>
      <c r="Z3134">
        <v>67336</v>
      </c>
    </row>
    <row r="3135" spans="1:26" x14ac:dyDescent="0.25">
      <c r="A3135" t="s">
        <v>3607</v>
      </c>
      <c r="B3135" t="s">
        <v>27</v>
      </c>
      <c r="C3135" t="s">
        <v>28</v>
      </c>
      <c r="H3135" s="2">
        <v>45221.752303240741</v>
      </c>
      <c r="I3135" t="s">
        <v>556</v>
      </c>
      <c r="Z3135">
        <v>67323</v>
      </c>
    </row>
    <row r="3136" spans="1:26" x14ac:dyDescent="0.25">
      <c r="A3136" t="s">
        <v>3608</v>
      </c>
      <c r="B3136" t="s">
        <v>27</v>
      </c>
      <c r="C3136" t="s">
        <v>28</v>
      </c>
      <c r="H3136" s="2">
        <v>45221.72923611111</v>
      </c>
      <c r="I3136" t="s">
        <v>3230</v>
      </c>
      <c r="Z3136">
        <v>67320</v>
      </c>
    </row>
    <row r="3137" spans="1:26" x14ac:dyDescent="0.25">
      <c r="A3137" t="s">
        <v>3609</v>
      </c>
      <c r="B3137" t="s">
        <v>27</v>
      </c>
      <c r="C3137" t="s">
        <v>28</v>
      </c>
      <c r="H3137" s="2">
        <v>45221.553726851853</v>
      </c>
      <c r="I3137" t="s">
        <v>3230</v>
      </c>
      <c r="Z3137">
        <v>67290</v>
      </c>
    </row>
    <row r="3138" spans="1:26" x14ac:dyDescent="0.25">
      <c r="A3138" t="s">
        <v>3610</v>
      </c>
      <c r="B3138" t="s">
        <v>27</v>
      </c>
      <c r="C3138" t="s">
        <v>28</v>
      </c>
      <c r="H3138" s="2">
        <v>45221.51357638889</v>
      </c>
      <c r="I3138" t="s">
        <v>2791</v>
      </c>
      <c r="Z3138">
        <v>67281</v>
      </c>
    </row>
    <row r="3139" spans="1:26" x14ac:dyDescent="0.25">
      <c r="A3139" t="s">
        <v>3611</v>
      </c>
      <c r="C3139" t="s">
        <v>28</v>
      </c>
      <c r="E3139" t="s">
        <v>1142</v>
      </c>
      <c r="H3139" s="2">
        <v>45221.494710648149</v>
      </c>
      <c r="I3139" t="s">
        <v>2148</v>
      </c>
      <c r="Z3139">
        <v>67278</v>
      </c>
    </row>
    <row r="3140" spans="1:26" x14ac:dyDescent="0.25">
      <c r="A3140" t="s">
        <v>3612</v>
      </c>
      <c r="B3140" t="s">
        <v>2162</v>
      </c>
      <c r="C3140" t="s">
        <v>28</v>
      </c>
      <c r="E3140" t="s">
        <v>3613</v>
      </c>
      <c r="H3140" s="2">
        <v>45221.413275462961</v>
      </c>
      <c r="I3140" t="s">
        <v>31</v>
      </c>
      <c r="Z3140">
        <v>67256</v>
      </c>
    </row>
    <row r="3141" spans="1:26" x14ac:dyDescent="0.25">
      <c r="A3141" t="s">
        <v>3614</v>
      </c>
      <c r="B3141" t="s">
        <v>27</v>
      </c>
      <c r="C3141" t="s">
        <v>75</v>
      </c>
      <c r="H3141" s="2">
        <v>45220.470868055556</v>
      </c>
      <c r="I3141" t="s">
        <v>2791</v>
      </c>
      <c r="Z3141">
        <v>67206</v>
      </c>
    </row>
    <row r="3142" spans="1:26" x14ac:dyDescent="0.25">
      <c r="A3142" t="s">
        <v>3615</v>
      </c>
      <c r="B3142" t="s">
        <v>27</v>
      </c>
      <c r="C3142" t="s">
        <v>333</v>
      </c>
      <c r="H3142" s="2">
        <v>45218.441122685188</v>
      </c>
      <c r="I3142" t="s">
        <v>2148</v>
      </c>
      <c r="Z3142">
        <v>67059</v>
      </c>
    </row>
    <row r="3143" spans="1:26" x14ac:dyDescent="0.25">
      <c r="A3143" t="s">
        <v>3616</v>
      </c>
      <c r="B3143" t="s">
        <v>27</v>
      </c>
      <c r="C3143" t="s">
        <v>28</v>
      </c>
      <c r="H3143" s="2">
        <v>45217.749548611115</v>
      </c>
      <c r="I3143" t="s">
        <v>3230</v>
      </c>
      <c r="Z3143">
        <v>67033</v>
      </c>
    </row>
    <row r="3144" spans="1:26" x14ac:dyDescent="0.25">
      <c r="A3144" t="s">
        <v>3617</v>
      </c>
      <c r="C3144" t="s">
        <v>28</v>
      </c>
      <c r="E3144" t="s">
        <v>370</v>
      </c>
      <c r="H3144" s="2">
        <v>45217.493043981478</v>
      </c>
      <c r="I3144" t="s">
        <v>2148</v>
      </c>
      <c r="Z3144">
        <v>66986</v>
      </c>
    </row>
    <row r="3145" spans="1:26" x14ac:dyDescent="0.25">
      <c r="A3145" t="s">
        <v>3618</v>
      </c>
      <c r="B3145" t="s">
        <v>27</v>
      </c>
      <c r="C3145" t="s">
        <v>28</v>
      </c>
      <c r="H3145" s="2">
        <v>45217.479745370372</v>
      </c>
      <c r="I3145" t="s">
        <v>2148</v>
      </c>
      <c r="Z3145">
        <v>66982</v>
      </c>
    </row>
    <row r="3146" spans="1:26" x14ac:dyDescent="0.25">
      <c r="A3146" t="s">
        <v>3619</v>
      </c>
      <c r="B3146" t="s">
        <v>27</v>
      </c>
      <c r="C3146" t="s">
        <v>28</v>
      </c>
      <c r="H3146" s="2">
        <v>45217.459976851853</v>
      </c>
      <c r="I3146" t="s">
        <v>2681</v>
      </c>
      <c r="Z3146">
        <v>66976</v>
      </c>
    </row>
    <row r="3147" spans="1:26" x14ac:dyDescent="0.25">
      <c r="A3147" t="s">
        <v>3620</v>
      </c>
      <c r="B3147" t="s">
        <v>27</v>
      </c>
      <c r="C3147" t="s">
        <v>28</v>
      </c>
      <c r="H3147" s="2">
        <v>45216.813159722224</v>
      </c>
      <c r="I3147" t="s">
        <v>3230</v>
      </c>
      <c r="Z3147">
        <v>66954</v>
      </c>
    </row>
    <row r="3148" spans="1:26" x14ac:dyDescent="0.25">
      <c r="A3148" t="s">
        <v>3621</v>
      </c>
      <c r="B3148" t="s">
        <v>27</v>
      </c>
      <c r="C3148" t="s">
        <v>28</v>
      </c>
      <c r="H3148" s="2">
        <v>45216.792048611111</v>
      </c>
      <c r="I3148" t="s">
        <v>31</v>
      </c>
      <c r="Z3148">
        <v>66952</v>
      </c>
    </row>
    <row r="3149" spans="1:26" x14ac:dyDescent="0.25">
      <c r="A3149" t="s">
        <v>3622</v>
      </c>
      <c r="B3149" t="s">
        <v>1993</v>
      </c>
      <c r="C3149" t="s">
        <v>28</v>
      </c>
      <c r="E3149" t="s">
        <v>3623</v>
      </c>
      <c r="H3149" s="2">
        <v>45216.749189814815</v>
      </c>
      <c r="I3149" t="s">
        <v>3230</v>
      </c>
      <c r="Z3149">
        <v>66946</v>
      </c>
    </row>
    <row r="3150" spans="1:26" x14ac:dyDescent="0.25">
      <c r="A3150" t="s">
        <v>3624</v>
      </c>
      <c r="B3150" t="s">
        <v>27</v>
      </c>
      <c r="C3150" t="s">
        <v>28</v>
      </c>
      <c r="E3150" t="s">
        <v>3625</v>
      </c>
      <c r="H3150" s="2">
        <v>45216.439097222225</v>
      </c>
      <c r="I3150" t="s">
        <v>556</v>
      </c>
      <c r="Z3150">
        <v>66886</v>
      </c>
    </row>
    <row r="3151" spans="1:26" x14ac:dyDescent="0.25">
      <c r="A3151" t="s">
        <v>3626</v>
      </c>
      <c r="B3151" t="s">
        <v>74</v>
      </c>
      <c r="C3151" t="s">
        <v>28</v>
      </c>
      <c r="E3151" t="s">
        <v>3627</v>
      </c>
      <c r="G3151" t="s">
        <v>3628</v>
      </c>
      <c r="H3151" s="2">
        <v>45215.957326388889</v>
      </c>
      <c r="I3151" t="s">
        <v>31</v>
      </c>
      <c r="Z3151">
        <v>66873</v>
      </c>
    </row>
    <row r="3152" spans="1:26" x14ac:dyDescent="0.25">
      <c r="A3152" t="s">
        <v>3629</v>
      </c>
      <c r="B3152" t="s">
        <v>27</v>
      </c>
      <c r="C3152" t="s">
        <v>28</v>
      </c>
      <c r="H3152" s="2">
        <v>45215.718877314815</v>
      </c>
      <c r="I3152" t="s">
        <v>1488</v>
      </c>
      <c r="Z3152">
        <v>66859</v>
      </c>
    </row>
    <row r="3153" spans="1:26" x14ac:dyDescent="0.25">
      <c r="A3153" t="s">
        <v>596</v>
      </c>
      <c r="B3153" t="s">
        <v>306</v>
      </c>
      <c r="C3153" t="s">
        <v>28</v>
      </c>
      <c r="H3153" s="2">
        <v>45215.522534722222</v>
      </c>
      <c r="I3153" t="s">
        <v>1488</v>
      </c>
      <c r="K3153" t="s">
        <v>34</v>
      </c>
      <c r="L3153" t="s">
        <v>35</v>
      </c>
      <c r="M3153">
        <v>55887089</v>
      </c>
      <c r="N3153">
        <v>9754619198</v>
      </c>
      <c r="O3153" t="s">
        <v>2908</v>
      </c>
      <c r="Z3153">
        <v>66829</v>
      </c>
    </row>
    <row r="3154" spans="1:26" x14ac:dyDescent="0.25">
      <c r="A3154" t="s">
        <v>3630</v>
      </c>
      <c r="B3154" t="s">
        <v>27</v>
      </c>
      <c r="C3154" t="s">
        <v>28</v>
      </c>
      <c r="E3154" t="s">
        <v>3630</v>
      </c>
      <c r="H3154" s="2">
        <v>45215.46365740741</v>
      </c>
      <c r="I3154" t="s">
        <v>556</v>
      </c>
      <c r="Z3154">
        <v>66808</v>
      </c>
    </row>
    <row r="3155" spans="1:26" x14ac:dyDescent="0.25">
      <c r="A3155" t="s">
        <v>3631</v>
      </c>
      <c r="B3155" t="s">
        <v>27</v>
      </c>
      <c r="C3155" t="s">
        <v>28</v>
      </c>
      <c r="H3155" s="2">
        <v>45214.589513888888</v>
      </c>
      <c r="I3155" t="s">
        <v>556</v>
      </c>
      <c r="Z3155">
        <v>66750</v>
      </c>
    </row>
    <row r="3156" spans="1:26" x14ac:dyDescent="0.25">
      <c r="A3156" t="s">
        <v>2009</v>
      </c>
      <c r="B3156" t="s">
        <v>1403</v>
      </c>
      <c r="C3156" t="s">
        <v>28</v>
      </c>
      <c r="E3156" t="s">
        <v>2010</v>
      </c>
      <c r="H3156" s="2">
        <v>45213.718090277776</v>
      </c>
      <c r="I3156" t="s">
        <v>2681</v>
      </c>
      <c r="Z3156">
        <v>66715</v>
      </c>
    </row>
    <row r="3157" spans="1:26" x14ac:dyDescent="0.25">
      <c r="A3157" t="s">
        <v>3632</v>
      </c>
      <c r="B3157" t="s">
        <v>27</v>
      </c>
      <c r="C3157" t="s">
        <v>28</v>
      </c>
      <c r="H3157" s="2">
        <v>45213.588854166665</v>
      </c>
      <c r="I3157" t="s">
        <v>2148</v>
      </c>
      <c r="Z3157">
        <v>66696</v>
      </c>
    </row>
    <row r="3158" spans="1:26" x14ac:dyDescent="0.25">
      <c r="A3158" t="s">
        <v>3633</v>
      </c>
      <c r="B3158" t="s">
        <v>1708</v>
      </c>
      <c r="C3158" t="s">
        <v>28</v>
      </c>
      <c r="E3158" t="s">
        <v>3634</v>
      </c>
      <c r="H3158" s="2">
        <v>45212.93577546296</v>
      </c>
      <c r="I3158" t="s">
        <v>2681</v>
      </c>
      <c r="K3158" t="s">
        <v>34</v>
      </c>
      <c r="L3158" t="s">
        <v>35</v>
      </c>
      <c r="M3158">
        <v>67127941</v>
      </c>
      <c r="N3158">
        <v>13178684975</v>
      </c>
      <c r="O3158" t="s">
        <v>461</v>
      </c>
      <c r="Z3158">
        <v>66665</v>
      </c>
    </row>
    <row r="3159" spans="1:26" x14ac:dyDescent="0.25">
      <c r="A3159" t="s">
        <v>3635</v>
      </c>
      <c r="B3159" t="s">
        <v>27</v>
      </c>
      <c r="C3159" t="s">
        <v>28</v>
      </c>
      <c r="E3159" t="s">
        <v>427</v>
      </c>
      <c r="G3159" t="s">
        <v>3636</v>
      </c>
      <c r="H3159" s="2">
        <v>45212.731354166666</v>
      </c>
      <c r="I3159" t="s">
        <v>2674</v>
      </c>
      <c r="Z3159">
        <v>66657</v>
      </c>
    </row>
    <row r="3160" spans="1:26" x14ac:dyDescent="0.25">
      <c r="A3160" t="s">
        <v>3637</v>
      </c>
      <c r="B3160" t="s">
        <v>27</v>
      </c>
      <c r="C3160" t="s">
        <v>28</v>
      </c>
      <c r="H3160" s="2">
        <v>45212.675312500003</v>
      </c>
      <c r="I3160" t="s">
        <v>2791</v>
      </c>
      <c r="Z3160">
        <v>66639</v>
      </c>
    </row>
    <row r="3161" spans="1:26" x14ac:dyDescent="0.25">
      <c r="A3161" t="s">
        <v>3638</v>
      </c>
      <c r="B3161" t="s">
        <v>27</v>
      </c>
      <c r="C3161" t="s">
        <v>28</v>
      </c>
      <c r="H3161" s="2">
        <v>45212.601400462961</v>
      </c>
      <c r="I3161" t="s">
        <v>2148</v>
      </c>
      <c r="Z3161">
        <v>66626</v>
      </c>
    </row>
    <row r="3162" spans="1:26" x14ac:dyDescent="0.25">
      <c r="A3162" t="s">
        <v>3639</v>
      </c>
      <c r="B3162" t="s">
        <v>1708</v>
      </c>
      <c r="C3162" t="s">
        <v>28</v>
      </c>
      <c r="E3162" t="s">
        <v>3640</v>
      </c>
      <c r="G3162" t="s">
        <v>3641</v>
      </c>
      <c r="H3162" s="2">
        <v>45211.785567129627</v>
      </c>
      <c r="I3162" t="s">
        <v>2681</v>
      </c>
      <c r="Z3162">
        <v>66583</v>
      </c>
    </row>
    <row r="3163" spans="1:26" x14ac:dyDescent="0.25">
      <c r="A3163" t="s">
        <v>3642</v>
      </c>
      <c r="B3163" t="s">
        <v>27</v>
      </c>
      <c r="C3163" t="s">
        <v>28</v>
      </c>
      <c r="H3163" s="2">
        <v>45211.680590277778</v>
      </c>
      <c r="I3163" t="s">
        <v>2674</v>
      </c>
      <c r="Z3163">
        <v>66567</v>
      </c>
    </row>
    <row r="3164" spans="1:26" x14ac:dyDescent="0.25">
      <c r="A3164" t="s">
        <v>3643</v>
      </c>
      <c r="B3164" t="s">
        <v>27</v>
      </c>
      <c r="C3164" t="s">
        <v>28</v>
      </c>
      <c r="H3164" s="2">
        <v>45211.651736111111</v>
      </c>
      <c r="I3164" t="s">
        <v>2674</v>
      </c>
      <c r="Z3164">
        <v>66563</v>
      </c>
    </row>
    <row r="3165" spans="1:26" x14ac:dyDescent="0.25">
      <c r="A3165" t="s">
        <v>3644</v>
      </c>
      <c r="B3165" t="s">
        <v>27</v>
      </c>
      <c r="C3165" t="s">
        <v>28</v>
      </c>
      <c r="H3165" s="2">
        <v>45211.649699074071</v>
      </c>
      <c r="I3165" t="s">
        <v>3230</v>
      </c>
      <c r="Z3165">
        <v>66562</v>
      </c>
    </row>
    <row r="3166" spans="1:26" x14ac:dyDescent="0.25">
      <c r="A3166" t="s">
        <v>3645</v>
      </c>
      <c r="B3166" t="s">
        <v>27</v>
      </c>
      <c r="C3166" t="s">
        <v>28</v>
      </c>
      <c r="H3166" s="2">
        <v>45211.644305555557</v>
      </c>
      <c r="I3166" t="s">
        <v>2681</v>
      </c>
      <c r="Z3166">
        <v>66561</v>
      </c>
    </row>
    <row r="3167" spans="1:26" x14ac:dyDescent="0.25">
      <c r="A3167" t="s">
        <v>3646</v>
      </c>
      <c r="B3167" t="s">
        <v>27</v>
      </c>
      <c r="C3167" t="s">
        <v>28</v>
      </c>
      <c r="H3167" s="2">
        <v>45211.631504629629</v>
      </c>
      <c r="I3167" t="s">
        <v>2674</v>
      </c>
      <c r="Z3167">
        <v>66559</v>
      </c>
    </row>
    <row r="3168" spans="1:26" x14ac:dyDescent="0.25">
      <c r="A3168" t="s">
        <v>3647</v>
      </c>
      <c r="B3168" t="s">
        <v>1708</v>
      </c>
      <c r="C3168" t="s">
        <v>28</v>
      </c>
      <c r="E3168" t="s">
        <v>3648</v>
      </c>
      <c r="G3168" t="s">
        <v>458</v>
      </c>
      <c r="H3168" s="2">
        <v>45211.593287037038</v>
      </c>
      <c r="I3168" t="s">
        <v>2681</v>
      </c>
      <c r="K3168" t="s">
        <v>34</v>
      </c>
      <c r="L3168" t="s">
        <v>35</v>
      </c>
      <c r="M3168">
        <v>55887089</v>
      </c>
      <c r="N3168">
        <v>9754619208</v>
      </c>
      <c r="O3168" t="s">
        <v>3649</v>
      </c>
      <c r="Z3168">
        <v>66555</v>
      </c>
    </row>
    <row r="3169" spans="1:26" x14ac:dyDescent="0.25">
      <c r="A3169" t="s">
        <v>3650</v>
      </c>
      <c r="B3169" t="s">
        <v>27</v>
      </c>
      <c r="C3169" t="s">
        <v>28</v>
      </c>
      <c r="H3169" s="2">
        <v>45211.544942129629</v>
      </c>
      <c r="I3169" t="s">
        <v>2674</v>
      </c>
      <c r="Z3169">
        <v>66548</v>
      </c>
    </row>
    <row r="3170" spans="1:26" x14ac:dyDescent="0.25">
      <c r="A3170" t="s">
        <v>3508</v>
      </c>
      <c r="B3170" t="s">
        <v>27</v>
      </c>
      <c r="C3170" t="s">
        <v>28</v>
      </c>
      <c r="H3170" s="2">
        <v>45211.444351851853</v>
      </c>
      <c r="I3170" t="s">
        <v>3230</v>
      </c>
      <c r="Z3170">
        <v>66528</v>
      </c>
    </row>
    <row r="3171" spans="1:26" x14ac:dyDescent="0.25">
      <c r="A3171" t="s">
        <v>3651</v>
      </c>
      <c r="B3171" t="s">
        <v>1708</v>
      </c>
      <c r="C3171" t="s">
        <v>28</v>
      </c>
      <c r="E3171" t="s">
        <v>458</v>
      </c>
      <c r="H3171" s="2">
        <v>45210.93712962963</v>
      </c>
      <c r="I3171" t="s">
        <v>2681</v>
      </c>
      <c r="Z3171">
        <v>66513</v>
      </c>
    </row>
    <row r="3172" spans="1:26" x14ac:dyDescent="0.25">
      <c r="A3172" t="s">
        <v>3652</v>
      </c>
      <c r="B3172" t="s">
        <v>27</v>
      </c>
      <c r="C3172" t="s">
        <v>28</v>
      </c>
      <c r="H3172" s="2">
        <v>45210.595185185186</v>
      </c>
      <c r="I3172" t="s">
        <v>31</v>
      </c>
      <c r="Z3172">
        <v>66478</v>
      </c>
    </row>
    <row r="3173" spans="1:26" x14ac:dyDescent="0.25">
      <c r="A3173" t="s">
        <v>3653</v>
      </c>
      <c r="B3173" t="s">
        <v>27</v>
      </c>
      <c r="C3173" t="s">
        <v>28</v>
      </c>
      <c r="H3173" s="2">
        <v>45210.577835648146</v>
      </c>
      <c r="I3173" t="s">
        <v>556</v>
      </c>
      <c r="Z3173">
        <v>66475</v>
      </c>
    </row>
    <row r="3174" spans="1:26" x14ac:dyDescent="0.25">
      <c r="A3174" t="s">
        <v>3654</v>
      </c>
      <c r="B3174" t="s">
        <v>27</v>
      </c>
      <c r="C3174" t="s">
        <v>28</v>
      </c>
      <c r="H3174" s="2">
        <v>45210.421296296299</v>
      </c>
      <c r="I3174" t="s">
        <v>3230</v>
      </c>
      <c r="Z3174">
        <v>66455</v>
      </c>
    </row>
    <row r="3175" spans="1:26" x14ac:dyDescent="0.25">
      <c r="A3175" t="s">
        <v>1793</v>
      </c>
      <c r="B3175" t="s">
        <v>27</v>
      </c>
      <c r="C3175" t="s">
        <v>28</v>
      </c>
      <c r="H3175" s="2">
        <v>45209.566828703704</v>
      </c>
      <c r="I3175" t="s">
        <v>31</v>
      </c>
      <c r="Z3175">
        <v>66401</v>
      </c>
    </row>
    <row r="3176" spans="1:26" x14ac:dyDescent="0.25">
      <c r="A3176" t="s">
        <v>3655</v>
      </c>
      <c r="B3176" t="s">
        <v>27</v>
      </c>
      <c r="C3176" t="s">
        <v>28</v>
      </c>
      <c r="H3176" s="2">
        <v>45208.698819444442</v>
      </c>
      <c r="I3176" t="s">
        <v>2148</v>
      </c>
      <c r="Z3176">
        <v>66363</v>
      </c>
    </row>
    <row r="3177" spans="1:26" x14ac:dyDescent="0.25">
      <c r="A3177" t="s">
        <v>3656</v>
      </c>
      <c r="B3177" t="s">
        <v>27</v>
      </c>
      <c r="C3177" t="s">
        <v>28</v>
      </c>
      <c r="H3177" s="2">
        <v>45208.53229166667</v>
      </c>
      <c r="I3177" t="s">
        <v>31</v>
      </c>
      <c r="Z3177">
        <v>66338</v>
      </c>
    </row>
    <row r="3178" spans="1:26" x14ac:dyDescent="0.25">
      <c r="A3178" t="s">
        <v>3657</v>
      </c>
      <c r="B3178" t="s">
        <v>27</v>
      </c>
      <c r="C3178" t="s">
        <v>28</v>
      </c>
      <c r="H3178" s="2">
        <v>45208.498032407406</v>
      </c>
      <c r="I3178" t="s">
        <v>31</v>
      </c>
      <c r="Z3178">
        <v>66333</v>
      </c>
    </row>
    <row r="3179" spans="1:26" x14ac:dyDescent="0.25">
      <c r="A3179" t="s">
        <v>3658</v>
      </c>
      <c r="B3179" t="s">
        <v>27</v>
      </c>
      <c r="C3179" t="s">
        <v>28</v>
      </c>
      <c r="H3179" s="2">
        <v>45207.665856481479</v>
      </c>
      <c r="I3179" t="s">
        <v>2148</v>
      </c>
      <c r="Z3179">
        <v>66290</v>
      </c>
    </row>
    <row r="3180" spans="1:26" x14ac:dyDescent="0.25">
      <c r="A3180" t="s">
        <v>3659</v>
      </c>
      <c r="B3180" t="s">
        <v>27</v>
      </c>
      <c r="C3180" t="s">
        <v>28</v>
      </c>
      <c r="H3180" s="2">
        <v>45207.522893518515</v>
      </c>
      <c r="I3180" t="s">
        <v>2148</v>
      </c>
      <c r="Z3180">
        <v>66274</v>
      </c>
    </row>
    <row r="3181" spans="1:26" x14ac:dyDescent="0.25">
      <c r="A3181" t="s">
        <v>3660</v>
      </c>
      <c r="B3181" t="s">
        <v>1403</v>
      </c>
      <c r="C3181" t="s">
        <v>28</v>
      </c>
      <c r="E3181" t="s">
        <v>3661</v>
      </c>
      <c r="G3181" t="s">
        <v>3662</v>
      </c>
      <c r="H3181" s="2">
        <v>45206.721331018518</v>
      </c>
      <c r="I3181" t="s">
        <v>2148</v>
      </c>
      <c r="Z3181">
        <v>66254</v>
      </c>
    </row>
    <row r="3182" spans="1:26" x14ac:dyDescent="0.25">
      <c r="A3182" t="s">
        <v>663</v>
      </c>
      <c r="C3182" t="s">
        <v>28</v>
      </c>
      <c r="E3182" t="s">
        <v>373</v>
      </c>
      <c r="H3182" s="2">
        <v>45206.632465277777</v>
      </c>
      <c r="I3182" t="s">
        <v>2674</v>
      </c>
      <c r="Z3182">
        <v>66246</v>
      </c>
    </row>
    <row r="3183" spans="1:26" x14ac:dyDescent="0.25">
      <c r="A3183" t="s">
        <v>3663</v>
      </c>
      <c r="B3183" t="s">
        <v>27</v>
      </c>
      <c r="C3183" t="s">
        <v>28</v>
      </c>
      <c r="H3183" s="2">
        <v>45206.612557870372</v>
      </c>
      <c r="I3183" t="s">
        <v>3230</v>
      </c>
      <c r="Z3183">
        <v>66244</v>
      </c>
    </row>
    <row r="3184" spans="1:26" x14ac:dyDescent="0.25">
      <c r="A3184" t="s">
        <v>3664</v>
      </c>
      <c r="B3184" t="s">
        <v>27</v>
      </c>
      <c r="C3184" t="s">
        <v>28</v>
      </c>
      <c r="H3184" s="2">
        <v>45206.463321759256</v>
      </c>
      <c r="I3184" t="s">
        <v>2148</v>
      </c>
      <c r="Z3184">
        <v>66224</v>
      </c>
    </row>
    <row r="3185" spans="1:26" x14ac:dyDescent="0.25">
      <c r="A3185" t="s">
        <v>3665</v>
      </c>
      <c r="B3185" t="s">
        <v>27</v>
      </c>
      <c r="C3185" t="s">
        <v>28</v>
      </c>
      <c r="H3185" s="2">
        <v>45205.753796296296</v>
      </c>
      <c r="I3185" t="s">
        <v>3230</v>
      </c>
      <c r="Z3185">
        <v>66209</v>
      </c>
    </row>
    <row r="3186" spans="1:26" x14ac:dyDescent="0.25">
      <c r="A3186" t="s">
        <v>3666</v>
      </c>
      <c r="B3186" t="s">
        <v>27</v>
      </c>
      <c r="C3186" t="s">
        <v>28</v>
      </c>
      <c r="H3186" s="2">
        <v>45205.711504629631</v>
      </c>
      <c r="I3186" t="s">
        <v>1488</v>
      </c>
      <c r="Z3186">
        <v>66205</v>
      </c>
    </row>
    <row r="3187" spans="1:26" x14ac:dyDescent="0.25">
      <c r="A3187" t="s">
        <v>3667</v>
      </c>
      <c r="B3187" t="s">
        <v>27</v>
      </c>
      <c r="C3187" t="s">
        <v>28</v>
      </c>
      <c r="H3187" s="2">
        <v>45205.60224537037</v>
      </c>
      <c r="I3187" t="s">
        <v>1488</v>
      </c>
      <c r="Z3187">
        <v>66185</v>
      </c>
    </row>
    <row r="3188" spans="1:26" x14ac:dyDescent="0.25">
      <c r="A3188" t="s">
        <v>2176</v>
      </c>
      <c r="B3188" t="s">
        <v>1708</v>
      </c>
      <c r="C3188" t="s">
        <v>28</v>
      </c>
      <c r="E3188" t="s">
        <v>427</v>
      </c>
      <c r="H3188" s="2">
        <v>45205.541030092594</v>
      </c>
      <c r="I3188" t="s">
        <v>2681</v>
      </c>
      <c r="Z3188">
        <v>66178</v>
      </c>
    </row>
    <row r="3189" spans="1:26" x14ac:dyDescent="0.25">
      <c r="A3189" t="s">
        <v>3030</v>
      </c>
      <c r="B3189" t="s">
        <v>1403</v>
      </c>
      <c r="C3189" t="s">
        <v>28</v>
      </c>
      <c r="E3189" t="s">
        <v>3668</v>
      </c>
      <c r="G3189" t="s">
        <v>3669</v>
      </c>
      <c r="H3189" s="2">
        <v>45205.515150462961</v>
      </c>
      <c r="I3189" t="s">
        <v>2681</v>
      </c>
      <c r="Z3189">
        <v>66177</v>
      </c>
    </row>
    <row r="3190" spans="1:26" x14ac:dyDescent="0.25">
      <c r="A3190" t="s">
        <v>3670</v>
      </c>
      <c r="B3190" t="s">
        <v>2162</v>
      </c>
      <c r="C3190" t="s">
        <v>28</v>
      </c>
      <c r="E3190" t="s">
        <v>3671</v>
      </c>
      <c r="H3190" s="2">
        <v>45205.441550925927</v>
      </c>
      <c r="I3190" t="s">
        <v>2681</v>
      </c>
      <c r="Z3190">
        <v>66167</v>
      </c>
    </row>
    <row r="3191" spans="1:26" x14ac:dyDescent="0.25">
      <c r="A3191" t="s">
        <v>3672</v>
      </c>
      <c r="B3191" t="s">
        <v>1708</v>
      </c>
      <c r="C3191" t="s">
        <v>28</v>
      </c>
      <c r="E3191" t="s">
        <v>3673</v>
      </c>
      <c r="H3191" s="2">
        <v>45205.412407407406</v>
      </c>
      <c r="I3191" t="s">
        <v>2681</v>
      </c>
      <c r="Z3191">
        <v>66158</v>
      </c>
    </row>
    <row r="3192" spans="1:26" x14ac:dyDescent="0.25">
      <c r="A3192" t="s">
        <v>3674</v>
      </c>
      <c r="B3192" t="s">
        <v>27</v>
      </c>
      <c r="C3192" t="s">
        <v>28</v>
      </c>
      <c r="H3192" s="2">
        <v>45204.755393518521</v>
      </c>
      <c r="I3192" t="s">
        <v>3230</v>
      </c>
      <c r="Z3192">
        <v>66147</v>
      </c>
    </row>
    <row r="3193" spans="1:26" x14ac:dyDescent="0.25">
      <c r="A3193" t="s">
        <v>3675</v>
      </c>
      <c r="B3193" t="s">
        <v>27</v>
      </c>
      <c r="C3193" t="s">
        <v>28</v>
      </c>
      <c r="H3193" s="2">
        <v>45204.73841435185</v>
      </c>
      <c r="I3193" t="s">
        <v>31</v>
      </c>
      <c r="Z3193">
        <v>66144</v>
      </c>
    </row>
    <row r="3194" spans="1:26" x14ac:dyDescent="0.25">
      <c r="A3194" t="s">
        <v>3676</v>
      </c>
      <c r="B3194" t="s">
        <v>27</v>
      </c>
      <c r="C3194" t="s">
        <v>28</v>
      </c>
      <c r="H3194" s="2">
        <v>45204.723113425927</v>
      </c>
      <c r="I3194" t="s">
        <v>31</v>
      </c>
      <c r="Z3194">
        <v>66142</v>
      </c>
    </row>
    <row r="3195" spans="1:26" x14ac:dyDescent="0.25">
      <c r="A3195" t="s">
        <v>3677</v>
      </c>
      <c r="C3195" t="s">
        <v>28</v>
      </c>
      <c r="E3195" t="s">
        <v>929</v>
      </c>
      <c r="H3195" s="2">
        <v>45203.726817129631</v>
      </c>
      <c r="I3195" t="s">
        <v>31</v>
      </c>
      <c r="Z3195">
        <v>66079</v>
      </c>
    </row>
    <row r="3196" spans="1:26" x14ac:dyDescent="0.25">
      <c r="A3196" t="s">
        <v>3678</v>
      </c>
      <c r="B3196" t="s">
        <v>306</v>
      </c>
      <c r="C3196" t="s">
        <v>28</v>
      </c>
      <c r="E3196" t="s">
        <v>3679</v>
      </c>
      <c r="H3196" s="2">
        <v>45203.689317129632</v>
      </c>
      <c r="I3196" t="s">
        <v>31</v>
      </c>
      <c r="Z3196">
        <v>66074</v>
      </c>
    </row>
    <row r="3197" spans="1:26" x14ac:dyDescent="0.25">
      <c r="A3197" t="s">
        <v>3680</v>
      </c>
      <c r="B3197" t="s">
        <v>27</v>
      </c>
      <c r="C3197" t="s">
        <v>28</v>
      </c>
      <c r="H3197" s="2">
        <v>45203.565706018519</v>
      </c>
      <c r="I3197" t="s">
        <v>31</v>
      </c>
      <c r="Z3197">
        <v>66056</v>
      </c>
    </row>
    <row r="3198" spans="1:26" x14ac:dyDescent="0.25">
      <c r="A3198" t="s">
        <v>3681</v>
      </c>
      <c r="B3198" t="s">
        <v>27</v>
      </c>
      <c r="C3198" t="s">
        <v>28</v>
      </c>
      <c r="H3198" s="2">
        <v>45203.416354166664</v>
      </c>
      <c r="I3198" t="s">
        <v>31</v>
      </c>
      <c r="Z3198">
        <v>66036</v>
      </c>
    </row>
    <row r="3199" spans="1:26" x14ac:dyDescent="0.25">
      <c r="A3199" t="s">
        <v>3682</v>
      </c>
      <c r="B3199" t="s">
        <v>27</v>
      </c>
      <c r="C3199" t="s">
        <v>28</v>
      </c>
      <c r="H3199" s="2">
        <v>45203.39980324074</v>
      </c>
      <c r="I3199" t="s">
        <v>556</v>
      </c>
      <c r="Z3199">
        <v>66034</v>
      </c>
    </row>
    <row r="3200" spans="1:26" x14ac:dyDescent="0.25">
      <c r="A3200" t="s">
        <v>3683</v>
      </c>
      <c r="B3200" t="s">
        <v>1708</v>
      </c>
      <c r="C3200" t="s">
        <v>28</v>
      </c>
      <c r="E3200" t="s">
        <v>3684</v>
      </c>
      <c r="H3200" s="2">
        <v>45202.610659722224</v>
      </c>
      <c r="I3200" t="s">
        <v>2148</v>
      </c>
      <c r="Z3200">
        <v>65999</v>
      </c>
    </row>
    <row r="3201" spans="1:26" x14ac:dyDescent="0.25">
      <c r="A3201" t="s">
        <v>3685</v>
      </c>
      <c r="B3201" t="s">
        <v>27</v>
      </c>
      <c r="C3201" t="s">
        <v>28</v>
      </c>
      <c r="H3201" s="2">
        <v>45202.602210648147</v>
      </c>
      <c r="I3201" t="s">
        <v>2148</v>
      </c>
      <c r="Z3201">
        <v>65996</v>
      </c>
    </row>
    <row r="3202" spans="1:26" x14ac:dyDescent="0.25">
      <c r="A3202" t="s">
        <v>3686</v>
      </c>
      <c r="B3202" t="s">
        <v>27</v>
      </c>
      <c r="C3202" t="s">
        <v>28</v>
      </c>
      <c r="H3202" s="2">
        <v>45202.586076388892</v>
      </c>
      <c r="I3202" t="s">
        <v>556</v>
      </c>
      <c r="Z3202">
        <v>65992</v>
      </c>
    </row>
    <row r="3203" spans="1:26" x14ac:dyDescent="0.25">
      <c r="A3203" t="s">
        <v>3687</v>
      </c>
      <c r="B3203" t="s">
        <v>1403</v>
      </c>
      <c r="C3203" t="s">
        <v>28</v>
      </c>
      <c r="E3203" t="s">
        <v>101</v>
      </c>
      <c r="G3203" t="s">
        <v>3688</v>
      </c>
      <c r="H3203" s="2">
        <v>45202.53800925926</v>
      </c>
      <c r="I3203" t="s">
        <v>2148</v>
      </c>
      <c r="Z3203">
        <v>65988</v>
      </c>
    </row>
    <row r="3204" spans="1:26" x14ac:dyDescent="0.25">
      <c r="A3204" t="s">
        <v>3689</v>
      </c>
      <c r="B3204" t="s">
        <v>27</v>
      </c>
      <c r="C3204" t="s">
        <v>28</v>
      </c>
      <c r="H3204" s="2">
        <v>45202.492696759262</v>
      </c>
      <c r="I3204" t="s">
        <v>2791</v>
      </c>
      <c r="Z3204">
        <v>65975</v>
      </c>
    </row>
    <row r="3205" spans="1:26" x14ac:dyDescent="0.25">
      <c r="A3205" t="s">
        <v>3690</v>
      </c>
      <c r="B3205" t="s">
        <v>27</v>
      </c>
      <c r="C3205" t="s">
        <v>28</v>
      </c>
      <c r="H3205" s="2">
        <v>45202.415162037039</v>
      </c>
      <c r="I3205" t="s">
        <v>2791</v>
      </c>
      <c r="Z3205">
        <v>65960</v>
      </c>
    </row>
    <row r="3206" spans="1:26" x14ac:dyDescent="0.25">
      <c r="A3206" t="s">
        <v>3691</v>
      </c>
      <c r="B3206" t="s">
        <v>27</v>
      </c>
      <c r="C3206" t="s">
        <v>28</v>
      </c>
      <c r="H3206" s="2">
        <v>45201.697048611109</v>
      </c>
      <c r="I3206" t="s">
        <v>2674</v>
      </c>
      <c r="Z3206">
        <v>65937</v>
      </c>
    </row>
    <row r="3207" spans="1:26" x14ac:dyDescent="0.25">
      <c r="A3207" t="s">
        <v>3692</v>
      </c>
      <c r="B3207" t="s">
        <v>27</v>
      </c>
      <c r="C3207" t="s">
        <v>28</v>
      </c>
      <c r="H3207" s="2">
        <v>45201.580787037034</v>
      </c>
      <c r="I3207" t="s">
        <v>3230</v>
      </c>
      <c r="Z3207">
        <v>65925</v>
      </c>
    </row>
    <row r="3208" spans="1:26" x14ac:dyDescent="0.25">
      <c r="A3208" t="s">
        <v>3693</v>
      </c>
      <c r="B3208" t="s">
        <v>1708</v>
      </c>
      <c r="C3208" t="s">
        <v>28</v>
      </c>
      <c r="E3208" t="s">
        <v>101</v>
      </c>
      <c r="H3208" s="2">
        <v>45201.559328703705</v>
      </c>
      <c r="I3208" t="s">
        <v>2148</v>
      </c>
      <c r="Z3208">
        <v>65921</v>
      </c>
    </row>
    <row r="3209" spans="1:26" x14ac:dyDescent="0.25">
      <c r="A3209" t="s">
        <v>3694</v>
      </c>
      <c r="B3209" t="s">
        <v>27</v>
      </c>
      <c r="C3209" t="s">
        <v>28</v>
      </c>
      <c r="H3209" s="2">
        <v>45201.551979166667</v>
      </c>
      <c r="I3209" t="s">
        <v>3230</v>
      </c>
      <c r="Z3209">
        <v>65918</v>
      </c>
    </row>
    <row r="3210" spans="1:26" x14ac:dyDescent="0.25">
      <c r="A3210" t="s">
        <v>3695</v>
      </c>
      <c r="C3210" t="s">
        <v>28</v>
      </c>
      <c r="E3210" t="s">
        <v>385</v>
      </c>
      <c r="H3210" s="2">
        <v>45201.393622685187</v>
      </c>
      <c r="I3210" t="s">
        <v>3230</v>
      </c>
      <c r="Z3210">
        <v>65883</v>
      </c>
    </row>
    <row r="3211" spans="1:26" x14ac:dyDescent="0.25">
      <c r="A3211" t="s">
        <v>3696</v>
      </c>
      <c r="B3211" t="s">
        <v>27</v>
      </c>
      <c r="C3211" t="s">
        <v>28</v>
      </c>
      <c r="H3211" s="2">
        <v>45200.875416666669</v>
      </c>
      <c r="I3211" t="s">
        <v>2148</v>
      </c>
      <c r="Z3211">
        <v>65872</v>
      </c>
    </row>
    <row r="3212" spans="1:26" x14ac:dyDescent="0.25">
      <c r="A3212" t="s">
        <v>3697</v>
      </c>
      <c r="B3212" t="s">
        <v>27</v>
      </c>
      <c r="C3212" t="s">
        <v>28</v>
      </c>
      <c r="H3212" s="2">
        <v>45200.523379629631</v>
      </c>
      <c r="I3212" t="s">
        <v>3230</v>
      </c>
      <c r="Z3212">
        <v>65843</v>
      </c>
    </row>
    <row r="3213" spans="1:26" x14ac:dyDescent="0.25">
      <c r="A3213" t="s">
        <v>3698</v>
      </c>
      <c r="B3213" t="s">
        <v>27</v>
      </c>
      <c r="C3213" t="s">
        <v>75</v>
      </c>
      <c r="H3213" s="2">
        <v>45199.522256944445</v>
      </c>
      <c r="I3213" t="s">
        <v>3230</v>
      </c>
      <c r="Z3213">
        <v>65798</v>
      </c>
    </row>
    <row r="3214" spans="1:26" x14ac:dyDescent="0.25">
      <c r="A3214" t="s">
        <v>3699</v>
      </c>
      <c r="B3214" t="s">
        <v>27</v>
      </c>
      <c r="C3214" t="s">
        <v>28</v>
      </c>
      <c r="H3214" s="2">
        <v>45198.624583333331</v>
      </c>
      <c r="I3214" t="s">
        <v>1488</v>
      </c>
      <c r="Z3214">
        <v>65748</v>
      </c>
    </row>
    <row r="3215" spans="1:26" x14ac:dyDescent="0.25">
      <c r="A3215" t="s">
        <v>3700</v>
      </c>
      <c r="B3215" t="s">
        <v>27</v>
      </c>
      <c r="C3215" t="s">
        <v>28</v>
      </c>
      <c r="H3215" s="2">
        <v>45198.533148148148</v>
      </c>
      <c r="I3215" t="s">
        <v>556</v>
      </c>
      <c r="Z3215">
        <v>65734</v>
      </c>
    </row>
    <row r="3216" spans="1:26" x14ac:dyDescent="0.25">
      <c r="A3216" t="s">
        <v>3701</v>
      </c>
      <c r="B3216" t="s">
        <v>27</v>
      </c>
      <c r="C3216" t="s">
        <v>28</v>
      </c>
      <c r="H3216" s="2">
        <v>45198.501851851855</v>
      </c>
      <c r="I3216" t="s">
        <v>556</v>
      </c>
      <c r="Z3216">
        <v>65727</v>
      </c>
    </row>
    <row r="3217" spans="1:26" x14ac:dyDescent="0.25">
      <c r="A3217" t="s">
        <v>3702</v>
      </c>
      <c r="B3217" t="s">
        <v>27</v>
      </c>
      <c r="C3217" t="s">
        <v>28</v>
      </c>
      <c r="H3217" s="2">
        <v>45197.858819444446</v>
      </c>
      <c r="I3217" t="s">
        <v>1488</v>
      </c>
      <c r="Z3217">
        <v>65703</v>
      </c>
    </row>
    <row r="3218" spans="1:26" x14ac:dyDescent="0.25">
      <c r="A3218" t="s">
        <v>3703</v>
      </c>
      <c r="B3218" t="s">
        <v>27</v>
      </c>
      <c r="C3218" t="s">
        <v>28</v>
      </c>
      <c r="H3218" s="2">
        <v>45197.72965277778</v>
      </c>
      <c r="I3218" t="s">
        <v>556</v>
      </c>
      <c r="Z3218">
        <v>65694</v>
      </c>
    </row>
    <row r="3219" spans="1:26" x14ac:dyDescent="0.25">
      <c r="A3219" t="s">
        <v>3704</v>
      </c>
      <c r="B3219" t="s">
        <v>27</v>
      </c>
      <c r="C3219" t="s">
        <v>28</v>
      </c>
      <c r="H3219" s="2">
        <v>45197.558506944442</v>
      </c>
      <c r="I3219" t="s">
        <v>1488</v>
      </c>
      <c r="Z3219">
        <v>65672</v>
      </c>
    </row>
    <row r="3220" spans="1:26" x14ac:dyDescent="0.25">
      <c r="A3220" t="s">
        <v>3705</v>
      </c>
      <c r="B3220" t="s">
        <v>27</v>
      </c>
      <c r="C3220" t="s">
        <v>28</v>
      </c>
      <c r="H3220" s="2">
        <v>45197.536238425928</v>
      </c>
      <c r="I3220" t="s">
        <v>556</v>
      </c>
      <c r="Z3220">
        <v>65668</v>
      </c>
    </row>
    <row r="3221" spans="1:26" x14ac:dyDescent="0.25">
      <c r="A3221" t="s">
        <v>3706</v>
      </c>
      <c r="B3221" t="s">
        <v>27</v>
      </c>
      <c r="C3221" t="s">
        <v>28</v>
      </c>
      <c r="H3221" s="2">
        <v>45197.496736111112</v>
      </c>
      <c r="I3221" t="s">
        <v>556</v>
      </c>
      <c r="Z3221">
        <v>65660</v>
      </c>
    </row>
    <row r="3222" spans="1:26" x14ac:dyDescent="0.25">
      <c r="A3222" t="s">
        <v>3707</v>
      </c>
      <c r="B3222" t="s">
        <v>1403</v>
      </c>
      <c r="C3222" t="s">
        <v>28</v>
      </c>
      <c r="E3222" t="s">
        <v>3708</v>
      </c>
      <c r="H3222" s="2">
        <v>45197.361875000002</v>
      </c>
      <c r="I3222" t="s">
        <v>31</v>
      </c>
      <c r="Z3222">
        <v>65638</v>
      </c>
    </row>
    <row r="3223" spans="1:26" x14ac:dyDescent="0.25">
      <c r="A3223" t="s">
        <v>3709</v>
      </c>
      <c r="B3223" t="s">
        <v>27</v>
      </c>
      <c r="C3223" t="s">
        <v>28</v>
      </c>
      <c r="H3223" s="2">
        <v>45196.779143518521</v>
      </c>
      <c r="I3223" t="s">
        <v>1488</v>
      </c>
      <c r="Z3223">
        <v>65633</v>
      </c>
    </row>
    <row r="3224" spans="1:26" x14ac:dyDescent="0.25">
      <c r="A3224" t="s">
        <v>3710</v>
      </c>
      <c r="B3224" t="s">
        <v>27</v>
      </c>
      <c r="C3224" t="s">
        <v>28</v>
      </c>
      <c r="H3224" s="2">
        <v>45196.77857638889</v>
      </c>
      <c r="I3224" t="s">
        <v>1488</v>
      </c>
      <c r="Z3224">
        <v>65632</v>
      </c>
    </row>
    <row r="3225" spans="1:26" x14ac:dyDescent="0.25">
      <c r="A3225" t="s">
        <v>3711</v>
      </c>
      <c r="B3225" t="s">
        <v>27</v>
      </c>
      <c r="C3225" t="s">
        <v>28</v>
      </c>
      <c r="H3225" s="2">
        <v>45196.771585648145</v>
      </c>
      <c r="I3225" t="s">
        <v>1488</v>
      </c>
      <c r="Z3225">
        <v>65630</v>
      </c>
    </row>
    <row r="3226" spans="1:26" x14ac:dyDescent="0.25">
      <c r="A3226" t="s">
        <v>3712</v>
      </c>
      <c r="B3226" t="s">
        <v>27</v>
      </c>
      <c r="C3226" t="s">
        <v>28</v>
      </c>
      <c r="H3226" s="2">
        <v>45196.720208333332</v>
      </c>
      <c r="I3226" t="s">
        <v>2148</v>
      </c>
      <c r="Z3226">
        <v>65620</v>
      </c>
    </row>
    <row r="3227" spans="1:26" x14ac:dyDescent="0.25">
      <c r="A3227" t="s">
        <v>3713</v>
      </c>
      <c r="B3227" t="s">
        <v>27</v>
      </c>
      <c r="C3227" t="s">
        <v>28</v>
      </c>
      <c r="H3227" s="2">
        <v>45196.619976851849</v>
      </c>
      <c r="I3227" t="s">
        <v>2148</v>
      </c>
      <c r="Z3227">
        <v>65599</v>
      </c>
    </row>
    <row r="3228" spans="1:26" x14ac:dyDescent="0.25">
      <c r="A3228" t="s">
        <v>2948</v>
      </c>
      <c r="B3228" t="s">
        <v>27</v>
      </c>
      <c r="C3228" t="s">
        <v>28</v>
      </c>
      <c r="H3228" s="2">
        <v>45196.555567129632</v>
      </c>
      <c r="I3228" t="s">
        <v>1488</v>
      </c>
      <c r="Z3228">
        <v>65592</v>
      </c>
    </row>
    <row r="3229" spans="1:26" x14ac:dyDescent="0.25">
      <c r="A3229" t="s">
        <v>3714</v>
      </c>
      <c r="B3229" t="s">
        <v>27</v>
      </c>
      <c r="C3229" t="s">
        <v>28</v>
      </c>
      <c r="H3229" s="2">
        <v>45196.515162037038</v>
      </c>
      <c r="I3229" t="s">
        <v>2148</v>
      </c>
      <c r="Z3229">
        <v>65587</v>
      </c>
    </row>
    <row r="3230" spans="1:26" x14ac:dyDescent="0.25">
      <c r="A3230" t="s">
        <v>3715</v>
      </c>
      <c r="B3230" t="s">
        <v>27</v>
      </c>
      <c r="C3230" t="s">
        <v>28</v>
      </c>
      <c r="H3230" s="2">
        <v>45196.455752314818</v>
      </c>
      <c r="I3230" t="s">
        <v>2148</v>
      </c>
      <c r="Z3230">
        <v>65574</v>
      </c>
    </row>
    <row r="3231" spans="1:26" x14ac:dyDescent="0.25">
      <c r="A3231" t="s">
        <v>3716</v>
      </c>
      <c r="B3231" t="s">
        <v>27</v>
      </c>
      <c r="C3231" t="s">
        <v>28</v>
      </c>
      <c r="H3231" s="2">
        <v>45196.429583333331</v>
      </c>
      <c r="I3231" t="s">
        <v>1488</v>
      </c>
      <c r="Z3231">
        <v>65571</v>
      </c>
    </row>
    <row r="3232" spans="1:26" x14ac:dyDescent="0.25">
      <c r="A3232" t="s">
        <v>3717</v>
      </c>
      <c r="B3232" t="s">
        <v>27</v>
      </c>
      <c r="C3232" t="s">
        <v>28</v>
      </c>
      <c r="H3232" s="2">
        <v>45196.393761574072</v>
      </c>
      <c r="I3232" t="s">
        <v>2148</v>
      </c>
      <c r="Z3232">
        <v>65561</v>
      </c>
    </row>
    <row r="3233" spans="1:26" x14ac:dyDescent="0.25">
      <c r="A3233" t="s">
        <v>3718</v>
      </c>
      <c r="B3233" t="s">
        <v>27</v>
      </c>
      <c r="C3233" t="s">
        <v>28</v>
      </c>
      <c r="E3233">
        <v>79879067665</v>
      </c>
      <c r="H3233" s="2">
        <v>45195.82917824074</v>
      </c>
      <c r="I3233" t="s">
        <v>2681</v>
      </c>
      <c r="Z3233">
        <v>65555</v>
      </c>
    </row>
    <row r="3234" spans="1:26" x14ac:dyDescent="0.25">
      <c r="A3234" t="s">
        <v>3719</v>
      </c>
      <c r="B3234" t="s">
        <v>27</v>
      </c>
      <c r="C3234" t="s">
        <v>28</v>
      </c>
      <c r="E3234" t="s">
        <v>3720</v>
      </c>
      <c r="H3234" s="2">
        <v>45195.722731481481</v>
      </c>
      <c r="I3234" t="s">
        <v>3054</v>
      </c>
      <c r="Z3234">
        <v>65539</v>
      </c>
    </row>
    <row r="3235" spans="1:26" x14ac:dyDescent="0.25">
      <c r="A3235" t="s">
        <v>3721</v>
      </c>
      <c r="B3235" t="s">
        <v>27</v>
      </c>
      <c r="C3235" t="s">
        <v>28</v>
      </c>
      <c r="H3235" s="2">
        <v>45195.532106481478</v>
      </c>
      <c r="I3235" t="s">
        <v>3230</v>
      </c>
      <c r="Z3235">
        <v>65506</v>
      </c>
    </row>
    <row r="3236" spans="1:26" x14ac:dyDescent="0.25">
      <c r="A3236" t="s">
        <v>3722</v>
      </c>
      <c r="B3236" t="s">
        <v>27</v>
      </c>
      <c r="C3236" t="s">
        <v>28</v>
      </c>
      <c r="H3236" s="2">
        <v>45195.424513888887</v>
      </c>
      <c r="I3236" t="s">
        <v>2148</v>
      </c>
      <c r="Z3236">
        <v>65486</v>
      </c>
    </row>
    <row r="3237" spans="1:26" x14ac:dyDescent="0.25">
      <c r="A3237" t="s">
        <v>3723</v>
      </c>
      <c r="B3237" t="s">
        <v>27</v>
      </c>
      <c r="C3237" t="s">
        <v>28</v>
      </c>
      <c r="H3237" s="2">
        <v>45194.707037037035</v>
      </c>
      <c r="I3237" t="s">
        <v>2148</v>
      </c>
      <c r="Z3237">
        <v>65453</v>
      </c>
    </row>
    <row r="3238" spans="1:26" x14ac:dyDescent="0.25">
      <c r="A3238" t="s">
        <v>3724</v>
      </c>
      <c r="B3238" t="s">
        <v>27</v>
      </c>
      <c r="C3238" t="s">
        <v>28</v>
      </c>
      <c r="H3238" s="2">
        <v>45194.574525462966</v>
      </c>
      <c r="I3238" t="s">
        <v>2674</v>
      </c>
      <c r="Z3238">
        <v>65425</v>
      </c>
    </row>
    <row r="3239" spans="1:26" x14ac:dyDescent="0.25">
      <c r="A3239" t="s">
        <v>3725</v>
      </c>
      <c r="B3239" t="s">
        <v>27</v>
      </c>
      <c r="C3239" t="s">
        <v>28</v>
      </c>
      <c r="H3239" s="2">
        <v>45194.559803240743</v>
      </c>
      <c r="I3239" t="s">
        <v>2148</v>
      </c>
      <c r="Z3239">
        <v>65424</v>
      </c>
    </row>
    <row r="3240" spans="1:26" x14ac:dyDescent="0.25">
      <c r="A3240" t="s">
        <v>3726</v>
      </c>
      <c r="B3240" t="s">
        <v>27</v>
      </c>
      <c r="C3240" t="s">
        <v>28</v>
      </c>
      <c r="H3240" s="2">
        <v>45194.531793981485</v>
      </c>
      <c r="I3240" t="s">
        <v>3230</v>
      </c>
      <c r="Z3240">
        <v>65415</v>
      </c>
    </row>
    <row r="3241" spans="1:26" x14ac:dyDescent="0.25">
      <c r="A3241" t="s">
        <v>3727</v>
      </c>
      <c r="B3241" t="s">
        <v>27</v>
      </c>
      <c r="C3241" t="s">
        <v>28</v>
      </c>
      <c r="H3241" s="2">
        <v>45194.392048611109</v>
      </c>
      <c r="I3241" t="s">
        <v>3230</v>
      </c>
      <c r="Z3241">
        <v>65391</v>
      </c>
    </row>
    <row r="3242" spans="1:26" x14ac:dyDescent="0.25">
      <c r="A3242" t="s">
        <v>3728</v>
      </c>
      <c r="B3242" t="s">
        <v>1708</v>
      </c>
      <c r="C3242" t="s">
        <v>28</v>
      </c>
      <c r="E3242" t="s">
        <v>3729</v>
      </c>
      <c r="H3242" s="2">
        <v>45193.881226851852</v>
      </c>
      <c r="I3242" t="s">
        <v>2681</v>
      </c>
      <c r="Z3242">
        <v>65384</v>
      </c>
    </row>
    <row r="3243" spans="1:26" x14ac:dyDescent="0.25">
      <c r="A3243" t="s">
        <v>3730</v>
      </c>
      <c r="B3243" t="s">
        <v>1708</v>
      </c>
      <c r="C3243" t="s">
        <v>28</v>
      </c>
      <c r="E3243" t="s">
        <v>3731</v>
      </c>
      <c r="H3243" s="2">
        <v>45193.488182870373</v>
      </c>
      <c r="I3243" t="s">
        <v>31</v>
      </c>
      <c r="K3243" t="s">
        <v>34</v>
      </c>
      <c r="L3243" t="s">
        <v>35</v>
      </c>
      <c r="M3243">
        <v>55887083</v>
      </c>
      <c r="N3243">
        <v>9754618980</v>
      </c>
      <c r="O3243" t="s">
        <v>3505</v>
      </c>
      <c r="Z3243">
        <v>65355</v>
      </c>
    </row>
    <row r="3244" spans="1:26" x14ac:dyDescent="0.25">
      <c r="A3244" t="s">
        <v>3732</v>
      </c>
      <c r="B3244" t="s">
        <v>2162</v>
      </c>
      <c r="C3244" t="s">
        <v>185</v>
      </c>
      <c r="E3244" t="s">
        <v>1052</v>
      </c>
      <c r="G3244" t="s">
        <v>3733</v>
      </c>
      <c r="H3244" s="2">
        <v>45193.484212962961</v>
      </c>
      <c r="I3244" t="s">
        <v>2681</v>
      </c>
      <c r="Z3244">
        <v>65354</v>
      </c>
    </row>
    <row r="3245" spans="1:26" x14ac:dyDescent="0.25">
      <c r="A3245" t="s">
        <v>3734</v>
      </c>
      <c r="B3245" t="s">
        <v>27</v>
      </c>
      <c r="C3245" t="s">
        <v>28</v>
      </c>
      <c r="H3245" s="2">
        <v>45192.849930555552</v>
      </c>
      <c r="I3245" t="s">
        <v>31</v>
      </c>
      <c r="Z3245">
        <v>65343</v>
      </c>
    </row>
    <row r="3246" spans="1:26" x14ac:dyDescent="0.25">
      <c r="A3246" t="s">
        <v>3735</v>
      </c>
      <c r="B3246" t="s">
        <v>27</v>
      </c>
      <c r="C3246" t="s">
        <v>28</v>
      </c>
      <c r="H3246" s="2">
        <v>45192.531018518515</v>
      </c>
      <c r="I3246" t="s">
        <v>1488</v>
      </c>
      <c r="Z3246">
        <v>65308</v>
      </c>
    </row>
    <row r="3247" spans="1:26" x14ac:dyDescent="0.25">
      <c r="A3247" t="s">
        <v>3736</v>
      </c>
      <c r="B3247" t="s">
        <v>27</v>
      </c>
      <c r="C3247" t="s">
        <v>28</v>
      </c>
      <c r="H3247" s="2">
        <v>45192.510567129626</v>
      </c>
      <c r="I3247" t="s">
        <v>1488</v>
      </c>
      <c r="Z3247">
        <v>65304</v>
      </c>
    </row>
    <row r="3248" spans="1:26" x14ac:dyDescent="0.25">
      <c r="A3248" t="s">
        <v>3737</v>
      </c>
      <c r="B3248" t="s">
        <v>27</v>
      </c>
      <c r="C3248" t="s">
        <v>28</v>
      </c>
      <c r="H3248" s="2">
        <v>45192.485567129632</v>
      </c>
      <c r="I3248" t="s">
        <v>1488</v>
      </c>
      <c r="Z3248">
        <v>65302</v>
      </c>
    </row>
    <row r="3249" spans="1:26" x14ac:dyDescent="0.25">
      <c r="A3249" t="s">
        <v>3738</v>
      </c>
      <c r="B3249" t="s">
        <v>27</v>
      </c>
      <c r="C3249" t="s">
        <v>28</v>
      </c>
      <c r="H3249" s="2">
        <v>45192.451053240744</v>
      </c>
      <c r="I3249" t="s">
        <v>2674</v>
      </c>
      <c r="Z3249">
        <v>65296</v>
      </c>
    </row>
    <row r="3250" spans="1:26" x14ac:dyDescent="0.25">
      <c r="A3250" t="s">
        <v>3739</v>
      </c>
      <c r="B3250" t="s">
        <v>27</v>
      </c>
      <c r="C3250" t="s">
        <v>28</v>
      </c>
      <c r="H3250" s="2">
        <v>45191.580324074072</v>
      </c>
      <c r="I3250" t="s">
        <v>31</v>
      </c>
      <c r="Z3250">
        <v>65256</v>
      </c>
    </row>
    <row r="3251" spans="1:26" x14ac:dyDescent="0.25">
      <c r="A3251" t="s">
        <v>1793</v>
      </c>
      <c r="B3251" t="s">
        <v>27</v>
      </c>
      <c r="C3251" t="s">
        <v>28</v>
      </c>
      <c r="H3251" s="2">
        <v>45191.515057870369</v>
      </c>
      <c r="I3251" t="s">
        <v>2791</v>
      </c>
      <c r="Z3251">
        <v>65247</v>
      </c>
    </row>
    <row r="3252" spans="1:26" x14ac:dyDescent="0.25">
      <c r="A3252" t="s">
        <v>3740</v>
      </c>
      <c r="B3252" t="s">
        <v>306</v>
      </c>
      <c r="C3252" t="s">
        <v>28</v>
      </c>
      <c r="E3252" t="s">
        <v>72</v>
      </c>
      <c r="H3252" s="2">
        <v>45191.436111111114</v>
      </c>
      <c r="I3252" t="s">
        <v>31</v>
      </c>
      <c r="Z3252">
        <v>65226</v>
      </c>
    </row>
    <row r="3253" spans="1:26" x14ac:dyDescent="0.25">
      <c r="A3253" t="s">
        <v>3741</v>
      </c>
      <c r="B3253" t="s">
        <v>27</v>
      </c>
      <c r="C3253" t="s">
        <v>28</v>
      </c>
      <c r="H3253" s="2">
        <v>45190.682129629633</v>
      </c>
      <c r="I3253" t="s">
        <v>1488</v>
      </c>
      <c r="Z3253">
        <v>65196</v>
      </c>
    </row>
    <row r="3254" spans="1:26" x14ac:dyDescent="0.25">
      <c r="A3254" t="s">
        <v>3290</v>
      </c>
      <c r="B3254" t="s">
        <v>27</v>
      </c>
      <c r="C3254" t="s">
        <v>28</v>
      </c>
      <c r="H3254" s="2">
        <v>45190.554594907408</v>
      </c>
      <c r="I3254" t="s">
        <v>1488</v>
      </c>
      <c r="Z3254">
        <v>65169</v>
      </c>
    </row>
    <row r="3255" spans="1:26" x14ac:dyDescent="0.25">
      <c r="A3255" t="s">
        <v>3742</v>
      </c>
      <c r="B3255" t="s">
        <v>27</v>
      </c>
      <c r="C3255" t="s">
        <v>28</v>
      </c>
      <c r="H3255" s="2">
        <v>45190.465277777781</v>
      </c>
      <c r="I3255" t="s">
        <v>1488</v>
      </c>
      <c r="Z3255">
        <v>65150</v>
      </c>
    </row>
    <row r="3256" spans="1:26" x14ac:dyDescent="0.25">
      <c r="A3256" t="s">
        <v>3743</v>
      </c>
      <c r="B3256" t="s">
        <v>1403</v>
      </c>
      <c r="C3256" t="s">
        <v>75</v>
      </c>
      <c r="E3256" t="s">
        <v>664</v>
      </c>
      <c r="G3256" t="s">
        <v>3744</v>
      </c>
      <c r="H3256" s="2">
        <v>45190.384143518517</v>
      </c>
      <c r="I3256" t="s">
        <v>1488</v>
      </c>
      <c r="Z3256">
        <v>65135</v>
      </c>
    </row>
    <row r="3257" spans="1:26" x14ac:dyDescent="0.25">
      <c r="A3257" t="s">
        <v>3745</v>
      </c>
      <c r="B3257" t="s">
        <v>1708</v>
      </c>
      <c r="C3257" t="s">
        <v>28</v>
      </c>
      <c r="E3257" t="s">
        <v>3746</v>
      </c>
      <c r="H3257" s="2">
        <v>45190.378194444442</v>
      </c>
      <c r="I3257" t="s">
        <v>1488</v>
      </c>
      <c r="Z3257">
        <v>65132</v>
      </c>
    </row>
    <row r="3258" spans="1:26" x14ac:dyDescent="0.25">
      <c r="A3258" t="s">
        <v>3747</v>
      </c>
      <c r="B3258" t="s">
        <v>27</v>
      </c>
      <c r="C3258" t="s">
        <v>28</v>
      </c>
      <c r="H3258" s="2">
        <v>45189.726921296293</v>
      </c>
      <c r="I3258" t="s">
        <v>2791</v>
      </c>
      <c r="Z3258">
        <v>65114</v>
      </c>
    </row>
    <row r="3259" spans="1:26" x14ac:dyDescent="0.25">
      <c r="A3259" t="s">
        <v>3748</v>
      </c>
      <c r="B3259" t="s">
        <v>1403</v>
      </c>
      <c r="C3259" t="s">
        <v>28</v>
      </c>
      <c r="E3259" t="s">
        <v>198</v>
      </c>
      <c r="G3259" t="s">
        <v>3749</v>
      </c>
      <c r="H3259" s="2">
        <v>45189.575752314813</v>
      </c>
      <c r="I3259" t="s">
        <v>2681</v>
      </c>
      <c r="Z3259">
        <v>65079</v>
      </c>
    </row>
    <row r="3260" spans="1:26" x14ac:dyDescent="0.25">
      <c r="A3260" t="s">
        <v>3750</v>
      </c>
      <c r="B3260" t="s">
        <v>27</v>
      </c>
      <c r="C3260" t="s">
        <v>28</v>
      </c>
      <c r="H3260" s="2">
        <v>45189.524351851855</v>
      </c>
      <c r="I3260" t="s">
        <v>2674</v>
      </c>
      <c r="Z3260">
        <v>65063</v>
      </c>
    </row>
    <row r="3261" spans="1:26" x14ac:dyDescent="0.25">
      <c r="A3261" t="s">
        <v>3748</v>
      </c>
      <c r="B3261" t="s">
        <v>1403</v>
      </c>
      <c r="C3261" t="s">
        <v>28</v>
      </c>
      <c r="E3261" t="s">
        <v>198</v>
      </c>
      <c r="G3261" t="s">
        <v>3749</v>
      </c>
      <c r="H3261" s="2">
        <v>45189.003472222219</v>
      </c>
      <c r="I3261" t="s">
        <v>2681</v>
      </c>
      <c r="K3261" t="s">
        <v>34</v>
      </c>
      <c r="L3261" t="s">
        <v>35</v>
      </c>
      <c r="M3261">
        <v>67131912</v>
      </c>
      <c r="N3261">
        <v>11953101698</v>
      </c>
      <c r="O3261" t="s">
        <v>1756</v>
      </c>
      <c r="Z3261">
        <v>65030</v>
      </c>
    </row>
    <row r="3262" spans="1:26" x14ac:dyDescent="0.25">
      <c r="A3262" t="s">
        <v>3751</v>
      </c>
      <c r="B3262" t="s">
        <v>27</v>
      </c>
      <c r="C3262" t="s">
        <v>28</v>
      </c>
      <c r="H3262" s="2">
        <v>45188.719699074078</v>
      </c>
      <c r="I3262" t="s">
        <v>2674</v>
      </c>
      <c r="Z3262">
        <v>65009</v>
      </c>
    </row>
    <row r="3263" spans="1:26" x14ac:dyDescent="0.25">
      <c r="A3263" t="s">
        <v>3752</v>
      </c>
      <c r="B3263" t="s">
        <v>27</v>
      </c>
      <c r="C3263" t="s">
        <v>28</v>
      </c>
      <c r="H3263" s="2">
        <v>45188.619571759256</v>
      </c>
      <c r="I3263" t="s">
        <v>2148</v>
      </c>
      <c r="Z3263">
        <v>64993</v>
      </c>
    </row>
    <row r="3264" spans="1:26" x14ac:dyDescent="0.25">
      <c r="A3264" t="s">
        <v>3753</v>
      </c>
      <c r="B3264" t="s">
        <v>27</v>
      </c>
      <c r="C3264" t="s">
        <v>28</v>
      </c>
      <c r="H3264" s="2">
        <v>45188.595995370371</v>
      </c>
      <c r="I3264" t="s">
        <v>2113</v>
      </c>
      <c r="Z3264">
        <v>64989</v>
      </c>
    </row>
    <row r="3265" spans="1:26" x14ac:dyDescent="0.25">
      <c r="A3265" t="s">
        <v>3754</v>
      </c>
      <c r="B3265" t="s">
        <v>1708</v>
      </c>
      <c r="C3265" t="s">
        <v>28</v>
      </c>
      <c r="E3265" t="s">
        <v>3755</v>
      </c>
      <c r="H3265" s="2">
        <v>45188.556064814817</v>
      </c>
      <c r="I3265" t="s">
        <v>2681</v>
      </c>
      <c r="Z3265">
        <v>64977</v>
      </c>
    </row>
    <row r="3266" spans="1:26" x14ac:dyDescent="0.25">
      <c r="A3266" t="s">
        <v>3756</v>
      </c>
      <c r="B3266" t="s">
        <v>27</v>
      </c>
      <c r="C3266" t="s">
        <v>28</v>
      </c>
      <c r="H3266" s="2">
        <v>45188.454155092593</v>
      </c>
      <c r="I3266" t="s">
        <v>2674</v>
      </c>
      <c r="Z3266">
        <v>64961</v>
      </c>
    </row>
    <row r="3267" spans="1:26" x14ac:dyDescent="0.25">
      <c r="A3267" t="s">
        <v>3670</v>
      </c>
      <c r="B3267" t="s">
        <v>2162</v>
      </c>
      <c r="C3267" t="s">
        <v>28</v>
      </c>
      <c r="E3267" t="s">
        <v>3671</v>
      </c>
      <c r="H3267" s="2">
        <v>45188.413495370369</v>
      </c>
      <c r="I3267" t="s">
        <v>2681</v>
      </c>
      <c r="Z3267">
        <v>64954</v>
      </c>
    </row>
    <row r="3268" spans="1:26" x14ac:dyDescent="0.25">
      <c r="A3268" t="s">
        <v>3757</v>
      </c>
      <c r="B3268" t="s">
        <v>27</v>
      </c>
      <c r="C3268" t="s">
        <v>28</v>
      </c>
      <c r="H3268" s="2">
        <v>45187.776979166665</v>
      </c>
      <c r="I3268" t="s">
        <v>31</v>
      </c>
      <c r="Z3268">
        <v>64941</v>
      </c>
    </row>
    <row r="3269" spans="1:26" x14ac:dyDescent="0.25">
      <c r="A3269" t="s">
        <v>3758</v>
      </c>
      <c r="B3269" t="s">
        <v>27</v>
      </c>
      <c r="C3269" t="s">
        <v>28</v>
      </c>
      <c r="H3269" s="2">
        <v>45187.753032407411</v>
      </c>
      <c r="I3269" t="s">
        <v>2791</v>
      </c>
      <c r="Z3269">
        <v>64938</v>
      </c>
    </row>
    <row r="3270" spans="1:26" x14ac:dyDescent="0.25">
      <c r="A3270" t="s">
        <v>3759</v>
      </c>
      <c r="B3270" t="s">
        <v>27</v>
      </c>
      <c r="C3270" t="s">
        <v>28</v>
      </c>
      <c r="H3270" s="2">
        <v>45187.450960648152</v>
      </c>
      <c r="I3270" t="s">
        <v>31</v>
      </c>
      <c r="Z3270">
        <v>64883</v>
      </c>
    </row>
    <row r="3271" spans="1:26" x14ac:dyDescent="0.25">
      <c r="A3271" t="s">
        <v>3760</v>
      </c>
      <c r="B3271" t="s">
        <v>1403</v>
      </c>
      <c r="C3271" t="s">
        <v>28</v>
      </c>
      <c r="E3271" t="s">
        <v>3761</v>
      </c>
      <c r="H3271" s="2">
        <v>45187.274826388886</v>
      </c>
      <c r="I3271" t="s">
        <v>1488</v>
      </c>
      <c r="K3271" t="s">
        <v>34</v>
      </c>
      <c r="L3271" t="s">
        <v>35</v>
      </c>
      <c r="M3271">
        <v>67131912</v>
      </c>
      <c r="N3271">
        <v>11953101664</v>
      </c>
      <c r="O3271" t="s">
        <v>3762</v>
      </c>
      <c r="Z3271">
        <v>64867</v>
      </c>
    </row>
    <row r="3272" spans="1:26" x14ac:dyDescent="0.25">
      <c r="A3272" t="s">
        <v>3763</v>
      </c>
      <c r="B3272" t="s">
        <v>27</v>
      </c>
      <c r="C3272" t="s">
        <v>28</v>
      </c>
      <c r="H3272" s="2">
        <v>45186.68822916667</v>
      </c>
      <c r="I3272" t="s">
        <v>31</v>
      </c>
      <c r="Z3272">
        <v>64844</v>
      </c>
    </row>
    <row r="3273" spans="1:26" x14ac:dyDescent="0.25">
      <c r="A3273" t="s">
        <v>570</v>
      </c>
      <c r="C3273" t="s">
        <v>28</v>
      </c>
      <c r="E3273" t="s">
        <v>3764</v>
      </c>
      <c r="H3273" s="2">
        <v>45186.57603009259</v>
      </c>
      <c r="I3273" t="s">
        <v>556</v>
      </c>
      <c r="Z3273">
        <v>64830</v>
      </c>
    </row>
    <row r="3274" spans="1:26" x14ac:dyDescent="0.25">
      <c r="A3274" t="s">
        <v>1793</v>
      </c>
      <c r="B3274" t="s">
        <v>27</v>
      </c>
      <c r="C3274" t="s">
        <v>28</v>
      </c>
      <c r="H3274" s="2">
        <v>45186.540543981479</v>
      </c>
      <c r="I3274" t="s">
        <v>1488</v>
      </c>
      <c r="Z3274">
        <v>64821</v>
      </c>
    </row>
    <row r="3275" spans="1:26" x14ac:dyDescent="0.25">
      <c r="A3275" t="s">
        <v>3765</v>
      </c>
      <c r="B3275" t="s">
        <v>27</v>
      </c>
      <c r="C3275" t="s">
        <v>28</v>
      </c>
      <c r="H3275" s="2">
        <v>45184.589259259257</v>
      </c>
      <c r="I3275" t="s">
        <v>2681</v>
      </c>
      <c r="Z3275">
        <v>64709</v>
      </c>
    </row>
    <row r="3276" spans="1:26" x14ac:dyDescent="0.25">
      <c r="A3276" t="s">
        <v>1793</v>
      </c>
      <c r="C3276" t="s">
        <v>28</v>
      </c>
      <c r="E3276" t="s">
        <v>72</v>
      </c>
      <c r="H3276" s="2">
        <v>45184.477384259262</v>
      </c>
      <c r="I3276" t="s">
        <v>2113</v>
      </c>
      <c r="Z3276">
        <v>64690</v>
      </c>
    </row>
    <row r="3277" spans="1:26" x14ac:dyDescent="0.25">
      <c r="A3277" t="s">
        <v>3766</v>
      </c>
      <c r="B3277" t="s">
        <v>27</v>
      </c>
      <c r="C3277" t="s">
        <v>28</v>
      </c>
      <c r="H3277" s="2">
        <v>45184.474282407406</v>
      </c>
      <c r="I3277" t="s">
        <v>2113</v>
      </c>
      <c r="Z3277">
        <v>64689</v>
      </c>
    </row>
    <row r="3278" spans="1:26" x14ac:dyDescent="0.25">
      <c r="A3278" t="s">
        <v>3767</v>
      </c>
      <c r="B3278" t="s">
        <v>27</v>
      </c>
      <c r="C3278" t="s">
        <v>28</v>
      </c>
      <c r="H3278" s="2">
        <v>45183.793773148151</v>
      </c>
      <c r="I3278" t="s">
        <v>2674</v>
      </c>
      <c r="Z3278">
        <v>64667</v>
      </c>
    </row>
    <row r="3279" spans="1:26" x14ac:dyDescent="0.25">
      <c r="A3279" t="s">
        <v>3768</v>
      </c>
      <c r="B3279" t="s">
        <v>27</v>
      </c>
      <c r="C3279" t="s">
        <v>28</v>
      </c>
      <c r="H3279" s="2">
        <v>45183.517199074071</v>
      </c>
      <c r="I3279" t="s">
        <v>2674</v>
      </c>
      <c r="Z3279">
        <v>64637</v>
      </c>
    </row>
    <row r="3280" spans="1:26" x14ac:dyDescent="0.25">
      <c r="A3280" t="s">
        <v>3769</v>
      </c>
      <c r="B3280" t="s">
        <v>27</v>
      </c>
      <c r="C3280" t="s">
        <v>28</v>
      </c>
      <c r="H3280" s="2">
        <v>45183.434895833336</v>
      </c>
      <c r="I3280" t="s">
        <v>2113</v>
      </c>
      <c r="Z3280">
        <v>64629</v>
      </c>
    </row>
    <row r="3281" spans="1:26" x14ac:dyDescent="0.25">
      <c r="A3281" t="s">
        <v>606</v>
      </c>
      <c r="B3281" t="s">
        <v>306</v>
      </c>
      <c r="C3281" t="s">
        <v>28</v>
      </c>
      <c r="E3281" t="s">
        <v>649</v>
      </c>
      <c r="H3281" s="2">
        <v>45183.14744212963</v>
      </c>
      <c r="I3281" t="s">
        <v>2674</v>
      </c>
      <c r="Z3281">
        <v>64617</v>
      </c>
    </row>
    <row r="3282" spans="1:26" x14ac:dyDescent="0.25">
      <c r="A3282" t="s">
        <v>663</v>
      </c>
      <c r="C3282" t="s">
        <v>185</v>
      </c>
      <c r="E3282" t="s">
        <v>649</v>
      </c>
      <c r="H3282" s="2">
        <v>45183.147233796299</v>
      </c>
      <c r="I3282" t="s">
        <v>2674</v>
      </c>
      <c r="Z3282">
        <v>64616</v>
      </c>
    </row>
    <row r="3283" spans="1:26" x14ac:dyDescent="0.25">
      <c r="A3283" t="s">
        <v>3770</v>
      </c>
      <c r="B3283" t="s">
        <v>27</v>
      </c>
      <c r="C3283" t="s">
        <v>28</v>
      </c>
      <c r="H3283" s="2">
        <v>45182.703009259261</v>
      </c>
      <c r="I3283" t="s">
        <v>2113</v>
      </c>
      <c r="Z3283">
        <v>64600</v>
      </c>
    </row>
    <row r="3284" spans="1:26" x14ac:dyDescent="0.25">
      <c r="A3284" t="s">
        <v>3771</v>
      </c>
      <c r="B3284" t="s">
        <v>27</v>
      </c>
      <c r="C3284" t="s">
        <v>28</v>
      </c>
      <c r="H3284" s="2">
        <v>45182.676527777781</v>
      </c>
      <c r="I3284" t="s">
        <v>2113</v>
      </c>
      <c r="Z3284">
        <v>64595</v>
      </c>
    </row>
    <row r="3285" spans="1:26" x14ac:dyDescent="0.25">
      <c r="A3285" t="s">
        <v>3772</v>
      </c>
      <c r="B3285" t="s">
        <v>74</v>
      </c>
      <c r="C3285" t="s">
        <v>28</v>
      </c>
      <c r="E3285" t="s">
        <v>198</v>
      </c>
      <c r="G3285" t="s">
        <v>3773</v>
      </c>
      <c r="H3285" s="2">
        <v>45182.673379629632</v>
      </c>
      <c r="I3285" t="s">
        <v>3054</v>
      </c>
      <c r="K3285" t="s">
        <v>34</v>
      </c>
      <c r="L3285" t="s">
        <v>35</v>
      </c>
      <c r="M3285">
        <v>67131912</v>
      </c>
      <c r="N3285">
        <v>11953101694</v>
      </c>
      <c r="O3285" t="s">
        <v>461</v>
      </c>
      <c r="Z3285">
        <v>64594</v>
      </c>
    </row>
    <row r="3286" spans="1:26" x14ac:dyDescent="0.25">
      <c r="A3286" t="s">
        <v>3774</v>
      </c>
      <c r="B3286" t="s">
        <v>27</v>
      </c>
      <c r="C3286" t="s">
        <v>28</v>
      </c>
      <c r="H3286" s="2">
        <v>45182.654479166667</v>
      </c>
      <c r="I3286" t="s">
        <v>2674</v>
      </c>
      <c r="Z3286">
        <v>64589</v>
      </c>
    </row>
    <row r="3287" spans="1:26" x14ac:dyDescent="0.25">
      <c r="A3287" t="s">
        <v>3775</v>
      </c>
      <c r="B3287" t="s">
        <v>1708</v>
      </c>
      <c r="C3287" t="s">
        <v>28</v>
      </c>
      <c r="E3287" t="s">
        <v>3776</v>
      </c>
      <c r="H3287" s="2">
        <v>45182.554039351853</v>
      </c>
      <c r="I3287" t="s">
        <v>2113</v>
      </c>
      <c r="Z3287">
        <v>64574</v>
      </c>
    </row>
    <row r="3288" spans="1:26" x14ac:dyDescent="0.25">
      <c r="A3288" t="s">
        <v>3777</v>
      </c>
      <c r="B3288" t="s">
        <v>27</v>
      </c>
      <c r="C3288" t="s">
        <v>28</v>
      </c>
      <c r="H3288" s="2">
        <v>45182.514768518522</v>
      </c>
      <c r="I3288" t="s">
        <v>2113</v>
      </c>
      <c r="Z3288">
        <v>64562</v>
      </c>
    </row>
    <row r="3289" spans="1:26" x14ac:dyDescent="0.25">
      <c r="A3289" t="s">
        <v>3778</v>
      </c>
      <c r="B3289" t="s">
        <v>27</v>
      </c>
      <c r="C3289" t="s">
        <v>28</v>
      </c>
      <c r="H3289" s="2">
        <v>45181.857152777775</v>
      </c>
      <c r="I3289" t="s">
        <v>3230</v>
      </c>
      <c r="Z3289">
        <v>64520</v>
      </c>
    </row>
    <row r="3290" spans="1:26" x14ac:dyDescent="0.25">
      <c r="A3290" t="s">
        <v>3779</v>
      </c>
      <c r="B3290" t="s">
        <v>27</v>
      </c>
      <c r="C3290" t="s">
        <v>28</v>
      </c>
      <c r="H3290" s="2">
        <v>45181.787719907406</v>
      </c>
      <c r="I3290" t="s">
        <v>3230</v>
      </c>
      <c r="Z3290">
        <v>64515</v>
      </c>
    </row>
    <row r="3291" spans="1:26" x14ac:dyDescent="0.25">
      <c r="A3291" t="s">
        <v>3780</v>
      </c>
      <c r="B3291" t="s">
        <v>27</v>
      </c>
      <c r="C3291" t="s">
        <v>28</v>
      </c>
      <c r="H3291" s="2">
        <v>45181.72861111111</v>
      </c>
      <c r="I3291" t="s">
        <v>2681</v>
      </c>
      <c r="Z3291">
        <v>64506</v>
      </c>
    </row>
    <row r="3292" spans="1:26" x14ac:dyDescent="0.25">
      <c r="A3292" t="s">
        <v>3781</v>
      </c>
      <c r="B3292" t="s">
        <v>27</v>
      </c>
      <c r="C3292" t="s">
        <v>28</v>
      </c>
      <c r="H3292" s="2">
        <v>45181.559606481482</v>
      </c>
      <c r="I3292" t="s">
        <v>2681</v>
      </c>
      <c r="Z3292">
        <v>64478</v>
      </c>
    </row>
    <row r="3293" spans="1:26" x14ac:dyDescent="0.25">
      <c r="A3293" t="s">
        <v>3782</v>
      </c>
      <c r="B3293" t="s">
        <v>27</v>
      </c>
      <c r="C3293" t="s">
        <v>28</v>
      </c>
      <c r="H3293" s="2">
        <v>45181.503738425927</v>
      </c>
      <c r="I3293" t="s">
        <v>3230</v>
      </c>
      <c r="Z3293">
        <v>64469</v>
      </c>
    </row>
    <row r="3294" spans="1:26" x14ac:dyDescent="0.25">
      <c r="A3294" t="s">
        <v>3783</v>
      </c>
      <c r="B3294" t="s">
        <v>27</v>
      </c>
      <c r="C3294" t="s">
        <v>28</v>
      </c>
      <c r="H3294" s="2">
        <v>45181.439293981479</v>
      </c>
      <c r="I3294" t="s">
        <v>3230</v>
      </c>
      <c r="Z3294">
        <v>64461</v>
      </c>
    </row>
    <row r="3295" spans="1:26" x14ac:dyDescent="0.25">
      <c r="A3295" t="s">
        <v>3784</v>
      </c>
      <c r="B3295" t="s">
        <v>27</v>
      </c>
      <c r="C3295" t="s">
        <v>28</v>
      </c>
      <c r="H3295" s="2">
        <v>45180.692731481482</v>
      </c>
      <c r="I3295" t="s">
        <v>1488</v>
      </c>
      <c r="Z3295">
        <v>64433</v>
      </c>
    </row>
    <row r="3296" spans="1:26" x14ac:dyDescent="0.25">
      <c r="A3296" t="s">
        <v>3785</v>
      </c>
      <c r="B3296" t="s">
        <v>27</v>
      </c>
      <c r="C3296" t="s">
        <v>28</v>
      </c>
      <c r="H3296" s="2">
        <v>45180.679062499999</v>
      </c>
      <c r="I3296" t="s">
        <v>556</v>
      </c>
      <c r="Z3296">
        <v>64432</v>
      </c>
    </row>
    <row r="3297" spans="1:26" x14ac:dyDescent="0.25">
      <c r="A3297" t="s">
        <v>336</v>
      </c>
      <c r="B3297" t="s">
        <v>27</v>
      </c>
      <c r="C3297" t="s">
        <v>28</v>
      </c>
      <c r="E3297" t="s">
        <v>3786</v>
      </c>
      <c r="H3297" s="2">
        <v>45180.678981481484</v>
      </c>
      <c r="I3297" t="s">
        <v>31</v>
      </c>
      <c r="Z3297">
        <v>64431</v>
      </c>
    </row>
    <row r="3298" spans="1:26" x14ac:dyDescent="0.25">
      <c r="A3298" t="s">
        <v>3787</v>
      </c>
      <c r="B3298" t="s">
        <v>27</v>
      </c>
      <c r="C3298" t="s">
        <v>28</v>
      </c>
      <c r="H3298" s="2">
        <v>45180.50744212963</v>
      </c>
      <c r="I3298" t="s">
        <v>31</v>
      </c>
      <c r="Z3298">
        <v>64407</v>
      </c>
    </row>
    <row r="3299" spans="1:26" x14ac:dyDescent="0.25">
      <c r="A3299" t="s">
        <v>3788</v>
      </c>
      <c r="B3299" t="s">
        <v>27</v>
      </c>
      <c r="C3299" t="s">
        <v>28</v>
      </c>
      <c r="H3299" s="2">
        <v>45180.498055555552</v>
      </c>
      <c r="I3299" t="s">
        <v>31</v>
      </c>
      <c r="Z3299">
        <v>64406</v>
      </c>
    </row>
    <row r="3300" spans="1:26" x14ac:dyDescent="0.25">
      <c r="A3300" t="s">
        <v>3789</v>
      </c>
      <c r="B3300" t="s">
        <v>27</v>
      </c>
      <c r="C3300" t="s">
        <v>28</v>
      </c>
      <c r="H3300" s="2">
        <v>45180.495810185188</v>
      </c>
      <c r="I3300" t="s">
        <v>31</v>
      </c>
      <c r="Z3300">
        <v>64405</v>
      </c>
    </row>
    <row r="3301" spans="1:26" x14ac:dyDescent="0.25">
      <c r="A3301" t="s">
        <v>3790</v>
      </c>
      <c r="B3301" t="s">
        <v>1403</v>
      </c>
      <c r="C3301" t="s">
        <v>28</v>
      </c>
      <c r="E3301" t="s">
        <v>3791</v>
      </c>
      <c r="H3301" s="2">
        <v>45180.170266203706</v>
      </c>
      <c r="I3301" t="s">
        <v>556</v>
      </c>
      <c r="Z3301">
        <v>64384</v>
      </c>
    </row>
    <row r="3302" spans="1:26" x14ac:dyDescent="0.25">
      <c r="A3302" t="s">
        <v>336</v>
      </c>
      <c r="B3302" t="s">
        <v>27</v>
      </c>
      <c r="C3302" t="s">
        <v>28</v>
      </c>
      <c r="H3302" s="2">
        <v>45179.759768518517</v>
      </c>
      <c r="I3302" t="s">
        <v>31</v>
      </c>
      <c r="Z3302">
        <v>64375</v>
      </c>
    </row>
    <row r="3303" spans="1:26" x14ac:dyDescent="0.25">
      <c r="A3303" t="s">
        <v>3792</v>
      </c>
      <c r="B3303" t="s">
        <v>27</v>
      </c>
      <c r="C3303" t="s">
        <v>28</v>
      </c>
      <c r="H3303" s="2">
        <v>45179.665347222224</v>
      </c>
      <c r="I3303" t="s">
        <v>1488</v>
      </c>
      <c r="Z3303">
        <v>64366</v>
      </c>
    </row>
    <row r="3304" spans="1:26" x14ac:dyDescent="0.25">
      <c r="A3304" t="s">
        <v>3793</v>
      </c>
      <c r="B3304" t="s">
        <v>27</v>
      </c>
      <c r="C3304" t="s">
        <v>28</v>
      </c>
      <c r="H3304" s="2">
        <v>45179.46565972222</v>
      </c>
      <c r="I3304" t="s">
        <v>556</v>
      </c>
      <c r="Z3304">
        <v>64345</v>
      </c>
    </row>
    <row r="3305" spans="1:26" x14ac:dyDescent="0.25">
      <c r="A3305" t="s">
        <v>3790</v>
      </c>
      <c r="B3305" t="s">
        <v>1403</v>
      </c>
      <c r="C3305" t="s">
        <v>28</v>
      </c>
      <c r="E3305" t="s">
        <v>3791</v>
      </c>
      <c r="H3305" s="2">
        <v>45179.459814814814</v>
      </c>
      <c r="I3305" t="s">
        <v>556</v>
      </c>
      <c r="K3305" t="s">
        <v>34</v>
      </c>
      <c r="L3305" t="s">
        <v>35</v>
      </c>
      <c r="M3305">
        <v>66964239</v>
      </c>
      <c r="N3305">
        <v>12403661581</v>
      </c>
      <c r="O3305" t="s">
        <v>3505</v>
      </c>
      <c r="Z3305">
        <v>64343</v>
      </c>
    </row>
    <row r="3306" spans="1:26" x14ac:dyDescent="0.25">
      <c r="A3306" t="s">
        <v>3794</v>
      </c>
      <c r="B3306" t="s">
        <v>27</v>
      </c>
      <c r="C3306" t="s">
        <v>28</v>
      </c>
      <c r="H3306" s="2">
        <v>45178.595925925925</v>
      </c>
      <c r="I3306" t="s">
        <v>2791</v>
      </c>
      <c r="Z3306">
        <v>64316</v>
      </c>
    </row>
    <row r="3307" spans="1:26" x14ac:dyDescent="0.25">
      <c r="A3307" t="s">
        <v>663</v>
      </c>
      <c r="C3307" t="s">
        <v>28</v>
      </c>
      <c r="E3307" t="s">
        <v>3795</v>
      </c>
      <c r="H3307" s="2">
        <v>45178.335706018515</v>
      </c>
      <c r="I3307" t="s">
        <v>1488</v>
      </c>
      <c r="Z3307">
        <v>64296</v>
      </c>
    </row>
    <row r="3308" spans="1:26" x14ac:dyDescent="0.25">
      <c r="A3308" t="s">
        <v>3796</v>
      </c>
      <c r="B3308" t="s">
        <v>27</v>
      </c>
      <c r="C3308" t="s">
        <v>28</v>
      </c>
      <c r="H3308" s="2">
        <v>45177.82953703704</v>
      </c>
      <c r="I3308" t="s">
        <v>2113</v>
      </c>
      <c r="Z3308">
        <v>64290</v>
      </c>
    </row>
    <row r="3309" spans="1:26" x14ac:dyDescent="0.25">
      <c r="A3309" t="s">
        <v>3797</v>
      </c>
      <c r="B3309" t="s">
        <v>27</v>
      </c>
      <c r="C3309" t="s">
        <v>28</v>
      </c>
      <c r="H3309" s="2">
        <v>45177.578877314816</v>
      </c>
      <c r="I3309" t="s">
        <v>2113</v>
      </c>
      <c r="Z3309">
        <v>64259</v>
      </c>
    </row>
    <row r="3310" spans="1:26" x14ac:dyDescent="0.25">
      <c r="A3310" t="s">
        <v>3798</v>
      </c>
      <c r="B3310" t="s">
        <v>27</v>
      </c>
      <c r="C3310" t="s">
        <v>28</v>
      </c>
      <c r="H3310" s="2">
        <v>45177.383310185185</v>
      </c>
      <c r="I3310" t="s">
        <v>2674</v>
      </c>
      <c r="Z3310">
        <v>64226</v>
      </c>
    </row>
    <row r="3311" spans="1:26" x14ac:dyDescent="0.25">
      <c r="A3311" t="s">
        <v>3799</v>
      </c>
      <c r="B3311" t="s">
        <v>27</v>
      </c>
      <c r="C3311" t="s">
        <v>28</v>
      </c>
      <c r="H3311" s="2">
        <v>45176.785000000003</v>
      </c>
      <c r="I3311" t="s">
        <v>2681</v>
      </c>
      <c r="Z3311">
        <v>64214</v>
      </c>
    </row>
    <row r="3312" spans="1:26" x14ac:dyDescent="0.25">
      <c r="A3312" t="s">
        <v>3800</v>
      </c>
      <c r="B3312" t="s">
        <v>27</v>
      </c>
      <c r="C3312" t="s">
        <v>28</v>
      </c>
      <c r="H3312" s="2">
        <v>45175.739675925928</v>
      </c>
      <c r="I3312" t="s">
        <v>3230</v>
      </c>
      <c r="Z3312">
        <v>64148</v>
      </c>
    </row>
    <row r="3313" spans="1:26" x14ac:dyDescent="0.25">
      <c r="A3313" t="s">
        <v>3801</v>
      </c>
      <c r="B3313" t="s">
        <v>27</v>
      </c>
      <c r="C3313" t="s">
        <v>28</v>
      </c>
      <c r="H3313" s="2">
        <v>45175.690138888887</v>
      </c>
      <c r="I3313" t="s">
        <v>31</v>
      </c>
      <c r="Z3313">
        <v>64139</v>
      </c>
    </row>
    <row r="3314" spans="1:26" x14ac:dyDescent="0.25">
      <c r="A3314" t="s">
        <v>3802</v>
      </c>
      <c r="B3314" t="s">
        <v>27</v>
      </c>
      <c r="C3314" t="s">
        <v>28</v>
      </c>
      <c r="H3314" s="2">
        <v>45175.515763888892</v>
      </c>
      <c r="I3314" t="s">
        <v>31</v>
      </c>
      <c r="Z3314">
        <v>64110</v>
      </c>
    </row>
    <row r="3315" spans="1:26" x14ac:dyDescent="0.25">
      <c r="A3315" t="s">
        <v>3803</v>
      </c>
      <c r="B3315" t="s">
        <v>27</v>
      </c>
      <c r="C3315" t="s">
        <v>28</v>
      </c>
      <c r="H3315" s="2">
        <v>45175.400358796294</v>
      </c>
      <c r="I3315" t="s">
        <v>2681</v>
      </c>
      <c r="Z3315">
        <v>64090</v>
      </c>
    </row>
    <row r="3316" spans="1:26" x14ac:dyDescent="0.25">
      <c r="A3316" t="s">
        <v>3804</v>
      </c>
      <c r="B3316" t="s">
        <v>27</v>
      </c>
      <c r="C3316" t="s">
        <v>28</v>
      </c>
      <c r="H3316" s="2">
        <v>45174.781388888892</v>
      </c>
      <c r="I3316" t="s">
        <v>556</v>
      </c>
      <c r="Z3316">
        <v>64078</v>
      </c>
    </row>
    <row r="3317" spans="1:26" x14ac:dyDescent="0.25">
      <c r="A3317" t="s">
        <v>3805</v>
      </c>
      <c r="B3317" t="s">
        <v>1708</v>
      </c>
      <c r="C3317" t="s">
        <v>28</v>
      </c>
      <c r="E3317">
        <v>79027423753</v>
      </c>
      <c r="H3317" s="2">
        <v>45174.694432870368</v>
      </c>
      <c r="I3317" t="s">
        <v>1488</v>
      </c>
      <c r="Z3317">
        <v>64069</v>
      </c>
    </row>
    <row r="3318" spans="1:26" x14ac:dyDescent="0.25">
      <c r="A3318" t="s">
        <v>3806</v>
      </c>
      <c r="B3318" t="s">
        <v>27</v>
      </c>
      <c r="C3318" t="s">
        <v>28</v>
      </c>
      <c r="H3318" s="2">
        <v>45174.62568287037</v>
      </c>
      <c r="I3318" t="s">
        <v>1488</v>
      </c>
      <c r="Z3318">
        <v>64062</v>
      </c>
    </row>
    <row r="3319" spans="1:26" x14ac:dyDescent="0.25">
      <c r="A3319" t="s">
        <v>3807</v>
      </c>
      <c r="B3319" t="s">
        <v>1403</v>
      </c>
      <c r="C3319" t="s">
        <v>28</v>
      </c>
      <c r="E3319" t="s">
        <v>3250</v>
      </c>
      <c r="G3319" t="s">
        <v>3808</v>
      </c>
      <c r="H3319" s="2">
        <v>45174.620856481481</v>
      </c>
      <c r="I3319" t="s">
        <v>31</v>
      </c>
      <c r="Z3319">
        <v>64059</v>
      </c>
    </row>
    <row r="3320" spans="1:26" x14ac:dyDescent="0.25">
      <c r="A3320" t="s">
        <v>3809</v>
      </c>
      <c r="B3320" t="s">
        <v>27</v>
      </c>
      <c r="C3320" t="s">
        <v>28</v>
      </c>
      <c r="H3320" s="2">
        <v>45174.573148148149</v>
      </c>
      <c r="I3320" t="s">
        <v>556</v>
      </c>
      <c r="Z3320">
        <v>64053</v>
      </c>
    </row>
    <row r="3321" spans="1:26" x14ac:dyDescent="0.25">
      <c r="A3321" t="s">
        <v>3810</v>
      </c>
      <c r="B3321" t="s">
        <v>27</v>
      </c>
      <c r="C3321" t="s">
        <v>28</v>
      </c>
      <c r="H3321" s="2">
        <v>45174.423900462964</v>
      </c>
      <c r="I3321" t="s">
        <v>556</v>
      </c>
      <c r="Z3321">
        <v>64037</v>
      </c>
    </row>
    <row r="3322" spans="1:26" x14ac:dyDescent="0.25">
      <c r="A3322" t="s">
        <v>3811</v>
      </c>
      <c r="B3322" t="s">
        <v>27</v>
      </c>
      <c r="C3322" t="s">
        <v>333</v>
      </c>
      <c r="H3322" s="2">
        <v>45174.39634259259</v>
      </c>
      <c r="I3322" t="s">
        <v>2791</v>
      </c>
      <c r="Z3322">
        <v>64033</v>
      </c>
    </row>
    <row r="3323" spans="1:26" x14ac:dyDescent="0.25">
      <c r="A3323" t="s">
        <v>3812</v>
      </c>
      <c r="B3323" t="s">
        <v>27</v>
      </c>
      <c r="C3323" t="s">
        <v>28</v>
      </c>
      <c r="H3323" s="2">
        <v>45173.77416666667</v>
      </c>
      <c r="I3323" t="s">
        <v>31</v>
      </c>
      <c r="Z3323">
        <v>64017</v>
      </c>
    </row>
    <row r="3324" spans="1:26" x14ac:dyDescent="0.25">
      <c r="A3324" t="s">
        <v>3813</v>
      </c>
      <c r="B3324" t="s">
        <v>27</v>
      </c>
      <c r="C3324" t="s">
        <v>28</v>
      </c>
      <c r="H3324" s="2">
        <v>45173.713923611111</v>
      </c>
      <c r="I3324" t="s">
        <v>2791</v>
      </c>
      <c r="Z3324">
        <v>64010</v>
      </c>
    </row>
    <row r="3325" spans="1:26" x14ac:dyDescent="0.25">
      <c r="A3325" t="s">
        <v>3814</v>
      </c>
      <c r="B3325" t="s">
        <v>27</v>
      </c>
      <c r="C3325" t="s">
        <v>28</v>
      </c>
      <c r="H3325" s="2">
        <v>45173.655335648145</v>
      </c>
      <c r="I3325" t="s">
        <v>2791</v>
      </c>
      <c r="Z3325">
        <v>64001</v>
      </c>
    </row>
    <row r="3326" spans="1:26" x14ac:dyDescent="0.25">
      <c r="A3326" t="s">
        <v>3815</v>
      </c>
      <c r="B3326" t="s">
        <v>27</v>
      </c>
      <c r="C3326" t="s">
        <v>28</v>
      </c>
      <c r="H3326" s="2">
        <v>45173.459305555552</v>
      </c>
      <c r="I3326" t="s">
        <v>2001</v>
      </c>
      <c r="Z3326">
        <v>63969</v>
      </c>
    </row>
    <row r="3327" spans="1:26" x14ac:dyDescent="0.25">
      <c r="A3327" t="s">
        <v>3816</v>
      </c>
      <c r="B3327" t="s">
        <v>27</v>
      </c>
      <c r="C3327" t="s">
        <v>28</v>
      </c>
      <c r="H3327" s="2">
        <v>45173.419537037036</v>
      </c>
      <c r="I3327" t="s">
        <v>31</v>
      </c>
      <c r="Z3327">
        <v>63964</v>
      </c>
    </row>
    <row r="3328" spans="1:26" x14ac:dyDescent="0.25">
      <c r="A3328" t="s">
        <v>3817</v>
      </c>
      <c r="B3328" t="s">
        <v>27</v>
      </c>
      <c r="C3328" t="s">
        <v>28</v>
      </c>
      <c r="H3328" s="2">
        <v>45171.657187500001</v>
      </c>
      <c r="I3328" t="s">
        <v>2674</v>
      </c>
      <c r="Z3328">
        <v>63901</v>
      </c>
    </row>
    <row r="3329" spans="1:26" x14ac:dyDescent="0.25">
      <c r="A3329" t="s">
        <v>3818</v>
      </c>
      <c r="B3329" t="s">
        <v>27</v>
      </c>
      <c r="C3329" t="s">
        <v>28</v>
      </c>
      <c r="H3329" s="2">
        <v>45171.613738425927</v>
      </c>
      <c r="I3329" t="s">
        <v>2674</v>
      </c>
      <c r="Z3329">
        <v>63896</v>
      </c>
    </row>
    <row r="3330" spans="1:26" x14ac:dyDescent="0.25">
      <c r="A3330" t="s">
        <v>3819</v>
      </c>
      <c r="B3330" t="s">
        <v>27</v>
      </c>
      <c r="C3330" t="s">
        <v>28</v>
      </c>
      <c r="H3330" s="2">
        <v>45171.494814814818</v>
      </c>
      <c r="I3330" t="s">
        <v>2113</v>
      </c>
      <c r="Z3330">
        <v>63877</v>
      </c>
    </row>
    <row r="3331" spans="1:26" x14ac:dyDescent="0.25">
      <c r="A3331" t="s">
        <v>3820</v>
      </c>
      <c r="B3331" t="s">
        <v>27</v>
      </c>
      <c r="C3331" t="s">
        <v>28</v>
      </c>
      <c r="H3331" s="2">
        <v>45170.526296296295</v>
      </c>
      <c r="I3331" t="s">
        <v>3230</v>
      </c>
      <c r="Z3331">
        <v>63817</v>
      </c>
    </row>
    <row r="3332" spans="1:26" x14ac:dyDescent="0.25">
      <c r="A3332" t="s">
        <v>3724</v>
      </c>
      <c r="B3332" t="s">
        <v>27</v>
      </c>
      <c r="C3332" t="s">
        <v>28</v>
      </c>
      <c r="H3332" s="2">
        <v>45169.74863425926</v>
      </c>
      <c r="I3332" t="s">
        <v>2674</v>
      </c>
      <c r="Z3332">
        <v>63779</v>
      </c>
    </row>
    <row r="3333" spans="1:26" x14ac:dyDescent="0.25">
      <c r="A3333" t="s">
        <v>3821</v>
      </c>
      <c r="B3333" t="s">
        <v>27</v>
      </c>
      <c r="C3333" t="s">
        <v>28</v>
      </c>
      <c r="H3333" s="2">
        <v>45169.674675925926</v>
      </c>
      <c r="I3333" t="s">
        <v>2674</v>
      </c>
      <c r="Z3333">
        <v>63764</v>
      </c>
    </row>
    <row r="3334" spans="1:26" x14ac:dyDescent="0.25">
      <c r="A3334" t="s">
        <v>3822</v>
      </c>
      <c r="B3334" t="s">
        <v>1708</v>
      </c>
      <c r="C3334" t="s">
        <v>28</v>
      </c>
      <c r="E3334" t="s">
        <v>324</v>
      </c>
      <c r="H3334" s="2">
        <v>45169.615960648145</v>
      </c>
      <c r="I3334" t="s">
        <v>2681</v>
      </c>
      <c r="Z3334">
        <v>63749</v>
      </c>
    </row>
    <row r="3335" spans="1:26" x14ac:dyDescent="0.25">
      <c r="A3335" t="s">
        <v>3823</v>
      </c>
      <c r="B3335" t="s">
        <v>27</v>
      </c>
      <c r="C3335" t="s">
        <v>28</v>
      </c>
      <c r="H3335" s="2">
        <v>45169.6096875</v>
      </c>
      <c r="I3335" t="s">
        <v>2791</v>
      </c>
      <c r="Z3335">
        <v>63746</v>
      </c>
    </row>
    <row r="3336" spans="1:26" x14ac:dyDescent="0.25">
      <c r="A3336" t="s">
        <v>3824</v>
      </c>
      <c r="B3336" t="s">
        <v>27</v>
      </c>
      <c r="C3336" t="s">
        <v>28</v>
      </c>
      <c r="H3336" s="2">
        <v>45169.579594907409</v>
      </c>
      <c r="I3336" t="s">
        <v>2674</v>
      </c>
      <c r="Z3336">
        <v>63740</v>
      </c>
    </row>
    <row r="3337" spans="1:26" x14ac:dyDescent="0.25">
      <c r="A3337" t="s">
        <v>3825</v>
      </c>
      <c r="B3337" t="s">
        <v>27</v>
      </c>
      <c r="C3337" t="s">
        <v>28</v>
      </c>
      <c r="H3337" s="2">
        <v>45169.494212962964</v>
      </c>
      <c r="I3337" t="s">
        <v>2674</v>
      </c>
      <c r="Z3337">
        <v>63728</v>
      </c>
    </row>
    <row r="3338" spans="1:26" x14ac:dyDescent="0.25">
      <c r="A3338" t="s">
        <v>3826</v>
      </c>
      <c r="B3338" t="s">
        <v>27</v>
      </c>
      <c r="C3338" t="s">
        <v>28</v>
      </c>
      <c r="H3338" s="2">
        <v>45169.444155092591</v>
      </c>
      <c r="I3338" t="s">
        <v>2674</v>
      </c>
      <c r="Z3338">
        <v>63713</v>
      </c>
    </row>
    <row r="3339" spans="1:26" x14ac:dyDescent="0.25">
      <c r="A3339" t="s">
        <v>3827</v>
      </c>
      <c r="B3339" t="s">
        <v>27</v>
      </c>
      <c r="C3339" t="s">
        <v>28</v>
      </c>
      <c r="H3339" s="2">
        <v>45168.718344907407</v>
      </c>
      <c r="I3339" t="s">
        <v>31</v>
      </c>
      <c r="Z3339">
        <v>63693</v>
      </c>
    </row>
    <row r="3340" spans="1:26" x14ac:dyDescent="0.25">
      <c r="A3340" t="s">
        <v>3565</v>
      </c>
      <c r="B3340" t="s">
        <v>1708</v>
      </c>
      <c r="C3340" t="s">
        <v>28</v>
      </c>
      <c r="E3340" t="s">
        <v>260</v>
      </c>
      <c r="H3340" s="2">
        <v>45168.61959490741</v>
      </c>
      <c r="I3340" t="s">
        <v>556</v>
      </c>
      <c r="Z3340">
        <v>63681</v>
      </c>
    </row>
    <row r="3341" spans="1:26" x14ac:dyDescent="0.25">
      <c r="A3341" t="s">
        <v>3828</v>
      </c>
      <c r="B3341" t="s">
        <v>1708</v>
      </c>
      <c r="C3341" t="s">
        <v>28</v>
      </c>
      <c r="E3341" t="s">
        <v>3829</v>
      </c>
      <c r="H3341" s="2">
        <v>45167.90960648148</v>
      </c>
      <c r="I3341" t="s">
        <v>31</v>
      </c>
      <c r="K3341" t="s">
        <v>34</v>
      </c>
      <c r="L3341" t="s">
        <v>35</v>
      </c>
      <c r="M3341">
        <v>55887089</v>
      </c>
      <c r="N3341">
        <v>9754619189</v>
      </c>
      <c r="O3341" t="s">
        <v>3830</v>
      </c>
      <c r="Z3341">
        <v>63636</v>
      </c>
    </row>
    <row r="3342" spans="1:26" x14ac:dyDescent="0.25">
      <c r="A3342" t="s">
        <v>3831</v>
      </c>
      <c r="B3342" t="s">
        <v>27</v>
      </c>
      <c r="C3342" t="s">
        <v>28</v>
      </c>
      <c r="H3342" s="2">
        <v>45167.78025462963</v>
      </c>
      <c r="I3342" t="s">
        <v>556</v>
      </c>
      <c r="Z3342">
        <v>63627</v>
      </c>
    </row>
    <row r="3343" spans="1:26" x14ac:dyDescent="0.25">
      <c r="A3343" t="s">
        <v>3832</v>
      </c>
      <c r="B3343" t="s">
        <v>27</v>
      </c>
      <c r="C3343" t="s">
        <v>28</v>
      </c>
      <c r="H3343" s="2">
        <v>45167.642800925925</v>
      </c>
      <c r="I3343" t="s">
        <v>556</v>
      </c>
      <c r="Z3343">
        <v>63602</v>
      </c>
    </row>
    <row r="3344" spans="1:26" x14ac:dyDescent="0.25">
      <c r="A3344" t="s">
        <v>3833</v>
      </c>
      <c r="B3344" t="s">
        <v>27</v>
      </c>
      <c r="C3344" t="s">
        <v>28</v>
      </c>
      <c r="H3344" s="2">
        <v>45167.625671296293</v>
      </c>
      <c r="I3344" t="s">
        <v>556</v>
      </c>
      <c r="Z3344">
        <v>63601</v>
      </c>
    </row>
    <row r="3345" spans="1:26" x14ac:dyDescent="0.25">
      <c r="A3345" t="s">
        <v>3834</v>
      </c>
      <c r="B3345" t="s">
        <v>27</v>
      </c>
      <c r="C3345" t="s">
        <v>28</v>
      </c>
      <c r="H3345" s="2">
        <v>45167.44740740741</v>
      </c>
      <c r="I3345" t="s">
        <v>556</v>
      </c>
      <c r="Z3345">
        <v>63566</v>
      </c>
    </row>
    <row r="3346" spans="1:26" x14ac:dyDescent="0.25">
      <c r="A3346" t="s">
        <v>3835</v>
      </c>
      <c r="B3346" t="s">
        <v>27</v>
      </c>
      <c r="C3346" t="s">
        <v>28</v>
      </c>
      <c r="H3346" s="2">
        <v>45167.385995370372</v>
      </c>
      <c r="I3346" t="s">
        <v>2791</v>
      </c>
      <c r="Z3346">
        <v>63556</v>
      </c>
    </row>
    <row r="3347" spans="1:26" x14ac:dyDescent="0.25">
      <c r="A3347" t="s">
        <v>3836</v>
      </c>
      <c r="B3347" t="s">
        <v>27</v>
      </c>
      <c r="C3347" t="s">
        <v>28</v>
      </c>
      <c r="H3347" s="2">
        <v>45166.470960648148</v>
      </c>
      <c r="I3347" t="s">
        <v>31</v>
      </c>
      <c r="Z3347">
        <v>63512</v>
      </c>
    </row>
    <row r="3348" spans="1:26" x14ac:dyDescent="0.25">
      <c r="A3348" t="s">
        <v>3837</v>
      </c>
      <c r="B3348" t="s">
        <v>27</v>
      </c>
      <c r="C3348" t="s">
        <v>28</v>
      </c>
      <c r="H3348" s="2">
        <v>45166.420532407406</v>
      </c>
      <c r="I3348" t="s">
        <v>3230</v>
      </c>
      <c r="Z3348">
        <v>63506</v>
      </c>
    </row>
    <row r="3349" spans="1:26" x14ac:dyDescent="0.25">
      <c r="A3349" t="s">
        <v>3838</v>
      </c>
      <c r="B3349" t="s">
        <v>74</v>
      </c>
      <c r="C3349" t="s">
        <v>28</v>
      </c>
      <c r="E3349" t="s">
        <v>72</v>
      </c>
      <c r="G3349" t="s">
        <v>3839</v>
      </c>
      <c r="H3349" s="2">
        <v>45165.385775462964</v>
      </c>
      <c r="I3349" t="s">
        <v>2681</v>
      </c>
      <c r="Z3349">
        <v>63471</v>
      </c>
    </row>
    <row r="3350" spans="1:26" x14ac:dyDescent="0.25">
      <c r="A3350" t="s">
        <v>3840</v>
      </c>
      <c r="B3350" t="s">
        <v>27</v>
      </c>
      <c r="C3350" t="s">
        <v>28</v>
      </c>
      <c r="H3350" s="2">
        <v>45164.808506944442</v>
      </c>
      <c r="I3350" t="s">
        <v>3230</v>
      </c>
      <c r="Z3350">
        <v>63466</v>
      </c>
    </row>
    <row r="3351" spans="1:26" x14ac:dyDescent="0.25">
      <c r="A3351" t="s">
        <v>3475</v>
      </c>
      <c r="B3351" t="s">
        <v>1708</v>
      </c>
      <c r="C3351" t="s">
        <v>28</v>
      </c>
      <c r="E3351" t="s">
        <v>763</v>
      </c>
      <c r="H3351" s="2">
        <v>45164.800486111111</v>
      </c>
      <c r="I3351" t="s">
        <v>2681</v>
      </c>
      <c r="K3351" t="s">
        <v>34</v>
      </c>
      <c r="L3351" t="s">
        <v>35</v>
      </c>
      <c r="M3351">
        <v>55887089</v>
      </c>
      <c r="N3351">
        <v>12886132963</v>
      </c>
      <c r="O3351" t="s">
        <v>3476</v>
      </c>
      <c r="Z3351">
        <v>63464</v>
      </c>
    </row>
    <row r="3352" spans="1:26" x14ac:dyDescent="0.25">
      <c r="A3352" t="s">
        <v>3841</v>
      </c>
      <c r="B3352" t="s">
        <v>27</v>
      </c>
      <c r="C3352" t="s">
        <v>28</v>
      </c>
      <c r="H3352" s="2">
        <v>45164.479733796295</v>
      </c>
      <c r="I3352" t="s">
        <v>2681</v>
      </c>
      <c r="Z3352">
        <v>63438</v>
      </c>
    </row>
    <row r="3353" spans="1:26" x14ac:dyDescent="0.25">
      <c r="A3353" t="s">
        <v>3842</v>
      </c>
      <c r="B3353" t="s">
        <v>27</v>
      </c>
      <c r="C3353" t="s">
        <v>28</v>
      </c>
      <c r="H3353" s="2">
        <v>45164.460046296299</v>
      </c>
      <c r="I3353" t="s">
        <v>2674</v>
      </c>
      <c r="Z3353">
        <v>63435</v>
      </c>
    </row>
    <row r="3354" spans="1:26" x14ac:dyDescent="0.25">
      <c r="A3354" t="s">
        <v>3843</v>
      </c>
      <c r="B3354" t="s">
        <v>27</v>
      </c>
      <c r="C3354" t="s">
        <v>28</v>
      </c>
      <c r="H3354" s="2">
        <v>45164.447268518517</v>
      </c>
      <c r="I3354" t="s">
        <v>1488</v>
      </c>
      <c r="Z3354">
        <v>63433</v>
      </c>
    </row>
    <row r="3355" spans="1:26" x14ac:dyDescent="0.25">
      <c r="A3355" t="s">
        <v>3844</v>
      </c>
      <c r="B3355" t="s">
        <v>74</v>
      </c>
      <c r="C3355" t="s">
        <v>28</v>
      </c>
      <c r="E3355" t="s">
        <v>72</v>
      </c>
      <c r="G3355" t="s">
        <v>3839</v>
      </c>
      <c r="H3355" s="2">
        <v>45163.951226851852</v>
      </c>
      <c r="I3355" t="s">
        <v>2681</v>
      </c>
      <c r="Z3355">
        <v>63421</v>
      </c>
    </row>
    <row r="3356" spans="1:26" x14ac:dyDescent="0.25">
      <c r="A3356" t="s">
        <v>3845</v>
      </c>
      <c r="B3356" t="s">
        <v>1403</v>
      </c>
      <c r="C3356" t="s">
        <v>28</v>
      </c>
      <c r="E3356" t="s">
        <v>3846</v>
      </c>
      <c r="H3356" s="2">
        <v>45163.682222222225</v>
      </c>
      <c r="I3356" t="s">
        <v>2681</v>
      </c>
      <c r="Z3356">
        <v>63403</v>
      </c>
    </row>
    <row r="3357" spans="1:26" x14ac:dyDescent="0.25">
      <c r="A3357" t="s">
        <v>3847</v>
      </c>
      <c r="B3357" t="s">
        <v>27</v>
      </c>
      <c r="C3357" t="s">
        <v>28</v>
      </c>
      <c r="H3357" s="2">
        <v>45163.523900462962</v>
      </c>
      <c r="I3357" t="s">
        <v>2791</v>
      </c>
      <c r="Z3357">
        <v>63368</v>
      </c>
    </row>
    <row r="3358" spans="1:26" x14ac:dyDescent="0.25">
      <c r="A3358" t="s">
        <v>3848</v>
      </c>
      <c r="B3358" t="s">
        <v>74</v>
      </c>
      <c r="C3358" t="s">
        <v>28</v>
      </c>
      <c r="E3358" t="s">
        <v>458</v>
      </c>
      <c r="G3358" t="s">
        <v>2940</v>
      </c>
      <c r="H3358" s="2">
        <v>45162.561793981484</v>
      </c>
      <c r="I3358" t="s">
        <v>556</v>
      </c>
      <c r="K3358" t="s">
        <v>34</v>
      </c>
      <c r="L3358" t="s">
        <v>35</v>
      </c>
      <c r="M3358">
        <v>55887050</v>
      </c>
      <c r="N3358">
        <v>9754616135</v>
      </c>
      <c r="O3358" t="s">
        <v>3849</v>
      </c>
      <c r="Z3358">
        <v>63310</v>
      </c>
    </row>
    <row r="3359" spans="1:26" x14ac:dyDescent="0.25">
      <c r="A3359" t="s">
        <v>663</v>
      </c>
      <c r="C3359" t="s">
        <v>28</v>
      </c>
      <c r="E3359" t="s">
        <v>598</v>
      </c>
      <c r="H3359" s="2">
        <v>45162.54928240741</v>
      </c>
      <c r="I3359" t="s">
        <v>556</v>
      </c>
      <c r="Z3359">
        <v>63306</v>
      </c>
    </row>
    <row r="3360" spans="1:26" x14ac:dyDescent="0.25">
      <c r="A3360" t="s">
        <v>3850</v>
      </c>
      <c r="B3360" t="s">
        <v>27</v>
      </c>
      <c r="C3360" t="s">
        <v>28</v>
      </c>
      <c r="H3360" s="2">
        <v>45162.471817129626</v>
      </c>
      <c r="I3360" t="s">
        <v>2674</v>
      </c>
      <c r="Z3360">
        <v>63289</v>
      </c>
    </row>
    <row r="3361" spans="1:26" x14ac:dyDescent="0.25">
      <c r="A3361" t="s">
        <v>663</v>
      </c>
      <c r="C3361" t="s">
        <v>28</v>
      </c>
      <c r="E3361" t="s">
        <v>1142</v>
      </c>
      <c r="H3361" s="2">
        <v>45161.948564814818</v>
      </c>
      <c r="I3361" t="s">
        <v>2674</v>
      </c>
      <c r="Z3361">
        <v>63274</v>
      </c>
    </row>
    <row r="3362" spans="1:26" x14ac:dyDescent="0.25">
      <c r="A3362" t="s">
        <v>3851</v>
      </c>
      <c r="B3362" t="s">
        <v>27</v>
      </c>
      <c r="C3362" t="s">
        <v>28</v>
      </c>
      <c r="H3362" s="2">
        <v>45161.767094907409</v>
      </c>
      <c r="I3362" t="s">
        <v>2791</v>
      </c>
      <c r="Z3362">
        <v>63260</v>
      </c>
    </row>
    <row r="3363" spans="1:26" x14ac:dyDescent="0.25">
      <c r="A3363" t="s">
        <v>3852</v>
      </c>
      <c r="B3363" t="s">
        <v>27</v>
      </c>
      <c r="C3363" t="s">
        <v>28</v>
      </c>
      <c r="H3363" s="2">
        <v>45161.520196759258</v>
      </c>
      <c r="I3363" t="s">
        <v>2791</v>
      </c>
      <c r="Z3363">
        <v>63214</v>
      </c>
    </row>
    <row r="3364" spans="1:26" x14ac:dyDescent="0.25">
      <c r="A3364" t="s">
        <v>3853</v>
      </c>
      <c r="B3364" t="s">
        <v>27</v>
      </c>
      <c r="C3364" t="s">
        <v>28</v>
      </c>
      <c r="H3364" s="2">
        <v>45161.495462962965</v>
      </c>
      <c r="I3364" t="s">
        <v>2791</v>
      </c>
      <c r="Z3364">
        <v>63208</v>
      </c>
    </row>
    <row r="3365" spans="1:26" x14ac:dyDescent="0.25">
      <c r="A3365" t="s">
        <v>3854</v>
      </c>
      <c r="B3365" t="s">
        <v>27</v>
      </c>
      <c r="C3365" t="s">
        <v>28</v>
      </c>
      <c r="H3365" s="2">
        <v>45160.756284722222</v>
      </c>
      <c r="I3365" t="s">
        <v>556</v>
      </c>
      <c r="Z3365">
        <v>63175</v>
      </c>
    </row>
    <row r="3366" spans="1:26" x14ac:dyDescent="0.25">
      <c r="A3366" t="s">
        <v>3855</v>
      </c>
      <c r="B3366" t="s">
        <v>27</v>
      </c>
      <c r="C3366" t="s">
        <v>28</v>
      </c>
      <c r="H3366" s="2">
        <v>45160.555428240739</v>
      </c>
      <c r="I3366" t="s">
        <v>2674</v>
      </c>
      <c r="Z3366">
        <v>63146</v>
      </c>
    </row>
    <row r="3367" spans="1:26" x14ac:dyDescent="0.25">
      <c r="A3367" t="s">
        <v>3856</v>
      </c>
      <c r="B3367" t="s">
        <v>27</v>
      </c>
      <c r="C3367" t="s">
        <v>28</v>
      </c>
      <c r="H3367" s="2">
        <v>45160.500254629631</v>
      </c>
      <c r="I3367" t="s">
        <v>3230</v>
      </c>
      <c r="Z3367">
        <v>63141</v>
      </c>
    </row>
    <row r="3368" spans="1:26" x14ac:dyDescent="0.25">
      <c r="A3368" t="s">
        <v>3857</v>
      </c>
      <c r="B3368" t="s">
        <v>27</v>
      </c>
      <c r="C3368" t="s">
        <v>28</v>
      </c>
      <c r="H3368" s="2">
        <v>45160.483541666668</v>
      </c>
      <c r="I3368" t="s">
        <v>556</v>
      </c>
      <c r="Z3368">
        <v>63135</v>
      </c>
    </row>
    <row r="3369" spans="1:26" x14ac:dyDescent="0.25">
      <c r="A3369" t="s">
        <v>3858</v>
      </c>
      <c r="B3369" t="s">
        <v>27</v>
      </c>
      <c r="C3369" t="s">
        <v>28</v>
      </c>
      <c r="H3369" s="2">
        <v>45160.413472222222</v>
      </c>
      <c r="I3369" t="s">
        <v>1488</v>
      </c>
      <c r="Z3369">
        <v>63117</v>
      </c>
    </row>
    <row r="3370" spans="1:26" x14ac:dyDescent="0.25">
      <c r="A3370" t="s">
        <v>3859</v>
      </c>
      <c r="B3370" t="s">
        <v>27</v>
      </c>
      <c r="C3370" t="s">
        <v>28</v>
      </c>
      <c r="H3370" s="2">
        <v>45160.383657407408</v>
      </c>
      <c r="I3370" t="s">
        <v>1488</v>
      </c>
      <c r="Z3370">
        <v>63114</v>
      </c>
    </row>
    <row r="3371" spans="1:26" x14ac:dyDescent="0.25">
      <c r="A3371" t="s">
        <v>3860</v>
      </c>
      <c r="B3371" t="s">
        <v>1403</v>
      </c>
      <c r="C3371" t="s">
        <v>28</v>
      </c>
      <c r="E3371" t="s">
        <v>3861</v>
      </c>
      <c r="H3371" s="2">
        <v>45159.74863425926</v>
      </c>
      <c r="I3371" t="s">
        <v>2681</v>
      </c>
      <c r="Z3371">
        <v>63106</v>
      </c>
    </row>
    <row r="3372" spans="1:26" x14ac:dyDescent="0.25">
      <c r="A3372" t="s">
        <v>663</v>
      </c>
      <c r="C3372" t="s">
        <v>28</v>
      </c>
      <c r="E3372" t="s">
        <v>458</v>
      </c>
      <c r="H3372" s="2">
        <v>45159.748206018521</v>
      </c>
      <c r="I3372" t="s">
        <v>2681</v>
      </c>
      <c r="Z3372">
        <v>63105</v>
      </c>
    </row>
    <row r="3373" spans="1:26" x14ac:dyDescent="0.25">
      <c r="A3373" t="s">
        <v>3862</v>
      </c>
      <c r="B3373" t="s">
        <v>27</v>
      </c>
      <c r="C3373" t="s">
        <v>28</v>
      </c>
      <c r="H3373" s="2">
        <v>45159.74359953704</v>
      </c>
      <c r="I3373" t="s">
        <v>1488</v>
      </c>
      <c r="Z3373">
        <v>63103</v>
      </c>
    </row>
    <row r="3374" spans="1:26" x14ac:dyDescent="0.25">
      <c r="A3374" t="s">
        <v>3863</v>
      </c>
      <c r="B3374" t="s">
        <v>27</v>
      </c>
      <c r="C3374" t="s">
        <v>28</v>
      </c>
      <c r="H3374" s="2">
        <v>45159.7</v>
      </c>
      <c r="I3374" t="s">
        <v>3864</v>
      </c>
      <c r="Z3374">
        <v>63096</v>
      </c>
    </row>
    <row r="3375" spans="1:26" x14ac:dyDescent="0.25">
      <c r="A3375" t="s">
        <v>3865</v>
      </c>
      <c r="B3375" t="s">
        <v>27</v>
      </c>
      <c r="C3375" t="s">
        <v>28</v>
      </c>
      <c r="H3375" s="2">
        <v>45159.602500000001</v>
      </c>
      <c r="I3375" t="s">
        <v>3864</v>
      </c>
      <c r="Z3375">
        <v>63083</v>
      </c>
    </row>
    <row r="3376" spans="1:26" x14ac:dyDescent="0.25">
      <c r="A3376" t="s">
        <v>3866</v>
      </c>
      <c r="B3376" t="s">
        <v>27</v>
      </c>
      <c r="C3376" t="s">
        <v>28</v>
      </c>
      <c r="H3376" s="2">
        <v>45158.619456018518</v>
      </c>
      <c r="I3376" t="s">
        <v>1488</v>
      </c>
      <c r="Z3376">
        <v>63038</v>
      </c>
    </row>
    <row r="3377" spans="1:26" x14ac:dyDescent="0.25">
      <c r="A3377" t="s">
        <v>3867</v>
      </c>
      <c r="B3377" t="s">
        <v>27</v>
      </c>
      <c r="C3377" t="s">
        <v>28</v>
      </c>
      <c r="E3377" t="s">
        <v>3868</v>
      </c>
      <c r="H3377" s="2">
        <v>45157.627847222226</v>
      </c>
      <c r="I3377" t="s">
        <v>31</v>
      </c>
      <c r="Z3377">
        <v>62983</v>
      </c>
    </row>
    <row r="3378" spans="1:26" x14ac:dyDescent="0.25">
      <c r="A3378" t="s">
        <v>3869</v>
      </c>
      <c r="B3378" t="s">
        <v>1403</v>
      </c>
      <c r="C3378" t="s">
        <v>28</v>
      </c>
      <c r="E3378" t="s">
        <v>3870</v>
      </c>
      <c r="H3378" s="2">
        <v>45157.328576388885</v>
      </c>
      <c r="I3378" t="s">
        <v>2681</v>
      </c>
      <c r="Z3378">
        <v>62954</v>
      </c>
    </row>
    <row r="3379" spans="1:26" x14ac:dyDescent="0.25">
      <c r="A3379" t="s">
        <v>3871</v>
      </c>
      <c r="B3379" t="s">
        <v>27</v>
      </c>
      <c r="C3379" t="s">
        <v>28</v>
      </c>
      <c r="H3379" s="2">
        <v>45156.542905092596</v>
      </c>
      <c r="I3379" t="s">
        <v>556</v>
      </c>
      <c r="Z3379">
        <v>62917</v>
      </c>
    </row>
    <row r="3380" spans="1:26" x14ac:dyDescent="0.25">
      <c r="A3380" t="s">
        <v>3872</v>
      </c>
      <c r="B3380" t="s">
        <v>27</v>
      </c>
      <c r="C3380" t="s">
        <v>28</v>
      </c>
      <c r="H3380" s="2">
        <v>45156.464502314811</v>
      </c>
      <c r="I3380" t="s">
        <v>556</v>
      </c>
      <c r="Z3380">
        <v>62908</v>
      </c>
    </row>
    <row r="3381" spans="1:26" x14ac:dyDescent="0.25">
      <c r="A3381" t="s">
        <v>3873</v>
      </c>
      <c r="C3381" t="s">
        <v>28</v>
      </c>
      <c r="E3381" t="s">
        <v>370</v>
      </c>
      <c r="H3381" s="2">
        <v>45155.76630787037</v>
      </c>
      <c r="I3381" t="s">
        <v>31</v>
      </c>
      <c r="Z3381">
        <v>62886</v>
      </c>
    </row>
    <row r="3382" spans="1:26" x14ac:dyDescent="0.25">
      <c r="A3382" t="s">
        <v>3874</v>
      </c>
      <c r="B3382" t="s">
        <v>27</v>
      </c>
      <c r="C3382" t="s">
        <v>28</v>
      </c>
      <c r="H3382" s="2">
        <v>45155.512291666666</v>
      </c>
      <c r="I3382" t="s">
        <v>556</v>
      </c>
      <c r="Z3382">
        <v>62837</v>
      </c>
    </row>
    <row r="3383" spans="1:26" x14ac:dyDescent="0.25">
      <c r="A3383" t="s">
        <v>3875</v>
      </c>
      <c r="B3383" t="s">
        <v>27</v>
      </c>
      <c r="C3383" t="s">
        <v>28</v>
      </c>
      <c r="H3383" s="2">
        <v>45155.479247685187</v>
      </c>
      <c r="I3383" t="s">
        <v>31</v>
      </c>
      <c r="Z3383">
        <v>62833</v>
      </c>
    </row>
    <row r="3384" spans="1:26" x14ac:dyDescent="0.25">
      <c r="A3384" t="s">
        <v>3876</v>
      </c>
      <c r="B3384" t="s">
        <v>27</v>
      </c>
      <c r="C3384" t="s">
        <v>28</v>
      </c>
      <c r="H3384" s="2">
        <v>45154.512812499997</v>
      </c>
      <c r="I3384" t="s">
        <v>556</v>
      </c>
      <c r="Z3384">
        <v>62756</v>
      </c>
    </row>
    <row r="3385" spans="1:26" x14ac:dyDescent="0.25">
      <c r="A3385" t="s">
        <v>3877</v>
      </c>
      <c r="B3385" t="s">
        <v>27</v>
      </c>
      <c r="C3385" t="s">
        <v>28</v>
      </c>
      <c r="H3385" s="2">
        <v>45154.479583333334</v>
      </c>
      <c r="I3385" t="s">
        <v>1488</v>
      </c>
      <c r="Z3385">
        <v>62749</v>
      </c>
    </row>
    <row r="3386" spans="1:26" x14ac:dyDescent="0.25">
      <c r="A3386" t="s">
        <v>3878</v>
      </c>
      <c r="B3386" t="s">
        <v>27</v>
      </c>
      <c r="C3386" t="s">
        <v>28</v>
      </c>
      <c r="H3386" s="2">
        <v>45154.43644675926</v>
      </c>
      <c r="I3386" t="s">
        <v>2674</v>
      </c>
      <c r="Z3386">
        <v>62738</v>
      </c>
    </row>
    <row r="3387" spans="1:26" x14ac:dyDescent="0.25">
      <c r="A3387" t="s">
        <v>3879</v>
      </c>
      <c r="B3387" t="s">
        <v>27</v>
      </c>
      <c r="C3387" t="s">
        <v>28</v>
      </c>
      <c r="H3387" s="2">
        <v>45154.432314814818</v>
      </c>
      <c r="I3387" t="s">
        <v>556</v>
      </c>
      <c r="Z3387">
        <v>62736</v>
      </c>
    </row>
    <row r="3388" spans="1:26" x14ac:dyDescent="0.25">
      <c r="A3388" t="s">
        <v>3422</v>
      </c>
      <c r="B3388" t="s">
        <v>27</v>
      </c>
      <c r="C3388" t="s">
        <v>28</v>
      </c>
      <c r="H3388" s="2">
        <v>45153.725451388891</v>
      </c>
      <c r="I3388" t="s">
        <v>2674</v>
      </c>
      <c r="Z3388">
        <v>62708</v>
      </c>
    </row>
    <row r="3389" spans="1:26" x14ac:dyDescent="0.25">
      <c r="A3389" t="s">
        <v>3803</v>
      </c>
      <c r="B3389" t="s">
        <v>27</v>
      </c>
      <c r="C3389" t="s">
        <v>28</v>
      </c>
      <c r="H3389" s="2">
        <v>45153.602013888885</v>
      </c>
      <c r="I3389" t="s">
        <v>2674</v>
      </c>
      <c r="Z3389">
        <v>62681</v>
      </c>
    </row>
    <row r="3390" spans="1:26" x14ac:dyDescent="0.25">
      <c r="A3390" t="s">
        <v>3880</v>
      </c>
      <c r="B3390" t="s">
        <v>27</v>
      </c>
      <c r="C3390" t="s">
        <v>28</v>
      </c>
      <c r="H3390" s="2">
        <v>45153.555451388886</v>
      </c>
      <c r="I3390" t="s">
        <v>2674</v>
      </c>
      <c r="Z3390">
        <v>62678</v>
      </c>
    </row>
    <row r="3391" spans="1:26" x14ac:dyDescent="0.25">
      <c r="A3391" t="s">
        <v>3881</v>
      </c>
      <c r="B3391" t="s">
        <v>27</v>
      </c>
      <c r="C3391" t="s">
        <v>28</v>
      </c>
      <c r="H3391" s="2">
        <v>45153.523425925923</v>
      </c>
      <c r="I3391" t="s">
        <v>2681</v>
      </c>
      <c r="Z3391">
        <v>62674</v>
      </c>
    </row>
    <row r="3392" spans="1:26" x14ac:dyDescent="0.25">
      <c r="A3392" t="s">
        <v>3646</v>
      </c>
      <c r="B3392" t="s">
        <v>27</v>
      </c>
      <c r="C3392" t="s">
        <v>28</v>
      </c>
      <c r="H3392" s="2">
        <v>45152.596284722225</v>
      </c>
      <c r="I3392" t="s">
        <v>2674</v>
      </c>
      <c r="Z3392">
        <v>62618</v>
      </c>
    </row>
    <row r="3393" spans="1:26" x14ac:dyDescent="0.25">
      <c r="A3393" t="s">
        <v>3882</v>
      </c>
      <c r="B3393" t="s">
        <v>27</v>
      </c>
      <c r="C3393" t="s">
        <v>28</v>
      </c>
      <c r="H3393" s="2">
        <v>45152.595173611109</v>
      </c>
      <c r="I3393" t="s">
        <v>1488</v>
      </c>
      <c r="Z3393">
        <v>62617</v>
      </c>
    </row>
    <row r="3394" spans="1:26" x14ac:dyDescent="0.25">
      <c r="A3394" t="s">
        <v>663</v>
      </c>
      <c r="C3394" t="s">
        <v>28</v>
      </c>
      <c r="E3394" t="s">
        <v>1142</v>
      </c>
      <c r="H3394" s="2">
        <v>45152.397013888891</v>
      </c>
      <c r="I3394" t="s">
        <v>2674</v>
      </c>
      <c r="Z3394">
        <v>62581</v>
      </c>
    </row>
    <row r="3395" spans="1:26" x14ac:dyDescent="0.25">
      <c r="A3395" t="s">
        <v>3883</v>
      </c>
      <c r="B3395" t="s">
        <v>27</v>
      </c>
      <c r="C3395" t="s">
        <v>28</v>
      </c>
      <c r="H3395" s="2">
        <v>45151.484317129631</v>
      </c>
      <c r="I3395" t="s">
        <v>1488</v>
      </c>
      <c r="Z3395">
        <v>62529</v>
      </c>
    </row>
    <row r="3396" spans="1:26" x14ac:dyDescent="0.25">
      <c r="A3396" t="s">
        <v>3884</v>
      </c>
      <c r="B3396" t="s">
        <v>27</v>
      </c>
      <c r="C3396" t="s">
        <v>28</v>
      </c>
      <c r="H3396" s="2">
        <v>45151.481180555558</v>
      </c>
      <c r="I3396" t="s">
        <v>2674</v>
      </c>
      <c r="Z3396">
        <v>62528</v>
      </c>
    </row>
    <row r="3397" spans="1:26" x14ac:dyDescent="0.25">
      <c r="A3397" t="s">
        <v>3885</v>
      </c>
      <c r="B3397" t="s">
        <v>27</v>
      </c>
      <c r="C3397" t="s">
        <v>28</v>
      </c>
      <c r="H3397" s="2">
        <v>45150.444687499999</v>
      </c>
      <c r="I3397" t="s">
        <v>31</v>
      </c>
      <c r="Z3397">
        <v>62486</v>
      </c>
    </row>
    <row r="3398" spans="1:26" x14ac:dyDescent="0.25">
      <c r="A3398" t="s">
        <v>663</v>
      </c>
      <c r="C3398" t="s">
        <v>28</v>
      </c>
      <c r="E3398" t="s">
        <v>929</v>
      </c>
      <c r="H3398" s="2">
        <v>45149.87060185185</v>
      </c>
      <c r="I3398" t="s">
        <v>556</v>
      </c>
      <c r="Z3398">
        <v>62475</v>
      </c>
    </row>
    <row r="3399" spans="1:26" x14ac:dyDescent="0.25">
      <c r="A3399" t="s">
        <v>3886</v>
      </c>
      <c r="B3399" t="s">
        <v>27</v>
      </c>
      <c r="C3399" t="s">
        <v>28</v>
      </c>
      <c r="H3399" s="2">
        <v>45149.605219907404</v>
      </c>
      <c r="I3399" t="s">
        <v>31</v>
      </c>
      <c r="Z3399">
        <v>62449</v>
      </c>
    </row>
    <row r="3400" spans="1:26" x14ac:dyDescent="0.25">
      <c r="A3400" t="s">
        <v>3887</v>
      </c>
      <c r="B3400" t="s">
        <v>27</v>
      </c>
      <c r="C3400" t="s">
        <v>28</v>
      </c>
      <c r="H3400" s="2">
        <v>45149.551354166666</v>
      </c>
      <c r="I3400" t="s">
        <v>3864</v>
      </c>
      <c r="Z3400">
        <v>62443</v>
      </c>
    </row>
    <row r="3401" spans="1:26" x14ac:dyDescent="0.25">
      <c r="A3401" t="s">
        <v>3888</v>
      </c>
      <c r="C3401" t="s">
        <v>28</v>
      </c>
      <c r="E3401" t="s">
        <v>1080</v>
      </c>
      <c r="H3401" s="2">
        <v>45149.44568287037</v>
      </c>
      <c r="I3401" t="s">
        <v>31</v>
      </c>
      <c r="Z3401">
        <v>62423</v>
      </c>
    </row>
    <row r="3402" spans="1:26" x14ac:dyDescent="0.25">
      <c r="A3402" t="s">
        <v>3889</v>
      </c>
      <c r="B3402" t="s">
        <v>27</v>
      </c>
      <c r="C3402" t="s">
        <v>333</v>
      </c>
      <c r="H3402" s="2">
        <v>45148.667199074072</v>
      </c>
      <c r="I3402" t="s">
        <v>556</v>
      </c>
      <c r="Z3402">
        <v>62369</v>
      </c>
    </row>
    <row r="3403" spans="1:26" x14ac:dyDescent="0.25">
      <c r="A3403" t="s">
        <v>3890</v>
      </c>
      <c r="B3403" t="s">
        <v>1708</v>
      </c>
      <c r="C3403" t="s">
        <v>28</v>
      </c>
      <c r="E3403" t="s">
        <v>3891</v>
      </c>
      <c r="H3403" s="2">
        <v>45148.61109953704</v>
      </c>
      <c r="I3403" t="s">
        <v>3054</v>
      </c>
      <c r="Z3403">
        <v>62363</v>
      </c>
    </row>
    <row r="3404" spans="1:26" x14ac:dyDescent="0.25">
      <c r="A3404" t="s">
        <v>3892</v>
      </c>
      <c r="B3404" t="s">
        <v>27</v>
      </c>
      <c r="C3404" t="s">
        <v>28</v>
      </c>
      <c r="H3404" s="2">
        <v>45148.563657407409</v>
      </c>
      <c r="I3404" t="s">
        <v>2001</v>
      </c>
      <c r="Z3404">
        <v>62358</v>
      </c>
    </row>
    <row r="3405" spans="1:26" x14ac:dyDescent="0.25">
      <c r="A3405" t="s">
        <v>3893</v>
      </c>
      <c r="B3405" t="s">
        <v>27</v>
      </c>
      <c r="C3405" t="s">
        <v>28</v>
      </c>
      <c r="H3405" s="2">
        <v>45148.518287037034</v>
      </c>
      <c r="I3405" t="s">
        <v>31</v>
      </c>
      <c r="Z3405">
        <v>62353</v>
      </c>
    </row>
    <row r="3406" spans="1:26" x14ac:dyDescent="0.25">
      <c r="A3406" t="s">
        <v>3894</v>
      </c>
      <c r="B3406" t="s">
        <v>27</v>
      </c>
      <c r="C3406" t="s">
        <v>28</v>
      </c>
      <c r="H3406" s="2">
        <v>45148.451666666668</v>
      </c>
      <c r="I3406" t="s">
        <v>31</v>
      </c>
      <c r="Z3406">
        <v>62341</v>
      </c>
    </row>
    <row r="3407" spans="1:26" x14ac:dyDescent="0.25">
      <c r="A3407" t="s">
        <v>3895</v>
      </c>
      <c r="B3407" t="s">
        <v>27</v>
      </c>
      <c r="C3407" t="s">
        <v>28</v>
      </c>
      <c r="H3407" s="2">
        <v>45147.69327546296</v>
      </c>
      <c r="I3407" t="s">
        <v>2674</v>
      </c>
      <c r="Z3407">
        <v>62294</v>
      </c>
    </row>
    <row r="3408" spans="1:26" x14ac:dyDescent="0.25">
      <c r="A3408" t="s">
        <v>3896</v>
      </c>
      <c r="B3408" t="s">
        <v>27</v>
      </c>
      <c r="C3408" t="s">
        <v>28</v>
      </c>
      <c r="H3408" s="2">
        <v>45147.659189814818</v>
      </c>
      <c r="I3408" t="s">
        <v>2674</v>
      </c>
      <c r="Z3408">
        <v>62285</v>
      </c>
    </row>
    <row r="3409" spans="1:26" x14ac:dyDescent="0.25">
      <c r="A3409" t="s">
        <v>3897</v>
      </c>
      <c r="B3409" t="s">
        <v>1708</v>
      </c>
      <c r="C3409" t="s">
        <v>28</v>
      </c>
      <c r="E3409" t="s">
        <v>3898</v>
      </c>
      <c r="H3409" s="2">
        <v>45147.610069444447</v>
      </c>
      <c r="I3409" t="s">
        <v>2681</v>
      </c>
      <c r="Z3409">
        <v>62267</v>
      </c>
    </row>
    <row r="3410" spans="1:26" x14ac:dyDescent="0.25">
      <c r="A3410" t="s">
        <v>3899</v>
      </c>
      <c r="B3410" t="s">
        <v>74</v>
      </c>
      <c r="C3410" t="s">
        <v>28</v>
      </c>
      <c r="E3410" t="s">
        <v>146</v>
      </c>
      <c r="G3410" t="s">
        <v>1509</v>
      </c>
      <c r="H3410" s="2">
        <v>45146.932719907411</v>
      </c>
      <c r="I3410" t="s">
        <v>2681</v>
      </c>
      <c r="Z3410">
        <v>62220</v>
      </c>
    </row>
    <row r="3411" spans="1:26" x14ac:dyDescent="0.25">
      <c r="A3411" t="s">
        <v>3900</v>
      </c>
      <c r="B3411" t="s">
        <v>27</v>
      </c>
      <c r="C3411" t="s">
        <v>28</v>
      </c>
      <c r="H3411" s="2">
        <v>45146.637465277781</v>
      </c>
      <c r="I3411" t="s">
        <v>1488</v>
      </c>
      <c r="Z3411">
        <v>62179</v>
      </c>
    </row>
    <row r="3412" spans="1:26" x14ac:dyDescent="0.25">
      <c r="A3412" t="s">
        <v>3901</v>
      </c>
      <c r="B3412" t="s">
        <v>27</v>
      </c>
      <c r="C3412" t="s">
        <v>28</v>
      </c>
      <c r="H3412" s="2">
        <v>45146.545567129629</v>
      </c>
      <c r="I3412" t="s">
        <v>1488</v>
      </c>
      <c r="Z3412">
        <v>62163</v>
      </c>
    </row>
    <row r="3413" spans="1:26" x14ac:dyDescent="0.25">
      <c r="A3413" t="s">
        <v>3902</v>
      </c>
      <c r="B3413" t="s">
        <v>27</v>
      </c>
      <c r="C3413" t="s">
        <v>28</v>
      </c>
      <c r="H3413" s="2">
        <v>45146.49832175926</v>
      </c>
      <c r="I3413" t="s">
        <v>1488</v>
      </c>
      <c r="Z3413">
        <v>62152</v>
      </c>
    </row>
    <row r="3414" spans="1:26" x14ac:dyDescent="0.25">
      <c r="A3414" t="s">
        <v>3903</v>
      </c>
      <c r="B3414" t="s">
        <v>27</v>
      </c>
      <c r="C3414" t="s">
        <v>28</v>
      </c>
      <c r="H3414" s="2">
        <v>45146.449594907404</v>
      </c>
      <c r="I3414" t="s">
        <v>2681</v>
      </c>
      <c r="Z3414">
        <v>62141</v>
      </c>
    </row>
    <row r="3415" spans="1:26" x14ac:dyDescent="0.25">
      <c r="A3415" t="s">
        <v>570</v>
      </c>
      <c r="C3415" t="s">
        <v>28</v>
      </c>
      <c r="E3415" t="s">
        <v>607</v>
      </c>
      <c r="H3415" s="2">
        <v>45145.67392361111</v>
      </c>
      <c r="I3415" t="s">
        <v>2674</v>
      </c>
      <c r="Z3415">
        <v>62093</v>
      </c>
    </row>
    <row r="3416" spans="1:26" x14ac:dyDescent="0.25">
      <c r="A3416" t="s">
        <v>3904</v>
      </c>
      <c r="B3416" t="s">
        <v>27</v>
      </c>
      <c r="C3416" t="s">
        <v>28</v>
      </c>
      <c r="H3416" s="2">
        <v>45145.399814814817</v>
      </c>
      <c r="I3416" t="s">
        <v>1488</v>
      </c>
      <c r="Z3416">
        <v>62014</v>
      </c>
    </row>
    <row r="3417" spans="1:26" x14ac:dyDescent="0.25">
      <c r="A3417" t="s">
        <v>3905</v>
      </c>
      <c r="B3417" t="s">
        <v>27</v>
      </c>
      <c r="C3417" t="s">
        <v>28</v>
      </c>
      <c r="H3417" s="2">
        <v>45144.775231481479</v>
      </c>
      <c r="I3417" t="s">
        <v>2674</v>
      </c>
      <c r="Z3417">
        <v>61999</v>
      </c>
    </row>
    <row r="3418" spans="1:26" x14ac:dyDescent="0.25">
      <c r="A3418" t="s">
        <v>3906</v>
      </c>
      <c r="B3418" t="s">
        <v>27</v>
      </c>
      <c r="C3418" t="s">
        <v>28</v>
      </c>
      <c r="H3418" s="2">
        <v>45144.747974537036</v>
      </c>
      <c r="I3418" t="s">
        <v>31</v>
      </c>
      <c r="Z3418">
        <v>61995</v>
      </c>
    </row>
    <row r="3419" spans="1:26" x14ac:dyDescent="0.25">
      <c r="A3419" t="s">
        <v>3907</v>
      </c>
      <c r="B3419" t="s">
        <v>27</v>
      </c>
      <c r="C3419" t="s">
        <v>28</v>
      </c>
      <c r="H3419" s="2">
        <v>45144.728900462964</v>
      </c>
      <c r="I3419" t="s">
        <v>31</v>
      </c>
      <c r="Z3419">
        <v>61992</v>
      </c>
    </row>
    <row r="3420" spans="1:26" x14ac:dyDescent="0.25">
      <c r="A3420" t="s">
        <v>3908</v>
      </c>
      <c r="B3420" t="s">
        <v>27</v>
      </c>
      <c r="C3420" t="s">
        <v>75</v>
      </c>
      <c r="H3420" s="2">
        <v>45144.671655092592</v>
      </c>
      <c r="I3420" t="s">
        <v>3864</v>
      </c>
      <c r="Z3420">
        <v>61983</v>
      </c>
    </row>
    <row r="3421" spans="1:26" x14ac:dyDescent="0.25">
      <c r="A3421" t="s">
        <v>1793</v>
      </c>
      <c r="B3421" t="s">
        <v>27</v>
      </c>
      <c r="C3421" t="s">
        <v>28</v>
      </c>
      <c r="H3421" s="2">
        <v>45144.489363425928</v>
      </c>
      <c r="I3421" t="s">
        <v>31</v>
      </c>
      <c r="Z3421">
        <v>61962</v>
      </c>
    </row>
    <row r="3422" spans="1:26" x14ac:dyDescent="0.25">
      <c r="A3422" t="s">
        <v>1793</v>
      </c>
      <c r="B3422" t="s">
        <v>27</v>
      </c>
      <c r="C3422" t="s">
        <v>28</v>
      </c>
      <c r="H3422" s="2">
        <v>45143.837199074071</v>
      </c>
      <c r="I3422" t="s">
        <v>3864</v>
      </c>
      <c r="Z3422">
        <v>61943</v>
      </c>
    </row>
    <row r="3423" spans="1:26" x14ac:dyDescent="0.25">
      <c r="A3423" t="s">
        <v>3909</v>
      </c>
      <c r="B3423" t="s">
        <v>27</v>
      </c>
      <c r="C3423" t="s">
        <v>28</v>
      </c>
      <c r="H3423" s="2">
        <v>45143.776307870372</v>
      </c>
      <c r="I3423" t="s">
        <v>31</v>
      </c>
      <c r="Z3423">
        <v>61938</v>
      </c>
    </row>
    <row r="3424" spans="1:26" x14ac:dyDescent="0.25">
      <c r="A3424" t="s">
        <v>1992</v>
      </c>
      <c r="B3424" t="s">
        <v>1403</v>
      </c>
      <c r="C3424" t="s">
        <v>28</v>
      </c>
      <c r="E3424" t="s">
        <v>370</v>
      </c>
      <c r="H3424" s="2">
        <v>45143.512800925928</v>
      </c>
      <c r="I3424" t="s">
        <v>3054</v>
      </c>
      <c r="Z3424">
        <v>61898</v>
      </c>
    </row>
    <row r="3425" spans="1:26" x14ac:dyDescent="0.25">
      <c r="A3425" t="s">
        <v>3910</v>
      </c>
      <c r="B3425" t="s">
        <v>27</v>
      </c>
      <c r="C3425" t="s">
        <v>28</v>
      </c>
      <c r="H3425" s="2">
        <v>45143.492303240739</v>
      </c>
      <c r="I3425" t="s">
        <v>556</v>
      </c>
      <c r="Z3425">
        <v>61894</v>
      </c>
    </row>
    <row r="3426" spans="1:26" x14ac:dyDescent="0.25">
      <c r="A3426" t="s">
        <v>3911</v>
      </c>
      <c r="B3426" t="s">
        <v>27</v>
      </c>
      <c r="C3426" t="s">
        <v>28</v>
      </c>
      <c r="H3426" s="2">
        <v>45140.724247685182</v>
      </c>
      <c r="I3426" t="s">
        <v>1488</v>
      </c>
      <c r="Z3426">
        <v>61685</v>
      </c>
    </row>
    <row r="3427" spans="1:26" x14ac:dyDescent="0.25">
      <c r="A3427" t="s">
        <v>3912</v>
      </c>
      <c r="B3427" t="s">
        <v>27</v>
      </c>
      <c r="C3427" t="s">
        <v>28</v>
      </c>
      <c r="H3427" s="2">
        <v>45140.68986111111</v>
      </c>
      <c r="I3427" t="s">
        <v>556</v>
      </c>
      <c r="Z3427">
        <v>61674</v>
      </c>
    </row>
    <row r="3428" spans="1:26" x14ac:dyDescent="0.25">
      <c r="A3428" t="s">
        <v>663</v>
      </c>
      <c r="C3428" t="s">
        <v>28</v>
      </c>
      <c r="E3428" t="s">
        <v>385</v>
      </c>
      <c r="H3428" s="2">
        <v>45140.585462962961</v>
      </c>
      <c r="I3428" t="s">
        <v>556</v>
      </c>
      <c r="Z3428">
        <v>61651</v>
      </c>
    </row>
    <row r="3429" spans="1:26" x14ac:dyDescent="0.25">
      <c r="A3429" t="s">
        <v>663</v>
      </c>
      <c r="C3429" t="s">
        <v>28</v>
      </c>
      <c r="E3429" t="s">
        <v>101</v>
      </c>
      <c r="H3429" s="2">
        <v>45140.383645833332</v>
      </c>
      <c r="I3429" t="s">
        <v>2674</v>
      </c>
      <c r="Z3429">
        <v>61605</v>
      </c>
    </row>
    <row r="3430" spans="1:26" x14ac:dyDescent="0.25">
      <c r="A3430" t="s">
        <v>3913</v>
      </c>
      <c r="B3430" t="s">
        <v>27</v>
      </c>
      <c r="C3430" t="s">
        <v>28</v>
      </c>
      <c r="H3430" s="2">
        <v>45139.717766203707</v>
      </c>
      <c r="I3430" t="s">
        <v>2674</v>
      </c>
      <c r="Z3430">
        <v>61585</v>
      </c>
    </row>
    <row r="3431" spans="1:26" x14ac:dyDescent="0.25">
      <c r="A3431" t="s">
        <v>3914</v>
      </c>
      <c r="B3431" t="s">
        <v>1708</v>
      </c>
      <c r="C3431" t="s">
        <v>28</v>
      </c>
      <c r="E3431" t="s">
        <v>3915</v>
      </c>
      <c r="H3431" s="2">
        <v>45139.403020833335</v>
      </c>
      <c r="I3431" t="s">
        <v>31</v>
      </c>
      <c r="K3431" t="s">
        <v>34</v>
      </c>
      <c r="L3431" t="s">
        <v>35</v>
      </c>
      <c r="M3431">
        <v>67131912</v>
      </c>
      <c r="N3431">
        <v>11953101647</v>
      </c>
      <c r="O3431" t="s">
        <v>3762</v>
      </c>
      <c r="Z3431">
        <v>61516</v>
      </c>
    </row>
    <row r="3432" spans="1:26" x14ac:dyDescent="0.25">
      <c r="A3432" t="s">
        <v>3916</v>
      </c>
      <c r="B3432" t="s">
        <v>27</v>
      </c>
      <c r="C3432" t="s">
        <v>28</v>
      </c>
      <c r="H3432" s="2">
        <v>45139.383356481485</v>
      </c>
      <c r="I3432" t="s">
        <v>31</v>
      </c>
      <c r="Z3432">
        <v>61511</v>
      </c>
    </row>
    <row r="3433" spans="1:26" x14ac:dyDescent="0.25">
      <c r="A3433" t="s">
        <v>3917</v>
      </c>
      <c r="B3433" t="s">
        <v>27</v>
      </c>
      <c r="C3433" t="s">
        <v>28</v>
      </c>
      <c r="H3433" s="2">
        <v>45138.779861111114</v>
      </c>
      <c r="I3433" t="s">
        <v>2674</v>
      </c>
      <c r="Z3433">
        <v>61495</v>
      </c>
    </row>
    <row r="3434" spans="1:26" x14ac:dyDescent="0.25">
      <c r="A3434" t="s">
        <v>3918</v>
      </c>
      <c r="B3434" t="s">
        <v>74</v>
      </c>
      <c r="C3434" t="s">
        <v>28</v>
      </c>
      <c r="E3434" t="s">
        <v>260</v>
      </c>
      <c r="G3434" t="s">
        <v>3919</v>
      </c>
      <c r="H3434" s="2">
        <v>45138.533692129633</v>
      </c>
      <c r="I3434" t="s">
        <v>31</v>
      </c>
      <c r="Z3434">
        <v>61440</v>
      </c>
    </row>
    <row r="3435" spans="1:26" x14ac:dyDescent="0.25">
      <c r="A3435" t="s">
        <v>3920</v>
      </c>
      <c r="B3435" t="s">
        <v>27</v>
      </c>
      <c r="C3435" t="s">
        <v>28</v>
      </c>
      <c r="H3435" s="2">
        <v>45138.460578703707</v>
      </c>
      <c r="I3435" t="s">
        <v>31</v>
      </c>
      <c r="Z3435">
        <v>61421</v>
      </c>
    </row>
    <row r="3436" spans="1:26" x14ac:dyDescent="0.25">
      <c r="A3436" t="s">
        <v>336</v>
      </c>
      <c r="B3436" t="s">
        <v>1708</v>
      </c>
      <c r="C3436" t="s">
        <v>28</v>
      </c>
      <c r="E3436" t="s">
        <v>3921</v>
      </c>
      <c r="H3436" s="2">
        <v>45137.827511574076</v>
      </c>
      <c r="I3436" t="s">
        <v>31</v>
      </c>
      <c r="Z3436">
        <v>61397</v>
      </c>
    </row>
    <row r="3437" spans="1:26" x14ac:dyDescent="0.25">
      <c r="A3437" t="s">
        <v>3707</v>
      </c>
      <c r="B3437" t="s">
        <v>1403</v>
      </c>
      <c r="C3437" t="s">
        <v>28</v>
      </c>
      <c r="E3437" t="s">
        <v>59</v>
      </c>
      <c r="G3437" t="s">
        <v>3922</v>
      </c>
      <c r="H3437" s="2">
        <v>45136.89707175926</v>
      </c>
      <c r="I3437" t="s">
        <v>31</v>
      </c>
      <c r="K3437" t="s">
        <v>34</v>
      </c>
      <c r="L3437" t="s">
        <v>35</v>
      </c>
      <c r="M3437">
        <v>67131912</v>
      </c>
      <c r="N3437">
        <v>11953101698</v>
      </c>
      <c r="O3437" t="s">
        <v>3923</v>
      </c>
      <c r="Z3437">
        <v>61350</v>
      </c>
    </row>
    <row r="3438" spans="1:26" x14ac:dyDescent="0.25">
      <c r="A3438" t="s">
        <v>3924</v>
      </c>
      <c r="B3438" t="s">
        <v>27</v>
      </c>
      <c r="C3438" t="s">
        <v>185</v>
      </c>
      <c r="H3438" s="2">
        <v>45136.596944444442</v>
      </c>
      <c r="I3438" t="s">
        <v>3864</v>
      </c>
      <c r="Z3438">
        <v>61326</v>
      </c>
    </row>
    <row r="3439" spans="1:26" x14ac:dyDescent="0.25">
      <c r="A3439" t="s">
        <v>3925</v>
      </c>
      <c r="B3439" t="s">
        <v>27</v>
      </c>
      <c r="C3439" t="s">
        <v>28</v>
      </c>
      <c r="H3439" s="2">
        <v>45136.585775462961</v>
      </c>
      <c r="I3439" t="s">
        <v>31</v>
      </c>
      <c r="Z3439">
        <v>61323</v>
      </c>
    </row>
    <row r="3440" spans="1:26" x14ac:dyDescent="0.25">
      <c r="A3440" t="s">
        <v>3926</v>
      </c>
      <c r="B3440" t="s">
        <v>27</v>
      </c>
      <c r="C3440" t="s">
        <v>28</v>
      </c>
      <c r="H3440" s="2">
        <v>45135.830763888887</v>
      </c>
      <c r="I3440" t="s">
        <v>1488</v>
      </c>
      <c r="Z3440">
        <v>61289</v>
      </c>
    </row>
    <row r="3441" spans="1:26" x14ac:dyDescent="0.25">
      <c r="A3441" t="s">
        <v>3927</v>
      </c>
      <c r="B3441" t="s">
        <v>27</v>
      </c>
      <c r="C3441" t="s">
        <v>28</v>
      </c>
      <c r="H3441" s="2">
        <v>45135.512337962966</v>
      </c>
      <c r="I3441" t="s">
        <v>2674</v>
      </c>
      <c r="Z3441">
        <v>61218</v>
      </c>
    </row>
    <row r="3442" spans="1:26" x14ac:dyDescent="0.25">
      <c r="A3442" t="s">
        <v>3928</v>
      </c>
      <c r="B3442" t="s">
        <v>27</v>
      </c>
      <c r="C3442" t="s">
        <v>28</v>
      </c>
      <c r="H3442" s="2">
        <v>45135.403634259259</v>
      </c>
      <c r="I3442" t="s">
        <v>2674</v>
      </c>
      <c r="Z3442">
        <v>61193</v>
      </c>
    </row>
    <row r="3443" spans="1:26" x14ac:dyDescent="0.25">
      <c r="A3443" t="s">
        <v>606</v>
      </c>
      <c r="B3443" t="s">
        <v>306</v>
      </c>
      <c r="C3443" t="s">
        <v>28</v>
      </c>
      <c r="E3443" t="s">
        <v>3929</v>
      </c>
      <c r="H3443" s="2">
        <v>45134.645208333335</v>
      </c>
      <c r="I3443" t="s">
        <v>556</v>
      </c>
      <c r="Z3443">
        <v>61149</v>
      </c>
    </row>
    <row r="3444" spans="1:26" x14ac:dyDescent="0.25">
      <c r="A3444" t="s">
        <v>3930</v>
      </c>
      <c r="B3444" t="s">
        <v>27</v>
      </c>
      <c r="C3444" t="s">
        <v>28</v>
      </c>
      <c r="H3444" s="2">
        <v>45134.442199074074</v>
      </c>
      <c r="I3444" t="s">
        <v>2674</v>
      </c>
      <c r="Z3444">
        <v>61096</v>
      </c>
    </row>
    <row r="3445" spans="1:26" x14ac:dyDescent="0.25">
      <c r="A3445" t="s">
        <v>3931</v>
      </c>
      <c r="B3445" t="s">
        <v>27</v>
      </c>
      <c r="C3445" t="s">
        <v>28</v>
      </c>
      <c r="H3445" s="2">
        <v>45133.651296296295</v>
      </c>
      <c r="I3445" t="s">
        <v>2674</v>
      </c>
      <c r="Z3445">
        <v>61055</v>
      </c>
    </row>
    <row r="3446" spans="1:26" x14ac:dyDescent="0.25">
      <c r="A3446" t="s">
        <v>3932</v>
      </c>
      <c r="B3446" t="s">
        <v>27</v>
      </c>
      <c r="C3446" t="s">
        <v>28</v>
      </c>
      <c r="H3446" s="2">
        <v>45133.460497685184</v>
      </c>
      <c r="I3446" t="s">
        <v>31</v>
      </c>
      <c r="Z3446">
        <v>61014</v>
      </c>
    </row>
    <row r="3447" spans="1:26" x14ac:dyDescent="0.25">
      <c r="A3447" t="s">
        <v>3933</v>
      </c>
      <c r="B3447" t="s">
        <v>27</v>
      </c>
      <c r="C3447" t="s">
        <v>28</v>
      </c>
      <c r="H3447" s="2">
        <v>45133.459421296298</v>
      </c>
      <c r="I3447" t="s">
        <v>2674</v>
      </c>
      <c r="Z3447">
        <v>61012</v>
      </c>
    </row>
    <row r="3448" spans="1:26" x14ac:dyDescent="0.25">
      <c r="A3448" t="s">
        <v>3934</v>
      </c>
      <c r="B3448" t="s">
        <v>27</v>
      </c>
      <c r="C3448" t="s">
        <v>28</v>
      </c>
      <c r="H3448" s="2">
        <v>45133.403761574074</v>
      </c>
      <c r="I3448" t="s">
        <v>2674</v>
      </c>
      <c r="Z3448">
        <v>60996</v>
      </c>
    </row>
    <row r="3449" spans="1:26" x14ac:dyDescent="0.25">
      <c r="A3449" t="s">
        <v>3935</v>
      </c>
      <c r="B3449" t="s">
        <v>1708</v>
      </c>
      <c r="C3449" t="s">
        <v>28</v>
      </c>
      <c r="E3449" t="s">
        <v>3936</v>
      </c>
      <c r="H3449" s="2">
        <v>45133.017453703702</v>
      </c>
      <c r="I3449" t="s">
        <v>31</v>
      </c>
      <c r="Z3449">
        <v>60986</v>
      </c>
    </row>
    <row r="3450" spans="1:26" x14ac:dyDescent="0.25">
      <c r="A3450" t="s">
        <v>3937</v>
      </c>
      <c r="B3450" t="s">
        <v>27</v>
      </c>
      <c r="C3450" t="s">
        <v>28</v>
      </c>
      <c r="H3450" s="2">
        <v>45132.792175925926</v>
      </c>
      <c r="I3450" t="s">
        <v>31</v>
      </c>
      <c r="Z3450">
        <v>60978</v>
      </c>
    </row>
    <row r="3451" spans="1:26" x14ac:dyDescent="0.25">
      <c r="A3451" t="s">
        <v>1793</v>
      </c>
      <c r="B3451" t="s">
        <v>27</v>
      </c>
      <c r="C3451" t="s">
        <v>28</v>
      </c>
      <c r="H3451" s="2">
        <v>45132.694814814815</v>
      </c>
      <c r="I3451" t="s">
        <v>31</v>
      </c>
      <c r="Z3451">
        <v>60956</v>
      </c>
    </row>
    <row r="3452" spans="1:26" x14ac:dyDescent="0.25">
      <c r="A3452" t="s">
        <v>3938</v>
      </c>
      <c r="B3452" t="s">
        <v>27</v>
      </c>
      <c r="C3452" t="s">
        <v>28</v>
      </c>
      <c r="H3452" s="2">
        <v>45132.590543981481</v>
      </c>
      <c r="I3452" t="s">
        <v>31</v>
      </c>
      <c r="Z3452">
        <v>60939</v>
      </c>
    </row>
    <row r="3453" spans="1:26" x14ac:dyDescent="0.25">
      <c r="A3453" t="s">
        <v>3939</v>
      </c>
      <c r="C3453" t="s">
        <v>28</v>
      </c>
      <c r="E3453" t="s">
        <v>3940</v>
      </c>
      <c r="H3453" s="2">
        <v>45132.325046296297</v>
      </c>
      <c r="I3453" t="s">
        <v>31</v>
      </c>
      <c r="Z3453">
        <v>60885</v>
      </c>
    </row>
    <row r="3454" spans="1:26" x14ac:dyDescent="0.25">
      <c r="A3454" t="s">
        <v>3941</v>
      </c>
      <c r="B3454" t="s">
        <v>27</v>
      </c>
      <c r="C3454" t="s">
        <v>28</v>
      </c>
      <c r="H3454" s="2">
        <v>45131.83662037037</v>
      </c>
      <c r="I3454" t="s">
        <v>3864</v>
      </c>
      <c r="Z3454">
        <v>60882</v>
      </c>
    </row>
    <row r="3455" spans="1:26" x14ac:dyDescent="0.25">
      <c r="A3455" t="s">
        <v>3942</v>
      </c>
      <c r="B3455" t="s">
        <v>27</v>
      </c>
      <c r="C3455" t="s">
        <v>28</v>
      </c>
      <c r="H3455" s="2">
        <v>45131.491307870368</v>
      </c>
      <c r="I3455" t="s">
        <v>556</v>
      </c>
      <c r="Z3455">
        <v>60827</v>
      </c>
    </row>
    <row r="3456" spans="1:26" x14ac:dyDescent="0.25">
      <c r="A3456" t="s">
        <v>3943</v>
      </c>
      <c r="B3456" t="s">
        <v>74</v>
      </c>
      <c r="C3456" t="s">
        <v>28</v>
      </c>
      <c r="E3456" t="s">
        <v>3944</v>
      </c>
      <c r="G3456" t="s">
        <v>3945</v>
      </c>
      <c r="H3456" s="2">
        <v>45130.897083333337</v>
      </c>
      <c r="I3456" t="s">
        <v>31</v>
      </c>
      <c r="Z3456">
        <v>60799</v>
      </c>
    </row>
    <row r="3457" spans="1:26" x14ac:dyDescent="0.25">
      <c r="A3457" t="s">
        <v>3946</v>
      </c>
      <c r="B3457" t="s">
        <v>27</v>
      </c>
      <c r="C3457" t="s">
        <v>28</v>
      </c>
      <c r="E3457" t="s">
        <v>3947</v>
      </c>
      <c r="H3457" s="2">
        <v>45130.623379629629</v>
      </c>
      <c r="I3457" t="s">
        <v>1488</v>
      </c>
      <c r="Z3457">
        <v>60781</v>
      </c>
    </row>
    <row r="3458" spans="1:26" x14ac:dyDescent="0.25">
      <c r="A3458" t="s">
        <v>3948</v>
      </c>
      <c r="B3458" t="s">
        <v>27</v>
      </c>
      <c r="C3458" t="s">
        <v>28</v>
      </c>
      <c r="H3458" s="2">
        <v>45130.441446759258</v>
      </c>
      <c r="I3458" t="s">
        <v>31</v>
      </c>
      <c r="Z3458">
        <v>60754</v>
      </c>
    </row>
    <row r="3459" spans="1:26" x14ac:dyDescent="0.25">
      <c r="A3459" t="s">
        <v>3949</v>
      </c>
      <c r="B3459" t="s">
        <v>27</v>
      </c>
      <c r="C3459" t="s">
        <v>28</v>
      </c>
      <c r="H3459" s="2">
        <v>45129.411643518521</v>
      </c>
      <c r="I3459" t="s">
        <v>2674</v>
      </c>
      <c r="Z3459">
        <v>60701</v>
      </c>
    </row>
    <row r="3460" spans="1:26" x14ac:dyDescent="0.25">
      <c r="A3460" t="s">
        <v>3950</v>
      </c>
      <c r="B3460" t="s">
        <v>1708</v>
      </c>
      <c r="C3460" t="s">
        <v>28</v>
      </c>
      <c r="E3460" t="s">
        <v>3951</v>
      </c>
      <c r="H3460" s="2">
        <v>45128.894375000003</v>
      </c>
      <c r="I3460" t="s">
        <v>556</v>
      </c>
      <c r="Z3460">
        <v>60691</v>
      </c>
    </row>
    <row r="3461" spans="1:26" x14ac:dyDescent="0.25">
      <c r="A3461" t="s">
        <v>3952</v>
      </c>
      <c r="B3461" t="s">
        <v>27</v>
      </c>
      <c r="C3461" t="s">
        <v>28</v>
      </c>
      <c r="H3461" s="2">
        <v>45128.724872685183</v>
      </c>
      <c r="I3461" t="s">
        <v>2674</v>
      </c>
      <c r="Z3461">
        <v>60681</v>
      </c>
    </row>
    <row r="3462" spans="1:26" x14ac:dyDescent="0.25">
      <c r="A3462" t="s">
        <v>3953</v>
      </c>
      <c r="B3462" t="s">
        <v>1708</v>
      </c>
      <c r="C3462" t="s">
        <v>28</v>
      </c>
      <c r="E3462" t="s">
        <v>3846</v>
      </c>
      <c r="G3462" t="s">
        <v>3954</v>
      </c>
      <c r="H3462" s="2">
        <v>45128.488483796296</v>
      </c>
      <c r="I3462" t="s">
        <v>556</v>
      </c>
      <c r="Z3462">
        <v>60619</v>
      </c>
    </row>
    <row r="3463" spans="1:26" x14ac:dyDescent="0.25">
      <c r="A3463" t="s">
        <v>3955</v>
      </c>
      <c r="B3463" t="s">
        <v>27</v>
      </c>
      <c r="C3463" t="s">
        <v>28</v>
      </c>
      <c r="H3463" s="2">
        <v>45128.484340277777</v>
      </c>
      <c r="I3463" t="s">
        <v>2674</v>
      </c>
      <c r="Z3463">
        <v>60617</v>
      </c>
    </row>
    <row r="3464" spans="1:26" x14ac:dyDescent="0.25">
      <c r="A3464" t="s">
        <v>3956</v>
      </c>
      <c r="B3464" t="s">
        <v>27</v>
      </c>
      <c r="C3464" t="s">
        <v>28</v>
      </c>
      <c r="H3464" s="2">
        <v>45127.715462962966</v>
      </c>
      <c r="I3464" t="s">
        <v>31</v>
      </c>
      <c r="Z3464">
        <v>60575</v>
      </c>
    </row>
    <row r="3465" spans="1:26" x14ac:dyDescent="0.25">
      <c r="A3465" t="s">
        <v>2787</v>
      </c>
      <c r="B3465" t="s">
        <v>1708</v>
      </c>
      <c r="C3465" t="s">
        <v>28</v>
      </c>
      <c r="E3465" t="s">
        <v>72</v>
      </c>
      <c r="H3465" s="2">
        <v>45126.93917824074</v>
      </c>
      <c r="I3465" t="s">
        <v>2681</v>
      </c>
      <c r="Z3465">
        <v>60503</v>
      </c>
    </row>
    <row r="3466" spans="1:26" x14ac:dyDescent="0.25">
      <c r="A3466" t="s">
        <v>3957</v>
      </c>
      <c r="B3466" t="s">
        <v>27</v>
      </c>
      <c r="C3466" t="s">
        <v>28</v>
      </c>
      <c r="H3466" s="2">
        <v>45126.518090277779</v>
      </c>
      <c r="I3466" t="s">
        <v>31</v>
      </c>
      <c r="Z3466">
        <v>60446</v>
      </c>
    </row>
    <row r="3467" spans="1:26" x14ac:dyDescent="0.25">
      <c r="A3467" t="s">
        <v>3958</v>
      </c>
      <c r="B3467" t="s">
        <v>27</v>
      </c>
      <c r="C3467" t="s">
        <v>28</v>
      </c>
      <c r="H3467" s="2">
        <v>45126.508113425924</v>
      </c>
      <c r="I3467" t="s">
        <v>2681</v>
      </c>
      <c r="Z3467">
        <v>60440</v>
      </c>
    </row>
    <row r="3468" spans="1:26" x14ac:dyDescent="0.25">
      <c r="A3468" t="s">
        <v>3959</v>
      </c>
      <c r="B3468" t="s">
        <v>27</v>
      </c>
      <c r="C3468" t="s">
        <v>28</v>
      </c>
      <c r="H3468" s="2">
        <v>45126.452268518522</v>
      </c>
      <c r="I3468" t="s">
        <v>31</v>
      </c>
      <c r="Z3468">
        <v>60431</v>
      </c>
    </row>
    <row r="3469" spans="1:26" x14ac:dyDescent="0.25">
      <c r="A3469" t="s">
        <v>3646</v>
      </c>
      <c r="B3469" t="s">
        <v>27</v>
      </c>
      <c r="C3469" t="s">
        <v>28</v>
      </c>
      <c r="H3469" s="2">
        <v>45125.727384259262</v>
      </c>
      <c r="I3469" t="s">
        <v>556</v>
      </c>
      <c r="Z3469">
        <v>60402</v>
      </c>
    </row>
    <row r="3470" spans="1:26" x14ac:dyDescent="0.25">
      <c r="A3470" t="s">
        <v>3960</v>
      </c>
      <c r="B3470" t="s">
        <v>1708</v>
      </c>
      <c r="C3470" t="s">
        <v>28</v>
      </c>
      <c r="E3470" t="s">
        <v>3961</v>
      </c>
      <c r="H3470" s="2">
        <v>45125.698981481481</v>
      </c>
      <c r="I3470" t="s">
        <v>31</v>
      </c>
      <c r="Z3470">
        <v>60394</v>
      </c>
    </row>
    <row r="3471" spans="1:26" x14ac:dyDescent="0.25">
      <c r="A3471" t="s">
        <v>3962</v>
      </c>
      <c r="B3471" t="s">
        <v>27</v>
      </c>
      <c r="C3471" t="s">
        <v>28</v>
      </c>
      <c r="H3471" s="2">
        <v>45125.643148148149</v>
      </c>
      <c r="I3471" t="s">
        <v>556</v>
      </c>
      <c r="Z3471">
        <v>60379</v>
      </c>
    </row>
    <row r="3472" spans="1:26" x14ac:dyDescent="0.25">
      <c r="A3472" t="s">
        <v>3963</v>
      </c>
      <c r="B3472" t="s">
        <v>74</v>
      </c>
      <c r="C3472" t="s">
        <v>28</v>
      </c>
      <c r="E3472" t="s">
        <v>156</v>
      </c>
      <c r="G3472" t="s">
        <v>3964</v>
      </c>
      <c r="H3472" s="2">
        <v>45125.598495370374</v>
      </c>
      <c r="I3472" t="s">
        <v>556</v>
      </c>
      <c r="Z3472">
        <v>60371</v>
      </c>
    </row>
    <row r="3473" spans="1:26" x14ac:dyDescent="0.25">
      <c r="A3473" t="s">
        <v>3965</v>
      </c>
      <c r="B3473" t="s">
        <v>27</v>
      </c>
      <c r="C3473" t="s">
        <v>28</v>
      </c>
      <c r="H3473" s="2">
        <v>45125.4528587963</v>
      </c>
      <c r="I3473" t="s">
        <v>556</v>
      </c>
      <c r="Z3473">
        <v>60330</v>
      </c>
    </row>
    <row r="3474" spans="1:26" x14ac:dyDescent="0.25">
      <c r="A3474" t="s">
        <v>3966</v>
      </c>
      <c r="B3474" t="s">
        <v>27</v>
      </c>
      <c r="C3474" t="s">
        <v>28</v>
      </c>
      <c r="H3474" s="2">
        <v>45124.704085648147</v>
      </c>
      <c r="I3474" t="s">
        <v>31</v>
      </c>
      <c r="Z3474">
        <v>60289</v>
      </c>
    </row>
    <row r="3475" spans="1:26" x14ac:dyDescent="0.25">
      <c r="A3475" t="s">
        <v>3967</v>
      </c>
      <c r="B3475" t="s">
        <v>27</v>
      </c>
      <c r="C3475" t="s">
        <v>28</v>
      </c>
      <c r="H3475" s="2">
        <v>45124.541273148148</v>
      </c>
      <c r="I3475" t="s">
        <v>31</v>
      </c>
      <c r="Z3475">
        <v>60259</v>
      </c>
    </row>
    <row r="3476" spans="1:26" x14ac:dyDescent="0.25">
      <c r="A3476" t="s">
        <v>1902</v>
      </c>
      <c r="B3476" t="s">
        <v>27</v>
      </c>
      <c r="C3476" t="s">
        <v>28</v>
      </c>
      <c r="H3476" s="2">
        <v>45124.505624999998</v>
      </c>
      <c r="I3476" t="s">
        <v>31</v>
      </c>
      <c r="Z3476">
        <v>60253</v>
      </c>
    </row>
    <row r="3477" spans="1:26" x14ac:dyDescent="0.25">
      <c r="A3477" t="s">
        <v>3968</v>
      </c>
      <c r="B3477" t="s">
        <v>1708</v>
      </c>
      <c r="C3477" t="s">
        <v>28</v>
      </c>
      <c r="E3477" t="s">
        <v>2190</v>
      </c>
      <c r="H3477" s="2">
        <v>45124.501886574071</v>
      </c>
      <c r="I3477" t="s">
        <v>31</v>
      </c>
      <c r="Z3477">
        <v>60252</v>
      </c>
    </row>
    <row r="3478" spans="1:26" x14ac:dyDescent="0.25">
      <c r="A3478" t="s">
        <v>3969</v>
      </c>
      <c r="B3478" t="s">
        <v>27</v>
      </c>
      <c r="C3478" t="s">
        <v>28</v>
      </c>
      <c r="H3478" s="2">
        <v>45124.484594907408</v>
      </c>
      <c r="I3478" t="s">
        <v>31</v>
      </c>
      <c r="Z3478">
        <v>60248</v>
      </c>
    </row>
    <row r="3479" spans="1:26" x14ac:dyDescent="0.25">
      <c r="A3479" t="s">
        <v>3970</v>
      </c>
      <c r="B3479" t="s">
        <v>27</v>
      </c>
      <c r="C3479" t="s">
        <v>28</v>
      </c>
      <c r="H3479" s="2">
        <v>45124.450787037036</v>
      </c>
      <c r="I3479" t="s">
        <v>3864</v>
      </c>
      <c r="Z3479">
        <v>60238</v>
      </c>
    </row>
    <row r="3480" spans="1:26" x14ac:dyDescent="0.25">
      <c r="A3480" t="s">
        <v>3971</v>
      </c>
      <c r="B3480" t="s">
        <v>27</v>
      </c>
      <c r="C3480" t="s">
        <v>28</v>
      </c>
      <c r="H3480" s="2">
        <v>45123.750011574077</v>
      </c>
      <c r="I3480" t="s">
        <v>556</v>
      </c>
      <c r="Z3480">
        <v>60210</v>
      </c>
    </row>
    <row r="3481" spans="1:26" x14ac:dyDescent="0.25">
      <c r="A3481" t="s">
        <v>3972</v>
      </c>
      <c r="B3481" t="s">
        <v>27</v>
      </c>
      <c r="C3481" t="s">
        <v>28</v>
      </c>
      <c r="H3481" s="2">
        <v>45123.614062499997</v>
      </c>
      <c r="I3481" t="s">
        <v>2681</v>
      </c>
      <c r="Z3481">
        <v>60201</v>
      </c>
    </row>
    <row r="3482" spans="1:26" x14ac:dyDescent="0.25">
      <c r="A3482" t="s">
        <v>3973</v>
      </c>
      <c r="B3482" t="s">
        <v>27</v>
      </c>
      <c r="C3482" t="s">
        <v>28</v>
      </c>
      <c r="H3482" s="2">
        <v>45122.437314814815</v>
      </c>
      <c r="I3482" t="s">
        <v>1488</v>
      </c>
      <c r="Z3482">
        <v>60144</v>
      </c>
    </row>
    <row r="3483" spans="1:26" x14ac:dyDescent="0.25">
      <c r="A3483" t="s">
        <v>3974</v>
      </c>
      <c r="B3483" t="s">
        <v>27</v>
      </c>
      <c r="C3483" t="s">
        <v>28</v>
      </c>
      <c r="H3483" s="2">
        <v>45121.441701388889</v>
      </c>
      <c r="I3483" t="s">
        <v>1488</v>
      </c>
      <c r="Z3483">
        <v>60053</v>
      </c>
    </row>
    <row r="3484" spans="1:26" x14ac:dyDescent="0.25">
      <c r="A3484" t="s">
        <v>3975</v>
      </c>
      <c r="B3484" t="s">
        <v>27</v>
      </c>
      <c r="C3484" t="s">
        <v>28</v>
      </c>
      <c r="H3484" s="2">
        <v>45121.439351851855</v>
      </c>
      <c r="I3484" t="s">
        <v>31</v>
      </c>
      <c r="Z3484">
        <v>60052</v>
      </c>
    </row>
    <row r="3485" spans="1:26" x14ac:dyDescent="0.25">
      <c r="A3485" t="s">
        <v>3976</v>
      </c>
      <c r="B3485" t="s">
        <v>27</v>
      </c>
      <c r="C3485" t="s">
        <v>28</v>
      </c>
      <c r="H3485" s="2">
        <v>45121.433217592596</v>
      </c>
      <c r="I3485" t="s">
        <v>31</v>
      </c>
      <c r="Z3485">
        <v>60051</v>
      </c>
    </row>
    <row r="3486" spans="1:26" x14ac:dyDescent="0.25">
      <c r="A3486" t="s">
        <v>3977</v>
      </c>
      <c r="B3486" t="s">
        <v>27</v>
      </c>
      <c r="C3486" t="s">
        <v>28</v>
      </c>
      <c r="H3486" s="2">
        <v>45121.423564814817</v>
      </c>
      <c r="I3486" t="s">
        <v>2681</v>
      </c>
      <c r="Z3486">
        <v>60046</v>
      </c>
    </row>
    <row r="3487" spans="1:26" x14ac:dyDescent="0.25">
      <c r="A3487" t="s">
        <v>3978</v>
      </c>
      <c r="B3487" t="s">
        <v>27</v>
      </c>
      <c r="C3487" t="s">
        <v>28</v>
      </c>
      <c r="H3487" s="2">
        <v>45120.658449074072</v>
      </c>
      <c r="I3487" t="s">
        <v>3864</v>
      </c>
      <c r="Z3487">
        <v>60009</v>
      </c>
    </row>
    <row r="3488" spans="1:26" x14ac:dyDescent="0.25">
      <c r="A3488" t="s">
        <v>3367</v>
      </c>
      <c r="B3488" t="s">
        <v>27</v>
      </c>
      <c r="C3488" t="s">
        <v>28</v>
      </c>
      <c r="H3488" s="2">
        <v>45120.628113425926</v>
      </c>
      <c r="I3488" t="s">
        <v>2681</v>
      </c>
      <c r="Z3488">
        <v>60005</v>
      </c>
    </row>
    <row r="3489" spans="1:26" x14ac:dyDescent="0.25">
      <c r="A3489" t="s">
        <v>3979</v>
      </c>
      <c r="B3489" t="s">
        <v>27</v>
      </c>
      <c r="C3489" t="s">
        <v>28</v>
      </c>
      <c r="H3489" s="2">
        <v>45120.574374999997</v>
      </c>
      <c r="I3489" t="s">
        <v>31</v>
      </c>
      <c r="Z3489">
        <v>59994</v>
      </c>
    </row>
    <row r="3490" spans="1:26" x14ac:dyDescent="0.25">
      <c r="A3490" t="s">
        <v>3980</v>
      </c>
      <c r="B3490" t="s">
        <v>27</v>
      </c>
      <c r="C3490" t="s">
        <v>28</v>
      </c>
      <c r="H3490" s="2">
        <v>45119.760671296295</v>
      </c>
      <c r="I3490" t="s">
        <v>3864</v>
      </c>
      <c r="Z3490">
        <v>59942</v>
      </c>
    </row>
    <row r="3491" spans="1:26" x14ac:dyDescent="0.25">
      <c r="A3491" t="s">
        <v>336</v>
      </c>
      <c r="B3491" t="s">
        <v>27</v>
      </c>
      <c r="C3491" t="s">
        <v>28</v>
      </c>
      <c r="H3491" s="2">
        <v>45119.575810185182</v>
      </c>
      <c r="I3491" t="s">
        <v>31</v>
      </c>
      <c r="Z3491">
        <v>59912</v>
      </c>
    </row>
    <row r="3492" spans="1:26" x14ac:dyDescent="0.25">
      <c r="A3492" t="s">
        <v>3981</v>
      </c>
      <c r="B3492" t="s">
        <v>27</v>
      </c>
      <c r="C3492" t="s">
        <v>28</v>
      </c>
      <c r="H3492" s="2">
        <v>45118.790081018517</v>
      </c>
      <c r="I3492" t="s">
        <v>556</v>
      </c>
      <c r="Z3492">
        <v>59874</v>
      </c>
    </row>
    <row r="3493" spans="1:26" x14ac:dyDescent="0.25">
      <c r="A3493" t="s">
        <v>3982</v>
      </c>
      <c r="B3493" t="s">
        <v>1708</v>
      </c>
      <c r="C3493" t="s">
        <v>28</v>
      </c>
      <c r="E3493" t="s">
        <v>101</v>
      </c>
      <c r="H3493" s="2">
        <v>45118.549756944441</v>
      </c>
      <c r="I3493" t="s">
        <v>3054</v>
      </c>
      <c r="Z3493">
        <v>59837</v>
      </c>
    </row>
    <row r="3494" spans="1:26" x14ac:dyDescent="0.25">
      <c r="A3494" t="s">
        <v>3983</v>
      </c>
      <c r="B3494" t="s">
        <v>27</v>
      </c>
      <c r="C3494" t="s">
        <v>28</v>
      </c>
      <c r="H3494" s="2">
        <v>45115.757256944446</v>
      </c>
      <c r="I3494" t="s">
        <v>31</v>
      </c>
      <c r="Z3494">
        <v>59682</v>
      </c>
    </row>
    <row r="3495" spans="1:26" x14ac:dyDescent="0.25">
      <c r="A3495" t="s">
        <v>3984</v>
      </c>
      <c r="B3495" t="s">
        <v>27</v>
      </c>
      <c r="C3495" t="s">
        <v>333</v>
      </c>
      <c r="E3495" t="s">
        <v>3985</v>
      </c>
      <c r="H3495" s="2">
        <v>45115.508460648147</v>
      </c>
      <c r="I3495" t="s">
        <v>1488</v>
      </c>
      <c r="Z3495">
        <v>59659</v>
      </c>
    </row>
    <row r="3496" spans="1:26" x14ac:dyDescent="0.25">
      <c r="A3496" t="s">
        <v>3986</v>
      </c>
      <c r="B3496" t="s">
        <v>27</v>
      </c>
      <c r="C3496" t="s">
        <v>28</v>
      </c>
      <c r="H3496" s="2">
        <v>45114.796493055554</v>
      </c>
      <c r="I3496" t="s">
        <v>31</v>
      </c>
      <c r="Z3496">
        <v>59625</v>
      </c>
    </row>
    <row r="3497" spans="1:26" x14ac:dyDescent="0.25">
      <c r="A3497" t="s">
        <v>1793</v>
      </c>
      <c r="B3497" t="s">
        <v>27</v>
      </c>
      <c r="C3497" t="s">
        <v>28</v>
      </c>
      <c r="H3497" s="2">
        <v>45114.734444444446</v>
      </c>
      <c r="I3497" t="s">
        <v>3864</v>
      </c>
      <c r="Z3497">
        <v>59616</v>
      </c>
    </row>
    <row r="3498" spans="1:26" x14ac:dyDescent="0.25">
      <c r="A3498" t="s">
        <v>3987</v>
      </c>
      <c r="B3498" t="s">
        <v>27</v>
      </c>
      <c r="C3498" t="s">
        <v>28</v>
      </c>
      <c r="H3498" s="2">
        <v>45114.690162037034</v>
      </c>
      <c r="I3498" t="s">
        <v>31</v>
      </c>
      <c r="Z3498">
        <v>59612</v>
      </c>
    </row>
    <row r="3499" spans="1:26" x14ac:dyDescent="0.25">
      <c r="A3499" t="s">
        <v>3988</v>
      </c>
      <c r="B3499" t="s">
        <v>27</v>
      </c>
      <c r="C3499" t="s">
        <v>28</v>
      </c>
      <c r="H3499" s="2">
        <v>45114.625</v>
      </c>
      <c r="I3499" t="s">
        <v>2681</v>
      </c>
      <c r="Z3499">
        <v>59603</v>
      </c>
    </row>
    <row r="3500" spans="1:26" x14ac:dyDescent="0.25">
      <c r="A3500" t="s">
        <v>1793</v>
      </c>
      <c r="B3500" t="s">
        <v>27</v>
      </c>
      <c r="C3500" t="s">
        <v>28</v>
      </c>
      <c r="H3500" s="2">
        <v>45114.567071759258</v>
      </c>
      <c r="I3500" t="s">
        <v>31</v>
      </c>
      <c r="Z3500">
        <v>59590</v>
      </c>
    </row>
    <row r="3501" spans="1:26" x14ac:dyDescent="0.25">
      <c r="A3501" t="s">
        <v>3491</v>
      </c>
      <c r="B3501" t="s">
        <v>27</v>
      </c>
      <c r="C3501" t="s">
        <v>28</v>
      </c>
      <c r="H3501" s="2">
        <v>45114.561296296299</v>
      </c>
      <c r="I3501" t="s">
        <v>31</v>
      </c>
      <c r="Z3501">
        <v>59589</v>
      </c>
    </row>
    <row r="3502" spans="1:26" x14ac:dyDescent="0.25">
      <c r="A3502" t="s">
        <v>336</v>
      </c>
      <c r="B3502" t="s">
        <v>306</v>
      </c>
      <c r="C3502" t="s">
        <v>28</v>
      </c>
      <c r="E3502" t="s">
        <v>3989</v>
      </c>
      <c r="H3502" s="2">
        <v>45114.183668981481</v>
      </c>
      <c r="I3502" t="s">
        <v>31</v>
      </c>
      <c r="K3502" t="s">
        <v>34</v>
      </c>
      <c r="L3502" t="s">
        <v>35</v>
      </c>
      <c r="M3502">
        <v>67131912</v>
      </c>
      <c r="N3502">
        <v>11953101693</v>
      </c>
      <c r="O3502" t="s">
        <v>461</v>
      </c>
      <c r="Z3502">
        <v>59560</v>
      </c>
    </row>
    <row r="3503" spans="1:26" x14ac:dyDescent="0.25">
      <c r="A3503" t="s">
        <v>3990</v>
      </c>
      <c r="B3503" t="s">
        <v>27</v>
      </c>
      <c r="C3503" t="s">
        <v>28</v>
      </c>
      <c r="H3503" s="2">
        <v>45113.729004629633</v>
      </c>
      <c r="I3503" t="s">
        <v>556</v>
      </c>
      <c r="Z3503">
        <v>59544</v>
      </c>
    </row>
    <row r="3504" spans="1:26" x14ac:dyDescent="0.25">
      <c r="A3504" t="s">
        <v>3991</v>
      </c>
      <c r="B3504" t="s">
        <v>27</v>
      </c>
      <c r="C3504" t="s">
        <v>28</v>
      </c>
      <c r="H3504" s="2">
        <v>45113.666319444441</v>
      </c>
      <c r="I3504" t="s">
        <v>31</v>
      </c>
      <c r="Z3504">
        <v>59534</v>
      </c>
    </row>
    <row r="3505" spans="1:26" x14ac:dyDescent="0.25">
      <c r="A3505" t="s">
        <v>3992</v>
      </c>
      <c r="B3505" t="s">
        <v>27</v>
      </c>
      <c r="C3505" t="s">
        <v>28</v>
      </c>
      <c r="H3505" s="2">
        <v>45113.570787037039</v>
      </c>
      <c r="I3505" t="s">
        <v>31</v>
      </c>
      <c r="Z3505">
        <v>59515</v>
      </c>
    </row>
    <row r="3506" spans="1:26" x14ac:dyDescent="0.25">
      <c r="A3506" t="s">
        <v>3993</v>
      </c>
      <c r="B3506" t="s">
        <v>27</v>
      </c>
      <c r="C3506" t="s">
        <v>28</v>
      </c>
      <c r="H3506" s="2">
        <v>45113.504664351851</v>
      </c>
      <c r="I3506" t="s">
        <v>31</v>
      </c>
      <c r="Z3506">
        <v>59503</v>
      </c>
    </row>
    <row r="3507" spans="1:26" x14ac:dyDescent="0.25">
      <c r="A3507" t="s">
        <v>1793</v>
      </c>
      <c r="B3507" t="s">
        <v>27</v>
      </c>
      <c r="C3507" t="s">
        <v>28</v>
      </c>
      <c r="H3507" s="2">
        <v>45113.431770833333</v>
      </c>
      <c r="I3507" t="s">
        <v>31</v>
      </c>
      <c r="Z3507">
        <v>59490</v>
      </c>
    </row>
    <row r="3508" spans="1:26" x14ac:dyDescent="0.25">
      <c r="A3508" t="s">
        <v>3994</v>
      </c>
      <c r="B3508" t="s">
        <v>1708</v>
      </c>
      <c r="C3508" t="s">
        <v>28</v>
      </c>
      <c r="E3508" t="s">
        <v>3995</v>
      </c>
      <c r="H3508" s="2">
        <v>45113.281770833331</v>
      </c>
      <c r="I3508" t="s">
        <v>31</v>
      </c>
      <c r="Z3508">
        <v>59481</v>
      </c>
    </row>
    <row r="3509" spans="1:26" x14ac:dyDescent="0.25">
      <c r="A3509" t="s">
        <v>3996</v>
      </c>
      <c r="B3509" t="s">
        <v>27</v>
      </c>
      <c r="C3509" t="s">
        <v>28</v>
      </c>
      <c r="H3509" s="2">
        <v>45112.572743055556</v>
      </c>
      <c r="I3509" t="s">
        <v>556</v>
      </c>
      <c r="Z3509">
        <v>59439</v>
      </c>
    </row>
    <row r="3510" spans="1:26" x14ac:dyDescent="0.25">
      <c r="A3510" t="s">
        <v>3997</v>
      </c>
      <c r="B3510" t="s">
        <v>27</v>
      </c>
      <c r="C3510" t="s">
        <v>28</v>
      </c>
      <c r="H3510" s="2">
        <v>45112.540601851855</v>
      </c>
      <c r="I3510" t="s">
        <v>2681</v>
      </c>
      <c r="Z3510">
        <v>59433</v>
      </c>
    </row>
    <row r="3511" spans="1:26" x14ac:dyDescent="0.25">
      <c r="A3511" t="s">
        <v>3998</v>
      </c>
      <c r="B3511" t="s">
        <v>74</v>
      </c>
      <c r="C3511" t="s">
        <v>28</v>
      </c>
      <c r="E3511" t="s">
        <v>370</v>
      </c>
      <c r="G3511" t="s">
        <v>3999</v>
      </c>
      <c r="H3511" s="2">
        <v>45112.449606481481</v>
      </c>
      <c r="I3511" t="s">
        <v>3864</v>
      </c>
      <c r="Z3511">
        <v>59411</v>
      </c>
    </row>
    <row r="3512" spans="1:26" x14ac:dyDescent="0.25">
      <c r="A3512" t="s">
        <v>4000</v>
      </c>
      <c r="B3512" t="s">
        <v>1708</v>
      </c>
      <c r="C3512" t="s">
        <v>28</v>
      </c>
      <c r="E3512" t="s">
        <v>198</v>
      </c>
      <c r="G3512" t="s">
        <v>4001</v>
      </c>
      <c r="H3512" s="2">
        <v>45112.428043981483</v>
      </c>
      <c r="I3512" t="s">
        <v>556</v>
      </c>
      <c r="Z3512">
        <v>59408</v>
      </c>
    </row>
    <row r="3513" spans="1:26" x14ac:dyDescent="0.25">
      <c r="A3513" t="s">
        <v>4002</v>
      </c>
      <c r="B3513" t="s">
        <v>27</v>
      </c>
      <c r="C3513" t="s">
        <v>28</v>
      </c>
      <c r="H3513" s="2">
        <v>45111.859189814815</v>
      </c>
      <c r="I3513" t="s">
        <v>1488</v>
      </c>
      <c r="Z3513">
        <v>59394</v>
      </c>
    </row>
    <row r="3514" spans="1:26" x14ac:dyDescent="0.25">
      <c r="A3514" t="s">
        <v>4003</v>
      </c>
      <c r="B3514" t="s">
        <v>27</v>
      </c>
      <c r="C3514" t="s">
        <v>28</v>
      </c>
      <c r="H3514" s="2">
        <v>45111.40729166667</v>
      </c>
      <c r="I3514" t="s">
        <v>2674</v>
      </c>
      <c r="Z3514">
        <v>59328</v>
      </c>
    </row>
    <row r="3515" spans="1:26" x14ac:dyDescent="0.25">
      <c r="A3515" t="s">
        <v>4004</v>
      </c>
      <c r="B3515" t="s">
        <v>27</v>
      </c>
      <c r="C3515" t="s">
        <v>28</v>
      </c>
      <c r="H3515" s="2">
        <v>45110.561273148145</v>
      </c>
      <c r="I3515" t="s">
        <v>1488</v>
      </c>
      <c r="Z3515">
        <v>59275</v>
      </c>
    </row>
    <row r="3516" spans="1:26" x14ac:dyDescent="0.25">
      <c r="A3516" t="s">
        <v>3997</v>
      </c>
      <c r="B3516" t="s">
        <v>27</v>
      </c>
      <c r="C3516" t="s">
        <v>28</v>
      </c>
      <c r="H3516" s="2">
        <v>45109.577037037037</v>
      </c>
      <c r="I3516" t="s">
        <v>2674</v>
      </c>
      <c r="Z3516">
        <v>59217</v>
      </c>
    </row>
    <row r="3517" spans="1:26" x14ac:dyDescent="0.25">
      <c r="A3517" t="s">
        <v>4005</v>
      </c>
      <c r="B3517" t="s">
        <v>27</v>
      </c>
      <c r="C3517" t="s">
        <v>28</v>
      </c>
      <c r="H3517" s="2">
        <v>45109.442789351851</v>
      </c>
      <c r="I3517" t="s">
        <v>1488</v>
      </c>
      <c r="Z3517">
        <v>59192</v>
      </c>
    </row>
    <row r="3518" spans="1:26" x14ac:dyDescent="0.25">
      <c r="A3518" t="s">
        <v>4006</v>
      </c>
      <c r="B3518" t="s">
        <v>27</v>
      </c>
      <c r="C3518" t="s">
        <v>28</v>
      </c>
      <c r="H3518" s="2">
        <v>45109.439421296294</v>
      </c>
      <c r="I3518" t="s">
        <v>2674</v>
      </c>
      <c r="Z3518">
        <v>59191</v>
      </c>
    </row>
    <row r="3519" spans="1:26" x14ac:dyDescent="0.25">
      <c r="A3519" t="s">
        <v>4007</v>
      </c>
      <c r="B3519" t="s">
        <v>27</v>
      </c>
      <c r="C3519" t="s">
        <v>28</v>
      </c>
      <c r="H3519" s="2">
        <v>45107.743645833332</v>
      </c>
      <c r="I3519" t="s">
        <v>556</v>
      </c>
      <c r="Z3519">
        <v>59118</v>
      </c>
    </row>
    <row r="3520" spans="1:26" x14ac:dyDescent="0.25">
      <c r="A3520" t="s">
        <v>663</v>
      </c>
      <c r="C3520" t="s">
        <v>28</v>
      </c>
      <c r="E3520" t="s">
        <v>458</v>
      </c>
      <c r="H3520" s="2">
        <v>45107.618113425924</v>
      </c>
      <c r="I3520" t="s">
        <v>556</v>
      </c>
      <c r="Z3520">
        <v>59104</v>
      </c>
    </row>
    <row r="3521" spans="1:26" x14ac:dyDescent="0.25">
      <c r="A3521" t="s">
        <v>4008</v>
      </c>
      <c r="B3521" t="s">
        <v>27</v>
      </c>
      <c r="C3521" t="s">
        <v>28</v>
      </c>
      <c r="H3521" s="2">
        <v>45107.594328703701</v>
      </c>
      <c r="I3521" t="s">
        <v>556</v>
      </c>
      <c r="Z3521">
        <v>59101</v>
      </c>
    </row>
    <row r="3522" spans="1:26" x14ac:dyDescent="0.25">
      <c r="A3522" t="s">
        <v>4009</v>
      </c>
      <c r="B3522" t="s">
        <v>27</v>
      </c>
      <c r="C3522" t="s">
        <v>28</v>
      </c>
      <c r="H3522" s="2">
        <v>45107.560231481482</v>
      </c>
      <c r="I3522" t="s">
        <v>556</v>
      </c>
      <c r="Z3522">
        <v>59092</v>
      </c>
    </row>
    <row r="3523" spans="1:26" x14ac:dyDescent="0.25">
      <c r="A3523" t="s">
        <v>336</v>
      </c>
      <c r="B3523" t="s">
        <v>27</v>
      </c>
      <c r="C3523" t="s">
        <v>28</v>
      </c>
      <c r="H3523" s="2">
        <v>45107.466550925928</v>
      </c>
      <c r="I3523" t="s">
        <v>31</v>
      </c>
      <c r="Z3523">
        <v>59077</v>
      </c>
    </row>
    <row r="3524" spans="1:26" x14ac:dyDescent="0.25">
      <c r="A3524" t="s">
        <v>4010</v>
      </c>
      <c r="B3524" t="s">
        <v>27</v>
      </c>
      <c r="C3524" t="s">
        <v>28</v>
      </c>
      <c r="H3524" s="2">
        <v>45107.396273148152</v>
      </c>
      <c r="I3524" t="s">
        <v>556</v>
      </c>
      <c r="Z3524">
        <v>59062</v>
      </c>
    </row>
    <row r="3525" spans="1:26" x14ac:dyDescent="0.25">
      <c r="A3525" t="s">
        <v>1793</v>
      </c>
      <c r="B3525" t="s">
        <v>306</v>
      </c>
      <c r="C3525" t="s">
        <v>28</v>
      </c>
      <c r="E3525" t="s">
        <v>617</v>
      </c>
      <c r="H3525" s="2">
        <v>45106.742210648146</v>
      </c>
      <c r="I3525" t="s">
        <v>31</v>
      </c>
      <c r="K3525" t="s">
        <v>34</v>
      </c>
      <c r="L3525" t="s">
        <v>35</v>
      </c>
      <c r="M3525">
        <v>55887089</v>
      </c>
      <c r="N3525">
        <v>9754619162</v>
      </c>
      <c r="O3525" t="s">
        <v>4011</v>
      </c>
      <c r="Z3525">
        <v>59045</v>
      </c>
    </row>
    <row r="3526" spans="1:26" x14ac:dyDescent="0.25">
      <c r="A3526" t="s">
        <v>4012</v>
      </c>
      <c r="B3526" t="s">
        <v>27</v>
      </c>
      <c r="C3526" t="s">
        <v>28</v>
      </c>
      <c r="H3526" s="2">
        <v>45106.733900462961</v>
      </c>
      <c r="I3526" t="s">
        <v>556</v>
      </c>
      <c r="Z3526">
        <v>59043</v>
      </c>
    </row>
    <row r="3527" spans="1:26" x14ac:dyDescent="0.25">
      <c r="A3527" t="s">
        <v>4013</v>
      </c>
      <c r="B3527" t="s">
        <v>27</v>
      </c>
      <c r="C3527" t="s">
        <v>28</v>
      </c>
      <c r="H3527" s="2">
        <v>45106.569895833331</v>
      </c>
      <c r="I3527" t="s">
        <v>556</v>
      </c>
      <c r="Z3527">
        <v>59016</v>
      </c>
    </row>
    <row r="3528" spans="1:26" x14ac:dyDescent="0.25">
      <c r="A3528" t="s">
        <v>4014</v>
      </c>
      <c r="B3528" t="s">
        <v>27</v>
      </c>
      <c r="C3528" t="s">
        <v>28</v>
      </c>
      <c r="H3528" s="2">
        <v>45106.508356481485</v>
      </c>
      <c r="I3528" t="s">
        <v>31</v>
      </c>
      <c r="Z3528">
        <v>59009</v>
      </c>
    </row>
    <row r="3529" spans="1:26" x14ac:dyDescent="0.25">
      <c r="A3529" t="s">
        <v>4015</v>
      </c>
      <c r="B3529" t="s">
        <v>27</v>
      </c>
      <c r="C3529" t="s">
        <v>28</v>
      </c>
      <c r="H3529" s="2">
        <v>45106.494189814817</v>
      </c>
      <c r="I3529" t="s">
        <v>31</v>
      </c>
      <c r="Z3529">
        <v>59006</v>
      </c>
    </row>
    <row r="3530" spans="1:26" x14ac:dyDescent="0.25">
      <c r="A3530" t="s">
        <v>4016</v>
      </c>
      <c r="B3530" t="s">
        <v>27</v>
      </c>
      <c r="C3530" t="s">
        <v>28</v>
      </c>
      <c r="H3530" s="2">
        <v>45105.680717592593</v>
      </c>
      <c r="I3530" t="s">
        <v>2681</v>
      </c>
      <c r="Z3530">
        <v>58962</v>
      </c>
    </row>
    <row r="3531" spans="1:26" x14ac:dyDescent="0.25">
      <c r="A3531" t="s">
        <v>570</v>
      </c>
      <c r="C3531" t="s">
        <v>28</v>
      </c>
      <c r="E3531" t="s">
        <v>1142</v>
      </c>
      <c r="H3531" s="2">
        <v>45105.664363425924</v>
      </c>
      <c r="I3531" t="s">
        <v>556</v>
      </c>
      <c r="Z3531">
        <v>58957</v>
      </c>
    </row>
    <row r="3532" spans="1:26" x14ac:dyDescent="0.25">
      <c r="A3532" t="s">
        <v>4017</v>
      </c>
      <c r="B3532" t="s">
        <v>27</v>
      </c>
      <c r="C3532" t="s">
        <v>28</v>
      </c>
      <c r="H3532" s="2">
        <v>45105.600694444445</v>
      </c>
      <c r="I3532" t="s">
        <v>2681</v>
      </c>
      <c r="Z3532">
        <v>58947</v>
      </c>
    </row>
    <row r="3533" spans="1:26" x14ac:dyDescent="0.25">
      <c r="A3533" t="s">
        <v>4018</v>
      </c>
      <c r="B3533" t="s">
        <v>27</v>
      </c>
      <c r="C3533" t="s">
        <v>28</v>
      </c>
      <c r="H3533" s="2">
        <v>45105.504305555558</v>
      </c>
      <c r="I3533" t="s">
        <v>1488</v>
      </c>
      <c r="Z3533">
        <v>58932</v>
      </c>
    </row>
    <row r="3534" spans="1:26" x14ac:dyDescent="0.25">
      <c r="A3534" t="s">
        <v>4019</v>
      </c>
      <c r="B3534" t="s">
        <v>27</v>
      </c>
      <c r="C3534" t="s">
        <v>28</v>
      </c>
      <c r="H3534" s="2">
        <v>45105.389780092592</v>
      </c>
      <c r="I3534" t="s">
        <v>2674</v>
      </c>
      <c r="Z3534">
        <v>58911</v>
      </c>
    </row>
    <row r="3535" spans="1:26" x14ac:dyDescent="0.25">
      <c r="A3535" t="s">
        <v>570</v>
      </c>
      <c r="C3535" t="s">
        <v>28</v>
      </c>
      <c r="E3535" t="s">
        <v>143</v>
      </c>
      <c r="H3535" s="2">
        <v>45104.796701388892</v>
      </c>
      <c r="I3535" t="s">
        <v>2681</v>
      </c>
      <c r="Z3535">
        <v>58897</v>
      </c>
    </row>
    <row r="3536" spans="1:26" x14ac:dyDescent="0.25">
      <c r="A3536" t="s">
        <v>4020</v>
      </c>
      <c r="B3536" t="s">
        <v>27</v>
      </c>
      <c r="C3536" t="s">
        <v>75</v>
      </c>
      <c r="H3536" s="2">
        <v>45104.738391203704</v>
      </c>
      <c r="I3536" t="s">
        <v>1488</v>
      </c>
      <c r="Z3536">
        <v>58887</v>
      </c>
    </row>
    <row r="3537" spans="1:26" x14ac:dyDescent="0.25">
      <c r="A3537" t="s">
        <v>4021</v>
      </c>
      <c r="B3537" t="s">
        <v>27</v>
      </c>
      <c r="C3537" t="s">
        <v>28</v>
      </c>
      <c r="H3537" s="2">
        <v>45104.614918981482</v>
      </c>
      <c r="I3537" t="s">
        <v>2681</v>
      </c>
      <c r="Z3537">
        <v>58879</v>
      </c>
    </row>
    <row r="3538" spans="1:26" x14ac:dyDescent="0.25">
      <c r="A3538" t="s">
        <v>4022</v>
      </c>
      <c r="B3538" t="s">
        <v>27</v>
      </c>
      <c r="C3538" t="s">
        <v>28</v>
      </c>
      <c r="H3538" s="2">
        <v>45104.567071759258</v>
      </c>
      <c r="I3538" t="s">
        <v>2674</v>
      </c>
      <c r="Z3538">
        <v>58874</v>
      </c>
    </row>
    <row r="3539" spans="1:26" x14ac:dyDescent="0.25">
      <c r="A3539" t="s">
        <v>4023</v>
      </c>
      <c r="B3539" t="s">
        <v>27</v>
      </c>
      <c r="C3539" t="s">
        <v>28</v>
      </c>
      <c r="H3539" s="2">
        <v>45104.479074074072</v>
      </c>
      <c r="I3539" t="s">
        <v>1488</v>
      </c>
      <c r="Z3539">
        <v>58863</v>
      </c>
    </row>
    <row r="3540" spans="1:26" x14ac:dyDescent="0.25">
      <c r="A3540" t="s">
        <v>3475</v>
      </c>
      <c r="B3540" t="s">
        <v>1708</v>
      </c>
      <c r="C3540" t="s">
        <v>28</v>
      </c>
      <c r="E3540" t="s">
        <v>763</v>
      </c>
      <c r="H3540" s="2">
        <v>45103.839907407404</v>
      </c>
      <c r="I3540" t="s">
        <v>2681</v>
      </c>
      <c r="K3540" t="s">
        <v>34</v>
      </c>
      <c r="L3540" t="s">
        <v>35</v>
      </c>
      <c r="M3540">
        <v>55887089</v>
      </c>
      <c r="N3540">
        <v>9754619162</v>
      </c>
      <c r="O3540" t="s">
        <v>4011</v>
      </c>
      <c r="Z3540">
        <v>58843</v>
      </c>
    </row>
    <row r="3541" spans="1:26" x14ac:dyDescent="0.25">
      <c r="A3541" t="s">
        <v>4024</v>
      </c>
      <c r="B3541" t="s">
        <v>27</v>
      </c>
      <c r="C3541" t="s">
        <v>28</v>
      </c>
      <c r="H3541" s="2">
        <v>45103.815636574072</v>
      </c>
      <c r="I3541" t="s">
        <v>2674</v>
      </c>
      <c r="Z3541">
        <v>58842</v>
      </c>
    </row>
    <row r="3542" spans="1:26" x14ac:dyDescent="0.25">
      <c r="A3542" t="s">
        <v>4025</v>
      </c>
      <c r="B3542" t="s">
        <v>27</v>
      </c>
      <c r="C3542" t="s">
        <v>28</v>
      </c>
      <c r="H3542" s="2">
        <v>45103.802824074075</v>
      </c>
      <c r="I3542" t="s">
        <v>2681</v>
      </c>
      <c r="Z3542">
        <v>58841</v>
      </c>
    </row>
    <row r="3543" spans="1:26" x14ac:dyDescent="0.25">
      <c r="A3543" t="s">
        <v>4026</v>
      </c>
      <c r="B3543" t="s">
        <v>27</v>
      </c>
      <c r="C3543" t="s">
        <v>28</v>
      </c>
      <c r="H3543" s="2">
        <v>45103.63244212963</v>
      </c>
      <c r="I3543" t="s">
        <v>1488</v>
      </c>
      <c r="Z3543">
        <v>58819</v>
      </c>
    </row>
    <row r="3544" spans="1:26" x14ac:dyDescent="0.25">
      <c r="A3544" t="s">
        <v>606</v>
      </c>
      <c r="B3544" t="s">
        <v>306</v>
      </c>
      <c r="C3544" t="s">
        <v>28</v>
      </c>
      <c r="E3544" t="s">
        <v>1215</v>
      </c>
      <c r="H3544" s="2">
        <v>45103.544814814813</v>
      </c>
      <c r="I3544" t="s">
        <v>2674</v>
      </c>
      <c r="K3544" t="s">
        <v>34</v>
      </c>
      <c r="L3544" t="s">
        <v>35</v>
      </c>
      <c r="M3544">
        <v>67131912</v>
      </c>
      <c r="N3544">
        <v>11953101681</v>
      </c>
      <c r="O3544" t="s">
        <v>3923</v>
      </c>
      <c r="Z3544">
        <v>58796</v>
      </c>
    </row>
    <row r="3545" spans="1:26" x14ac:dyDescent="0.25">
      <c r="A3545" t="s">
        <v>4027</v>
      </c>
      <c r="B3545" t="s">
        <v>27</v>
      </c>
      <c r="C3545" t="s">
        <v>28</v>
      </c>
      <c r="H3545" s="2">
        <v>45103.424664351849</v>
      </c>
      <c r="I3545" t="s">
        <v>1488</v>
      </c>
      <c r="Z3545">
        <v>58777</v>
      </c>
    </row>
    <row r="3546" spans="1:26" x14ac:dyDescent="0.25">
      <c r="A3546" t="s">
        <v>3273</v>
      </c>
      <c r="B3546" t="s">
        <v>306</v>
      </c>
      <c r="C3546" t="s">
        <v>28</v>
      </c>
      <c r="E3546" t="s">
        <v>370</v>
      </c>
      <c r="H3546" s="2">
        <v>45102.718773148146</v>
      </c>
      <c r="I3546" t="s">
        <v>31</v>
      </c>
      <c r="K3546" t="s">
        <v>34</v>
      </c>
      <c r="L3546" t="s">
        <v>35</v>
      </c>
      <c r="M3546">
        <v>67131912</v>
      </c>
      <c r="N3546">
        <v>11953101652</v>
      </c>
      <c r="O3546" t="s">
        <v>4028</v>
      </c>
      <c r="Z3546">
        <v>58750</v>
      </c>
    </row>
    <row r="3547" spans="1:26" x14ac:dyDescent="0.25">
      <c r="A3547" t="s">
        <v>4029</v>
      </c>
      <c r="B3547" t="s">
        <v>27</v>
      </c>
      <c r="C3547" t="s">
        <v>28</v>
      </c>
      <c r="H3547" s="2">
        <v>45102.438969907409</v>
      </c>
      <c r="I3547" t="s">
        <v>31</v>
      </c>
      <c r="Z3547">
        <v>58722</v>
      </c>
    </row>
    <row r="3548" spans="1:26" x14ac:dyDescent="0.25">
      <c r="A3548" t="s">
        <v>4030</v>
      </c>
      <c r="B3548" t="s">
        <v>1708</v>
      </c>
      <c r="C3548" t="s">
        <v>28</v>
      </c>
      <c r="E3548" t="s">
        <v>4031</v>
      </c>
      <c r="H3548" s="2">
        <v>45101.805567129632</v>
      </c>
      <c r="I3548" t="s">
        <v>31</v>
      </c>
      <c r="Z3548">
        <v>58717</v>
      </c>
    </row>
    <row r="3549" spans="1:26" x14ac:dyDescent="0.25">
      <c r="A3549" t="s">
        <v>3325</v>
      </c>
      <c r="B3549" t="s">
        <v>27</v>
      </c>
      <c r="C3549" t="s">
        <v>28</v>
      </c>
      <c r="H3549" s="2">
        <v>45101.696388888886</v>
      </c>
      <c r="I3549" t="s">
        <v>556</v>
      </c>
      <c r="Z3549">
        <v>58707</v>
      </c>
    </row>
    <row r="3550" spans="1:26" x14ac:dyDescent="0.25">
      <c r="A3550" t="s">
        <v>4032</v>
      </c>
      <c r="B3550" t="s">
        <v>27</v>
      </c>
      <c r="C3550" t="s">
        <v>28</v>
      </c>
      <c r="H3550" s="2">
        <v>45101.46597222222</v>
      </c>
      <c r="I3550" t="s">
        <v>556</v>
      </c>
      <c r="Z3550">
        <v>58676</v>
      </c>
    </row>
    <row r="3551" spans="1:26" x14ac:dyDescent="0.25">
      <c r="A3551" t="s">
        <v>4033</v>
      </c>
      <c r="B3551" t="s">
        <v>27</v>
      </c>
      <c r="C3551" t="s">
        <v>28</v>
      </c>
      <c r="H3551" s="2">
        <v>45101.464398148149</v>
      </c>
      <c r="I3551" t="s">
        <v>31</v>
      </c>
      <c r="Z3551">
        <v>58675</v>
      </c>
    </row>
    <row r="3552" spans="1:26" x14ac:dyDescent="0.25">
      <c r="A3552" t="s">
        <v>4034</v>
      </c>
      <c r="B3552" t="s">
        <v>27</v>
      </c>
      <c r="C3552" t="s">
        <v>28</v>
      </c>
      <c r="H3552" s="2">
        <v>45100.476689814815</v>
      </c>
      <c r="I3552" t="s">
        <v>31</v>
      </c>
      <c r="Z3552">
        <v>58615</v>
      </c>
    </row>
    <row r="3553" spans="1:26" x14ac:dyDescent="0.25">
      <c r="A3553" t="s">
        <v>4035</v>
      </c>
      <c r="B3553" t="s">
        <v>27</v>
      </c>
      <c r="C3553" t="s">
        <v>75</v>
      </c>
      <c r="H3553" s="2">
        <v>45098.710312499999</v>
      </c>
      <c r="I3553" t="s">
        <v>1488</v>
      </c>
      <c r="Z3553">
        <v>58511</v>
      </c>
    </row>
    <row r="3554" spans="1:26" x14ac:dyDescent="0.25">
      <c r="A3554" t="s">
        <v>1992</v>
      </c>
      <c r="B3554" t="s">
        <v>1403</v>
      </c>
      <c r="C3554" t="s">
        <v>28</v>
      </c>
      <c r="E3554" t="s">
        <v>370</v>
      </c>
      <c r="H3554" s="2">
        <v>45098.634722222225</v>
      </c>
      <c r="I3554" t="s">
        <v>2681</v>
      </c>
      <c r="Z3554">
        <v>58502</v>
      </c>
    </row>
    <row r="3555" spans="1:26" x14ac:dyDescent="0.25">
      <c r="A3555" t="s">
        <v>4036</v>
      </c>
      <c r="B3555" t="s">
        <v>27</v>
      </c>
      <c r="C3555" t="s">
        <v>28</v>
      </c>
      <c r="H3555" s="2">
        <v>45098.628472222219</v>
      </c>
      <c r="I3555" t="s">
        <v>2674</v>
      </c>
      <c r="Z3555">
        <v>58500</v>
      </c>
    </row>
    <row r="3556" spans="1:26" x14ac:dyDescent="0.25">
      <c r="A3556" t="s">
        <v>4037</v>
      </c>
      <c r="B3556" t="s">
        <v>27</v>
      </c>
      <c r="C3556" t="s">
        <v>28</v>
      </c>
      <c r="H3556" s="2">
        <v>45097.726898148147</v>
      </c>
      <c r="I3556" t="s">
        <v>2674</v>
      </c>
      <c r="Z3556">
        <v>58444</v>
      </c>
    </row>
    <row r="3557" spans="1:26" x14ac:dyDescent="0.25">
      <c r="A3557" t="s">
        <v>570</v>
      </c>
      <c r="C3557" t="s">
        <v>28</v>
      </c>
      <c r="E3557" t="s">
        <v>4038</v>
      </c>
      <c r="H3557" s="2">
        <v>45097.475775462961</v>
      </c>
      <c r="I3557" t="s">
        <v>1488</v>
      </c>
      <c r="Z3557">
        <v>58417</v>
      </c>
    </row>
    <row r="3558" spans="1:26" x14ac:dyDescent="0.25">
      <c r="A3558" t="s">
        <v>4039</v>
      </c>
      <c r="B3558" t="s">
        <v>27</v>
      </c>
      <c r="C3558" t="s">
        <v>28</v>
      </c>
      <c r="H3558" s="2">
        <v>45097.475428240738</v>
      </c>
      <c r="I3558" t="s">
        <v>2674</v>
      </c>
      <c r="Z3558">
        <v>58416</v>
      </c>
    </row>
    <row r="3559" spans="1:26" x14ac:dyDescent="0.25">
      <c r="A3559" t="s">
        <v>4040</v>
      </c>
      <c r="B3559" t="s">
        <v>27</v>
      </c>
      <c r="C3559" t="s">
        <v>28</v>
      </c>
      <c r="H3559" s="2">
        <v>45096.797777777778</v>
      </c>
      <c r="I3559" t="s">
        <v>556</v>
      </c>
      <c r="Z3559">
        <v>58397</v>
      </c>
    </row>
    <row r="3560" spans="1:26" x14ac:dyDescent="0.25">
      <c r="A3560" t="s">
        <v>4041</v>
      </c>
      <c r="B3560" t="s">
        <v>1993</v>
      </c>
      <c r="C3560" t="s">
        <v>28</v>
      </c>
      <c r="E3560" t="s">
        <v>304</v>
      </c>
      <c r="H3560" s="2">
        <v>45096.27039351852</v>
      </c>
      <c r="I3560" t="s">
        <v>31</v>
      </c>
      <c r="Z3560">
        <v>58328</v>
      </c>
    </row>
    <row r="3561" spans="1:26" x14ac:dyDescent="0.25">
      <c r="A3561" t="s">
        <v>4042</v>
      </c>
      <c r="B3561" t="s">
        <v>27</v>
      </c>
      <c r="C3561" t="s">
        <v>28</v>
      </c>
      <c r="H3561" s="2">
        <v>45095.543576388889</v>
      </c>
      <c r="I3561" t="s">
        <v>556</v>
      </c>
      <c r="Z3561">
        <v>58290</v>
      </c>
    </row>
    <row r="3562" spans="1:26" x14ac:dyDescent="0.25">
      <c r="A3562" t="s">
        <v>4043</v>
      </c>
      <c r="B3562" t="s">
        <v>1708</v>
      </c>
      <c r="C3562" t="s">
        <v>28</v>
      </c>
      <c r="E3562" t="s">
        <v>4044</v>
      </c>
      <c r="G3562" t="s">
        <v>101</v>
      </c>
      <c r="H3562" s="2">
        <v>45093.929930555554</v>
      </c>
      <c r="I3562" t="s">
        <v>556</v>
      </c>
      <c r="Z3562">
        <v>58192</v>
      </c>
    </row>
    <row r="3563" spans="1:26" x14ac:dyDescent="0.25">
      <c r="A3563" t="s">
        <v>4045</v>
      </c>
      <c r="B3563" t="s">
        <v>1708</v>
      </c>
      <c r="C3563" t="s">
        <v>28</v>
      </c>
      <c r="E3563" t="s">
        <v>72</v>
      </c>
      <c r="H3563" s="2">
        <v>45093.896724537037</v>
      </c>
      <c r="I3563" t="s">
        <v>3054</v>
      </c>
      <c r="Z3563">
        <v>58187</v>
      </c>
    </row>
    <row r="3564" spans="1:26" x14ac:dyDescent="0.25">
      <c r="A3564" t="s">
        <v>4046</v>
      </c>
      <c r="B3564" t="s">
        <v>27</v>
      </c>
      <c r="C3564" t="s">
        <v>28</v>
      </c>
      <c r="H3564" s="2">
        <v>45093.85864583333</v>
      </c>
      <c r="I3564" t="s">
        <v>2674</v>
      </c>
      <c r="Z3564">
        <v>58182</v>
      </c>
    </row>
    <row r="3565" spans="1:26" x14ac:dyDescent="0.25">
      <c r="A3565" t="s">
        <v>4047</v>
      </c>
      <c r="B3565" t="s">
        <v>2162</v>
      </c>
      <c r="C3565" t="s">
        <v>28</v>
      </c>
      <c r="E3565" t="s">
        <v>4048</v>
      </c>
      <c r="H3565" s="2">
        <v>45093.680324074077</v>
      </c>
      <c r="I3565" t="s">
        <v>2681</v>
      </c>
      <c r="K3565" t="s">
        <v>34</v>
      </c>
      <c r="L3565" t="s">
        <v>35</v>
      </c>
      <c r="M3565">
        <v>55887089</v>
      </c>
      <c r="N3565">
        <v>9754619162</v>
      </c>
      <c r="O3565" t="s">
        <v>3512</v>
      </c>
      <c r="Z3565">
        <v>58168</v>
      </c>
    </row>
    <row r="3566" spans="1:26" x14ac:dyDescent="0.25">
      <c r="A3566" t="s">
        <v>2787</v>
      </c>
      <c r="B3566" t="s">
        <v>1708</v>
      </c>
      <c r="C3566" t="s">
        <v>28</v>
      </c>
      <c r="E3566" t="s">
        <v>72</v>
      </c>
      <c r="H3566" s="2">
        <v>45093.587233796294</v>
      </c>
      <c r="I3566" t="s">
        <v>1488</v>
      </c>
      <c r="Z3566">
        <v>58155</v>
      </c>
    </row>
    <row r="3567" spans="1:26" x14ac:dyDescent="0.25">
      <c r="A3567" t="s">
        <v>4049</v>
      </c>
      <c r="B3567" t="s">
        <v>27</v>
      </c>
      <c r="C3567" t="s">
        <v>28</v>
      </c>
      <c r="H3567" s="2">
        <v>45093.567754629628</v>
      </c>
      <c r="I3567" t="s">
        <v>2674</v>
      </c>
      <c r="Z3567">
        <v>58153</v>
      </c>
    </row>
    <row r="3568" spans="1:26" x14ac:dyDescent="0.25">
      <c r="A3568" t="s">
        <v>1793</v>
      </c>
      <c r="B3568" t="s">
        <v>27</v>
      </c>
      <c r="C3568" t="s">
        <v>28</v>
      </c>
      <c r="H3568" s="2">
        <v>45093.501030092593</v>
      </c>
      <c r="I3568" t="s">
        <v>1488</v>
      </c>
      <c r="Z3568">
        <v>58138</v>
      </c>
    </row>
    <row r="3569" spans="1:26" x14ac:dyDescent="0.25">
      <c r="A3569" t="s">
        <v>4050</v>
      </c>
      <c r="B3569" t="s">
        <v>27</v>
      </c>
      <c r="C3569" t="s">
        <v>28</v>
      </c>
      <c r="H3569" s="2">
        <v>45093.441006944442</v>
      </c>
      <c r="I3569" t="s">
        <v>1488</v>
      </c>
      <c r="Z3569">
        <v>58124</v>
      </c>
    </row>
    <row r="3570" spans="1:26" x14ac:dyDescent="0.25">
      <c r="A3570" t="s">
        <v>4051</v>
      </c>
      <c r="B3570" t="s">
        <v>1708</v>
      </c>
      <c r="C3570" t="s">
        <v>28</v>
      </c>
      <c r="E3570" t="s">
        <v>4052</v>
      </c>
      <c r="H3570" s="2">
        <v>45092.880393518521</v>
      </c>
      <c r="I3570" t="s">
        <v>2681</v>
      </c>
      <c r="Z3570">
        <v>58105</v>
      </c>
    </row>
    <row r="3571" spans="1:26" x14ac:dyDescent="0.25">
      <c r="A3571" t="s">
        <v>4053</v>
      </c>
      <c r="B3571" t="s">
        <v>27</v>
      </c>
      <c r="C3571" t="s">
        <v>28</v>
      </c>
      <c r="H3571" s="2">
        <v>45092.728935185187</v>
      </c>
      <c r="I3571" t="s">
        <v>1488</v>
      </c>
      <c r="Z3571">
        <v>58085</v>
      </c>
    </row>
    <row r="3572" spans="1:26" x14ac:dyDescent="0.25">
      <c r="A3572" t="s">
        <v>4054</v>
      </c>
      <c r="B3572" t="s">
        <v>27</v>
      </c>
      <c r="C3572" t="s">
        <v>28</v>
      </c>
      <c r="H3572" s="2">
        <v>45092.572094907409</v>
      </c>
      <c r="I3572" t="s">
        <v>2674</v>
      </c>
      <c r="Z3572">
        <v>58064</v>
      </c>
    </row>
    <row r="3573" spans="1:26" x14ac:dyDescent="0.25">
      <c r="A3573" t="s">
        <v>4055</v>
      </c>
      <c r="B3573" t="s">
        <v>27</v>
      </c>
      <c r="C3573" t="s">
        <v>28</v>
      </c>
      <c r="H3573" s="2">
        <v>45092.527361111112</v>
      </c>
      <c r="I3573" t="s">
        <v>2674</v>
      </c>
      <c r="Z3573">
        <v>58056</v>
      </c>
    </row>
    <row r="3574" spans="1:26" x14ac:dyDescent="0.25">
      <c r="A3574" t="s">
        <v>4056</v>
      </c>
      <c r="B3574" t="s">
        <v>1708</v>
      </c>
      <c r="C3574" t="s">
        <v>28</v>
      </c>
      <c r="E3574" t="s">
        <v>4057</v>
      </c>
      <c r="G3574" t="s">
        <v>4058</v>
      </c>
      <c r="H3574" s="2">
        <v>45091.727141203701</v>
      </c>
      <c r="I3574" t="s">
        <v>2681</v>
      </c>
      <c r="Z3574">
        <v>58017</v>
      </c>
    </row>
    <row r="3575" spans="1:26" x14ac:dyDescent="0.25">
      <c r="A3575" t="s">
        <v>4059</v>
      </c>
      <c r="B3575" t="s">
        <v>1403</v>
      </c>
      <c r="C3575" t="s">
        <v>185</v>
      </c>
      <c r="E3575" t="s">
        <v>4057</v>
      </c>
      <c r="G3575" t="s">
        <v>4060</v>
      </c>
      <c r="H3575" s="2">
        <v>45091.724351851852</v>
      </c>
      <c r="I3575" t="s">
        <v>2681</v>
      </c>
      <c r="Z3575">
        <v>58016</v>
      </c>
    </row>
    <row r="3576" spans="1:26" x14ac:dyDescent="0.25">
      <c r="A3576" t="s">
        <v>4061</v>
      </c>
      <c r="B3576" t="s">
        <v>27</v>
      </c>
      <c r="C3576" t="s">
        <v>28</v>
      </c>
      <c r="H3576" s="2">
        <v>45091.672754629632</v>
      </c>
      <c r="I3576" t="s">
        <v>2674</v>
      </c>
      <c r="Z3576">
        <v>58009</v>
      </c>
    </row>
    <row r="3577" spans="1:26" x14ac:dyDescent="0.25">
      <c r="A3577" t="s">
        <v>4062</v>
      </c>
      <c r="B3577" t="s">
        <v>27</v>
      </c>
      <c r="C3577" t="s">
        <v>28</v>
      </c>
      <c r="H3577" s="2">
        <v>45091.5703125</v>
      </c>
      <c r="I3577" t="s">
        <v>1488</v>
      </c>
      <c r="Z3577">
        <v>58000</v>
      </c>
    </row>
    <row r="3578" spans="1:26" x14ac:dyDescent="0.25">
      <c r="A3578" t="s">
        <v>4063</v>
      </c>
      <c r="B3578" t="s">
        <v>27</v>
      </c>
      <c r="C3578" t="s">
        <v>28</v>
      </c>
      <c r="H3578" s="2">
        <v>45090.758993055555</v>
      </c>
      <c r="I3578" t="s">
        <v>556</v>
      </c>
      <c r="Z3578">
        <v>57966</v>
      </c>
    </row>
    <row r="3579" spans="1:26" x14ac:dyDescent="0.25">
      <c r="A3579" t="s">
        <v>4064</v>
      </c>
      <c r="B3579" t="s">
        <v>27</v>
      </c>
      <c r="C3579" t="s">
        <v>28</v>
      </c>
      <c r="H3579" s="2">
        <v>45090.683900462966</v>
      </c>
      <c r="I3579" t="s">
        <v>31</v>
      </c>
      <c r="Z3579">
        <v>57954</v>
      </c>
    </row>
    <row r="3580" spans="1:26" x14ac:dyDescent="0.25">
      <c r="A3580" t="s">
        <v>4065</v>
      </c>
      <c r="B3580" t="s">
        <v>1708</v>
      </c>
      <c r="C3580" t="s">
        <v>28</v>
      </c>
      <c r="E3580" t="s">
        <v>4066</v>
      </c>
      <c r="H3580" s="2">
        <v>45090.411793981482</v>
      </c>
      <c r="I3580" t="s">
        <v>556</v>
      </c>
      <c r="K3580" t="s">
        <v>34</v>
      </c>
      <c r="L3580" t="s">
        <v>35</v>
      </c>
      <c r="M3580">
        <v>55887089</v>
      </c>
      <c r="N3580">
        <v>12886121812</v>
      </c>
      <c r="O3580" t="s">
        <v>4067</v>
      </c>
      <c r="Z3580">
        <v>57898</v>
      </c>
    </row>
    <row r="3581" spans="1:26" x14ac:dyDescent="0.25">
      <c r="A3581" t="s">
        <v>4068</v>
      </c>
      <c r="B3581" t="s">
        <v>1403</v>
      </c>
      <c r="C3581" t="s">
        <v>28</v>
      </c>
      <c r="E3581" t="s">
        <v>4069</v>
      </c>
      <c r="G3581" t="s">
        <v>61</v>
      </c>
      <c r="H3581" s="2">
        <v>45089.435300925928</v>
      </c>
      <c r="I3581" t="s">
        <v>556</v>
      </c>
      <c r="Z3581">
        <v>57851</v>
      </c>
    </row>
    <row r="3582" spans="1:26" x14ac:dyDescent="0.25">
      <c r="A3582" t="s">
        <v>4070</v>
      </c>
      <c r="B3582" t="s">
        <v>1708</v>
      </c>
      <c r="C3582" t="s">
        <v>28</v>
      </c>
      <c r="E3582" t="s">
        <v>59</v>
      </c>
      <c r="H3582" s="2">
        <v>45088.753680555557</v>
      </c>
      <c r="I3582" t="s">
        <v>31</v>
      </c>
      <c r="K3582" t="s">
        <v>34</v>
      </c>
      <c r="L3582" t="s">
        <v>35</v>
      </c>
      <c r="M3582">
        <v>55887089</v>
      </c>
      <c r="N3582">
        <v>9754619162</v>
      </c>
      <c r="O3582" t="s">
        <v>3512</v>
      </c>
      <c r="Z3582">
        <v>57839</v>
      </c>
    </row>
    <row r="3583" spans="1:26" x14ac:dyDescent="0.25">
      <c r="A3583" t="s">
        <v>4071</v>
      </c>
      <c r="B3583" t="s">
        <v>27</v>
      </c>
      <c r="C3583" t="s">
        <v>28</v>
      </c>
      <c r="H3583" s="2">
        <v>45088.690763888888</v>
      </c>
      <c r="I3583" t="s">
        <v>556</v>
      </c>
      <c r="Z3583">
        <v>57833</v>
      </c>
    </row>
    <row r="3584" spans="1:26" x14ac:dyDescent="0.25">
      <c r="A3584" t="s">
        <v>4072</v>
      </c>
      <c r="B3584" t="s">
        <v>27</v>
      </c>
      <c r="C3584" t="s">
        <v>28</v>
      </c>
      <c r="H3584" s="2">
        <v>45088.662569444445</v>
      </c>
      <c r="I3584" t="s">
        <v>556</v>
      </c>
      <c r="Z3584">
        <v>57829</v>
      </c>
    </row>
    <row r="3585" spans="1:26" x14ac:dyDescent="0.25">
      <c r="A3585" t="s">
        <v>4073</v>
      </c>
      <c r="B3585" t="s">
        <v>27</v>
      </c>
      <c r="C3585" t="s">
        <v>28</v>
      </c>
      <c r="H3585" s="2">
        <v>45088.587291666663</v>
      </c>
      <c r="I3585" t="s">
        <v>556</v>
      </c>
      <c r="Z3585">
        <v>57820</v>
      </c>
    </row>
    <row r="3586" spans="1:26" x14ac:dyDescent="0.25">
      <c r="A3586" t="s">
        <v>4074</v>
      </c>
      <c r="B3586" t="s">
        <v>27</v>
      </c>
      <c r="C3586" t="s">
        <v>28</v>
      </c>
      <c r="H3586" s="2">
        <v>45088.499490740738</v>
      </c>
      <c r="I3586" t="s">
        <v>31</v>
      </c>
      <c r="Z3586">
        <v>57813</v>
      </c>
    </row>
    <row r="3587" spans="1:26" x14ac:dyDescent="0.25">
      <c r="A3587" t="s">
        <v>3867</v>
      </c>
      <c r="B3587" t="s">
        <v>27</v>
      </c>
      <c r="C3587" t="s">
        <v>185</v>
      </c>
      <c r="H3587" s="2">
        <v>45088.47452546296</v>
      </c>
      <c r="I3587" t="s">
        <v>31</v>
      </c>
      <c r="Z3587">
        <v>57806</v>
      </c>
    </row>
    <row r="3588" spans="1:26" x14ac:dyDescent="0.25">
      <c r="A3588" t="s">
        <v>4075</v>
      </c>
      <c r="B3588" t="s">
        <v>27</v>
      </c>
      <c r="C3588" t="s">
        <v>28</v>
      </c>
      <c r="H3588" s="2">
        <v>45088.443009259259</v>
      </c>
      <c r="I3588" t="s">
        <v>31</v>
      </c>
      <c r="Z3588">
        <v>57804</v>
      </c>
    </row>
    <row r="3589" spans="1:26" x14ac:dyDescent="0.25">
      <c r="A3589" t="s">
        <v>4076</v>
      </c>
      <c r="B3589" t="s">
        <v>27</v>
      </c>
      <c r="C3589" t="s">
        <v>28</v>
      </c>
      <c r="H3589" s="2">
        <v>45087.59134259259</v>
      </c>
      <c r="I3589" t="s">
        <v>2674</v>
      </c>
      <c r="Z3589">
        <v>57779</v>
      </c>
    </row>
    <row r="3590" spans="1:26" x14ac:dyDescent="0.25">
      <c r="A3590" t="s">
        <v>4077</v>
      </c>
      <c r="B3590" t="s">
        <v>27</v>
      </c>
      <c r="C3590" t="s">
        <v>28</v>
      </c>
      <c r="H3590" s="2">
        <v>45087.543020833335</v>
      </c>
      <c r="I3590" t="s">
        <v>2674</v>
      </c>
      <c r="Z3590">
        <v>57768</v>
      </c>
    </row>
    <row r="3591" spans="1:26" x14ac:dyDescent="0.25">
      <c r="A3591" t="s">
        <v>4078</v>
      </c>
      <c r="B3591" t="s">
        <v>27</v>
      </c>
      <c r="C3591" t="s">
        <v>28</v>
      </c>
      <c r="H3591" s="2">
        <v>45086.658171296294</v>
      </c>
      <c r="I3591" t="s">
        <v>2681</v>
      </c>
      <c r="Z3591">
        <v>57732</v>
      </c>
    </row>
    <row r="3592" spans="1:26" x14ac:dyDescent="0.25">
      <c r="A3592" t="s">
        <v>4079</v>
      </c>
      <c r="B3592" t="s">
        <v>27</v>
      </c>
      <c r="C3592" t="s">
        <v>28</v>
      </c>
      <c r="H3592" s="2">
        <v>45086.379305555558</v>
      </c>
      <c r="I3592" t="s">
        <v>31</v>
      </c>
      <c r="Z3592">
        <v>57682</v>
      </c>
    </row>
    <row r="3593" spans="1:26" x14ac:dyDescent="0.25">
      <c r="A3593" t="s">
        <v>4080</v>
      </c>
      <c r="B3593" t="s">
        <v>27</v>
      </c>
      <c r="C3593" t="s">
        <v>28</v>
      </c>
      <c r="H3593" s="2">
        <v>45085.649143518516</v>
      </c>
      <c r="I3593" t="s">
        <v>2681</v>
      </c>
      <c r="Z3593">
        <v>57654</v>
      </c>
    </row>
    <row r="3594" spans="1:26" x14ac:dyDescent="0.25">
      <c r="A3594" t="s">
        <v>3942</v>
      </c>
      <c r="B3594" t="s">
        <v>27</v>
      </c>
      <c r="C3594" t="s">
        <v>28</v>
      </c>
      <c r="H3594" s="2">
        <v>45085.475752314815</v>
      </c>
      <c r="I3594" t="s">
        <v>556</v>
      </c>
      <c r="Z3594">
        <v>57624</v>
      </c>
    </row>
    <row r="3595" spans="1:26" x14ac:dyDescent="0.25">
      <c r="A3595" t="s">
        <v>4081</v>
      </c>
      <c r="B3595" t="s">
        <v>1403</v>
      </c>
      <c r="C3595" t="s">
        <v>28</v>
      </c>
      <c r="E3595" t="s">
        <v>4082</v>
      </c>
      <c r="G3595" t="s">
        <v>4082</v>
      </c>
      <c r="H3595" s="2">
        <v>45085.465462962966</v>
      </c>
      <c r="I3595" t="s">
        <v>31</v>
      </c>
      <c r="Z3595">
        <v>57621</v>
      </c>
    </row>
    <row r="3596" spans="1:26" x14ac:dyDescent="0.25">
      <c r="A3596" t="s">
        <v>4083</v>
      </c>
      <c r="B3596" t="s">
        <v>27</v>
      </c>
      <c r="C3596" t="s">
        <v>28</v>
      </c>
      <c r="H3596" s="2">
        <v>45085.420011574075</v>
      </c>
      <c r="I3596" t="s">
        <v>1488</v>
      </c>
      <c r="Z3596">
        <v>57610</v>
      </c>
    </row>
    <row r="3597" spans="1:26" x14ac:dyDescent="0.25">
      <c r="A3597" t="s">
        <v>4084</v>
      </c>
      <c r="B3597" t="s">
        <v>27</v>
      </c>
      <c r="C3597" t="s">
        <v>28</v>
      </c>
      <c r="H3597" s="2">
        <v>45085.417986111112</v>
      </c>
      <c r="I3597" t="s">
        <v>1488</v>
      </c>
      <c r="Z3597">
        <v>57607</v>
      </c>
    </row>
    <row r="3598" spans="1:26" x14ac:dyDescent="0.25">
      <c r="A3598" t="s">
        <v>4085</v>
      </c>
      <c r="B3598" t="s">
        <v>27</v>
      </c>
      <c r="C3598" t="s">
        <v>28</v>
      </c>
      <c r="H3598" s="2">
        <v>45084.732199074075</v>
      </c>
      <c r="I3598" t="s">
        <v>2681</v>
      </c>
      <c r="Z3598">
        <v>57577</v>
      </c>
    </row>
    <row r="3599" spans="1:26" x14ac:dyDescent="0.25">
      <c r="A3599" t="s">
        <v>3809</v>
      </c>
      <c r="B3599" t="s">
        <v>27</v>
      </c>
      <c r="C3599" t="s">
        <v>28</v>
      </c>
      <c r="H3599" s="2">
        <v>45084.654120370367</v>
      </c>
      <c r="I3599" t="s">
        <v>2681</v>
      </c>
      <c r="Z3599">
        <v>57567</v>
      </c>
    </row>
    <row r="3600" spans="1:26" x14ac:dyDescent="0.25">
      <c r="A3600" t="s">
        <v>3294</v>
      </c>
      <c r="B3600" t="s">
        <v>27</v>
      </c>
      <c r="C3600" t="s">
        <v>28</v>
      </c>
      <c r="E3600" t="s">
        <v>3294</v>
      </c>
      <c r="H3600" s="2">
        <v>45084.511458333334</v>
      </c>
      <c r="I3600" t="s">
        <v>2681</v>
      </c>
      <c r="Z3600">
        <v>57548</v>
      </c>
    </row>
    <row r="3601" spans="1:26" x14ac:dyDescent="0.25">
      <c r="A3601" t="s">
        <v>4086</v>
      </c>
      <c r="B3601" t="s">
        <v>27</v>
      </c>
      <c r="C3601" t="s">
        <v>28</v>
      </c>
      <c r="H3601" s="2">
        <v>45084.426805555559</v>
      </c>
      <c r="I3601" t="s">
        <v>2681</v>
      </c>
      <c r="Z3601">
        <v>57525</v>
      </c>
    </row>
    <row r="3602" spans="1:26" x14ac:dyDescent="0.25">
      <c r="A3602" t="s">
        <v>4087</v>
      </c>
      <c r="B3602" t="s">
        <v>1708</v>
      </c>
      <c r="C3602" t="s">
        <v>28</v>
      </c>
      <c r="E3602" t="s">
        <v>1512</v>
      </c>
      <c r="H3602" s="2">
        <v>45084.387696759259</v>
      </c>
      <c r="I3602" t="s">
        <v>2681</v>
      </c>
      <c r="K3602" t="s">
        <v>34</v>
      </c>
      <c r="L3602" t="s">
        <v>35</v>
      </c>
      <c r="M3602">
        <v>55887083</v>
      </c>
      <c r="N3602">
        <v>9754618982</v>
      </c>
      <c r="O3602" t="s">
        <v>4088</v>
      </c>
      <c r="Z3602">
        <v>57518</v>
      </c>
    </row>
    <row r="3603" spans="1:26" x14ac:dyDescent="0.25">
      <c r="A3603" t="s">
        <v>4089</v>
      </c>
      <c r="B3603" t="s">
        <v>1993</v>
      </c>
      <c r="C3603" t="s">
        <v>28</v>
      </c>
      <c r="E3603" t="s">
        <v>146</v>
      </c>
      <c r="H3603" s="2">
        <v>45084.298009259262</v>
      </c>
      <c r="I3603" t="s">
        <v>31</v>
      </c>
      <c r="Z3603">
        <v>57514</v>
      </c>
    </row>
    <row r="3604" spans="1:26" x14ac:dyDescent="0.25">
      <c r="A3604" t="s">
        <v>4090</v>
      </c>
      <c r="B3604" t="s">
        <v>27</v>
      </c>
      <c r="C3604" t="s">
        <v>28</v>
      </c>
      <c r="H3604" s="2">
        <v>45083.794849537036</v>
      </c>
      <c r="I3604" t="s">
        <v>2001</v>
      </c>
      <c r="Z3604">
        <v>57508</v>
      </c>
    </row>
    <row r="3605" spans="1:26" x14ac:dyDescent="0.25">
      <c r="A3605" t="s">
        <v>4091</v>
      </c>
      <c r="B3605" t="s">
        <v>27</v>
      </c>
      <c r="C3605" t="s">
        <v>28</v>
      </c>
      <c r="H3605" s="2">
        <v>45083.785833333335</v>
      </c>
      <c r="I3605" t="s">
        <v>2001</v>
      </c>
      <c r="Z3605">
        <v>57505</v>
      </c>
    </row>
    <row r="3606" spans="1:26" x14ac:dyDescent="0.25">
      <c r="A3606" t="s">
        <v>4092</v>
      </c>
      <c r="B3606" t="s">
        <v>27</v>
      </c>
      <c r="C3606" t="s">
        <v>28</v>
      </c>
      <c r="H3606" s="2">
        <v>45083.688946759263</v>
      </c>
      <c r="I3606" t="s">
        <v>2001</v>
      </c>
      <c r="Z3606">
        <v>57490</v>
      </c>
    </row>
    <row r="3607" spans="1:26" x14ac:dyDescent="0.25">
      <c r="A3607" t="s">
        <v>4093</v>
      </c>
      <c r="B3607" t="s">
        <v>1993</v>
      </c>
      <c r="C3607" t="s">
        <v>28</v>
      </c>
      <c r="E3607" t="s">
        <v>458</v>
      </c>
      <c r="G3607" t="s">
        <v>4094</v>
      </c>
      <c r="H3607" s="2">
        <v>45083.647534722222</v>
      </c>
      <c r="I3607" t="s">
        <v>31</v>
      </c>
      <c r="Z3607">
        <v>57486</v>
      </c>
    </row>
    <row r="3608" spans="1:26" x14ac:dyDescent="0.25">
      <c r="A3608" t="s">
        <v>4095</v>
      </c>
      <c r="B3608" t="s">
        <v>27</v>
      </c>
      <c r="C3608" t="s">
        <v>28</v>
      </c>
      <c r="H3608" s="2">
        <v>45083.581805555557</v>
      </c>
      <c r="I3608" t="s">
        <v>2674</v>
      </c>
      <c r="Z3608">
        <v>57477</v>
      </c>
    </row>
    <row r="3609" spans="1:26" x14ac:dyDescent="0.25">
      <c r="A3609" t="s">
        <v>4096</v>
      </c>
      <c r="B3609" t="s">
        <v>27</v>
      </c>
      <c r="C3609" t="s">
        <v>28</v>
      </c>
      <c r="H3609" s="2">
        <v>45083.505416666667</v>
      </c>
      <c r="I3609" t="s">
        <v>4097</v>
      </c>
      <c r="Z3609">
        <v>57466</v>
      </c>
    </row>
    <row r="3610" spans="1:26" x14ac:dyDescent="0.25">
      <c r="A3610" t="s">
        <v>4098</v>
      </c>
      <c r="B3610" t="s">
        <v>27</v>
      </c>
      <c r="C3610" t="s">
        <v>28</v>
      </c>
      <c r="H3610" s="2">
        <v>45083.443645833337</v>
      </c>
      <c r="I3610" t="s">
        <v>3864</v>
      </c>
      <c r="Z3610">
        <v>57454</v>
      </c>
    </row>
    <row r="3611" spans="1:26" x14ac:dyDescent="0.25">
      <c r="A3611" t="s">
        <v>4099</v>
      </c>
      <c r="B3611" t="s">
        <v>27</v>
      </c>
      <c r="C3611" t="s">
        <v>28</v>
      </c>
      <c r="H3611" s="2">
        <v>45082.897939814815</v>
      </c>
      <c r="I3611" t="s">
        <v>2674</v>
      </c>
      <c r="Z3611">
        <v>57443</v>
      </c>
    </row>
    <row r="3612" spans="1:26" x14ac:dyDescent="0.25">
      <c r="A3612" t="s">
        <v>4100</v>
      </c>
      <c r="B3612" t="s">
        <v>27</v>
      </c>
      <c r="C3612" t="s">
        <v>28</v>
      </c>
      <c r="H3612" s="2">
        <v>45082.717928240738</v>
      </c>
      <c r="I3612" t="s">
        <v>3864</v>
      </c>
      <c r="Z3612">
        <v>57434</v>
      </c>
    </row>
    <row r="3613" spans="1:26" x14ac:dyDescent="0.25">
      <c r="A3613" t="s">
        <v>4101</v>
      </c>
      <c r="B3613" t="s">
        <v>27</v>
      </c>
      <c r="C3613" t="s">
        <v>28</v>
      </c>
      <c r="H3613" s="2">
        <v>45082.665023148147</v>
      </c>
      <c r="I3613" t="s">
        <v>2674</v>
      </c>
      <c r="Z3613">
        <v>57427</v>
      </c>
    </row>
    <row r="3614" spans="1:26" x14ac:dyDescent="0.25">
      <c r="A3614" t="s">
        <v>4102</v>
      </c>
      <c r="B3614" t="s">
        <v>27</v>
      </c>
      <c r="C3614" t="s">
        <v>28</v>
      </c>
      <c r="H3614" s="2">
        <v>45082.649212962962</v>
      </c>
      <c r="I3614" t="s">
        <v>2674</v>
      </c>
      <c r="Z3614">
        <v>57424</v>
      </c>
    </row>
    <row r="3615" spans="1:26" x14ac:dyDescent="0.25">
      <c r="A3615" t="s">
        <v>4103</v>
      </c>
      <c r="B3615" t="s">
        <v>27</v>
      </c>
      <c r="C3615" t="s">
        <v>28</v>
      </c>
      <c r="H3615" s="2">
        <v>45082.587337962963</v>
      </c>
      <c r="I3615" t="s">
        <v>2001</v>
      </c>
      <c r="Z3615">
        <v>57414</v>
      </c>
    </row>
    <row r="3616" spans="1:26" x14ac:dyDescent="0.25">
      <c r="A3616" t="s">
        <v>4104</v>
      </c>
      <c r="B3616" t="s">
        <v>27</v>
      </c>
      <c r="C3616" t="s">
        <v>28</v>
      </c>
      <c r="H3616" s="2">
        <v>45082.583344907405</v>
      </c>
      <c r="I3616" t="s">
        <v>2674</v>
      </c>
      <c r="Z3616">
        <v>57412</v>
      </c>
    </row>
    <row r="3617" spans="1:26" x14ac:dyDescent="0.25">
      <c r="A3617" t="s">
        <v>4105</v>
      </c>
      <c r="B3617" t="s">
        <v>1403</v>
      </c>
      <c r="C3617" t="s">
        <v>28</v>
      </c>
      <c r="E3617" t="s">
        <v>61</v>
      </c>
      <c r="H3617" s="2">
        <v>45082.48265046296</v>
      </c>
      <c r="I3617" t="s">
        <v>2001</v>
      </c>
      <c r="K3617" t="s">
        <v>34</v>
      </c>
      <c r="L3617" t="s">
        <v>35</v>
      </c>
      <c r="M3617">
        <v>55887089</v>
      </c>
      <c r="N3617">
        <v>9754619198</v>
      </c>
      <c r="O3617" t="s">
        <v>3465</v>
      </c>
      <c r="Z3617">
        <v>57393</v>
      </c>
    </row>
    <row r="3618" spans="1:26" x14ac:dyDescent="0.25">
      <c r="A3618" t="s">
        <v>663</v>
      </c>
      <c r="C3618" t="s">
        <v>28</v>
      </c>
      <c r="E3618" t="s">
        <v>156</v>
      </c>
      <c r="H3618" s="2">
        <v>45082.461770833332</v>
      </c>
      <c r="I3618" t="s">
        <v>2674</v>
      </c>
      <c r="Z3618">
        <v>57391</v>
      </c>
    </row>
    <row r="3619" spans="1:26" x14ac:dyDescent="0.25">
      <c r="A3619" t="s">
        <v>4106</v>
      </c>
      <c r="B3619" t="s">
        <v>27</v>
      </c>
      <c r="C3619" t="s">
        <v>185</v>
      </c>
      <c r="H3619" s="2">
        <v>45082.460821759261</v>
      </c>
      <c r="I3619" t="s">
        <v>2674</v>
      </c>
      <c r="Z3619">
        <v>57390</v>
      </c>
    </row>
    <row r="3620" spans="1:26" x14ac:dyDescent="0.25">
      <c r="A3620" t="s">
        <v>4107</v>
      </c>
      <c r="B3620" t="s">
        <v>27</v>
      </c>
      <c r="C3620" t="s">
        <v>28</v>
      </c>
      <c r="H3620" s="2">
        <v>45081.780648148146</v>
      </c>
      <c r="I3620" t="s">
        <v>2681</v>
      </c>
      <c r="Z3620">
        <v>57363</v>
      </c>
    </row>
    <row r="3621" spans="1:26" x14ac:dyDescent="0.25">
      <c r="A3621" t="s">
        <v>4108</v>
      </c>
      <c r="B3621" t="s">
        <v>1993</v>
      </c>
      <c r="C3621" t="s">
        <v>28</v>
      </c>
      <c r="E3621" t="s">
        <v>4109</v>
      </c>
      <c r="G3621" t="s">
        <v>4110</v>
      </c>
      <c r="H3621" s="2">
        <v>45081.466504629629</v>
      </c>
      <c r="I3621" t="s">
        <v>2681</v>
      </c>
      <c r="Z3621">
        <v>57328</v>
      </c>
    </row>
    <row r="3622" spans="1:26" x14ac:dyDescent="0.25">
      <c r="A3622" t="s">
        <v>570</v>
      </c>
      <c r="C3622" t="s">
        <v>4111</v>
      </c>
      <c r="E3622" t="s">
        <v>388</v>
      </c>
      <c r="H3622" s="2">
        <v>45080.679895833331</v>
      </c>
      <c r="I3622" t="s">
        <v>2681</v>
      </c>
      <c r="Z3622">
        <v>57294</v>
      </c>
    </row>
    <row r="3623" spans="1:26" x14ac:dyDescent="0.25">
      <c r="A3623" t="s">
        <v>4112</v>
      </c>
      <c r="B3623" t="s">
        <v>27</v>
      </c>
      <c r="C3623" t="s">
        <v>185</v>
      </c>
      <c r="H3623" s="2">
        <v>45080.67931712963</v>
      </c>
      <c r="I3623" t="s">
        <v>2681</v>
      </c>
      <c r="Z3623">
        <v>57293</v>
      </c>
    </row>
    <row r="3624" spans="1:26" x14ac:dyDescent="0.25">
      <c r="A3624" t="s">
        <v>3536</v>
      </c>
      <c r="B3624" t="s">
        <v>27</v>
      </c>
      <c r="C3624" t="s">
        <v>28</v>
      </c>
      <c r="H3624" s="2">
        <v>45079.587800925925</v>
      </c>
      <c r="I3624" t="s">
        <v>2001</v>
      </c>
      <c r="Z3624">
        <v>57216</v>
      </c>
    </row>
    <row r="3625" spans="1:26" x14ac:dyDescent="0.25">
      <c r="A3625" t="s">
        <v>4113</v>
      </c>
      <c r="B3625" t="s">
        <v>27</v>
      </c>
      <c r="C3625" t="s">
        <v>28</v>
      </c>
      <c r="H3625" s="2">
        <v>45079.518310185187</v>
      </c>
      <c r="I3625" t="s">
        <v>4114</v>
      </c>
      <c r="Z3625">
        <v>57197</v>
      </c>
    </row>
    <row r="3626" spans="1:26" x14ac:dyDescent="0.25">
      <c r="A3626" t="s">
        <v>4115</v>
      </c>
      <c r="B3626" t="s">
        <v>27</v>
      </c>
      <c r="C3626" t="s">
        <v>28</v>
      </c>
      <c r="H3626" s="2">
        <v>45079.503194444442</v>
      </c>
      <c r="I3626" t="s">
        <v>2681</v>
      </c>
      <c r="Z3626">
        <v>57194</v>
      </c>
    </row>
    <row r="3627" spans="1:26" x14ac:dyDescent="0.25">
      <c r="A3627" t="s">
        <v>4116</v>
      </c>
      <c r="B3627" t="s">
        <v>2162</v>
      </c>
      <c r="C3627" t="s">
        <v>185</v>
      </c>
      <c r="E3627" t="s">
        <v>4117</v>
      </c>
      <c r="H3627" s="2">
        <v>45079.501504629632</v>
      </c>
      <c r="I3627" t="s">
        <v>2681</v>
      </c>
      <c r="Z3627">
        <v>57192</v>
      </c>
    </row>
    <row r="3628" spans="1:26" x14ac:dyDescent="0.25">
      <c r="A3628" t="s">
        <v>4118</v>
      </c>
      <c r="B3628" t="s">
        <v>27</v>
      </c>
      <c r="C3628" t="s">
        <v>28</v>
      </c>
      <c r="H3628" s="2">
        <v>45078.791909722226</v>
      </c>
      <c r="I3628" t="s">
        <v>2681</v>
      </c>
      <c r="Z3628">
        <v>57162</v>
      </c>
    </row>
    <row r="3629" spans="1:26" x14ac:dyDescent="0.25">
      <c r="A3629" t="s">
        <v>4119</v>
      </c>
      <c r="B3629" t="s">
        <v>27</v>
      </c>
      <c r="C3629" t="s">
        <v>28</v>
      </c>
      <c r="H3629" s="2">
        <v>45078.72215277778</v>
      </c>
      <c r="I3629" t="s">
        <v>2001</v>
      </c>
      <c r="Z3629">
        <v>57148</v>
      </c>
    </row>
    <row r="3630" spans="1:26" x14ac:dyDescent="0.25">
      <c r="A3630" t="s">
        <v>4120</v>
      </c>
      <c r="B3630" t="s">
        <v>27</v>
      </c>
      <c r="C3630" t="s">
        <v>28</v>
      </c>
      <c r="H3630" s="2">
        <v>45078.43546296296</v>
      </c>
      <c r="I3630" t="s">
        <v>2001</v>
      </c>
      <c r="Z3630">
        <v>57105</v>
      </c>
    </row>
    <row r="3631" spans="1:26" x14ac:dyDescent="0.25">
      <c r="A3631" t="s">
        <v>3854</v>
      </c>
      <c r="B3631" t="s">
        <v>27</v>
      </c>
      <c r="C3631" t="s">
        <v>28</v>
      </c>
      <c r="H3631" s="2">
        <v>45078.403414351851</v>
      </c>
      <c r="I3631" t="s">
        <v>2681</v>
      </c>
      <c r="Z3631">
        <v>57101</v>
      </c>
    </row>
    <row r="3632" spans="1:26" x14ac:dyDescent="0.25">
      <c r="A3632" t="s">
        <v>4121</v>
      </c>
      <c r="B3632" t="s">
        <v>27</v>
      </c>
      <c r="C3632" t="s">
        <v>28</v>
      </c>
      <c r="H3632" s="2">
        <v>45077.642002314817</v>
      </c>
      <c r="I3632" t="s">
        <v>2674</v>
      </c>
      <c r="Z3632">
        <v>57066</v>
      </c>
    </row>
    <row r="3633" spans="1:26" x14ac:dyDescent="0.25">
      <c r="A3633" t="s">
        <v>4122</v>
      </c>
      <c r="B3633" t="s">
        <v>1708</v>
      </c>
      <c r="C3633" t="s">
        <v>28</v>
      </c>
      <c r="E3633" t="s">
        <v>427</v>
      </c>
      <c r="G3633" t="s">
        <v>4123</v>
      </c>
      <c r="H3633" s="2">
        <v>45077.528692129628</v>
      </c>
      <c r="I3633" t="s">
        <v>2001</v>
      </c>
      <c r="Z3633">
        <v>57045</v>
      </c>
    </row>
    <row r="3634" spans="1:26" x14ac:dyDescent="0.25">
      <c r="A3634" t="s">
        <v>4124</v>
      </c>
      <c r="B3634" t="s">
        <v>27</v>
      </c>
      <c r="C3634" t="s">
        <v>28</v>
      </c>
      <c r="H3634" s="2">
        <v>45076.649039351854</v>
      </c>
      <c r="I3634" t="s">
        <v>2674</v>
      </c>
      <c r="Z3634">
        <v>56997</v>
      </c>
    </row>
    <row r="3635" spans="1:26" x14ac:dyDescent="0.25">
      <c r="A3635" t="s">
        <v>4125</v>
      </c>
      <c r="B3635" t="s">
        <v>27</v>
      </c>
      <c r="C3635" t="s">
        <v>28</v>
      </c>
      <c r="H3635" s="2">
        <v>45076.513449074075</v>
      </c>
      <c r="I3635" t="s">
        <v>2674</v>
      </c>
      <c r="Z3635">
        <v>56969</v>
      </c>
    </row>
    <row r="3636" spans="1:26" x14ac:dyDescent="0.25">
      <c r="A3636" t="s">
        <v>4126</v>
      </c>
      <c r="B3636" t="s">
        <v>27</v>
      </c>
      <c r="C3636" t="s">
        <v>28</v>
      </c>
      <c r="H3636" s="2">
        <v>45076.418287037035</v>
      </c>
      <c r="I3636" t="s">
        <v>2001</v>
      </c>
      <c r="Z3636">
        <v>56952</v>
      </c>
    </row>
    <row r="3637" spans="1:26" x14ac:dyDescent="0.25">
      <c r="A3637" t="s">
        <v>4127</v>
      </c>
      <c r="B3637" t="s">
        <v>27</v>
      </c>
      <c r="C3637" t="s">
        <v>28</v>
      </c>
      <c r="H3637" s="2">
        <v>45074.781412037039</v>
      </c>
      <c r="I3637" t="s">
        <v>2674</v>
      </c>
      <c r="Z3637">
        <v>56864</v>
      </c>
    </row>
    <row r="3638" spans="1:26" x14ac:dyDescent="0.25">
      <c r="A3638" t="s">
        <v>4128</v>
      </c>
      <c r="B3638" t="s">
        <v>27</v>
      </c>
      <c r="C3638" t="s">
        <v>28</v>
      </c>
      <c r="H3638" s="2">
        <v>45072.82439814815</v>
      </c>
      <c r="I3638" t="s">
        <v>2681</v>
      </c>
      <c r="Z3638">
        <v>56766</v>
      </c>
    </row>
    <row r="3639" spans="1:26" x14ac:dyDescent="0.25">
      <c r="A3639" t="s">
        <v>4129</v>
      </c>
      <c r="B3639" t="s">
        <v>27</v>
      </c>
      <c r="C3639" t="s">
        <v>28</v>
      </c>
      <c r="H3639" s="2">
        <v>45072.759583333333</v>
      </c>
      <c r="I3639" t="s">
        <v>2001</v>
      </c>
      <c r="Z3639">
        <v>56758</v>
      </c>
    </row>
    <row r="3640" spans="1:26" x14ac:dyDescent="0.25">
      <c r="A3640" t="s">
        <v>4130</v>
      </c>
      <c r="B3640" t="s">
        <v>27</v>
      </c>
      <c r="C3640" t="s">
        <v>28</v>
      </c>
      <c r="H3640" s="2">
        <v>45072.745567129627</v>
      </c>
      <c r="I3640" t="s">
        <v>2681</v>
      </c>
      <c r="Z3640">
        <v>56756</v>
      </c>
    </row>
    <row r="3641" spans="1:26" x14ac:dyDescent="0.25">
      <c r="A3641" t="s">
        <v>606</v>
      </c>
      <c r="B3641" t="s">
        <v>306</v>
      </c>
      <c r="C3641" t="s">
        <v>28</v>
      </c>
      <c r="E3641" t="s">
        <v>3195</v>
      </c>
      <c r="H3641" s="2">
        <v>45072.706006944441</v>
      </c>
      <c r="I3641" t="s">
        <v>2681</v>
      </c>
      <c r="Z3641">
        <v>56751</v>
      </c>
    </row>
    <row r="3642" spans="1:26" x14ac:dyDescent="0.25">
      <c r="A3642" t="s">
        <v>4131</v>
      </c>
      <c r="B3642" t="s">
        <v>27</v>
      </c>
      <c r="C3642" t="s">
        <v>28</v>
      </c>
      <c r="H3642" s="2">
        <v>45072.492071759261</v>
      </c>
      <c r="I3642" t="s">
        <v>3864</v>
      </c>
      <c r="Z3642">
        <v>56720</v>
      </c>
    </row>
    <row r="3643" spans="1:26" x14ac:dyDescent="0.25">
      <c r="A3643" t="s">
        <v>3392</v>
      </c>
      <c r="B3643" t="s">
        <v>1708</v>
      </c>
      <c r="C3643" t="s">
        <v>28</v>
      </c>
      <c r="E3643" t="s">
        <v>146</v>
      </c>
      <c r="H3643" s="2">
        <v>45072.439768518518</v>
      </c>
      <c r="I3643" t="s">
        <v>2681</v>
      </c>
      <c r="K3643" t="s">
        <v>34</v>
      </c>
      <c r="L3643" t="s">
        <v>35</v>
      </c>
      <c r="M3643">
        <v>67131912</v>
      </c>
      <c r="N3643">
        <v>11953101645</v>
      </c>
      <c r="O3643" t="s">
        <v>4028</v>
      </c>
      <c r="Z3643">
        <v>56711</v>
      </c>
    </row>
    <row r="3644" spans="1:26" x14ac:dyDescent="0.25">
      <c r="A3644" t="s">
        <v>4132</v>
      </c>
      <c r="B3644" t="s">
        <v>27</v>
      </c>
      <c r="C3644" t="s">
        <v>28</v>
      </c>
      <c r="H3644" s="2">
        <v>45071.456006944441</v>
      </c>
      <c r="I3644" t="s">
        <v>2674</v>
      </c>
      <c r="Z3644">
        <v>56629</v>
      </c>
    </row>
    <row r="3645" spans="1:26" x14ac:dyDescent="0.25">
      <c r="A3645" t="s">
        <v>4133</v>
      </c>
      <c r="B3645" t="s">
        <v>74</v>
      </c>
      <c r="C3645" t="s">
        <v>28</v>
      </c>
      <c r="E3645" t="s">
        <v>2267</v>
      </c>
      <c r="G3645" t="s">
        <v>4134</v>
      </c>
      <c r="H3645" s="2">
        <v>45070.955185185187</v>
      </c>
      <c r="I3645" t="s">
        <v>2001</v>
      </c>
      <c r="Z3645">
        <v>56612</v>
      </c>
    </row>
    <row r="3646" spans="1:26" x14ac:dyDescent="0.25">
      <c r="A3646" t="s">
        <v>4135</v>
      </c>
      <c r="B3646" t="s">
        <v>27</v>
      </c>
      <c r="C3646" t="s">
        <v>2219</v>
      </c>
      <c r="H3646" s="2">
        <v>45070.860902777778</v>
      </c>
      <c r="I3646" t="s">
        <v>3864</v>
      </c>
      <c r="Z3646">
        <v>56610</v>
      </c>
    </row>
    <row r="3647" spans="1:26" x14ac:dyDescent="0.25">
      <c r="A3647" t="s">
        <v>4136</v>
      </c>
      <c r="B3647" t="s">
        <v>27</v>
      </c>
      <c r="C3647" t="s">
        <v>28</v>
      </c>
      <c r="H3647" s="2">
        <v>45070.722094907411</v>
      </c>
      <c r="I3647" t="s">
        <v>3864</v>
      </c>
      <c r="Z3647">
        <v>56593</v>
      </c>
    </row>
    <row r="3648" spans="1:26" x14ac:dyDescent="0.25">
      <c r="A3648" t="s">
        <v>4137</v>
      </c>
      <c r="B3648" t="s">
        <v>27</v>
      </c>
      <c r="C3648" t="s">
        <v>28</v>
      </c>
      <c r="H3648" s="2">
        <v>45070.589803240742</v>
      </c>
      <c r="I3648" t="s">
        <v>2001</v>
      </c>
      <c r="Z3648">
        <v>56571</v>
      </c>
    </row>
    <row r="3649" spans="1:26" x14ac:dyDescent="0.25">
      <c r="A3649" t="s">
        <v>4138</v>
      </c>
      <c r="B3649" t="s">
        <v>27</v>
      </c>
      <c r="C3649" t="s">
        <v>28</v>
      </c>
      <c r="H3649" s="2">
        <v>45069.802499999998</v>
      </c>
      <c r="I3649" t="s">
        <v>2674</v>
      </c>
      <c r="Z3649">
        <v>56516</v>
      </c>
    </row>
    <row r="3650" spans="1:26" x14ac:dyDescent="0.25">
      <c r="A3650" t="s">
        <v>4139</v>
      </c>
      <c r="B3650" t="s">
        <v>27</v>
      </c>
      <c r="C3650" t="s">
        <v>28</v>
      </c>
      <c r="H3650" s="2">
        <v>45069.562430555554</v>
      </c>
      <c r="I3650" t="s">
        <v>2681</v>
      </c>
      <c r="Z3650">
        <v>56483</v>
      </c>
    </row>
    <row r="3651" spans="1:26" x14ac:dyDescent="0.25">
      <c r="A3651" t="s">
        <v>4140</v>
      </c>
      <c r="B3651" t="s">
        <v>27</v>
      </c>
      <c r="C3651" t="s">
        <v>28</v>
      </c>
      <c r="H3651" s="2">
        <v>45069.492071759261</v>
      </c>
      <c r="I3651" t="s">
        <v>2674</v>
      </c>
      <c r="Z3651">
        <v>56472</v>
      </c>
    </row>
    <row r="3652" spans="1:26" x14ac:dyDescent="0.25">
      <c r="A3652" t="s">
        <v>4141</v>
      </c>
      <c r="B3652" t="s">
        <v>27</v>
      </c>
      <c r="C3652" t="s">
        <v>28</v>
      </c>
      <c r="H3652" s="2">
        <v>45068.509016203701</v>
      </c>
      <c r="I3652" t="s">
        <v>2681</v>
      </c>
      <c r="Z3652">
        <v>56395</v>
      </c>
    </row>
    <row r="3653" spans="1:26" x14ac:dyDescent="0.25">
      <c r="A3653" t="s">
        <v>4142</v>
      </c>
      <c r="B3653" t="s">
        <v>1403</v>
      </c>
      <c r="C3653" t="s">
        <v>28</v>
      </c>
      <c r="E3653" t="s">
        <v>209</v>
      </c>
      <c r="G3653" t="s">
        <v>4143</v>
      </c>
      <c r="H3653" s="2">
        <v>45068.438935185186</v>
      </c>
      <c r="I3653" t="s">
        <v>2681</v>
      </c>
      <c r="Z3653">
        <v>56382</v>
      </c>
    </row>
    <row r="3654" spans="1:26" x14ac:dyDescent="0.25">
      <c r="A3654" t="s">
        <v>4144</v>
      </c>
      <c r="B3654" t="s">
        <v>27</v>
      </c>
      <c r="C3654" t="s">
        <v>28</v>
      </c>
      <c r="H3654" s="2">
        <v>45068.413622685184</v>
      </c>
      <c r="I3654" t="s">
        <v>4114</v>
      </c>
      <c r="Z3654">
        <v>56376</v>
      </c>
    </row>
    <row r="3655" spans="1:26" x14ac:dyDescent="0.25">
      <c r="A3655" t="s">
        <v>4145</v>
      </c>
      <c r="B3655" t="s">
        <v>27</v>
      </c>
      <c r="C3655" t="s">
        <v>28</v>
      </c>
      <c r="H3655" s="2">
        <v>45067.741354166668</v>
      </c>
      <c r="I3655" t="s">
        <v>31</v>
      </c>
      <c r="Z3655">
        <v>56346</v>
      </c>
    </row>
    <row r="3656" spans="1:26" x14ac:dyDescent="0.25">
      <c r="A3656" t="s">
        <v>4146</v>
      </c>
      <c r="B3656" t="s">
        <v>27</v>
      </c>
      <c r="C3656" t="s">
        <v>28</v>
      </c>
      <c r="H3656" s="2">
        <v>45067.611585648148</v>
      </c>
      <c r="I3656" t="s">
        <v>4114</v>
      </c>
      <c r="Z3656">
        <v>56324</v>
      </c>
    </row>
    <row r="3657" spans="1:26" x14ac:dyDescent="0.25">
      <c r="A3657" t="s">
        <v>4147</v>
      </c>
      <c r="B3657" t="s">
        <v>27</v>
      </c>
      <c r="C3657" t="s">
        <v>28</v>
      </c>
      <c r="H3657" s="2">
        <v>45067.574120370373</v>
      </c>
      <c r="I3657" t="s">
        <v>31</v>
      </c>
      <c r="Z3657">
        <v>56315</v>
      </c>
    </row>
    <row r="3658" spans="1:26" x14ac:dyDescent="0.25">
      <c r="A3658" t="s">
        <v>1177</v>
      </c>
      <c r="C3658" t="s">
        <v>28</v>
      </c>
      <c r="E3658" t="s">
        <v>4148</v>
      </c>
      <c r="H3658" s="2">
        <v>45067.508287037039</v>
      </c>
      <c r="I3658" t="s">
        <v>31</v>
      </c>
      <c r="Z3658">
        <v>56307</v>
      </c>
    </row>
    <row r="3659" spans="1:26" x14ac:dyDescent="0.25">
      <c r="A3659" t="s">
        <v>4149</v>
      </c>
      <c r="B3659" t="s">
        <v>27</v>
      </c>
      <c r="C3659" t="s">
        <v>28</v>
      </c>
      <c r="H3659" s="2">
        <v>45066.653055555558</v>
      </c>
      <c r="I3659" t="s">
        <v>31</v>
      </c>
      <c r="Z3659">
        <v>56268</v>
      </c>
    </row>
    <row r="3660" spans="1:26" x14ac:dyDescent="0.25">
      <c r="A3660" t="s">
        <v>4150</v>
      </c>
      <c r="C3660" t="s">
        <v>28</v>
      </c>
      <c r="E3660" t="s">
        <v>4151</v>
      </c>
      <c r="H3660" s="2">
        <v>45066.356527777774</v>
      </c>
      <c r="I3660" t="s">
        <v>31</v>
      </c>
      <c r="Z3660">
        <v>56225</v>
      </c>
    </row>
    <row r="3661" spans="1:26" x14ac:dyDescent="0.25">
      <c r="A3661" t="s">
        <v>4152</v>
      </c>
      <c r="B3661" t="s">
        <v>27</v>
      </c>
      <c r="C3661" t="s">
        <v>28</v>
      </c>
      <c r="H3661" s="2">
        <v>45064.893043981479</v>
      </c>
      <c r="I3661" t="s">
        <v>31</v>
      </c>
      <c r="Z3661">
        <v>56130</v>
      </c>
    </row>
    <row r="3662" spans="1:26" x14ac:dyDescent="0.25">
      <c r="A3662" t="s">
        <v>4153</v>
      </c>
      <c r="B3662" t="s">
        <v>27</v>
      </c>
      <c r="C3662" t="s">
        <v>28</v>
      </c>
      <c r="H3662" s="2">
        <v>45064.695509259262</v>
      </c>
      <c r="I3662" t="s">
        <v>2674</v>
      </c>
      <c r="Z3662">
        <v>56105</v>
      </c>
    </row>
    <row r="3663" spans="1:26" x14ac:dyDescent="0.25">
      <c r="A3663" t="s">
        <v>4154</v>
      </c>
      <c r="B3663" t="s">
        <v>27</v>
      </c>
      <c r="C3663" t="s">
        <v>28</v>
      </c>
      <c r="H3663" s="2">
        <v>45064.534837962965</v>
      </c>
      <c r="I3663" t="s">
        <v>3864</v>
      </c>
      <c r="Z3663">
        <v>56076</v>
      </c>
    </row>
    <row r="3664" spans="1:26" x14ac:dyDescent="0.25">
      <c r="A3664" t="s">
        <v>4155</v>
      </c>
      <c r="B3664" t="s">
        <v>27</v>
      </c>
      <c r="C3664" t="s">
        <v>28</v>
      </c>
      <c r="H3664" s="2">
        <v>45064.513993055552</v>
      </c>
      <c r="I3664" t="s">
        <v>2674</v>
      </c>
      <c r="Z3664">
        <v>56071</v>
      </c>
    </row>
    <row r="3665" spans="1:26" x14ac:dyDescent="0.25">
      <c r="A3665" t="s">
        <v>4156</v>
      </c>
      <c r="B3665" t="s">
        <v>1993</v>
      </c>
      <c r="C3665" t="s">
        <v>28</v>
      </c>
      <c r="H3665" s="2">
        <v>45063.730914351851</v>
      </c>
      <c r="I3665" t="s">
        <v>2674</v>
      </c>
      <c r="Z3665">
        <v>56022</v>
      </c>
    </row>
    <row r="3666" spans="1:26" x14ac:dyDescent="0.25">
      <c r="A3666" t="s">
        <v>4157</v>
      </c>
      <c r="B3666" t="s">
        <v>27</v>
      </c>
      <c r="C3666" t="s">
        <v>28</v>
      </c>
      <c r="H3666" s="2">
        <v>45063.485856481479</v>
      </c>
      <c r="I3666" t="s">
        <v>4114</v>
      </c>
      <c r="Z3666">
        <v>55973</v>
      </c>
    </row>
    <row r="3667" spans="1:26" x14ac:dyDescent="0.25">
      <c r="A3667" t="s">
        <v>4158</v>
      </c>
      <c r="B3667" t="s">
        <v>27</v>
      </c>
      <c r="C3667" t="s">
        <v>28</v>
      </c>
      <c r="H3667" s="2">
        <v>45063.447025462963</v>
      </c>
      <c r="I3667" t="s">
        <v>2674</v>
      </c>
      <c r="Z3667">
        <v>55966</v>
      </c>
    </row>
    <row r="3668" spans="1:26" x14ac:dyDescent="0.25">
      <c r="A3668" t="s">
        <v>4159</v>
      </c>
      <c r="B3668" t="s">
        <v>27</v>
      </c>
      <c r="C3668" t="s">
        <v>28</v>
      </c>
      <c r="H3668" s="2">
        <v>45063.415000000001</v>
      </c>
      <c r="I3668" t="s">
        <v>2674</v>
      </c>
      <c r="Z3668">
        <v>55964</v>
      </c>
    </row>
    <row r="3669" spans="1:26" x14ac:dyDescent="0.25">
      <c r="A3669" t="s">
        <v>4160</v>
      </c>
      <c r="B3669" t="s">
        <v>27</v>
      </c>
      <c r="C3669" t="s">
        <v>28</v>
      </c>
      <c r="H3669" s="2">
        <v>45062.761319444442</v>
      </c>
      <c r="I3669" t="s">
        <v>2681</v>
      </c>
      <c r="Z3669">
        <v>55924</v>
      </c>
    </row>
    <row r="3670" spans="1:26" x14ac:dyDescent="0.25">
      <c r="A3670" t="s">
        <v>4161</v>
      </c>
      <c r="B3670" t="s">
        <v>27</v>
      </c>
      <c r="C3670" t="s">
        <v>28</v>
      </c>
      <c r="H3670" s="2">
        <v>45062.736539351848</v>
      </c>
      <c r="I3670" t="s">
        <v>4114</v>
      </c>
      <c r="Z3670">
        <v>55921</v>
      </c>
    </row>
    <row r="3671" spans="1:26" x14ac:dyDescent="0.25">
      <c r="A3671" t="s">
        <v>4162</v>
      </c>
      <c r="B3671" t="s">
        <v>27</v>
      </c>
      <c r="C3671" t="s">
        <v>28</v>
      </c>
      <c r="H3671" s="2">
        <v>45062.631203703706</v>
      </c>
      <c r="I3671" t="s">
        <v>4114</v>
      </c>
      <c r="Z3671">
        <v>55906</v>
      </c>
    </row>
    <row r="3672" spans="1:26" x14ac:dyDescent="0.25">
      <c r="A3672" t="s">
        <v>4163</v>
      </c>
      <c r="B3672" t="s">
        <v>74</v>
      </c>
      <c r="C3672" t="s">
        <v>28</v>
      </c>
      <c r="E3672" t="s">
        <v>763</v>
      </c>
      <c r="G3672" t="s">
        <v>4164</v>
      </c>
      <c r="H3672" s="2">
        <v>45061.820347222223</v>
      </c>
      <c r="I3672" t="s">
        <v>4114</v>
      </c>
      <c r="Z3672">
        <v>55859</v>
      </c>
    </row>
    <row r="3673" spans="1:26" x14ac:dyDescent="0.25">
      <c r="A3673" t="s">
        <v>1433</v>
      </c>
      <c r="B3673" t="s">
        <v>27</v>
      </c>
      <c r="C3673" t="s">
        <v>28</v>
      </c>
      <c r="H3673" s="2">
        <v>45061.782731481479</v>
      </c>
      <c r="I3673" t="s">
        <v>31</v>
      </c>
      <c r="Z3673">
        <v>55856</v>
      </c>
    </row>
    <row r="3674" spans="1:26" x14ac:dyDescent="0.25">
      <c r="A3674" t="s">
        <v>4165</v>
      </c>
      <c r="B3674" t="s">
        <v>27</v>
      </c>
      <c r="C3674" t="s">
        <v>28</v>
      </c>
      <c r="H3674" s="2">
        <v>45061.60056712963</v>
      </c>
      <c r="I3674" t="s">
        <v>4114</v>
      </c>
      <c r="Z3674">
        <v>55823</v>
      </c>
    </row>
    <row r="3675" spans="1:26" x14ac:dyDescent="0.25">
      <c r="A3675" t="s">
        <v>4166</v>
      </c>
      <c r="B3675" t="s">
        <v>306</v>
      </c>
      <c r="C3675" t="s">
        <v>28</v>
      </c>
      <c r="E3675" t="s">
        <v>232</v>
      </c>
      <c r="H3675" s="2">
        <v>45061.598124999997</v>
      </c>
      <c r="I3675" t="s">
        <v>31</v>
      </c>
      <c r="K3675" t="s">
        <v>34</v>
      </c>
      <c r="L3675" t="s">
        <v>35</v>
      </c>
      <c r="M3675">
        <v>67131912</v>
      </c>
      <c r="N3675">
        <v>11953101646</v>
      </c>
      <c r="O3675" t="s">
        <v>4028</v>
      </c>
      <c r="Z3675">
        <v>55822</v>
      </c>
    </row>
    <row r="3676" spans="1:26" x14ac:dyDescent="0.25">
      <c r="A3676" t="s">
        <v>4167</v>
      </c>
      <c r="B3676" t="s">
        <v>27</v>
      </c>
      <c r="C3676" t="s">
        <v>28</v>
      </c>
      <c r="H3676" s="2">
        <v>45061.37972222222</v>
      </c>
      <c r="I3676" t="s">
        <v>4114</v>
      </c>
      <c r="Z3676">
        <v>55784</v>
      </c>
    </row>
    <row r="3677" spans="1:26" x14ac:dyDescent="0.25">
      <c r="A3677" t="s">
        <v>1793</v>
      </c>
      <c r="B3677" t="s">
        <v>27</v>
      </c>
      <c r="C3677" t="s">
        <v>28</v>
      </c>
      <c r="H3677" s="2">
        <v>45060.858657407407</v>
      </c>
      <c r="I3677" t="s">
        <v>3864</v>
      </c>
      <c r="Z3677">
        <v>55773</v>
      </c>
    </row>
    <row r="3678" spans="1:26" x14ac:dyDescent="0.25">
      <c r="A3678" t="s">
        <v>4168</v>
      </c>
      <c r="B3678" t="s">
        <v>1708</v>
      </c>
      <c r="C3678" t="s">
        <v>28</v>
      </c>
      <c r="E3678" t="s">
        <v>4169</v>
      </c>
      <c r="H3678" s="2">
        <v>45060.749513888892</v>
      </c>
      <c r="I3678" t="s">
        <v>31</v>
      </c>
      <c r="K3678" t="s">
        <v>34</v>
      </c>
      <c r="L3678" t="s">
        <v>35</v>
      </c>
      <c r="M3678">
        <v>67131912</v>
      </c>
      <c r="N3678">
        <v>11953101647</v>
      </c>
      <c r="O3678" t="s">
        <v>461</v>
      </c>
      <c r="Z3678">
        <v>55759</v>
      </c>
    </row>
    <row r="3679" spans="1:26" x14ac:dyDescent="0.25">
      <c r="A3679" t="s">
        <v>2205</v>
      </c>
      <c r="B3679" t="s">
        <v>1708</v>
      </c>
      <c r="C3679" t="s">
        <v>28</v>
      </c>
      <c r="E3679" t="s">
        <v>101</v>
      </c>
      <c r="H3679" s="2">
        <v>45060.67019675926</v>
      </c>
      <c r="I3679" t="s">
        <v>2681</v>
      </c>
      <c r="Z3679">
        <v>55745</v>
      </c>
    </row>
    <row r="3680" spans="1:26" x14ac:dyDescent="0.25">
      <c r="A3680" t="s">
        <v>4170</v>
      </c>
      <c r="B3680" t="s">
        <v>1403</v>
      </c>
      <c r="C3680" t="s">
        <v>28</v>
      </c>
      <c r="E3680" t="s">
        <v>101</v>
      </c>
      <c r="G3680" t="s">
        <v>4171</v>
      </c>
      <c r="H3680" s="2">
        <v>45060.645231481481</v>
      </c>
      <c r="I3680" t="s">
        <v>2681</v>
      </c>
      <c r="Z3680">
        <v>55738</v>
      </c>
    </row>
    <row r="3681" spans="1:26" x14ac:dyDescent="0.25">
      <c r="A3681" t="s">
        <v>4172</v>
      </c>
      <c r="B3681" t="s">
        <v>27</v>
      </c>
      <c r="C3681" t="s">
        <v>28</v>
      </c>
      <c r="H3681" s="2">
        <v>45059.784131944441</v>
      </c>
      <c r="I3681" t="s">
        <v>31</v>
      </c>
      <c r="Z3681">
        <v>55700</v>
      </c>
    </row>
    <row r="3682" spans="1:26" x14ac:dyDescent="0.25">
      <c r="A3682" t="s">
        <v>4173</v>
      </c>
      <c r="B3682" t="s">
        <v>1708</v>
      </c>
      <c r="C3682" t="s">
        <v>28</v>
      </c>
      <c r="E3682" t="s">
        <v>59</v>
      </c>
      <c r="H3682" s="2">
        <v>45059.489247685182</v>
      </c>
      <c r="I3682" t="s">
        <v>31</v>
      </c>
      <c r="K3682" t="s">
        <v>34</v>
      </c>
      <c r="L3682" t="s">
        <v>35</v>
      </c>
      <c r="M3682">
        <v>67852485</v>
      </c>
      <c r="N3682">
        <v>11953056736</v>
      </c>
      <c r="O3682" t="s">
        <v>4174</v>
      </c>
      <c r="Z3682">
        <v>55648</v>
      </c>
    </row>
    <row r="3683" spans="1:26" x14ac:dyDescent="0.25">
      <c r="A3683" t="s">
        <v>4175</v>
      </c>
      <c r="B3683" t="s">
        <v>27</v>
      </c>
      <c r="C3683" t="s">
        <v>28</v>
      </c>
      <c r="H3683" s="2">
        <v>45058.780011574076</v>
      </c>
      <c r="I3683" t="s">
        <v>31</v>
      </c>
      <c r="Z3683">
        <v>55623</v>
      </c>
    </row>
    <row r="3684" spans="1:26" x14ac:dyDescent="0.25">
      <c r="A3684" t="s">
        <v>4176</v>
      </c>
      <c r="B3684" t="s">
        <v>306</v>
      </c>
      <c r="C3684" t="s">
        <v>28</v>
      </c>
      <c r="E3684" t="s">
        <v>198</v>
      </c>
      <c r="H3684" s="2">
        <v>45058.458321759259</v>
      </c>
      <c r="I3684" t="s">
        <v>31</v>
      </c>
      <c r="K3684" t="s">
        <v>34</v>
      </c>
      <c r="L3684" t="s">
        <v>35</v>
      </c>
      <c r="M3684">
        <v>55887089</v>
      </c>
      <c r="N3684">
        <v>12886132963</v>
      </c>
      <c r="O3684" t="s">
        <v>4177</v>
      </c>
      <c r="Z3684">
        <v>55586</v>
      </c>
    </row>
    <row r="3685" spans="1:26" x14ac:dyDescent="0.25">
      <c r="A3685" t="s">
        <v>4178</v>
      </c>
      <c r="B3685" t="s">
        <v>1993</v>
      </c>
      <c r="C3685" t="s">
        <v>28</v>
      </c>
      <c r="E3685" t="s">
        <v>4179</v>
      </c>
      <c r="H3685" s="2">
        <v>45058.321793981479</v>
      </c>
      <c r="I3685" t="s">
        <v>31</v>
      </c>
      <c r="Z3685">
        <v>55573</v>
      </c>
    </row>
    <row r="3686" spans="1:26" x14ac:dyDescent="0.25">
      <c r="A3686" t="s">
        <v>4180</v>
      </c>
      <c r="B3686" t="s">
        <v>27</v>
      </c>
      <c r="C3686" t="s">
        <v>28</v>
      </c>
      <c r="H3686" s="2">
        <v>45057.805393518516</v>
      </c>
      <c r="I3686" t="s">
        <v>2674</v>
      </c>
      <c r="Z3686">
        <v>55567</v>
      </c>
    </row>
    <row r="3687" spans="1:26" x14ac:dyDescent="0.25">
      <c r="A3687" t="s">
        <v>4181</v>
      </c>
      <c r="B3687" t="s">
        <v>27</v>
      </c>
      <c r="C3687" t="s">
        <v>28</v>
      </c>
      <c r="H3687" s="2">
        <v>45057.633379629631</v>
      </c>
      <c r="I3687" t="s">
        <v>2674</v>
      </c>
      <c r="Z3687">
        <v>55544</v>
      </c>
    </row>
    <row r="3688" spans="1:26" x14ac:dyDescent="0.25">
      <c r="A3688" t="s">
        <v>4182</v>
      </c>
      <c r="B3688" t="s">
        <v>27</v>
      </c>
      <c r="C3688" t="s">
        <v>28</v>
      </c>
      <c r="H3688" s="2">
        <v>45057.622465277775</v>
      </c>
      <c r="I3688" t="s">
        <v>4114</v>
      </c>
      <c r="Z3688">
        <v>55542</v>
      </c>
    </row>
    <row r="3689" spans="1:26" x14ac:dyDescent="0.25">
      <c r="A3689" t="s">
        <v>4183</v>
      </c>
      <c r="B3689" t="s">
        <v>27</v>
      </c>
      <c r="C3689" t="s">
        <v>28</v>
      </c>
      <c r="H3689" s="2">
        <v>45057.603564814817</v>
      </c>
      <c r="I3689" t="s">
        <v>2681</v>
      </c>
      <c r="Z3689">
        <v>55540</v>
      </c>
    </row>
    <row r="3690" spans="1:26" x14ac:dyDescent="0.25">
      <c r="A3690" t="s">
        <v>4184</v>
      </c>
      <c r="B3690" t="s">
        <v>27</v>
      </c>
      <c r="C3690" t="s">
        <v>28</v>
      </c>
      <c r="H3690" s="2">
        <v>45057.537592592591</v>
      </c>
      <c r="I3690" t="s">
        <v>4114</v>
      </c>
      <c r="Z3690">
        <v>55526</v>
      </c>
    </row>
    <row r="3691" spans="1:26" x14ac:dyDescent="0.25">
      <c r="A3691" t="s">
        <v>4185</v>
      </c>
      <c r="B3691" t="s">
        <v>27</v>
      </c>
      <c r="C3691" t="s">
        <v>28</v>
      </c>
      <c r="H3691" s="2">
        <v>45057.387858796297</v>
      </c>
      <c r="I3691" t="s">
        <v>2674</v>
      </c>
      <c r="Z3691">
        <v>55498</v>
      </c>
    </row>
    <row r="3692" spans="1:26" x14ac:dyDescent="0.25">
      <c r="A3692" t="s">
        <v>4186</v>
      </c>
      <c r="B3692" t="s">
        <v>1708</v>
      </c>
      <c r="C3692" t="s">
        <v>28</v>
      </c>
      <c r="E3692" t="s">
        <v>4187</v>
      </c>
      <c r="H3692" s="2">
        <v>45056.854872685188</v>
      </c>
      <c r="I3692" t="s">
        <v>2681</v>
      </c>
      <c r="K3692" t="s">
        <v>34</v>
      </c>
      <c r="L3692" t="s">
        <v>35</v>
      </c>
      <c r="M3692">
        <v>67006012</v>
      </c>
      <c r="N3692">
        <v>12403441023</v>
      </c>
      <c r="O3692" t="s">
        <v>4188</v>
      </c>
      <c r="Z3692">
        <v>55488</v>
      </c>
    </row>
    <row r="3693" spans="1:26" x14ac:dyDescent="0.25">
      <c r="A3693" t="s">
        <v>4189</v>
      </c>
      <c r="B3693" t="s">
        <v>27</v>
      </c>
      <c r="C3693" t="s">
        <v>28</v>
      </c>
      <c r="H3693" s="2">
        <v>45056.743148148147</v>
      </c>
      <c r="I3693" t="s">
        <v>2681</v>
      </c>
      <c r="Z3693">
        <v>55484</v>
      </c>
    </row>
    <row r="3694" spans="1:26" x14ac:dyDescent="0.25">
      <c r="A3694" t="s">
        <v>4190</v>
      </c>
      <c r="B3694" t="s">
        <v>27</v>
      </c>
      <c r="C3694" t="s">
        <v>28</v>
      </c>
      <c r="H3694" s="2">
        <v>45056.676863425928</v>
      </c>
      <c r="I3694" t="s">
        <v>2674</v>
      </c>
      <c r="Z3694">
        <v>55472</v>
      </c>
    </row>
    <row r="3695" spans="1:26" x14ac:dyDescent="0.25">
      <c r="A3695" t="s">
        <v>4191</v>
      </c>
      <c r="B3695" t="s">
        <v>27</v>
      </c>
      <c r="C3695" t="s">
        <v>28</v>
      </c>
      <c r="H3695" s="2">
        <v>45056.624884259261</v>
      </c>
      <c r="I3695" t="s">
        <v>2681</v>
      </c>
      <c r="Z3695">
        <v>55461</v>
      </c>
    </row>
    <row r="3696" spans="1:26" x14ac:dyDescent="0.25">
      <c r="A3696" t="s">
        <v>4192</v>
      </c>
      <c r="B3696" t="s">
        <v>27</v>
      </c>
      <c r="C3696" t="s">
        <v>28</v>
      </c>
      <c r="H3696" s="2">
        <v>45056.510405092595</v>
      </c>
      <c r="I3696" t="s">
        <v>2674</v>
      </c>
      <c r="Z3696">
        <v>55442</v>
      </c>
    </row>
    <row r="3697" spans="1:26" x14ac:dyDescent="0.25">
      <c r="A3697" t="s">
        <v>3707</v>
      </c>
      <c r="B3697" t="s">
        <v>27</v>
      </c>
      <c r="C3697" t="s">
        <v>28</v>
      </c>
      <c r="H3697" s="2">
        <v>45054.802048611113</v>
      </c>
      <c r="I3697" t="s">
        <v>31</v>
      </c>
      <c r="Z3697">
        <v>55357</v>
      </c>
    </row>
    <row r="3698" spans="1:26" x14ac:dyDescent="0.25">
      <c r="A3698" t="s">
        <v>4193</v>
      </c>
      <c r="B3698" t="s">
        <v>1708</v>
      </c>
      <c r="C3698" t="s">
        <v>28</v>
      </c>
      <c r="E3698" t="s">
        <v>4194</v>
      </c>
      <c r="H3698" s="2">
        <v>45054.796886574077</v>
      </c>
      <c r="I3698" t="s">
        <v>31</v>
      </c>
      <c r="K3698" t="s">
        <v>34</v>
      </c>
      <c r="L3698" t="s">
        <v>35</v>
      </c>
      <c r="M3698">
        <v>55887089</v>
      </c>
      <c r="N3698">
        <v>12886132962</v>
      </c>
      <c r="O3698" t="s">
        <v>2869</v>
      </c>
      <c r="Z3698">
        <v>55356</v>
      </c>
    </row>
    <row r="3699" spans="1:26" x14ac:dyDescent="0.25">
      <c r="A3699" t="s">
        <v>336</v>
      </c>
      <c r="B3699" t="s">
        <v>27</v>
      </c>
      <c r="C3699" t="s">
        <v>28</v>
      </c>
      <c r="H3699" s="2">
        <v>45054.629201388889</v>
      </c>
      <c r="I3699" t="s">
        <v>31</v>
      </c>
      <c r="Z3699">
        <v>55341</v>
      </c>
    </row>
    <row r="3700" spans="1:26" x14ac:dyDescent="0.25">
      <c r="A3700" t="s">
        <v>4156</v>
      </c>
      <c r="B3700" t="s">
        <v>1993</v>
      </c>
      <c r="C3700" t="s">
        <v>28</v>
      </c>
      <c r="H3700" s="2">
        <v>45054.541770833333</v>
      </c>
      <c r="I3700" t="s">
        <v>31</v>
      </c>
      <c r="Z3700">
        <v>55330</v>
      </c>
    </row>
    <row r="3701" spans="1:26" x14ac:dyDescent="0.25">
      <c r="A3701" t="s">
        <v>4195</v>
      </c>
      <c r="B3701" t="s">
        <v>27</v>
      </c>
      <c r="C3701" t="s">
        <v>28</v>
      </c>
      <c r="H3701" s="2">
        <v>45054.463958333334</v>
      </c>
      <c r="I3701" t="s">
        <v>2681</v>
      </c>
      <c r="Z3701">
        <v>55321</v>
      </c>
    </row>
    <row r="3702" spans="1:26" x14ac:dyDescent="0.25">
      <c r="A3702" t="s">
        <v>4196</v>
      </c>
      <c r="B3702" t="s">
        <v>27</v>
      </c>
      <c r="C3702" t="s">
        <v>28</v>
      </c>
      <c r="H3702" s="2">
        <v>45053.414143518516</v>
      </c>
      <c r="I3702" t="s">
        <v>3864</v>
      </c>
      <c r="Z3702">
        <v>55246</v>
      </c>
    </row>
    <row r="3703" spans="1:26" x14ac:dyDescent="0.25">
      <c r="A3703" t="s">
        <v>1433</v>
      </c>
      <c r="B3703" t="s">
        <v>1993</v>
      </c>
      <c r="C3703" t="s">
        <v>28</v>
      </c>
      <c r="E3703" t="s">
        <v>427</v>
      </c>
      <c r="H3703" s="2">
        <v>45052.860162037039</v>
      </c>
      <c r="I3703" t="s">
        <v>31</v>
      </c>
      <c r="Z3703">
        <v>55238</v>
      </c>
    </row>
    <row r="3704" spans="1:26" x14ac:dyDescent="0.25">
      <c r="A3704" t="s">
        <v>3762</v>
      </c>
      <c r="B3704" t="s">
        <v>74</v>
      </c>
      <c r="C3704" t="s">
        <v>28</v>
      </c>
      <c r="E3704" t="s">
        <v>198</v>
      </c>
      <c r="G3704" t="s">
        <v>4197</v>
      </c>
      <c r="H3704" s="2">
        <v>45052.733055555553</v>
      </c>
      <c r="I3704" t="s">
        <v>31</v>
      </c>
      <c r="Z3704">
        <v>55228</v>
      </c>
    </row>
    <row r="3705" spans="1:26" x14ac:dyDescent="0.25">
      <c r="A3705" t="s">
        <v>4198</v>
      </c>
      <c r="B3705" t="s">
        <v>27</v>
      </c>
      <c r="C3705" t="s">
        <v>28</v>
      </c>
      <c r="H3705" s="2">
        <v>45052.65289351852</v>
      </c>
      <c r="I3705" t="s">
        <v>31</v>
      </c>
      <c r="Z3705">
        <v>55221</v>
      </c>
    </row>
    <row r="3706" spans="1:26" x14ac:dyDescent="0.25">
      <c r="A3706" t="s">
        <v>4199</v>
      </c>
      <c r="B3706" t="s">
        <v>27</v>
      </c>
      <c r="C3706" t="s">
        <v>28</v>
      </c>
      <c r="H3706" s="2">
        <v>45052.496342592596</v>
      </c>
      <c r="I3706" t="s">
        <v>2674</v>
      </c>
      <c r="Z3706">
        <v>55192</v>
      </c>
    </row>
    <row r="3707" spans="1:26" x14ac:dyDescent="0.25">
      <c r="A3707" t="s">
        <v>570</v>
      </c>
      <c r="C3707" t="s">
        <v>28</v>
      </c>
      <c r="E3707" t="s">
        <v>1151</v>
      </c>
      <c r="H3707" s="2">
        <v>45051.764398148145</v>
      </c>
      <c r="I3707" t="s">
        <v>2674</v>
      </c>
      <c r="Z3707">
        <v>55166</v>
      </c>
    </row>
    <row r="3708" spans="1:26" x14ac:dyDescent="0.25">
      <c r="A3708" t="s">
        <v>4200</v>
      </c>
      <c r="B3708" t="s">
        <v>1403</v>
      </c>
      <c r="C3708" t="s">
        <v>333</v>
      </c>
      <c r="E3708" t="s">
        <v>4201</v>
      </c>
      <c r="H3708" s="2">
        <v>45051.759247685186</v>
      </c>
      <c r="I3708" t="s">
        <v>2681</v>
      </c>
      <c r="K3708" t="s">
        <v>34</v>
      </c>
      <c r="L3708" t="s">
        <v>35</v>
      </c>
      <c r="M3708">
        <v>55887089</v>
      </c>
      <c r="N3708">
        <v>9754619208</v>
      </c>
      <c r="O3708" t="s">
        <v>4202</v>
      </c>
      <c r="Z3708">
        <v>55165</v>
      </c>
    </row>
    <row r="3709" spans="1:26" x14ac:dyDescent="0.25">
      <c r="A3709" t="s">
        <v>4203</v>
      </c>
      <c r="B3709" t="s">
        <v>27</v>
      </c>
      <c r="C3709" t="s">
        <v>28</v>
      </c>
      <c r="H3709" s="2">
        <v>45051.74732638889</v>
      </c>
      <c r="I3709" t="s">
        <v>2681</v>
      </c>
      <c r="Z3709">
        <v>55161</v>
      </c>
    </row>
    <row r="3710" spans="1:26" x14ac:dyDescent="0.25">
      <c r="A3710" t="s">
        <v>4204</v>
      </c>
      <c r="B3710" t="s">
        <v>1993</v>
      </c>
      <c r="C3710" t="s">
        <v>28</v>
      </c>
      <c r="E3710" t="s">
        <v>2329</v>
      </c>
      <c r="H3710" s="2">
        <v>45051.721643518518</v>
      </c>
      <c r="I3710" t="s">
        <v>31</v>
      </c>
      <c r="Z3710">
        <v>55158</v>
      </c>
    </row>
    <row r="3711" spans="1:26" x14ac:dyDescent="0.25">
      <c r="A3711" t="s">
        <v>4205</v>
      </c>
      <c r="B3711" t="s">
        <v>27</v>
      </c>
      <c r="C3711" t="s">
        <v>28</v>
      </c>
      <c r="H3711" s="2">
        <v>45051.704965277779</v>
      </c>
      <c r="I3711" t="s">
        <v>2674</v>
      </c>
      <c r="Z3711">
        <v>55155</v>
      </c>
    </row>
    <row r="3712" spans="1:26" x14ac:dyDescent="0.25">
      <c r="A3712" t="s">
        <v>663</v>
      </c>
      <c r="C3712" t="s">
        <v>28</v>
      </c>
      <c r="E3712" t="s">
        <v>143</v>
      </c>
      <c r="H3712" s="2">
        <v>45051.679791666669</v>
      </c>
      <c r="I3712" t="s">
        <v>1488</v>
      </c>
      <c r="Z3712">
        <v>55148</v>
      </c>
    </row>
    <row r="3713" spans="1:26" x14ac:dyDescent="0.25">
      <c r="A3713" t="s">
        <v>4072</v>
      </c>
      <c r="B3713" t="s">
        <v>27</v>
      </c>
      <c r="C3713" t="s">
        <v>28</v>
      </c>
      <c r="H3713" s="2">
        <v>45051.508009259262</v>
      </c>
      <c r="I3713" t="s">
        <v>2681</v>
      </c>
      <c r="Z3713">
        <v>55126</v>
      </c>
    </row>
    <row r="3714" spans="1:26" x14ac:dyDescent="0.25">
      <c r="A3714" t="s">
        <v>4206</v>
      </c>
      <c r="B3714" t="s">
        <v>27</v>
      </c>
      <c r="C3714" t="s">
        <v>28</v>
      </c>
      <c r="H3714" s="2">
        <v>45051.499282407407</v>
      </c>
      <c r="I3714" t="s">
        <v>2681</v>
      </c>
      <c r="Z3714">
        <v>55122</v>
      </c>
    </row>
    <row r="3715" spans="1:26" x14ac:dyDescent="0.25">
      <c r="A3715" t="s">
        <v>4207</v>
      </c>
      <c r="B3715" t="s">
        <v>27</v>
      </c>
      <c r="C3715" t="s">
        <v>28</v>
      </c>
      <c r="H3715" s="2">
        <v>45051.43613425926</v>
      </c>
      <c r="I3715" t="s">
        <v>2681</v>
      </c>
      <c r="Z3715">
        <v>55116</v>
      </c>
    </row>
    <row r="3716" spans="1:26" x14ac:dyDescent="0.25">
      <c r="A3716" t="s">
        <v>4208</v>
      </c>
      <c r="B3716" t="s">
        <v>27</v>
      </c>
      <c r="C3716" t="s">
        <v>28</v>
      </c>
      <c r="H3716" s="2">
        <v>45051.419803240744</v>
      </c>
      <c r="I3716" t="s">
        <v>2674</v>
      </c>
      <c r="Z3716">
        <v>55108</v>
      </c>
    </row>
    <row r="3717" spans="1:26" x14ac:dyDescent="0.25">
      <c r="A3717" t="s">
        <v>4209</v>
      </c>
      <c r="B3717" t="s">
        <v>1993</v>
      </c>
      <c r="C3717" t="s">
        <v>28</v>
      </c>
      <c r="E3717" t="s">
        <v>4210</v>
      </c>
      <c r="H3717" s="2">
        <v>45050.784421296295</v>
      </c>
      <c r="I3717" t="s">
        <v>2681</v>
      </c>
      <c r="Z3717">
        <v>55089</v>
      </c>
    </row>
    <row r="3718" spans="1:26" x14ac:dyDescent="0.25">
      <c r="A3718" t="s">
        <v>4211</v>
      </c>
      <c r="B3718" t="s">
        <v>27</v>
      </c>
      <c r="C3718" t="s">
        <v>28</v>
      </c>
      <c r="H3718" s="2">
        <v>45050.688402777778</v>
      </c>
      <c r="I3718" t="s">
        <v>2674</v>
      </c>
      <c r="Z3718">
        <v>55074</v>
      </c>
    </row>
    <row r="3719" spans="1:26" x14ac:dyDescent="0.25">
      <c r="A3719" t="s">
        <v>4212</v>
      </c>
      <c r="B3719" t="s">
        <v>27</v>
      </c>
      <c r="C3719" t="s">
        <v>28</v>
      </c>
      <c r="H3719" s="2">
        <v>45050.641180555554</v>
      </c>
      <c r="I3719" t="s">
        <v>2681</v>
      </c>
      <c r="Z3719">
        <v>55065</v>
      </c>
    </row>
    <row r="3720" spans="1:26" x14ac:dyDescent="0.25">
      <c r="A3720" t="s">
        <v>4213</v>
      </c>
      <c r="B3720" t="s">
        <v>74</v>
      </c>
      <c r="C3720" t="s">
        <v>28</v>
      </c>
      <c r="E3720" t="s">
        <v>110</v>
      </c>
      <c r="G3720" t="s">
        <v>4214</v>
      </c>
      <c r="H3720" s="2">
        <v>45050.533009259256</v>
      </c>
      <c r="I3720" t="s">
        <v>2681</v>
      </c>
      <c r="Z3720">
        <v>55051</v>
      </c>
    </row>
    <row r="3721" spans="1:26" x14ac:dyDescent="0.25">
      <c r="A3721" t="s">
        <v>4215</v>
      </c>
      <c r="B3721" t="s">
        <v>27</v>
      </c>
      <c r="C3721" t="s">
        <v>28</v>
      </c>
      <c r="H3721" s="2">
        <v>45050.459629629629</v>
      </c>
      <c r="I3721" t="s">
        <v>4114</v>
      </c>
      <c r="Z3721">
        <v>55035</v>
      </c>
    </row>
    <row r="3722" spans="1:26" x14ac:dyDescent="0.25">
      <c r="A3722" t="s">
        <v>4216</v>
      </c>
      <c r="B3722" t="s">
        <v>27</v>
      </c>
      <c r="C3722" t="s">
        <v>28</v>
      </c>
      <c r="H3722" s="2">
        <v>45050.381550925929</v>
      </c>
      <c r="I3722" t="s">
        <v>2674</v>
      </c>
      <c r="Z3722">
        <v>55017</v>
      </c>
    </row>
    <row r="3723" spans="1:26" x14ac:dyDescent="0.25">
      <c r="A3723" t="s">
        <v>2009</v>
      </c>
      <c r="B3723" t="s">
        <v>1993</v>
      </c>
      <c r="C3723" t="s">
        <v>28</v>
      </c>
      <c r="E3723" t="s">
        <v>2010</v>
      </c>
      <c r="H3723" s="2">
        <v>45049.989490740743</v>
      </c>
      <c r="I3723" t="s">
        <v>4114</v>
      </c>
      <c r="Z3723">
        <v>55010</v>
      </c>
    </row>
    <row r="3724" spans="1:26" x14ac:dyDescent="0.25">
      <c r="A3724" t="s">
        <v>4217</v>
      </c>
      <c r="B3724" t="s">
        <v>27</v>
      </c>
      <c r="C3724" t="s">
        <v>28</v>
      </c>
      <c r="H3724" s="2">
        <v>45049.571481481478</v>
      </c>
      <c r="I3724" t="s">
        <v>4218</v>
      </c>
      <c r="Z3724">
        <v>54969</v>
      </c>
    </row>
    <row r="3725" spans="1:26" x14ac:dyDescent="0.25">
      <c r="A3725" t="s">
        <v>4219</v>
      </c>
      <c r="B3725" t="s">
        <v>27</v>
      </c>
      <c r="C3725" t="s">
        <v>28</v>
      </c>
      <c r="H3725" s="2">
        <v>45048.709699074076</v>
      </c>
      <c r="I3725" t="s">
        <v>31</v>
      </c>
      <c r="Z3725">
        <v>54923</v>
      </c>
    </row>
    <row r="3726" spans="1:26" x14ac:dyDescent="0.25">
      <c r="A3726" t="s">
        <v>4220</v>
      </c>
      <c r="B3726" t="s">
        <v>27</v>
      </c>
      <c r="C3726" t="s">
        <v>28</v>
      </c>
      <c r="H3726" s="2">
        <v>45048.664907407408</v>
      </c>
      <c r="I3726" t="s">
        <v>2681</v>
      </c>
      <c r="Z3726">
        <v>54913</v>
      </c>
    </row>
    <row r="3727" spans="1:26" x14ac:dyDescent="0.25">
      <c r="A3727" t="s">
        <v>4221</v>
      </c>
      <c r="B3727" t="s">
        <v>27</v>
      </c>
      <c r="C3727" t="s">
        <v>28</v>
      </c>
      <c r="H3727" s="2">
        <v>45048.614386574074</v>
      </c>
      <c r="I3727" t="s">
        <v>3864</v>
      </c>
      <c r="Z3727">
        <v>54902</v>
      </c>
    </row>
    <row r="3728" spans="1:26" x14ac:dyDescent="0.25">
      <c r="A3728" t="s">
        <v>4222</v>
      </c>
      <c r="B3728" t="s">
        <v>27</v>
      </c>
      <c r="C3728" t="s">
        <v>28</v>
      </c>
      <c r="H3728" s="2">
        <v>45048.582858796297</v>
      </c>
      <c r="I3728" t="s">
        <v>1488</v>
      </c>
      <c r="Z3728">
        <v>54898</v>
      </c>
    </row>
    <row r="3729" spans="1:26" x14ac:dyDescent="0.25">
      <c r="A3729" t="s">
        <v>4223</v>
      </c>
      <c r="B3729" t="s">
        <v>27</v>
      </c>
      <c r="C3729" t="s">
        <v>28</v>
      </c>
      <c r="H3729" s="2">
        <v>45048.489618055559</v>
      </c>
      <c r="I3729" t="s">
        <v>1488</v>
      </c>
      <c r="Z3729">
        <v>54881</v>
      </c>
    </row>
    <row r="3730" spans="1:26" x14ac:dyDescent="0.25">
      <c r="A3730" t="s">
        <v>4224</v>
      </c>
      <c r="B3730" t="s">
        <v>27</v>
      </c>
      <c r="C3730" t="s">
        <v>28</v>
      </c>
      <c r="H3730" s="2">
        <v>45048.416331018518</v>
      </c>
      <c r="I3730" t="s">
        <v>2681</v>
      </c>
      <c r="Z3730">
        <v>54867</v>
      </c>
    </row>
    <row r="3731" spans="1:26" x14ac:dyDescent="0.25">
      <c r="A3731" t="s">
        <v>4225</v>
      </c>
      <c r="B3731" t="s">
        <v>27</v>
      </c>
      <c r="C3731" t="s">
        <v>28</v>
      </c>
      <c r="H3731" s="2">
        <v>45047.4296412037</v>
      </c>
      <c r="I3731" t="s">
        <v>3864</v>
      </c>
      <c r="Z3731">
        <v>54799</v>
      </c>
    </row>
    <row r="3732" spans="1:26" x14ac:dyDescent="0.25">
      <c r="A3732" t="s">
        <v>4226</v>
      </c>
      <c r="B3732" t="s">
        <v>27</v>
      </c>
      <c r="C3732" t="s">
        <v>28</v>
      </c>
      <c r="H3732" s="2">
        <v>45046.72252314815</v>
      </c>
      <c r="I3732" t="s">
        <v>3864</v>
      </c>
      <c r="Z3732">
        <v>54774</v>
      </c>
    </row>
    <row r="3733" spans="1:26" x14ac:dyDescent="0.25">
      <c r="A3733" t="s">
        <v>3707</v>
      </c>
      <c r="B3733" t="s">
        <v>1708</v>
      </c>
      <c r="C3733" t="s">
        <v>28</v>
      </c>
      <c r="E3733" t="s">
        <v>4227</v>
      </c>
      <c r="H3733" s="2">
        <v>45046.342314814814</v>
      </c>
      <c r="I3733" t="s">
        <v>31</v>
      </c>
      <c r="Z3733">
        <v>54719</v>
      </c>
    </row>
    <row r="3734" spans="1:26" x14ac:dyDescent="0.25">
      <c r="A3734" t="s">
        <v>3374</v>
      </c>
      <c r="B3734" t="s">
        <v>74</v>
      </c>
      <c r="C3734" t="s">
        <v>28</v>
      </c>
      <c r="E3734" t="s">
        <v>370</v>
      </c>
      <c r="G3734" t="s">
        <v>4228</v>
      </c>
      <c r="H3734" s="2">
        <v>45045.892928240741</v>
      </c>
      <c r="I3734" t="s">
        <v>31</v>
      </c>
      <c r="Z3734">
        <v>54717</v>
      </c>
    </row>
    <row r="3735" spans="1:26" x14ac:dyDescent="0.25">
      <c r="A3735" t="s">
        <v>4229</v>
      </c>
      <c r="B3735" t="s">
        <v>27</v>
      </c>
      <c r="C3735" t="s">
        <v>28</v>
      </c>
      <c r="H3735" s="2">
        <v>45045.751689814817</v>
      </c>
      <c r="I3735" t="s">
        <v>2681</v>
      </c>
      <c r="Z3735">
        <v>54703</v>
      </c>
    </row>
    <row r="3736" spans="1:26" x14ac:dyDescent="0.25">
      <c r="A3736" t="s">
        <v>4230</v>
      </c>
      <c r="B3736" t="s">
        <v>1993</v>
      </c>
      <c r="C3736" t="s">
        <v>28</v>
      </c>
      <c r="E3736" t="s">
        <v>4231</v>
      </c>
      <c r="H3736" s="2">
        <v>45044.796898148146</v>
      </c>
      <c r="I3736" t="s">
        <v>2681</v>
      </c>
      <c r="Z3736">
        <v>54632</v>
      </c>
    </row>
    <row r="3737" spans="1:26" x14ac:dyDescent="0.25">
      <c r="A3737" t="s">
        <v>4232</v>
      </c>
      <c r="B3737" t="s">
        <v>27</v>
      </c>
      <c r="C3737" t="s">
        <v>28</v>
      </c>
      <c r="H3737" s="2">
        <v>45044.723923611113</v>
      </c>
      <c r="I3737" t="s">
        <v>4114</v>
      </c>
      <c r="Z3737">
        <v>54621</v>
      </c>
    </row>
    <row r="3738" spans="1:26" x14ac:dyDescent="0.25">
      <c r="A3738" t="s">
        <v>4233</v>
      </c>
      <c r="B3738" t="s">
        <v>27</v>
      </c>
      <c r="C3738" t="s">
        <v>28</v>
      </c>
      <c r="H3738" s="2">
        <v>45044.704907407409</v>
      </c>
      <c r="I3738" t="s">
        <v>2681</v>
      </c>
      <c r="Z3738">
        <v>54614</v>
      </c>
    </row>
    <row r="3739" spans="1:26" x14ac:dyDescent="0.25">
      <c r="A3739" t="s">
        <v>4234</v>
      </c>
      <c r="B3739" t="s">
        <v>1993</v>
      </c>
      <c r="C3739" t="s">
        <v>28</v>
      </c>
      <c r="H3739" s="2">
        <v>45044.607407407406</v>
      </c>
      <c r="I3739" t="s">
        <v>2674</v>
      </c>
      <c r="Z3739">
        <v>54591</v>
      </c>
    </row>
    <row r="3740" spans="1:26" x14ac:dyDescent="0.25">
      <c r="A3740" t="s">
        <v>663</v>
      </c>
      <c r="C3740" t="s">
        <v>28</v>
      </c>
      <c r="E3740" t="s">
        <v>72</v>
      </c>
      <c r="H3740" s="2">
        <v>45044.566886574074</v>
      </c>
      <c r="I3740" t="s">
        <v>2674</v>
      </c>
      <c r="Z3740">
        <v>54584</v>
      </c>
    </row>
    <row r="3741" spans="1:26" x14ac:dyDescent="0.25">
      <c r="A3741" t="s">
        <v>4235</v>
      </c>
      <c r="B3741" t="s">
        <v>27</v>
      </c>
      <c r="C3741" t="s">
        <v>28</v>
      </c>
      <c r="H3741" s="2">
        <v>45044.525902777779</v>
      </c>
      <c r="I3741" t="s">
        <v>2674</v>
      </c>
      <c r="Z3741">
        <v>54573</v>
      </c>
    </row>
    <row r="3742" spans="1:26" x14ac:dyDescent="0.25">
      <c r="A3742" t="s">
        <v>4230</v>
      </c>
      <c r="B3742" t="s">
        <v>1993</v>
      </c>
      <c r="C3742" t="s">
        <v>28</v>
      </c>
      <c r="E3742" t="s">
        <v>4231</v>
      </c>
      <c r="H3742" s="2">
        <v>45044.49355324074</v>
      </c>
      <c r="I3742" t="s">
        <v>2681</v>
      </c>
      <c r="Z3742">
        <v>54564</v>
      </c>
    </row>
    <row r="3743" spans="1:26" x14ac:dyDescent="0.25">
      <c r="A3743" t="s">
        <v>4236</v>
      </c>
      <c r="B3743" t="s">
        <v>27</v>
      </c>
      <c r="C3743" t="s">
        <v>28</v>
      </c>
      <c r="H3743" s="2">
        <v>45044.475983796299</v>
      </c>
      <c r="I3743" t="s">
        <v>1488</v>
      </c>
      <c r="Z3743">
        <v>54558</v>
      </c>
    </row>
    <row r="3744" spans="1:26" x14ac:dyDescent="0.25">
      <c r="A3744" t="s">
        <v>4237</v>
      </c>
      <c r="B3744" t="s">
        <v>27</v>
      </c>
      <c r="C3744" t="s">
        <v>28</v>
      </c>
      <c r="H3744" s="2">
        <v>45043.691145833334</v>
      </c>
      <c r="I3744" t="s">
        <v>31</v>
      </c>
      <c r="Z3744">
        <v>54503</v>
      </c>
    </row>
    <row r="3745" spans="1:26" x14ac:dyDescent="0.25">
      <c r="A3745" t="s">
        <v>4238</v>
      </c>
      <c r="B3745" t="s">
        <v>27</v>
      </c>
      <c r="C3745" t="s">
        <v>28</v>
      </c>
      <c r="H3745" s="2">
        <v>45043.446956018517</v>
      </c>
      <c r="I3745" t="s">
        <v>2681</v>
      </c>
      <c r="Z3745">
        <v>54441</v>
      </c>
    </row>
    <row r="3746" spans="1:26" x14ac:dyDescent="0.25">
      <c r="A3746" t="s">
        <v>4239</v>
      </c>
      <c r="B3746" t="s">
        <v>27</v>
      </c>
      <c r="C3746" t="s">
        <v>28</v>
      </c>
      <c r="H3746" s="2">
        <v>45043.36791666667</v>
      </c>
      <c r="I3746" t="s">
        <v>1488</v>
      </c>
      <c r="Z3746">
        <v>54429</v>
      </c>
    </row>
    <row r="3747" spans="1:26" x14ac:dyDescent="0.25">
      <c r="A3747" t="s">
        <v>4105</v>
      </c>
      <c r="B3747" t="s">
        <v>1993</v>
      </c>
      <c r="C3747" t="s">
        <v>28</v>
      </c>
      <c r="E3747" t="s">
        <v>61</v>
      </c>
      <c r="H3747" s="2">
        <v>45043.044363425928</v>
      </c>
      <c r="I3747" t="s">
        <v>31</v>
      </c>
      <c r="Z3747">
        <v>54425</v>
      </c>
    </row>
    <row r="3748" spans="1:26" x14ac:dyDescent="0.25">
      <c r="A3748" t="s">
        <v>4240</v>
      </c>
      <c r="B3748" t="s">
        <v>27</v>
      </c>
      <c r="C3748" t="s">
        <v>28</v>
      </c>
      <c r="H3748" s="2">
        <v>45042.719143518516</v>
      </c>
      <c r="I3748" t="s">
        <v>2681</v>
      </c>
      <c r="Z3748">
        <v>54404</v>
      </c>
    </row>
    <row r="3749" spans="1:26" x14ac:dyDescent="0.25">
      <c r="A3749" t="s">
        <v>4241</v>
      </c>
      <c r="B3749" t="s">
        <v>27</v>
      </c>
      <c r="C3749" t="s">
        <v>28</v>
      </c>
      <c r="H3749" s="2">
        <v>45042.590636574074</v>
      </c>
      <c r="I3749" t="s">
        <v>31</v>
      </c>
      <c r="Z3749">
        <v>54382</v>
      </c>
    </row>
    <row r="3750" spans="1:26" x14ac:dyDescent="0.25">
      <c r="A3750" t="s">
        <v>4242</v>
      </c>
      <c r="B3750" t="s">
        <v>27</v>
      </c>
      <c r="C3750" t="s">
        <v>28</v>
      </c>
      <c r="H3750" s="2">
        <v>45041.697094907409</v>
      </c>
      <c r="I3750" t="s">
        <v>2674</v>
      </c>
      <c r="Z3750">
        <v>54323</v>
      </c>
    </row>
    <row r="3751" spans="1:26" x14ac:dyDescent="0.25">
      <c r="A3751" t="s">
        <v>4243</v>
      </c>
      <c r="C3751" t="s">
        <v>28</v>
      </c>
      <c r="E3751" t="s">
        <v>304</v>
      </c>
      <c r="H3751" s="2">
        <v>45041.586087962962</v>
      </c>
      <c r="I3751" t="s">
        <v>31</v>
      </c>
      <c r="Z3751">
        <v>54308</v>
      </c>
    </row>
    <row r="3752" spans="1:26" x14ac:dyDescent="0.25">
      <c r="A3752" t="s">
        <v>3854</v>
      </c>
      <c r="B3752" t="s">
        <v>27</v>
      </c>
      <c r="C3752" t="s">
        <v>28</v>
      </c>
      <c r="H3752" s="2">
        <v>45041.576284722221</v>
      </c>
      <c r="I3752" t="s">
        <v>2681</v>
      </c>
      <c r="Z3752">
        <v>54305</v>
      </c>
    </row>
    <row r="3753" spans="1:26" x14ac:dyDescent="0.25">
      <c r="A3753" t="s">
        <v>3323</v>
      </c>
      <c r="B3753" t="s">
        <v>1708</v>
      </c>
      <c r="C3753" t="s">
        <v>28</v>
      </c>
      <c r="E3753" t="s">
        <v>209</v>
      </c>
      <c r="G3753" t="s">
        <v>4244</v>
      </c>
      <c r="H3753" s="2">
        <v>45040.832152777781</v>
      </c>
      <c r="I3753" t="s">
        <v>31</v>
      </c>
      <c r="Z3753">
        <v>54259</v>
      </c>
    </row>
    <row r="3754" spans="1:26" x14ac:dyDescent="0.25">
      <c r="A3754" t="s">
        <v>4245</v>
      </c>
      <c r="B3754" t="s">
        <v>27</v>
      </c>
      <c r="C3754" t="s">
        <v>28</v>
      </c>
      <c r="H3754" s="2">
        <v>45040.682962962965</v>
      </c>
      <c r="I3754" t="s">
        <v>31</v>
      </c>
      <c r="Z3754">
        <v>54236</v>
      </c>
    </row>
    <row r="3755" spans="1:26" x14ac:dyDescent="0.25">
      <c r="A3755" t="s">
        <v>4246</v>
      </c>
      <c r="B3755" t="s">
        <v>74</v>
      </c>
      <c r="C3755" t="s">
        <v>28</v>
      </c>
      <c r="E3755" t="s">
        <v>232</v>
      </c>
      <c r="G3755" t="s">
        <v>4247</v>
      </c>
      <c r="H3755" s="2">
        <v>45040.668842592589</v>
      </c>
      <c r="I3755" t="s">
        <v>3054</v>
      </c>
      <c r="Z3755">
        <v>54234</v>
      </c>
    </row>
    <row r="3756" spans="1:26" x14ac:dyDescent="0.25">
      <c r="A3756" t="s">
        <v>4248</v>
      </c>
      <c r="B3756" t="s">
        <v>27</v>
      </c>
      <c r="C3756" t="s">
        <v>28</v>
      </c>
      <c r="H3756" s="2">
        <v>45040.422824074078</v>
      </c>
      <c r="I3756" t="s">
        <v>2674</v>
      </c>
      <c r="Z3756">
        <v>54186</v>
      </c>
    </row>
    <row r="3757" spans="1:26" x14ac:dyDescent="0.25">
      <c r="A3757" t="s">
        <v>4249</v>
      </c>
      <c r="B3757" t="s">
        <v>1708</v>
      </c>
      <c r="C3757" t="s">
        <v>28</v>
      </c>
      <c r="E3757" t="s">
        <v>4250</v>
      </c>
      <c r="H3757" s="2">
        <v>45040.41777777778</v>
      </c>
      <c r="I3757" t="s">
        <v>31</v>
      </c>
      <c r="Z3757">
        <v>54181</v>
      </c>
    </row>
    <row r="3758" spans="1:26" x14ac:dyDescent="0.25">
      <c r="A3758" t="s">
        <v>663</v>
      </c>
      <c r="C3758" t="s">
        <v>28</v>
      </c>
      <c r="E3758" t="s">
        <v>198</v>
      </c>
      <c r="H3758" s="2">
        <v>45039.687071759261</v>
      </c>
      <c r="I3758" t="s">
        <v>2674</v>
      </c>
      <c r="Z3758">
        <v>54156</v>
      </c>
    </row>
    <row r="3759" spans="1:26" x14ac:dyDescent="0.25">
      <c r="A3759" t="s">
        <v>4160</v>
      </c>
      <c r="B3759" t="s">
        <v>27</v>
      </c>
      <c r="C3759" t="s">
        <v>28</v>
      </c>
      <c r="H3759" s="2">
        <v>45039.663877314815</v>
      </c>
      <c r="I3759" t="s">
        <v>2681</v>
      </c>
      <c r="Z3759">
        <v>54150</v>
      </c>
    </row>
    <row r="3760" spans="1:26" x14ac:dyDescent="0.25">
      <c r="A3760" t="s">
        <v>4251</v>
      </c>
      <c r="B3760" t="s">
        <v>27</v>
      </c>
      <c r="C3760" t="s">
        <v>28</v>
      </c>
      <c r="H3760" s="2">
        <v>45039.538912037038</v>
      </c>
      <c r="I3760" t="s">
        <v>4114</v>
      </c>
      <c r="Z3760">
        <v>54129</v>
      </c>
    </row>
    <row r="3761" spans="1:26" x14ac:dyDescent="0.25">
      <c r="A3761" t="s">
        <v>4252</v>
      </c>
      <c r="B3761" t="s">
        <v>27</v>
      </c>
      <c r="C3761" t="s">
        <v>28</v>
      </c>
      <c r="H3761" s="2">
        <v>45038.809872685182</v>
      </c>
      <c r="I3761" t="s">
        <v>2674</v>
      </c>
      <c r="Z3761">
        <v>54107</v>
      </c>
    </row>
    <row r="3762" spans="1:26" x14ac:dyDescent="0.25">
      <c r="A3762" t="s">
        <v>4253</v>
      </c>
      <c r="B3762" t="s">
        <v>1708</v>
      </c>
      <c r="C3762" t="s">
        <v>28</v>
      </c>
      <c r="E3762" t="s">
        <v>4254</v>
      </c>
      <c r="G3762" t="s">
        <v>4255</v>
      </c>
      <c r="H3762" s="2">
        <v>45038.758217592593</v>
      </c>
      <c r="I3762" t="s">
        <v>2681</v>
      </c>
      <c r="Z3762">
        <v>54106</v>
      </c>
    </row>
    <row r="3763" spans="1:26" x14ac:dyDescent="0.25">
      <c r="A3763" t="s">
        <v>4256</v>
      </c>
      <c r="B3763" t="s">
        <v>27</v>
      </c>
      <c r="C3763" t="s">
        <v>28</v>
      </c>
      <c r="H3763" s="2">
        <v>45038.558888888889</v>
      </c>
      <c r="I3763" t="s">
        <v>2674</v>
      </c>
      <c r="Z3763">
        <v>54080</v>
      </c>
    </row>
    <row r="3764" spans="1:26" x14ac:dyDescent="0.25">
      <c r="A3764" t="s">
        <v>4257</v>
      </c>
      <c r="B3764" t="s">
        <v>27</v>
      </c>
      <c r="C3764" t="s">
        <v>28</v>
      </c>
      <c r="H3764" s="2">
        <v>45038.53875</v>
      </c>
      <c r="I3764" t="s">
        <v>4114</v>
      </c>
      <c r="Z3764">
        <v>54075</v>
      </c>
    </row>
    <row r="3765" spans="1:26" x14ac:dyDescent="0.25">
      <c r="A3765" t="s">
        <v>2828</v>
      </c>
      <c r="B3765" t="s">
        <v>27</v>
      </c>
      <c r="C3765" t="s">
        <v>28</v>
      </c>
      <c r="H3765" s="2">
        <v>45037.692048611112</v>
      </c>
      <c r="I3765" t="s">
        <v>31</v>
      </c>
      <c r="Z3765">
        <v>54034</v>
      </c>
    </row>
    <row r="3766" spans="1:26" x14ac:dyDescent="0.25">
      <c r="A3766" t="s">
        <v>4258</v>
      </c>
      <c r="B3766" t="s">
        <v>27</v>
      </c>
      <c r="C3766" t="s">
        <v>28</v>
      </c>
      <c r="H3766" s="2">
        <v>45037.659305555557</v>
      </c>
      <c r="I3766" t="s">
        <v>31</v>
      </c>
      <c r="Z3766">
        <v>54030</v>
      </c>
    </row>
    <row r="3767" spans="1:26" x14ac:dyDescent="0.25">
      <c r="A3767" t="s">
        <v>1913</v>
      </c>
      <c r="C3767" t="s">
        <v>28</v>
      </c>
      <c r="E3767" t="s">
        <v>72</v>
      </c>
      <c r="H3767" s="2">
        <v>45037.605451388888</v>
      </c>
      <c r="I3767" t="s">
        <v>31</v>
      </c>
      <c r="Z3767">
        <v>54022</v>
      </c>
    </row>
    <row r="3768" spans="1:26" x14ac:dyDescent="0.25">
      <c r="A3768" t="s">
        <v>4155</v>
      </c>
      <c r="B3768" t="s">
        <v>27</v>
      </c>
      <c r="C3768" t="s">
        <v>28</v>
      </c>
      <c r="H3768" s="2">
        <v>45036.494884259257</v>
      </c>
      <c r="I3768" t="s">
        <v>2681</v>
      </c>
      <c r="Z3768">
        <v>53932</v>
      </c>
    </row>
    <row r="3769" spans="1:26" x14ac:dyDescent="0.25">
      <c r="A3769" t="s">
        <v>4259</v>
      </c>
      <c r="B3769" t="s">
        <v>27</v>
      </c>
      <c r="C3769" t="s">
        <v>28</v>
      </c>
      <c r="H3769" s="2">
        <v>45035.401134259257</v>
      </c>
      <c r="I3769" t="s">
        <v>2674</v>
      </c>
      <c r="Z3769">
        <v>53836</v>
      </c>
    </row>
    <row r="3770" spans="1:26" x14ac:dyDescent="0.25">
      <c r="A3770" t="s">
        <v>3707</v>
      </c>
      <c r="B3770" t="s">
        <v>1708</v>
      </c>
      <c r="C3770" t="s">
        <v>28</v>
      </c>
      <c r="E3770" t="s">
        <v>278</v>
      </c>
      <c r="H3770" s="2">
        <v>45034.976712962962</v>
      </c>
      <c r="I3770" t="s">
        <v>31</v>
      </c>
      <c r="Z3770">
        <v>53827</v>
      </c>
    </row>
    <row r="3771" spans="1:26" x14ac:dyDescent="0.25">
      <c r="A3771" t="s">
        <v>4260</v>
      </c>
      <c r="B3771" t="s">
        <v>27</v>
      </c>
      <c r="C3771" t="s">
        <v>28</v>
      </c>
      <c r="H3771" s="2">
        <v>45034.820196759261</v>
      </c>
      <c r="I3771" t="s">
        <v>2674</v>
      </c>
      <c r="Z3771">
        <v>53825</v>
      </c>
    </row>
    <row r="3772" spans="1:26" x14ac:dyDescent="0.25">
      <c r="A3772" t="s">
        <v>570</v>
      </c>
      <c r="C3772" t="s">
        <v>28</v>
      </c>
      <c r="E3772" t="s">
        <v>4261</v>
      </c>
      <c r="H3772" s="2">
        <v>45034.803877314815</v>
      </c>
      <c r="I3772" t="s">
        <v>31</v>
      </c>
      <c r="Z3772">
        <v>53824</v>
      </c>
    </row>
    <row r="3773" spans="1:26" x14ac:dyDescent="0.25">
      <c r="A3773" t="s">
        <v>2828</v>
      </c>
      <c r="B3773" t="s">
        <v>27</v>
      </c>
      <c r="C3773" t="s">
        <v>28</v>
      </c>
      <c r="H3773" s="2">
        <v>45034.496354166666</v>
      </c>
      <c r="I3773" t="s">
        <v>31</v>
      </c>
      <c r="Z3773">
        <v>53775</v>
      </c>
    </row>
    <row r="3774" spans="1:26" x14ac:dyDescent="0.25">
      <c r="A3774" t="s">
        <v>4262</v>
      </c>
      <c r="B3774" t="s">
        <v>27</v>
      </c>
      <c r="C3774" t="s">
        <v>28</v>
      </c>
      <c r="H3774" s="2">
        <v>45034.477048611108</v>
      </c>
      <c r="I3774" t="s">
        <v>31</v>
      </c>
      <c r="Z3774">
        <v>53771</v>
      </c>
    </row>
    <row r="3775" spans="1:26" x14ac:dyDescent="0.25">
      <c r="A3775" t="s">
        <v>4263</v>
      </c>
      <c r="B3775" t="s">
        <v>27</v>
      </c>
      <c r="C3775" t="s">
        <v>28</v>
      </c>
      <c r="H3775" s="2">
        <v>45034.469641203701</v>
      </c>
      <c r="I3775" t="s">
        <v>31</v>
      </c>
      <c r="Z3775">
        <v>53769</v>
      </c>
    </row>
    <row r="3776" spans="1:26" x14ac:dyDescent="0.25">
      <c r="A3776" t="s">
        <v>4264</v>
      </c>
      <c r="B3776" t="s">
        <v>27</v>
      </c>
      <c r="C3776" t="s">
        <v>28</v>
      </c>
      <c r="H3776" s="2">
        <v>45033.873969907407</v>
      </c>
      <c r="I3776" t="s">
        <v>2674</v>
      </c>
      <c r="Z3776">
        <v>53746</v>
      </c>
    </row>
    <row r="3777" spans="1:26" x14ac:dyDescent="0.25">
      <c r="A3777" t="s">
        <v>4265</v>
      </c>
      <c r="B3777" t="s">
        <v>27</v>
      </c>
      <c r="C3777" t="s">
        <v>28</v>
      </c>
      <c r="E3777" t="s">
        <v>1916</v>
      </c>
      <c r="H3777" s="2">
        <v>45033.861724537041</v>
      </c>
      <c r="I3777" t="s">
        <v>2681</v>
      </c>
      <c r="Z3777">
        <v>53745</v>
      </c>
    </row>
    <row r="3778" spans="1:26" x14ac:dyDescent="0.25">
      <c r="A3778" t="s">
        <v>4266</v>
      </c>
      <c r="B3778" t="s">
        <v>27</v>
      </c>
      <c r="C3778" t="s">
        <v>28</v>
      </c>
      <c r="H3778" s="2">
        <v>45033.755659722221</v>
      </c>
      <c r="I3778" t="s">
        <v>2681</v>
      </c>
      <c r="Z3778">
        <v>53736</v>
      </c>
    </row>
    <row r="3779" spans="1:26" x14ac:dyDescent="0.25">
      <c r="A3779" t="s">
        <v>4267</v>
      </c>
      <c r="B3779" t="s">
        <v>27</v>
      </c>
      <c r="C3779" t="s">
        <v>28</v>
      </c>
      <c r="H3779" s="2">
        <v>45033.703472222223</v>
      </c>
      <c r="I3779" t="s">
        <v>2674</v>
      </c>
      <c r="Z3779">
        <v>53729</v>
      </c>
    </row>
    <row r="3780" spans="1:26" x14ac:dyDescent="0.25">
      <c r="A3780" t="s">
        <v>4268</v>
      </c>
      <c r="B3780" t="s">
        <v>27</v>
      </c>
      <c r="C3780" t="s">
        <v>28</v>
      </c>
      <c r="H3780" s="2">
        <v>45033.673344907409</v>
      </c>
      <c r="I3780" t="s">
        <v>2681</v>
      </c>
      <c r="Z3780">
        <v>53723</v>
      </c>
    </row>
    <row r="3781" spans="1:26" x14ac:dyDescent="0.25">
      <c r="A3781" t="s">
        <v>4269</v>
      </c>
      <c r="B3781" t="s">
        <v>27</v>
      </c>
      <c r="C3781" t="s">
        <v>28</v>
      </c>
      <c r="H3781" s="2">
        <v>45033.66605324074</v>
      </c>
      <c r="I3781" t="s">
        <v>2674</v>
      </c>
      <c r="Z3781">
        <v>53721</v>
      </c>
    </row>
    <row r="3782" spans="1:26" x14ac:dyDescent="0.25">
      <c r="A3782" t="s">
        <v>4270</v>
      </c>
      <c r="B3782" t="s">
        <v>27</v>
      </c>
      <c r="C3782" t="s">
        <v>28</v>
      </c>
      <c r="H3782" s="2">
        <v>45033.594618055555</v>
      </c>
      <c r="I3782" t="s">
        <v>2681</v>
      </c>
      <c r="Z3782">
        <v>53702</v>
      </c>
    </row>
    <row r="3783" spans="1:26" x14ac:dyDescent="0.25">
      <c r="A3783" t="s">
        <v>3304</v>
      </c>
      <c r="B3783" t="s">
        <v>27</v>
      </c>
      <c r="C3783" t="s">
        <v>28</v>
      </c>
      <c r="H3783" s="2">
        <v>45033.459918981483</v>
      </c>
      <c r="I3783" t="s">
        <v>2674</v>
      </c>
      <c r="Z3783">
        <v>53672</v>
      </c>
    </row>
    <row r="3784" spans="1:26" x14ac:dyDescent="0.25">
      <c r="A3784" t="s">
        <v>4271</v>
      </c>
      <c r="B3784" t="s">
        <v>27</v>
      </c>
      <c r="C3784" t="s">
        <v>28</v>
      </c>
      <c r="H3784" s="2">
        <v>45033.401759259257</v>
      </c>
      <c r="I3784" t="s">
        <v>1488</v>
      </c>
      <c r="Z3784">
        <v>53658</v>
      </c>
    </row>
    <row r="3785" spans="1:26" x14ac:dyDescent="0.25">
      <c r="A3785" t="s">
        <v>606</v>
      </c>
      <c r="B3785" t="s">
        <v>306</v>
      </c>
      <c r="C3785" t="s">
        <v>28</v>
      </c>
      <c r="E3785" t="s">
        <v>198</v>
      </c>
      <c r="H3785" s="2">
        <v>45033.401562500003</v>
      </c>
      <c r="I3785" t="s">
        <v>2674</v>
      </c>
      <c r="Z3785">
        <v>53657</v>
      </c>
    </row>
    <row r="3786" spans="1:26" x14ac:dyDescent="0.25">
      <c r="A3786" t="s">
        <v>4272</v>
      </c>
      <c r="B3786" t="s">
        <v>27</v>
      </c>
      <c r="C3786" t="s">
        <v>28</v>
      </c>
      <c r="H3786" s="2">
        <v>45033.376076388886</v>
      </c>
      <c r="I3786" t="s">
        <v>2674</v>
      </c>
      <c r="Z3786">
        <v>53652</v>
      </c>
    </row>
    <row r="3787" spans="1:26" x14ac:dyDescent="0.25">
      <c r="A3787" t="s">
        <v>4273</v>
      </c>
      <c r="B3787" t="s">
        <v>1708</v>
      </c>
      <c r="C3787" t="s">
        <v>28</v>
      </c>
      <c r="E3787" t="s">
        <v>763</v>
      </c>
      <c r="H3787" s="2">
        <v>45030.990243055552</v>
      </c>
      <c r="I3787" t="s">
        <v>31</v>
      </c>
      <c r="Z3787">
        <v>53538</v>
      </c>
    </row>
    <row r="3788" spans="1:26" x14ac:dyDescent="0.25">
      <c r="A3788" t="s">
        <v>4274</v>
      </c>
      <c r="B3788" t="s">
        <v>27</v>
      </c>
      <c r="C3788" t="s">
        <v>28</v>
      </c>
      <c r="H3788" s="2">
        <v>45030.758344907408</v>
      </c>
      <c r="I3788" t="s">
        <v>31</v>
      </c>
      <c r="Z3788">
        <v>53529</v>
      </c>
    </row>
    <row r="3789" spans="1:26" x14ac:dyDescent="0.25">
      <c r="A3789" t="s">
        <v>4275</v>
      </c>
      <c r="B3789" t="s">
        <v>74</v>
      </c>
      <c r="C3789" t="s">
        <v>28</v>
      </c>
      <c r="E3789" t="s">
        <v>1836</v>
      </c>
      <c r="G3789" t="s">
        <v>4276</v>
      </c>
      <c r="H3789" s="2">
        <v>45030.590613425928</v>
      </c>
      <c r="I3789" t="s">
        <v>2681</v>
      </c>
      <c r="K3789" t="s">
        <v>34</v>
      </c>
      <c r="L3789" t="s">
        <v>35</v>
      </c>
      <c r="M3789">
        <v>55887089</v>
      </c>
      <c r="N3789">
        <v>12886094172</v>
      </c>
      <c r="O3789" t="s">
        <v>4277</v>
      </c>
      <c r="Z3789">
        <v>53512</v>
      </c>
    </row>
    <row r="3790" spans="1:26" x14ac:dyDescent="0.25">
      <c r="A3790" t="s">
        <v>4278</v>
      </c>
      <c r="B3790" t="s">
        <v>27</v>
      </c>
      <c r="C3790" t="s">
        <v>28</v>
      </c>
      <c r="H3790" s="2">
        <v>45030.45722222222</v>
      </c>
      <c r="I3790" t="s">
        <v>3864</v>
      </c>
      <c r="Z3790">
        <v>53487</v>
      </c>
    </row>
    <row r="3791" spans="1:26" x14ac:dyDescent="0.25">
      <c r="A3791" t="s">
        <v>4279</v>
      </c>
      <c r="B3791" t="s">
        <v>27</v>
      </c>
      <c r="C3791" t="s">
        <v>28</v>
      </c>
      <c r="H3791" s="2">
        <v>45029.665451388886</v>
      </c>
      <c r="I3791" t="s">
        <v>31</v>
      </c>
      <c r="Z3791">
        <v>53439</v>
      </c>
    </row>
    <row r="3792" spans="1:26" x14ac:dyDescent="0.25">
      <c r="A3792" t="s">
        <v>4280</v>
      </c>
      <c r="B3792" t="s">
        <v>2162</v>
      </c>
      <c r="C3792" t="s">
        <v>28</v>
      </c>
      <c r="E3792" t="s">
        <v>370</v>
      </c>
      <c r="G3792" t="s">
        <v>4281</v>
      </c>
      <c r="H3792" s="2">
        <v>45029.61954861111</v>
      </c>
      <c r="I3792" t="s">
        <v>2113</v>
      </c>
      <c r="K3792" t="s">
        <v>895</v>
      </c>
      <c r="L3792" t="s">
        <v>4282</v>
      </c>
      <c r="M3792" t="s">
        <v>4283</v>
      </c>
      <c r="Z3792">
        <v>53433</v>
      </c>
    </row>
    <row r="3793" spans="1:26" x14ac:dyDescent="0.25">
      <c r="A3793" t="s">
        <v>4284</v>
      </c>
      <c r="B3793" t="s">
        <v>27</v>
      </c>
      <c r="C3793" t="s">
        <v>28</v>
      </c>
      <c r="H3793" s="2">
        <v>45029.599907407406</v>
      </c>
      <c r="I3793" t="s">
        <v>31</v>
      </c>
      <c r="Z3793">
        <v>53429</v>
      </c>
    </row>
    <row r="3794" spans="1:26" x14ac:dyDescent="0.25">
      <c r="A3794" t="s">
        <v>4285</v>
      </c>
      <c r="B3794" t="s">
        <v>1708</v>
      </c>
      <c r="C3794" t="s">
        <v>28</v>
      </c>
      <c r="E3794" t="s">
        <v>4286</v>
      </c>
      <c r="H3794" s="2">
        <v>45029.445335648146</v>
      </c>
      <c r="I3794" t="s">
        <v>1488</v>
      </c>
      <c r="Z3794">
        <v>53391</v>
      </c>
    </row>
    <row r="3795" spans="1:26" x14ac:dyDescent="0.25">
      <c r="A3795" t="s">
        <v>4287</v>
      </c>
      <c r="B3795" t="s">
        <v>27</v>
      </c>
      <c r="C3795" t="s">
        <v>28</v>
      </c>
      <c r="H3795" s="2">
        <v>45028.735590277778</v>
      </c>
      <c r="I3795" t="s">
        <v>2674</v>
      </c>
      <c r="Z3795">
        <v>53361</v>
      </c>
    </row>
    <row r="3796" spans="1:26" x14ac:dyDescent="0.25">
      <c r="A3796" t="s">
        <v>4288</v>
      </c>
      <c r="B3796" t="s">
        <v>27</v>
      </c>
      <c r="C3796" t="s">
        <v>28</v>
      </c>
      <c r="H3796" s="2">
        <v>45028.71665509259</v>
      </c>
      <c r="I3796" t="s">
        <v>31</v>
      </c>
      <c r="Z3796">
        <v>53359</v>
      </c>
    </row>
    <row r="3797" spans="1:26" x14ac:dyDescent="0.25">
      <c r="A3797" t="s">
        <v>4289</v>
      </c>
      <c r="B3797" t="s">
        <v>27</v>
      </c>
      <c r="C3797" t="s">
        <v>28</v>
      </c>
      <c r="H3797" s="2">
        <v>45027.721944444442</v>
      </c>
      <c r="I3797" t="s">
        <v>1488</v>
      </c>
      <c r="Z3797">
        <v>53264</v>
      </c>
    </row>
    <row r="3798" spans="1:26" x14ac:dyDescent="0.25">
      <c r="A3798" t="s">
        <v>4290</v>
      </c>
      <c r="B3798" t="s">
        <v>27</v>
      </c>
      <c r="C3798" t="s">
        <v>28</v>
      </c>
      <c r="H3798" s="2">
        <v>45027.666412037041</v>
      </c>
      <c r="I3798" t="s">
        <v>2674</v>
      </c>
      <c r="Z3798">
        <v>53254</v>
      </c>
    </row>
    <row r="3799" spans="1:26" x14ac:dyDescent="0.25">
      <c r="A3799" t="s">
        <v>4291</v>
      </c>
      <c r="B3799" t="s">
        <v>27</v>
      </c>
      <c r="C3799" t="s">
        <v>28</v>
      </c>
      <c r="H3799" s="2">
        <v>45027.597453703704</v>
      </c>
      <c r="I3799" t="s">
        <v>2674</v>
      </c>
      <c r="Z3799">
        <v>53239</v>
      </c>
    </row>
    <row r="3800" spans="1:26" x14ac:dyDescent="0.25">
      <c r="A3800" t="s">
        <v>2871</v>
      </c>
      <c r="B3800" t="s">
        <v>27</v>
      </c>
      <c r="C3800" t="s">
        <v>28</v>
      </c>
      <c r="H3800" s="2">
        <v>45027.523634259262</v>
      </c>
      <c r="I3800" t="s">
        <v>4114</v>
      </c>
      <c r="Z3800">
        <v>53223</v>
      </c>
    </row>
    <row r="3801" spans="1:26" x14ac:dyDescent="0.25">
      <c r="A3801" t="s">
        <v>4292</v>
      </c>
      <c r="B3801" t="s">
        <v>27</v>
      </c>
      <c r="C3801" t="s">
        <v>28</v>
      </c>
      <c r="H3801" s="2">
        <v>45027.489039351851</v>
      </c>
      <c r="I3801" t="s">
        <v>4114</v>
      </c>
      <c r="Z3801">
        <v>53214</v>
      </c>
    </row>
    <row r="3802" spans="1:26" x14ac:dyDescent="0.25">
      <c r="A3802" t="s">
        <v>4293</v>
      </c>
      <c r="B3802" t="s">
        <v>27</v>
      </c>
      <c r="C3802" t="s">
        <v>28</v>
      </c>
      <c r="H3802" s="2">
        <v>45026.591631944444</v>
      </c>
      <c r="I3802" t="s">
        <v>2681</v>
      </c>
      <c r="Z3802">
        <v>53133</v>
      </c>
    </row>
    <row r="3803" spans="1:26" x14ac:dyDescent="0.25">
      <c r="A3803" t="s">
        <v>4294</v>
      </c>
      <c r="B3803" t="s">
        <v>27</v>
      </c>
      <c r="C3803" t="s">
        <v>28</v>
      </c>
      <c r="H3803" s="2">
        <v>45026.546620370369</v>
      </c>
      <c r="I3803" t="s">
        <v>2674</v>
      </c>
      <c r="Z3803">
        <v>53124</v>
      </c>
    </row>
    <row r="3804" spans="1:26" x14ac:dyDescent="0.25">
      <c r="A3804" t="s">
        <v>4295</v>
      </c>
      <c r="B3804" t="s">
        <v>27</v>
      </c>
      <c r="C3804" t="s">
        <v>28</v>
      </c>
      <c r="H3804" s="2">
        <v>45026.525358796294</v>
      </c>
      <c r="I3804" t="s">
        <v>2674</v>
      </c>
      <c r="Z3804">
        <v>53118</v>
      </c>
    </row>
    <row r="3805" spans="1:26" x14ac:dyDescent="0.25">
      <c r="A3805" t="s">
        <v>4296</v>
      </c>
      <c r="B3805" t="s">
        <v>74</v>
      </c>
      <c r="C3805" t="s">
        <v>28</v>
      </c>
      <c r="E3805" t="s">
        <v>272</v>
      </c>
      <c r="G3805" t="s">
        <v>4297</v>
      </c>
      <c r="H3805" s="2">
        <v>45025.81082175926</v>
      </c>
      <c r="I3805" t="s">
        <v>2681</v>
      </c>
      <c r="Z3805">
        <v>53073</v>
      </c>
    </row>
    <row r="3806" spans="1:26" x14ac:dyDescent="0.25">
      <c r="A3806" t="s">
        <v>4298</v>
      </c>
      <c r="B3806" t="s">
        <v>27</v>
      </c>
      <c r="C3806" t="s">
        <v>28</v>
      </c>
      <c r="H3806" s="2">
        <v>45025.635254629633</v>
      </c>
      <c r="I3806" t="s">
        <v>3864</v>
      </c>
      <c r="Z3806">
        <v>53057</v>
      </c>
    </row>
    <row r="3807" spans="1:26" x14ac:dyDescent="0.25">
      <c r="A3807" t="s">
        <v>4299</v>
      </c>
      <c r="B3807" t="s">
        <v>27</v>
      </c>
      <c r="C3807" t="s">
        <v>28</v>
      </c>
      <c r="H3807" s="2">
        <v>45025.619652777779</v>
      </c>
      <c r="I3807" t="s">
        <v>31</v>
      </c>
      <c r="Z3807">
        <v>53054</v>
      </c>
    </row>
    <row r="3808" spans="1:26" x14ac:dyDescent="0.25">
      <c r="A3808" t="s">
        <v>4300</v>
      </c>
      <c r="B3808" t="s">
        <v>27</v>
      </c>
      <c r="C3808" t="s">
        <v>28</v>
      </c>
      <c r="H3808" s="2">
        <v>45024.655428240738</v>
      </c>
      <c r="I3808" t="s">
        <v>4301</v>
      </c>
      <c r="Z3808">
        <v>52978</v>
      </c>
    </row>
    <row r="3809" spans="1:26" x14ac:dyDescent="0.25">
      <c r="A3809" t="s">
        <v>4302</v>
      </c>
      <c r="B3809" t="s">
        <v>27</v>
      </c>
      <c r="C3809" t="s">
        <v>28</v>
      </c>
      <c r="H3809" s="2">
        <v>45024.622939814813</v>
      </c>
      <c r="I3809" t="s">
        <v>4301</v>
      </c>
      <c r="Z3809">
        <v>52973</v>
      </c>
    </row>
    <row r="3810" spans="1:26" x14ac:dyDescent="0.25">
      <c r="A3810" t="s">
        <v>4303</v>
      </c>
      <c r="B3810" t="s">
        <v>27</v>
      </c>
      <c r="C3810" t="s">
        <v>28</v>
      </c>
      <c r="E3810" t="s">
        <v>290</v>
      </c>
      <c r="H3810" s="2">
        <v>45024.37568287037</v>
      </c>
      <c r="I3810" t="s">
        <v>31</v>
      </c>
      <c r="Z3810">
        <v>52913</v>
      </c>
    </row>
    <row r="3811" spans="1:26" x14ac:dyDescent="0.25">
      <c r="A3811" t="s">
        <v>4304</v>
      </c>
      <c r="C3811" t="s">
        <v>28</v>
      </c>
      <c r="E3811" t="s">
        <v>649</v>
      </c>
      <c r="H3811" s="2">
        <v>45024.031134259261</v>
      </c>
      <c r="I3811" t="s">
        <v>31</v>
      </c>
      <c r="Z3811">
        <v>52908</v>
      </c>
    </row>
    <row r="3812" spans="1:26" x14ac:dyDescent="0.25">
      <c r="A3812" t="s">
        <v>4305</v>
      </c>
      <c r="B3812" t="s">
        <v>27</v>
      </c>
      <c r="C3812" t="s">
        <v>28</v>
      </c>
      <c r="H3812" s="2">
        <v>45023.668483796297</v>
      </c>
      <c r="I3812" t="s">
        <v>31</v>
      </c>
      <c r="Z3812">
        <v>52885</v>
      </c>
    </row>
    <row r="3813" spans="1:26" x14ac:dyDescent="0.25">
      <c r="A3813" t="s">
        <v>4306</v>
      </c>
      <c r="B3813" t="s">
        <v>27</v>
      </c>
      <c r="C3813" t="s">
        <v>28</v>
      </c>
      <c r="H3813" s="2">
        <v>45023.449907407405</v>
      </c>
      <c r="I3813" t="s">
        <v>3864</v>
      </c>
      <c r="Z3813">
        <v>52834</v>
      </c>
    </row>
    <row r="3814" spans="1:26" x14ac:dyDescent="0.25">
      <c r="A3814" t="s">
        <v>4307</v>
      </c>
      <c r="B3814" t="s">
        <v>27</v>
      </c>
      <c r="C3814" t="s">
        <v>28</v>
      </c>
      <c r="H3814" s="2">
        <v>45023.445057870369</v>
      </c>
      <c r="I3814" t="s">
        <v>2674</v>
      </c>
      <c r="Z3814">
        <v>52832</v>
      </c>
    </row>
    <row r="3815" spans="1:26" x14ac:dyDescent="0.25">
      <c r="A3815" t="s">
        <v>4308</v>
      </c>
      <c r="B3815" t="s">
        <v>27</v>
      </c>
      <c r="C3815" t="s">
        <v>28</v>
      </c>
      <c r="H3815" s="2">
        <v>45022.419004629628</v>
      </c>
      <c r="I3815" t="s">
        <v>31</v>
      </c>
      <c r="Z3815">
        <v>52704</v>
      </c>
    </row>
    <row r="3816" spans="1:26" x14ac:dyDescent="0.25">
      <c r="A3816" t="s">
        <v>4309</v>
      </c>
      <c r="B3816" t="s">
        <v>27</v>
      </c>
      <c r="C3816" t="s">
        <v>28</v>
      </c>
      <c r="H3816" s="2">
        <v>45021.574305555558</v>
      </c>
      <c r="I3816" t="s">
        <v>2674</v>
      </c>
      <c r="Z3816">
        <v>52619</v>
      </c>
    </row>
    <row r="3817" spans="1:26" x14ac:dyDescent="0.25">
      <c r="A3817" t="s">
        <v>4310</v>
      </c>
      <c r="B3817" t="s">
        <v>27</v>
      </c>
      <c r="C3817" t="s">
        <v>28</v>
      </c>
      <c r="H3817" s="2">
        <v>45020.695868055554</v>
      </c>
      <c r="I3817" t="s">
        <v>2674</v>
      </c>
      <c r="Z3817">
        <v>52517</v>
      </c>
    </row>
    <row r="3818" spans="1:26" x14ac:dyDescent="0.25">
      <c r="A3818" t="s">
        <v>4311</v>
      </c>
      <c r="B3818" t="s">
        <v>27</v>
      </c>
      <c r="C3818" t="s">
        <v>28</v>
      </c>
      <c r="H3818" s="2">
        <v>45020.583043981482</v>
      </c>
      <c r="I3818" t="s">
        <v>2681</v>
      </c>
      <c r="Z3818">
        <v>52472</v>
      </c>
    </row>
    <row r="3819" spans="1:26" x14ac:dyDescent="0.25">
      <c r="A3819" t="s">
        <v>4312</v>
      </c>
      <c r="B3819" t="s">
        <v>27</v>
      </c>
      <c r="C3819" t="s">
        <v>28</v>
      </c>
      <c r="H3819" s="2">
        <v>45020.49927083333</v>
      </c>
      <c r="I3819" t="s">
        <v>2674</v>
      </c>
      <c r="Z3819">
        <v>52446</v>
      </c>
    </row>
    <row r="3820" spans="1:26" x14ac:dyDescent="0.25">
      <c r="A3820" t="s">
        <v>606</v>
      </c>
      <c r="B3820" t="s">
        <v>306</v>
      </c>
      <c r="C3820" t="s">
        <v>28</v>
      </c>
      <c r="E3820" t="s">
        <v>232</v>
      </c>
      <c r="H3820" s="2">
        <v>45020.426921296297</v>
      </c>
      <c r="I3820" t="s">
        <v>2681</v>
      </c>
      <c r="K3820" t="s">
        <v>34</v>
      </c>
      <c r="L3820" t="s">
        <v>35</v>
      </c>
      <c r="M3820">
        <v>55887089</v>
      </c>
      <c r="N3820">
        <v>12886156207</v>
      </c>
      <c r="O3820" t="s">
        <v>3409</v>
      </c>
      <c r="Z3820">
        <v>52413</v>
      </c>
    </row>
    <row r="3821" spans="1:26" x14ac:dyDescent="0.25">
      <c r="A3821" t="s">
        <v>4313</v>
      </c>
      <c r="C3821" t="s">
        <v>28</v>
      </c>
      <c r="E3821" t="s">
        <v>427</v>
      </c>
      <c r="H3821" s="2">
        <v>45019.754432870373</v>
      </c>
      <c r="I3821" t="s">
        <v>31</v>
      </c>
      <c r="Z3821">
        <v>52371</v>
      </c>
    </row>
    <row r="3822" spans="1:26" x14ac:dyDescent="0.25">
      <c r="A3822" t="s">
        <v>1793</v>
      </c>
      <c r="B3822" t="s">
        <v>27</v>
      </c>
      <c r="C3822" t="s">
        <v>28</v>
      </c>
      <c r="H3822" s="2">
        <v>45019.685243055559</v>
      </c>
      <c r="I3822" t="s">
        <v>3864</v>
      </c>
      <c r="Z3822">
        <v>52346</v>
      </c>
    </row>
    <row r="3823" spans="1:26" x14ac:dyDescent="0.25">
      <c r="A3823" t="s">
        <v>4314</v>
      </c>
      <c r="B3823" t="s">
        <v>27</v>
      </c>
      <c r="C3823" t="s">
        <v>28</v>
      </c>
      <c r="H3823" s="2">
        <v>45019.526087962964</v>
      </c>
      <c r="I3823" t="s">
        <v>31</v>
      </c>
      <c r="Z3823">
        <v>52285</v>
      </c>
    </row>
    <row r="3824" spans="1:26" x14ac:dyDescent="0.25">
      <c r="A3824" t="s">
        <v>4279</v>
      </c>
      <c r="B3824" t="s">
        <v>27</v>
      </c>
      <c r="C3824" t="s">
        <v>28</v>
      </c>
      <c r="H3824" s="2">
        <v>45019.518495370372</v>
      </c>
      <c r="I3824" t="s">
        <v>31</v>
      </c>
      <c r="Z3824">
        <v>52281</v>
      </c>
    </row>
    <row r="3825" spans="1:26" x14ac:dyDescent="0.25">
      <c r="A3825" t="s">
        <v>1793</v>
      </c>
      <c r="B3825" t="s">
        <v>27</v>
      </c>
      <c r="C3825" t="s">
        <v>28</v>
      </c>
      <c r="H3825" s="2">
        <v>45019.470509259256</v>
      </c>
      <c r="I3825" t="s">
        <v>3864</v>
      </c>
      <c r="Z3825">
        <v>52259</v>
      </c>
    </row>
    <row r="3826" spans="1:26" x14ac:dyDescent="0.25">
      <c r="A3826" t="s">
        <v>606</v>
      </c>
      <c r="B3826" t="s">
        <v>306</v>
      </c>
      <c r="C3826" t="s">
        <v>28</v>
      </c>
      <c r="E3826" t="s">
        <v>2854</v>
      </c>
      <c r="H3826" s="2">
        <v>45017.836458333331</v>
      </c>
      <c r="I3826" t="s">
        <v>31</v>
      </c>
      <c r="Z3826">
        <v>52087</v>
      </c>
    </row>
    <row r="3827" spans="1:26" x14ac:dyDescent="0.25">
      <c r="A3827" t="s">
        <v>1793</v>
      </c>
      <c r="B3827" t="s">
        <v>27</v>
      </c>
      <c r="C3827" t="s">
        <v>28</v>
      </c>
      <c r="H3827" s="2">
        <v>45017.522465277776</v>
      </c>
      <c r="I3827" t="s">
        <v>31</v>
      </c>
      <c r="Z3827">
        <v>52009</v>
      </c>
    </row>
    <row r="3828" spans="1:26" x14ac:dyDescent="0.25">
      <c r="A3828" t="s">
        <v>4315</v>
      </c>
      <c r="B3828" t="s">
        <v>27</v>
      </c>
      <c r="C3828" t="s">
        <v>28</v>
      </c>
      <c r="H3828" s="2">
        <v>45016.584328703706</v>
      </c>
      <c r="I3828" t="s">
        <v>2674</v>
      </c>
      <c r="Z3828">
        <v>51932</v>
      </c>
    </row>
    <row r="3829" spans="1:26" x14ac:dyDescent="0.25">
      <c r="A3829" t="s">
        <v>4316</v>
      </c>
      <c r="B3829" t="s">
        <v>27</v>
      </c>
      <c r="C3829" t="s">
        <v>28</v>
      </c>
      <c r="H3829" s="2">
        <v>45016.420775462961</v>
      </c>
      <c r="I3829" t="s">
        <v>2674</v>
      </c>
      <c r="Z3829">
        <v>51901</v>
      </c>
    </row>
    <row r="3830" spans="1:26" x14ac:dyDescent="0.25">
      <c r="A3830" t="s">
        <v>4317</v>
      </c>
      <c r="B3830" t="s">
        <v>27</v>
      </c>
      <c r="C3830" t="s">
        <v>28</v>
      </c>
      <c r="H3830" s="2">
        <v>45015.797592592593</v>
      </c>
      <c r="I3830" t="s">
        <v>2674</v>
      </c>
      <c r="Z3830">
        <v>51878</v>
      </c>
    </row>
    <row r="3831" spans="1:26" x14ac:dyDescent="0.25">
      <c r="A3831" t="s">
        <v>4318</v>
      </c>
      <c r="B3831" t="s">
        <v>27</v>
      </c>
      <c r="C3831" t="s">
        <v>28</v>
      </c>
      <c r="H3831" s="2">
        <v>45015.695069444446</v>
      </c>
      <c r="I3831" t="s">
        <v>4301</v>
      </c>
      <c r="Z3831">
        <v>51856</v>
      </c>
    </row>
    <row r="3832" spans="1:26" x14ac:dyDescent="0.25">
      <c r="A3832" t="s">
        <v>4319</v>
      </c>
      <c r="B3832" t="s">
        <v>27</v>
      </c>
      <c r="C3832" t="s">
        <v>28</v>
      </c>
      <c r="H3832" s="2">
        <v>45015.68608796296</v>
      </c>
      <c r="I3832" t="s">
        <v>2681</v>
      </c>
      <c r="Z3832">
        <v>51853</v>
      </c>
    </row>
    <row r="3833" spans="1:26" x14ac:dyDescent="0.25">
      <c r="A3833" t="s">
        <v>4320</v>
      </c>
      <c r="B3833" t="s">
        <v>27</v>
      </c>
      <c r="C3833" t="s">
        <v>28</v>
      </c>
      <c r="H3833" s="2">
        <v>45015.5</v>
      </c>
      <c r="I3833" t="s">
        <v>2113</v>
      </c>
      <c r="Z3833">
        <v>51804</v>
      </c>
    </row>
    <row r="3834" spans="1:26" x14ac:dyDescent="0.25">
      <c r="A3834" t="s">
        <v>3507</v>
      </c>
      <c r="B3834" t="s">
        <v>27</v>
      </c>
      <c r="C3834" t="s">
        <v>28</v>
      </c>
      <c r="H3834" s="2">
        <v>45015.496655092589</v>
      </c>
      <c r="I3834" t="s">
        <v>2681</v>
      </c>
      <c r="Z3834">
        <v>51802</v>
      </c>
    </row>
    <row r="3835" spans="1:26" x14ac:dyDescent="0.25">
      <c r="A3835" t="s">
        <v>4321</v>
      </c>
      <c r="B3835" t="s">
        <v>27</v>
      </c>
      <c r="C3835" t="s">
        <v>28</v>
      </c>
      <c r="H3835" s="2">
        <v>45015.412395833337</v>
      </c>
      <c r="I3835" t="s">
        <v>2681</v>
      </c>
      <c r="Z3835">
        <v>51777</v>
      </c>
    </row>
    <row r="3836" spans="1:26" x14ac:dyDescent="0.25">
      <c r="A3836" t="s">
        <v>4322</v>
      </c>
      <c r="B3836" t="s">
        <v>27</v>
      </c>
      <c r="C3836" t="s">
        <v>28</v>
      </c>
      <c r="H3836" s="2">
        <v>45015.403113425928</v>
      </c>
      <c r="I3836" t="s">
        <v>2674</v>
      </c>
      <c r="Z3836">
        <v>51774</v>
      </c>
    </row>
    <row r="3837" spans="1:26" x14ac:dyDescent="0.25">
      <c r="A3837" t="s">
        <v>4323</v>
      </c>
      <c r="B3837" t="s">
        <v>27</v>
      </c>
      <c r="C3837" t="s">
        <v>28</v>
      </c>
      <c r="H3837" s="2">
        <v>45014.838067129633</v>
      </c>
      <c r="I3837" t="s">
        <v>3864</v>
      </c>
      <c r="Z3837">
        <v>51757</v>
      </c>
    </row>
    <row r="3838" spans="1:26" x14ac:dyDescent="0.25">
      <c r="A3838" t="s">
        <v>4324</v>
      </c>
      <c r="B3838" t="s">
        <v>27</v>
      </c>
      <c r="C3838" t="s">
        <v>28</v>
      </c>
      <c r="H3838" s="2">
        <v>45014.778310185182</v>
      </c>
      <c r="I3838" t="s">
        <v>2681</v>
      </c>
      <c r="Z3838">
        <v>51747</v>
      </c>
    </row>
    <row r="3839" spans="1:26" x14ac:dyDescent="0.25">
      <c r="A3839" t="s">
        <v>4325</v>
      </c>
      <c r="B3839" t="s">
        <v>27</v>
      </c>
      <c r="C3839" t="s">
        <v>28</v>
      </c>
      <c r="H3839" s="2">
        <v>45014.665277777778</v>
      </c>
      <c r="I3839" t="s">
        <v>2674</v>
      </c>
      <c r="Z3839">
        <v>51724</v>
      </c>
    </row>
    <row r="3840" spans="1:26" x14ac:dyDescent="0.25">
      <c r="A3840" t="s">
        <v>1793</v>
      </c>
      <c r="B3840" t="s">
        <v>27</v>
      </c>
      <c r="C3840" t="s">
        <v>28</v>
      </c>
      <c r="H3840" s="2">
        <v>45014.660856481481</v>
      </c>
      <c r="I3840" t="s">
        <v>3864</v>
      </c>
      <c r="Z3840">
        <v>51722</v>
      </c>
    </row>
    <row r="3841" spans="1:26" x14ac:dyDescent="0.25">
      <c r="A3841" t="s">
        <v>1793</v>
      </c>
      <c r="B3841" t="s">
        <v>27</v>
      </c>
      <c r="C3841" t="s">
        <v>28</v>
      </c>
      <c r="H3841" s="2">
        <v>45014.505428240744</v>
      </c>
      <c r="I3841" t="s">
        <v>3864</v>
      </c>
      <c r="Z3841">
        <v>51688</v>
      </c>
    </row>
    <row r="3842" spans="1:26" x14ac:dyDescent="0.25">
      <c r="A3842" t="s">
        <v>4326</v>
      </c>
      <c r="B3842" t="s">
        <v>27</v>
      </c>
      <c r="C3842" t="s">
        <v>28</v>
      </c>
      <c r="H3842" s="2">
        <v>45014.433032407411</v>
      </c>
      <c r="I3842" t="s">
        <v>2674</v>
      </c>
      <c r="Z3842">
        <v>51673</v>
      </c>
    </row>
    <row r="3843" spans="1:26" x14ac:dyDescent="0.25">
      <c r="A3843" t="s">
        <v>4327</v>
      </c>
      <c r="B3843" t="s">
        <v>27</v>
      </c>
      <c r="C3843" t="s">
        <v>28</v>
      </c>
      <c r="H3843" s="2">
        <v>45013.694490740738</v>
      </c>
      <c r="I3843" t="s">
        <v>2113</v>
      </c>
      <c r="Z3843">
        <v>51630</v>
      </c>
    </row>
    <row r="3844" spans="1:26" x14ac:dyDescent="0.25">
      <c r="A3844" t="s">
        <v>4328</v>
      </c>
      <c r="B3844" t="s">
        <v>2162</v>
      </c>
      <c r="C3844" t="s">
        <v>28</v>
      </c>
      <c r="E3844" t="s">
        <v>232</v>
      </c>
      <c r="H3844" s="2">
        <v>45013.587199074071</v>
      </c>
      <c r="I3844" t="s">
        <v>2681</v>
      </c>
      <c r="Z3844">
        <v>51608</v>
      </c>
    </row>
    <row r="3845" spans="1:26" x14ac:dyDescent="0.25">
      <c r="A3845" t="s">
        <v>606</v>
      </c>
      <c r="B3845" t="s">
        <v>306</v>
      </c>
      <c r="C3845" t="s">
        <v>28</v>
      </c>
      <c r="E3845" t="s">
        <v>1174</v>
      </c>
      <c r="H3845" s="2">
        <v>45013.585625</v>
      </c>
      <c r="I3845" t="s">
        <v>2113</v>
      </c>
      <c r="Z3845">
        <v>51605</v>
      </c>
    </row>
    <row r="3846" spans="1:26" x14ac:dyDescent="0.25">
      <c r="A3846" t="s">
        <v>4329</v>
      </c>
      <c r="B3846" t="s">
        <v>27</v>
      </c>
      <c r="C3846" t="s">
        <v>28</v>
      </c>
      <c r="H3846" s="2">
        <v>45012.847442129627</v>
      </c>
      <c r="I3846" t="s">
        <v>2681</v>
      </c>
      <c r="Z3846">
        <v>51551</v>
      </c>
    </row>
    <row r="3847" spans="1:26" x14ac:dyDescent="0.25">
      <c r="A3847" t="s">
        <v>4330</v>
      </c>
      <c r="B3847" t="s">
        <v>27</v>
      </c>
      <c r="C3847" t="s">
        <v>28</v>
      </c>
      <c r="H3847" s="2">
        <v>45012.715289351851</v>
      </c>
      <c r="I3847" t="s">
        <v>2681</v>
      </c>
      <c r="Z3847">
        <v>51522</v>
      </c>
    </row>
    <row r="3848" spans="1:26" x14ac:dyDescent="0.25">
      <c r="A3848" t="s">
        <v>570</v>
      </c>
      <c r="C3848" t="s">
        <v>28</v>
      </c>
      <c r="E3848" t="s">
        <v>1333</v>
      </c>
      <c r="H3848" s="2">
        <v>45012.68340277778</v>
      </c>
      <c r="I3848" t="s">
        <v>2681</v>
      </c>
      <c r="Z3848">
        <v>51511</v>
      </c>
    </row>
    <row r="3849" spans="1:26" x14ac:dyDescent="0.25">
      <c r="A3849" t="s">
        <v>3506</v>
      </c>
      <c r="B3849" t="s">
        <v>1708</v>
      </c>
      <c r="C3849" t="s">
        <v>28</v>
      </c>
      <c r="E3849" t="s">
        <v>4331</v>
      </c>
      <c r="H3849" s="2">
        <v>45012.590277777781</v>
      </c>
      <c r="I3849" t="s">
        <v>2681</v>
      </c>
      <c r="Z3849">
        <v>51482</v>
      </c>
    </row>
    <row r="3850" spans="1:26" x14ac:dyDescent="0.25">
      <c r="A3850" t="s">
        <v>4332</v>
      </c>
      <c r="B3850" t="s">
        <v>27</v>
      </c>
      <c r="C3850" t="s">
        <v>28</v>
      </c>
      <c r="H3850" s="2">
        <v>45012.544965277775</v>
      </c>
      <c r="I3850" t="s">
        <v>31</v>
      </c>
      <c r="Z3850">
        <v>51461</v>
      </c>
    </row>
    <row r="3851" spans="1:26" x14ac:dyDescent="0.25">
      <c r="A3851" t="s">
        <v>4333</v>
      </c>
      <c r="B3851" t="s">
        <v>27</v>
      </c>
      <c r="C3851" t="s">
        <v>28</v>
      </c>
      <c r="H3851" s="2">
        <v>45012.459097222221</v>
      </c>
      <c r="I3851" t="s">
        <v>2681</v>
      </c>
      <c r="Z3851">
        <v>51433</v>
      </c>
    </row>
    <row r="3852" spans="1:26" x14ac:dyDescent="0.25">
      <c r="A3852" t="s">
        <v>4334</v>
      </c>
      <c r="B3852" t="s">
        <v>27</v>
      </c>
      <c r="C3852" t="s">
        <v>28</v>
      </c>
      <c r="E3852" t="s">
        <v>4335</v>
      </c>
      <c r="H3852" s="2">
        <v>45012.455543981479</v>
      </c>
      <c r="I3852" t="s">
        <v>31</v>
      </c>
      <c r="Z3852">
        <v>51430</v>
      </c>
    </row>
    <row r="3853" spans="1:26" x14ac:dyDescent="0.25">
      <c r="A3853" t="s">
        <v>4336</v>
      </c>
      <c r="B3853" t="s">
        <v>27</v>
      </c>
      <c r="C3853" t="s">
        <v>28</v>
      </c>
      <c r="H3853" s="2">
        <v>45011.687627314815</v>
      </c>
      <c r="I3853" t="s">
        <v>2674</v>
      </c>
      <c r="Z3853">
        <v>51367</v>
      </c>
    </row>
    <row r="3854" spans="1:26" x14ac:dyDescent="0.25">
      <c r="A3854" t="s">
        <v>4337</v>
      </c>
      <c r="B3854" t="s">
        <v>27</v>
      </c>
      <c r="C3854" t="s">
        <v>28</v>
      </c>
      <c r="H3854" s="2">
        <v>45011.683819444443</v>
      </c>
      <c r="I3854" t="s">
        <v>4301</v>
      </c>
      <c r="Z3854">
        <v>51365</v>
      </c>
    </row>
    <row r="3855" spans="1:26" x14ac:dyDescent="0.25">
      <c r="A3855" t="s">
        <v>4338</v>
      </c>
      <c r="B3855" t="s">
        <v>27</v>
      </c>
      <c r="C3855" t="s">
        <v>28</v>
      </c>
      <c r="H3855" s="2">
        <v>45011.639502314814</v>
      </c>
      <c r="I3855" t="s">
        <v>31</v>
      </c>
      <c r="Z3855">
        <v>51352</v>
      </c>
    </row>
    <row r="3856" spans="1:26" x14ac:dyDescent="0.25">
      <c r="A3856" t="s">
        <v>4339</v>
      </c>
      <c r="B3856" t="s">
        <v>27</v>
      </c>
      <c r="C3856" t="s">
        <v>28</v>
      </c>
      <c r="H3856" s="2">
        <v>45011.630185185182</v>
      </c>
      <c r="I3856" t="s">
        <v>31</v>
      </c>
      <c r="Z3856">
        <v>51348</v>
      </c>
    </row>
    <row r="3857" spans="1:26" x14ac:dyDescent="0.25">
      <c r="A3857" t="s">
        <v>4340</v>
      </c>
      <c r="B3857" t="s">
        <v>27</v>
      </c>
      <c r="C3857" t="s">
        <v>28</v>
      </c>
      <c r="H3857" s="2">
        <v>45011.62090277778</v>
      </c>
      <c r="I3857" t="s">
        <v>4301</v>
      </c>
      <c r="Z3857">
        <v>51345</v>
      </c>
    </row>
    <row r="3858" spans="1:26" x14ac:dyDescent="0.25">
      <c r="A3858" t="s">
        <v>4341</v>
      </c>
      <c r="B3858" t="s">
        <v>74</v>
      </c>
      <c r="C3858" t="s">
        <v>28</v>
      </c>
      <c r="E3858" t="s">
        <v>72</v>
      </c>
      <c r="G3858" t="s">
        <v>4342</v>
      </c>
      <c r="H3858" s="2">
        <v>45011.40289351852</v>
      </c>
      <c r="I3858" t="s">
        <v>31</v>
      </c>
      <c r="Z3858">
        <v>51272</v>
      </c>
    </row>
    <row r="3859" spans="1:26" x14ac:dyDescent="0.25">
      <c r="A3859" t="s">
        <v>4343</v>
      </c>
      <c r="B3859" t="s">
        <v>27</v>
      </c>
      <c r="C3859" t="s">
        <v>28</v>
      </c>
      <c r="H3859" s="2">
        <v>45010.912858796299</v>
      </c>
      <c r="I3859" t="s">
        <v>2674</v>
      </c>
      <c r="Z3859">
        <v>51260</v>
      </c>
    </row>
    <row r="3860" spans="1:26" x14ac:dyDescent="0.25">
      <c r="A3860" t="s">
        <v>4344</v>
      </c>
      <c r="C3860" t="s">
        <v>28</v>
      </c>
      <c r="E3860" t="s">
        <v>4345</v>
      </c>
      <c r="H3860" s="2">
        <v>45010.608946759261</v>
      </c>
      <c r="I3860" t="s">
        <v>31</v>
      </c>
      <c r="Z3860">
        <v>51204</v>
      </c>
    </row>
    <row r="3861" spans="1:26" x14ac:dyDescent="0.25">
      <c r="A3861" t="s">
        <v>4346</v>
      </c>
      <c r="B3861" t="s">
        <v>27</v>
      </c>
      <c r="C3861" t="s">
        <v>28</v>
      </c>
      <c r="H3861" s="2">
        <v>45010.507037037038</v>
      </c>
      <c r="I3861" t="s">
        <v>4301</v>
      </c>
      <c r="Z3861">
        <v>51172</v>
      </c>
    </row>
    <row r="3862" spans="1:26" x14ac:dyDescent="0.25">
      <c r="A3862" t="s">
        <v>4347</v>
      </c>
      <c r="B3862" t="s">
        <v>1993</v>
      </c>
      <c r="C3862" t="s">
        <v>28</v>
      </c>
      <c r="E3862" t="s">
        <v>4348</v>
      </c>
      <c r="H3862" s="2">
        <v>45010.253645833334</v>
      </c>
      <c r="I3862" t="s">
        <v>2681</v>
      </c>
      <c r="Z3862">
        <v>51138</v>
      </c>
    </row>
    <row r="3863" spans="1:26" x14ac:dyDescent="0.25">
      <c r="A3863" t="s">
        <v>4349</v>
      </c>
      <c r="B3863" t="s">
        <v>27</v>
      </c>
      <c r="C3863" t="s">
        <v>28</v>
      </c>
      <c r="H3863" s="2">
        <v>45009.796087962961</v>
      </c>
      <c r="I3863" t="s">
        <v>2681</v>
      </c>
      <c r="Z3863">
        <v>51125</v>
      </c>
    </row>
    <row r="3864" spans="1:26" x14ac:dyDescent="0.25">
      <c r="A3864" t="s">
        <v>4350</v>
      </c>
      <c r="B3864" t="s">
        <v>27</v>
      </c>
      <c r="C3864" t="s">
        <v>28</v>
      </c>
      <c r="H3864" s="2">
        <v>45009.684155092589</v>
      </c>
      <c r="I3864" t="s">
        <v>2674</v>
      </c>
      <c r="Z3864">
        <v>51101</v>
      </c>
    </row>
    <row r="3865" spans="1:26" x14ac:dyDescent="0.25">
      <c r="A3865" t="s">
        <v>4351</v>
      </c>
      <c r="B3865" t="s">
        <v>27</v>
      </c>
      <c r="C3865" t="s">
        <v>28</v>
      </c>
      <c r="H3865" s="2">
        <v>45009.477534722224</v>
      </c>
      <c r="I3865" t="s">
        <v>2681</v>
      </c>
      <c r="Z3865">
        <v>51023</v>
      </c>
    </row>
    <row r="3866" spans="1:26" x14ac:dyDescent="0.25">
      <c r="A3866" t="s">
        <v>4352</v>
      </c>
      <c r="B3866" t="s">
        <v>1993</v>
      </c>
      <c r="C3866" t="s">
        <v>28</v>
      </c>
      <c r="E3866" t="s">
        <v>385</v>
      </c>
      <c r="H3866" s="2">
        <v>45008.659201388888</v>
      </c>
      <c r="I3866" t="s">
        <v>2681</v>
      </c>
      <c r="Z3866">
        <v>50924</v>
      </c>
    </row>
    <row r="3867" spans="1:26" x14ac:dyDescent="0.25">
      <c r="A3867" t="s">
        <v>4353</v>
      </c>
      <c r="B3867" t="s">
        <v>27</v>
      </c>
      <c r="C3867" t="s">
        <v>28</v>
      </c>
      <c r="H3867" s="2">
        <v>45008.560740740744</v>
      </c>
      <c r="I3867" t="s">
        <v>2681</v>
      </c>
      <c r="Z3867">
        <v>50905</v>
      </c>
    </row>
    <row r="3868" spans="1:26" x14ac:dyDescent="0.25">
      <c r="A3868" t="s">
        <v>4354</v>
      </c>
      <c r="B3868" t="s">
        <v>27</v>
      </c>
      <c r="C3868" t="s">
        <v>28</v>
      </c>
      <c r="H3868" s="2">
        <v>45008.464768518519</v>
      </c>
      <c r="I3868" t="s">
        <v>2674</v>
      </c>
      <c r="Z3868">
        <v>50876</v>
      </c>
    </row>
    <row r="3869" spans="1:26" x14ac:dyDescent="0.25">
      <c r="A3869" t="s">
        <v>4355</v>
      </c>
      <c r="B3869" t="s">
        <v>27</v>
      </c>
      <c r="C3869" t="s">
        <v>28</v>
      </c>
      <c r="H3869" s="2">
        <v>45007.816354166665</v>
      </c>
      <c r="I3869" t="s">
        <v>31</v>
      </c>
      <c r="Z3869">
        <v>50848</v>
      </c>
    </row>
    <row r="3870" spans="1:26" x14ac:dyDescent="0.25">
      <c r="A3870" t="s">
        <v>4356</v>
      </c>
      <c r="B3870" t="s">
        <v>27</v>
      </c>
      <c r="C3870" t="s">
        <v>28</v>
      </c>
      <c r="H3870" s="2">
        <v>45007.620798611111</v>
      </c>
      <c r="I3870" t="s">
        <v>1488</v>
      </c>
      <c r="Z3870">
        <v>50800</v>
      </c>
    </row>
    <row r="3871" spans="1:26" x14ac:dyDescent="0.25">
      <c r="A3871" t="s">
        <v>4357</v>
      </c>
      <c r="B3871" t="s">
        <v>74</v>
      </c>
      <c r="C3871" t="s">
        <v>28</v>
      </c>
      <c r="E3871" t="s">
        <v>4358</v>
      </c>
      <c r="G3871" t="s">
        <v>4359</v>
      </c>
      <c r="H3871" s="2">
        <v>45007.565266203703</v>
      </c>
      <c r="I3871" t="s">
        <v>2681</v>
      </c>
      <c r="Z3871">
        <v>50781</v>
      </c>
    </row>
    <row r="3872" spans="1:26" x14ac:dyDescent="0.25">
      <c r="A3872" t="s">
        <v>4360</v>
      </c>
      <c r="B3872" t="s">
        <v>1708</v>
      </c>
      <c r="C3872" t="s">
        <v>28</v>
      </c>
      <c r="E3872" t="s">
        <v>198</v>
      </c>
      <c r="H3872" s="2">
        <v>45007.529664351852</v>
      </c>
      <c r="I3872" t="s">
        <v>2681</v>
      </c>
      <c r="Z3872">
        <v>50776</v>
      </c>
    </row>
    <row r="3873" spans="1:26" x14ac:dyDescent="0.25">
      <c r="A3873" t="s">
        <v>4361</v>
      </c>
      <c r="B3873" t="s">
        <v>27</v>
      </c>
      <c r="C3873" t="s">
        <v>28</v>
      </c>
      <c r="H3873" s="2">
        <v>45006.770555555559</v>
      </c>
      <c r="I3873" t="s">
        <v>31</v>
      </c>
      <c r="Z3873">
        <v>50731</v>
      </c>
    </row>
    <row r="3874" spans="1:26" x14ac:dyDescent="0.25">
      <c r="A3874" t="s">
        <v>4362</v>
      </c>
      <c r="B3874" t="s">
        <v>27</v>
      </c>
      <c r="C3874" t="s">
        <v>28</v>
      </c>
      <c r="H3874" s="2">
        <v>45006.704861111109</v>
      </c>
      <c r="I3874" t="s">
        <v>2681</v>
      </c>
      <c r="Z3874">
        <v>50714</v>
      </c>
    </row>
    <row r="3875" spans="1:26" x14ac:dyDescent="0.25">
      <c r="A3875" t="s">
        <v>4363</v>
      </c>
      <c r="B3875" t="s">
        <v>1993</v>
      </c>
      <c r="C3875" t="s">
        <v>185</v>
      </c>
      <c r="E3875" t="s">
        <v>101</v>
      </c>
      <c r="G3875" t="s">
        <v>4364</v>
      </c>
      <c r="H3875" s="2">
        <v>45006.631574074076</v>
      </c>
      <c r="I3875" t="s">
        <v>31</v>
      </c>
      <c r="Z3875">
        <v>50698</v>
      </c>
    </row>
    <row r="3876" spans="1:26" x14ac:dyDescent="0.25">
      <c r="A3876" t="s">
        <v>4365</v>
      </c>
      <c r="B3876" t="s">
        <v>27</v>
      </c>
      <c r="C3876" t="s">
        <v>28</v>
      </c>
      <c r="H3876" s="2">
        <v>45006.629710648151</v>
      </c>
      <c r="I3876" t="s">
        <v>31</v>
      </c>
      <c r="Z3876">
        <v>50697</v>
      </c>
    </row>
    <row r="3877" spans="1:26" x14ac:dyDescent="0.25">
      <c r="A3877" t="s">
        <v>1793</v>
      </c>
      <c r="B3877" t="s">
        <v>27</v>
      </c>
      <c r="C3877" t="s">
        <v>28</v>
      </c>
      <c r="H3877" s="2">
        <v>45006.6246875</v>
      </c>
      <c r="I3877" t="s">
        <v>3864</v>
      </c>
      <c r="Z3877">
        <v>50695</v>
      </c>
    </row>
    <row r="3878" spans="1:26" x14ac:dyDescent="0.25">
      <c r="A3878" t="s">
        <v>4366</v>
      </c>
      <c r="B3878" t="s">
        <v>27</v>
      </c>
      <c r="C3878" t="s">
        <v>28</v>
      </c>
      <c r="H3878" s="2">
        <v>45006.553622685184</v>
      </c>
      <c r="I3878" t="s">
        <v>31</v>
      </c>
      <c r="Z3878">
        <v>50680</v>
      </c>
    </row>
    <row r="3879" spans="1:26" x14ac:dyDescent="0.25">
      <c r="A3879" t="s">
        <v>4367</v>
      </c>
      <c r="B3879" t="s">
        <v>27</v>
      </c>
      <c r="C3879" t="s">
        <v>28</v>
      </c>
      <c r="H3879" s="2">
        <v>45006.525254629632</v>
      </c>
      <c r="I3879" t="s">
        <v>31</v>
      </c>
      <c r="Z3879">
        <v>50671</v>
      </c>
    </row>
    <row r="3880" spans="1:26" x14ac:dyDescent="0.25">
      <c r="A3880" t="s">
        <v>4368</v>
      </c>
      <c r="B3880" t="s">
        <v>1403</v>
      </c>
      <c r="C3880" t="s">
        <v>28</v>
      </c>
      <c r="E3880" t="s">
        <v>72</v>
      </c>
      <c r="H3880" s="2">
        <v>45004.809050925927</v>
      </c>
      <c r="I3880" t="s">
        <v>31</v>
      </c>
      <c r="Z3880">
        <v>50555</v>
      </c>
    </row>
    <row r="3881" spans="1:26" x14ac:dyDescent="0.25">
      <c r="A3881" t="s">
        <v>4369</v>
      </c>
      <c r="B3881" t="s">
        <v>27</v>
      </c>
      <c r="C3881" t="s">
        <v>28</v>
      </c>
      <c r="H3881" s="2">
        <v>45004.601087962961</v>
      </c>
      <c r="I3881" t="s">
        <v>31</v>
      </c>
      <c r="Z3881">
        <v>50542</v>
      </c>
    </row>
    <row r="3882" spans="1:26" x14ac:dyDescent="0.25">
      <c r="A3882" t="s">
        <v>4370</v>
      </c>
      <c r="B3882" t="s">
        <v>27</v>
      </c>
      <c r="C3882" t="s">
        <v>28</v>
      </c>
      <c r="H3882" s="2">
        <v>45004.535671296297</v>
      </c>
      <c r="I3882" t="s">
        <v>2674</v>
      </c>
      <c r="Z3882">
        <v>50539</v>
      </c>
    </row>
    <row r="3883" spans="1:26" x14ac:dyDescent="0.25">
      <c r="A3883" t="s">
        <v>4371</v>
      </c>
      <c r="B3883" t="s">
        <v>27</v>
      </c>
      <c r="C3883" t="s">
        <v>28</v>
      </c>
      <c r="H3883" s="2">
        <v>45004.437314814815</v>
      </c>
      <c r="I3883" t="s">
        <v>1488</v>
      </c>
      <c r="Z3883">
        <v>50523</v>
      </c>
    </row>
    <row r="3884" spans="1:26" x14ac:dyDescent="0.25">
      <c r="A3884" t="s">
        <v>1793</v>
      </c>
      <c r="B3884" t="s">
        <v>27</v>
      </c>
      <c r="C3884" t="s">
        <v>28</v>
      </c>
      <c r="H3884" s="2">
        <v>45002.800636574073</v>
      </c>
      <c r="I3884" t="s">
        <v>3864</v>
      </c>
      <c r="Z3884">
        <v>50460</v>
      </c>
    </row>
    <row r="3885" spans="1:26" x14ac:dyDescent="0.25">
      <c r="A3885" t="s">
        <v>4284</v>
      </c>
      <c r="B3885" t="s">
        <v>27</v>
      </c>
      <c r="C3885" t="s">
        <v>28</v>
      </c>
      <c r="H3885" s="2">
        <v>45002.508101851854</v>
      </c>
      <c r="I3885" t="s">
        <v>4114</v>
      </c>
      <c r="Z3885">
        <v>50406</v>
      </c>
    </row>
    <row r="3886" spans="1:26" x14ac:dyDescent="0.25">
      <c r="A3886" t="s">
        <v>4372</v>
      </c>
      <c r="B3886" t="s">
        <v>27</v>
      </c>
      <c r="C3886" t="s">
        <v>28</v>
      </c>
      <c r="H3886" s="2">
        <v>45002.469212962962</v>
      </c>
      <c r="I3886" t="s">
        <v>2674</v>
      </c>
      <c r="Z3886">
        <v>50396</v>
      </c>
    </row>
    <row r="3887" spans="1:26" x14ac:dyDescent="0.25">
      <c r="A3887" t="s">
        <v>4373</v>
      </c>
      <c r="B3887" t="s">
        <v>27</v>
      </c>
      <c r="C3887" t="s">
        <v>28</v>
      </c>
      <c r="H3887" s="2">
        <v>45002.458715277775</v>
      </c>
      <c r="I3887" t="s">
        <v>2674</v>
      </c>
      <c r="Z3887">
        <v>50395</v>
      </c>
    </row>
    <row r="3888" spans="1:26" x14ac:dyDescent="0.25">
      <c r="A3888" t="s">
        <v>4374</v>
      </c>
      <c r="B3888" t="s">
        <v>27</v>
      </c>
      <c r="C3888" t="s">
        <v>28</v>
      </c>
      <c r="H3888" s="2">
        <v>45001.591516203705</v>
      </c>
      <c r="I3888" t="s">
        <v>1488</v>
      </c>
      <c r="Z3888">
        <v>50357</v>
      </c>
    </row>
    <row r="3889" spans="1:26" x14ac:dyDescent="0.25">
      <c r="A3889" t="s">
        <v>4375</v>
      </c>
      <c r="B3889" t="s">
        <v>27</v>
      </c>
      <c r="C3889" t="s">
        <v>28</v>
      </c>
      <c r="H3889" s="2">
        <v>45001.579317129632</v>
      </c>
      <c r="I3889" t="s">
        <v>1488</v>
      </c>
      <c r="Z3889">
        <v>50353</v>
      </c>
    </row>
    <row r="3890" spans="1:26" x14ac:dyDescent="0.25">
      <c r="A3890" t="s">
        <v>4376</v>
      </c>
      <c r="B3890" t="s">
        <v>27</v>
      </c>
      <c r="C3890" t="s">
        <v>28</v>
      </c>
      <c r="H3890" s="2">
        <v>45000.764872685184</v>
      </c>
      <c r="I3890" t="s">
        <v>31</v>
      </c>
      <c r="Z3890">
        <v>50301</v>
      </c>
    </row>
    <row r="3891" spans="1:26" x14ac:dyDescent="0.25">
      <c r="A3891" t="s">
        <v>4377</v>
      </c>
      <c r="B3891" t="s">
        <v>27</v>
      </c>
      <c r="C3891" t="s">
        <v>28</v>
      </c>
      <c r="H3891" s="2">
        <v>45000.457546296297</v>
      </c>
      <c r="I3891" t="s">
        <v>2681</v>
      </c>
      <c r="Z3891">
        <v>50265</v>
      </c>
    </row>
    <row r="3892" spans="1:26" x14ac:dyDescent="0.25">
      <c r="A3892" t="s">
        <v>1031</v>
      </c>
      <c r="B3892" t="s">
        <v>85</v>
      </c>
      <c r="C3892" t="s">
        <v>28</v>
      </c>
      <c r="H3892" s="2">
        <v>44999.741087962961</v>
      </c>
      <c r="I3892" t="s">
        <v>2674</v>
      </c>
      <c r="Z3892">
        <v>50246</v>
      </c>
    </row>
    <row r="3893" spans="1:26" x14ac:dyDescent="0.25">
      <c r="A3893" t="s">
        <v>4378</v>
      </c>
      <c r="B3893" t="s">
        <v>27</v>
      </c>
      <c r="C3893" t="s">
        <v>28</v>
      </c>
      <c r="H3893" s="2">
        <v>44999.497372685182</v>
      </c>
      <c r="I3893" t="s">
        <v>31</v>
      </c>
      <c r="Z3893">
        <v>50213</v>
      </c>
    </row>
    <row r="3894" spans="1:26" x14ac:dyDescent="0.25">
      <c r="A3894" t="s">
        <v>4379</v>
      </c>
      <c r="B3894" t="s">
        <v>27</v>
      </c>
      <c r="C3894" t="s">
        <v>28</v>
      </c>
      <c r="H3894" s="2">
        <v>44999.432546296295</v>
      </c>
      <c r="I3894" t="s">
        <v>2674</v>
      </c>
      <c r="Z3894">
        <v>50203</v>
      </c>
    </row>
    <row r="3895" spans="1:26" x14ac:dyDescent="0.25">
      <c r="A3895" t="s">
        <v>4380</v>
      </c>
      <c r="B3895" t="s">
        <v>74</v>
      </c>
      <c r="C3895" t="s">
        <v>28</v>
      </c>
      <c r="E3895" t="s">
        <v>209</v>
      </c>
      <c r="G3895" t="s">
        <v>4381</v>
      </c>
      <c r="H3895" s="2">
        <v>44998.924386574072</v>
      </c>
      <c r="I3895" t="s">
        <v>31</v>
      </c>
      <c r="Z3895">
        <v>50195</v>
      </c>
    </row>
    <row r="3896" spans="1:26" x14ac:dyDescent="0.25">
      <c r="A3896" t="s">
        <v>4382</v>
      </c>
      <c r="B3896" t="s">
        <v>27</v>
      </c>
      <c r="C3896" t="s">
        <v>28</v>
      </c>
      <c r="H3896" s="2">
        <v>44998.48810185185</v>
      </c>
      <c r="I3896" t="s">
        <v>31</v>
      </c>
      <c r="Z3896">
        <v>50155</v>
      </c>
    </row>
    <row r="3897" spans="1:26" x14ac:dyDescent="0.25">
      <c r="A3897" t="s">
        <v>4383</v>
      </c>
      <c r="B3897" t="s">
        <v>27</v>
      </c>
      <c r="C3897" t="s">
        <v>28</v>
      </c>
      <c r="H3897" s="2">
        <v>44996.5544212963</v>
      </c>
      <c r="I3897" t="s">
        <v>2674</v>
      </c>
      <c r="Z3897">
        <v>50083</v>
      </c>
    </row>
    <row r="3898" spans="1:26" x14ac:dyDescent="0.25">
      <c r="A3898" t="s">
        <v>4384</v>
      </c>
      <c r="B3898" t="s">
        <v>27</v>
      </c>
      <c r="C3898" t="s">
        <v>28</v>
      </c>
      <c r="H3898" s="2">
        <v>44996.495011574072</v>
      </c>
      <c r="I3898" t="s">
        <v>2674</v>
      </c>
      <c r="Z3898">
        <v>50072</v>
      </c>
    </row>
    <row r="3899" spans="1:26" x14ac:dyDescent="0.25">
      <c r="A3899" t="s">
        <v>1793</v>
      </c>
      <c r="B3899" t="s">
        <v>27</v>
      </c>
      <c r="C3899" t="s">
        <v>28</v>
      </c>
      <c r="H3899" s="2">
        <v>44996.446747685186</v>
      </c>
      <c r="I3899" t="s">
        <v>3864</v>
      </c>
      <c r="Z3899">
        <v>50064</v>
      </c>
    </row>
    <row r="3900" spans="1:26" x14ac:dyDescent="0.25">
      <c r="A3900" t="s">
        <v>4385</v>
      </c>
      <c r="B3900" t="s">
        <v>1403</v>
      </c>
      <c r="C3900" t="s">
        <v>28</v>
      </c>
      <c r="E3900" t="s">
        <v>4386</v>
      </c>
      <c r="G3900" t="s">
        <v>4387</v>
      </c>
      <c r="H3900" s="2">
        <v>44995.746388888889</v>
      </c>
      <c r="I3900" t="s">
        <v>31</v>
      </c>
      <c r="Z3900">
        <v>50051</v>
      </c>
    </row>
    <row r="3901" spans="1:26" x14ac:dyDescent="0.25">
      <c r="A3901" t="s">
        <v>3514</v>
      </c>
      <c r="B3901" t="s">
        <v>27</v>
      </c>
      <c r="C3901" t="s">
        <v>28</v>
      </c>
      <c r="H3901" s="2">
        <v>44995.40047453704</v>
      </c>
      <c r="I3901" t="s">
        <v>4114</v>
      </c>
      <c r="Z3901">
        <v>50023</v>
      </c>
    </row>
    <row r="3902" spans="1:26" x14ac:dyDescent="0.25">
      <c r="A3902" t="s">
        <v>4388</v>
      </c>
      <c r="B3902" t="s">
        <v>27</v>
      </c>
      <c r="C3902" t="s">
        <v>28</v>
      </c>
      <c r="H3902" s="2">
        <v>44994.848506944443</v>
      </c>
      <c r="I3902" t="s">
        <v>31</v>
      </c>
      <c r="Z3902">
        <v>50018</v>
      </c>
    </row>
    <row r="3903" spans="1:26" x14ac:dyDescent="0.25">
      <c r="A3903" t="s">
        <v>4389</v>
      </c>
      <c r="B3903" t="s">
        <v>27</v>
      </c>
      <c r="C3903" t="s">
        <v>28</v>
      </c>
      <c r="H3903" s="2">
        <v>44994.689664351848</v>
      </c>
      <c r="I3903" t="s">
        <v>2681</v>
      </c>
      <c r="Z3903">
        <v>50014</v>
      </c>
    </row>
    <row r="3904" spans="1:26" x14ac:dyDescent="0.25">
      <c r="A3904" t="s">
        <v>4390</v>
      </c>
      <c r="B3904" t="s">
        <v>27</v>
      </c>
      <c r="C3904" t="s">
        <v>28</v>
      </c>
      <c r="H3904" s="2">
        <v>44994.640370370369</v>
      </c>
      <c r="I3904" t="s">
        <v>3864</v>
      </c>
      <c r="Z3904">
        <v>50012</v>
      </c>
    </row>
    <row r="3905" spans="1:26" x14ac:dyDescent="0.25">
      <c r="A3905" t="s">
        <v>4391</v>
      </c>
      <c r="B3905" t="s">
        <v>27</v>
      </c>
      <c r="C3905" t="s">
        <v>28</v>
      </c>
      <c r="H3905" s="2">
        <v>44994.583819444444</v>
      </c>
      <c r="I3905" t="s">
        <v>31</v>
      </c>
      <c r="Z3905">
        <v>50007</v>
      </c>
    </row>
    <row r="3906" spans="1:26" x14ac:dyDescent="0.25">
      <c r="A3906" t="s">
        <v>4392</v>
      </c>
      <c r="B3906" t="s">
        <v>27</v>
      </c>
      <c r="C3906" t="s">
        <v>28</v>
      </c>
      <c r="H3906" s="2">
        <v>44994.540381944447</v>
      </c>
      <c r="I3906" t="s">
        <v>2681</v>
      </c>
      <c r="Z3906">
        <v>50005</v>
      </c>
    </row>
    <row r="3907" spans="1:26" x14ac:dyDescent="0.25">
      <c r="A3907" t="s">
        <v>4393</v>
      </c>
      <c r="B3907" t="s">
        <v>27</v>
      </c>
      <c r="C3907" t="s">
        <v>28</v>
      </c>
      <c r="H3907" s="2">
        <v>44994.513611111113</v>
      </c>
      <c r="I3907" t="s">
        <v>2681</v>
      </c>
      <c r="Z3907">
        <v>50001</v>
      </c>
    </row>
    <row r="3908" spans="1:26" x14ac:dyDescent="0.25">
      <c r="A3908" t="s">
        <v>4394</v>
      </c>
      <c r="B3908" t="s">
        <v>27</v>
      </c>
      <c r="C3908" t="s">
        <v>28</v>
      </c>
      <c r="H3908" s="2">
        <v>44994.510914351849</v>
      </c>
      <c r="I3908" t="s">
        <v>4114</v>
      </c>
      <c r="Z3908">
        <v>50000</v>
      </c>
    </row>
    <row r="3909" spans="1:26" x14ac:dyDescent="0.25">
      <c r="A3909" t="s">
        <v>4395</v>
      </c>
      <c r="B3909" t="s">
        <v>74</v>
      </c>
      <c r="C3909" t="s">
        <v>28</v>
      </c>
      <c r="E3909" t="s">
        <v>763</v>
      </c>
      <c r="G3909" t="s">
        <v>4396</v>
      </c>
      <c r="H3909" s="2">
        <v>44994.009317129632</v>
      </c>
      <c r="I3909" t="s">
        <v>31</v>
      </c>
      <c r="Z3909">
        <v>49986</v>
      </c>
    </row>
    <row r="3910" spans="1:26" x14ac:dyDescent="0.25">
      <c r="A3910" t="s">
        <v>1793</v>
      </c>
      <c r="B3910" t="s">
        <v>1403</v>
      </c>
      <c r="C3910" t="s">
        <v>28</v>
      </c>
      <c r="E3910" t="s">
        <v>607</v>
      </c>
      <c r="G3910" t="s">
        <v>4397</v>
      </c>
      <c r="H3910" s="2">
        <v>44992.897013888891</v>
      </c>
      <c r="I3910" t="s">
        <v>31</v>
      </c>
      <c r="K3910" t="s">
        <v>34</v>
      </c>
      <c r="L3910" t="s">
        <v>35</v>
      </c>
      <c r="M3910">
        <v>55887089</v>
      </c>
      <c r="N3910">
        <v>9754619162</v>
      </c>
      <c r="O3910" t="s">
        <v>3512</v>
      </c>
      <c r="Z3910">
        <v>49969</v>
      </c>
    </row>
    <row r="3911" spans="1:26" x14ac:dyDescent="0.25">
      <c r="A3911" t="s">
        <v>4398</v>
      </c>
      <c r="B3911" t="s">
        <v>27</v>
      </c>
      <c r="C3911" t="s">
        <v>28</v>
      </c>
      <c r="H3911" s="2">
        <v>44991.657870370371</v>
      </c>
      <c r="I3911" t="s">
        <v>1488</v>
      </c>
      <c r="Z3911">
        <v>49898</v>
      </c>
    </row>
    <row r="3912" spans="1:26" x14ac:dyDescent="0.25">
      <c r="A3912" t="s">
        <v>4399</v>
      </c>
      <c r="B3912" t="s">
        <v>27</v>
      </c>
      <c r="C3912" t="s">
        <v>28</v>
      </c>
      <c r="H3912" s="2">
        <v>44990.495254629626</v>
      </c>
      <c r="I3912" t="s">
        <v>1488</v>
      </c>
      <c r="Z3912">
        <v>49854</v>
      </c>
    </row>
    <row r="3913" spans="1:26" x14ac:dyDescent="0.25">
      <c r="A3913" t="s">
        <v>4400</v>
      </c>
      <c r="B3913" t="s">
        <v>74</v>
      </c>
      <c r="C3913" t="s">
        <v>28</v>
      </c>
      <c r="E3913" t="s">
        <v>304</v>
      </c>
      <c r="G3913" t="s">
        <v>4401</v>
      </c>
      <c r="H3913" s="2">
        <v>44989.019375000003</v>
      </c>
      <c r="I3913" t="s">
        <v>2681</v>
      </c>
      <c r="Z3913">
        <v>49813</v>
      </c>
    </row>
    <row r="3914" spans="1:26" x14ac:dyDescent="0.25">
      <c r="A3914" t="s">
        <v>4402</v>
      </c>
      <c r="B3914" t="s">
        <v>27</v>
      </c>
      <c r="C3914" t="s">
        <v>28</v>
      </c>
      <c r="H3914" s="2">
        <v>44988.651145833333</v>
      </c>
      <c r="I3914" t="s">
        <v>4114</v>
      </c>
      <c r="Z3914">
        <v>49795</v>
      </c>
    </row>
    <row r="3915" spans="1:26" x14ac:dyDescent="0.25">
      <c r="A3915" t="s">
        <v>4403</v>
      </c>
      <c r="B3915" t="s">
        <v>27</v>
      </c>
      <c r="C3915" t="s">
        <v>28</v>
      </c>
      <c r="H3915" s="2">
        <v>44988.619814814818</v>
      </c>
      <c r="I3915" t="s">
        <v>31</v>
      </c>
      <c r="Z3915">
        <v>49788</v>
      </c>
    </row>
    <row r="3916" spans="1:26" x14ac:dyDescent="0.25">
      <c r="A3916" t="s">
        <v>4404</v>
      </c>
      <c r="B3916" t="s">
        <v>27</v>
      </c>
      <c r="C3916" t="s">
        <v>28</v>
      </c>
      <c r="E3916" t="s">
        <v>4405</v>
      </c>
      <c r="H3916" s="2">
        <v>44988.534305555557</v>
      </c>
      <c r="I3916" t="s">
        <v>31</v>
      </c>
      <c r="Z3916">
        <v>49780</v>
      </c>
    </row>
    <row r="3917" spans="1:26" x14ac:dyDescent="0.25">
      <c r="A3917" t="s">
        <v>1793</v>
      </c>
      <c r="B3917" t="s">
        <v>27</v>
      </c>
      <c r="C3917" t="s">
        <v>28</v>
      </c>
      <c r="H3917" s="2">
        <v>44988.523321759261</v>
      </c>
      <c r="I3917" t="s">
        <v>3864</v>
      </c>
      <c r="Z3917">
        <v>49777</v>
      </c>
    </row>
    <row r="3918" spans="1:26" x14ac:dyDescent="0.25">
      <c r="A3918" t="s">
        <v>4406</v>
      </c>
      <c r="B3918" t="s">
        <v>1708</v>
      </c>
      <c r="C3918" t="s">
        <v>28</v>
      </c>
      <c r="E3918" t="s">
        <v>4407</v>
      </c>
      <c r="H3918" s="2">
        <v>44988.42150462963</v>
      </c>
      <c r="I3918" t="s">
        <v>31</v>
      </c>
      <c r="Z3918">
        <v>49768</v>
      </c>
    </row>
    <row r="3919" spans="1:26" x14ac:dyDescent="0.25">
      <c r="A3919" t="s">
        <v>4408</v>
      </c>
      <c r="B3919" t="s">
        <v>27</v>
      </c>
      <c r="C3919" t="s">
        <v>28</v>
      </c>
      <c r="H3919" s="2">
        <v>44988.39603009259</v>
      </c>
      <c r="I3919" t="s">
        <v>31</v>
      </c>
      <c r="Z3919">
        <v>49767</v>
      </c>
    </row>
    <row r="3920" spans="1:26" x14ac:dyDescent="0.25">
      <c r="A3920" t="s">
        <v>4409</v>
      </c>
      <c r="B3920" t="s">
        <v>27</v>
      </c>
      <c r="C3920" t="s">
        <v>28</v>
      </c>
      <c r="H3920" s="2">
        <v>44988.381493055553</v>
      </c>
      <c r="I3920" t="s">
        <v>2113</v>
      </c>
      <c r="Z3920">
        <v>49765</v>
      </c>
    </row>
    <row r="3921" spans="1:26" x14ac:dyDescent="0.25">
      <c r="A3921" t="s">
        <v>4410</v>
      </c>
      <c r="B3921" t="s">
        <v>27</v>
      </c>
      <c r="C3921" t="s">
        <v>28</v>
      </c>
      <c r="H3921" s="2">
        <v>44986.721192129633</v>
      </c>
      <c r="I3921" t="s">
        <v>2674</v>
      </c>
      <c r="Z3921">
        <v>49692</v>
      </c>
    </row>
    <row r="3922" spans="1:26" x14ac:dyDescent="0.25">
      <c r="A3922" t="s">
        <v>4411</v>
      </c>
      <c r="B3922" t="s">
        <v>27</v>
      </c>
      <c r="C3922" t="s">
        <v>28</v>
      </c>
      <c r="H3922" s="2">
        <v>44986.477858796294</v>
      </c>
      <c r="I3922" t="s">
        <v>4301</v>
      </c>
      <c r="Z3922">
        <v>49675</v>
      </c>
    </row>
    <row r="3923" spans="1:26" x14ac:dyDescent="0.25">
      <c r="A3923" t="s">
        <v>4412</v>
      </c>
      <c r="B3923" t="s">
        <v>1993</v>
      </c>
      <c r="C3923" t="s">
        <v>28</v>
      </c>
      <c r="E3923" t="s">
        <v>625</v>
      </c>
      <c r="H3923" s="2">
        <v>44985.878969907404</v>
      </c>
      <c r="I3923" t="s">
        <v>31</v>
      </c>
      <c r="Z3923">
        <v>49663</v>
      </c>
    </row>
    <row r="3924" spans="1:26" x14ac:dyDescent="0.25">
      <c r="A3924" t="s">
        <v>4413</v>
      </c>
      <c r="B3924" t="s">
        <v>27</v>
      </c>
      <c r="C3924" t="s">
        <v>28</v>
      </c>
      <c r="H3924" s="2">
        <v>44984.624791666669</v>
      </c>
      <c r="I3924" t="s">
        <v>1488</v>
      </c>
      <c r="Z3924">
        <v>49619</v>
      </c>
    </row>
    <row r="3925" spans="1:26" x14ac:dyDescent="0.25">
      <c r="A3925" t="s">
        <v>570</v>
      </c>
      <c r="C3925" t="s">
        <v>28</v>
      </c>
      <c r="E3925" t="s">
        <v>101</v>
      </c>
      <c r="H3925" s="2">
        <v>44984.534699074073</v>
      </c>
      <c r="I3925" t="s">
        <v>2674</v>
      </c>
      <c r="Z3925">
        <v>49606</v>
      </c>
    </row>
    <row r="3926" spans="1:26" x14ac:dyDescent="0.25">
      <c r="A3926" t="s">
        <v>4414</v>
      </c>
      <c r="B3926" t="s">
        <v>27</v>
      </c>
      <c r="C3926" t="s">
        <v>28</v>
      </c>
      <c r="H3926" s="2">
        <v>44982.381990740738</v>
      </c>
      <c r="I3926" t="s">
        <v>4114</v>
      </c>
      <c r="Z3926">
        <v>49517</v>
      </c>
    </row>
    <row r="3927" spans="1:26" x14ac:dyDescent="0.25">
      <c r="A3927" t="s">
        <v>4415</v>
      </c>
      <c r="B3927" t="s">
        <v>27</v>
      </c>
      <c r="C3927" t="s">
        <v>28</v>
      </c>
      <c r="H3927" s="2">
        <v>44981.641736111109</v>
      </c>
      <c r="I3927" t="s">
        <v>31</v>
      </c>
      <c r="Z3927">
        <v>49499</v>
      </c>
    </row>
    <row r="3928" spans="1:26" x14ac:dyDescent="0.25">
      <c r="A3928" t="s">
        <v>4416</v>
      </c>
      <c r="B3928" t="s">
        <v>27</v>
      </c>
      <c r="C3928" t="s">
        <v>28</v>
      </c>
      <c r="H3928" s="2">
        <v>44981.466770833336</v>
      </c>
      <c r="I3928" t="s">
        <v>4114</v>
      </c>
      <c r="Z3928">
        <v>49484</v>
      </c>
    </row>
    <row r="3929" spans="1:26" x14ac:dyDescent="0.25">
      <c r="A3929" t="s">
        <v>4417</v>
      </c>
      <c r="B3929" t="s">
        <v>27</v>
      </c>
      <c r="C3929" t="s">
        <v>28</v>
      </c>
      <c r="H3929" s="2">
        <v>44979.825590277775</v>
      </c>
      <c r="I3929" t="s">
        <v>2674</v>
      </c>
      <c r="Z3929">
        <v>49446</v>
      </c>
    </row>
    <row r="3930" spans="1:26" x14ac:dyDescent="0.25">
      <c r="A3930" t="s">
        <v>4418</v>
      </c>
      <c r="B3930" t="s">
        <v>27</v>
      </c>
      <c r="C3930" t="s">
        <v>28</v>
      </c>
      <c r="H3930" s="2">
        <v>44978.657407407409</v>
      </c>
      <c r="I3930" t="s">
        <v>2681</v>
      </c>
      <c r="Z3930">
        <v>49382</v>
      </c>
    </row>
    <row r="3931" spans="1:26" x14ac:dyDescent="0.25">
      <c r="A3931" t="s">
        <v>4419</v>
      </c>
      <c r="B3931" t="s">
        <v>27</v>
      </c>
      <c r="C3931" t="s">
        <v>28</v>
      </c>
      <c r="H3931" s="2">
        <v>44978.582928240743</v>
      </c>
      <c r="I3931" t="s">
        <v>2681</v>
      </c>
      <c r="Z3931">
        <v>49376</v>
      </c>
    </row>
    <row r="3932" spans="1:26" x14ac:dyDescent="0.25">
      <c r="A3932" t="s">
        <v>4420</v>
      </c>
      <c r="B3932" t="s">
        <v>27</v>
      </c>
      <c r="C3932" t="s">
        <v>28</v>
      </c>
      <c r="H3932" s="2">
        <v>44977.849548611113</v>
      </c>
      <c r="I3932" t="s">
        <v>31</v>
      </c>
      <c r="Z3932">
        <v>49351</v>
      </c>
    </row>
    <row r="3933" spans="1:26" x14ac:dyDescent="0.25">
      <c r="A3933" t="s">
        <v>3663</v>
      </c>
      <c r="B3933" t="s">
        <v>27</v>
      </c>
      <c r="C3933" t="s">
        <v>28</v>
      </c>
      <c r="H3933" s="2">
        <v>44976.521666666667</v>
      </c>
      <c r="I3933" t="s">
        <v>3864</v>
      </c>
      <c r="Z3933">
        <v>49243</v>
      </c>
    </row>
    <row r="3934" spans="1:26" x14ac:dyDescent="0.25">
      <c r="A3934" t="s">
        <v>4421</v>
      </c>
      <c r="C3934" t="s">
        <v>28</v>
      </c>
      <c r="E3934" t="s">
        <v>4422</v>
      </c>
      <c r="H3934" s="2">
        <v>44975.749513888892</v>
      </c>
      <c r="I3934" t="s">
        <v>31</v>
      </c>
      <c r="Z3934">
        <v>49218</v>
      </c>
    </row>
    <row r="3935" spans="1:26" x14ac:dyDescent="0.25">
      <c r="A3935" t="s">
        <v>4423</v>
      </c>
      <c r="B3935" t="s">
        <v>27</v>
      </c>
      <c r="C3935" t="s">
        <v>28</v>
      </c>
      <c r="H3935" s="2">
        <v>44975.694861111115</v>
      </c>
      <c r="I3935" t="s">
        <v>31</v>
      </c>
      <c r="Z3935">
        <v>49211</v>
      </c>
    </row>
    <row r="3936" spans="1:26" x14ac:dyDescent="0.25">
      <c r="A3936" t="s">
        <v>4424</v>
      </c>
      <c r="B3936" t="s">
        <v>27</v>
      </c>
      <c r="C3936" t="s">
        <v>28</v>
      </c>
      <c r="H3936" s="2">
        <v>44975.617002314815</v>
      </c>
      <c r="I3936" t="s">
        <v>31</v>
      </c>
      <c r="Z3936">
        <v>49201</v>
      </c>
    </row>
    <row r="3937" spans="1:26" x14ac:dyDescent="0.25">
      <c r="A3937" t="s">
        <v>2813</v>
      </c>
      <c r="B3937" t="s">
        <v>1708</v>
      </c>
      <c r="C3937" t="s">
        <v>185</v>
      </c>
      <c r="E3937" t="s">
        <v>59</v>
      </c>
      <c r="H3937" s="2">
        <v>44974.800196759257</v>
      </c>
      <c r="I3937" t="s">
        <v>31</v>
      </c>
      <c r="Z3937">
        <v>49166</v>
      </c>
    </row>
    <row r="3938" spans="1:26" x14ac:dyDescent="0.25">
      <c r="A3938" t="s">
        <v>4425</v>
      </c>
      <c r="B3938" t="s">
        <v>27</v>
      </c>
      <c r="C3938" t="s">
        <v>28</v>
      </c>
      <c r="H3938" s="2">
        <v>44974.673217592594</v>
      </c>
      <c r="I3938" t="s">
        <v>4114</v>
      </c>
      <c r="Z3938">
        <v>49157</v>
      </c>
    </row>
    <row r="3939" spans="1:26" x14ac:dyDescent="0.25">
      <c r="A3939" t="s">
        <v>4224</v>
      </c>
      <c r="B3939" t="s">
        <v>27</v>
      </c>
      <c r="C3939" t="s">
        <v>28</v>
      </c>
      <c r="H3939" s="2">
        <v>44974.507754629631</v>
      </c>
      <c r="I3939" t="s">
        <v>4114</v>
      </c>
      <c r="Z3939">
        <v>49138</v>
      </c>
    </row>
    <row r="3940" spans="1:26" x14ac:dyDescent="0.25">
      <c r="A3940" t="s">
        <v>4426</v>
      </c>
      <c r="B3940" t="s">
        <v>27</v>
      </c>
      <c r="C3940" t="s">
        <v>28</v>
      </c>
      <c r="H3940" s="2">
        <v>44973.398402777777</v>
      </c>
      <c r="I3940" t="s">
        <v>2674</v>
      </c>
      <c r="Z3940">
        <v>49081</v>
      </c>
    </row>
    <row r="3941" spans="1:26" x14ac:dyDescent="0.25">
      <c r="A3941" t="s">
        <v>4427</v>
      </c>
      <c r="B3941" t="s">
        <v>27</v>
      </c>
      <c r="C3941" t="s">
        <v>333</v>
      </c>
      <c r="H3941" s="2">
        <v>44972.55972222222</v>
      </c>
      <c r="I3941" t="s">
        <v>4114</v>
      </c>
      <c r="Z3941">
        <v>49055</v>
      </c>
    </row>
    <row r="3942" spans="1:26" x14ac:dyDescent="0.25">
      <c r="A3942" t="s">
        <v>4428</v>
      </c>
      <c r="B3942" t="s">
        <v>27</v>
      </c>
      <c r="C3942" t="s">
        <v>28</v>
      </c>
      <c r="H3942" s="2">
        <v>44971.700520833336</v>
      </c>
      <c r="I3942" t="s">
        <v>2113</v>
      </c>
      <c r="Z3942">
        <v>49008</v>
      </c>
    </row>
    <row r="3943" spans="1:26" x14ac:dyDescent="0.25">
      <c r="A3943" t="s">
        <v>4429</v>
      </c>
      <c r="B3943" t="s">
        <v>27</v>
      </c>
      <c r="C3943" t="s">
        <v>28</v>
      </c>
      <c r="H3943" s="2">
        <v>44971.558981481481</v>
      </c>
      <c r="I3943" t="s">
        <v>4114</v>
      </c>
      <c r="Z3943">
        <v>48994</v>
      </c>
    </row>
    <row r="3944" spans="1:26" x14ac:dyDescent="0.25">
      <c r="A3944" t="s">
        <v>1793</v>
      </c>
      <c r="C3944" t="s">
        <v>28</v>
      </c>
      <c r="E3944" t="s">
        <v>3267</v>
      </c>
      <c r="H3944" s="2">
        <v>44970.711539351854</v>
      </c>
      <c r="I3944" t="s">
        <v>31</v>
      </c>
      <c r="Z3944">
        <v>48967</v>
      </c>
    </row>
    <row r="3945" spans="1:26" x14ac:dyDescent="0.25">
      <c r="A3945" t="s">
        <v>4430</v>
      </c>
      <c r="B3945" t="s">
        <v>27</v>
      </c>
      <c r="C3945" t="s">
        <v>28</v>
      </c>
      <c r="H3945" s="2">
        <v>44970.701608796298</v>
      </c>
      <c r="I3945" t="s">
        <v>3864</v>
      </c>
      <c r="Z3945">
        <v>48965</v>
      </c>
    </row>
    <row r="3946" spans="1:26" x14ac:dyDescent="0.25">
      <c r="A3946" t="s">
        <v>4279</v>
      </c>
      <c r="B3946" t="s">
        <v>27</v>
      </c>
      <c r="C3946" t="s">
        <v>28</v>
      </c>
      <c r="H3946" s="2">
        <v>44970.537916666668</v>
      </c>
      <c r="I3946" t="s">
        <v>31</v>
      </c>
      <c r="Z3946">
        <v>48946</v>
      </c>
    </row>
    <row r="3947" spans="1:26" x14ac:dyDescent="0.25">
      <c r="A3947" t="s">
        <v>570</v>
      </c>
      <c r="C3947" t="s">
        <v>28</v>
      </c>
      <c r="E3947" t="s">
        <v>2267</v>
      </c>
      <c r="H3947" s="2">
        <v>44970.378020833334</v>
      </c>
      <c r="I3947" t="s">
        <v>1488</v>
      </c>
      <c r="Z3947">
        <v>48928</v>
      </c>
    </row>
    <row r="3948" spans="1:26" x14ac:dyDescent="0.25">
      <c r="A3948" t="s">
        <v>4431</v>
      </c>
      <c r="B3948" t="s">
        <v>1708</v>
      </c>
      <c r="C3948" t="s">
        <v>28</v>
      </c>
      <c r="E3948" t="s">
        <v>607</v>
      </c>
      <c r="H3948" s="2">
        <v>44969.501203703701</v>
      </c>
      <c r="I3948" t="s">
        <v>31</v>
      </c>
      <c r="K3948" t="s">
        <v>34</v>
      </c>
      <c r="L3948" t="s">
        <v>35</v>
      </c>
      <c r="M3948">
        <v>67131912</v>
      </c>
      <c r="N3948">
        <v>11953101647</v>
      </c>
      <c r="O3948" t="s">
        <v>3762</v>
      </c>
      <c r="Z3948">
        <v>48888</v>
      </c>
    </row>
    <row r="3949" spans="1:26" x14ac:dyDescent="0.25">
      <c r="A3949" t="s">
        <v>4432</v>
      </c>
      <c r="B3949" t="s">
        <v>27</v>
      </c>
      <c r="C3949" t="s">
        <v>28</v>
      </c>
      <c r="H3949" s="2">
        <v>44968.554143518515</v>
      </c>
      <c r="I3949" t="s">
        <v>2681</v>
      </c>
      <c r="Z3949">
        <v>48850</v>
      </c>
    </row>
    <row r="3950" spans="1:26" x14ac:dyDescent="0.25">
      <c r="A3950" t="s">
        <v>663</v>
      </c>
      <c r="C3950" t="s">
        <v>28</v>
      </c>
      <c r="E3950" t="s">
        <v>4433</v>
      </c>
      <c r="H3950" s="2">
        <v>44967.838761574072</v>
      </c>
      <c r="I3950" t="s">
        <v>2681</v>
      </c>
      <c r="Z3950">
        <v>48825</v>
      </c>
    </row>
    <row r="3951" spans="1:26" x14ac:dyDescent="0.25">
      <c r="A3951" t="s">
        <v>4434</v>
      </c>
      <c r="B3951" t="s">
        <v>27</v>
      </c>
      <c r="C3951" t="s">
        <v>28</v>
      </c>
      <c r="H3951" s="2">
        <v>44967.751550925925</v>
      </c>
      <c r="I3951" t="s">
        <v>2681</v>
      </c>
      <c r="Z3951">
        <v>48814</v>
      </c>
    </row>
    <row r="3952" spans="1:26" x14ac:dyDescent="0.25">
      <c r="A3952" t="s">
        <v>4435</v>
      </c>
      <c r="B3952" t="s">
        <v>27</v>
      </c>
      <c r="C3952" t="s">
        <v>28</v>
      </c>
      <c r="H3952" s="2">
        <v>44967.741747685184</v>
      </c>
      <c r="I3952" t="s">
        <v>4301</v>
      </c>
      <c r="Z3952">
        <v>48812</v>
      </c>
    </row>
    <row r="3953" spans="1:26" x14ac:dyDescent="0.25">
      <c r="A3953" t="s">
        <v>4436</v>
      </c>
      <c r="B3953" t="s">
        <v>2162</v>
      </c>
      <c r="C3953" t="s">
        <v>28</v>
      </c>
      <c r="E3953" t="s">
        <v>1942</v>
      </c>
      <c r="G3953" t="s">
        <v>4437</v>
      </c>
      <c r="H3953" s="2">
        <v>44966.842199074075</v>
      </c>
      <c r="I3953" t="s">
        <v>2681</v>
      </c>
      <c r="Z3953">
        <v>48764</v>
      </c>
    </row>
    <row r="3954" spans="1:26" x14ac:dyDescent="0.25">
      <c r="A3954" t="s">
        <v>4438</v>
      </c>
      <c r="B3954" t="s">
        <v>27</v>
      </c>
      <c r="C3954" t="s">
        <v>28</v>
      </c>
      <c r="H3954" s="2">
        <v>44966.38863425926</v>
      </c>
      <c r="I3954" t="s">
        <v>2674</v>
      </c>
      <c r="Z3954">
        <v>48712</v>
      </c>
    </row>
    <row r="3955" spans="1:26" x14ac:dyDescent="0.25">
      <c r="A3955" t="s">
        <v>4439</v>
      </c>
      <c r="B3955" t="s">
        <v>27</v>
      </c>
      <c r="C3955" t="s">
        <v>28</v>
      </c>
      <c r="H3955" s="2">
        <v>44965.586134259262</v>
      </c>
      <c r="I3955" t="s">
        <v>31</v>
      </c>
      <c r="Z3955">
        <v>48678</v>
      </c>
    </row>
    <row r="3956" spans="1:26" x14ac:dyDescent="0.25">
      <c r="A3956" t="s">
        <v>4440</v>
      </c>
      <c r="B3956" t="s">
        <v>27</v>
      </c>
      <c r="C3956" t="s">
        <v>28</v>
      </c>
      <c r="H3956" s="2">
        <v>44964.633437500001</v>
      </c>
      <c r="I3956" t="s">
        <v>4301</v>
      </c>
      <c r="Z3956">
        <v>48615</v>
      </c>
    </row>
    <row r="3957" spans="1:26" x14ac:dyDescent="0.25">
      <c r="A3957" t="s">
        <v>4441</v>
      </c>
      <c r="B3957" t="s">
        <v>27</v>
      </c>
      <c r="C3957" t="s">
        <v>28</v>
      </c>
      <c r="E3957" t="s">
        <v>4442</v>
      </c>
      <c r="H3957" s="2">
        <v>44963.617800925924</v>
      </c>
      <c r="I3957" t="s">
        <v>31</v>
      </c>
      <c r="Z3957">
        <v>48524</v>
      </c>
    </row>
    <row r="3958" spans="1:26" x14ac:dyDescent="0.25">
      <c r="A3958" t="s">
        <v>4443</v>
      </c>
      <c r="B3958" t="s">
        <v>27</v>
      </c>
      <c r="C3958" t="s">
        <v>28</v>
      </c>
      <c r="H3958" s="2">
        <v>44962.855266203704</v>
      </c>
      <c r="I3958" t="s">
        <v>4301</v>
      </c>
      <c r="Z3958">
        <v>48467</v>
      </c>
    </row>
    <row r="3959" spans="1:26" x14ac:dyDescent="0.25">
      <c r="A3959" t="s">
        <v>4444</v>
      </c>
      <c r="B3959" t="s">
        <v>27</v>
      </c>
      <c r="C3959" t="s">
        <v>28</v>
      </c>
      <c r="H3959" s="2">
        <v>44962.712465277778</v>
      </c>
      <c r="I3959" t="s">
        <v>2674</v>
      </c>
      <c r="Z3959">
        <v>48457</v>
      </c>
    </row>
    <row r="3960" spans="1:26" x14ac:dyDescent="0.25">
      <c r="A3960" t="s">
        <v>4390</v>
      </c>
      <c r="B3960" t="s">
        <v>27</v>
      </c>
      <c r="C3960" t="s">
        <v>28</v>
      </c>
      <c r="H3960" s="2">
        <v>44961.680046296293</v>
      </c>
      <c r="I3960" t="s">
        <v>2674</v>
      </c>
      <c r="Z3960">
        <v>48391</v>
      </c>
    </row>
    <row r="3961" spans="1:26" x14ac:dyDescent="0.25">
      <c r="A3961" t="s">
        <v>4445</v>
      </c>
      <c r="B3961" t="s">
        <v>27</v>
      </c>
      <c r="C3961" t="s">
        <v>28</v>
      </c>
      <c r="H3961" s="2">
        <v>44960.882592592592</v>
      </c>
      <c r="I3961" t="s">
        <v>2681</v>
      </c>
      <c r="Z3961">
        <v>48341</v>
      </c>
    </row>
    <row r="3962" spans="1:26" x14ac:dyDescent="0.25">
      <c r="A3962" t="s">
        <v>4446</v>
      </c>
      <c r="B3962" t="s">
        <v>27</v>
      </c>
      <c r="C3962" t="s">
        <v>28</v>
      </c>
      <c r="H3962" s="2">
        <v>44959.719548611109</v>
      </c>
      <c r="I3962" t="s">
        <v>31</v>
      </c>
      <c r="Z3962">
        <v>48283</v>
      </c>
    </row>
    <row r="3963" spans="1:26" x14ac:dyDescent="0.25">
      <c r="A3963" t="s">
        <v>606</v>
      </c>
      <c r="B3963" t="s">
        <v>306</v>
      </c>
      <c r="C3963" t="s">
        <v>28</v>
      </c>
      <c r="E3963" t="s">
        <v>101</v>
      </c>
      <c r="H3963" s="2">
        <v>44958.565300925926</v>
      </c>
      <c r="I3963" t="s">
        <v>31</v>
      </c>
      <c r="K3963" t="s">
        <v>34</v>
      </c>
      <c r="L3963" t="s">
        <v>35</v>
      </c>
      <c r="M3963">
        <v>55887083</v>
      </c>
      <c r="N3963">
        <v>9754618980</v>
      </c>
      <c r="O3963" t="s">
        <v>3505</v>
      </c>
      <c r="Z3963">
        <v>48204</v>
      </c>
    </row>
    <row r="3964" spans="1:26" x14ac:dyDescent="0.25">
      <c r="A3964" t="s">
        <v>4447</v>
      </c>
      <c r="B3964" t="s">
        <v>27</v>
      </c>
      <c r="C3964" t="s">
        <v>28</v>
      </c>
      <c r="H3964" s="2">
        <v>44957.442650462966</v>
      </c>
      <c r="I3964" t="s">
        <v>4448</v>
      </c>
      <c r="Z3964">
        <v>48152</v>
      </c>
    </row>
    <row r="3965" spans="1:26" x14ac:dyDescent="0.25">
      <c r="A3965" t="s">
        <v>4449</v>
      </c>
      <c r="B3965" t="s">
        <v>27</v>
      </c>
      <c r="C3965" t="s">
        <v>28</v>
      </c>
      <c r="H3965" s="2">
        <v>44957.402025462965</v>
      </c>
      <c r="I3965" t="s">
        <v>1488</v>
      </c>
      <c r="Z3965">
        <v>48149</v>
      </c>
    </row>
    <row r="3966" spans="1:26" x14ac:dyDescent="0.25">
      <c r="A3966" t="s">
        <v>4450</v>
      </c>
      <c r="B3966" t="s">
        <v>27</v>
      </c>
      <c r="C3966" t="s">
        <v>28</v>
      </c>
      <c r="H3966" s="2">
        <v>44956.740717592591</v>
      </c>
      <c r="I3966" t="s">
        <v>2674</v>
      </c>
      <c r="Z3966">
        <v>48141</v>
      </c>
    </row>
    <row r="3967" spans="1:26" x14ac:dyDescent="0.25">
      <c r="A3967" t="s">
        <v>4451</v>
      </c>
      <c r="B3967" t="s">
        <v>27</v>
      </c>
      <c r="C3967" t="s">
        <v>28</v>
      </c>
      <c r="H3967" s="2">
        <v>44956.731851851851</v>
      </c>
      <c r="I3967" t="s">
        <v>2674</v>
      </c>
      <c r="Z3967">
        <v>48140</v>
      </c>
    </row>
    <row r="3968" spans="1:26" x14ac:dyDescent="0.25">
      <c r="A3968" t="s">
        <v>4452</v>
      </c>
      <c r="B3968" t="s">
        <v>27</v>
      </c>
      <c r="C3968" t="s">
        <v>28</v>
      </c>
      <c r="H3968" s="2">
        <v>44956.513842592591</v>
      </c>
      <c r="I3968" t="s">
        <v>4301</v>
      </c>
      <c r="Z3968">
        <v>48118</v>
      </c>
    </row>
    <row r="3969" spans="1:26" x14ac:dyDescent="0.25">
      <c r="A3969" t="s">
        <v>4453</v>
      </c>
      <c r="B3969" t="s">
        <v>74</v>
      </c>
      <c r="C3969" t="s">
        <v>28</v>
      </c>
      <c r="E3969" t="s">
        <v>72</v>
      </c>
      <c r="G3969" t="s">
        <v>4454</v>
      </c>
      <c r="H3969" s="2">
        <v>44955.690555555557</v>
      </c>
      <c r="I3969" t="s">
        <v>4301</v>
      </c>
      <c r="Z3969">
        <v>48084</v>
      </c>
    </row>
    <row r="3970" spans="1:26" x14ac:dyDescent="0.25">
      <c r="A3970" t="s">
        <v>4455</v>
      </c>
      <c r="B3970" t="s">
        <v>27</v>
      </c>
      <c r="C3970" t="s">
        <v>28</v>
      </c>
      <c r="H3970" s="2">
        <v>44955.619629629633</v>
      </c>
      <c r="I3970" t="s">
        <v>2674</v>
      </c>
      <c r="Z3970">
        <v>48071</v>
      </c>
    </row>
    <row r="3971" spans="1:26" x14ac:dyDescent="0.25">
      <c r="A3971" t="s">
        <v>3318</v>
      </c>
      <c r="B3971" t="s">
        <v>85</v>
      </c>
      <c r="C3971" t="s">
        <v>28</v>
      </c>
      <c r="H3971" s="2">
        <v>44954.774675925924</v>
      </c>
      <c r="I3971" t="s">
        <v>4114</v>
      </c>
      <c r="Z3971">
        <v>48041</v>
      </c>
    </row>
    <row r="3972" spans="1:26" x14ac:dyDescent="0.25">
      <c r="A3972" t="s">
        <v>4351</v>
      </c>
      <c r="B3972" t="s">
        <v>27</v>
      </c>
      <c r="C3972" t="s">
        <v>28</v>
      </c>
      <c r="H3972" s="2">
        <v>44954.555208333331</v>
      </c>
      <c r="I3972" t="s">
        <v>2681</v>
      </c>
      <c r="Z3972">
        <v>48023</v>
      </c>
    </row>
    <row r="3973" spans="1:26" x14ac:dyDescent="0.25">
      <c r="A3973" t="s">
        <v>4456</v>
      </c>
      <c r="B3973" t="s">
        <v>27</v>
      </c>
      <c r="C3973" t="s">
        <v>28</v>
      </c>
      <c r="H3973" s="2">
        <v>44954.496354166666</v>
      </c>
      <c r="I3973" t="s">
        <v>2674</v>
      </c>
      <c r="Z3973">
        <v>48014</v>
      </c>
    </row>
    <row r="3974" spans="1:26" x14ac:dyDescent="0.25">
      <c r="A3974" t="s">
        <v>4457</v>
      </c>
      <c r="B3974" t="s">
        <v>27</v>
      </c>
      <c r="C3974" t="s">
        <v>28</v>
      </c>
      <c r="H3974" s="2">
        <v>44954.463055555556</v>
      </c>
      <c r="I3974" t="s">
        <v>2674</v>
      </c>
      <c r="Z3974">
        <v>48010</v>
      </c>
    </row>
    <row r="3975" spans="1:26" x14ac:dyDescent="0.25">
      <c r="A3975" t="s">
        <v>4458</v>
      </c>
      <c r="B3975" t="s">
        <v>27</v>
      </c>
      <c r="C3975" t="s">
        <v>28</v>
      </c>
      <c r="H3975" s="2">
        <v>44953.474895833337</v>
      </c>
      <c r="I3975" t="s">
        <v>4114</v>
      </c>
      <c r="Z3975">
        <v>47947</v>
      </c>
    </row>
    <row r="3976" spans="1:26" x14ac:dyDescent="0.25">
      <c r="A3976" t="s">
        <v>1793</v>
      </c>
      <c r="B3976" t="s">
        <v>27</v>
      </c>
      <c r="C3976" t="s">
        <v>28</v>
      </c>
      <c r="H3976" s="2">
        <v>44952.609884259262</v>
      </c>
      <c r="I3976" t="s">
        <v>3864</v>
      </c>
      <c r="Z3976">
        <v>47911</v>
      </c>
    </row>
    <row r="3977" spans="1:26" x14ac:dyDescent="0.25">
      <c r="A3977" t="s">
        <v>4459</v>
      </c>
      <c r="B3977" t="s">
        <v>27</v>
      </c>
      <c r="C3977" t="s">
        <v>2219</v>
      </c>
      <c r="H3977" s="2">
        <v>44952.421840277777</v>
      </c>
      <c r="I3977" t="s">
        <v>4448</v>
      </c>
      <c r="Z3977">
        <v>47878</v>
      </c>
    </row>
    <row r="3978" spans="1:26" x14ac:dyDescent="0.25">
      <c r="A3978" t="s">
        <v>4195</v>
      </c>
      <c r="B3978" t="s">
        <v>27</v>
      </c>
      <c r="C3978" t="s">
        <v>28</v>
      </c>
      <c r="H3978" s="2">
        <v>44951.59107638889</v>
      </c>
      <c r="I3978" t="s">
        <v>31</v>
      </c>
      <c r="Z3978">
        <v>47850</v>
      </c>
    </row>
    <row r="3979" spans="1:26" x14ac:dyDescent="0.25">
      <c r="A3979" t="s">
        <v>2554</v>
      </c>
      <c r="B3979" t="s">
        <v>27</v>
      </c>
      <c r="C3979" t="s">
        <v>28</v>
      </c>
      <c r="H3979" s="2">
        <v>44951.476481481484</v>
      </c>
      <c r="I3979" t="s">
        <v>31</v>
      </c>
      <c r="Z3979">
        <v>47828</v>
      </c>
    </row>
    <row r="3980" spans="1:26" x14ac:dyDescent="0.25">
      <c r="A3980" t="s">
        <v>4460</v>
      </c>
      <c r="B3980" t="s">
        <v>27</v>
      </c>
      <c r="C3980" t="s">
        <v>28</v>
      </c>
      <c r="E3980" t="s">
        <v>4461</v>
      </c>
      <c r="H3980" s="2">
        <v>44950.608888888892</v>
      </c>
      <c r="I3980" t="s">
        <v>2681</v>
      </c>
      <c r="Z3980">
        <v>47777</v>
      </c>
    </row>
    <row r="3981" spans="1:26" x14ac:dyDescent="0.25">
      <c r="A3981" t="s">
        <v>3318</v>
      </c>
      <c r="B3981" t="s">
        <v>27</v>
      </c>
      <c r="C3981" t="s">
        <v>28</v>
      </c>
      <c r="H3981" s="2">
        <v>44950.539131944446</v>
      </c>
      <c r="I3981" t="s">
        <v>2681</v>
      </c>
      <c r="Z3981">
        <v>47765</v>
      </c>
    </row>
    <row r="3982" spans="1:26" x14ac:dyDescent="0.25">
      <c r="A3982" t="s">
        <v>4462</v>
      </c>
      <c r="B3982" t="s">
        <v>1708</v>
      </c>
      <c r="C3982" t="s">
        <v>28</v>
      </c>
      <c r="E3982" t="s">
        <v>4463</v>
      </c>
      <c r="H3982" s="2">
        <v>44949.759513888886</v>
      </c>
      <c r="I3982" t="s">
        <v>2681</v>
      </c>
      <c r="Z3982">
        <v>47733</v>
      </c>
    </row>
    <row r="3983" spans="1:26" x14ac:dyDescent="0.25">
      <c r="A3983" t="s">
        <v>4464</v>
      </c>
      <c r="B3983" t="s">
        <v>27</v>
      </c>
      <c r="C3983" t="s">
        <v>28</v>
      </c>
      <c r="H3983" s="2">
        <v>44947.635405092595</v>
      </c>
      <c r="I3983" t="s">
        <v>31</v>
      </c>
      <c r="Z3983">
        <v>47615</v>
      </c>
    </row>
    <row r="3984" spans="1:26" x14ac:dyDescent="0.25">
      <c r="A3984" t="s">
        <v>1793</v>
      </c>
      <c r="B3984" t="s">
        <v>27</v>
      </c>
      <c r="C3984" t="s">
        <v>28</v>
      </c>
      <c r="H3984" s="2">
        <v>44946.850648148145</v>
      </c>
      <c r="I3984" t="s">
        <v>3864</v>
      </c>
      <c r="Z3984">
        <v>47585</v>
      </c>
    </row>
    <row r="3985" spans="1:26" x14ac:dyDescent="0.25">
      <c r="A3985" t="s">
        <v>4465</v>
      </c>
      <c r="B3985" t="s">
        <v>27</v>
      </c>
      <c r="C3985" t="s">
        <v>28</v>
      </c>
      <c r="H3985" s="2">
        <v>44946.65148148148</v>
      </c>
      <c r="I3985" t="s">
        <v>4448</v>
      </c>
      <c r="Z3985">
        <v>47572</v>
      </c>
    </row>
    <row r="3986" spans="1:26" x14ac:dyDescent="0.25">
      <c r="A3986" t="s">
        <v>4466</v>
      </c>
      <c r="B3986" t="s">
        <v>27</v>
      </c>
      <c r="C3986" t="s">
        <v>28</v>
      </c>
      <c r="H3986" s="2">
        <v>44946.527384259258</v>
      </c>
      <c r="I3986" t="s">
        <v>31</v>
      </c>
      <c r="Z3986">
        <v>47552</v>
      </c>
    </row>
    <row r="3987" spans="1:26" x14ac:dyDescent="0.25">
      <c r="A3987" t="s">
        <v>4467</v>
      </c>
      <c r="B3987" t="s">
        <v>27</v>
      </c>
      <c r="C3987" t="s">
        <v>28</v>
      </c>
      <c r="H3987" s="2">
        <v>44945.664895833332</v>
      </c>
      <c r="I3987" t="s">
        <v>4114</v>
      </c>
      <c r="Z3987">
        <v>47515</v>
      </c>
    </row>
    <row r="3988" spans="1:26" x14ac:dyDescent="0.25">
      <c r="A3988" t="s">
        <v>4468</v>
      </c>
      <c r="B3988" t="s">
        <v>27</v>
      </c>
      <c r="C3988" t="s">
        <v>28</v>
      </c>
      <c r="H3988" s="2">
        <v>44944.626238425924</v>
      </c>
      <c r="I3988" t="s">
        <v>4301</v>
      </c>
      <c r="Z3988">
        <v>47464</v>
      </c>
    </row>
    <row r="3989" spans="1:26" x14ac:dyDescent="0.25">
      <c r="A3989" t="s">
        <v>4469</v>
      </c>
      <c r="B3989" t="s">
        <v>27</v>
      </c>
      <c r="C3989" t="s">
        <v>28</v>
      </c>
      <c r="H3989" s="2">
        <v>44944.509837962964</v>
      </c>
      <c r="I3989" t="s">
        <v>4301</v>
      </c>
      <c r="Z3989">
        <v>47442</v>
      </c>
    </row>
    <row r="3990" spans="1:26" x14ac:dyDescent="0.25">
      <c r="A3990" t="s">
        <v>4470</v>
      </c>
      <c r="B3990" t="s">
        <v>27</v>
      </c>
      <c r="C3990" t="s">
        <v>28</v>
      </c>
      <c r="H3990" s="2">
        <v>44944.501666666663</v>
      </c>
      <c r="I3990" t="s">
        <v>4301</v>
      </c>
      <c r="Z3990">
        <v>47440</v>
      </c>
    </row>
    <row r="3991" spans="1:26" x14ac:dyDescent="0.25">
      <c r="A3991" t="s">
        <v>4471</v>
      </c>
      <c r="B3991" t="s">
        <v>27</v>
      </c>
      <c r="C3991" t="s">
        <v>28</v>
      </c>
      <c r="H3991" s="2">
        <v>44942.578680555554</v>
      </c>
      <c r="I3991" t="s">
        <v>1488</v>
      </c>
      <c r="Z3991">
        <v>47341</v>
      </c>
    </row>
    <row r="3992" spans="1:26" x14ac:dyDescent="0.25">
      <c r="A3992" t="s">
        <v>4472</v>
      </c>
      <c r="B3992" t="s">
        <v>27</v>
      </c>
      <c r="C3992" t="s">
        <v>28</v>
      </c>
      <c r="H3992" s="2">
        <v>44942.535949074074</v>
      </c>
      <c r="I3992" t="s">
        <v>2681</v>
      </c>
      <c r="Z3992">
        <v>47335</v>
      </c>
    </row>
    <row r="3993" spans="1:26" x14ac:dyDescent="0.25">
      <c r="A3993" t="s">
        <v>4473</v>
      </c>
      <c r="B3993" t="s">
        <v>27</v>
      </c>
      <c r="C3993" t="s">
        <v>28</v>
      </c>
      <c r="H3993" s="2">
        <v>44940.563680555555</v>
      </c>
      <c r="I3993" t="s">
        <v>2681</v>
      </c>
      <c r="Z3993">
        <v>47253</v>
      </c>
    </row>
    <row r="3994" spans="1:26" x14ac:dyDescent="0.25">
      <c r="A3994" t="s">
        <v>4474</v>
      </c>
      <c r="B3994" t="s">
        <v>27</v>
      </c>
      <c r="C3994" t="s">
        <v>28</v>
      </c>
      <c r="H3994" s="2">
        <v>44939.622662037036</v>
      </c>
      <c r="I3994" t="s">
        <v>2681</v>
      </c>
      <c r="Z3994">
        <v>47199</v>
      </c>
    </row>
    <row r="3995" spans="1:26" x14ac:dyDescent="0.25">
      <c r="A3995" t="s">
        <v>4475</v>
      </c>
      <c r="B3995" t="s">
        <v>27</v>
      </c>
      <c r="C3995" t="s">
        <v>28</v>
      </c>
      <c r="H3995" s="2">
        <v>44938.737372685187</v>
      </c>
      <c r="I3995" t="s">
        <v>2674</v>
      </c>
      <c r="Z3995">
        <v>47142</v>
      </c>
    </row>
    <row r="3996" spans="1:26" x14ac:dyDescent="0.25">
      <c r="A3996" t="s">
        <v>4476</v>
      </c>
      <c r="B3996" t="s">
        <v>27</v>
      </c>
      <c r="C3996" t="s">
        <v>28</v>
      </c>
      <c r="H3996" s="2">
        <v>44938.728831018518</v>
      </c>
      <c r="I3996" t="s">
        <v>2674</v>
      </c>
      <c r="Z3996">
        <v>47140</v>
      </c>
    </row>
    <row r="3997" spans="1:26" x14ac:dyDescent="0.25">
      <c r="A3997" t="s">
        <v>4477</v>
      </c>
      <c r="B3997" t="s">
        <v>306</v>
      </c>
      <c r="C3997" t="s">
        <v>28</v>
      </c>
      <c r="E3997" t="s">
        <v>2267</v>
      </c>
      <c r="H3997" s="2">
        <v>44937.682916666665</v>
      </c>
      <c r="I3997" t="s">
        <v>2681</v>
      </c>
      <c r="K3997" t="s">
        <v>34</v>
      </c>
      <c r="L3997" t="s">
        <v>35</v>
      </c>
      <c r="M3997">
        <v>67849537</v>
      </c>
      <c r="N3997">
        <v>11953243866</v>
      </c>
      <c r="Z3997">
        <v>47087</v>
      </c>
    </row>
    <row r="3998" spans="1:26" x14ac:dyDescent="0.25">
      <c r="A3998" t="s">
        <v>4478</v>
      </c>
      <c r="B3998" t="s">
        <v>27</v>
      </c>
      <c r="C3998" t="s">
        <v>28</v>
      </c>
      <c r="H3998" s="2">
        <v>44937.609363425923</v>
      </c>
      <c r="I3998" t="s">
        <v>1488</v>
      </c>
      <c r="Z3998">
        <v>47081</v>
      </c>
    </row>
    <row r="3999" spans="1:26" x14ac:dyDescent="0.25">
      <c r="A3999" t="s">
        <v>4015</v>
      </c>
      <c r="B3999" t="s">
        <v>27</v>
      </c>
      <c r="C3999" t="s">
        <v>28</v>
      </c>
      <c r="H3999" s="2">
        <v>44936.669594907406</v>
      </c>
      <c r="I3999" t="s">
        <v>2681</v>
      </c>
      <c r="Z3999">
        <v>47044</v>
      </c>
    </row>
    <row r="4000" spans="1:26" x14ac:dyDescent="0.25">
      <c r="A4000" t="s">
        <v>4479</v>
      </c>
      <c r="B4000" t="s">
        <v>74</v>
      </c>
      <c r="C4000" t="s">
        <v>28</v>
      </c>
      <c r="E4000" t="s">
        <v>3731</v>
      </c>
      <c r="G4000" t="s">
        <v>4480</v>
      </c>
      <c r="H4000" s="2">
        <v>44936.559571759259</v>
      </c>
      <c r="I4000" t="s">
        <v>2681</v>
      </c>
      <c r="Z4000">
        <v>47024</v>
      </c>
    </row>
    <row r="4001" spans="1:26" x14ac:dyDescent="0.25">
      <c r="A4001" t="s">
        <v>4481</v>
      </c>
      <c r="B4001" t="s">
        <v>27</v>
      </c>
      <c r="C4001" t="s">
        <v>28</v>
      </c>
      <c r="H4001" s="2">
        <v>44936.527719907404</v>
      </c>
      <c r="I4001" t="s">
        <v>2674</v>
      </c>
      <c r="Z4001">
        <v>47017</v>
      </c>
    </row>
    <row r="4002" spans="1:26" x14ac:dyDescent="0.25">
      <c r="A4002" t="s">
        <v>4482</v>
      </c>
      <c r="C4002" t="s">
        <v>28</v>
      </c>
      <c r="E4002" t="s">
        <v>4483</v>
      </c>
      <c r="H4002" s="2">
        <v>44935.543252314812</v>
      </c>
      <c r="I4002" t="s">
        <v>31</v>
      </c>
      <c r="Z4002">
        <v>46958</v>
      </c>
    </row>
    <row r="4003" spans="1:26" x14ac:dyDescent="0.25">
      <c r="A4003" t="s">
        <v>4484</v>
      </c>
      <c r="B4003" t="s">
        <v>27</v>
      </c>
      <c r="C4003" t="s">
        <v>28</v>
      </c>
      <c r="H4003" s="2">
        <v>44934.641875000001</v>
      </c>
      <c r="I4003" t="s">
        <v>4448</v>
      </c>
      <c r="Z4003">
        <v>46900</v>
      </c>
    </row>
    <row r="4004" spans="1:26" x14ac:dyDescent="0.25">
      <c r="A4004" t="s">
        <v>4485</v>
      </c>
      <c r="B4004" t="s">
        <v>27</v>
      </c>
      <c r="C4004" t="s">
        <v>28</v>
      </c>
      <c r="H4004" s="2">
        <v>44932.756666666668</v>
      </c>
      <c r="I4004" t="s">
        <v>2674</v>
      </c>
      <c r="Z4004">
        <v>46759</v>
      </c>
    </row>
    <row r="4005" spans="1:26" x14ac:dyDescent="0.25">
      <c r="A4005" t="s">
        <v>4486</v>
      </c>
      <c r="B4005" t="s">
        <v>27</v>
      </c>
      <c r="C4005" t="s">
        <v>28</v>
      </c>
      <c r="H4005" s="2">
        <v>44932.68074074074</v>
      </c>
      <c r="I4005" t="s">
        <v>4114</v>
      </c>
      <c r="Z4005">
        <v>46753</v>
      </c>
    </row>
    <row r="4006" spans="1:26" x14ac:dyDescent="0.25">
      <c r="A4006" t="s">
        <v>4447</v>
      </c>
      <c r="B4006" t="s">
        <v>27</v>
      </c>
      <c r="C4006" t="s">
        <v>28</v>
      </c>
      <c r="H4006" s="2">
        <v>44932.555995370371</v>
      </c>
      <c r="I4006" t="s">
        <v>4448</v>
      </c>
      <c r="Z4006">
        <v>46740</v>
      </c>
    </row>
    <row r="4007" spans="1:26" x14ac:dyDescent="0.25">
      <c r="A4007" t="s">
        <v>4487</v>
      </c>
      <c r="B4007" t="s">
        <v>27</v>
      </c>
      <c r="C4007" t="s">
        <v>28</v>
      </c>
      <c r="H4007" s="2">
        <v>44930.825196759259</v>
      </c>
      <c r="I4007" t="s">
        <v>4114</v>
      </c>
      <c r="Z4007">
        <v>46635</v>
      </c>
    </row>
    <row r="4008" spans="1:26" x14ac:dyDescent="0.25">
      <c r="A4008" t="s">
        <v>4488</v>
      </c>
      <c r="B4008" t="s">
        <v>27</v>
      </c>
      <c r="C4008" t="s">
        <v>28</v>
      </c>
      <c r="H4008" s="2">
        <v>44930.602372685185</v>
      </c>
      <c r="I4008" t="s">
        <v>4448</v>
      </c>
      <c r="Z4008">
        <v>46618</v>
      </c>
    </row>
    <row r="4009" spans="1:26" x14ac:dyDescent="0.25">
      <c r="A4009" t="s">
        <v>4489</v>
      </c>
      <c r="B4009" t="s">
        <v>27</v>
      </c>
      <c r="C4009" t="s">
        <v>28</v>
      </c>
      <c r="H4009" s="2">
        <v>44930.572280092594</v>
      </c>
      <c r="I4009" t="s">
        <v>31</v>
      </c>
      <c r="Z4009">
        <v>46613</v>
      </c>
    </row>
    <row r="4010" spans="1:26" x14ac:dyDescent="0.25">
      <c r="A4010" t="s">
        <v>4490</v>
      </c>
      <c r="B4010" t="s">
        <v>27</v>
      </c>
      <c r="C4010" t="s">
        <v>28</v>
      </c>
      <c r="H4010" s="2">
        <v>44925.500358796293</v>
      </c>
      <c r="I4010" t="s">
        <v>4301</v>
      </c>
      <c r="Z4010">
        <v>46510</v>
      </c>
    </row>
    <row r="4011" spans="1:26" x14ac:dyDescent="0.25">
      <c r="A4011" t="s">
        <v>4455</v>
      </c>
      <c r="B4011" t="s">
        <v>27</v>
      </c>
      <c r="C4011" t="s">
        <v>28</v>
      </c>
      <c r="H4011" s="2">
        <v>44924.660844907405</v>
      </c>
      <c r="I4011" t="s">
        <v>4301</v>
      </c>
      <c r="Z4011">
        <v>46476</v>
      </c>
    </row>
    <row r="4012" spans="1:26" x14ac:dyDescent="0.25">
      <c r="A4012" t="s">
        <v>4491</v>
      </c>
      <c r="B4012" t="s">
        <v>27</v>
      </c>
      <c r="C4012" t="s">
        <v>28</v>
      </c>
      <c r="H4012" s="2">
        <v>44924.513055555559</v>
      </c>
      <c r="I4012" t="s">
        <v>31</v>
      </c>
      <c r="Z4012">
        <v>46461</v>
      </c>
    </row>
    <row r="4013" spans="1:26" x14ac:dyDescent="0.25">
      <c r="A4013" t="s">
        <v>4492</v>
      </c>
      <c r="B4013" t="s">
        <v>1708</v>
      </c>
      <c r="C4013" t="s">
        <v>28</v>
      </c>
      <c r="E4013" t="s">
        <v>4189</v>
      </c>
      <c r="H4013" s="2">
        <v>44923.823344907411</v>
      </c>
      <c r="I4013" t="s">
        <v>3054</v>
      </c>
      <c r="Z4013">
        <v>46433</v>
      </c>
    </row>
    <row r="4014" spans="1:26" x14ac:dyDescent="0.25">
      <c r="A4014" t="s">
        <v>4493</v>
      </c>
      <c r="B4014" t="s">
        <v>27</v>
      </c>
      <c r="C4014" t="s">
        <v>28</v>
      </c>
      <c r="H4014" s="2">
        <v>44923.767905092594</v>
      </c>
      <c r="I4014" t="s">
        <v>31</v>
      </c>
      <c r="Z4014">
        <v>46424</v>
      </c>
    </row>
    <row r="4015" spans="1:26" x14ac:dyDescent="0.25">
      <c r="A4015" t="s">
        <v>4494</v>
      </c>
      <c r="B4015" t="s">
        <v>27</v>
      </c>
      <c r="C4015" t="s">
        <v>28</v>
      </c>
      <c r="H4015" s="2">
        <v>44923.489768518521</v>
      </c>
      <c r="I4015" t="s">
        <v>4114</v>
      </c>
      <c r="Z4015">
        <v>46384</v>
      </c>
    </row>
    <row r="4016" spans="1:26" x14ac:dyDescent="0.25">
      <c r="A4016" t="s">
        <v>570</v>
      </c>
      <c r="C4016" t="s">
        <v>28</v>
      </c>
      <c r="E4016" t="s">
        <v>4495</v>
      </c>
      <c r="H4016" s="2">
        <v>44922.485567129632</v>
      </c>
      <c r="I4016" t="s">
        <v>4448</v>
      </c>
      <c r="Z4016">
        <v>46297</v>
      </c>
    </row>
    <row r="4017" spans="1:26" x14ac:dyDescent="0.25">
      <c r="A4017" t="s">
        <v>4496</v>
      </c>
      <c r="B4017" t="s">
        <v>27</v>
      </c>
      <c r="C4017" t="s">
        <v>28</v>
      </c>
      <c r="H4017" s="2">
        <v>44922.468090277776</v>
      </c>
      <c r="I4017" t="s">
        <v>2681</v>
      </c>
      <c r="Z4017">
        <v>46293</v>
      </c>
    </row>
    <row r="4018" spans="1:26" x14ac:dyDescent="0.25">
      <c r="A4018" t="s">
        <v>4497</v>
      </c>
      <c r="B4018" t="s">
        <v>27</v>
      </c>
      <c r="C4018" t="s">
        <v>28</v>
      </c>
      <c r="H4018" s="2">
        <v>44921.817743055559</v>
      </c>
      <c r="I4018" t="s">
        <v>4114</v>
      </c>
      <c r="Z4018">
        <v>46268</v>
      </c>
    </row>
    <row r="4019" spans="1:26" x14ac:dyDescent="0.25">
      <c r="A4019" t="s">
        <v>336</v>
      </c>
      <c r="B4019" t="s">
        <v>27</v>
      </c>
      <c r="C4019" t="s">
        <v>28</v>
      </c>
      <c r="H4019" s="2">
        <v>44920.649201388886</v>
      </c>
      <c r="I4019" t="s">
        <v>31</v>
      </c>
      <c r="Z4019">
        <v>46188</v>
      </c>
    </row>
    <row r="4020" spans="1:26" x14ac:dyDescent="0.25">
      <c r="A4020" t="s">
        <v>4498</v>
      </c>
      <c r="B4020" t="s">
        <v>27</v>
      </c>
      <c r="C4020" t="s">
        <v>28</v>
      </c>
      <c r="H4020" s="2">
        <v>44920.545717592591</v>
      </c>
      <c r="I4020" t="s">
        <v>31</v>
      </c>
      <c r="Z4020">
        <v>46168</v>
      </c>
    </row>
    <row r="4021" spans="1:26" x14ac:dyDescent="0.25">
      <c r="A4021" t="s">
        <v>4499</v>
      </c>
      <c r="B4021" t="s">
        <v>27</v>
      </c>
      <c r="C4021" t="s">
        <v>28</v>
      </c>
      <c r="H4021" s="2">
        <v>44919.538784722223</v>
      </c>
      <c r="I4021" t="s">
        <v>31</v>
      </c>
      <c r="Z4021">
        <v>46104</v>
      </c>
    </row>
    <row r="4022" spans="1:26" x14ac:dyDescent="0.25">
      <c r="A4022" t="s">
        <v>4500</v>
      </c>
      <c r="B4022" t="s">
        <v>27</v>
      </c>
      <c r="C4022" t="s">
        <v>28</v>
      </c>
      <c r="H4022" s="2">
        <v>44919.500347222223</v>
      </c>
      <c r="I4022" t="s">
        <v>2681</v>
      </c>
      <c r="Z4022">
        <v>46099</v>
      </c>
    </row>
    <row r="4023" spans="1:26" x14ac:dyDescent="0.25">
      <c r="A4023" t="s">
        <v>4501</v>
      </c>
      <c r="B4023" t="s">
        <v>27</v>
      </c>
      <c r="C4023" t="s">
        <v>28</v>
      </c>
      <c r="H4023" s="2">
        <v>44918.629351851851</v>
      </c>
      <c r="I4023" t="s">
        <v>1488</v>
      </c>
      <c r="Z4023">
        <v>46072</v>
      </c>
    </row>
    <row r="4024" spans="1:26" x14ac:dyDescent="0.25">
      <c r="A4024" t="s">
        <v>4146</v>
      </c>
      <c r="B4024" t="s">
        <v>27</v>
      </c>
      <c r="C4024" t="s">
        <v>28</v>
      </c>
      <c r="H4024" s="2">
        <v>44918.516516203701</v>
      </c>
      <c r="I4024" t="s">
        <v>2674</v>
      </c>
      <c r="Z4024">
        <v>46058</v>
      </c>
    </row>
    <row r="4025" spans="1:26" x14ac:dyDescent="0.25">
      <c r="A4025" t="s">
        <v>4502</v>
      </c>
      <c r="B4025" t="s">
        <v>27</v>
      </c>
      <c r="C4025" t="s">
        <v>28</v>
      </c>
      <c r="H4025" s="2">
        <v>44917.47934027778</v>
      </c>
      <c r="I4025" t="s">
        <v>4503</v>
      </c>
      <c r="Z4025">
        <v>46002</v>
      </c>
    </row>
    <row r="4026" spans="1:26" x14ac:dyDescent="0.25">
      <c r="A4026" t="s">
        <v>4504</v>
      </c>
      <c r="B4026" t="s">
        <v>27</v>
      </c>
      <c r="C4026" t="s">
        <v>28</v>
      </c>
      <c r="H4026" s="2">
        <v>44916.635509259257</v>
      </c>
      <c r="I4026" t="s">
        <v>2674</v>
      </c>
      <c r="Z4026">
        <v>45976</v>
      </c>
    </row>
    <row r="4027" spans="1:26" x14ac:dyDescent="0.25">
      <c r="A4027" t="s">
        <v>4505</v>
      </c>
      <c r="B4027" t="s">
        <v>27</v>
      </c>
      <c r="C4027" t="s">
        <v>28</v>
      </c>
      <c r="H4027" s="2">
        <v>44914.66265046296</v>
      </c>
      <c r="I4027" t="s">
        <v>2681</v>
      </c>
      <c r="Z4027">
        <v>45899</v>
      </c>
    </row>
    <row r="4028" spans="1:26" x14ac:dyDescent="0.25">
      <c r="A4028" t="s">
        <v>4506</v>
      </c>
      <c r="B4028" t="s">
        <v>27</v>
      </c>
      <c r="C4028" t="s">
        <v>28</v>
      </c>
      <c r="H4028" s="2">
        <v>44914.609803240739</v>
      </c>
      <c r="I4028" t="s">
        <v>31</v>
      </c>
      <c r="Z4028">
        <v>45891</v>
      </c>
    </row>
    <row r="4029" spans="1:26" x14ac:dyDescent="0.25">
      <c r="A4029" t="s">
        <v>4507</v>
      </c>
      <c r="B4029" t="s">
        <v>1708</v>
      </c>
      <c r="C4029" t="s">
        <v>28</v>
      </c>
      <c r="E4029" t="s">
        <v>4508</v>
      </c>
      <c r="G4029" t="s">
        <v>4509</v>
      </c>
      <c r="H4029" s="2">
        <v>44914.460381944446</v>
      </c>
      <c r="I4029" t="s">
        <v>2681</v>
      </c>
      <c r="Z4029">
        <v>45867</v>
      </c>
    </row>
    <row r="4030" spans="1:26" x14ac:dyDescent="0.25">
      <c r="A4030" t="s">
        <v>4510</v>
      </c>
      <c r="B4030" t="s">
        <v>27</v>
      </c>
      <c r="C4030" t="s">
        <v>28</v>
      </c>
      <c r="H4030" s="2">
        <v>44914.417708333334</v>
      </c>
      <c r="I4030" t="s">
        <v>2681</v>
      </c>
      <c r="Z4030">
        <v>45858</v>
      </c>
    </row>
    <row r="4031" spans="1:26" x14ac:dyDescent="0.25">
      <c r="A4031" t="s">
        <v>4511</v>
      </c>
      <c r="B4031" t="s">
        <v>27</v>
      </c>
      <c r="C4031" t="s">
        <v>28</v>
      </c>
      <c r="H4031" s="2">
        <v>44912.491574074076</v>
      </c>
      <c r="I4031" t="s">
        <v>2674</v>
      </c>
      <c r="Z4031">
        <v>45810</v>
      </c>
    </row>
    <row r="4032" spans="1:26" x14ac:dyDescent="0.25">
      <c r="A4032" t="s">
        <v>4512</v>
      </c>
      <c r="B4032" t="s">
        <v>27</v>
      </c>
      <c r="C4032" t="s">
        <v>28</v>
      </c>
      <c r="H4032" s="2">
        <v>44912.391805555555</v>
      </c>
      <c r="I4032" t="s">
        <v>31</v>
      </c>
      <c r="Z4032">
        <v>45803</v>
      </c>
    </row>
    <row r="4033" spans="1:26" x14ac:dyDescent="0.25">
      <c r="A4033" t="s">
        <v>4513</v>
      </c>
      <c r="B4033" t="s">
        <v>27</v>
      </c>
      <c r="C4033" t="s">
        <v>28</v>
      </c>
      <c r="H4033" s="2">
        <v>44911.651585648149</v>
      </c>
      <c r="I4033" t="s">
        <v>4097</v>
      </c>
      <c r="Z4033">
        <v>45786</v>
      </c>
    </row>
    <row r="4034" spans="1:26" x14ac:dyDescent="0.25">
      <c r="A4034" t="s">
        <v>606</v>
      </c>
      <c r="B4034" t="s">
        <v>306</v>
      </c>
      <c r="C4034" t="s">
        <v>28</v>
      </c>
      <c r="E4034" t="s">
        <v>4514</v>
      </c>
      <c r="H4034" s="2">
        <v>44910.937071759261</v>
      </c>
      <c r="I4034" t="s">
        <v>31</v>
      </c>
      <c r="K4034" t="s">
        <v>34</v>
      </c>
      <c r="L4034" t="s">
        <v>35</v>
      </c>
      <c r="M4034">
        <v>67131912</v>
      </c>
      <c r="N4034">
        <v>11953101645</v>
      </c>
      <c r="O4034" t="s">
        <v>3762</v>
      </c>
      <c r="Z4034">
        <v>45755</v>
      </c>
    </row>
    <row r="4035" spans="1:26" x14ac:dyDescent="0.25">
      <c r="A4035" t="s">
        <v>4515</v>
      </c>
      <c r="B4035" t="s">
        <v>27</v>
      </c>
      <c r="C4035" t="s">
        <v>28</v>
      </c>
      <c r="H4035" s="2">
        <v>44910.725405092591</v>
      </c>
      <c r="I4035" t="s">
        <v>4503</v>
      </c>
      <c r="Z4035">
        <v>45745</v>
      </c>
    </row>
    <row r="4036" spans="1:26" x14ac:dyDescent="0.25">
      <c r="A4036" t="s">
        <v>1793</v>
      </c>
      <c r="B4036" t="s">
        <v>27</v>
      </c>
      <c r="C4036" t="s">
        <v>28</v>
      </c>
      <c r="H4036" s="2">
        <v>44909.615208333336</v>
      </c>
      <c r="I4036" t="s">
        <v>2674</v>
      </c>
      <c r="Z4036">
        <v>45688</v>
      </c>
    </row>
    <row r="4037" spans="1:26" x14ac:dyDescent="0.25">
      <c r="A4037" t="s">
        <v>4516</v>
      </c>
      <c r="B4037" t="s">
        <v>27</v>
      </c>
      <c r="C4037" t="s">
        <v>28</v>
      </c>
      <c r="H4037" s="2">
        <v>44909.421597222223</v>
      </c>
      <c r="I4037" t="s">
        <v>4503</v>
      </c>
      <c r="Z4037">
        <v>45662</v>
      </c>
    </row>
    <row r="4038" spans="1:26" x14ac:dyDescent="0.25">
      <c r="A4038" t="s">
        <v>4517</v>
      </c>
      <c r="B4038" t="s">
        <v>1708</v>
      </c>
      <c r="C4038" t="s">
        <v>28</v>
      </c>
      <c r="E4038" t="s">
        <v>4518</v>
      </c>
      <c r="G4038" t="s">
        <v>4519</v>
      </c>
      <c r="H4038" s="2">
        <v>44908.588437500002</v>
      </c>
      <c r="I4038" t="s">
        <v>2681</v>
      </c>
      <c r="Z4038">
        <v>45612</v>
      </c>
    </row>
    <row r="4039" spans="1:26" x14ac:dyDescent="0.25">
      <c r="A4039" t="s">
        <v>3650</v>
      </c>
      <c r="B4039" t="s">
        <v>27</v>
      </c>
      <c r="C4039" t="s">
        <v>28</v>
      </c>
      <c r="H4039" s="2">
        <v>44908.538437499999</v>
      </c>
      <c r="I4039" t="s">
        <v>2681</v>
      </c>
      <c r="Z4039">
        <v>45607</v>
      </c>
    </row>
    <row r="4040" spans="1:26" x14ac:dyDescent="0.25">
      <c r="A4040" t="s">
        <v>4520</v>
      </c>
      <c r="B4040" t="s">
        <v>2162</v>
      </c>
      <c r="C4040" t="s">
        <v>28</v>
      </c>
      <c r="E4040" t="s">
        <v>4521</v>
      </c>
      <c r="H4040" s="2">
        <v>44908.020185185182</v>
      </c>
      <c r="I4040" t="s">
        <v>3864</v>
      </c>
      <c r="Z4040">
        <v>45577</v>
      </c>
    </row>
    <row r="4041" spans="1:26" x14ac:dyDescent="0.25">
      <c r="A4041" t="s">
        <v>4522</v>
      </c>
      <c r="B4041" t="s">
        <v>27</v>
      </c>
      <c r="C4041" t="s">
        <v>28</v>
      </c>
      <c r="H4041" s="2">
        <v>44907.463067129633</v>
      </c>
      <c r="I4041" t="s">
        <v>31</v>
      </c>
      <c r="Z4041">
        <v>45501</v>
      </c>
    </row>
    <row r="4042" spans="1:26" x14ac:dyDescent="0.25">
      <c r="A4042" t="s">
        <v>4523</v>
      </c>
      <c r="B4042" t="s">
        <v>27</v>
      </c>
      <c r="C4042" t="s">
        <v>28</v>
      </c>
      <c r="H4042" s="2">
        <v>44906.755520833336</v>
      </c>
      <c r="I4042" t="s">
        <v>31</v>
      </c>
      <c r="Z4042">
        <v>45480</v>
      </c>
    </row>
    <row r="4043" spans="1:26" x14ac:dyDescent="0.25">
      <c r="A4043" t="s">
        <v>4524</v>
      </c>
      <c r="B4043" t="s">
        <v>74</v>
      </c>
      <c r="C4043" t="s">
        <v>28</v>
      </c>
      <c r="E4043" t="s">
        <v>4525</v>
      </c>
      <c r="G4043" t="s">
        <v>4526</v>
      </c>
      <c r="H4043" s="2">
        <v>44906.355740740742</v>
      </c>
      <c r="I4043" t="s">
        <v>31</v>
      </c>
      <c r="Z4043">
        <v>45422</v>
      </c>
    </row>
    <row r="4044" spans="1:26" x14ac:dyDescent="0.25">
      <c r="A4044" t="s">
        <v>4527</v>
      </c>
      <c r="B4044" t="s">
        <v>27</v>
      </c>
      <c r="C4044" t="s">
        <v>28</v>
      </c>
      <c r="H4044" s="2">
        <v>44905.700162037036</v>
      </c>
      <c r="I4044" t="s">
        <v>2674</v>
      </c>
      <c r="Z4044">
        <v>45401</v>
      </c>
    </row>
    <row r="4045" spans="1:26" x14ac:dyDescent="0.25">
      <c r="A4045" t="s">
        <v>570</v>
      </c>
      <c r="C4045" t="s">
        <v>28</v>
      </c>
      <c r="E4045" t="s">
        <v>4528</v>
      </c>
      <c r="H4045" s="2">
        <v>44905.50072916667</v>
      </c>
      <c r="I4045" t="s">
        <v>2674</v>
      </c>
      <c r="Z4045">
        <v>45359</v>
      </c>
    </row>
    <row r="4046" spans="1:26" x14ac:dyDescent="0.25">
      <c r="A4046" t="s">
        <v>4529</v>
      </c>
      <c r="B4046" t="s">
        <v>27</v>
      </c>
      <c r="C4046" t="s">
        <v>28</v>
      </c>
      <c r="H4046" s="2">
        <v>44904.665995370371</v>
      </c>
      <c r="I4046" t="s">
        <v>4114</v>
      </c>
      <c r="Z4046">
        <v>45315</v>
      </c>
    </row>
    <row r="4047" spans="1:26" x14ac:dyDescent="0.25">
      <c r="A4047" t="s">
        <v>4530</v>
      </c>
      <c r="B4047" t="s">
        <v>27</v>
      </c>
      <c r="C4047" t="s">
        <v>28</v>
      </c>
      <c r="H4047" s="2">
        <v>44904.648854166669</v>
      </c>
      <c r="I4047" t="s">
        <v>2674</v>
      </c>
      <c r="Z4047">
        <v>45311</v>
      </c>
    </row>
    <row r="4048" spans="1:26" x14ac:dyDescent="0.25">
      <c r="A4048" t="s">
        <v>4531</v>
      </c>
      <c r="B4048" t="s">
        <v>27</v>
      </c>
      <c r="C4048" t="s">
        <v>28</v>
      </c>
      <c r="H4048" s="2">
        <v>44904.383136574077</v>
      </c>
      <c r="I4048" t="s">
        <v>2674</v>
      </c>
      <c r="Z4048">
        <v>45244</v>
      </c>
    </row>
    <row r="4049" spans="1:26" x14ac:dyDescent="0.25">
      <c r="A4049" t="s">
        <v>4532</v>
      </c>
      <c r="B4049" t="s">
        <v>27</v>
      </c>
      <c r="C4049" t="s">
        <v>28</v>
      </c>
      <c r="H4049" s="2">
        <v>44903.497465277775</v>
      </c>
      <c r="I4049" t="s">
        <v>4448</v>
      </c>
      <c r="Z4049">
        <v>45201</v>
      </c>
    </row>
    <row r="4050" spans="1:26" x14ac:dyDescent="0.25">
      <c r="A4050" t="s">
        <v>4533</v>
      </c>
      <c r="B4050" t="s">
        <v>74</v>
      </c>
      <c r="C4050" t="s">
        <v>28</v>
      </c>
      <c r="E4050" t="s">
        <v>1284</v>
      </c>
      <c r="G4050" t="s">
        <v>4534</v>
      </c>
      <c r="H4050" s="2">
        <v>44903.386273148149</v>
      </c>
      <c r="I4050" t="s">
        <v>2681</v>
      </c>
      <c r="Z4050">
        <v>45181</v>
      </c>
    </row>
    <row r="4051" spans="1:26" x14ac:dyDescent="0.25">
      <c r="A4051" t="s">
        <v>1177</v>
      </c>
      <c r="B4051" t="s">
        <v>27</v>
      </c>
      <c r="C4051" t="s">
        <v>28</v>
      </c>
      <c r="H4051" s="2">
        <v>44902.786793981482</v>
      </c>
      <c r="I4051" t="s">
        <v>31</v>
      </c>
      <c r="Z4051">
        <v>45172</v>
      </c>
    </row>
    <row r="4052" spans="1:26" x14ac:dyDescent="0.25">
      <c r="A4052" t="s">
        <v>4535</v>
      </c>
      <c r="B4052" t="s">
        <v>27</v>
      </c>
      <c r="C4052" t="s">
        <v>2219</v>
      </c>
      <c r="H4052" s="2">
        <v>44901.785046296296</v>
      </c>
      <c r="I4052" t="s">
        <v>3864</v>
      </c>
      <c r="Z4052">
        <v>45087</v>
      </c>
    </row>
    <row r="4053" spans="1:26" x14ac:dyDescent="0.25">
      <c r="A4053" t="s">
        <v>4536</v>
      </c>
      <c r="B4053" t="s">
        <v>27</v>
      </c>
      <c r="C4053" t="s">
        <v>28</v>
      </c>
      <c r="H4053" s="2">
        <v>44901.417604166665</v>
      </c>
      <c r="I4053" t="s">
        <v>4301</v>
      </c>
      <c r="Z4053">
        <v>45028</v>
      </c>
    </row>
    <row r="4054" spans="1:26" x14ac:dyDescent="0.25">
      <c r="A4054" t="s">
        <v>4537</v>
      </c>
      <c r="B4054" t="s">
        <v>27</v>
      </c>
      <c r="C4054" t="s">
        <v>28</v>
      </c>
      <c r="H4054" s="2">
        <v>44898.628437500003</v>
      </c>
      <c r="I4054" t="s">
        <v>2681</v>
      </c>
      <c r="Z4054">
        <v>44876</v>
      </c>
    </row>
    <row r="4055" spans="1:26" x14ac:dyDescent="0.25">
      <c r="A4055" t="s">
        <v>4538</v>
      </c>
      <c r="B4055" t="s">
        <v>27</v>
      </c>
      <c r="C4055" t="s">
        <v>28</v>
      </c>
      <c r="H4055" s="2">
        <v>44898.466365740744</v>
      </c>
      <c r="I4055" t="s">
        <v>4301</v>
      </c>
      <c r="Z4055">
        <v>44836</v>
      </c>
    </row>
    <row r="4056" spans="1:26" x14ac:dyDescent="0.25">
      <c r="A4056" t="s">
        <v>4539</v>
      </c>
      <c r="B4056" t="s">
        <v>27</v>
      </c>
      <c r="C4056" t="s">
        <v>28</v>
      </c>
      <c r="H4056" s="2">
        <v>44897.63994212963</v>
      </c>
      <c r="I4056" t="s">
        <v>2674</v>
      </c>
      <c r="Z4056">
        <v>44794</v>
      </c>
    </row>
    <row r="4057" spans="1:26" x14ac:dyDescent="0.25">
      <c r="A4057" t="s">
        <v>4540</v>
      </c>
      <c r="B4057" t="s">
        <v>27</v>
      </c>
      <c r="C4057" t="s">
        <v>28</v>
      </c>
      <c r="H4057" s="2">
        <v>44897.586724537039</v>
      </c>
      <c r="I4057" t="s">
        <v>2681</v>
      </c>
      <c r="Z4057">
        <v>44784</v>
      </c>
    </row>
    <row r="4058" spans="1:26" x14ac:dyDescent="0.25">
      <c r="A4058" t="s">
        <v>4541</v>
      </c>
      <c r="B4058" t="s">
        <v>27</v>
      </c>
      <c r="C4058" t="s">
        <v>28</v>
      </c>
      <c r="H4058" s="2">
        <v>44897.529733796298</v>
      </c>
      <c r="I4058" t="s">
        <v>4114</v>
      </c>
      <c r="Z4058">
        <v>44775</v>
      </c>
    </row>
    <row r="4059" spans="1:26" x14ac:dyDescent="0.25">
      <c r="A4059" t="s">
        <v>4542</v>
      </c>
      <c r="B4059" t="s">
        <v>27</v>
      </c>
      <c r="C4059" t="s">
        <v>28</v>
      </c>
      <c r="H4059" s="2">
        <v>44896.508750000001</v>
      </c>
      <c r="I4059" t="s">
        <v>3864</v>
      </c>
      <c r="Z4059">
        <v>44682</v>
      </c>
    </row>
    <row r="4060" spans="1:26" x14ac:dyDescent="0.25">
      <c r="A4060" t="s">
        <v>4543</v>
      </c>
      <c r="B4060" t="s">
        <v>1708</v>
      </c>
      <c r="C4060" t="s">
        <v>28</v>
      </c>
      <c r="E4060" t="s">
        <v>4544</v>
      </c>
      <c r="H4060" s="2">
        <v>44895.701921296299</v>
      </c>
      <c r="I4060" t="s">
        <v>31</v>
      </c>
      <c r="Z4060">
        <v>44638</v>
      </c>
    </row>
    <row r="4061" spans="1:26" x14ac:dyDescent="0.25">
      <c r="A4061" t="s">
        <v>4545</v>
      </c>
      <c r="B4061" t="s">
        <v>27</v>
      </c>
      <c r="C4061" t="s">
        <v>28</v>
      </c>
      <c r="H4061" s="2">
        <v>44894.544502314813</v>
      </c>
      <c r="I4061" t="s">
        <v>2001</v>
      </c>
      <c r="Z4061">
        <v>44479</v>
      </c>
    </row>
    <row r="4062" spans="1:26" x14ac:dyDescent="0.25">
      <c r="A4062" t="s">
        <v>4546</v>
      </c>
      <c r="B4062" t="s">
        <v>27</v>
      </c>
      <c r="C4062" t="s">
        <v>28</v>
      </c>
      <c r="H4062" s="2">
        <v>44890.694178240738</v>
      </c>
      <c r="I4062" t="s">
        <v>31</v>
      </c>
      <c r="Z4062">
        <v>44060</v>
      </c>
    </row>
    <row r="4063" spans="1:26" x14ac:dyDescent="0.25">
      <c r="A4063" t="s">
        <v>4547</v>
      </c>
      <c r="B4063" t="s">
        <v>27</v>
      </c>
      <c r="C4063" t="s">
        <v>28</v>
      </c>
      <c r="H4063" s="2">
        <v>44890.547048611108</v>
      </c>
      <c r="I4063" t="s">
        <v>3864</v>
      </c>
      <c r="Z4063">
        <v>44039</v>
      </c>
    </row>
    <row r="4064" spans="1:26" x14ac:dyDescent="0.25">
      <c r="A4064" t="s">
        <v>606</v>
      </c>
      <c r="B4064" t="s">
        <v>4548</v>
      </c>
      <c r="C4064" t="s">
        <v>28</v>
      </c>
      <c r="E4064" t="s">
        <v>232</v>
      </c>
      <c r="H4064" s="2">
        <v>44889.813923611109</v>
      </c>
      <c r="I4064" t="s">
        <v>2681</v>
      </c>
      <c r="K4064" t="s">
        <v>34</v>
      </c>
      <c r="L4064" t="s">
        <v>35</v>
      </c>
      <c r="M4064">
        <v>55887089</v>
      </c>
      <c r="N4064">
        <v>9754619162</v>
      </c>
      <c r="O4064" t="s">
        <v>4549</v>
      </c>
      <c r="Z4064">
        <v>43990</v>
      </c>
    </row>
    <row r="4065" spans="1:26" x14ac:dyDescent="0.25">
      <c r="A4065" t="s">
        <v>4550</v>
      </c>
      <c r="B4065" t="s">
        <v>27</v>
      </c>
      <c r="C4065" t="s">
        <v>28</v>
      </c>
      <c r="H4065" s="2">
        <v>44889.402465277781</v>
      </c>
      <c r="I4065" t="s">
        <v>4301</v>
      </c>
      <c r="Z4065">
        <v>43925</v>
      </c>
    </row>
    <row r="4066" spans="1:26" x14ac:dyDescent="0.25">
      <c r="A4066" t="s">
        <v>1793</v>
      </c>
      <c r="B4066" t="s">
        <v>27</v>
      </c>
      <c r="C4066" t="s">
        <v>28</v>
      </c>
      <c r="H4066" s="2">
        <v>44888.37909722222</v>
      </c>
      <c r="I4066" t="s">
        <v>3864</v>
      </c>
      <c r="Z4066">
        <v>43865</v>
      </c>
    </row>
    <row r="4067" spans="1:26" x14ac:dyDescent="0.25">
      <c r="A4067" t="s">
        <v>4551</v>
      </c>
      <c r="B4067" t="s">
        <v>2162</v>
      </c>
      <c r="C4067" t="s">
        <v>333</v>
      </c>
      <c r="E4067" t="s">
        <v>198</v>
      </c>
      <c r="G4067" t="s">
        <v>4552</v>
      </c>
      <c r="H4067" s="2">
        <v>44887.532743055555</v>
      </c>
      <c r="I4067" t="s">
        <v>31</v>
      </c>
      <c r="K4067" t="s">
        <v>34</v>
      </c>
      <c r="L4067" t="s">
        <v>35</v>
      </c>
      <c r="M4067">
        <v>55887089</v>
      </c>
      <c r="N4067">
        <v>9754619162</v>
      </c>
      <c r="O4067" t="s">
        <v>4549</v>
      </c>
      <c r="Z4067">
        <v>43812</v>
      </c>
    </row>
    <row r="4068" spans="1:26" x14ac:dyDescent="0.25">
      <c r="A4068" t="s">
        <v>4553</v>
      </c>
      <c r="B4068" t="s">
        <v>27</v>
      </c>
      <c r="C4068" t="s">
        <v>28</v>
      </c>
      <c r="H4068" s="2">
        <v>44887.456041666665</v>
      </c>
      <c r="I4068" t="s">
        <v>2674</v>
      </c>
      <c r="Z4068">
        <v>43804</v>
      </c>
    </row>
    <row r="4069" spans="1:26" x14ac:dyDescent="0.25">
      <c r="A4069" t="s">
        <v>4554</v>
      </c>
      <c r="B4069" t="s">
        <v>27</v>
      </c>
      <c r="C4069" t="s">
        <v>28</v>
      </c>
      <c r="H4069" s="2">
        <v>44887.40016203704</v>
      </c>
      <c r="I4069" t="s">
        <v>2674</v>
      </c>
      <c r="Z4069">
        <v>43798</v>
      </c>
    </row>
    <row r="4070" spans="1:26" x14ac:dyDescent="0.25">
      <c r="A4070" t="s">
        <v>4555</v>
      </c>
      <c r="B4070" t="s">
        <v>27</v>
      </c>
      <c r="C4070" t="s">
        <v>28</v>
      </c>
      <c r="H4070" s="2">
        <v>44886.648425925923</v>
      </c>
      <c r="I4070" t="s">
        <v>4114</v>
      </c>
      <c r="Z4070">
        <v>43757</v>
      </c>
    </row>
    <row r="4071" spans="1:26" x14ac:dyDescent="0.25">
      <c r="A4071" t="s">
        <v>4556</v>
      </c>
      <c r="B4071" t="s">
        <v>1403</v>
      </c>
      <c r="C4071" t="s">
        <v>28</v>
      </c>
      <c r="E4071" t="s">
        <v>4557</v>
      </c>
      <c r="H4071" s="2">
        <v>44886.619247685187</v>
      </c>
      <c r="I4071" t="s">
        <v>1068</v>
      </c>
      <c r="Z4071">
        <v>43754</v>
      </c>
    </row>
    <row r="4072" spans="1:26" x14ac:dyDescent="0.25">
      <c r="A4072" t="s">
        <v>4558</v>
      </c>
      <c r="B4072" t="s">
        <v>27</v>
      </c>
      <c r="C4072" t="s">
        <v>28</v>
      </c>
      <c r="E4072" t="s">
        <v>4558</v>
      </c>
      <c r="H4072" s="2">
        <v>44886.582060185188</v>
      </c>
      <c r="I4072" t="s">
        <v>4503</v>
      </c>
      <c r="Z4072">
        <v>43748</v>
      </c>
    </row>
    <row r="4073" spans="1:26" x14ac:dyDescent="0.25">
      <c r="A4073" t="s">
        <v>4559</v>
      </c>
      <c r="B4073" t="s">
        <v>27</v>
      </c>
      <c r="C4073" t="s">
        <v>28</v>
      </c>
      <c r="H4073" s="2">
        <v>44886.467685185184</v>
      </c>
      <c r="I4073" t="s">
        <v>4503</v>
      </c>
      <c r="Z4073">
        <v>43733</v>
      </c>
    </row>
    <row r="4074" spans="1:26" x14ac:dyDescent="0.25">
      <c r="A4074" t="s">
        <v>4560</v>
      </c>
      <c r="B4074" t="s">
        <v>27</v>
      </c>
      <c r="C4074" t="s">
        <v>28</v>
      </c>
      <c r="H4074" s="2">
        <v>44884.526261574072</v>
      </c>
      <c r="I4074" t="s">
        <v>4301</v>
      </c>
      <c r="Z4074">
        <v>43675</v>
      </c>
    </row>
    <row r="4075" spans="1:26" x14ac:dyDescent="0.25">
      <c r="A4075" t="s">
        <v>4561</v>
      </c>
      <c r="B4075" t="s">
        <v>27</v>
      </c>
      <c r="C4075" t="s">
        <v>28</v>
      </c>
      <c r="H4075" s="2">
        <v>44883.411932870367</v>
      </c>
      <c r="I4075" t="s">
        <v>4301</v>
      </c>
      <c r="Z4075">
        <v>43612</v>
      </c>
    </row>
    <row r="4076" spans="1:26" x14ac:dyDescent="0.25">
      <c r="A4076" t="s">
        <v>4562</v>
      </c>
      <c r="B4076" t="s">
        <v>27</v>
      </c>
      <c r="C4076" t="s">
        <v>28</v>
      </c>
      <c r="H4076" s="2">
        <v>44883.383773148147</v>
      </c>
      <c r="I4076" t="s">
        <v>1488</v>
      </c>
      <c r="Z4076">
        <v>43610</v>
      </c>
    </row>
    <row r="4077" spans="1:26" x14ac:dyDescent="0.25">
      <c r="A4077" t="s">
        <v>4563</v>
      </c>
      <c r="B4077" t="s">
        <v>1708</v>
      </c>
      <c r="C4077" t="s">
        <v>28</v>
      </c>
      <c r="E4077" t="s">
        <v>4564</v>
      </c>
      <c r="H4077" s="2">
        <v>44882.849606481483</v>
      </c>
      <c r="I4077" t="s">
        <v>31</v>
      </c>
      <c r="Z4077">
        <v>43606</v>
      </c>
    </row>
    <row r="4078" spans="1:26" x14ac:dyDescent="0.25">
      <c r="A4078" t="s">
        <v>4565</v>
      </c>
      <c r="B4078" t="s">
        <v>1708</v>
      </c>
      <c r="C4078" t="s">
        <v>28</v>
      </c>
      <c r="E4078" t="s">
        <v>4566</v>
      </c>
      <c r="H4078" s="2">
        <v>44880.912210648145</v>
      </c>
      <c r="I4078" t="s">
        <v>31</v>
      </c>
      <c r="Z4078">
        <v>43454</v>
      </c>
    </row>
    <row r="4079" spans="1:26" x14ac:dyDescent="0.25">
      <c r="A4079" t="s">
        <v>3646</v>
      </c>
      <c r="B4079" t="s">
        <v>27</v>
      </c>
      <c r="C4079" t="s">
        <v>28</v>
      </c>
      <c r="H4079" s="2">
        <v>44879.635706018518</v>
      </c>
      <c r="I4079" t="s">
        <v>2674</v>
      </c>
      <c r="Z4079">
        <v>43331</v>
      </c>
    </row>
    <row r="4080" spans="1:26" x14ac:dyDescent="0.25">
      <c r="A4080" t="s">
        <v>4567</v>
      </c>
      <c r="B4080" t="s">
        <v>27</v>
      </c>
      <c r="C4080" t="s">
        <v>28</v>
      </c>
      <c r="H4080" s="2">
        <v>44877.868449074071</v>
      </c>
      <c r="I4080" t="s">
        <v>3864</v>
      </c>
      <c r="Z4080">
        <v>43221</v>
      </c>
    </row>
    <row r="4081" spans="1:26" x14ac:dyDescent="0.25">
      <c r="A4081" t="s">
        <v>4568</v>
      </c>
      <c r="B4081" t="s">
        <v>27</v>
      </c>
      <c r="C4081" t="s">
        <v>28</v>
      </c>
      <c r="H4081" s="2">
        <v>44876.639062499999</v>
      </c>
      <c r="I4081" t="s">
        <v>2674</v>
      </c>
      <c r="Z4081">
        <v>43138</v>
      </c>
    </row>
    <row r="4082" spans="1:26" x14ac:dyDescent="0.25">
      <c r="A4082" t="s">
        <v>4569</v>
      </c>
      <c r="B4082" t="s">
        <v>27</v>
      </c>
      <c r="C4082" t="s">
        <v>28</v>
      </c>
      <c r="H4082" s="2">
        <v>44876.568252314813</v>
      </c>
      <c r="I4082" t="s">
        <v>3864</v>
      </c>
      <c r="Z4082">
        <v>43130</v>
      </c>
    </row>
    <row r="4083" spans="1:26" x14ac:dyDescent="0.25">
      <c r="A4083" t="s">
        <v>4570</v>
      </c>
      <c r="B4083" t="s">
        <v>27</v>
      </c>
      <c r="C4083" t="s">
        <v>28</v>
      </c>
      <c r="H4083" s="2">
        <v>44876.493460648147</v>
      </c>
      <c r="I4083" t="s">
        <v>4301</v>
      </c>
      <c r="Z4083">
        <v>43096</v>
      </c>
    </row>
    <row r="4084" spans="1:26" x14ac:dyDescent="0.25">
      <c r="A4084" t="s">
        <v>4447</v>
      </c>
      <c r="B4084" t="s">
        <v>27</v>
      </c>
      <c r="C4084" t="s">
        <v>28</v>
      </c>
      <c r="H4084" s="2">
        <v>44875.800196759257</v>
      </c>
      <c r="I4084" t="s">
        <v>4448</v>
      </c>
      <c r="Z4084">
        <v>43066</v>
      </c>
    </row>
    <row r="4085" spans="1:26" x14ac:dyDescent="0.25">
      <c r="A4085" t="s">
        <v>4571</v>
      </c>
      <c r="B4085" t="s">
        <v>27</v>
      </c>
      <c r="C4085" t="s">
        <v>28</v>
      </c>
      <c r="H4085" s="2">
        <v>44875.693229166667</v>
      </c>
      <c r="I4085" t="s">
        <v>4114</v>
      </c>
      <c r="Z4085">
        <v>43052</v>
      </c>
    </row>
    <row r="4086" spans="1:26" x14ac:dyDescent="0.25">
      <c r="A4086" t="s">
        <v>4572</v>
      </c>
      <c r="B4086" t="s">
        <v>27</v>
      </c>
      <c r="C4086" t="s">
        <v>28</v>
      </c>
      <c r="H4086" s="2">
        <v>44875.516782407409</v>
      </c>
      <c r="I4086" t="s">
        <v>31</v>
      </c>
      <c r="Z4086">
        <v>43030</v>
      </c>
    </row>
    <row r="4087" spans="1:26" x14ac:dyDescent="0.25">
      <c r="A4087" t="s">
        <v>4573</v>
      </c>
      <c r="B4087" t="s">
        <v>27</v>
      </c>
      <c r="C4087" t="s">
        <v>28</v>
      </c>
      <c r="H4087" s="2">
        <v>44873.894178240742</v>
      </c>
      <c r="I4087" t="s">
        <v>2674</v>
      </c>
      <c r="Z4087">
        <v>42904</v>
      </c>
    </row>
    <row r="4088" spans="1:26" x14ac:dyDescent="0.25">
      <c r="A4088" t="s">
        <v>4574</v>
      </c>
      <c r="B4088" t="s">
        <v>27</v>
      </c>
      <c r="C4088" t="s">
        <v>28</v>
      </c>
      <c r="H4088" s="2">
        <v>44873.5778587963</v>
      </c>
      <c r="I4088" t="s">
        <v>4114</v>
      </c>
      <c r="Z4088">
        <v>42864</v>
      </c>
    </row>
    <row r="4089" spans="1:26" x14ac:dyDescent="0.25">
      <c r="A4089" t="s">
        <v>4575</v>
      </c>
      <c r="B4089" t="s">
        <v>27</v>
      </c>
      <c r="C4089" t="s">
        <v>28</v>
      </c>
      <c r="H4089" s="2">
        <v>44872.568749999999</v>
      </c>
      <c r="I4089" t="s">
        <v>4503</v>
      </c>
      <c r="Z4089">
        <v>42790</v>
      </c>
    </row>
    <row r="4090" spans="1:26" x14ac:dyDescent="0.25">
      <c r="A4090" t="s">
        <v>4576</v>
      </c>
      <c r="B4090" t="s">
        <v>27</v>
      </c>
      <c r="C4090" t="s">
        <v>28</v>
      </c>
      <c r="D4090" t="s">
        <v>4577</v>
      </c>
      <c r="H4090" s="2">
        <v>44871.653854166667</v>
      </c>
      <c r="I4090" t="s">
        <v>4097</v>
      </c>
      <c r="Z4090">
        <v>42714</v>
      </c>
    </row>
    <row r="4091" spans="1:26" x14ac:dyDescent="0.25">
      <c r="A4091" t="s">
        <v>4340</v>
      </c>
      <c r="B4091" t="s">
        <v>27</v>
      </c>
      <c r="C4091" t="s">
        <v>28</v>
      </c>
      <c r="E4091" t="s">
        <v>4340</v>
      </c>
      <c r="H4091" s="2">
        <v>44870.654490740744</v>
      </c>
      <c r="I4091" t="s">
        <v>4301</v>
      </c>
      <c r="Z4091">
        <v>42644</v>
      </c>
    </row>
    <row r="4092" spans="1:26" x14ac:dyDescent="0.25">
      <c r="A4092" t="s">
        <v>4578</v>
      </c>
      <c r="B4092" t="s">
        <v>27</v>
      </c>
      <c r="C4092" t="s">
        <v>28</v>
      </c>
      <c r="H4092" s="2">
        <v>44870.432129629633</v>
      </c>
      <c r="I4092" t="s">
        <v>31</v>
      </c>
      <c r="Z4092">
        <v>42600</v>
      </c>
    </row>
    <row r="4093" spans="1:26" x14ac:dyDescent="0.25">
      <c r="A4093" t="s">
        <v>4579</v>
      </c>
      <c r="B4093" t="s">
        <v>27</v>
      </c>
      <c r="C4093" t="s">
        <v>28</v>
      </c>
      <c r="H4093" s="2">
        <v>44869.557060185187</v>
      </c>
      <c r="I4093" t="s">
        <v>31</v>
      </c>
      <c r="Z4093">
        <v>42555</v>
      </c>
    </row>
    <row r="4094" spans="1:26" x14ac:dyDescent="0.25">
      <c r="A4094" t="s">
        <v>4580</v>
      </c>
      <c r="B4094" t="s">
        <v>27</v>
      </c>
      <c r="C4094" t="s">
        <v>28</v>
      </c>
      <c r="H4094" s="2">
        <v>44869.428981481484</v>
      </c>
      <c r="I4094" t="s">
        <v>1068</v>
      </c>
      <c r="Z4094">
        <v>42532</v>
      </c>
    </row>
    <row r="4095" spans="1:26" x14ac:dyDescent="0.25">
      <c r="A4095" t="s">
        <v>4581</v>
      </c>
      <c r="B4095" t="s">
        <v>27</v>
      </c>
      <c r="C4095" t="s">
        <v>28</v>
      </c>
      <c r="H4095" s="2">
        <v>44869.389918981484</v>
      </c>
      <c r="I4095" t="s">
        <v>4114</v>
      </c>
      <c r="Z4095">
        <v>42527</v>
      </c>
    </row>
    <row r="4096" spans="1:26" x14ac:dyDescent="0.25">
      <c r="A4096" t="s">
        <v>4582</v>
      </c>
      <c r="B4096" t="s">
        <v>27</v>
      </c>
      <c r="C4096" t="s">
        <v>28</v>
      </c>
      <c r="E4096" t="s">
        <v>4583</v>
      </c>
      <c r="H4096" s="2">
        <v>44868.546041666668</v>
      </c>
      <c r="I4096" t="s">
        <v>1068</v>
      </c>
      <c r="Z4096">
        <v>42487</v>
      </c>
    </row>
    <row r="4097" spans="1:26" x14ac:dyDescent="0.25">
      <c r="A4097" t="s">
        <v>4584</v>
      </c>
      <c r="C4097" t="s">
        <v>28</v>
      </c>
      <c r="E4097" t="s">
        <v>4585</v>
      </c>
      <c r="H4097" s="2">
        <v>44867.71365740741</v>
      </c>
      <c r="I4097" t="s">
        <v>1068</v>
      </c>
      <c r="Z4097">
        <v>42440</v>
      </c>
    </row>
    <row r="4098" spans="1:26" x14ac:dyDescent="0.25">
      <c r="A4098" t="s">
        <v>4586</v>
      </c>
      <c r="B4098" t="s">
        <v>27</v>
      </c>
      <c r="C4098" t="s">
        <v>28</v>
      </c>
      <c r="H4098" s="2">
        <v>44867.45553240741</v>
      </c>
      <c r="I4098" t="s">
        <v>3864</v>
      </c>
      <c r="Z4098">
        <v>42394</v>
      </c>
    </row>
    <row r="4099" spans="1:26" x14ac:dyDescent="0.25">
      <c r="A4099" t="s">
        <v>4587</v>
      </c>
      <c r="B4099" t="s">
        <v>74</v>
      </c>
      <c r="C4099" t="s">
        <v>28</v>
      </c>
      <c r="E4099" t="s">
        <v>625</v>
      </c>
      <c r="G4099" t="s">
        <v>4588</v>
      </c>
      <c r="H4099" s="2">
        <v>44866.885706018518</v>
      </c>
      <c r="I4099" t="s">
        <v>2681</v>
      </c>
      <c r="Z4099">
        <v>42367</v>
      </c>
    </row>
    <row r="4100" spans="1:26" x14ac:dyDescent="0.25">
      <c r="A4100" t="s">
        <v>4589</v>
      </c>
      <c r="C4100" t="s">
        <v>28</v>
      </c>
      <c r="E4100" t="s">
        <v>4590</v>
      </c>
      <c r="H4100" s="2">
        <v>44866.863796296297</v>
      </c>
      <c r="I4100" t="s">
        <v>31</v>
      </c>
      <c r="Z4100">
        <v>42364</v>
      </c>
    </row>
    <row r="4101" spans="1:26" x14ac:dyDescent="0.25">
      <c r="A4101" t="s">
        <v>4591</v>
      </c>
      <c r="B4101" t="s">
        <v>27</v>
      </c>
      <c r="C4101" t="s">
        <v>28</v>
      </c>
      <c r="H4101" s="2">
        <v>44866.806157407409</v>
      </c>
      <c r="I4101" t="s">
        <v>4503</v>
      </c>
      <c r="Z4101">
        <v>42353</v>
      </c>
    </row>
    <row r="4102" spans="1:26" x14ac:dyDescent="0.25">
      <c r="A4102" t="s">
        <v>4592</v>
      </c>
      <c r="B4102" t="s">
        <v>27</v>
      </c>
      <c r="C4102" t="s">
        <v>28</v>
      </c>
      <c r="H4102" s="2">
        <v>44866.641157407408</v>
      </c>
      <c r="I4102" t="s">
        <v>4503</v>
      </c>
      <c r="Z4102">
        <v>42326</v>
      </c>
    </row>
    <row r="4103" spans="1:26" x14ac:dyDescent="0.25">
      <c r="A4103" t="s">
        <v>4593</v>
      </c>
      <c r="B4103" t="s">
        <v>27</v>
      </c>
      <c r="C4103" t="s">
        <v>28</v>
      </c>
      <c r="H4103" s="2">
        <v>44866.497314814813</v>
      </c>
      <c r="I4103" t="s">
        <v>2681</v>
      </c>
      <c r="Z4103">
        <v>42297</v>
      </c>
    </row>
    <row r="4104" spans="1:26" x14ac:dyDescent="0.25">
      <c r="A4104" t="s">
        <v>4594</v>
      </c>
      <c r="B4104" t="s">
        <v>27</v>
      </c>
      <c r="C4104" t="s">
        <v>28</v>
      </c>
      <c r="H4104" s="2">
        <v>44866.424571759257</v>
      </c>
      <c r="I4104" t="s">
        <v>2681</v>
      </c>
      <c r="Z4104">
        <v>42283</v>
      </c>
    </row>
    <row r="4105" spans="1:26" x14ac:dyDescent="0.25">
      <c r="A4105" t="s">
        <v>4595</v>
      </c>
      <c r="B4105" t="s">
        <v>74</v>
      </c>
      <c r="C4105" t="s">
        <v>28</v>
      </c>
      <c r="E4105" t="s">
        <v>2306</v>
      </c>
      <c r="G4105" t="s">
        <v>4596</v>
      </c>
      <c r="H4105" s="2">
        <v>44865.654618055552</v>
      </c>
      <c r="I4105" t="s">
        <v>31</v>
      </c>
      <c r="K4105" t="s">
        <v>34</v>
      </c>
      <c r="L4105" t="s">
        <v>35</v>
      </c>
      <c r="M4105">
        <v>67131912</v>
      </c>
      <c r="N4105">
        <v>11953101647</v>
      </c>
      <c r="O4105" t="s">
        <v>4597</v>
      </c>
      <c r="Z4105">
        <v>42247</v>
      </c>
    </row>
    <row r="4106" spans="1:26" x14ac:dyDescent="0.25">
      <c r="A4106" t="s">
        <v>4598</v>
      </c>
      <c r="B4106" t="s">
        <v>27</v>
      </c>
      <c r="C4106" t="s">
        <v>28</v>
      </c>
      <c r="H4106" s="2">
        <v>44865.593981481485</v>
      </c>
      <c r="I4106" t="s">
        <v>31</v>
      </c>
      <c r="Z4106">
        <v>42237</v>
      </c>
    </row>
    <row r="4107" spans="1:26" x14ac:dyDescent="0.25">
      <c r="A4107" t="s">
        <v>4599</v>
      </c>
      <c r="B4107" t="s">
        <v>27</v>
      </c>
      <c r="C4107" t="s">
        <v>28</v>
      </c>
      <c r="H4107" s="2">
        <v>44864.552430555559</v>
      </c>
      <c r="I4107" t="s">
        <v>4301</v>
      </c>
      <c r="Z4107">
        <v>42174</v>
      </c>
    </row>
    <row r="4108" spans="1:26" x14ac:dyDescent="0.25">
      <c r="A4108" t="s">
        <v>4600</v>
      </c>
      <c r="B4108" t="s">
        <v>27</v>
      </c>
      <c r="C4108" t="s">
        <v>28</v>
      </c>
      <c r="H4108" s="2">
        <v>44863.673310185186</v>
      </c>
      <c r="I4108" t="s">
        <v>31</v>
      </c>
      <c r="Z4108">
        <v>42128</v>
      </c>
    </row>
    <row r="4109" spans="1:26" x14ac:dyDescent="0.25">
      <c r="A4109" t="s">
        <v>4601</v>
      </c>
      <c r="B4109" t="s">
        <v>27</v>
      </c>
      <c r="C4109" t="s">
        <v>28</v>
      </c>
      <c r="H4109" s="2">
        <v>44863.620358796295</v>
      </c>
      <c r="I4109" t="s">
        <v>1488</v>
      </c>
      <c r="Z4109">
        <v>42121</v>
      </c>
    </row>
    <row r="4110" spans="1:26" x14ac:dyDescent="0.25">
      <c r="A4110" t="s">
        <v>4602</v>
      </c>
      <c r="B4110" t="s">
        <v>27</v>
      </c>
      <c r="C4110" t="s">
        <v>28</v>
      </c>
      <c r="H4110" s="2">
        <v>44863.425636574073</v>
      </c>
      <c r="I4110" t="s">
        <v>4503</v>
      </c>
      <c r="Z4110">
        <v>42082</v>
      </c>
    </row>
    <row r="4111" spans="1:26" x14ac:dyDescent="0.25">
      <c r="A4111" t="s">
        <v>4603</v>
      </c>
      <c r="B4111" t="s">
        <v>74</v>
      </c>
      <c r="C4111" t="s">
        <v>28</v>
      </c>
      <c r="E4111" t="s">
        <v>626</v>
      </c>
      <c r="G4111" t="s">
        <v>4604</v>
      </c>
      <c r="H4111" s="2">
        <v>44862.498564814814</v>
      </c>
      <c r="I4111" t="s">
        <v>2681</v>
      </c>
      <c r="Z4111">
        <v>42024</v>
      </c>
    </row>
    <row r="4112" spans="1:26" x14ac:dyDescent="0.25">
      <c r="A4112" t="s">
        <v>4605</v>
      </c>
      <c r="B4112" t="s">
        <v>27</v>
      </c>
      <c r="C4112" t="s">
        <v>28</v>
      </c>
      <c r="H4112" s="2">
        <v>44861.554351851853</v>
      </c>
      <c r="I4112" t="s">
        <v>2001</v>
      </c>
      <c r="Z4112">
        <v>41965</v>
      </c>
    </row>
    <row r="4113" spans="1:26" x14ac:dyDescent="0.25">
      <c r="A4113" t="s">
        <v>4606</v>
      </c>
      <c r="B4113" t="s">
        <v>27</v>
      </c>
      <c r="C4113" t="s">
        <v>28</v>
      </c>
      <c r="H4113" s="2">
        <v>44861.392465277779</v>
      </c>
      <c r="I4113" t="s">
        <v>1488</v>
      </c>
      <c r="Z4113">
        <v>41928</v>
      </c>
    </row>
    <row r="4114" spans="1:26" x14ac:dyDescent="0.25">
      <c r="A4114" t="s">
        <v>4607</v>
      </c>
      <c r="B4114" t="s">
        <v>27</v>
      </c>
      <c r="C4114" t="s">
        <v>28</v>
      </c>
      <c r="H4114" s="2">
        <v>44860.738043981481</v>
      </c>
      <c r="I4114" t="s">
        <v>2681</v>
      </c>
      <c r="Z4114">
        <v>41910</v>
      </c>
    </row>
    <row r="4115" spans="1:26" x14ac:dyDescent="0.25">
      <c r="A4115" t="s">
        <v>4608</v>
      </c>
      <c r="B4115" t="s">
        <v>27</v>
      </c>
      <c r="C4115" t="s">
        <v>28</v>
      </c>
      <c r="H4115" s="2">
        <v>44860.630150462966</v>
      </c>
      <c r="I4115" t="s">
        <v>4503</v>
      </c>
      <c r="Z4115">
        <v>41896</v>
      </c>
    </row>
    <row r="4116" spans="1:26" x14ac:dyDescent="0.25">
      <c r="A4116" t="s">
        <v>4609</v>
      </c>
      <c r="B4116" t="s">
        <v>27</v>
      </c>
      <c r="C4116" t="s">
        <v>28</v>
      </c>
      <c r="H4116" s="2">
        <v>44860.463472222225</v>
      </c>
      <c r="I4116" t="s">
        <v>2001</v>
      </c>
      <c r="Z4116">
        <v>41859</v>
      </c>
    </row>
    <row r="4117" spans="1:26" x14ac:dyDescent="0.25">
      <c r="A4117" t="s">
        <v>4610</v>
      </c>
      <c r="B4117" t="s">
        <v>27</v>
      </c>
      <c r="C4117" t="s">
        <v>28</v>
      </c>
      <c r="H4117" s="2">
        <v>44859.69804398148</v>
      </c>
      <c r="I4117" t="s">
        <v>31</v>
      </c>
      <c r="Z4117">
        <v>41834</v>
      </c>
    </row>
    <row r="4118" spans="1:26" x14ac:dyDescent="0.25">
      <c r="A4118" t="s">
        <v>4611</v>
      </c>
      <c r="B4118" t="s">
        <v>1403</v>
      </c>
      <c r="C4118" t="s">
        <v>28</v>
      </c>
      <c r="E4118" t="s">
        <v>4612</v>
      </c>
      <c r="G4118" t="s">
        <v>4613</v>
      </c>
      <c r="H4118" s="2">
        <v>44857.430787037039</v>
      </c>
      <c r="I4118" t="s">
        <v>31</v>
      </c>
      <c r="Z4118">
        <v>41658</v>
      </c>
    </row>
    <row r="4119" spans="1:26" x14ac:dyDescent="0.25">
      <c r="A4119" t="s">
        <v>4614</v>
      </c>
      <c r="B4119" t="s">
        <v>27</v>
      </c>
      <c r="C4119" t="s">
        <v>28</v>
      </c>
      <c r="H4119" s="2">
        <v>44856.720856481479</v>
      </c>
      <c r="I4119" t="s">
        <v>4114</v>
      </c>
      <c r="Z4119">
        <v>41638</v>
      </c>
    </row>
    <row r="4120" spans="1:26" x14ac:dyDescent="0.25">
      <c r="A4120" t="s">
        <v>4615</v>
      </c>
      <c r="B4120" t="s">
        <v>1708</v>
      </c>
      <c r="C4120" t="s">
        <v>28</v>
      </c>
      <c r="E4120" t="s">
        <v>4616</v>
      </c>
      <c r="H4120" s="2">
        <v>44856.628958333335</v>
      </c>
      <c r="I4120" t="s">
        <v>31</v>
      </c>
      <c r="Z4120">
        <v>41630</v>
      </c>
    </row>
    <row r="4121" spans="1:26" x14ac:dyDescent="0.25">
      <c r="A4121" t="s">
        <v>4617</v>
      </c>
      <c r="B4121" t="s">
        <v>27</v>
      </c>
      <c r="C4121" t="s">
        <v>28</v>
      </c>
      <c r="H4121" s="2">
        <v>44855.584027777775</v>
      </c>
      <c r="I4121" t="s">
        <v>2681</v>
      </c>
      <c r="Z4121">
        <v>41577</v>
      </c>
    </row>
    <row r="4122" spans="1:26" x14ac:dyDescent="0.25">
      <c r="A4122" t="s">
        <v>4618</v>
      </c>
      <c r="B4122" t="s">
        <v>74</v>
      </c>
      <c r="C4122" t="s">
        <v>28</v>
      </c>
      <c r="E4122" t="s">
        <v>1821</v>
      </c>
      <c r="G4122" t="s">
        <v>4619</v>
      </c>
      <c r="H4122" s="2">
        <v>44854.672812500001</v>
      </c>
      <c r="I4122" t="s">
        <v>2681</v>
      </c>
      <c r="Z4122">
        <v>41516</v>
      </c>
    </row>
    <row r="4123" spans="1:26" x14ac:dyDescent="0.25">
      <c r="A4123" t="s">
        <v>4447</v>
      </c>
      <c r="B4123" t="s">
        <v>27</v>
      </c>
      <c r="C4123" t="s">
        <v>28</v>
      </c>
      <c r="H4123" s="2">
        <v>44854.672129629631</v>
      </c>
      <c r="I4123" t="s">
        <v>3864</v>
      </c>
      <c r="Z4123">
        <v>41515</v>
      </c>
    </row>
    <row r="4124" spans="1:26" x14ac:dyDescent="0.25">
      <c r="A4124" t="s">
        <v>4239</v>
      </c>
      <c r="B4124" t="s">
        <v>27</v>
      </c>
      <c r="C4124" t="s">
        <v>28</v>
      </c>
      <c r="H4124" s="2">
        <v>44854.495555555557</v>
      </c>
      <c r="I4124" t="s">
        <v>2681</v>
      </c>
      <c r="Z4124">
        <v>41483</v>
      </c>
    </row>
    <row r="4125" spans="1:26" x14ac:dyDescent="0.25">
      <c r="A4125" t="s">
        <v>4620</v>
      </c>
      <c r="B4125" t="s">
        <v>27</v>
      </c>
      <c r="C4125" t="s">
        <v>28</v>
      </c>
      <c r="H4125" s="2">
        <v>44853.620092592595</v>
      </c>
      <c r="I4125" t="s">
        <v>31</v>
      </c>
      <c r="Z4125">
        <v>41446</v>
      </c>
    </row>
    <row r="4126" spans="1:26" x14ac:dyDescent="0.25">
      <c r="A4126" t="s">
        <v>4621</v>
      </c>
      <c r="B4126" t="s">
        <v>27</v>
      </c>
      <c r="C4126" t="s">
        <v>28</v>
      </c>
      <c r="H4126" s="2">
        <v>44853.585914351854</v>
      </c>
      <c r="I4126" t="s">
        <v>2001</v>
      </c>
      <c r="Z4126">
        <v>41443</v>
      </c>
    </row>
    <row r="4127" spans="1:26" x14ac:dyDescent="0.25">
      <c r="A4127" t="s">
        <v>4622</v>
      </c>
      <c r="B4127" t="s">
        <v>27</v>
      </c>
      <c r="C4127" t="s">
        <v>28</v>
      </c>
      <c r="H4127" s="2">
        <v>44853.460011574076</v>
      </c>
      <c r="I4127" t="s">
        <v>3864</v>
      </c>
      <c r="Z4127">
        <v>41429</v>
      </c>
    </row>
    <row r="4128" spans="1:26" x14ac:dyDescent="0.25">
      <c r="A4128" t="s">
        <v>4623</v>
      </c>
      <c r="B4128" t="s">
        <v>27</v>
      </c>
      <c r="C4128" t="s">
        <v>28</v>
      </c>
      <c r="H4128" s="2">
        <v>44853.198993055557</v>
      </c>
      <c r="I4128" t="s">
        <v>4301</v>
      </c>
      <c r="Z4128">
        <v>41415</v>
      </c>
    </row>
    <row r="4129" spans="1:26" x14ac:dyDescent="0.25">
      <c r="A4129" t="s">
        <v>4624</v>
      </c>
      <c r="B4129" t="s">
        <v>27</v>
      </c>
      <c r="C4129" t="s">
        <v>28</v>
      </c>
      <c r="H4129" s="2">
        <v>44851.824999999997</v>
      </c>
      <c r="I4129" t="s">
        <v>31</v>
      </c>
      <c r="Z4129">
        <v>41381</v>
      </c>
    </row>
    <row r="4130" spans="1:26" x14ac:dyDescent="0.25">
      <c r="A4130" t="s">
        <v>4625</v>
      </c>
      <c r="B4130" t="s">
        <v>27</v>
      </c>
      <c r="C4130" t="s">
        <v>28</v>
      </c>
      <c r="H4130" s="2">
        <v>44851.588379629633</v>
      </c>
      <c r="I4130" t="s">
        <v>2674</v>
      </c>
      <c r="Z4130">
        <v>41366</v>
      </c>
    </row>
    <row r="4131" spans="1:26" x14ac:dyDescent="0.25">
      <c r="A4131" t="s">
        <v>3318</v>
      </c>
      <c r="B4131" t="s">
        <v>27</v>
      </c>
      <c r="C4131" t="s">
        <v>28</v>
      </c>
      <c r="H4131" s="2">
        <v>44851.512430555558</v>
      </c>
      <c r="I4131" t="s">
        <v>4114</v>
      </c>
      <c r="Z4131">
        <v>41354</v>
      </c>
    </row>
    <row r="4132" spans="1:26" x14ac:dyDescent="0.25">
      <c r="A4132" t="s">
        <v>4626</v>
      </c>
      <c r="B4132" t="s">
        <v>27</v>
      </c>
      <c r="C4132" t="s">
        <v>28</v>
      </c>
      <c r="H4132" s="2">
        <v>44851.474664351852</v>
      </c>
      <c r="I4132" t="s">
        <v>31</v>
      </c>
      <c r="Z4132">
        <v>41345</v>
      </c>
    </row>
    <row r="4133" spans="1:26" x14ac:dyDescent="0.25">
      <c r="A4133" t="s">
        <v>570</v>
      </c>
      <c r="C4133" t="s">
        <v>28</v>
      </c>
      <c r="E4133" t="s">
        <v>186</v>
      </c>
      <c r="H4133" s="2">
        <v>44851.469398148147</v>
      </c>
      <c r="I4133" t="s">
        <v>31</v>
      </c>
      <c r="Z4133">
        <v>41343</v>
      </c>
    </row>
    <row r="4134" spans="1:26" x14ac:dyDescent="0.25">
      <c r="A4134" t="s">
        <v>4627</v>
      </c>
      <c r="B4134" t="s">
        <v>1708</v>
      </c>
      <c r="C4134" t="s">
        <v>28</v>
      </c>
      <c r="E4134" t="s">
        <v>186</v>
      </c>
      <c r="H4134" s="2">
        <v>44850.755729166667</v>
      </c>
      <c r="I4134" t="s">
        <v>4448</v>
      </c>
      <c r="Z4134">
        <v>41317</v>
      </c>
    </row>
    <row r="4135" spans="1:26" x14ac:dyDescent="0.25">
      <c r="A4135" t="s">
        <v>4628</v>
      </c>
      <c r="B4135" t="s">
        <v>27</v>
      </c>
      <c r="C4135" t="s">
        <v>28</v>
      </c>
      <c r="H4135" s="2">
        <v>44850.634375000001</v>
      </c>
      <c r="I4135" t="s">
        <v>4114</v>
      </c>
      <c r="Z4135">
        <v>41305</v>
      </c>
    </row>
    <row r="4136" spans="1:26" x14ac:dyDescent="0.25">
      <c r="A4136" t="s">
        <v>4629</v>
      </c>
      <c r="B4136" t="s">
        <v>1993</v>
      </c>
      <c r="C4136" t="s">
        <v>28</v>
      </c>
      <c r="E4136" t="s">
        <v>4630</v>
      </c>
      <c r="G4136" t="s">
        <v>3320</v>
      </c>
      <c r="H4136" s="2">
        <v>44849.610567129632</v>
      </c>
      <c r="I4136" t="s">
        <v>3054</v>
      </c>
      <c r="Z4136">
        <v>41255</v>
      </c>
    </row>
    <row r="4137" spans="1:26" x14ac:dyDescent="0.25">
      <c r="A4137" t="s">
        <v>4631</v>
      </c>
      <c r="B4137" t="s">
        <v>27</v>
      </c>
      <c r="C4137" t="s">
        <v>28</v>
      </c>
      <c r="H4137" s="2">
        <v>44849.525370370371</v>
      </c>
      <c r="I4137" t="s">
        <v>4503</v>
      </c>
      <c r="Z4137">
        <v>41240</v>
      </c>
    </row>
    <row r="4138" spans="1:26" x14ac:dyDescent="0.25">
      <c r="A4138" t="s">
        <v>4632</v>
      </c>
      <c r="B4138" t="s">
        <v>27</v>
      </c>
      <c r="C4138" t="s">
        <v>28</v>
      </c>
      <c r="H4138" s="2">
        <v>44848.495393518519</v>
      </c>
      <c r="I4138" t="s">
        <v>31</v>
      </c>
      <c r="Z4138">
        <v>41190</v>
      </c>
    </row>
    <row r="4139" spans="1:26" x14ac:dyDescent="0.25">
      <c r="A4139" t="s">
        <v>4633</v>
      </c>
      <c r="B4139" t="s">
        <v>1708</v>
      </c>
      <c r="C4139" t="s">
        <v>28</v>
      </c>
      <c r="E4139" t="s">
        <v>4634</v>
      </c>
      <c r="H4139" s="2">
        <v>44846.42728009259</v>
      </c>
      <c r="I4139" t="s">
        <v>31</v>
      </c>
      <c r="K4139" t="s">
        <v>34</v>
      </c>
      <c r="L4139" t="s">
        <v>35</v>
      </c>
      <c r="M4139">
        <v>67131912</v>
      </c>
      <c r="N4139">
        <v>11953101644</v>
      </c>
      <c r="O4139" t="s">
        <v>4635</v>
      </c>
      <c r="Z4139">
        <v>41121</v>
      </c>
    </row>
    <row r="4140" spans="1:26" x14ac:dyDescent="0.25">
      <c r="A4140" t="s">
        <v>4636</v>
      </c>
      <c r="B4140" t="s">
        <v>27</v>
      </c>
      <c r="C4140" t="s">
        <v>28</v>
      </c>
      <c r="H4140" s="2">
        <v>44845.689699074072</v>
      </c>
      <c r="I4140" t="s">
        <v>2674</v>
      </c>
      <c r="Z4140">
        <v>41108</v>
      </c>
    </row>
    <row r="4141" spans="1:26" x14ac:dyDescent="0.25">
      <c r="A4141" t="s">
        <v>3646</v>
      </c>
      <c r="B4141" t="s">
        <v>27</v>
      </c>
      <c r="C4141" t="s">
        <v>28</v>
      </c>
      <c r="H4141" s="2">
        <v>44845.446006944447</v>
      </c>
      <c r="I4141" t="s">
        <v>2674</v>
      </c>
      <c r="Z4141">
        <v>41087</v>
      </c>
    </row>
    <row r="4142" spans="1:26" x14ac:dyDescent="0.25">
      <c r="A4142" t="s">
        <v>3318</v>
      </c>
      <c r="B4142" t="s">
        <v>27</v>
      </c>
      <c r="C4142" t="s">
        <v>28</v>
      </c>
      <c r="H4142" s="2">
        <v>44844.642268518517</v>
      </c>
      <c r="I4142" t="s">
        <v>4448</v>
      </c>
      <c r="Z4142">
        <v>41072</v>
      </c>
    </row>
    <row r="4143" spans="1:26" x14ac:dyDescent="0.25">
      <c r="A4143" t="s">
        <v>4637</v>
      </c>
      <c r="B4143" t="s">
        <v>27</v>
      </c>
      <c r="C4143" t="s">
        <v>28</v>
      </c>
      <c r="H4143" s="2">
        <v>44843.805023148147</v>
      </c>
      <c r="I4143" t="s">
        <v>31</v>
      </c>
      <c r="Z4143">
        <v>41019</v>
      </c>
    </row>
    <row r="4144" spans="1:26" x14ac:dyDescent="0.25">
      <c r="A4144" t="s">
        <v>4302</v>
      </c>
      <c r="B4144" t="s">
        <v>27</v>
      </c>
      <c r="C4144" t="s">
        <v>28</v>
      </c>
      <c r="H4144" s="2">
        <v>44842.613865740743</v>
      </c>
      <c r="I4144" t="s">
        <v>2001</v>
      </c>
      <c r="Z4144">
        <v>40957</v>
      </c>
    </row>
    <row r="4145" spans="1:26" x14ac:dyDescent="0.25">
      <c r="A4145" t="s">
        <v>4638</v>
      </c>
      <c r="B4145" t="s">
        <v>27</v>
      </c>
      <c r="C4145" t="s">
        <v>28</v>
      </c>
      <c r="H4145" s="2">
        <v>44841.676122685189</v>
      </c>
      <c r="I4145" t="s">
        <v>2113</v>
      </c>
      <c r="Z4145">
        <v>40903</v>
      </c>
    </row>
    <row r="4146" spans="1:26" x14ac:dyDescent="0.25">
      <c r="A4146" t="s">
        <v>4639</v>
      </c>
      <c r="B4146" t="s">
        <v>27</v>
      </c>
      <c r="C4146" t="s">
        <v>28</v>
      </c>
      <c r="H4146" s="2">
        <v>44841.535555555558</v>
      </c>
      <c r="I4146" t="s">
        <v>3864</v>
      </c>
      <c r="Z4146">
        <v>40888</v>
      </c>
    </row>
    <row r="4147" spans="1:26" x14ac:dyDescent="0.25">
      <c r="A4147" t="s">
        <v>4640</v>
      </c>
      <c r="B4147" t="s">
        <v>27</v>
      </c>
      <c r="C4147" t="s">
        <v>28</v>
      </c>
      <c r="H4147" s="2">
        <v>44840.786099537036</v>
      </c>
      <c r="I4147" t="s">
        <v>31</v>
      </c>
      <c r="Z4147">
        <v>40867</v>
      </c>
    </row>
    <row r="4148" spans="1:26" x14ac:dyDescent="0.25">
      <c r="A4148" t="s">
        <v>3290</v>
      </c>
      <c r="B4148" t="s">
        <v>27</v>
      </c>
      <c r="C4148" t="s">
        <v>28</v>
      </c>
      <c r="H4148" s="2">
        <v>44840.746759259258</v>
      </c>
      <c r="I4148" t="s">
        <v>31</v>
      </c>
      <c r="Z4148">
        <v>40865</v>
      </c>
    </row>
    <row r="4149" spans="1:26" x14ac:dyDescent="0.25">
      <c r="A4149" t="s">
        <v>4447</v>
      </c>
      <c r="B4149" t="s">
        <v>27</v>
      </c>
      <c r="C4149" t="s">
        <v>28</v>
      </c>
      <c r="H4149" s="2">
        <v>44840.644872685189</v>
      </c>
      <c r="I4149" t="s">
        <v>4448</v>
      </c>
      <c r="Z4149">
        <v>40852</v>
      </c>
    </row>
    <row r="4150" spans="1:26" x14ac:dyDescent="0.25">
      <c r="A4150" t="s">
        <v>4641</v>
      </c>
      <c r="B4150" t="s">
        <v>27</v>
      </c>
      <c r="C4150" t="s">
        <v>28</v>
      </c>
      <c r="H4150" s="2">
        <v>44839.699120370373</v>
      </c>
      <c r="I4150" t="s">
        <v>2113</v>
      </c>
      <c r="Z4150">
        <v>40821</v>
      </c>
    </row>
    <row r="4151" spans="1:26" x14ac:dyDescent="0.25">
      <c r="A4151" t="s">
        <v>4642</v>
      </c>
      <c r="B4151" t="s">
        <v>27</v>
      </c>
      <c r="C4151" t="s">
        <v>28</v>
      </c>
      <c r="H4151" s="2">
        <v>44839.490694444445</v>
      </c>
      <c r="I4151" t="s">
        <v>2113</v>
      </c>
      <c r="Z4151">
        <v>40801</v>
      </c>
    </row>
    <row r="4152" spans="1:26" x14ac:dyDescent="0.25">
      <c r="A4152" t="s">
        <v>4643</v>
      </c>
      <c r="B4152" t="s">
        <v>74</v>
      </c>
      <c r="C4152" t="s">
        <v>28</v>
      </c>
      <c r="E4152" t="s">
        <v>2168</v>
      </c>
      <c r="G4152" t="s">
        <v>4644</v>
      </c>
      <c r="H4152" s="2">
        <v>44839.404131944444</v>
      </c>
      <c r="I4152" t="s">
        <v>2113</v>
      </c>
      <c r="Z4152">
        <v>40794</v>
      </c>
    </row>
    <row r="4153" spans="1:26" x14ac:dyDescent="0.25">
      <c r="A4153" t="s">
        <v>4645</v>
      </c>
      <c r="B4153" t="s">
        <v>27</v>
      </c>
      <c r="C4153" t="s">
        <v>28</v>
      </c>
      <c r="H4153" s="2">
        <v>44837.715983796297</v>
      </c>
      <c r="I4153" t="s">
        <v>4114</v>
      </c>
      <c r="Z4153">
        <v>40728</v>
      </c>
    </row>
    <row r="4154" spans="1:26" x14ac:dyDescent="0.25">
      <c r="A4154" t="s">
        <v>4627</v>
      </c>
      <c r="B4154" t="s">
        <v>1993</v>
      </c>
      <c r="C4154" t="s">
        <v>28</v>
      </c>
      <c r="E4154" t="s">
        <v>186</v>
      </c>
      <c r="H4154" s="2">
        <v>44837.661631944444</v>
      </c>
      <c r="I4154" t="s">
        <v>4114</v>
      </c>
      <c r="Z4154">
        <v>40724</v>
      </c>
    </row>
    <row r="4155" spans="1:26" x14ac:dyDescent="0.25">
      <c r="A4155" t="s">
        <v>4646</v>
      </c>
      <c r="B4155" t="s">
        <v>27</v>
      </c>
      <c r="C4155" t="s">
        <v>28</v>
      </c>
      <c r="H4155" s="2">
        <v>44837.456828703704</v>
      </c>
      <c r="I4155" t="s">
        <v>2674</v>
      </c>
      <c r="Z4155">
        <v>40695</v>
      </c>
    </row>
    <row r="4156" spans="1:26" x14ac:dyDescent="0.25">
      <c r="A4156" t="s">
        <v>4647</v>
      </c>
      <c r="B4156" t="s">
        <v>27</v>
      </c>
      <c r="C4156" t="s">
        <v>28</v>
      </c>
      <c r="H4156" s="2">
        <v>44836.752418981479</v>
      </c>
      <c r="I4156" t="s">
        <v>4301</v>
      </c>
      <c r="Z4156">
        <v>40670</v>
      </c>
    </row>
    <row r="4157" spans="1:26" x14ac:dyDescent="0.25">
      <c r="A4157" t="s">
        <v>4648</v>
      </c>
      <c r="B4157" t="s">
        <v>27</v>
      </c>
      <c r="C4157" t="s">
        <v>28</v>
      </c>
      <c r="H4157" s="2">
        <v>44836.629386574074</v>
      </c>
      <c r="I4157" t="s">
        <v>2001</v>
      </c>
      <c r="Z4157">
        <v>40660</v>
      </c>
    </row>
    <row r="4158" spans="1:26" x14ac:dyDescent="0.25">
      <c r="A4158" t="s">
        <v>4649</v>
      </c>
      <c r="B4158" t="s">
        <v>27</v>
      </c>
      <c r="C4158" t="s">
        <v>28</v>
      </c>
      <c r="H4158" s="2">
        <v>44836.390706018516</v>
      </c>
      <c r="I4158" t="s">
        <v>4448</v>
      </c>
      <c r="Z4158">
        <v>40640</v>
      </c>
    </row>
    <row r="4159" spans="1:26" x14ac:dyDescent="0.25">
      <c r="A4159" t="s">
        <v>4650</v>
      </c>
      <c r="B4159" t="s">
        <v>27</v>
      </c>
      <c r="C4159" t="s">
        <v>28</v>
      </c>
      <c r="H4159" s="2">
        <v>44835.430879629632</v>
      </c>
      <c r="I4159" t="s">
        <v>31</v>
      </c>
      <c r="Z4159">
        <v>40587</v>
      </c>
    </row>
    <row r="4160" spans="1:26" x14ac:dyDescent="0.25">
      <c r="A4160" t="s">
        <v>4651</v>
      </c>
      <c r="B4160" t="s">
        <v>1708</v>
      </c>
      <c r="C4160" t="s">
        <v>28</v>
      </c>
      <c r="E4160" t="s">
        <v>4652</v>
      </c>
      <c r="H4160" s="2">
        <v>44834.561990740738</v>
      </c>
      <c r="I4160" t="s">
        <v>31</v>
      </c>
      <c r="Z4160">
        <v>40557</v>
      </c>
    </row>
    <row r="4161" spans="1:26" x14ac:dyDescent="0.25">
      <c r="A4161" t="s">
        <v>4653</v>
      </c>
      <c r="B4161" t="s">
        <v>27</v>
      </c>
      <c r="C4161" t="s">
        <v>28</v>
      </c>
      <c r="H4161" s="2">
        <v>44834.504236111112</v>
      </c>
      <c r="I4161" t="s">
        <v>1488</v>
      </c>
      <c r="Z4161">
        <v>40552</v>
      </c>
    </row>
    <row r="4162" spans="1:26" x14ac:dyDescent="0.25">
      <c r="A4162" t="s">
        <v>4654</v>
      </c>
      <c r="B4162" t="s">
        <v>27</v>
      </c>
      <c r="C4162" t="s">
        <v>28</v>
      </c>
      <c r="H4162" s="2">
        <v>44834.489120370374</v>
      </c>
      <c r="I4162" t="s">
        <v>2674</v>
      </c>
      <c r="Z4162">
        <v>40551</v>
      </c>
    </row>
    <row r="4163" spans="1:26" x14ac:dyDescent="0.25">
      <c r="A4163" t="s">
        <v>4655</v>
      </c>
      <c r="B4163" t="s">
        <v>74</v>
      </c>
      <c r="C4163" t="s">
        <v>28</v>
      </c>
      <c r="E4163" t="s">
        <v>427</v>
      </c>
      <c r="G4163" t="s">
        <v>4656</v>
      </c>
      <c r="H4163" s="2">
        <v>44832.393321759257</v>
      </c>
      <c r="I4163" t="s">
        <v>1068</v>
      </c>
      <c r="K4163" t="s">
        <v>34</v>
      </c>
      <c r="L4163" t="s">
        <v>35</v>
      </c>
      <c r="M4163">
        <v>67131912</v>
      </c>
      <c r="N4163">
        <v>11953101689</v>
      </c>
      <c r="O4163" t="s">
        <v>4657</v>
      </c>
      <c r="Z4163">
        <v>40496</v>
      </c>
    </row>
    <row r="4164" spans="1:26" x14ac:dyDescent="0.25">
      <c r="A4164" t="s">
        <v>4658</v>
      </c>
      <c r="B4164" t="s">
        <v>74</v>
      </c>
      <c r="C4164" t="s">
        <v>28</v>
      </c>
      <c r="E4164" t="s">
        <v>2854</v>
      </c>
      <c r="G4164" t="s">
        <v>2226</v>
      </c>
      <c r="H4164" s="2">
        <v>44832.28633101852</v>
      </c>
      <c r="I4164" t="s">
        <v>2674</v>
      </c>
      <c r="Z4164">
        <v>40494</v>
      </c>
    </row>
    <row r="4165" spans="1:26" x14ac:dyDescent="0.25">
      <c r="A4165" t="s">
        <v>4659</v>
      </c>
      <c r="B4165" t="s">
        <v>27</v>
      </c>
      <c r="C4165" t="s">
        <v>28</v>
      </c>
      <c r="H4165" s="2">
        <v>44831.703148148146</v>
      </c>
      <c r="I4165" t="s">
        <v>4503</v>
      </c>
      <c r="Z4165">
        <v>40482</v>
      </c>
    </row>
    <row r="4166" spans="1:26" x14ac:dyDescent="0.25">
      <c r="A4166" t="s">
        <v>4660</v>
      </c>
      <c r="B4166" t="s">
        <v>27</v>
      </c>
      <c r="C4166" t="s">
        <v>28</v>
      </c>
      <c r="H4166" s="2">
        <v>44831.506030092591</v>
      </c>
      <c r="I4166" t="s">
        <v>2681</v>
      </c>
      <c r="Z4166">
        <v>40467</v>
      </c>
    </row>
    <row r="4167" spans="1:26" x14ac:dyDescent="0.25">
      <c r="A4167" t="s">
        <v>4661</v>
      </c>
      <c r="B4167" t="s">
        <v>27</v>
      </c>
      <c r="C4167" t="s">
        <v>28</v>
      </c>
      <c r="H4167" s="2">
        <v>44830.656712962962</v>
      </c>
      <c r="I4167" t="s">
        <v>4301</v>
      </c>
      <c r="Z4167">
        <v>40450</v>
      </c>
    </row>
    <row r="4168" spans="1:26" x14ac:dyDescent="0.25">
      <c r="A4168" t="s">
        <v>4662</v>
      </c>
      <c r="B4168" t="s">
        <v>27</v>
      </c>
      <c r="C4168" t="s">
        <v>28</v>
      </c>
      <c r="H4168" s="2">
        <v>44829.566782407404</v>
      </c>
      <c r="I4168" t="s">
        <v>3864</v>
      </c>
      <c r="Z4168">
        <v>40416</v>
      </c>
    </row>
    <row r="4169" spans="1:26" x14ac:dyDescent="0.25">
      <c r="A4169" t="s">
        <v>4663</v>
      </c>
      <c r="B4169" t="s">
        <v>27</v>
      </c>
      <c r="C4169" t="s">
        <v>28</v>
      </c>
      <c r="H4169" s="2">
        <v>44829.509097222224</v>
      </c>
      <c r="I4169" t="s">
        <v>2681</v>
      </c>
      <c r="Z4169">
        <v>40413</v>
      </c>
    </row>
    <row r="4170" spans="1:26" x14ac:dyDescent="0.25">
      <c r="A4170" t="s">
        <v>1903</v>
      </c>
      <c r="B4170" t="s">
        <v>27</v>
      </c>
      <c r="C4170" t="s">
        <v>28</v>
      </c>
      <c r="H4170" s="2">
        <v>44828.837141203701</v>
      </c>
      <c r="I4170" t="s">
        <v>31</v>
      </c>
      <c r="Z4170">
        <v>40401</v>
      </c>
    </row>
    <row r="4171" spans="1:26" x14ac:dyDescent="0.25">
      <c r="A4171" t="s">
        <v>4649</v>
      </c>
      <c r="B4171" t="s">
        <v>27</v>
      </c>
      <c r="C4171" t="s">
        <v>28</v>
      </c>
      <c r="H4171" s="2">
        <v>44827.646655092591</v>
      </c>
      <c r="I4171" t="s">
        <v>4503</v>
      </c>
      <c r="Z4171">
        <v>40355</v>
      </c>
    </row>
    <row r="4172" spans="1:26" x14ac:dyDescent="0.25">
      <c r="A4172" t="s">
        <v>4664</v>
      </c>
      <c r="B4172" t="s">
        <v>1708</v>
      </c>
      <c r="C4172" t="s">
        <v>28</v>
      </c>
      <c r="E4172" t="s">
        <v>4665</v>
      </c>
      <c r="H4172" s="2">
        <v>44826.679560185185</v>
      </c>
      <c r="I4172" t="s">
        <v>3054</v>
      </c>
      <c r="K4172" t="s">
        <v>34</v>
      </c>
      <c r="L4172" t="s">
        <v>35</v>
      </c>
      <c r="M4172">
        <v>67131912</v>
      </c>
      <c r="N4172">
        <v>11953101646</v>
      </c>
      <c r="O4172" t="s">
        <v>3409</v>
      </c>
      <c r="Z4172">
        <v>40308</v>
      </c>
    </row>
    <row r="4173" spans="1:26" x14ac:dyDescent="0.25">
      <c r="A4173" t="s">
        <v>4666</v>
      </c>
      <c r="B4173" t="s">
        <v>27</v>
      </c>
      <c r="C4173" t="s">
        <v>28</v>
      </c>
      <c r="H4173" s="2">
        <v>44825.779293981483</v>
      </c>
      <c r="I4173" t="s">
        <v>2674</v>
      </c>
      <c r="Z4173">
        <v>40269</v>
      </c>
    </row>
    <row r="4174" spans="1:26" x14ac:dyDescent="0.25">
      <c r="A4174" t="s">
        <v>4667</v>
      </c>
      <c r="B4174" t="s">
        <v>27</v>
      </c>
      <c r="C4174" t="s">
        <v>28</v>
      </c>
      <c r="H4174" s="2">
        <v>44825.728912037041</v>
      </c>
      <c r="I4174" t="s">
        <v>4448</v>
      </c>
      <c r="Z4174">
        <v>40266</v>
      </c>
    </row>
    <row r="4175" spans="1:26" x14ac:dyDescent="0.25">
      <c r="A4175" t="s">
        <v>4668</v>
      </c>
      <c r="B4175" t="s">
        <v>27</v>
      </c>
      <c r="C4175" t="s">
        <v>28</v>
      </c>
      <c r="H4175" s="2">
        <v>44825.496296296296</v>
      </c>
      <c r="I4175" t="s">
        <v>2674</v>
      </c>
      <c r="Z4175">
        <v>40253</v>
      </c>
    </row>
    <row r="4176" spans="1:26" x14ac:dyDescent="0.25">
      <c r="A4176" t="s">
        <v>4669</v>
      </c>
      <c r="B4176" t="s">
        <v>27</v>
      </c>
      <c r="C4176" t="s">
        <v>28</v>
      </c>
      <c r="H4176" s="2">
        <v>44825.457453703704</v>
      </c>
      <c r="I4176" t="s">
        <v>2674</v>
      </c>
      <c r="Z4176">
        <v>40248</v>
      </c>
    </row>
    <row r="4177" spans="1:26" x14ac:dyDescent="0.25">
      <c r="A4177" t="s">
        <v>4670</v>
      </c>
      <c r="B4177" t="s">
        <v>27</v>
      </c>
      <c r="C4177" t="s">
        <v>28</v>
      </c>
      <c r="H4177" s="2">
        <v>44825.413900462961</v>
      </c>
      <c r="I4177" t="s">
        <v>4114</v>
      </c>
      <c r="Z4177">
        <v>40244</v>
      </c>
    </row>
    <row r="4178" spans="1:26" x14ac:dyDescent="0.25">
      <c r="A4178" t="s">
        <v>4671</v>
      </c>
      <c r="B4178" t="s">
        <v>1708</v>
      </c>
      <c r="C4178" t="s">
        <v>28</v>
      </c>
      <c r="E4178" t="s">
        <v>1193</v>
      </c>
      <c r="H4178" s="2">
        <v>44825.351539351854</v>
      </c>
      <c r="I4178" t="s">
        <v>2001</v>
      </c>
      <c r="Z4178">
        <v>40239</v>
      </c>
    </row>
    <row r="4179" spans="1:26" x14ac:dyDescent="0.25">
      <c r="A4179" t="s">
        <v>596</v>
      </c>
      <c r="B4179" t="s">
        <v>306</v>
      </c>
      <c r="C4179" t="s">
        <v>28</v>
      </c>
      <c r="H4179" s="2">
        <v>44825.188321759262</v>
      </c>
      <c r="I4179" t="s">
        <v>2674</v>
      </c>
      <c r="Z4179">
        <v>40238</v>
      </c>
    </row>
    <row r="4180" spans="1:26" x14ac:dyDescent="0.25">
      <c r="A4180" t="s">
        <v>4672</v>
      </c>
      <c r="B4180" t="s">
        <v>27</v>
      </c>
      <c r="C4180" t="s">
        <v>28</v>
      </c>
      <c r="H4180" s="2">
        <v>44824.754178240742</v>
      </c>
      <c r="I4180" t="s">
        <v>2681</v>
      </c>
      <c r="Z4180">
        <v>40233</v>
      </c>
    </row>
    <row r="4181" spans="1:26" x14ac:dyDescent="0.25">
      <c r="A4181" t="s">
        <v>4673</v>
      </c>
      <c r="B4181" t="s">
        <v>27</v>
      </c>
      <c r="C4181" t="s">
        <v>28</v>
      </c>
      <c r="H4181" s="2">
        <v>44824.646527777775</v>
      </c>
      <c r="I4181" t="s">
        <v>2001</v>
      </c>
      <c r="Z4181">
        <v>40227</v>
      </c>
    </row>
    <row r="4182" spans="1:26" x14ac:dyDescent="0.25">
      <c r="A4182" t="s">
        <v>4674</v>
      </c>
      <c r="B4182" t="s">
        <v>74</v>
      </c>
      <c r="C4182" t="s">
        <v>28</v>
      </c>
      <c r="E4182" t="s">
        <v>59</v>
      </c>
      <c r="G4182" t="s">
        <v>4675</v>
      </c>
      <c r="H4182" s="2">
        <v>44824.615370370368</v>
      </c>
      <c r="I4182" t="s">
        <v>2001</v>
      </c>
      <c r="Z4182">
        <v>40225</v>
      </c>
    </row>
    <row r="4183" spans="1:26" x14ac:dyDescent="0.25">
      <c r="A4183" t="s">
        <v>4676</v>
      </c>
      <c r="B4183" t="s">
        <v>27</v>
      </c>
      <c r="C4183" t="s">
        <v>28</v>
      </c>
      <c r="H4183" s="2">
        <v>44824.501574074071</v>
      </c>
      <c r="I4183" t="s">
        <v>4448</v>
      </c>
      <c r="Z4183">
        <v>40214</v>
      </c>
    </row>
    <row r="4184" spans="1:26" x14ac:dyDescent="0.25">
      <c r="A4184" t="s">
        <v>4677</v>
      </c>
      <c r="B4184" t="s">
        <v>1708</v>
      </c>
      <c r="C4184" t="s">
        <v>28</v>
      </c>
      <c r="E4184" t="s">
        <v>564</v>
      </c>
      <c r="H4184" s="2">
        <v>44824.433692129627</v>
      </c>
      <c r="I4184" t="s">
        <v>31</v>
      </c>
      <c r="Z4184">
        <v>40208</v>
      </c>
    </row>
    <row r="4185" spans="1:26" x14ac:dyDescent="0.25">
      <c r="A4185" t="s">
        <v>4678</v>
      </c>
      <c r="B4185" t="s">
        <v>27</v>
      </c>
      <c r="C4185" t="s">
        <v>28</v>
      </c>
      <c r="H4185" s="2">
        <v>44824.423668981479</v>
      </c>
      <c r="I4185" t="s">
        <v>2001</v>
      </c>
      <c r="Z4185">
        <v>40207</v>
      </c>
    </row>
    <row r="4186" spans="1:26" x14ac:dyDescent="0.25">
      <c r="A4186" t="s">
        <v>4679</v>
      </c>
      <c r="B4186" t="s">
        <v>27</v>
      </c>
      <c r="C4186" t="s">
        <v>28</v>
      </c>
      <c r="H4186" s="2">
        <v>44823.57613425926</v>
      </c>
      <c r="I4186" t="s">
        <v>4448</v>
      </c>
      <c r="Z4186">
        <v>40179</v>
      </c>
    </row>
    <row r="4187" spans="1:26" x14ac:dyDescent="0.25">
      <c r="A4187" t="s">
        <v>1177</v>
      </c>
      <c r="B4187" t="s">
        <v>4548</v>
      </c>
      <c r="C4187" t="s">
        <v>28</v>
      </c>
      <c r="E4187" t="s">
        <v>4680</v>
      </c>
      <c r="H4187" s="2">
        <v>44822.548657407409</v>
      </c>
      <c r="I4187" t="s">
        <v>31</v>
      </c>
      <c r="K4187" t="s">
        <v>34</v>
      </c>
      <c r="L4187" t="s">
        <v>35</v>
      </c>
      <c r="M4187">
        <v>67852485</v>
      </c>
      <c r="N4187">
        <v>11953056739</v>
      </c>
      <c r="O4187" t="s">
        <v>461</v>
      </c>
      <c r="Z4187">
        <v>40111</v>
      </c>
    </row>
    <row r="4188" spans="1:26" x14ac:dyDescent="0.25">
      <c r="A4188" t="s">
        <v>4681</v>
      </c>
      <c r="B4188" t="s">
        <v>27</v>
      </c>
      <c r="C4188" t="s">
        <v>28</v>
      </c>
      <c r="H4188" s="2">
        <v>44821.560104166667</v>
      </c>
      <c r="I4188" t="s">
        <v>4503</v>
      </c>
      <c r="Z4188">
        <v>40069</v>
      </c>
    </row>
    <row r="4189" spans="1:26" x14ac:dyDescent="0.25">
      <c r="A4189" t="s">
        <v>4682</v>
      </c>
      <c r="B4189" t="s">
        <v>1708</v>
      </c>
      <c r="C4189" t="s">
        <v>28</v>
      </c>
      <c r="E4189" t="s">
        <v>76</v>
      </c>
      <c r="G4189" t="s">
        <v>4683</v>
      </c>
      <c r="H4189" s="2">
        <v>44821.337361111109</v>
      </c>
      <c r="I4189" t="s">
        <v>31</v>
      </c>
      <c r="Z4189">
        <v>40049</v>
      </c>
    </row>
    <row r="4190" spans="1:26" x14ac:dyDescent="0.25">
      <c r="A4190" t="s">
        <v>4684</v>
      </c>
      <c r="B4190" t="s">
        <v>27</v>
      </c>
      <c r="C4190" t="s">
        <v>28</v>
      </c>
      <c r="H4190" s="2">
        <v>44820.616608796299</v>
      </c>
      <c r="I4190" t="s">
        <v>1488</v>
      </c>
      <c r="Z4190">
        <v>40031</v>
      </c>
    </row>
    <row r="4191" spans="1:26" x14ac:dyDescent="0.25">
      <c r="A4191" t="s">
        <v>4685</v>
      </c>
      <c r="B4191" t="s">
        <v>27</v>
      </c>
      <c r="C4191" t="s">
        <v>28</v>
      </c>
      <c r="H4191" s="2">
        <v>44820.444976851853</v>
      </c>
      <c r="I4191" t="s">
        <v>4114</v>
      </c>
      <c r="Z4191">
        <v>40008</v>
      </c>
    </row>
    <row r="4192" spans="1:26" x14ac:dyDescent="0.25">
      <c r="A4192" t="s">
        <v>4686</v>
      </c>
      <c r="B4192" t="s">
        <v>1708</v>
      </c>
      <c r="C4192" t="s">
        <v>28</v>
      </c>
      <c r="E4192" t="s">
        <v>2543</v>
      </c>
      <c r="G4192">
        <v>4</v>
      </c>
      <c r="H4192" s="2">
        <v>44820.411990740744</v>
      </c>
      <c r="I4192" t="s">
        <v>4503</v>
      </c>
      <c r="Z4192">
        <v>40004</v>
      </c>
    </row>
    <row r="4193" spans="1:26" x14ac:dyDescent="0.25">
      <c r="A4193" t="s">
        <v>4687</v>
      </c>
      <c r="C4193" t="s">
        <v>28</v>
      </c>
      <c r="E4193" t="s">
        <v>763</v>
      </c>
      <c r="H4193" s="2">
        <v>44819.637685185182</v>
      </c>
      <c r="I4193" t="s">
        <v>4114</v>
      </c>
      <c r="Z4193">
        <v>39984</v>
      </c>
    </row>
    <row r="4194" spans="1:26" x14ac:dyDescent="0.25">
      <c r="A4194" t="s">
        <v>4688</v>
      </c>
      <c r="B4194" t="s">
        <v>1708</v>
      </c>
      <c r="C4194" t="s">
        <v>28</v>
      </c>
      <c r="E4194" t="s">
        <v>4689</v>
      </c>
      <c r="H4194" s="2">
        <v>44819.630787037036</v>
      </c>
      <c r="I4194" t="s">
        <v>2681</v>
      </c>
      <c r="Z4194">
        <v>39982</v>
      </c>
    </row>
    <row r="4195" spans="1:26" x14ac:dyDescent="0.25">
      <c r="A4195" t="s">
        <v>4690</v>
      </c>
      <c r="B4195" t="s">
        <v>27</v>
      </c>
      <c r="C4195" t="s">
        <v>28</v>
      </c>
      <c r="H4195" s="2">
        <v>44819.629363425927</v>
      </c>
      <c r="I4195" t="s">
        <v>4114</v>
      </c>
      <c r="Z4195">
        <v>39981</v>
      </c>
    </row>
    <row r="4196" spans="1:26" x14ac:dyDescent="0.25">
      <c r="A4196" t="s">
        <v>3318</v>
      </c>
      <c r="B4196" t="s">
        <v>1708</v>
      </c>
      <c r="C4196" t="s">
        <v>28</v>
      </c>
      <c r="E4196" t="s">
        <v>272</v>
      </c>
      <c r="G4196" t="s">
        <v>4691</v>
      </c>
      <c r="H4196" s="2">
        <v>44819.600324074076</v>
      </c>
      <c r="I4196" t="s">
        <v>4114</v>
      </c>
      <c r="K4196" t="s">
        <v>34</v>
      </c>
      <c r="L4196" t="s">
        <v>35</v>
      </c>
      <c r="M4196">
        <v>55887113</v>
      </c>
      <c r="N4196">
        <v>9754620480</v>
      </c>
      <c r="O4196" t="s">
        <v>4692</v>
      </c>
      <c r="Z4196">
        <v>39979</v>
      </c>
    </row>
    <row r="4197" spans="1:26" x14ac:dyDescent="0.25">
      <c r="A4197" t="s">
        <v>4693</v>
      </c>
      <c r="B4197" t="s">
        <v>27</v>
      </c>
      <c r="C4197" t="s">
        <v>28</v>
      </c>
      <c r="H4197" s="2">
        <v>44818.642638888887</v>
      </c>
      <c r="I4197" t="s">
        <v>4301</v>
      </c>
      <c r="Z4197">
        <v>39947</v>
      </c>
    </row>
    <row r="4198" spans="1:26" x14ac:dyDescent="0.25">
      <c r="A4198" t="s">
        <v>4622</v>
      </c>
      <c r="B4198" t="s">
        <v>27</v>
      </c>
      <c r="C4198" t="s">
        <v>28</v>
      </c>
      <c r="H4198" s="2">
        <v>44818.501226851855</v>
      </c>
      <c r="I4198" t="s">
        <v>3864</v>
      </c>
      <c r="Z4198">
        <v>39935</v>
      </c>
    </row>
    <row r="4199" spans="1:26" x14ac:dyDescent="0.25">
      <c r="A4199" t="s">
        <v>4694</v>
      </c>
      <c r="B4199" t="s">
        <v>27</v>
      </c>
      <c r="C4199" t="s">
        <v>28</v>
      </c>
      <c r="H4199" s="2">
        <v>44817.678877314815</v>
      </c>
      <c r="I4199" t="s">
        <v>2001</v>
      </c>
      <c r="Z4199">
        <v>39911</v>
      </c>
    </row>
    <row r="4200" spans="1:26" x14ac:dyDescent="0.25">
      <c r="A4200" t="s">
        <v>4695</v>
      </c>
      <c r="B4200" t="s">
        <v>27</v>
      </c>
      <c r="C4200" t="s">
        <v>28</v>
      </c>
      <c r="H4200" s="2">
        <v>44817.527581018519</v>
      </c>
      <c r="I4200" t="s">
        <v>31</v>
      </c>
      <c r="Z4200">
        <v>39895</v>
      </c>
    </row>
    <row r="4201" spans="1:26" x14ac:dyDescent="0.25">
      <c r="A4201" t="s">
        <v>4696</v>
      </c>
      <c r="B4201" t="s">
        <v>27</v>
      </c>
      <c r="C4201" t="s">
        <v>28</v>
      </c>
      <c r="H4201" s="2">
        <v>44817.456423611111</v>
      </c>
      <c r="I4201" t="s">
        <v>1488</v>
      </c>
      <c r="Z4201">
        <v>39889</v>
      </c>
    </row>
    <row r="4202" spans="1:26" x14ac:dyDescent="0.25">
      <c r="A4202" t="s">
        <v>1177</v>
      </c>
      <c r="B4202" t="s">
        <v>1708</v>
      </c>
      <c r="C4202" t="s">
        <v>28</v>
      </c>
      <c r="E4202" t="s">
        <v>4697</v>
      </c>
      <c r="G4202" t="s">
        <v>4698</v>
      </c>
      <c r="H4202" s="2">
        <v>44816.904907407406</v>
      </c>
      <c r="I4202" t="s">
        <v>31</v>
      </c>
      <c r="Z4202">
        <v>39877</v>
      </c>
    </row>
    <row r="4203" spans="1:26" x14ac:dyDescent="0.25">
      <c r="A4203" t="s">
        <v>4699</v>
      </c>
      <c r="B4203" t="s">
        <v>27</v>
      </c>
      <c r="C4203" t="s">
        <v>28</v>
      </c>
      <c r="H4203" s="2">
        <v>44816.681180555555</v>
      </c>
      <c r="I4203" t="s">
        <v>31</v>
      </c>
      <c r="Z4203">
        <v>39867</v>
      </c>
    </row>
    <row r="4204" spans="1:26" x14ac:dyDescent="0.25">
      <c r="A4204" t="s">
        <v>1177</v>
      </c>
      <c r="B4204" t="s">
        <v>27</v>
      </c>
      <c r="C4204" t="s">
        <v>28</v>
      </c>
      <c r="H4204" s="2">
        <v>44816.415694444448</v>
      </c>
      <c r="I4204" t="s">
        <v>31</v>
      </c>
      <c r="Z4204">
        <v>39828</v>
      </c>
    </row>
    <row r="4205" spans="1:26" x14ac:dyDescent="0.25">
      <c r="A4205" t="s">
        <v>1903</v>
      </c>
      <c r="B4205" t="s">
        <v>1993</v>
      </c>
      <c r="C4205" t="s">
        <v>28</v>
      </c>
      <c r="E4205" t="s">
        <v>1193</v>
      </c>
      <c r="G4205" t="s">
        <v>1193</v>
      </c>
      <c r="H4205" s="2">
        <v>44815.607372685183</v>
      </c>
      <c r="I4205" t="s">
        <v>31</v>
      </c>
      <c r="Z4205">
        <v>39817</v>
      </c>
    </row>
    <row r="4206" spans="1:26" x14ac:dyDescent="0.25">
      <c r="A4206" t="s">
        <v>4700</v>
      </c>
      <c r="B4206" t="s">
        <v>27</v>
      </c>
      <c r="C4206" t="s">
        <v>28</v>
      </c>
      <c r="H4206" s="2">
        <v>44814.756747685184</v>
      </c>
      <c r="I4206" t="s">
        <v>4503</v>
      </c>
      <c r="Z4206">
        <v>39787</v>
      </c>
    </row>
    <row r="4207" spans="1:26" x14ac:dyDescent="0.25">
      <c r="A4207" t="s">
        <v>4701</v>
      </c>
      <c r="B4207" t="s">
        <v>27</v>
      </c>
      <c r="C4207" t="s">
        <v>28</v>
      </c>
      <c r="H4207" s="2">
        <v>44814.453912037039</v>
      </c>
      <c r="I4207" t="s">
        <v>1488</v>
      </c>
      <c r="Z4207">
        <v>39751</v>
      </c>
    </row>
    <row r="4208" spans="1:26" x14ac:dyDescent="0.25">
      <c r="A4208" t="s">
        <v>4220</v>
      </c>
      <c r="B4208" t="s">
        <v>27</v>
      </c>
      <c r="C4208" t="s">
        <v>28</v>
      </c>
      <c r="H4208" s="2">
        <v>44813.687638888892</v>
      </c>
      <c r="I4208" t="s">
        <v>2681</v>
      </c>
      <c r="Z4208">
        <v>39732</v>
      </c>
    </row>
    <row r="4209" spans="1:26" x14ac:dyDescent="0.25">
      <c r="A4209" t="s">
        <v>3318</v>
      </c>
      <c r="B4209" t="s">
        <v>27</v>
      </c>
      <c r="C4209" t="s">
        <v>28</v>
      </c>
      <c r="H4209" s="2">
        <v>44813.676932870374</v>
      </c>
      <c r="I4209" t="s">
        <v>4114</v>
      </c>
      <c r="Z4209">
        <v>39731</v>
      </c>
    </row>
    <row r="4210" spans="1:26" x14ac:dyDescent="0.25">
      <c r="A4210" t="s">
        <v>4702</v>
      </c>
      <c r="B4210" t="s">
        <v>27</v>
      </c>
      <c r="C4210" t="s">
        <v>28</v>
      </c>
      <c r="H4210" s="2">
        <v>44813.549085648148</v>
      </c>
      <c r="I4210" t="s">
        <v>4114</v>
      </c>
      <c r="Z4210">
        <v>39715</v>
      </c>
    </row>
    <row r="4211" spans="1:26" x14ac:dyDescent="0.25">
      <c r="A4211" t="s">
        <v>4703</v>
      </c>
      <c r="B4211" t="s">
        <v>1403</v>
      </c>
      <c r="C4211" t="s">
        <v>28</v>
      </c>
      <c r="E4211" t="s">
        <v>1836</v>
      </c>
      <c r="G4211" t="s">
        <v>4704</v>
      </c>
      <c r="H4211" s="2">
        <v>44813.541087962964</v>
      </c>
      <c r="I4211" t="s">
        <v>2681</v>
      </c>
      <c r="K4211" t="s">
        <v>34</v>
      </c>
      <c r="L4211" t="s">
        <v>35</v>
      </c>
      <c r="M4211">
        <v>67131912</v>
      </c>
      <c r="N4211">
        <v>11953101702</v>
      </c>
      <c r="O4211" t="s">
        <v>3762</v>
      </c>
      <c r="Z4211">
        <v>39713</v>
      </c>
    </row>
    <row r="4212" spans="1:26" x14ac:dyDescent="0.25">
      <c r="A4212" t="s">
        <v>4705</v>
      </c>
      <c r="B4212" t="s">
        <v>27</v>
      </c>
      <c r="C4212" t="s">
        <v>28</v>
      </c>
      <c r="H4212" s="2">
        <v>44813.483900462961</v>
      </c>
      <c r="I4212" t="s">
        <v>4114</v>
      </c>
      <c r="Z4212">
        <v>39702</v>
      </c>
    </row>
    <row r="4213" spans="1:26" x14ac:dyDescent="0.25">
      <c r="A4213" t="s">
        <v>1903</v>
      </c>
      <c r="B4213" t="s">
        <v>27</v>
      </c>
      <c r="C4213" t="s">
        <v>28</v>
      </c>
      <c r="H4213" s="2">
        <v>44812.680289351854</v>
      </c>
      <c r="I4213" t="s">
        <v>31</v>
      </c>
      <c r="Z4213">
        <v>39678</v>
      </c>
    </row>
    <row r="4214" spans="1:26" x14ac:dyDescent="0.25">
      <c r="A4214" t="s">
        <v>4706</v>
      </c>
      <c r="B4214" t="s">
        <v>27</v>
      </c>
      <c r="C4214" t="s">
        <v>28</v>
      </c>
      <c r="H4214" s="2">
        <v>44812.581145833334</v>
      </c>
      <c r="I4214" t="s">
        <v>4301</v>
      </c>
      <c r="Z4214">
        <v>39671</v>
      </c>
    </row>
    <row r="4215" spans="1:26" x14ac:dyDescent="0.25">
      <c r="A4215" t="s">
        <v>4707</v>
      </c>
      <c r="B4215" t="s">
        <v>27</v>
      </c>
      <c r="C4215" t="s">
        <v>28</v>
      </c>
      <c r="H4215" s="2">
        <v>44812.49422453704</v>
      </c>
      <c r="I4215" t="s">
        <v>4301</v>
      </c>
      <c r="Z4215">
        <v>39662</v>
      </c>
    </row>
    <row r="4216" spans="1:26" x14ac:dyDescent="0.25">
      <c r="A4216" t="s">
        <v>606</v>
      </c>
      <c r="B4216" t="s">
        <v>4548</v>
      </c>
      <c r="C4216" t="s">
        <v>28</v>
      </c>
      <c r="E4216" t="s">
        <v>72</v>
      </c>
      <c r="H4216" s="2">
        <v>44812.339282407411</v>
      </c>
      <c r="I4216" t="s">
        <v>4301</v>
      </c>
      <c r="Z4216">
        <v>39656</v>
      </c>
    </row>
    <row r="4217" spans="1:26" x14ac:dyDescent="0.25">
      <c r="A4217" t="s">
        <v>4708</v>
      </c>
      <c r="B4217" t="s">
        <v>27</v>
      </c>
      <c r="C4217" t="s">
        <v>28</v>
      </c>
      <c r="H4217" s="2">
        <v>44811.659178240741</v>
      </c>
      <c r="I4217" t="s">
        <v>2001</v>
      </c>
      <c r="Z4217">
        <v>39635</v>
      </c>
    </row>
    <row r="4218" spans="1:26" x14ac:dyDescent="0.25">
      <c r="A4218" t="s">
        <v>1903</v>
      </c>
      <c r="B4218" t="s">
        <v>27</v>
      </c>
      <c r="C4218" t="s">
        <v>28</v>
      </c>
      <c r="H4218" s="2">
        <v>44811.377106481479</v>
      </c>
      <c r="I4218" t="s">
        <v>31</v>
      </c>
      <c r="Z4218">
        <v>39605</v>
      </c>
    </row>
    <row r="4219" spans="1:26" x14ac:dyDescent="0.25">
      <c r="A4219" t="s">
        <v>4709</v>
      </c>
      <c r="B4219" t="s">
        <v>2162</v>
      </c>
      <c r="C4219" t="s">
        <v>28</v>
      </c>
      <c r="E4219" t="s">
        <v>4710</v>
      </c>
      <c r="G4219" t="s">
        <v>4711</v>
      </c>
      <c r="H4219" s="2">
        <v>44811.338576388887</v>
      </c>
      <c r="I4219" t="s">
        <v>31</v>
      </c>
      <c r="Z4219">
        <v>39604</v>
      </c>
    </row>
    <row r="4220" spans="1:26" x14ac:dyDescent="0.25">
      <c r="A4220" t="s">
        <v>4712</v>
      </c>
      <c r="B4220" t="s">
        <v>27</v>
      </c>
      <c r="C4220" t="s">
        <v>28</v>
      </c>
      <c r="H4220" s="2">
        <v>44809.695937500001</v>
      </c>
      <c r="I4220" t="s">
        <v>1488</v>
      </c>
      <c r="Z4220">
        <v>39554</v>
      </c>
    </row>
    <row r="4221" spans="1:26" x14ac:dyDescent="0.25">
      <c r="A4221" t="s">
        <v>4713</v>
      </c>
      <c r="B4221" t="s">
        <v>27</v>
      </c>
      <c r="C4221" t="s">
        <v>28</v>
      </c>
      <c r="H4221" s="2">
        <v>44809.442395833335</v>
      </c>
      <c r="I4221" t="s">
        <v>31</v>
      </c>
      <c r="Z4221">
        <v>39527</v>
      </c>
    </row>
    <row r="4222" spans="1:26" x14ac:dyDescent="0.25">
      <c r="A4222" t="s">
        <v>4714</v>
      </c>
      <c r="B4222" t="s">
        <v>27</v>
      </c>
      <c r="C4222" t="s">
        <v>28</v>
      </c>
      <c r="H4222" s="2">
        <v>44809.397916666669</v>
      </c>
      <c r="I4222" t="s">
        <v>4448</v>
      </c>
      <c r="Z4222">
        <v>39517</v>
      </c>
    </row>
    <row r="4223" spans="1:26" x14ac:dyDescent="0.25">
      <c r="A4223" t="s">
        <v>4687</v>
      </c>
      <c r="C4223" t="s">
        <v>28</v>
      </c>
      <c r="E4223" t="s">
        <v>324</v>
      </c>
      <c r="H4223" s="2">
        <v>44808.634375000001</v>
      </c>
      <c r="I4223" t="s">
        <v>2674</v>
      </c>
      <c r="Z4223">
        <v>39499</v>
      </c>
    </row>
    <row r="4224" spans="1:26" x14ac:dyDescent="0.25">
      <c r="A4224" t="s">
        <v>4715</v>
      </c>
      <c r="B4224" t="s">
        <v>27</v>
      </c>
      <c r="C4224" t="s">
        <v>28</v>
      </c>
      <c r="H4224" s="2">
        <v>44808.561053240737</v>
      </c>
      <c r="I4224" t="s">
        <v>1068</v>
      </c>
      <c r="Z4224">
        <v>39495</v>
      </c>
    </row>
    <row r="4225" spans="1:26" x14ac:dyDescent="0.25">
      <c r="A4225" t="s">
        <v>4716</v>
      </c>
      <c r="B4225" t="s">
        <v>27</v>
      </c>
      <c r="C4225" t="s">
        <v>28</v>
      </c>
      <c r="H4225" s="2">
        <v>44808.543344907404</v>
      </c>
      <c r="I4225" t="s">
        <v>1488</v>
      </c>
      <c r="Z4225">
        <v>39492</v>
      </c>
    </row>
    <row r="4226" spans="1:26" x14ac:dyDescent="0.25">
      <c r="A4226" t="s">
        <v>4717</v>
      </c>
      <c r="B4226" t="s">
        <v>27</v>
      </c>
      <c r="C4226" t="s">
        <v>28</v>
      </c>
      <c r="H4226" s="2">
        <v>44807.804699074077</v>
      </c>
      <c r="I4226" t="s">
        <v>2681</v>
      </c>
      <c r="Z4226">
        <v>39478</v>
      </c>
    </row>
    <row r="4227" spans="1:26" x14ac:dyDescent="0.25">
      <c r="A4227" t="s">
        <v>4718</v>
      </c>
      <c r="B4227" t="s">
        <v>27</v>
      </c>
      <c r="C4227" t="s">
        <v>28</v>
      </c>
      <c r="H4227" s="2">
        <v>44807.465787037036</v>
      </c>
      <c r="I4227" t="s">
        <v>2674</v>
      </c>
      <c r="Z4227">
        <v>39443</v>
      </c>
    </row>
    <row r="4228" spans="1:26" x14ac:dyDescent="0.25">
      <c r="A4228" t="s">
        <v>4719</v>
      </c>
      <c r="B4228" t="s">
        <v>27</v>
      </c>
      <c r="C4228" t="s">
        <v>28</v>
      </c>
      <c r="H4228" s="2">
        <v>44807.391157407408</v>
      </c>
      <c r="I4228" t="s">
        <v>4503</v>
      </c>
      <c r="Z4228">
        <v>39437</v>
      </c>
    </row>
    <row r="4229" spans="1:26" x14ac:dyDescent="0.25">
      <c r="A4229" t="s">
        <v>4720</v>
      </c>
      <c r="C4229" t="s">
        <v>28</v>
      </c>
      <c r="E4229" t="s">
        <v>458</v>
      </c>
      <c r="H4229" s="2">
        <v>44806.940648148149</v>
      </c>
      <c r="I4229" t="s">
        <v>2674</v>
      </c>
      <c r="Z4229">
        <v>39435</v>
      </c>
    </row>
    <row r="4230" spans="1:26" x14ac:dyDescent="0.25">
      <c r="A4230" t="s">
        <v>4447</v>
      </c>
      <c r="B4230" t="s">
        <v>27</v>
      </c>
      <c r="C4230" t="s">
        <v>28</v>
      </c>
      <c r="H4230" s="2">
        <v>44806.704745370371</v>
      </c>
      <c r="I4230" t="s">
        <v>3864</v>
      </c>
      <c r="Z4230">
        <v>39427</v>
      </c>
    </row>
    <row r="4231" spans="1:26" x14ac:dyDescent="0.25">
      <c r="A4231" t="s">
        <v>4721</v>
      </c>
      <c r="B4231" t="s">
        <v>27</v>
      </c>
      <c r="C4231" t="s">
        <v>28</v>
      </c>
      <c r="H4231" s="2">
        <v>44805.915659722225</v>
      </c>
      <c r="I4231" t="s">
        <v>4448</v>
      </c>
      <c r="Z4231">
        <v>39405</v>
      </c>
    </row>
    <row r="4232" spans="1:26" x14ac:dyDescent="0.25">
      <c r="A4232" t="s">
        <v>4722</v>
      </c>
      <c r="B4232" t="s">
        <v>27</v>
      </c>
      <c r="C4232" t="s">
        <v>28</v>
      </c>
      <c r="H4232" s="2">
        <v>44805.39675925926</v>
      </c>
      <c r="I4232" t="s">
        <v>4114</v>
      </c>
      <c r="Z4232">
        <v>39355</v>
      </c>
    </row>
    <row r="4233" spans="1:26" x14ac:dyDescent="0.25">
      <c r="A4233" t="s">
        <v>4723</v>
      </c>
      <c r="B4233" t="s">
        <v>27</v>
      </c>
      <c r="C4233" t="s">
        <v>28</v>
      </c>
      <c r="H4233" s="2">
        <v>44804.710972222223</v>
      </c>
      <c r="I4233" t="s">
        <v>3864</v>
      </c>
      <c r="Z4233">
        <v>39340</v>
      </c>
    </row>
    <row r="4234" spans="1:26" x14ac:dyDescent="0.25">
      <c r="A4234" t="s">
        <v>4080</v>
      </c>
      <c r="B4234" t="s">
        <v>27</v>
      </c>
      <c r="C4234" t="s">
        <v>28</v>
      </c>
      <c r="H4234" s="2">
        <v>44804.509675925925</v>
      </c>
      <c r="I4234" t="s">
        <v>2674</v>
      </c>
      <c r="Z4234">
        <v>39328</v>
      </c>
    </row>
    <row r="4235" spans="1:26" x14ac:dyDescent="0.25">
      <c r="A4235" t="s">
        <v>276</v>
      </c>
      <c r="B4235" t="s">
        <v>27</v>
      </c>
      <c r="C4235" t="s">
        <v>28</v>
      </c>
      <c r="H4235" s="2">
        <v>44804.464872685188</v>
      </c>
      <c r="I4235" t="s">
        <v>31</v>
      </c>
      <c r="Z4235">
        <v>39322</v>
      </c>
    </row>
    <row r="4236" spans="1:26" x14ac:dyDescent="0.25">
      <c r="A4236" t="s">
        <v>4507</v>
      </c>
      <c r="B4236" t="s">
        <v>1708</v>
      </c>
      <c r="C4236" t="s">
        <v>28</v>
      </c>
      <c r="E4236" t="s">
        <v>4508</v>
      </c>
      <c r="G4236" t="s">
        <v>4509</v>
      </c>
      <c r="H4236" s="2">
        <v>44804.456631944442</v>
      </c>
      <c r="I4236" t="s">
        <v>3054</v>
      </c>
      <c r="Z4236">
        <v>39321</v>
      </c>
    </row>
    <row r="4237" spans="1:26" x14ac:dyDescent="0.25">
      <c r="A4237" t="s">
        <v>4154</v>
      </c>
      <c r="B4237" t="s">
        <v>27</v>
      </c>
      <c r="C4237" t="s">
        <v>28</v>
      </c>
      <c r="H4237" s="2">
        <v>44804.424386574072</v>
      </c>
      <c r="I4237" t="s">
        <v>1488</v>
      </c>
      <c r="Z4237">
        <v>39317</v>
      </c>
    </row>
    <row r="4238" spans="1:26" x14ac:dyDescent="0.25">
      <c r="A4238" t="s">
        <v>4447</v>
      </c>
      <c r="B4238" t="s">
        <v>27</v>
      </c>
      <c r="C4238" t="s">
        <v>28</v>
      </c>
      <c r="H4238" s="2">
        <v>44804.423136574071</v>
      </c>
      <c r="I4238" t="s">
        <v>3864</v>
      </c>
      <c r="Z4238">
        <v>39316</v>
      </c>
    </row>
    <row r="4239" spans="1:26" x14ac:dyDescent="0.25">
      <c r="A4239" t="s">
        <v>4724</v>
      </c>
      <c r="B4239" t="s">
        <v>27</v>
      </c>
      <c r="C4239" t="s">
        <v>28</v>
      </c>
      <c r="H4239" s="2">
        <v>44804.382777777777</v>
      </c>
      <c r="I4239" t="s">
        <v>4114</v>
      </c>
      <c r="Z4239">
        <v>39310</v>
      </c>
    </row>
    <row r="4240" spans="1:26" x14ac:dyDescent="0.25">
      <c r="A4240" t="s">
        <v>4725</v>
      </c>
      <c r="B4240" t="s">
        <v>27</v>
      </c>
      <c r="C4240" t="s">
        <v>28</v>
      </c>
      <c r="H4240" s="2">
        <v>44803.772407407407</v>
      </c>
      <c r="I4240" t="s">
        <v>1488</v>
      </c>
      <c r="Z4240">
        <v>39294</v>
      </c>
    </row>
    <row r="4241" spans="1:26" x14ac:dyDescent="0.25">
      <c r="A4241" t="s">
        <v>4726</v>
      </c>
      <c r="B4241" t="s">
        <v>74</v>
      </c>
      <c r="C4241" t="s">
        <v>28</v>
      </c>
      <c r="E4241" t="s">
        <v>209</v>
      </c>
      <c r="G4241" t="s">
        <v>4727</v>
      </c>
      <c r="H4241" s="2">
        <v>44803.609317129631</v>
      </c>
      <c r="I4241" t="s">
        <v>4728</v>
      </c>
      <c r="Z4241">
        <v>39274</v>
      </c>
    </row>
    <row r="4242" spans="1:26" x14ac:dyDescent="0.25">
      <c r="A4242" t="s">
        <v>4729</v>
      </c>
      <c r="B4242" t="s">
        <v>27</v>
      </c>
      <c r="C4242" t="s">
        <v>28</v>
      </c>
      <c r="H4242" s="2">
        <v>44803.470381944448</v>
      </c>
      <c r="I4242" t="s">
        <v>2674</v>
      </c>
      <c r="Z4242">
        <v>39262</v>
      </c>
    </row>
    <row r="4243" spans="1:26" x14ac:dyDescent="0.25">
      <c r="A4243" t="s">
        <v>4699</v>
      </c>
      <c r="B4243" t="s">
        <v>27</v>
      </c>
      <c r="C4243" t="s">
        <v>28</v>
      </c>
      <c r="H4243" s="2">
        <v>44802.375798611109</v>
      </c>
      <c r="I4243" t="s">
        <v>4728</v>
      </c>
      <c r="Z4243">
        <v>39205</v>
      </c>
    </row>
    <row r="4244" spans="1:26" x14ac:dyDescent="0.25">
      <c r="A4244" t="s">
        <v>4730</v>
      </c>
      <c r="B4244" t="s">
        <v>1993</v>
      </c>
      <c r="C4244" t="s">
        <v>28</v>
      </c>
      <c r="E4244" t="s">
        <v>4731</v>
      </c>
      <c r="H4244" s="2">
        <v>44801.697488425925</v>
      </c>
      <c r="I4244" t="s">
        <v>31</v>
      </c>
      <c r="Z4244">
        <v>39192</v>
      </c>
    </row>
    <row r="4245" spans="1:26" x14ac:dyDescent="0.25">
      <c r="A4245" t="s">
        <v>4732</v>
      </c>
      <c r="B4245" t="s">
        <v>27</v>
      </c>
      <c r="C4245" t="s">
        <v>28</v>
      </c>
      <c r="H4245" s="2">
        <v>44801.591805555552</v>
      </c>
      <c r="I4245" t="s">
        <v>2001</v>
      </c>
      <c r="Z4245">
        <v>39183</v>
      </c>
    </row>
    <row r="4246" spans="1:26" x14ac:dyDescent="0.25">
      <c r="A4246" t="s">
        <v>4733</v>
      </c>
      <c r="B4246" t="s">
        <v>27</v>
      </c>
      <c r="C4246" t="s">
        <v>28</v>
      </c>
      <c r="H4246" s="2">
        <v>44801.49622685185</v>
      </c>
      <c r="I4246" t="s">
        <v>4503</v>
      </c>
      <c r="Z4246">
        <v>39172</v>
      </c>
    </row>
    <row r="4247" spans="1:26" x14ac:dyDescent="0.25">
      <c r="A4247" t="s">
        <v>3480</v>
      </c>
      <c r="B4247" t="s">
        <v>27</v>
      </c>
      <c r="C4247" t="s">
        <v>28</v>
      </c>
      <c r="H4247" s="2">
        <v>44800.803298611114</v>
      </c>
      <c r="I4247" t="s">
        <v>31</v>
      </c>
      <c r="Z4247">
        <v>39153</v>
      </c>
    </row>
    <row r="4248" spans="1:26" x14ac:dyDescent="0.25">
      <c r="A4248" t="s">
        <v>4734</v>
      </c>
      <c r="B4248" t="s">
        <v>27</v>
      </c>
      <c r="C4248" t="s">
        <v>28</v>
      </c>
      <c r="H4248" s="2">
        <v>44800.599976851852</v>
      </c>
      <c r="I4248" t="s">
        <v>2681</v>
      </c>
      <c r="Z4248">
        <v>39128</v>
      </c>
    </row>
    <row r="4249" spans="1:26" x14ac:dyDescent="0.25">
      <c r="A4249" t="s">
        <v>1177</v>
      </c>
      <c r="B4249" t="s">
        <v>74</v>
      </c>
      <c r="C4249" t="s">
        <v>28</v>
      </c>
      <c r="E4249" t="s">
        <v>373</v>
      </c>
      <c r="G4249" t="s">
        <v>4735</v>
      </c>
      <c r="H4249" s="2">
        <v>44799.962013888886</v>
      </c>
      <c r="I4249" t="s">
        <v>31</v>
      </c>
      <c r="Z4249">
        <v>39102</v>
      </c>
    </row>
    <row r="4250" spans="1:26" x14ac:dyDescent="0.25">
      <c r="A4250" t="s">
        <v>4649</v>
      </c>
      <c r="B4250" t="s">
        <v>27</v>
      </c>
      <c r="C4250" t="s">
        <v>28</v>
      </c>
      <c r="H4250" s="2">
        <v>44799.703900462962</v>
      </c>
      <c r="I4250" t="s">
        <v>4448</v>
      </c>
      <c r="Z4250">
        <v>39089</v>
      </c>
    </row>
    <row r="4251" spans="1:26" x14ac:dyDescent="0.25">
      <c r="A4251" t="s">
        <v>4736</v>
      </c>
      <c r="B4251" t="s">
        <v>1708</v>
      </c>
      <c r="C4251" t="s">
        <v>28</v>
      </c>
      <c r="E4251" t="s">
        <v>198</v>
      </c>
      <c r="H4251" s="2">
        <v>44798.980462962965</v>
      </c>
      <c r="I4251" t="s">
        <v>2681</v>
      </c>
      <c r="Z4251">
        <v>39057</v>
      </c>
    </row>
    <row r="4252" spans="1:26" x14ac:dyDescent="0.25">
      <c r="A4252" t="s">
        <v>4737</v>
      </c>
      <c r="B4252" t="s">
        <v>27</v>
      </c>
      <c r="C4252" t="s">
        <v>28</v>
      </c>
      <c r="H4252" s="2">
        <v>44798.734629629631</v>
      </c>
      <c r="I4252" t="s">
        <v>4114</v>
      </c>
      <c r="Z4252">
        <v>39045</v>
      </c>
    </row>
    <row r="4253" spans="1:26" x14ac:dyDescent="0.25">
      <c r="A4253" t="s">
        <v>606</v>
      </c>
      <c r="B4253" t="s">
        <v>4548</v>
      </c>
      <c r="C4253" t="s">
        <v>28</v>
      </c>
      <c r="E4253" t="s">
        <v>2129</v>
      </c>
      <c r="H4253" s="2">
        <v>44798.6175</v>
      </c>
      <c r="I4253" t="s">
        <v>4728</v>
      </c>
      <c r="K4253" t="s">
        <v>34</v>
      </c>
      <c r="L4253" t="s">
        <v>35</v>
      </c>
      <c r="M4253">
        <v>55887089</v>
      </c>
      <c r="N4253">
        <v>9754619174</v>
      </c>
      <c r="O4253" t="s">
        <v>4738</v>
      </c>
      <c r="Z4253">
        <v>39026</v>
      </c>
    </row>
    <row r="4254" spans="1:26" x14ac:dyDescent="0.25">
      <c r="A4254" t="s">
        <v>4739</v>
      </c>
      <c r="B4254" t="s">
        <v>27</v>
      </c>
      <c r="C4254" t="s">
        <v>28</v>
      </c>
      <c r="H4254" s="2">
        <v>44798.583032407405</v>
      </c>
      <c r="I4254" t="s">
        <v>4448</v>
      </c>
      <c r="Z4254">
        <v>39021</v>
      </c>
    </row>
    <row r="4255" spans="1:26" x14ac:dyDescent="0.25">
      <c r="A4255" t="s">
        <v>4687</v>
      </c>
      <c r="C4255" t="s">
        <v>28</v>
      </c>
      <c r="E4255" t="s">
        <v>1142</v>
      </c>
      <c r="H4255" s="2">
        <v>44798.575902777775</v>
      </c>
      <c r="I4255" t="s">
        <v>2674</v>
      </c>
      <c r="Z4255">
        <v>39019</v>
      </c>
    </row>
    <row r="4256" spans="1:26" x14ac:dyDescent="0.25">
      <c r="A4256" t="s">
        <v>4740</v>
      </c>
      <c r="B4256" t="s">
        <v>74</v>
      </c>
      <c r="C4256" t="s">
        <v>28</v>
      </c>
      <c r="E4256" t="s">
        <v>146</v>
      </c>
      <c r="G4256" t="s">
        <v>4741</v>
      </c>
      <c r="H4256" s="2">
        <v>44798.499837962961</v>
      </c>
      <c r="I4256" t="s">
        <v>1068</v>
      </c>
      <c r="Z4256">
        <v>39006</v>
      </c>
    </row>
    <row r="4257" spans="1:26" x14ac:dyDescent="0.25">
      <c r="A4257" t="s">
        <v>4742</v>
      </c>
      <c r="B4257" t="s">
        <v>27</v>
      </c>
      <c r="C4257" t="s">
        <v>28</v>
      </c>
      <c r="H4257" s="2">
        <v>44798.497337962966</v>
      </c>
      <c r="I4257" t="s">
        <v>2674</v>
      </c>
      <c r="Z4257">
        <v>39005</v>
      </c>
    </row>
    <row r="4258" spans="1:26" x14ac:dyDescent="0.25">
      <c r="A4258" t="s">
        <v>4743</v>
      </c>
      <c r="B4258" t="s">
        <v>27</v>
      </c>
      <c r="C4258" t="s">
        <v>28</v>
      </c>
      <c r="H4258" s="2">
        <v>44798.379166666666</v>
      </c>
      <c r="I4258" t="s">
        <v>4114</v>
      </c>
      <c r="Z4258">
        <v>38994</v>
      </c>
    </row>
    <row r="4259" spans="1:26" x14ac:dyDescent="0.25">
      <c r="A4259" t="s">
        <v>4223</v>
      </c>
      <c r="B4259" t="s">
        <v>27</v>
      </c>
      <c r="C4259" t="s">
        <v>28</v>
      </c>
      <c r="H4259" s="2">
        <v>44797.577002314814</v>
      </c>
      <c r="I4259" t="s">
        <v>1488</v>
      </c>
      <c r="Z4259">
        <v>38968</v>
      </c>
    </row>
    <row r="4260" spans="1:26" x14ac:dyDescent="0.25">
      <c r="A4260" t="s">
        <v>4744</v>
      </c>
      <c r="B4260" t="s">
        <v>27</v>
      </c>
      <c r="C4260" t="s">
        <v>28</v>
      </c>
      <c r="H4260" s="2">
        <v>44796.751087962963</v>
      </c>
      <c r="I4260" t="s">
        <v>4503</v>
      </c>
      <c r="Z4260">
        <v>38933</v>
      </c>
    </row>
    <row r="4261" spans="1:26" x14ac:dyDescent="0.25">
      <c r="A4261" t="s">
        <v>4745</v>
      </c>
      <c r="B4261" t="s">
        <v>27</v>
      </c>
      <c r="C4261" t="s">
        <v>28</v>
      </c>
      <c r="H4261" s="2">
        <v>44796.694965277777</v>
      </c>
      <c r="I4261" t="s">
        <v>4448</v>
      </c>
      <c r="Z4261">
        <v>38927</v>
      </c>
    </row>
    <row r="4262" spans="1:26" x14ac:dyDescent="0.25">
      <c r="A4262" t="s">
        <v>4746</v>
      </c>
      <c r="B4262" t="s">
        <v>27</v>
      </c>
      <c r="C4262" t="s">
        <v>28</v>
      </c>
      <c r="H4262" s="2">
        <v>44796.679490740738</v>
      </c>
      <c r="I4262" t="s">
        <v>1488</v>
      </c>
      <c r="Z4262">
        <v>38922</v>
      </c>
    </row>
    <row r="4263" spans="1:26" x14ac:dyDescent="0.25">
      <c r="A4263" t="s">
        <v>4747</v>
      </c>
      <c r="B4263" t="s">
        <v>27</v>
      </c>
      <c r="C4263" t="s">
        <v>28</v>
      </c>
      <c r="H4263" s="2">
        <v>44795.591932870368</v>
      </c>
      <c r="I4263" t="s">
        <v>4503</v>
      </c>
      <c r="Z4263">
        <v>38852</v>
      </c>
    </row>
    <row r="4264" spans="1:26" x14ac:dyDescent="0.25">
      <c r="A4264" t="s">
        <v>1177</v>
      </c>
      <c r="B4264" t="s">
        <v>74</v>
      </c>
      <c r="C4264" t="s">
        <v>28</v>
      </c>
      <c r="E4264" t="s">
        <v>370</v>
      </c>
      <c r="G4264" t="s">
        <v>4748</v>
      </c>
      <c r="H4264" s="2">
        <v>44794.721180555556</v>
      </c>
      <c r="I4264" t="s">
        <v>1068</v>
      </c>
      <c r="Z4264">
        <v>38804</v>
      </c>
    </row>
    <row r="4265" spans="1:26" x14ac:dyDescent="0.25">
      <c r="A4265" t="s">
        <v>4749</v>
      </c>
      <c r="B4265" t="s">
        <v>27</v>
      </c>
      <c r="C4265" t="s">
        <v>28</v>
      </c>
      <c r="H4265" s="2">
        <v>44794.590428240743</v>
      </c>
      <c r="I4265" t="s">
        <v>4114</v>
      </c>
      <c r="Z4265">
        <v>38788</v>
      </c>
    </row>
    <row r="4266" spans="1:26" x14ac:dyDescent="0.25">
      <c r="A4266" t="s">
        <v>4750</v>
      </c>
      <c r="B4266" t="s">
        <v>1708</v>
      </c>
      <c r="C4266" t="s">
        <v>28</v>
      </c>
      <c r="E4266" t="s">
        <v>4751</v>
      </c>
      <c r="H4266" s="2">
        <v>44793.461145833331</v>
      </c>
      <c r="I4266" t="s">
        <v>3054</v>
      </c>
      <c r="K4266" t="s">
        <v>34</v>
      </c>
      <c r="L4266" t="s">
        <v>35</v>
      </c>
      <c r="M4266">
        <v>55887089</v>
      </c>
      <c r="N4266">
        <v>9754619174</v>
      </c>
      <c r="O4266" t="s">
        <v>4752</v>
      </c>
      <c r="Z4266">
        <v>38733</v>
      </c>
    </row>
    <row r="4267" spans="1:26" x14ac:dyDescent="0.25">
      <c r="A4267" t="s">
        <v>3809</v>
      </c>
      <c r="B4267" t="s">
        <v>27</v>
      </c>
      <c r="C4267" t="s">
        <v>28</v>
      </c>
      <c r="H4267" s="2">
        <v>44792.764768518522</v>
      </c>
      <c r="I4267" t="s">
        <v>2674</v>
      </c>
      <c r="Z4267">
        <v>38712</v>
      </c>
    </row>
    <row r="4268" spans="1:26" x14ac:dyDescent="0.25">
      <c r="A4268" t="s">
        <v>4753</v>
      </c>
      <c r="B4268" t="s">
        <v>27</v>
      </c>
      <c r="C4268" t="s">
        <v>28</v>
      </c>
      <c r="H4268" s="2">
        <v>44792.536921296298</v>
      </c>
      <c r="I4268" t="s">
        <v>4114</v>
      </c>
      <c r="Z4268">
        <v>38687</v>
      </c>
    </row>
    <row r="4269" spans="1:26" x14ac:dyDescent="0.25">
      <c r="A4269" t="s">
        <v>606</v>
      </c>
      <c r="B4269" t="s">
        <v>4548</v>
      </c>
      <c r="C4269" t="s">
        <v>28</v>
      </c>
      <c r="E4269" t="s">
        <v>4754</v>
      </c>
      <c r="H4269" s="2">
        <v>44792.511805555558</v>
      </c>
      <c r="I4269" t="s">
        <v>4448</v>
      </c>
      <c r="K4269" t="s">
        <v>34</v>
      </c>
      <c r="L4269" t="s">
        <v>35</v>
      </c>
      <c r="M4269">
        <v>55887089</v>
      </c>
      <c r="N4269">
        <v>11200651162</v>
      </c>
      <c r="O4269" t="s">
        <v>4755</v>
      </c>
      <c r="Z4269">
        <v>38685</v>
      </c>
    </row>
    <row r="4270" spans="1:26" x14ac:dyDescent="0.25">
      <c r="A4270" t="s">
        <v>4756</v>
      </c>
      <c r="B4270" t="s">
        <v>27</v>
      </c>
      <c r="C4270" t="s">
        <v>28</v>
      </c>
      <c r="H4270" s="2">
        <v>44792.475798611114</v>
      </c>
      <c r="I4270" t="s">
        <v>4728</v>
      </c>
      <c r="Z4270">
        <v>38680</v>
      </c>
    </row>
    <row r="4271" spans="1:26" x14ac:dyDescent="0.25">
      <c r="A4271" t="s">
        <v>4757</v>
      </c>
      <c r="B4271" t="s">
        <v>27</v>
      </c>
      <c r="C4271" t="s">
        <v>28</v>
      </c>
      <c r="H4271" s="2">
        <v>44791.504525462966</v>
      </c>
      <c r="I4271" t="s">
        <v>4728</v>
      </c>
      <c r="Z4271">
        <v>38630</v>
      </c>
    </row>
    <row r="4272" spans="1:26" x14ac:dyDescent="0.25">
      <c r="A4272" t="s">
        <v>3809</v>
      </c>
      <c r="B4272" t="s">
        <v>27</v>
      </c>
      <c r="C4272" t="s">
        <v>28</v>
      </c>
      <c r="H4272" s="2">
        <v>44791.460949074077</v>
      </c>
      <c r="I4272" t="s">
        <v>2674</v>
      </c>
      <c r="Z4272">
        <v>38619</v>
      </c>
    </row>
    <row r="4273" spans="1:26" x14ac:dyDescent="0.25">
      <c r="A4273" t="s">
        <v>4758</v>
      </c>
      <c r="B4273" t="s">
        <v>27</v>
      </c>
      <c r="C4273" t="s">
        <v>28</v>
      </c>
      <c r="H4273" s="2">
        <v>44790.806493055556</v>
      </c>
      <c r="I4273" t="s">
        <v>2001</v>
      </c>
      <c r="Z4273">
        <v>38599</v>
      </c>
    </row>
    <row r="4274" spans="1:26" x14ac:dyDescent="0.25">
      <c r="A4274" t="s">
        <v>4759</v>
      </c>
      <c r="B4274" t="s">
        <v>1708</v>
      </c>
      <c r="C4274" t="s">
        <v>28</v>
      </c>
      <c r="E4274" t="s">
        <v>110</v>
      </c>
      <c r="H4274" s="2">
        <v>44790.613935185182</v>
      </c>
      <c r="I4274" t="s">
        <v>4728</v>
      </c>
      <c r="K4274" t="s">
        <v>34</v>
      </c>
      <c r="L4274" t="s">
        <v>35</v>
      </c>
      <c r="M4274">
        <v>67131912</v>
      </c>
      <c r="N4274">
        <v>11953101647</v>
      </c>
      <c r="O4274" t="s">
        <v>1154</v>
      </c>
      <c r="Z4274">
        <v>38576</v>
      </c>
    </row>
    <row r="4275" spans="1:26" x14ac:dyDescent="0.25">
      <c r="A4275" t="s">
        <v>4760</v>
      </c>
      <c r="B4275" t="s">
        <v>1993</v>
      </c>
      <c r="C4275" t="s">
        <v>28</v>
      </c>
      <c r="E4275" t="s">
        <v>4761</v>
      </c>
      <c r="H4275" s="2">
        <v>44790.492615740739</v>
      </c>
      <c r="I4275" t="s">
        <v>4728</v>
      </c>
      <c r="Z4275">
        <v>38561</v>
      </c>
    </row>
    <row r="4276" spans="1:26" x14ac:dyDescent="0.25">
      <c r="A4276" t="s">
        <v>4182</v>
      </c>
      <c r="B4276" t="s">
        <v>27</v>
      </c>
      <c r="C4276" t="s">
        <v>28</v>
      </c>
      <c r="H4276" s="2">
        <v>44790.422407407408</v>
      </c>
      <c r="I4276" t="s">
        <v>4728</v>
      </c>
      <c r="Z4276">
        <v>38552</v>
      </c>
    </row>
    <row r="4277" spans="1:26" x14ac:dyDescent="0.25">
      <c r="A4277" t="s">
        <v>4762</v>
      </c>
      <c r="B4277" t="s">
        <v>27</v>
      </c>
      <c r="C4277" t="s">
        <v>28</v>
      </c>
      <c r="H4277" s="2">
        <v>44790.415150462963</v>
      </c>
      <c r="I4277" t="s">
        <v>4728</v>
      </c>
      <c r="Z4277">
        <v>38551</v>
      </c>
    </row>
    <row r="4278" spans="1:26" x14ac:dyDescent="0.25">
      <c r="A4278" t="s">
        <v>4763</v>
      </c>
      <c r="B4278" t="s">
        <v>27</v>
      </c>
      <c r="C4278" t="s">
        <v>28</v>
      </c>
      <c r="H4278" s="2">
        <v>44789.772673611114</v>
      </c>
      <c r="I4278" t="s">
        <v>1488</v>
      </c>
      <c r="Z4278">
        <v>38532</v>
      </c>
    </row>
    <row r="4279" spans="1:26" x14ac:dyDescent="0.25">
      <c r="A4279" t="s">
        <v>4764</v>
      </c>
      <c r="B4279" t="s">
        <v>27</v>
      </c>
      <c r="C4279" t="s">
        <v>28</v>
      </c>
      <c r="H4279" s="2">
        <v>44789.518391203703</v>
      </c>
      <c r="I4279" t="s">
        <v>2681</v>
      </c>
      <c r="Z4279">
        <v>38497</v>
      </c>
    </row>
    <row r="4280" spans="1:26" x14ac:dyDescent="0.25">
      <c r="A4280" t="s">
        <v>2787</v>
      </c>
      <c r="B4280" t="s">
        <v>1403</v>
      </c>
      <c r="C4280" t="s">
        <v>28</v>
      </c>
      <c r="E4280" t="s">
        <v>72</v>
      </c>
      <c r="H4280" s="2">
        <v>44789.502928240741</v>
      </c>
      <c r="I4280" t="s">
        <v>2681</v>
      </c>
      <c r="K4280" t="s">
        <v>34</v>
      </c>
      <c r="L4280" t="s">
        <v>35</v>
      </c>
      <c r="M4280">
        <v>67852485</v>
      </c>
      <c r="N4280">
        <v>11953056757</v>
      </c>
      <c r="O4280" t="s">
        <v>461</v>
      </c>
      <c r="Z4280">
        <v>38493</v>
      </c>
    </row>
    <row r="4281" spans="1:26" x14ac:dyDescent="0.25">
      <c r="A4281" t="s">
        <v>2787</v>
      </c>
      <c r="B4281" t="s">
        <v>1708</v>
      </c>
      <c r="C4281" t="s">
        <v>28</v>
      </c>
      <c r="E4281" t="s">
        <v>72</v>
      </c>
      <c r="H4281" s="2">
        <v>44789.502766203703</v>
      </c>
      <c r="I4281" t="s">
        <v>3054</v>
      </c>
      <c r="K4281" t="s">
        <v>34</v>
      </c>
      <c r="L4281" t="s">
        <v>35</v>
      </c>
      <c r="M4281">
        <v>67852485</v>
      </c>
      <c r="N4281">
        <v>11953056757</v>
      </c>
      <c r="O4281" t="s">
        <v>461</v>
      </c>
      <c r="Z4281">
        <v>38492</v>
      </c>
    </row>
    <row r="4282" spans="1:26" x14ac:dyDescent="0.25">
      <c r="A4282" t="s">
        <v>3309</v>
      </c>
      <c r="B4282" t="s">
        <v>27</v>
      </c>
      <c r="C4282" t="s">
        <v>28</v>
      </c>
      <c r="H4282" s="2">
        <v>44788.777303240742</v>
      </c>
      <c r="I4282" t="s">
        <v>2681</v>
      </c>
      <c r="Z4282">
        <v>38474</v>
      </c>
    </row>
    <row r="4283" spans="1:26" x14ac:dyDescent="0.25">
      <c r="A4283" t="s">
        <v>4447</v>
      </c>
      <c r="B4283" t="s">
        <v>27</v>
      </c>
      <c r="C4283" t="s">
        <v>28</v>
      </c>
      <c r="H4283" s="2">
        <v>44788.758912037039</v>
      </c>
      <c r="I4283" t="s">
        <v>3864</v>
      </c>
      <c r="Z4283">
        <v>38473</v>
      </c>
    </row>
    <row r="4284" spans="1:26" x14ac:dyDescent="0.25">
      <c r="A4284" t="s">
        <v>4765</v>
      </c>
      <c r="B4284" t="s">
        <v>27</v>
      </c>
      <c r="C4284" t="s">
        <v>4111</v>
      </c>
      <c r="H4284" s="2">
        <v>44788.729062500002</v>
      </c>
      <c r="I4284" t="s">
        <v>4503</v>
      </c>
      <c r="Z4284">
        <v>38469</v>
      </c>
    </row>
    <row r="4285" spans="1:26" x14ac:dyDescent="0.25">
      <c r="A4285" t="s">
        <v>1903</v>
      </c>
      <c r="B4285" t="s">
        <v>27</v>
      </c>
      <c r="C4285" t="s">
        <v>28</v>
      </c>
      <c r="H4285" s="2">
        <v>44788.565324074072</v>
      </c>
      <c r="I4285" t="s">
        <v>31</v>
      </c>
      <c r="Z4285">
        <v>38445</v>
      </c>
    </row>
    <row r="4286" spans="1:26" x14ac:dyDescent="0.25">
      <c r="A4286" t="s">
        <v>4447</v>
      </c>
      <c r="B4286" t="s">
        <v>27</v>
      </c>
      <c r="C4286" t="s">
        <v>28</v>
      </c>
      <c r="H4286" s="2">
        <v>44788.383958333332</v>
      </c>
      <c r="I4286" t="s">
        <v>3864</v>
      </c>
      <c r="Z4286">
        <v>38416</v>
      </c>
    </row>
    <row r="4287" spans="1:26" x14ac:dyDescent="0.25">
      <c r="A4287" t="s">
        <v>1177</v>
      </c>
      <c r="B4287" t="s">
        <v>74</v>
      </c>
      <c r="C4287" t="s">
        <v>28</v>
      </c>
      <c r="E4287" t="s">
        <v>4766</v>
      </c>
      <c r="G4287" t="s">
        <v>4767</v>
      </c>
      <c r="H4287" s="2">
        <v>44787.927731481483</v>
      </c>
      <c r="I4287" t="s">
        <v>31</v>
      </c>
      <c r="Z4287">
        <v>38411</v>
      </c>
    </row>
    <row r="4288" spans="1:26" x14ac:dyDescent="0.25">
      <c r="A4288" t="s">
        <v>4768</v>
      </c>
      <c r="B4288" t="s">
        <v>27</v>
      </c>
      <c r="C4288" t="s">
        <v>28</v>
      </c>
      <c r="H4288" s="2">
        <v>44787.355752314812</v>
      </c>
      <c r="I4288" t="s">
        <v>2001</v>
      </c>
      <c r="Z4288">
        <v>38364</v>
      </c>
    </row>
    <row r="4289" spans="1:26" x14ac:dyDescent="0.25">
      <c r="A4289" t="s">
        <v>4769</v>
      </c>
      <c r="B4289" t="s">
        <v>27</v>
      </c>
      <c r="C4289" t="s">
        <v>28</v>
      </c>
      <c r="H4289" s="2">
        <v>44786.658020833333</v>
      </c>
      <c r="I4289" t="s">
        <v>3864</v>
      </c>
      <c r="Z4289">
        <v>38350</v>
      </c>
    </row>
    <row r="4290" spans="1:26" x14ac:dyDescent="0.25">
      <c r="A4290" t="s">
        <v>4770</v>
      </c>
      <c r="B4290" t="s">
        <v>27</v>
      </c>
      <c r="C4290" t="s">
        <v>28</v>
      </c>
      <c r="H4290" s="2">
        <v>44786.583923611113</v>
      </c>
      <c r="I4290" t="s">
        <v>4728</v>
      </c>
      <c r="Z4290">
        <v>38338</v>
      </c>
    </row>
    <row r="4291" spans="1:26" x14ac:dyDescent="0.25">
      <c r="A4291" t="s">
        <v>4771</v>
      </c>
      <c r="B4291" t="s">
        <v>27</v>
      </c>
      <c r="C4291" t="s">
        <v>28</v>
      </c>
      <c r="H4291" s="2">
        <v>44785.820208333331</v>
      </c>
      <c r="I4291" t="s">
        <v>4728</v>
      </c>
      <c r="Z4291">
        <v>38305</v>
      </c>
    </row>
    <row r="4292" spans="1:26" x14ac:dyDescent="0.25">
      <c r="A4292" t="s">
        <v>4772</v>
      </c>
      <c r="B4292" t="s">
        <v>27</v>
      </c>
      <c r="C4292" t="s">
        <v>28</v>
      </c>
      <c r="H4292" s="2">
        <v>44785.631504629629</v>
      </c>
      <c r="I4292" t="s">
        <v>4728</v>
      </c>
      <c r="Z4292">
        <v>38291</v>
      </c>
    </row>
    <row r="4293" spans="1:26" x14ac:dyDescent="0.25">
      <c r="A4293" t="s">
        <v>4773</v>
      </c>
      <c r="B4293" t="s">
        <v>27</v>
      </c>
      <c r="C4293" t="s">
        <v>28</v>
      </c>
      <c r="H4293" s="2">
        <v>44785.582696759258</v>
      </c>
      <c r="I4293" t="s">
        <v>1488</v>
      </c>
      <c r="Z4293">
        <v>38285</v>
      </c>
    </row>
    <row r="4294" spans="1:26" x14ac:dyDescent="0.25">
      <c r="A4294" t="s">
        <v>4774</v>
      </c>
      <c r="B4294" t="s">
        <v>74</v>
      </c>
      <c r="C4294" t="s">
        <v>28</v>
      </c>
      <c r="E4294" t="s">
        <v>2503</v>
      </c>
      <c r="G4294" t="s">
        <v>4775</v>
      </c>
      <c r="H4294" s="2">
        <v>44784.730381944442</v>
      </c>
      <c r="I4294" t="s">
        <v>4728</v>
      </c>
      <c r="Z4294">
        <v>38250</v>
      </c>
    </row>
    <row r="4295" spans="1:26" x14ac:dyDescent="0.25">
      <c r="A4295" t="s">
        <v>4776</v>
      </c>
      <c r="B4295" t="s">
        <v>1708</v>
      </c>
      <c r="C4295" t="s">
        <v>28</v>
      </c>
      <c r="E4295" t="s">
        <v>4777</v>
      </c>
      <c r="H4295" s="2">
        <v>44784.578761574077</v>
      </c>
      <c r="I4295" t="s">
        <v>4728</v>
      </c>
      <c r="Z4295">
        <v>38238</v>
      </c>
    </row>
    <row r="4296" spans="1:26" x14ac:dyDescent="0.25">
      <c r="A4296" t="s">
        <v>4778</v>
      </c>
      <c r="B4296" t="s">
        <v>27</v>
      </c>
      <c r="C4296" t="s">
        <v>28</v>
      </c>
      <c r="H4296" s="2">
        <v>44784.550428240742</v>
      </c>
      <c r="I4296" t="s">
        <v>4728</v>
      </c>
      <c r="Z4296">
        <v>38230</v>
      </c>
    </row>
    <row r="4297" spans="1:26" x14ac:dyDescent="0.25">
      <c r="A4297" t="s">
        <v>4779</v>
      </c>
      <c r="B4297" t="s">
        <v>27</v>
      </c>
      <c r="C4297" t="s">
        <v>28</v>
      </c>
      <c r="H4297" s="2">
        <v>44784.476863425924</v>
      </c>
      <c r="I4297" t="s">
        <v>1488</v>
      </c>
      <c r="Z4297">
        <v>38216</v>
      </c>
    </row>
    <row r="4298" spans="1:26" x14ac:dyDescent="0.25">
      <c r="A4298" t="s">
        <v>4780</v>
      </c>
      <c r="B4298" t="s">
        <v>27</v>
      </c>
      <c r="C4298" t="s">
        <v>28</v>
      </c>
      <c r="H4298" s="2">
        <v>44784.420266203706</v>
      </c>
      <c r="I4298" t="s">
        <v>4503</v>
      </c>
      <c r="Z4298">
        <v>38208</v>
      </c>
    </row>
    <row r="4299" spans="1:26" x14ac:dyDescent="0.25">
      <c r="A4299" t="s">
        <v>4781</v>
      </c>
      <c r="B4299" t="s">
        <v>27</v>
      </c>
      <c r="C4299" t="s">
        <v>28</v>
      </c>
      <c r="H4299" s="2">
        <v>44783.697708333333</v>
      </c>
      <c r="I4299" t="s">
        <v>4448</v>
      </c>
      <c r="Z4299">
        <v>38182</v>
      </c>
    </row>
    <row r="4300" spans="1:26" x14ac:dyDescent="0.25">
      <c r="A4300" t="s">
        <v>4782</v>
      </c>
      <c r="B4300" t="s">
        <v>74</v>
      </c>
      <c r="C4300" t="s">
        <v>28</v>
      </c>
      <c r="E4300" t="s">
        <v>1357</v>
      </c>
      <c r="G4300" t="s">
        <v>1358</v>
      </c>
      <c r="H4300" s="2">
        <v>44783.602881944447</v>
      </c>
      <c r="I4300" t="s">
        <v>4448</v>
      </c>
      <c r="Z4300">
        <v>38173</v>
      </c>
    </row>
    <row r="4301" spans="1:26" x14ac:dyDescent="0.25">
      <c r="A4301" t="s">
        <v>4783</v>
      </c>
      <c r="B4301" t="s">
        <v>27</v>
      </c>
      <c r="C4301" t="s">
        <v>28</v>
      </c>
      <c r="H4301" s="2">
        <v>44783.578645833331</v>
      </c>
      <c r="I4301" t="s">
        <v>4784</v>
      </c>
      <c r="Z4301">
        <v>38170</v>
      </c>
    </row>
    <row r="4302" spans="1:26" x14ac:dyDescent="0.25">
      <c r="A4302" t="s">
        <v>4447</v>
      </c>
      <c r="B4302" t="s">
        <v>27</v>
      </c>
      <c r="C4302" t="s">
        <v>28</v>
      </c>
      <c r="H4302" s="2">
        <v>44782.706284722219</v>
      </c>
      <c r="I4302" t="s">
        <v>3864</v>
      </c>
      <c r="Z4302">
        <v>38126</v>
      </c>
    </row>
    <row r="4303" spans="1:26" x14ac:dyDescent="0.25">
      <c r="A4303" t="s">
        <v>4785</v>
      </c>
      <c r="B4303" t="s">
        <v>27</v>
      </c>
      <c r="C4303" t="s">
        <v>28</v>
      </c>
      <c r="H4303" s="2">
        <v>44782.57607638889</v>
      </c>
      <c r="I4303" t="s">
        <v>2001</v>
      </c>
      <c r="Z4303">
        <v>38115</v>
      </c>
    </row>
    <row r="4304" spans="1:26" x14ac:dyDescent="0.25">
      <c r="A4304" t="s">
        <v>4786</v>
      </c>
      <c r="B4304" t="s">
        <v>27</v>
      </c>
      <c r="C4304" t="s">
        <v>28</v>
      </c>
      <c r="H4304" s="2">
        <v>44782.423564814817</v>
      </c>
      <c r="I4304" t="s">
        <v>2001</v>
      </c>
      <c r="Z4304">
        <v>38089</v>
      </c>
    </row>
    <row r="4305" spans="1:26" x14ac:dyDescent="0.25">
      <c r="A4305" t="s">
        <v>1177</v>
      </c>
      <c r="B4305" t="s">
        <v>27</v>
      </c>
      <c r="C4305" t="s">
        <v>28</v>
      </c>
      <c r="H4305" s="2">
        <v>44781.495208333334</v>
      </c>
      <c r="I4305" t="s">
        <v>31</v>
      </c>
      <c r="Z4305">
        <v>38027</v>
      </c>
    </row>
    <row r="4306" spans="1:26" x14ac:dyDescent="0.25">
      <c r="A4306" t="s">
        <v>4787</v>
      </c>
      <c r="B4306" t="s">
        <v>74</v>
      </c>
      <c r="C4306" t="s">
        <v>28</v>
      </c>
      <c r="E4306" t="s">
        <v>61</v>
      </c>
      <c r="G4306" t="s">
        <v>4788</v>
      </c>
      <c r="H4306" s="2">
        <v>44779.715798611112</v>
      </c>
      <c r="I4306" t="s">
        <v>4728</v>
      </c>
      <c r="Z4306">
        <v>37959</v>
      </c>
    </row>
    <row r="4307" spans="1:26" x14ac:dyDescent="0.25">
      <c r="A4307" t="s">
        <v>4538</v>
      </c>
      <c r="B4307" t="s">
        <v>27</v>
      </c>
      <c r="C4307" t="s">
        <v>28</v>
      </c>
      <c r="H4307" s="2">
        <v>44778.837511574071</v>
      </c>
      <c r="I4307" t="s">
        <v>4728</v>
      </c>
      <c r="Z4307">
        <v>37931</v>
      </c>
    </row>
    <row r="4308" spans="1:26" x14ac:dyDescent="0.25">
      <c r="A4308" t="s">
        <v>4789</v>
      </c>
      <c r="B4308" t="s">
        <v>1993</v>
      </c>
      <c r="C4308" t="s">
        <v>28</v>
      </c>
      <c r="E4308" t="s">
        <v>370</v>
      </c>
      <c r="G4308" t="s">
        <v>4741</v>
      </c>
      <c r="H4308" s="2">
        <v>44777.578229166669</v>
      </c>
      <c r="I4308" t="s">
        <v>1068</v>
      </c>
      <c r="Z4308">
        <v>37837</v>
      </c>
    </row>
    <row r="4309" spans="1:26" x14ac:dyDescent="0.25">
      <c r="A4309" t="s">
        <v>4790</v>
      </c>
      <c r="B4309" t="s">
        <v>27</v>
      </c>
      <c r="C4309" t="s">
        <v>28</v>
      </c>
      <c r="H4309" s="2">
        <v>44777.378831018519</v>
      </c>
      <c r="I4309" t="s">
        <v>4114</v>
      </c>
      <c r="Z4309">
        <v>37811</v>
      </c>
    </row>
    <row r="4310" spans="1:26" x14ac:dyDescent="0.25">
      <c r="A4310" t="s">
        <v>4791</v>
      </c>
      <c r="B4310" t="s">
        <v>27</v>
      </c>
      <c r="C4310" t="s">
        <v>28</v>
      </c>
      <c r="H4310" s="2">
        <v>44776.530115740738</v>
      </c>
      <c r="I4310" t="s">
        <v>2674</v>
      </c>
      <c r="Z4310">
        <v>37770</v>
      </c>
    </row>
    <row r="4311" spans="1:26" x14ac:dyDescent="0.25">
      <c r="A4311" t="s">
        <v>4792</v>
      </c>
      <c r="B4311" t="s">
        <v>27</v>
      </c>
      <c r="C4311" t="s">
        <v>28</v>
      </c>
      <c r="H4311" s="2">
        <v>44775.410208333335</v>
      </c>
      <c r="I4311" t="s">
        <v>4114</v>
      </c>
      <c r="Z4311">
        <v>37691</v>
      </c>
    </row>
    <row r="4312" spans="1:26" x14ac:dyDescent="0.25">
      <c r="A4312" t="s">
        <v>4793</v>
      </c>
      <c r="B4312" t="s">
        <v>27</v>
      </c>
      <c r="C4312" t="s">
        <v>28</v>
      </c>
      <c r="E4312" t="s">
        <v>4794</v>
      </c>
      <c r="H4312" s="2">
        <v>44774.436562499999</v>
      </c>
      <c r="I4312" t="s">
        <v>4728</v>
      </c>
      <c r="Z4312">
        <v>37631</v>
      </c>
    </row>
    <row r="4313" spans="1:26" x14ac:dyDescent="0.25">
      <c r="A4313" t="s">
        <v>4795</v>
      </c>
      <c r="B4313" t="s">
        <v>27</v>
      </c>
      <c r="C4313" t="s">
        <v>28</v>
      </c>
      <c r="H4313" s="2">
        <v>44773.793611111112</v>
      </c>
      <c r="I4313" t="s">
        <v>4728</v>
      </c>
      <c r="Z4313">
        <v>37615</v>
      </c>
    </row>
    <row r="4314" spans="1:26" x14ac:dyDescent="0.25">
      <c r="A4314" t="s">
        <v>4796</v>
      </c>
      <c r="B4314" t="s">
        <v>1708</v>
      </c>
      <c r="C4314" t="s">
        <v>28</v>
      </c>
      <c r="E4314" t="s">
        <v>2464</v>
      </c>
      <c r="H4314" s="2">
        <v>44773.738194444442</v>
      </c>
      <c r="I4314" t="s">
        <v>4728</v>
      </c>
      <c r="K4314" t="s">
        <v>34</v>
      </c>
      <c r="L4314" t="s">
        <v>35</v>
      </c>
      <c r="M4314">
        <v>66964239</v>
      </c>
      <c r="N4314">
        <v>12403661575</v>
      </c>
      <c r="O4314" t="s">
        <v>4797</v>
      </c>
      <c r="Z4314">
        <v>37608</v>
      </c>
    </row>
    <row r="4315" spans="1:26" x14ac:dyDescent="0.25">
      <c r="A4315" t="s">
        <v>4798</v>
      </c>
      <c r="B4315" t="s">
        <v>27</v>
      </c>
      <c r="C4315" t="s">
        <v>28</v>
      </c>
      <c r="H4315" s="2">
        <v>44773.705636574072</v>
      </c>
      <c r="I4315" t="s">
        <v>2681</v>
      </c>
      <c r="Z4315">
        <v>37607</v>
      </c>
    </row>
    <row r="4316" spans="1:26" x14ac:dyDescent="0.25">
      <c r="A4316" t="s">
        <v>4799</v>
      </c>
      <c r="B4316" t="s">
        <v>27</v>
      </c>
      <c r="C4316" t="s">
        <v>28</v>
      </c>
      <c r="H4316" s="2">
        <v>44772.706180555557</v>
      </c>
      <c r="I4316" t="s">
        <v>4503</v>
      </c>
      <c r="Z4316">
        <v>37558</v>
      </c>
    </row>
    <row r="4317" spans="1:26" x14ac:dyDescent="0.25">
      <c r="A4317" t="s">
        <v>3650</v>
      </c>
      <c r="B4317" t="s">
        <v>27</v>
      </c>
      <c r="C4317" t="s">
        <v>28</v>
      </c>
      <c r="H4317" s="2">
        <v>44772.461145833331</v>
      </c>
      <c r="I4317" t="s">
        <v>4728</v>
      </c>
      <c r="Z4317">
        <v>37535</v>
      </c>
    </row>
    <row r="4318" spans="1:26" x14ac:dyDescent="0.25">
      <c r="A4318" t="s">
        <v>4800</v>
      </c>
      <c r="B4318" t="s">
        <v>1403</v>
      </c>
      <c r="C4318" t="s">
        <v>28</v>
      </c>
      <c r="E4318" t="s">
        <v>4801</v>
      </c>
      <c r="H4318" s="2">
        <v>44771.743414351855</v>
      </c>
      <c r="I4318" t="s">
        <v>2674</v>
      </c>
      <c r="Z4318">
        <v>37517</v>
      </c>
    </row>
    <row r="4319" spans="1:26" x14ac:dyDescent="0.25">
      <c r="A4319" t="s">
        <v>4802</v>
      </c>
      <c r="B4319" t="s">
        <v>27</v>
      </c>
      <c r="C4319" t="s">
        <v>28</v>
      </c>
      <c r="H4319" s="2">
        <v>44771.360312500001</v>
      </c>
      <c r="I4319" t="s">
        <v>4803</v>
      </c>
      <c r="Z4319">
        <v>37474</v>
      </c>
    </row>
    <row r="4320" spans="1:26" x14ac:dyDescent="0.25">
      <c r="A4320" t="s">
        <v>4804</v>
      </c>
      <c r="B4320" t="s">
        <v>27</v>
      </c>
      <c r="C4320" t="s">
        <v>28</v>
      </c>
      <c r="H4320" s="2">
        <v>44770.81527777778</v>
      </c>
      <c r="I4320" t="s">
        <v>2674</v>
      </c>
      <c r="Z4320">
        <v>37469</v>
      </c>
    </row>
    <row r="4321" spans="1:26" x14ac:dyDescent="0.25">
      <c r="A4321" t="s">
        <v>4805</v>
      </c>
      <c r="B4321" t="s">
        <v>27</v>
      </c>
      <c r="C4321" t="s">
        <v>28</v>
      </c>
      <c r="H4321" s="2">
        <v>44770.556331018517</v>
      </c>
      <c r="I4321" t="s">
        <v>4448</v>
      </c>
      <c r="Z4321">
        <v>37442</v>
      </c>
    </row>
    <row r="4322" spans="1:26" x14ac:dyDescent="0.25">
      <c r="A4322" t="s">
        <v>4806</v>
      </c>
      <c r="B4322" t="s">
        <v>27</v>
      </c>
      <c r="C4322" t="s">
        <v>28</v>
      </c>
      <c r="H4322" s="2">
        <v>44769.575659722221</v>
      </c>
      <c r="I4322" t="s">
        <v>4803</v>
      </c>
      <c r="Z4322">
        <v>37390</v>
      </c>
    </row>
    <row r="4323" spans="1:26" x14ac:dyDescent="0.25">
      <c r="A4323" t="s">
        <v>3318</v>
      </c>
      <c r="B4323" t="s">
        <v>27</v>
      </c>
      <c r="C4323" t="s">
        <v>28</v>
      </c>
      <c r="H4323" s="2">
        <v>44769.497581018521</v>
      </c>
      <c r="I4323" t="s">
        <v>31</v>
      </c>
      <c r="Z4323">
        <v>37379</v>
      </c>
    </row>
    <row r="4324" spans="1:26" x14ac:dyDescent="0.25">
      <c r="A4324" t="s">
        <v>4807</v>
      </c>
      <c r="B4324" t="s">
        <v>27</v>
      </c>
      <c r="C4324" t="s">
        <v>28</v>
      </c>
      <c r="H4324" s="2">
        <v>44769.461319444446</v>
      </c>
      <c r="I4324" t="s">
        <v>4728</v>
      </c>
      <c r="Z4324">
        <v>37373</v>
      </c>
    </row>
    <row r="4325" spans="1:26" x14ac:dyDescent="0.25">
      <c r="A4325" t="s">
        <v>4808</v>
      </c>
      <c r="B4325" t="s">
        <v>27</v>
      </c>
      <c r="C4325" t="s">
        <v>28</v>
      </c>
      <c r="H4325" s="2">
        <v>44769.434513888889</v>
      </c>
      <c r="I4325" t="s">
        <v>31</v>
      </c>
      <c r="Z4325">
        <v>37369</v>
      </c>
    </row>
    <row r="4326" spans="1:26" x14ac:dyDescent="0.25">
      <c r="A4326" t="s">
        <v>4809</v>
      </c>
      <c r="B4326" t="s">
        <v>27</v>
      </c>
      <c r="C4326" t="s">
        <v>28</v>
      </c>
      <c r="H4326" s="2">
        <v>44769.408310185187</v>
      </c>
      <c r="I4326" t="s">
        <v>2674</v>
      </c>
      <c r="Z4326">
        <v>37362</v>
      </c>
    </row>
    <row r="4327" spans="1:26" x14ac:dyDescent="0.25">
      <c r="A4327" t="s">
        <v>4810</v>
      </c>
      <c r="B4327" t="s">
        <v>74</v>
      </c>
      <c r="C4327" t="s">
        <v>28</v>
      </c>
      <c r="E4327" t="s">
        <v>763</v>
      </c>
      <c r="G4327" t="s">
        <v>4811</v>
      </c>
      <c r="H4327" s="2">
        <v>44768.626701388886</v>
      </c>
      <c r="I4327" t="s">
        <v>4448</v>
      </c>
      <c r="Z4327">
        <v>37328</v>
      </c>
    </row>
    <row r="4328" spans="1:26" x14ac:dyDescent="0.25">
      <c r="A4328" t="s">
        <v>3318</v>
      </c>
      <c r="B4328" t="s">
        <v>27</v>
      </c>
      <c r="C4328" t="s">
        <v>28</v>
      </c>
      <c r="H4328" s="2">
        <v>44767.618043981478</v>
      </c>
      <c r="I4328" t="s">
        <v>31</v>
      </c>
      <c r="Z4328">
        <v>37274</v>
      </c>
    </row>
    <row r="4329" spans="1:26" x14ac:dyDescent="0.25">
      <c r="A4329" t="s">
        <v>4812</v>
      </c>
      <c r="B4329" t="s">
        <v>1993</v>
      </c>
      <c r="C4329" t="s">
        <v>28</v>
      </c>
      <c r="E4329" t="s">
        <v>4813</v>
      </c>
      <c r="H4329" s="2">
        <v>44767.457094907404</v>
      </c>
      <c r="I4329" t="s">
        <v>4728</v>
      </c>
      <c r="Z4329">
        <v>37258</v>
      </c>
    </row>
    <row r="4330" spans="1:26" x14ac:dyDescent="0.25">
      <c r="A4330" t="s">
        <v>4814</v>
      </c>
      <c r="B4330" t="s">
        <v>27</v>
      </c>
      <c r="C4330" t="s">
        <v>28</v>
      </c>
      <c r="H4330" s="2">
        <v>44767.365023148152</v>
      </c>
      <c r="I4330" t="s">
        <v>4728</v>
      </c>
      <c r="Z4330">
        <v>37246</v>
      </c>
    </row>
    <row r="4331" spans="1:26" x14ac:dyDescent="0.25">
      <c r="A4331" t="s">
        <v>4815</v>
      </c>
      <c r="B4331" t="s">
        <v>1403</v>
      </c>
      <c r="C4331" t="s">
        <v>28</v>
      </c>
      <c r="E4331" t="s">
        <v>4816</v>
      </c>
      <c r="G4331" t="s">
        <v>4817</v>
      </c>
      <c r="H4331" s="2">
        <v>44766.808009259257</v>
      </c>
      <c r="I4331" t="s">
        <v>4728</v>
      </c>
      <c r="K4331" t="s">
        <v>34</v>
      </c>
      <c r="L4331" t="s">
        <v>35</v>
      </c>
      <c r="M4331">
        <v>67131912</v>
      </c>
      <c r="N4331">
        <v>11953101644</v>
      </c>
      <c r="O4331" t="s">
        <v>3762</v>
      </c>
      <c r="Z4331">
        <v>37238</v>
      </c>
    </row>
    <row r="4332" spans="1:26" x14ac:dyDescent="0.25">
      <c r="A4332" t="s">
        <v>4812</v>
      </c>
      <c r="B4332" t="s">
        <v>1993</v>
      </c>
      <c r="C4332" t="s">
        <v>28</v>
      </c>
      <c r="E4332" t="s">
        <v>4813</v>
      </c>
      <c r="H4332" s="2">
        <v>44766.696423611109</v>
      </c>
      <c r="I4332" t="s">
        <v>4728</v>
      </c>
      <c r="Z4332">
        <v>37233</v>
      </c>
    </row>
    <row r="4333" spans="1:26" x14ac:dyDescent="0.25">
      <c r="A4333" t="s">
        <v>4818</v>
      </c>
      <c r="B4333" t="s">
        <v>27</v>
      </c>
      <c r="C4333" t="s">
        <v>28</v>
      </c>
      <c r="H4333" s="2">
        <v>44766.57402777778</v>
      </c>
      <c r="I4333" t="s">
        <v>2681</v>
      </c>
      <c r="Z4333">
        <v>37213</v>
      </c>
    </row>
    <row r="4334" spans="1:26" x14ac:dyDescent="0.25">
      <c r="A4334" t="s">
        <v>4819</v>
      </c>
      <c r="B4334" t="s">
        <v>1708</v>
      </c>
      <c r="C4334" t="s">
        <v>28</v>
      </c>
      <c r="E4334" t="s">
        <v>1811</v>
      </c>
      <c r="G4334" t="s">
        <v>370</v>
      </c>
      <c r="H4334" s="2">
        <v>44766.454780092594</v>
      </c>
      <c r="I4334" t="s">
        <v>4728</v>
      </c>
      <c r="K4334" t="s">
        <v>34</v>
      </c>
      <c r="L4334" t="s">
        <v>35</v>
      </c>
      <c r="M4334">
        <v>67131912</v>
      </c>
      <c r="N4334">
        <v>11953101650</v>
      </c>
      <c r="O4334" t="s">
        <v>3465</v>
      </c>
      <c r="Z4334">
        <v>37203</v>
      </c>
    </row>
    <row r="4335" spans="1:26" x14ac:dyDescent="0.25">
      <c r="A4335" t="s">
        <v>4447</v>
      </c>
      <c r="B4335" t="s">
        <v>27</v>
      </c>
      <c r="C4335" t="s">
        <v>28</v>
      </c>
      <c r="H4335" s="2">
        <v>44764.901064814818</v>
      </c>
      <c r="I4335" t="s">
        <v>3864</v>
      </c>
      <c r="Z4335">
        <v>37160</v>
      </c>
    </row>
    <row r="4336" spans="1:26" x14ac:dyDescent="0.25">
      <c r="A4336" t="s">
        <v>3318</v>
      </c>
      <c r="B4336" t="s">
        <v>27</v>
      </c>
      <c r="C4336" t="s">
        <v>28</v>
      </c>
      <c r="H4336" s="2">
        <v>44764.589224537034</v>
      </c>
      <c r="I4336" t="s">
        <v>31</v>
      </c>
      <c r="Z4336">
        <v>37138</v>
      </c>
    </row>
    <row r="4337" spans="1:26" x14ac:dyDescent="0.25">
      <c r="A4337" t="s">
        <v>4447</v>
      </c>
      <c r="C4337" t="s">
        <v>28</v>
      </c>
      <c r="E4337" t="s">
        <v>427</v>
      </c>
      <c r="H4337" s="2">
        <v>44764.557604166665</v>
      </c>
      <c r="I4337" t="s">
        <v>3864</v>
      </c>
      <c r="Z4337">
        <v>37133</v>
      </c>
    </row>
    <row r="4338" spans="1:26" x14ac:dyDescent="0.25">
      <c r="A4338" t="s">
        <v>4820</v>
      </c>
      <c r="B4338" t="s">
        <v>27</v>
      </c>
      <c r="C4338" t="s">
        <v>28</v>
      </c>
      <c r="H4338" s="2">
        <v>44763.651180555556</v>
      </c>
      <c r="I4338" t="s">
        <v>4448</v>
      </c>
      <c r="Z4338">
        <v>37092</v>
      </c>
    </row>
    <row r="4339" spans="1:26" x14ac:dyDescent="0.25">
      <c r="A4339" t="s">
        <v>4821</v>
      </c>
      <c r="B4339" t="s">
        <v>27</v>
      </c>
      <c r="C4339" t="s">
        <v>28</v>
      </c>
      <c r="H4339" s="2">
        <v>44763.447569444441</v>
      </c>
      <c r="I4339" t="s">
        <v>2674</v>
      </c>
      <c r="Z4339">
        <v>37071</v>
      </c>
    </row>
    <row r="4340" spans="1:26" x14ac:dyDescent="0.25">
      <c r="A4340" t="s">
        <v>4822</v>
      </c>
      <c r="B4340" t="s">
        <v>27</v>
      </c>
      <c r="C4340" t="s">
        <v>28</v>
      </c>
      <c r="H4340" s="2">
        <v>44763.428182870368</v>
      </c>
      <c r="I4340" t="s">
        <v>4823</v>
      </c>
      <c r="Z4340">
        <v>37068</v>
      </c>
    </row>
    <row r="4341" spans="1:26" x14ac:dyDescent="0.25">
      <c r="A4341" t="s">
        <v>4824</v>
      </c>
      <c r="B4341" t="s">
        <v>27</v>
      </c>
      <c r="C4341" t="s">
        <v>28</v>
      </c>
      <c r="H4341" s="2">
        <v>44762.778761574074</v>
      </c>
      <c r="I4341" t="s">
        <v>4823</v>
      </c>
      <c r="Z4341">
        <v>37057</v>
      </c>
    </row>
    <row r="4342" spans="1:26" x14ac:dyDescent="0.25">
      <c r="A4342" t="s">
        <v>4825</v>
      </c>
      <c r="B4342" t="s">
        <v>27</v>
      </c>
      <c r="C4342" t="s">
        <v>28</v>
      </c>
      <c r="H4342" s="2">
        <v>44762.544664351852</v>
      </c>
      <c r="I4342" t="s">
        <v>4823</v>
      </c>
      <c r="Z4342">
        <v>37034</v>
      </c>
    </row>
    <row r="4343" spans="1:26" x14ac:dyDescent="0.25">
      <c r="A4343" t="s">
        <v>4826</v>
      </c>
      <c r="B4343" t="s">
        <v>1708</v>
      </c>
      <c r="C4343" t="s">
        <v>28</v>
      </c>
      <c r="E4343" t="s">
        <v>720</v>
      </c>
      <c r="H4343" s="2">
        <v>44761.766539351855</v>
      </c>
      <c r="I4343" t="s">
        <v>4728</v>
      </c>
      <c r="Z4343">
        <v>37013</v>
      </c>
    </row>
    <row r="4344" spans="1:26" x14ac:dyDescent="0.25">
      <c r="A4344" t="s">
        <v>4827</v>
      </c>
      <c r="B4344" t="s">
        <v>27</v>
      </c>
      <c r="C4344" t="s">
        <v>28</v>
      </c>
      <c r="H4344" s="2">
        <v>44761.696377314816</v>
      </c>
      <c r="I4344" t="s">
        <v>4503</v>
      </c>
      <c r="Z4344">
        <v>37009</v>
      </c>
    </row>
    <row r="4345" spans="1:26" x14ac:dyDescent="0.25">
      <c r="A4345" t="s">
        <v>4828</v>
      </c>
      <c r="B4345" t="s">
        <v>1708</v>
      </c>
      <c r="C4345" t="s">
        <v>28</v>
      </c>
      <c r="E4345" t="s">
        <v>4829</v>
      </c>
      <c r="G4345" t="s">
        <v>4830</v>
      </c>
      <c r="H4345" s="2">
        <v>44760.805856481478</v>
      </c>
      <c r="I4345" t="s">
        <v>4728</v>
      </c>
      <c r="Z4345">
        <v>36968</v>
      </c>
    </row>
    <row r="4346" spans="1:26" x14ac:dyDescent="0.25">
      <c r="A4346" t="s">
        <v>4831</v>
      </c>
      <c r="B4346" t="s">
        <v>27</v>
      </c>
      <c r="C4346" t="s">
        <v>28</v>
      </c>
      <c r="H4346" s="2">
        <v>44760.667627314811</v>
      </c>
      <c r="I4346" t="s">
        <v>4503</v>
      </c>
      <c r="Z4346">
        <v>36950</v>
      </c>
    </row>
    <row r="4347" spans="1:26" x14ac:dyDescent="0.25">
      <c r="A4347" t="s">
        <v>4832</v>
      </c>
      <c r="B4347" t="s">
        <v>27</v>
      </c>
      <c r="C4347" t="s">
        <v>28</v>
      </c>
      <c r="H4347" s="2">
        <v>44760.563194444447</v>
      </c>
      <c r="I4347" t="s">
        <v>4448</v>
      </c>
      <c r="Z4347">
        <v>36935</v>
      </c>
    </row>
    <row r="4348" spans="1:26" x14ac:dyDescent="0.25">
      <c r="A4348" t="s">
        <v>4833</v>
      </c>
      <c r="B4348" t="s">
        <v>27</v>
      </c>
      <c r="C4348" t="s">
        <v>28</v>
      </c>
      <c r="H4348" s="2">
        <v>44760.400405092594</v>
      </c>
      <c r="I4348" t="s">
        <v>4448</v>
      </c>
      <c r="Z4348">
        <v>36900</v>
      </c>
    </row>
    <row r="4349" spans="1:26" x14ac:dyDescent="0.25">
      <c r="A4349" t="s">
        <v>4834</v>
      </c>
      <c r="B4349" t="s">
        <v>27</v>
      </c>
      <c r="C4349" t="s">
        <v>28</v>
      </c>
      <c r="H4349" s="2">
        <v>44759.854421296295</v>
      </c>
      <c r="I4349" t="s">
        <v>2674</v>
      </c>
      <c r="Z4349">
        <v>36888</v>
      </c>
    </row>
    <row r="4350" spans="1:26" x14ac:dyDescent="0.25">
      <c r="A4350" t="s">
        <v>4835</v>
      </c>
      <c r="B4350" t="s">
        <v>27</v>
      </c>
      <c r="C4350" t="s">
        <v>28</v>
      </c>
      <c r="H4350" s="2">
        <v>44758.437858796293</v>
      </c>
      <c r="I4350" t="s">
        <v>4836</v>
      </c>
      <c r="Z4350">
        <v>36812</v>
      </c>
    </row>
    <row r="4351" spans="1:26" x14ac:dyDescent="0.25">
      <c r="A4351" t="s">
        <v>3290</v>
      </c>
      <c r="B4351" t="s">
        <v>27</v>
      </c>
      <c r="C4351" t="s">
        <v>28</v>
      </c>
      <c r="H4351" s="2">
        <v>44757.764699074076</v>
      </c>
      <c r="I4351" t="s">
        <v>4728</v>
      </c>
      <c r="Z4351">
        <v>36794</v>
      </c>
    </row>
    <row r="4352" spans="1:26" x14ac:dyDescent="0.25">
      <c r="A4352" t="s">
        <v>4447</v>
      </c>
      <c r="B4352" t="s">
        <v>74</v>
      </c>
      <c r="C4352" t="s">
        <v>28</v>
      </c>
      <c r="E4352" t="s">
        <v>763</v>
      </c>
      <c r="G4352" t="s">
        <v>4811</v>
      </c>
      <c r="H4352" s="2">
        <v>44757.578738425924</v>
      </c>
      <c r="I4352" t="s">
        <v>3864</v>
      </c>
      <c r="Z4352">
        <v>36780</v>
      </c>
    </row>
    <row r="4353" spans="1:26" x14ac:dyDescent="0.25">
      <c r="A4353" t="s">
        <v>4837</v>
      </c>
      <c r="B4353" t="s">
        <v>27</v>
      </c>
      <c r="C4353" t="s">
        <v>28</v>
      </c>
      <c r="H4353" s="2">
        <v>44757.399756944447</v>
      </c>
      <c r="I4353" t="s">
        <v>4728</v>
      </c>
      <c r="Z4353">
        <v>36763</v>
      </c>
    </row>
    <row r="4354" spans="1:26" x14ac:dyDescent="0.25">
      <c r="A4354" t="s">
        <v>4838</v>
      </c>
      <c r="B4354" t="s">
        <v>1993</v>
      </c>
      <c r="C4354" t="s">
        <v>28</v>
      </c>
      <c r="E4354" t="s">
        <v>4839</v>
      </c>
      <c r="H4354" s="2">
        <v>44755.756331018521</v>
      </c>
      <c r="I4354" t="s">
        <v>4728</v>
      </c>
      <c r="Z4354">
        <v>36723</v>
      </c>
    </row>
    <row r="4355" spans="1:26" x14ac:dyDescent="0.25">
      <c r="A4355" t="s">
        <v>4840</v>
      </c>
      <c r="B4355" t="s">
        <v>27</v>
      </c>
      <c r="C4355" t="s">
        <v>28</v>
      </c>
      <c r="H4355" s="2">
        <v>44755.670127314814</v>
      </c>
      <c r="I4355" t="s">
        <v>4728</v>
      </c>
      <c r="Z4355">
        <v>36711</v>
      </c>
    </row>
    <row r="4356" spans="1:26" x14ac:dyDescent="0.25">
      <c r="A4356" t="s">
        <v>3294</v>
      </c>
      <c r="B4356" t="s">
        <v>27</v>
      </c>
      <c r="C4356" t="s">
        <v>28</v>
      </c>
      <c r="E4356" t="s">
        <v>4841</v>
      </c>
      <c r="H4356" s="2">
        <v>44755.464166666665</v>
      </c>
      <c r="I4356" t="s">
        <v>2681</v>
      </c>
      <c r="Z4356">
        <v>36686</v>
      </c>
    </row>
    <row r="4357" spans="1:26" x14ac:dyDescent="0.25">
      <c r="A4357" t="s">
        <v>4842</v>
      </c>
      <c r="B4357" t="s">
        <v>74</v>
      </c>
      <c r="C4357" t="s">
        <v>28</v>
      </c>
      <c r="E4357" t="s">
        <v>4843</v>
      </c>
      <c r="G4357" t="s">
        <v>4844</v>
      </c>
      <c r="H4357" s="2">
        <v>44754.752557870372</v>
      </c>
      <c r="I4357" t="s">
        <v>2681</v>
      </c>
      <c r="Z4357">
        <v>36653</v>
      </c>
    </row>
    <row r="4358" spans="1:26" x14ac:dyDescent="0.25">
      <c r="A4358" t="s">
        <v>4138</v>
      </c>
      <c r="B4358" t="s">
        <v>27</v>
      </c>
      <c r="C4358" t="s">
        <v>28</v>
      </c>
      <c r="E4358" t="s">
        <v>4845</v>
      </c>
      <c r="H4358" s="2">
        <v>44754.646539351852</v>
      </c>
      <c r="I4358" t="s">
        <v>4728</v>
      </c>
      <c r="Z4358">
        <v>36642</v>
      </c>
    </row>
    <row r="4359" spans="1:26" x14ac:dyDescent="0.25">
      <c r="A4359" t="s">
        <v>4846</v>
      </c>
      <c r="B4359" t="s">
        <v>27</v>
      </c>
      <c r="C4359" t="s">
        <v>28</v>
      </c>
      <c r="H4359" s="2">
        <v>44753.771180555559</v>
      </c>
      <c r="I4359" t="s">
        <v>2681</v>
      </c>
      <c r="Z4359">
        <v>36604</v>
      </c>
    </row>
    <row r="4360" spans="1:26" x14ac:dyDescent="0.25">
      <c r="A4360" t="s">
        <v>4847</v>
      </c>
      <c r="B4360" t="s">
        <v>27</v>
      </c>
      <c r="C4360" t="s">
        <v>28</v>
      </c>
      <c r="H4360" s="2">
        <v>44753.679027777776</v>
      </c>
      <c r="I4360" t="s">
        <v>4448</v>
      </c>
      <c r="Z4360">
        <v>36600</v>
      </c>
    </row>
    <row r="4361" spans="1:26" x14ac:dyDescent="0.25">
      <c r="A4361" t="s">
        <v>570</v>
      </c>
      <c r="C4361" t="s">
        <v>28</v>
      </c>
      <c r="E4361" t="s">
        <v>198</v>
      </c>
      <c r="H4361" s="2">
        <v>44752.745428240742</v>
      </c>
      <c r="I4361" t="s">
        <v>4503</v>
      </c>
      <c r="Z4361">
        <v>36547</v>
      </c>
    </row>
    <row r="4362" spans="1:26" x14ac:dyDescent="0.25">
      <c r="A4362" t="s">
        <v>4848</v>
      </c>
      <c r="B4362" t="s">
        <v>1708</v>
      </c>
      <c r="C4362" t="s">
        <v>28</v>
      </c>
      <c r="E4362" t="s">
        <v>4849</v>
      </c>
      <c r="H4362" s="2">
        <v>44749.468599537038</v>
      </c>
      <c r="I4362" t="s">
        <v>4836</v>
      </c>
      <c r="Z4362">
        <v>36401</v>
      </c>
    </row>
    <row r="4363" spans="1:26" x14ac:dyDescent="0.25">
      <c r="A4363" t="s">
        <v>4850</v>
      </c>
      <c r="B4363" t="s">
        <v>27</v>
      </c>
      <c r="C4363" t="s">
        <v>28</v>
      </c>
      <c r="H4363" s="2">
        <v>44749.444641203707</v>
      </c>
      <c r="I4363" t="s">
        <v>1488</v>
      </c>
      <c r="Z4363">
        <v>36396</v>
      </c>
    </row>
    <row r="4364" spans="1:26" x14ac:dyDescent="0.25">
      <c r="A4364" t="s">
        <v>4851</v>
      </c>
      <c r="B4364" t="s">
        <v>27</v>
      </c>
      <c r="C4364" t="s">
        <v>28</v>
      </c>
      <c r="H4364" s="2">
        <v>44748.725312499999</v>
      </c>
      <c r="I4364" t="s">
        <v>4836</v>
      </c>
      <c r="Z4364">
        <v>36372</v>
      </c>
    </row>
    <row r="4365" spans="1:26" x14ac:dyDescent="0.25">
      <c r="A4365" t="s">
        <v>4852</v>
      </c>
      <c r="B4365" t="s">
        <v>27</v>
      </c>
      <c r="C4365" t="s">
        <v>28</v>
      </c>
      <c r="H4365" s="2">
        <v>44748.59915509259</v>
      </c>
      <c r="I4365" t="s">
        <v>4836</v>
      </c>
      <c r="Z4365">
        <v>36353</v>
      </c>
    </row>
    <row r="4366" spans="1:26" x14ac:dyDescent="0.25">
      <c r="A4366" t="s">
        <v>4853</v>
      </c>
      <c r="B4366" t="s">
        <v>27</v>
      </c>
      <c r="C4366" t="s">
        <v>28</v>
      </c>
      <c r="H4366" s="2">
        <v>44748.595856481479</v>
      </c>
      <c r="I4366" t="s">
        <v>2681</v>
      </c>
      <c r="Z4366">
        <v>36352</v>
      </c>
    </row>
    <row r="4367" spans="1:26" x14ac:dyDescent="0.25">
      <c r="A4367" t="s">
        <v>4428</v>
      </c>
      <c r="B4367" t="s">
        <v>27</v>
      </c>
      <c r="C4367" t="s">
        <v>28</v>
      </c>
      <c r="H4367" s="2">
        <v>44746.652013888888</v>
      </c>
      <c r="I4367" t="s">
        <v>4503</v>
      </c>
      <c r="Z4367">
        <v>36260</v>
      </c>
    </row>
    <row r="4368" spans="1:26" x14ac:dyDescent="0.25">
      <c r="A4368" t="s">
        <v>1793</v>
      </c>
      <c r="B4368" t="s">
        <v>27</v>
      </c>
      <c r="C4368" t="s">
        <v>28</v>
      </c>
      <c r="H4368" s="2">
        <v>44746.502071759256</v>
      </c>
      <c r="I4368" t="s">
        <v>3864</v>
      </c>
      <c r="Z4368">
        <v>36231</v>
      </c>
    </row>
    <row r="4369" spans="1:26" x14ac:dyDescent="0.25">
      <c r="A4369" t="s">
        <v>4854</v>
      </c>
      <c r="B4369" t="s">
        <v>27</v>
      </c>
      <c r="C4369" t="s">
        <v>28</v>
      </c>
      <c r="H4369" s="2">
        <v>44744.583124999997</v>
      </c>
      <c r="I4369" t="s">
        <v>2681</v>
      </c>
      <c r="Z4369">
        <v>36161</v>
      </c>
    </row>
    <row r="4370" spans="1:26" x14ac:dyDescent="0.25">
      <c r="A4370" t="s">
        <v>4855</v>
      </c>
      <c r="B4370" t="s">
        <v>27</v>
      </c>
      <c r="C4370" t="s">
        <v>28</v>
      </c>
      <c r="H4370" s="2">
        <v>44743.623854166668</v>
      </c>
      <c r="I4370" t="s">
        <v>2681</v>
      </c>
      <c r="Z4370">
        <v>36116</v>
      </c>
    </row>
    <row r="4371" spans="1:26" x14ac:dyDescent="0.25">
      <c r="A4371" t="s">
        <v>4856</v>
      </c>
      <c r="B4371" t="s">
        <v>27</v>
      </c>
      <c r="C4371" t="s">
        <v>28</v>
      </c>
      <c r="H4371" s="2">
        <v>44743.550763888888</v>
      </c>
      <c r="I4371" t="s">
        <v>2681</v>
      </c>
      <c r="Z4371">
        <v>36110</v>
      </c>
    </row>
    <row r="4372" spans="1:26" x14ac:dyDescent="0.25">
      <c r="A4372" t="s">
        <v>4857</v>
      </c>
      <c r="B4372" t="s">
        <v>74</v>
      </c>
      <c r="C4372" t="s">
        <v>28</v>
      </c>
      <c r="E4372" t="s">
        <v>2315</v>
      </c>
      <c r="G4372" t="s">
        <v>4858</v>
      </c>
      <c r="H4372" s="2">
        <v>44743.393622685187</v>
      </c>
      <c r="I4372" t="s">
        <v>2681</v>
      </c>
      <c r="Z4372">
        <v>36095</v>
      </c>
    </row>
    <row r="4373" spans="1:26" x14ac:dyDescent="0.25">
      <c r="A4373" t="s">
        <v>4720</v>
      </c>
      <c r="C4373" t="s">
        <v>28</v>
      </c>
      <c r="E4373" t="s">
        <v>3186</v>
      </c>
      <c r="H4373" s="2">
        <v>44742.778726851851</v>
      </c>
      <c r="I4373" t="s">
        <v>4836</v>
      </c>
      <c r="Z4373">
        <v>36085</v>
      </c>
    </row>
    <row r="4374" spans="1:26" x14ac:dyDescent="0.25">
      <c r="A4374" t="s">
        <v>4859</v>
      </c>
      <c r="B4374" t="s">
        <v>27</v>
      </c>
      <c r="C4374" t="s">
        <v>28</v>
      </c>
      <c r="H4374" s="2">
        <v>44739.623692129629</v>
      </c>
      <c r="I4374" t="s">
        <v>2681</v>
      </c>
      <c r="Z4374">
        <v>35928</v>
      </c>
    </row>
    <row r="4375" spans="1:26" x14ac:dyDescent="0.25">
      <c r="A4375" t="s">
        <v>4860</v>
      </c>
      <c r="B4375" t="s">
        <v>27</v>
      </c>
      <c r="C4375" t="s">
        <v>28</v>
      </c>
      <c r="H4375" s="2">
        <v>44738.5155787037</v>
      </c>
      <c r="I4375" t="s">
        <v>4728</v>
      </c>
      <c r="Z4375">
        <v>35876</v>
      </c>
    </row>
    <row r="4376" spans="1:26" x14ac:dyDescent="0.25">
      <c r="A4376" t="s">
        <v>4861</v>
      </c>
      <c r="B4376" t="s">
        <v>1993</v>
      </c>
      <c r="C4376" t="s">
        <v>28</v>
      </c>
      <c r="E4376" t="s">
        <v>4862</v>
      </c>
      <c r="H4376" s="2">
        <v>44738.510925925926</v>
      </c>
      <c r="I4376" t="s">
        <v>4728</v>
      </c>
      <c r="Z4376">
        <v>35874</v>
      </c>
    </row>
    <row r="4377" spans="1:26" x14ac:dyDescent="0.25">
      <c r="A4377" t="s">
        <v>4863</v>
      </c>
      <c r="B4377" t="s">
        <v>27</v>
      </c>
      <c r="C4377" t="s">
        <v>28</v>
      </c>
      <c r="H4377" s="2">
        <v>44737.52611111111</v>
      </c>
      <c r="I4377" t="s">
        <v>4728</v>
      </c>
      <c r="Z4377">
        <v>35833</v>
      </c>
    </row>
    <row r="4378" spans="1:26" x14ac:dyDescent="0.25">
      <c r="A4378" t="s">
        <v>4621</v>
      </c>
      <c r="B4378" t="s">
        <v>27</v>
      </c>
      <c r="C4378" t="s">
        <v>28</v>
      </c>
      <c r="H4378" s="2">
        <v>44735.622175925928</v>
      </c>
      <c r="I4378" t="s">
        <v>4803</v>
      </c>
      <c r="Z4378">
        <v>35754</v>
      </c>
    </row>
    <row r="4379" spans="1:26" x14ac:dyDescent="0.25">
      <c r="A4379" t="s">
        <v>4864</v>
      </c>
      <c r="B4379" t="s">
        <v>27</v>
      </c>
      <c r="C4379" t="s">
        <v>28</v>
      </c>
      <c r="H4379" s="2">
        <v>44734.481886574074</v>
      </c>
      <c r="I4379" t="s">
        <v>4503</v>
      </c>
      <c r="Z4379">
        <v>35706</v>
      </c>
    </row>
    <row r="4380" spans="1:26" x14ac:dyDescent="0.25">
      <c r="A4380" t="s">
        <v>4865</v>
      </c>
      <c r="B4380" t="s">
        <v>27</v>
      </c>
      <c r="C4380" t="s">
        <v>28</v>
      </c>
      <c r="H4380" s="2">
        <v>44734.438414351855</v>
      </c>
      <c r="I4380" t="s">
        <v>2674</v>
      </c>
      <c r="Z4380">
        <v>35702</v>
      </c>
    </row>
    <row r="4381" spans="1:26" x14ac:dyDescent="0.25">
      <c r="A4381" t="s">
        <v>4866</v>
      </c>
      <c r="B4381" t="s">
        <v>74</v>
      </c>
      <c r="C4381" t="s">
        <v>28</v>
      </c>
      <c r="E4381" t="s">
        <v>260</v>
      </c>
      <c r="G4381" t="s">
        <v>4867</v>
      </c>
      <c r="H4381" s="2">
        <v>44733.891273148147</v>
      </c>
      <c r="I4381" t="s">
        <v>4803</v>
      </c>
      <c r="K4381" t="s">
        <v>34</v>
      </c>
      <c r="L4381" t="s">
        <v>35</v>
      </c>
      <c r="M4381">
        <v>55887089</v>
      </c>
      <c r="N4381">
        <v>11200651160</v>
      </c>
      <c r="O4381" t="s">
        <v>4447</v>
      </c>
      <c r="Z4381">
        <v>35693</v>
      </c>
    </row>
    <row r="4382" spans="1:26" x14ac:dyDescent="0.25">
      <c r="A4382" t="s">
        <v>4720</v>
      </c>
      <c r="C4382" t="s">
        <v>28</v>
      </c>
      <c r="E4382" t="s">
        <v>3795</v>
      </c>
      <c r="H4382" s="2">
        <v>44733.817986111113</v>
      </c>
      <c r="I4382" t="s">
        <v>4803</v>
      </c>
      <c r="Z4382">
        <v>35690</v>
      </c>
    </row>
    <row r="4383" spans="1:26" x14ac:dyDescent="0.25">
      <c r="A4383" t="s">
        <v>4868</v>
      </c>
      <c r="B4383" t="s">
        <v>27</v>
      </c>
      <c r="C4383" t="s">
        <v>28</v>
      </c>
      <c r="H4383" s="2">
        <v>44733.742673611108</v>
      </c>
      <c r="I4383" t="s">
        <v>4803</v>
      </c>
      <c r="Z4383">
        <v>35685</v>
      </c>
    </row>
    <row r="4384" spans="1:26" x14ac:dyDescent="0.25">
      <c r="A4384" t="s">
        <v>3382</v>
      </c>
      <c r="B4384" t="s">
        <v>27</v>
      </c>
      <c r="C4384" t="s">
        <v>28</v>
      </c>
      <c r="H4384" s="2">
        <v>44733.493298611109</v>
      </c>
      <c r="I4384" t="s">
        <v>2681</v>
      </c>
      <c r="Z4384">
        <v>35666</v>
      </c>
    </row>
    <row r="4385" spans="1:26" x14ac:dyDescent="0.25">
      <c r="A4385" t="s">
        <v>4869</v>
      </c>
      <c r="B4385" t="s">
        <v>27</v>
      </c>
      <c r="C4385" t="s">
        <v>28</v>
      </c>
      <c r="H4385" s="2">
        <v>44732.620740740742</v>
      </c>
      <c r="I4385" t="s">
        <v>4728</v>
      </c>
      <c r="Z4385">
        <v>35646</v>
      </c>
    </row>
    <row r="4386" spans="1:26" x14ac:dyDescent="0.25">
      <c r="A4386" t="s">
        <v>4870</v>
      </c>
      <c r="B4386" t="s">
        <v>27</v>
      </c>
      <c r="C4386" t="s">
        <v>28</v>
      </c>
      <c r="H4386" s="2">
        <v>44732.526377314818</v>
      </c>
      <c r="I4386" t="s">
        <v>4728</v>
      </c>
      <c r="Z4386">
        <v>35638</v>
      </c>
    </row>
    <row r="4387" spans="1:26" x14ac:dyDescent="0.25">
      <c r="A4387" t="s">
        <v>4871</v>
      </c>
      <c r="B4387" t="s">
        <v>27</v>
      </c>
      <c r="C4387" t="s">
        <v>28</v>
      </c>
      <c r="H4387" s="2">
        <v>44731.780752314815</v>
      </c>
      <c r="I4387" t="s">
        <v>4728</v>
      </c>
      <c r="Z4387">
        <v>35612</v>
      </c>
    </row>
    <row r="4388" spans="1:26" x14ac:dyDescent="0.25">
      <c r="A4388" t="s">
        <v>4826</v>
      </c>
      <c r="B4388" t="s">
        <v>1708</v>
      </c>
      <c r="C4388" t="s">
        <v>28</v>
      </c>
      <c r="E4388" t="s">
        <v>720</v>
      </c>
      <c r="H4388" s="2">
        <v>44730.969490740739</v>
      </c>
      <c r="I4388" t="s">
        <v>4728</v>
      </c>
      <c r="K4388" t="s">
        <v>34</v>
      </c>
      <c r="L4388" t="s">
        <v>35</v>
      </c>
      <c r="M4388">
        <v>67131912</v>
      </c>
      <c r="N4388">
        <v>11953101646</v>
      </c>
      <c r="O4388" t="s">
        <v>3923</v>
      </c>
      <c r="Z4388">
        <v>35573</v>
      </c>
    </row>
    <row r="4389" spans="1:26" x14ac:dyDescent="0.25">
      <c r="A4389" t="s">
        <v>4872</v>
      </c>
      <c r="B4389" t="s">
        <v>27</v>
      </c>
      <c r="C4389" t="s">
        <v>28</v>
      </c>
      <c r="H4389" s="2">
        <v>44730.482557870368</v>
      </c>
      <c r="I4389" t="s">
        <v>2674</v>
      </c>
      <c r="Z4389">
        <v>35536</v>
      </c>
    </row>
    <row r="4390" spans="1:26" x14ac:dyDescent="0.25">
      <c r="A4390" t="s">
        <v>4447</v>
      </c>
      <c r="B4390" t="s">
        <v>27</v>
      </c>
      <c r="C4390" t="s">
        <v>28</v>
      </c>
      <c r="H4390" s="2">
        <v>44729.641481481478</v>
      </c>
      <c r="I4390" t="s">
        <v>4803</v>
      </c>
      <c r="Z4390">
        <v>35508</v>
      </c>
    </row>
    <row r="4391" spans="1:26" x14ac:dyDescent="0.25">
      <c r="A4391" t="s">
        <v>4873</v>
      </c>
      <c r="B4391" t="s">
        <v>27</v>
      </c>
      <c r="C4391" t="s">
        <v>28</v>
      </c>
      <c r="H4391" s="2">
        <v>44729.484606481485</v>
      </c>
      <c r="I4391" t="s">
        <v>4448</v>
      </c>
      <c r="Z4391">
        <v>35498</v>
      </c>
    </row>
    <row r="4392" spans="1:26" x14ac:dyDescent="0.25">
      <c r="A4392" t="s">
        <v>4874</v>
      </c>
      <c r="B4392" t="s">
        <v>2162</v>
      </c>
      <c r="C4392" t="s">
        <v>28</v>
      </c>
      <c r="E4392" t="s">
        <v>4875</v>
      </c>
      <c r="H4392" s="2">
        <v>44729.471944444442</v>
      </c>
      <c r="I4392" t="s">
        <v>4803</v>
      </c>
      <c r="K4392" t="s">
        <v>34</v>
      </c>
      <c r="L4392" t="s">
        <v>35</v>
      </c>
      <c r="M4392">
        <v>67131912</v>
      </c>
      <c r="N4392">
        <v>11953101644</v>
      </c>
      <c r="O4392" t="s">
        <v>4876</v>
      </c>
      <c r="Z4392">
        <v>35497</v>
      </c>
    </row>
    <row r="4393" spans="1:26" x14ac:dyDescent="0.25">
      <c r="A4393" t="s">
        <v>4877</v>
      </c>
      <c r="B4393" t="s">
        <v>27</v>
      </c>
      <c r="C4393" t="s">
        <v>28</v>
      </c>
      <c r="H4393" s="2">
        <v>44729.421701388892</v>
      </c>
      <c r="I4393" t="s">
        <v>2674</v>
      </c>
      <c r="Z4393">
        <v>35489</v>
      </c>
    </row>
    <row r="4394" spans="1:26" x14ac:dyDescent="0.25">
      <c r="A4394" t="s">
        <v>4878</v>
      </c>
      <c r="B4394" t="s">
        <v>27</v>
      </c>
      <c r="C4394" t="s">
        <v>28</v>
      </c>
      <c r="H4394" s="2">
        <v>44728.727731481478</v>
      </c>
      <c r="I4394" t="s">
        <v>2674</v>
      </c>
      <c r="Z4394">
        <v>35474</v>
      </c>
    </row>
    <row r="4395" spans="1:26" x14ac:dyDescent="0.25">
      <c r="A4395" t="s">
        <v>606</v>
      </c>
      <c r="B4395" t="s">
        <v>4548</v>
      </c>
      <c r="C4395" t="s">
        <v>28</v>
      </c>
      <c r="H4395" s="2">
        <v>44728.718414351853</v>
      </c>
      <c r="I4395" t="s">
        <v>2674</v>
      </c>
      <c r="K4395" t="s">
        <v>34</v>
      </c>
      <c r="L4395" t="s">
        <v>35</v>
      </c>
      <c r="M4395">
        <v>55887089</v>
      </c>
      <c r="N4395">
        <v>9754619213</v>
      </c>
      <c r="O4395" t="s">
        <v>4879</v>
      </c>
      <c r="Z4395">
        <v>35472</v>
      </c>
    </row>
    <row r="4396" spans="1:26" x14ac:dyDescent="0.25">
      <c r="A4396" t="s">
        <v>4880</v>
      </c>
      <c r="B4396" t="s">
        <v>27</v>
      </c>
      <c r="C4396" t="s">
        <v>28</v>
      </c>
      <c r="E4396" t="s">
        <v>4031</v>
      </c>
      <c r="H4396" s="2">
        <v>44728.678472222222</v>
      </c>
      <c r="I4396" t="s">
        <v>4803</v>
      </c>
      <c r="Z4396">
        <v>35470</v>
      </c>
    </row>
    <row r="4397" spans="1:26" x14ac:dyDescent="0.25">
      <c r="A4397" t="s">
        <v>4881</v>
      </c>
      <c r="B4397" t="s">
        <v>27</v>
      </c>
      <c r="C4397" t="s">
        <v>28</v>
      </c>
      <c r="H4397" s="2">
        <v>44728.572256944448</v>
      </c>
      <c r="I4397" t="s">
        <v>2674</v>
      </c>
      <c r="Z4397">
        <v>35459</v>
      </c>
    </row>
    <row r="4398" spans="1:26" x14ac:dyDescent="0.25">
      <c r="A4398" t="s">
        <v>3646</v>
      </c>
      <c r="B4398" t="s">
        <v>27</v>
      </c>
      <c r="C4398" t="s">
        <v>28</v>
      </c>
      <c r="H4398" s="2">
        <v>44728.570590277777</v>
      </c>
      <c r="I4398" t="s">
        <v>2674</v>
      </c>
      <c r="Z4398">
        <v>35458</v>
      </c>
    </row>
    <row r="4399" spans="1:26" x14ac:dyDescent="0.25">
      <c r="A4399" t="s">
        <v>4882</v>
      </c>
      <c r="B4399" t="s">
        <v>74</v>
      </c>
      <c r="C4399" t="s">
        <v>28</v>
      </c>
      <c r="E4399" t="s">
        <v>72</v>
      </c>
      <c r="G4399" t="s">
        <v>4883</v>
      </c>
      <c r="H4399" s="2">
        <v>44728.512199074074</v>
      </c>
      <c r="I4399" t="s">
        <v>4803</v>
      </c>
      <c r="Z4399">
        <v>35450</v>
      </c>
    </row>
    <row r="4400" spans="1:26" x14ac:dyDescent="0.25">
      <c r="A4400" t="s">
        <v>4884</v>
      </c>
      <c r="B4400" t="s">
        <v>27</v>
      </c>
      <c r="C4400" t="s">
        <v>28</v>
      </c>
      <c r="H4400" s="2">
        <v>44728.471898148149</v>
      </c>
      <c r="I4400" t="s">
        <v>4803</v>
      </c>
      <c r="Z4400">
        <v>35445</v>
      </c>
    </row>
    <row r="4401" spans="1:26" x14ac:dyDescent="0.25">
      <c r="A4401" t="s">
        <v>4885</v>
      </c>
      <c r="B4401" t="s">
        <v>27</v>
      </c>
      <c r="C4401" t="s">
        <v>28</v>
      </c>
      <c r="H4401" s="2">
        <v>44727.672523148147</v>
      </c>
      <c r="I4401" t="s">
        <v>2674</v>
      </c>
      <c r="Z4401">
        <v>35412</v>
      </c>
    </row>
    <row r="4402" spans="1:26" x14ac:dyDescent="0.25">
      <c r="A4402" t="s">
        <v>4831</v>
      </c>
      <c r="B4402" t="s">
        <v>27</v>
      </c>
      <c r="C4402" t="s">
        <v>28</v>
      </c>
      <c r="H4402" s="2">
        <v>44727.519756944443</v>
      </c>
      <c r="I4402" t="s">
        <v>4803</v>
      </c>
      <c r="Z4402">
        <v>35387</v>
      </c>
    </row>
    <row r="4403" spans="1:26" x14ac:dyDescent="0.25">
      <c r="A4403" t="s">
        <v>4886</v>
      </c>
      <c r="B4403" t="s">
        <v>27</v>
      </c>
      <c r="C4403" t="s">
        <v>28</v>
      </c>
      <c r="H4403" s="2">
        <v>44727.481782407405</v>
      </c>
      <c r="I4403" t="s">
        <v>2681</v>
      </c>
      <c r="Z4403">
        <v>35382</v>
      </c>
    </row>
    <row r="4404" spans="1:26" x14ac:dyDescent="0.25">
      <c r="A4404" t="s">
        <v>4887</v>
      </c>
      <c r="B4404" t="s">
        <v>27</v>
      </c>
      <c r="C4404" t="s">
        <v>28</v>
      </c>
      <c r="H4404" s="2">
        <v>44726.762407407405</v>
      </c>
      <c r="I4404" t="s">
        <v>2681</v>
      </c>
      <c r="Z4404">
        <v>35355</v>
      </c>
    </row>
    <row r="4405" spans="1:26" x14ac:dyDescent="0.25">
      <c r="A4405" t="s">
        <v>570</v>
      </c>
      <c r="C4405" t="s">
        <v>28</v>
      </c>
      <c r="E4405" t="s">
        <v>1821</v>
      </c>
      <c r="H4405" s="2">
        <v>44726.501747685186</v>
      </c>
      <c r="I4405" t="s">
        <v>4836</v>
      </c>
      <c r="Z4405">
        <v>35329</v>
      </c>
    </row>
    <row r="4406" spans="1:26" x14ac:dyDescent="0.25">
      <c r="A4406" t="s">
        <v>4888</v>
      </c>
      <c r="B4406" t="s">
        <v>27</v>
      </c>
      <c r="C4406" t="s">
        <v>28</v>
      </c>
      <c r="H4406" s="2">
        <v>44723.61546296296</v>
      </c>
      <c r="I4406" t="s">
        <v>4503</v>
      </c>
      <c r="Z4406">
        <v>35194</v>
      </c>
    </row>
    <row r="4407" spans="1:26" x14ac:dyDescent="0.25">
      <c r="A4407" t="s">
        <v>4889</v>
      </c>
      <c r="B4407" t="s">
        <v>306</v>
      </c>
      <c r="C4407" t="s">
        <v>28</v>
      </c>
      <c r="E4407" t="s">
        <v>4890</v>
      </c>
      <c r="G4407" t="s">
        <v>4891</v>
      </c>
      <c r="H4407" s="2">
        <v>44722.927800925929</v>
      </c>
      <c r="I4407" t="s">
        <v>4503</v>
      </c>
      <c r="K4407" t="s">
        <v>34</v>
      </c>
      <c r="L4407" t="s">
        <v>35</v>
      </c>
      <c r="M4407">
        <v>67131912</v>
      </c>
      <c r="N4407">
        <v>11953101696</v>
      </c>
      <c r="O4407" t="s">
        <v>461</v>
      </c>
      <c r="Z4407">
        <v>35155</v>
      </c>
    </row>
    <row r="4408" spans="1:26" x14ac:dyDescent="0.25">
      <c r="A4408" t="s">
        <v>4892</v>
      </c>
      <c r="B4408" t="s">
        <v>1708</v>
      </c>
      <c r="C4408" t="s">
        <v>28</v>
      </c>
      <c r="E4408" t="s">
        <v>626</v>
      </c>
      <c r="H4408" s="2">
        <v>44722.846273148149</v>
      </c>
      <c r="I4408" t="s">
        <v>4728</v>
      </c>
      <c r="Z4408">
        <v>35153</v>
      </c>
    </row>
    <row r="4409" spans="1:26" x14ac:dyDescent="0.25">
      <c r="A4409" t="s">
        <v>4893</v>
      </c>
      <c r="B4409" t="s">
        <v>27</v>
      </c>
      <c r="C4409" t="s">
        <v>28</v>
      </c>
      <c r="H4409" s="2">
        <v>44722.545277777775</v>
      </c>
      <c r="I4409" t="s">
        <v>2674</v>
      </c>
      <c r="Z4409">
        <v>35118</v>
      </c>
    </row>
    <row r="4410" spans="1:26" x14ac:dyDescent="0.25">
      <c r="A4410" t="s">
        <v>4894</v>
      </c>
      <c r="B4410" t="s">
        <v>27</v>
      </c>
      <c r="C4410" t="s">
        <v>28</v>
      </c>
      <c r="H4410" s="2">
        <v>44721.686643518522</v>
      </c>
      <c r="I4410" t="s">
        <v>4836</v>
      </c>
      <c r="Z4410">
        <v>35080</v>
      </c>
    </row>
    <row r="4411" spans="1:26" x14ac:dyDescent="0.25">
      <c r="A4411" t="s">
        <v>2176</v>
      </c>
      <c r="B4411" t="s">
        <v>1708</v>
      </c>
      <c r="C4411" t="s">
        <v>28</v>
      </c>
      <c r="E4411" t="s">
        <v>427</v>
      </c>
      <c r="H4411" s="2">
        <v>44720.790092592593</v>
      </c>
      <c r="I4411" t="s">
        <v>4836</v>
      </c>
      <c r="Z4411">
        <v>35041</v>
      </c>
    </row>
    <row r="4412" spans="1:26" x14ac:dyDescent="0.25">
      <c r="A4412" t="s">
        <v>4895</v>
      </c>
      <c r="B4412" t="s">
        <v>27</v>
      </c>
      <c r="C4412" t="s">
        <v>28</v>
      </c>
      <c r="H4412" s="2">
        <v>44720.589537037034</v>
      </c>
      <c r="I4412" t="s">
        <v>4728</v>
      </c>
      <c r="Z4412">
        <v>35022</v>
      </c>
    </row>
    <row r="4413" spans="1:26" x14ac:dyDescent="0.25">
      <c r="A4413" t="s">
        <v>4896</v>
      </c>
      <c r="B4413" t="s">
        <v>27</v>
      </c>
      <c r="C4413" t="s">
        <v>28</v>
      </c>
      <c r="H4413" s="2">
        <v>44720.445300925923</v>
      </c>
      <c r="I4413" t="s">
        <v>4836</v>
      </c>
      <c r="Z4413">
        <v>35005</v>
      </c>
    </row>
    <row r="4414" spans="1:26" x14ac:dyDescent="0.25">
      <c r="A4414" t="s">
        <v>4897</v>
      </c>
      <c r="B4414" t="s">
        <v>1708</v>
      </c>
      <c r="C4414" t="s">
        <v>28</v>
      </c>
      <c r="E4414" t="s">
        <v>4898</v>
      </c>
      <c r="H4414" s="2">
        <v>44719.859814814816</v>
      </c>
      <c r="I4414" t="s">
        <v>4728</v>
      </c>
      <c r="Z4414">
        <v>34994</v>
      </c>
    </row>
    <row r="4415" spans="1:26" x14ac:dyDescent="0.25">
      <c r="A4415" t="s">
        <v>4899</v>
      </c>
      <c r="B4415" t="s">
        <v>27</v>
      </c>
      <c r="C4415" t="s">
        <v>28</v>
      </c>
      <c r="H4415" s="2">
        <v>44719.623495370368</v>
      </c>
      <c r="I4415" t="s">
        <v>4728</v>
      </c>
      <c r="Z4415">
        <v>34969</v>
      </c>
    </row>
    <row r="4416" spans="1:26" x14ac:dyDescent="0.25">
      <c r="A4416" t="s">
        <v>4900</v>
      </c>
      <c r="B4416" t="s">
        <v>27</v>
      </c>
      <c r="C4416" t="s">
        <v>28</v>
      </c>
      <c r="H4416" s="2">
        <v>44719.591377314813</v>
      </c>
      <c r="I4416" t="s">
        <v>1488</v>
      </c>
      <c r="Z4416">
        <v>34965</v>
      </c>
    </row>
    <row r="4417" spans="1:26" x14ac:dyDescent="0.25">
      <c r="A4417" t="s">
        <v>4901</v>
      </c>
      <c r="B4417" t="s">
        <v>27</v>
      </c>
      <c r="C4417" t="s">
        <v>28</v>
      </c>
      <c r="H4417" s="2">
        <v>44719.447268518517</v>
      </c>
      <c r="I4417" t="s">
        <v>1488</v>
      </c>
      <c r="Z4417">
        <v>34952</v>
      </c>
    </row>
    <row r="4418" spans="1:26" x14ac:dyDescent="0.25">
      <c r="A4418" t="s">
        <v>4902</v>
      </c>
      <c r="B4418" t="s">
        <v>27</v>
      </c>
      <c r="C4418" t="s">
        <v>28</v>
      </c>
      <c r="H4418" s="2">
        <v>44718.622939814813</v>
      </c>
      <c r="I4418" t="s">
        <v>4728</v>
      </c>
      <c r="Z4418">
        <v>34930</v>
      </c>
    </row>
    <row r="4419" spans="1:26" x14ac:dyDescent="0.25">
      <c r="A4419" t="s">
        <v>4903</v>
      </c>
      <c r="B4419" t="s">
        <v>74</v>
      </c>
      <c r="C4419" t="s">
        <v>28</v>
      </c>
      <c r="E4419" t="s">
        <v>59</v>
      </c>
      <c r="G4419" t="s">
        <v>4904</v>
      </c>
      <c r="H4419" s="2">
        <v>44718.361250000002</v>
      </c>
      <c r="I4419" t="s">
        <v>4728</v>
      </c>
      <c r="Z4419">
        <v>34903</v>
      </c>
    </row>
    <row r="4420" spans="1:26" x14ac:dyDescent="0.25">
      <c r="A4420" t="s">
        <v>4905</v>
      </c>
      <c r="B4420" t="s">
        <v>27</v>
      </c>
      <c r="C4420" t="s">
        <v>28</v>
      </c>
      <c r="H4420" s="2">
        <v>44717.667928240742</v>
      </c>
      <c r="I4420" t="s">
        <v>4448</v>
      </c>
      <c r="Z4420">
        <v>34885</v>
      </c>
    </row>
    <row r="4421" spans="1:26" x14ac:dyDescent="0.25">
      <c r="A4421" t="s">
        <v>4906</v>
      </c>
      <c r="B4421" t="s">
        <v>74</v>
      </c>
      <c r="C4421" t="s">
        <v>28</v>
      </c>
      <c r="E4421" t="s">
        <v>1235</v>
      </c>
      <c r="G4421" t="s">
        <v>4907</v>
      </c>
      <c r="H4421" s="2">
        <v>44717.582187499997</v>
      </c>
      <c r="I4421" t="s">
        <v>4836</v>
      </c>
      <c r="Z4421">
        <v>34879</v>
      </c>
    </row>
    <row r="4422" spans="1:26" x14ac:dyDescent="0.25">
      <c r="A4422" t="s">
        <v>4908</v>
      </c>
      <c r="B4422" t="s">
        <v>27</v>
      </c>
      <c r="C4422" t="s">
        <v>28</v>
      </c>
      <c r="H4422" s="2">
        <v>44716.8124537037</v>
      </c>
      <c r="I4422" t="s">
        <v>4803</v>
      </c>
      <c r="Z4422">
        <v>34850</v>
      </c>
    </row>
    <row r="4423" spans="1:26" x14ac:dyDescent="0.25">
      <c r="A4423" t="s">
        <v>4909</v>
      </c>
      <c r="B4423" t="s">
        <v>27</v>
      </c>
      <c r="C4423" t="s">
        <v>28</v>
      </c>
      <c r="H4423" s="2">
        <v>44715.489027777781</v>
      </c>
      <c r="I4423" t="s">
        <v>2113</v>
      </c>
      <c r="Z4423">
        <v>34770</v>
      </c>
    </row>
    <row r="4424" spans="1:26" x14ac:dyDescent="0.25">
      <c r="A4424" t="s">
        <v>4910</v>
      </c>
      <c r="B4424" t="s">
        <v>27</v>
      </c>
      <c r="C4424" t="s">
        <v>28</v>
      </c>
      <c r="H4424" s="2">
        <v>44715.401250000003</v>
      </c>
      <c r="I4424" t="s">
        <v>2674</v>
      </c>
      <c r="Z4424">
        <v>34754</v>
      </c>
    </row>
    <row r="4425" spans="1:26" x14ac:dyDescent="0.25">
      <c r="A4425" t="s">
        <v>4911</v>
      </c>
      <c r="B4425" t="s">
        <v>1708</v>
      </c>
      <c r="C4425" t="s">
        <v>28</v>
      </c>
      <c r="E4425" t="s">
        <v>1732</v>
      </c>
      <c r="H4425" s="2">
        <v>44715.328923611109</v>
      </c>
      <c r="I4425" t="s">
        <v>2674</v>
      </c>
      <c r="Z4425">
        <v>34747</v>
      </c>
    </row>
    <row r="4426" spans="1:26" x14ac:dyDescent="0.25">
      <c r="A4426" t="s">
        <v>4912</v>
      </c>
      <c r="B4426" t="s">
        <v>27</v>
      </c>
      <c r="C4426" t="s">
        <v>28</v>
      </c>
      <c r="H4426" s="2">
        <v>44714.660949074074</v>
      </c>
      <c r="I4426" t="s">
        <v>2681</v>
      </c>
      <c r="Z4426">
        <v>34726</v>
      </c>
    </row>
    <row r="4427" spans="1:26" x14ac:dyDescent="0.25">
      <c r="A4427" t="s">
        <v>4913</v>
      </c>
      <c r="B4427" t="s">
        <v>27</v>
      </c>
      <c r="C4427" t="s">
        <v>28</v>
      </c>
      <c r="H4427" s="2">
        <v>44714.641099537039</v>
      </c>
      <c r="I4427" t="s">
        <v>2681</v>
      </c>
      <c r="Z4427">
        <v>34722</v>
      </c>
    </row>
    <row r="4428" spans="1:26" x14ac:dyDescent="0.25">
      <c r="A4428" t="s">
        <v>4914</v>
      </c>
      <c r="B4428" t="s">
        <v>27</v>
      </c>
      <c r="C4428" t="s">
        <v>28</v>
      </c>
      <c r="H4428" s="2">
        <v>44714.472291666665</v>
      </c>
      <c r="I4428" t="s">
        <v>4728</v>
      </c>
      <c r="Z4428">
        <v>34698</v>
      </c>
    </row>
    <row r="4429" spans="1:26" x14ac:dyDescent="0.25">
      <c r="A4429" t="s">
        <v>4915</v>
      </c>
      <c r="B4429" t="s">
        <v>27</v>
      </c>
      <c r="C4429" t="s">
        <v>28</v>
      </c>
      <c r="H4429" s="2">
        <v>44713.638333333336</v>
      </c>
      <c r="I4429" t="s">
        <v>4728</v>
      </c>
      <c r="Z4429">
        <v>34665</v>
      </c>
    </row>
    <row r="4430" spans="1:26" x14ac:dyDescent="0.25">
      <c r="A4430" t="s">
        <v>4916</v>
      </c>
      <c r="B4430" t="s">
        <v>27</v>
      </c>
      <c r="C4430" t="s">
        <v>28</v>
      </c>
      <c r="H4430" s="2">
        <v>44712.651435185187</v>
      </c>
      <c r="I4430" t="s">
        <v>4823</v>
      </c>
      <c r="Z4430">
        <v>34600</v>
      </c>
    </row>
    <row r="4431" spans="1:26" x14ac:dyDescent="0.25">
      <c r="A4431" t="s">
        <v>4917</v>
      </c>
      <c r="B4431" t="s">
        <v>27</v>
      </c>
      <c r="C4431" t="s">
        <v>28</v>
      </c>
      <c r="H4431" s="2">
        <v>44712.519120370373</v>
      </c>
      <c r="I4431" t="s">
        <v>4728</v>
      </c>
      <c r="Z4431">
        <v>34574</v>
      </c>
    </row>
    <row r="4432" spans="1:26" x14ac:dyDescent="0.25">
      <c r="A4432" t="s">
        <v>4918</v>
      </c>
      <c r="B4432" t="s">
        <v>27</v>
      </c>
      <c r="C4432" t="s">
        <v>28</v>
      </c>
      <c r="H4432" s="2">
        <v>44712.379594907405</v>
      </c>
      <c r="I4432" t="s">
        <v>4728</v>
      </c>
      <c r="Z4432">
        <v>34544</v>
      </c>
    </row>
    <row r="4433" spans="1:26" x14ac:dyDescent="0.25">
      <c r="A4433" t="s">
        <v>4570</v>
      </c>
      <c r="B4433" t="s">
        <v>27</v>
      </c>
      <c r="C4433" t="s">
        <v>28</v>
      </c>
      <c r="H4433" s="2">
        <v>44711.565486111111</v>
      </c>
      <c r="I4433" t="s">
        <v>2113</v>
      </c>
      <c r="Z4433">
        <v>34502</v>
      </c>
    </row>
    <row r="4434" spans="1:26" x14ac:dyDescent="0.25">
      <c r="A4434" t="s">
        <v>4919</v>
      </c>
      <c r="B4434" t="s">
        <v>27</v>
      </c>
      <c r="C4434" t="s">
        <v>28</v>
      </c>
      <c r="H4434" s="2">
        <v>44710.697465277779</v>
      </c>
      <c r="I4434" t="s">
        <v>4836</v>
      </c>
      <c r="Z4434">
        <v>34459</v>
      </c>
    </row>
    <row r="4435" spans="1:26" x14ac:dyDescent="0.25">
      <c r="A4435" t="s">
        <v>4920</v>
      </c>
      <c r="B4435" t="s">
        <v>27</v>
      </c>
      <c r="C4435" t="s">
        <v>28</v>
      </c>
      <c r="H4435" s="2">
        <v>44710.515081018515</v>
      </c>
      <c r="I4435" t="s">
        <v>2674</v>
      </c>
      <c r="Z4435">
        <v>34447</v>
      </c>
    </row>
    <row r="4436" spans="1:26" x14ac:dyDescent="0.25">
      <c r="A4436" t="s">
        <v>4921</v>
      </c>
      <c r="B4436" t="s">
        <v>27</v>
      </c>
      <c r="C4436" t="s">
        <v>185</v>
      </c>
      <c r="H4436" s="2">
        <v>44708.44390046296</v>
      </c>
      <c r="I4436" t="s">
        <v>4728</v>
      </c>
      <c r="Z4436">
        <v>34359</v>
      </c>
    </row>
    <row r="4437" spans="1:26" x14ac:dyDescent="0.25">
      <c r="A4437" t="s">
        <v>4922</v>
      </c>
      <c r="B4437" t="s">
        <v>27</v>
      </c>
      <c r="C4437" t="s">
        <v>28</v>
      </c>
      <c r="H4437" s="2">
        <v>44708.432766203703</v>
      </c>
      <c r="I4437" t="s">
        <v>4728</v>
      </c>
      <c r="Z4437">
        <v>34357</v>
      </c>
    </row>
    <row r="4438" spans="1:26" x14ac:dyDescent="0.25">
      <c r="A4438" t="s">
        <v>4923</v>
      </c>
      <c r="B4438" t="s">
        <v>27</v>
      </c>
      <c r="C4438" t="s">
        <v>28</v>
      </c>
      <c r="H4438" s="2">
        <v>44707.695405092592</v>
      </c>
      <c r="I4438" t="s">
        <v>4728</v>
      </c>
      <c r="Z4438">
        <v>34328</v>
      </c>
    </row>
    <row r="4439" spans="1:26" x14ac:dyDescent="0.25">
      <c r="A4439" t="s">
        <v>4924</v>
      </c>
      <c r="B4439" t="s">
        <v>27</v>
      </c>
      <c r="C4439" t="s">
        <v>28</v>
      </c>
      <c r="H4439" s="2">
        <v>44706.575046296297</v>
      </c>
      <c r="I4439" t="s">
        <v>4728</v>
      </c>
      <c r="Z4439">
        <v>34253</v>
      </c>
    </row>
    <row r="4440" spans="1:26" x14ac:dyDescent="0.25">
      <c r="A4440" t="s">
        <v>4889</v>
      </c>
      <c r="B4440" t="s">
        <v>306</v>
      </c>
      <c r="C4440" t="s">
        <v>28</v>
      </c>
      <c r="E4440" t="s">
        <v>101</v>
      </c>
      <c r="G4440" t="s">
        <v>4925</v>
      </c>
      <c r="H4440" s="2">
        <v>44706.401458333334</v>
      </c>
      <c r="I4440" t="s">
        <v>4728</v>
      </c>
      <c r="K4440" t="s">
        <v>34</v>
      </c>
      <c r="L4440" t="s">
        <v>35</v>
      </c>
      <c r="M4440">
        <v>67131912</v>
      </c>
      <c r="N4440">
        <v>11953101645</v>
      </c>
      <c r="O4440" t="s">
        <v>3465</v>
      </c>
      <c r="Z4440">
        <v>34233</v>
      </c>
    </row>
    <row r="4441" spans="1:26" x14ac:dyDescent="0.25">
      <c r="A4441" t="s">
        <v>4926</v>
      </c>
      <c r="B4441" t="s">
        <v>27</v>
      </c>
      <c r="C4441" t="s">
        <v>28</v>
      </c>
      <c r="H4441" s="2">
        <v>44705.700115740743</v>
      </c>
      <c r="I4441" t="s">
        <v>2674</v>
      </c>
      <c r="Z4441">
        <v>34205</v>
      </c>
    </row>
    <row r="4442" spans="1:26" x14ac:dyDescent="0.25">
      <c r="A4442" t="s">
        <v>4927</v>
      </c>
      <c r="B4442" t="s">
        <v>27</v>
      </c>
      <c r="C4442" t="s">
        <v>28</v>
      </c>
      <c r="H4442" s="2">
        <v>44704.798773148148</v>
      </c>
      <c r="I4442" t="s">
        <v>2674</v>
      </c>
      <c r="Z4442">
        <v>34163</v>
      </c>
    </row>
    <row r="4443" spans="1:26" x14ac:dyDescent="0.25">
      <c r="A4443" t="s">
        <v>4928</v>
      </c>
      <c r="B4443" t="s">
        <v>27</v>
      </c>
      <c r="C4443" t="s">
        <v>28</v>
      </c>
      <c r="H4443" s="2">
        <v>44704.552222222221</v>
      </c>
      <c r="I4443" t="s">
        <v>2674</v>
      </c>
      <c r="Z4443">
        <v>34142</v>
      </c>
    </row>
    <row r="4444" spans="1:26" x14ac:dyDescent="0.25">
      <c r="A4444" t="s">
        <v>4929</v>
      </c>
      <c r="B4444" t="s">
        <v>27</v>
      </c>
      <c r="C4444" t="s">
        <v>28</v>
      </c>
      <c r="H4444" s="2">
        <v>44704.379664351851</v>
      </c>
      <c r="I4444" t="s">
        <v>2674</v>
      </c>
      <c r="Z4444">
        <v>34125</v>
      </c>
    </row>
    <row r="4445" spans="1:26" x14ac:dyDescent="0.25">
      <c r="A4445" t="s">
        <v>4930</v>
      </c>
      <c r="B4445" t="s">
        <v>74</v>
      </c>
      <c r="C4445" t="s">
        <v>28</v>
      </c>
      <c r="E4445" t="s">
        <v>3039</v>
      </c>
      <c r="G4445" t="s">
        <v>4931</v>
      </c>
      <c r="H4445" s="2">
        <v>44702.52616898148</v>
      </c>
      <c r="I4445" t="s">
        <v>4836</v>
      </c>
      <c r="K4445" t="s">
        <v>34</v>
      </c>
      <c r="L4445" t="s">
        <v>35</v>
      </c>
      <c r="M4445">
        <v>55887089</v>
      </c>
      <c r="N4445">
        <v>9754619211</v>
      </c>
      <c r="O4445" t="s">
        <v>3169</v>
      </c>
      <c r="Z4445">
        <v>34059</v>
      </c>
    </row>
    <row r="4446" spans="1:26" x14ac:dyDescent="0.25">
      <c r="A4446" t="s">
        <v>4932</v>
      </c>
      <c r="B4446" t="s">
        <v>1993</v>
      </c>
      <c r="C4446" t="s">
        <v>28</v>
      </c>
      <c r="E4446" t="s">
        <v>4933</v>
      </c>
      <c r="H4446" s="2">
        <v>44701.932314814818</v>
      </c>
      <c r="I4446" t="s">
        <v>4836</v>
      </c>
      <c r="Z4446">
        <v>34043</v>
      </c>
    </row>
    <row r="4447" spans="1:26" x14ac:dyDescent="0.25">
      <c r="A4447" t="s">
        <v>4934</v>
      </c>
      <c r="B4447" t="s">
        <v>27</v>
      </c>
      <c r="C4447" t="s">
        <v>28</v>
      </c>
      <c r="H4447" s="2">
        <v>44701.682395833333</v>
      </c>
      <c r="I4447" t="s">
        <v>4728</v>
      </c>
      <c r="Z4447">
        <v>34026</v>
      </c>
    </row>
    <row r="4448" spans="1:26" x14ac:dyDescent="0.25">
      <c r="A4448" t="s">
        <v>4935</v>
      </c>
      <c r="B4448" t="s">
        <v>27</v>
      </c>
      <c r="C4448" t="s">
        <v>28</v>
      </c>
      <c r="H4448" s="2">
        <v>44701.470578703702</v>
      </c>
      <c r="I4448" t="s">
        <v>4728</v>
      </c>
      <c r="Z4448">
        <v>34003</v>
      </c>
    </row>
    <row r="4449" spans="1:26" x14ac:dyDescent="0.25">
      <c r="A4449" t="s">
        <v>3536</v>
      </c>
      <c r="B4449" t="s">
        <v>27</v>
      </c>
      <c r="C4449" t="s">
        <v>28</v>
      </c>
      <c r="H4449" s="2">
        <v>44699.446805555555</v>
      </c>
      <c r="I4449" t="s">
        <v>2674</v>
      </c>
      <c r="Z4449">
        <v>33905</v>
      </c>
    </row>
    <row r="4450" spans="1:26" x14ac:dyDescent="0.25">
      <c r="A4450" t="s">
        <v>4926</v>
      </c>
      <c r="B4450" t="s">
        <v>27</v>
      </c>
      <c r="C4450" t="s">
        <v>28</v>
      </c>
      <c r="H4450" s="2">
        <v>44698.818032407406</v>
      </c>
      <c r="I4450" t="s">
        <v>2674</v>
      </c>
      <c r="Z4450">
        <v>33888</v>
      </c>
    </row>
    <row r="4451" spans="1:26" x14ac:dyDescent="0.25">
      <c r="A4451" t="s">
        <v>4936</v>
      </c>
      <c r="B4451" t="s">
        <v>1708</v>
      </c>
      <c r="C4451" t="s">
        <v>28</v>
      </c>
      <c r="E4451" t="s">
        <v>101</v>
      </c>
      <c r="G4451" t="s">
        <v>4937</v>
      </c>
      <c r="H4451" s="2">
        <v>44698.463738425926</v>
      </c>
      <c r="I4451" t="s">
        <v>4803</v>
      </c>
      <c r="Z4451">
        <v>33855</v>
      </c>
    </row>
    <row r="4452" spans="1:26" x14ac:dyDescent="0.25">
      <c r="A4452" t="s">
        <v>4938</v>
      </c>
      <c r="B4452" t="s">
        <v>27</v>
      </c>
      <c r="C4452" t="s">
        <v>28</v>
      </c>
      <c r="H4452" s="2">
        <v>44698.400150462963</v>
      </c>
      <c r="I4452" t="s">
        <v>2674</v>
      </c>
      <c r="Z4452">
        <v>33845</v>
      </c>
    </row>
    <row r="4453" spans="1:26" x14ac:dyDescent="0.25">
      <c r="A4453" t="s">
        <v>2929</v>
      </c>
      <c r="B4453" t="s">
        <v>27</v>
      </c>
      <c r="C4453" t="s">
        <v>28</v>
      </c>
      <c r="H4453" s="2">
        <v>44697.752187500002</v>
      </c>
      <c r="I4453" t="s">
        <v>2674</v>
      </c>
      <c r="Z4453">
        <v>33835</v>
      </c>
    </row>
    <row r="4454" spans="1:26" x14ac:dyDescent="0.25">
      <c r="A4454" t="s">
        <v>4939</v>
      </c>
      <c r="B4454" t="s">
        <v>27</v>
      </c>
      <c r="C4454" t="s">
        <v>28</v>
      </c>
      <c r="H4454" s="2">
        <v>44697.665370370371</v>
      </c>
      <c r="I4454" t="s">
        <v>2674</v>
      </c>
      <c r="Z4454">
        <v>33828</v>
      </c>
    </row>
    <row r="4455" spans="1:26" x14ac:dyDescent="0.25">
      <c r="A4455" t="s">
        <v>4940</v>
      </c>
      <c r="B4455" t="s">
        <v>27</v>
      </c>
      <c r="C4455" t="s">
        <v>28</v>
      </c>
      <c r="H4455" s="2">
        <v>44697.376712962963</v>
      </c>
      <c r="I4455" t="s">
        <v>4803</v>
      </c>
      <c r="Z4455">
        <v>33799</v>
      </c>
    </row>
    <row r="4456" spans="1:26" x14ac:dyDescent="0.25">
      <c r="A4456" t="s">
        <v>4941</v>
      </c>
      <c r="B4456" t="s">
        <v>27</v>
      </c>
      <c r="C4456" t="s">
        <v>28</v>
      </c>
      <c r="H4456" s="2">
        <v>44696.484212962961</v>
      </c>
      <c r="I4456" t="s">
        <v>4836</v>
      </c>
      <c r="Z4456">
        <v>33768</v>
      </c>
    </row>
    <row r="4457" spans="1:26" x14ac:dyDescent="0.25">
      <c r="A4457" t="s">
        <v>4942</v>
      </c>
      <c r="B4457" t="s">
        <v>27</v>
      </c>
      <c r="C4457" t="s">
        <v>28</v>
      </c>
      <c r="H4457" s="2">
        <v>44695.750798611109</v>
      </c>
      <c r="I4457" t="s">
        <v>4728</v>
      </c>
      <c r="Z4457">
        <v>33748</v>
      </c>
    </row>
    <row r="4458" spans="1:26" x14ac:dyDescent="0.25">
      <c r="A4458" t="s">
        <v>4687</v>
      </c>
      <c r="C4458" t="s">
        <v>28</v>
      </c>
      <c r="E4458" t="s">
        <v>1215</v>
      </c>
      <c r="H4458" s="2">
        <v>44694.897465277776</v>
      </c>
      <c r="I4458" t="s">
        <v>4728</v>
      </c>
      <c r="Z4458">
        <v>33706</v>
      </c>
    </row>
    <row r="4459" spans="1:26" x14ac:dyDescent="0.25">
      <c r="A4459" t="s">
        <v>4943</v>
      </c>
      <c r="B4459" t="s">
        <v>27</v>
      </c>
      <c r="C4459" t="s">
        <v>28</v>
      </c>
      <c r="H4459" s="2">
        <v>44694.65115740741</v>
      </c>
      <c r="I4459" t="s">
        <v>4448</v>
      </c>
      <c r="Z4459">
        <v>33686</v>
      </c>
    </row>
    <row r="4460" spans="1:26" x14ac:dyDescent="0.25">
      <c r="A4460" t="s">
        <v>4742</v>
      </c>
      <c r="B4460" t="s">
        <v>27</v>
      </c>
      <c r="C4460" t="s">
        <v>28</v>
      </c>
      <c r="H4460" s="2">
        <v>44694.638437499998</v>
      </c>
      <c r="I4460" t="s">
        <v>4836</v>
      </c>
      <c r="Z4460">
        <v>33684</v>
      </c>
    </row>
    <row r="4461" spans="1:26" x14ac:dyDescent="0.25">
      <c r="A4461" t="s">
        <v>4944</v>
      </c>
      <c r="B4461" t="s">
        <v>74</v>
      </c>
      <c r="C4461" t="s">
        <v>28</v>
      </c>
      <c r="E4461" t="s">
        <v>198</v>
      </c>
      <c r="G4461" t="s">
        <v>4164</v>
      </c>
      <c r="H4461" s="2">
        <v>44693.529097222221</v>
      </c>
      <c r="I4461" t="s">
        <v>4803</v>
      </c>
      <c r="Z4461">
        <v>33643</v>
      </c>
    </row>
    <row r="4462" spans="1:26" x14ac:dyDescent="0.25">
      <c r="A4462" t="s">
        <v>4945</v>
      </c>
      <c r="B4462" t="s">
        <v>1993</v>
      </c>
      <c r="C4462" t="s">
        <v>28</v>
      </c>
      <c r="E4462" t="s">
        <v>61</v>
      </c>
      <c r="G4462" t="s">
        <v>1382</v>
      </c>
      <c r="H4462" s="2">
        <v>44692.772175925929</v>
      </c>
      <c r="I4462" t="s">
        <v>4803</v>
      </c>
      <c r="Z4462">
        <v>33629</v>
      </c>
    </row>
    <row r="4463" spans="1:26" x14ac:dyDescent="0.25">
      <c r="A4463" t="s">
        <v>4946</v>
      </c>
      <c r="B4463" t="s">
        <v>27</v>
      </c>
      <c r="C4463" t="s">
        <v>185</v>
      </c>
      <c r="H4463" s="2">
        <v>44692.497939814813</v>
      </c>
      <c r="I4463" t="s">
        <v>1488</v>
      </c>
      <c r="Z4463">
        <v>33609</v>
      </c>
    </row>
    <row r="4464" spans="1:26" x14ac:dyDescent="0.25">
      <c r="A4464" t="s">
        <v>4947</v>
      </c>
      <c r="B4464" t="s">
        <v>27</v>
      </c>
      <c r="C4464" t="s">
        <v>28</v>
      </c>
      <c r="H4464" s="2">
        <v>44691.741365740738</v>
      </c>
      <c r="I4464" t="s">
        <v>2674</v>
      </c>
      <c r="Z4464">
        <v>33595</v>
      </c>
    </row>
    <row r="4465" spans="1:26" x14ac:dyDescent="0.25">
      <c r="A4465" t="s">
        <v>4948</v>
      </c>
      <c r="B4465" t="s">
        <v>27</v>
      </c>
      <c r="C4465" t="s">
        <v>28</v>
      </c>
      <c r="H4465" s="2">
        <v>44688.083935185183</v>
      </c>
      <c r="I4465" t="s">
        <v>4803</v>
      </c>
      <c r="Z4465">
        <v>33429</v>
      </c>
    </row>
    <row r="4466" spans="1:26" x14ac:dyDescent="0.25">
      <c r="A4466" t="s">
        <v>4949</v>
      </c>
      <c r="B4466" t="s">
        <v>27</v>
      </c>
      <c r="C4466" t="s">
        <v>28</v>
      </c>
      <c r="H4466" s="2">
        <v>44687.792858796296</v>
      </c>
      <c r="I4466" t="s">
        <v>2674</v>
      </c>
      <c r="Z4466">
        <v>33420</v>
      </c>
    </row>
    <row r="4467" spans="1:26" x14ac:dyDescent="0.25">
      <c r="A4467" t="s">
        <v>4950</v>
      </c>
      <c r="B4467" t="s">
        <v>27</v>
      </c>
      <c r="C4467" t="s">
        <v>28</v>
      </c>
      <c r="H4467" s="2">
        <v>44686.552905092591</v>
      </c>
      <c r="I4467" t="s">
        <v>4803</v>
      </c>
      <c r="Z4467">
        <v>33334</v>
      </c>
    </row>
    <row r="4468" spans="1:26" x14ac:dyDescent="0.25">
      <c r="A4468" t="s">
        <v>4951</v>
      </c>
      <c r="B4468" t="s">
        <v>27</v>
      </c>
      <c r="C4468" t="s">
        <v>28</v>
      </c>
      <c r="H4468" s="2">
        <v>44685.75277777778</v>
      </c>
      <c r="I4468" t="s">
        <v>4803</v>
      </c>
      <c r="Z4468">
        <v>33293</v>
      </c>
    </row>
    <row r="4469" spans="1:26" x14ac:dyDescent="0.25">
      <c r="A4469" t="s">
        <v>4952</v>
      </c>
      <c r="B4469" t="s">
        <v>27</v>
      </c>
      <c r="C4469" t="s">
        <v>28</v>
      </c>
      <c r="H4469" s="2">
        <v>44685.751527777778</v>
      </c>
      <c r="I4469" t="s">
        <v>4803</v>
      </c>
      <c r="Z4469">
        <v>33292</v>
      </c>
    </row>
    <row r="4470" spans="1:26" x14ac:dyDescent="0.25">
      <c r="A4470" t="s">
        <v>4953</v>
      </c>
      <c r="B4470" t="s">
        <v>27</v>
      </c>
      <c r="C4470" t="s">
        <v>28</v>
      </c>
      <c r="H4470" s="2">
        <v>44685.609212962961</v>
      </c>
      <c r="I4470" t="s">
        <v>3864</v>
      </c>
      <c r="Z4470">
        <v>33278</v>
      </c>
    </row>
    <row r="4471" spans="1:26" x14ac:dyDescent="0.25">
      <c r="A4471" t="s">
        <v>4954</v>
      </c>
      <c r="B4471" t="s">
        <v>27</v>
      </c>
      <c r="C4471" t="s">
        <v>28</v>
      </c>
      <c r="H4471" s="2">
        <v>44685.533784722225</v>
      </c>
      <c r="I4471" t="s">
        <v>1488</v>
      </c>
      <c r="Z4471">
        <v>33265</v>
      </c>
    </row>
    <row r="4472" spans="1:26" x14ac:dyDescent="0.25">
      <c r="A4472" t="s">
        <v>4946</v>
      </c>
      <c r="B4472" t="s">
        <v>27</v>
      </c>
      <c r="C4472" t="s">
        <v>28</v>
      </c>
      <c r="H4472" s="2">
        <v>44685.485659722224</v>
      </c>
      <c r="I4472" t="s">
        <v>2674</v>
      </c>
      <c r="Z4472">
        <v>33250</v>
      </c>
    </row>
    <row r="4473" spans="1:26" x14ac:dyDescent="0.25">
      <c r="A4473" t="s">
        <v>3646</v>
      </c>
      <c r="B4473" t="s">
        <v>27</v>
      </c>
      <c r="C4473" t="s">
        <v>28</v>
      </c>
      <c r="H4473" s="2">
        <v>44685.477986111109</v>
      </c>
      <c r="I4473" t="s">
        <v>4803</v>
      </c>
      <c r="Z4473">
        <v>33247</v>
      </c>
    </row>
    <row r="4474" spans="1:26" x14ac:dyDescent="0.25">
      <c r="A4474" t="s">
        <v>4955</v>
      </c>
      <c r="B4474" t="s">
        <v>27</v>
      </c>
      <c r="C4474" t="s">
        <v>28</v>
      </c>
      <c r="H4474" s="2">
        <v>44685.381574074076</v>
      </c>
      <c r="I4474" t="s">
        <v>2674</v>
      </c>
      <c r="Z4474">
        <v>33232</v>
      </c>
    </row>
    <row r="4475" spans="1:26" x14ac:dyDescent="0.25">
      <c r="A4475" t="s">
        <v>4956</v>
      </c>
      <c r="B4475" t="s">
        <v>27</v>
      </c>
      <c r="C4475" t="s">
        <v>28</v>
      </c>
      <c r="H4475" s="2">
        <v>44682.520682870374</v>
      </c>
      <c r="I4475" t="s">
        <v>4836</v>
      </c>
      <c r="Z4475">
        <v>33048</v>
      </c>
    </row>
    <row r="4476" spans="1:26" x14ac:dyDescent="0.25">
      <c r="A4476" t="s">
        <v>4957</v>
      </c>
      <c r="B4476" t="s">
        <v>27</v>
      </c>
      <c r="C4476" t="s">
        <v>28</v>
      </c>
      <c r="H4476" s="2">
        <v>44680.860983796294</v>
      </c>
      <c r="I4476" t="s">
        <v>4803</v>
      </c>
      <c r="Z4476">
        <v>32958</v>
      </c>
    </row>
    <row r="4477" spans="1:26" x14ac:dyDescent="0.25">
      <c r="A4477" t="s">
        <v>4958</v>
      </c>
      <c r="B4477" t="s">
        <v>27</v>
      </c>
      <c r="C4477" t="s">
        <v>28</v>
      </c>
      <c r="H4477" s="2">
        <v>44680.59584490741</v>
      </c>
      <c r="I4477" t="s">
        <v>2674</v>
      </c>
      <c r="Z4477">
        <v>32924</v>
      </c>
    </row>
    <row r="4478" spans="1:26" x14ac:dyDescent="0.25">
      <c r="A4478" t="s">
        <v>4959</v>
      </c>
      <c r="B4478" t="s">
        <v>74</v>
      </c>
      <c r="C4478" t="s">
        <v>28</v>
      </c>
      <c r="E4478" t="s">
        <v>4960</v>
      </c>
      <c r="G4478" t="s">
        <v>4961</v>
      </c>
      <c r="H4478" s="2">
        <v>44680.402222222219</v>
      </c>
      <c r="I4478" t="s">
        <v>4803</v>
      </c>
      <c r="Z4478">
        <v>32896</v>
      </c>
    </row>
    <row r="4479" spans="1:26" x14ac:dyDescent="0.25">
      <c r="A4479" t="s">
        <v>4742</v>
      </c>
      <c r="B4479" t="s">
        <v>27</v>
      </c>
      <c r="C4479" t="s">
        <v>28</v>
      </c>
      <c r="H4479" s="2">
        <v>44679.675393518519</v>
      </c>
      <c r="I4479" t="s">
        <v>4803</v>
      </c>
      <c r="Z4479">
        <v>32860</v>
      </c>
    </row>
    <row r="4480" spans="1:26" x14ac:dyDescent="0.25">
      <c r="A4480" t="s">
        <v>4962</v>
      </c>
      <c r="B4480" t="s">
        <v>27</v>
      </c>
      <c r="C4480" t="s">
        <v>28</v>
      </c>
      <c r="H4480" s="2">
        <v>44679.509884259256</v>
      </c>
      <c r="I4480" t="s">
        <v>2113</v>
      </c>
      <c r="Z4480">
        <v>32843</v>
      </c>
    </row>
    <row r="4481" spans="1:26" x14ac:dyDescent="0.25">
      <c r="A4481" t="s">
        <v>4963</v>
      </c>
      <c r="B4481" t="s">
        <v>27</v>
      </c>
      <c r="C4481" t="s">
        <v>28</v>
      </c>
      <c r="H4481" s="2">
        <v>44678.775150462963</v>
      </c>
      <c r="I4481" t="s">
        <v>4728</v>
      </c>
      <c r="Z4481">
        <v>32801</v>
      </c>
    </row>
    <row r="4482" spans="1:26" x14ac:dyDescent="0.25">
      <c r="A4482" t="s">
        <v>4964</v>
      </c>
      <c r="B4482" t="s">
        <v>27</v>
      </c>
      <c r="C4482" t="s">
        <v>28</v>
      </c>
      <c r="H4482" s="2">
        <v>44678.762835648151</v>
      </c>
      <c r="I4482" t="s">
        <v>3864</v>
      </c>
      <c r="Z4482">
        <v>32797</v>
      </c>
    </row>
    <row r="4483" spans="1:26" x14ac:dyDescent="0.25">
      <c r="A4483" t="s">
        <v>4965</v>
      </c>
      <c r="B4483" t="s">
        <v>27</v>
      </c>
      <c r="C4483" t="s">
        <v>2219</v>
      </c>
      <c r="H4483" s="2">
        <v>44677.458148148151</v>
      </c>
      <c r="I4483" t="s">
        <v>4728</v>
      </c>
      <c r="Z4483">
        <v>32691</v>
      </c>
    </row>
    <row r="4484" spans="1:26" x14ac:dyDescent="0.25">
      <c r="A4484" t="s">
        <v>4966</v>
      </c>
      <c r="B4484" t="s">
        <v>27</v>
      </c>
      <c r="C4484" t="s">
        <v>28</v>
      </c>
      <c r="H4484" s="2">
        <v>44677.430798611109</v>
      </c>
      <c r="I4484" t="s">
        <v>4728</v>
      </c>
      <c r="Z4484">
        <v>32680</v>
      </c>
    </row>
    <row r="4485" spans="1:26" x14ac:dyDescent="0.25">
      <c r="A4485" t="s">
        <v>4720</v>
      </c>
      <c r="C4485" t="s">
        <v>28</v>
      </c>
      <c r="E4485" t="s">
        <v>61</v>
      </c>
      <c r="H4485" s="2">
        <v>44677.410682870373</v>
      </c>
      <c r="I4485" t="s">
        <v>4836</v>
      </c>
      <c r="Z4485">
        <v>32671</v>
      </c>
    </row>
    <row r="4486" spans="1:26" x14ac:dyDescent="0.25">
      <c r="A4486" t="s">
        <v>4967</v>
      </c>
      <c r="B4486" t="s">
        <v>74</v>
      </c>
      <c r="C4486" t="s">
        <v>28</v>
      </c>
      <c r="E4486" t="s">
        <v>290</v>
      </c>
      <c r="G4486" t="s">
        <v>4968</v>
      </c>
      <c r="H4486" s="2">
        <v>44676.999097222222</v>
      </c>
      <c r="I4486" t="s">
        <v>4728</v>
      </c>
      <c r="Z4486">
        <v>32664</v>
      </c>
    </row>
    <row r="4487" spans="1:26" x14ac:dyDescent="0.25">
      <c r="A4487" t="s">
        <v>4969</v>
      </c>
      <c r="B4487" t="s">
        <v>27</v>
      </c>
      <c r="C4487" t="s">
        <v>28</v>
      </c>
      <c r="H4487" s="2">
        <v>44675.908425925925</v>
      </c>
      <c r="I4487" t="s">
        <v>2674</v>
      </c>
      <c r="Z4487">
        <v>32563</v>
      </c>
    </row>
    <row r="4488" spans="1:26" x14ac:dyDescent="0.25">
      <c r="A4488" t="s">
        <v>4970</v>
      </c>
      <c r="B4488" t="s">
        <v>27</v>
      </c>
      <c r="C4488" t="s">
        <v>28</v>
      </c>
      <c r="H4488" s="2">
        <v>44675.632210648146</v>
      </c>
      <c r="I4488" t="s">
        <v>4803</v>
      </c>
      <c r="Z4488">
        <v>32542</v>
      </c>
    </row>
    <row r="4489" spans="1:26" x14ac:dyDescent="0.25">
      <c r="A4489" t="s">
        <v>4971</v>
      </c>
      <c r="B4489" t="s">
        <v>27</v>
      </c>
      <c r="C4489" t="s">
        <v>28</v>
      </c>
      <c r="H4489" s="2">
        <v>44675.537256944444</v>
      </c>
      <c r="I4489" t="s">
        <v>2674</v>
      </c>
      <c r="Z4489">
        <v>32531</v>
      </c>
    </row>
    <row r="4490" spans="1:26" x14ac:dyDescent="0.25">
      <c r="A4490" t="s">
        <v>4972</v>
      </c>
      <c r="B4490" t="s">
        <v>1993</v>
      </c>
      <c r="C4490" t="s">
        <v>28</v>
      </c>
      <c r="E4490" t="s">
        <v>304</v>
      </c>
      <c r="H4490" s="2">
        <v>44674.590011574073</v>
      </c>
      <c r="I4490" t="s">
        <v>4803</v>
      </c>
      <c r="Z4490">
        <v>32462</v>
      </c>
    </row>
    <row r="4491" spans="1:26" x14ac:dyDescent="0.25">
      <c r="A4491" t="s">
        <v>4973</v>
      </c>
      <c r="B4491" t="s">
        <v>27</v>
      </c>
      <c r="C4491" t="s">
        <v>28</v>
      </c>
      <c r="H4491" s="2">
        <v>44674.577604166669</v>
      </c>
      <c r="I4491" t="s">
        <v>4803</v>
      </c>
      <c r="Z4491">
        <v>32458</v>
      </c>
    </row>
    <row r="4492" spans="1:26" x14ac:dyDescent="0.25">
      <c r="A4492" t="s">
        <v>4974</v>
      </c>
      <c r="B4492" t="s">
        <v>74</v>
      </c>
      <c r="C4492" t="s">
        <v>28</v>
      </c>
      <c r="E4492" t="s">
        <v>4975</v>
      </c>
      <c r="G4492" t="s">
        <v>4976</v>
      </c>
      <c r="H4492" s="2">
        <v>44673.916990740741</v>
      </c>
      <c r="I4492" t="s">
        <v>4803</v>
      </c>
      <c r="Z4492">
        <v>32412</v>
      </c>
    </row>
    <row r="4493" spans="1:26" x14ac:dyDescent="0.25">
      <c r="A4493" t="s">
        <v>570</v>
      </c>
      <c r="C4493" t="s">
        <v>28</v>
      </c>
      <c r="E4493" t="s">
        <v>2166</v>
      </c>
      <c r="H4493" s="2">
        <v>44673.878495370373</v>
      </c>
      <c r="I4493" t="s">
        <v>1488</v>
      </c>
      <c r="Z4493">
        <v>32409</v>
      </c>
    </row>
    <row r="4494" spans="1:26" x14ac:dyDescent="0.25">
      <c r="A4494" t="s">
        <v>3650</v>
      </c>
      <c r="B4494" t="s">
        <v>27</v>
      </c>
      <c r="C4494" t="s">
        <v>28</v>
      </c>
      <c r="E4494" t="s">
        <v>4977</v>
      </c>
      <c r="H4494" s="2">
        <v>44673.635000000002</v>
      </c>
      <c r="I4494" t="s">
        <v>4728</v>
      </c>
      <c r="Z4494">
        <v>32351</v>
      </c>
    </row>
    <row r="4495" spans="1:26" x14ac:dyDescent="0.25">
      <c r="A4495" t="s">
        <v>4978</v>
      </c>
      <c r="B4495" t="s">
        <v>27</v>
      </c>
      <c r="C4495" t="s">
        <v>28</v>
      </c>
      <c r="H4495" s="2">
        <v>44673.583668981482</v>
      </c>
      <c r="I4495" t="s">
        <v>4803</v>
      </c>
      <c r="Z4495">
        <v>32331</v>
      </c>
    </row>
    <row r="4496" spans="1:26" x14ac:dyDescent="0.25">
      <c r="A4496" t="s">
        <v>4979</v>
      </c>
      <c r="B4496" t="s">
        <v>1708</v>
      </c>
      <c r="C4496" t="s">
        <v>28</v>
      </c>
      <c r="E4496" t="s">
        <v>4980</v>
      </c>
      <c r="H4496" s="2">
        <v>44673.454884259256</v>
      </c>
      <c r="I4496" t="s">
        <v>4803</v>
      </c>
      <c r="Z4496">
        <v>32295</v>
      </c>
    </row>
    <row r="4497" spans="1:26" x14ac:dyDescent="0.25">
      <c r="A4497" t="s">
        <v>4981</v>
      </c>
      <c r="B4497" t="s">
        <v>27</v>
      </c>
      <c r="C4497" t="s">
        <v>28</v>
      </c>
      <c r="H4497" s="2">
        <v>44673.416064814817</v>
      </c>
      <c r="I4497" t="s">
        <v>2674</v>
      </c>
      <c r="Z4497">
        <v>32284</v>
      </c>
    </row>
    <row r="4498" spans="1:26" x14ac:dyDescent="0.25">
      <c r="A4498" t="s">
        <v>4982</v>
      </c>
      <c r="B4498" t="s">
        <v>27</v>
      </c>
      <c r="C4498" t="s">
        <v>28</v>
      </c>
      <c r="H4498" s="2">
        <v>44672.702048611114</v>
      </c>
      <c r="I4498" t="s">
        <v>3864</v>
      </c>
      <c r="Z4498">
        <v>32248</v>
      </c>
    </row>
    <row r="4499" spans="1:26" x14ac:dyDescent="0.25">
      <c r="A4499" t="s">
        <v>4983</v>
      </c>
      <c r="B4499" t="s">
        <v>27</v>
      </c>
      <c r="C4499" t="s">
        <v>28</v>
      </c>
      <c r="H4499" s="2">
        <v>44672.52679398148</v>
      </c>
      <c r="I4499" t="s">
        <v>2113</v>
      </c>
      <c r="Z4499">
        <v>32228</v>
      </c>
    </row>
    <row r="4500" spans="1:26" x14ac:dyDescent="0.25">
      <c r="A4500" t="s">
        <v>4984</v>
      </c>
      <c r="B4500" t="s">
        <v>27</v>
      </c>
      <c r="C4500" t="s">
        <v>28</v>
      </c>
      <c r="H4500" s="2">
        <v>44672.464444444442</v>
      </c>
      <c r="I4500" t="s">
        <v>3864</v>
      </c>
      <c r="Z4500">
        <v>32216</v>
      </c>
    </row>
    <row r="4501" spans="1:26" x14ac:dyDescent="0.25">
      <c r="A4501" t="s">
        <v>4985</v>
      </c>
      <c r="B4501" t="s">
        <v>27</v>
      </c>
      <c r="C4501" t="s">
        <v>28</v>
      </c>
      <c r="E4501" t="s">
        <v>4986</v>
      </c>
      <c r="H4501" s="2">
        <v>44671.604328703703</v>
      </c>
      <c r="I4501" t="s">
        <v>4836</v>
      </c>
      <c r="Z4501">
        <v>32177</v>
      </c>
    </row>
    <row r="4502" spans="1:26" x14ac:dyDescent="0.25">
      <c r="A4502" t="s">
        <v>4617</v>
      </c>
      <c r="B4502" t="s">
        <v>27</v>
      </c>
      <c r="C4502" t="s">
        <v>28</v>
      </c>
      <c r="E4502" t="s">
        <v>4987</v>
      </c>
      <c r="H4502" s="2">
        <v>44670.488657407404</v>
      </c>
      <c r="I4502" t="s">
        <v>4728</v>
      </c>
      <c r="Z4502">
        <v>32072</v>
      </c>
    </row>
    <row r="4503" spans="1:26" x14ac:dyDescent="0.25">
      <c r="A4503" t="s">
        <v>4988</v>
      </c>
      <c r="B4503" t="s">
        <v>27</v>
      </c>
      <c r="C4503" t="s">
        <v>28</v>
      </c>
      <c r="H4503" s="2">
        <v>44670.442650462966</v>
      </c>
      <c r="I4503" t="s">
        <v>1488</v>
      </c>
      <c r="Z4503">
        <v>32068</v>
      </c>
    </row>
    <row r="4504" spans="1:26" x14ac:dyDescent="0.25">
      <c r="A4504" t="s">
        <v>4989</v>
      </c>
      <c r="B4504" t="s">
        <v>27</v>
      </c>
      <c r="C4504" t="s">
        <v>28</v>
      </c>
      <c r="H4504" s="2">
        <v>44669.797060185185</v>
      </c>
      <c r="I4504" t="s">
        <v>4448</v>
      </c>
      <c r="Z4504">
        <v>32043</v>
      </c>
    </row>
    <row r="4505" spans="1:26" x14ac:dyDescent="0.25">
      <c r="A4505" t="s">
        <v>1793</v>
      </c>
      <c r="B4505" t="s">
        <v>27</v>
      </c>
      <c r="C4505" t="s">
        <v>28</v>
      </c>
      <c r="H4505" s="2">
        <v>44669.645439814813</v>
      </c>
      <c r="I4505" t="s">
        <v>1488</v>
      </c>
      <c r="Z4505">
        <v>32023</v>
      </c>
    </row>
    <row r="4506" spans="1:26" x14ac:dyDescent="0.25">
      <c r="A4506" t="s">
        <v>4990</v>
      </c>
      <c r="B4506" t="s">
        <v>27</v>
      </c>
      <c r="C4506" t="s">
        <v>28</v>
      </c>
      <c r="H4506" s="2">
        <v>44669.556226851855</v>
      </c>
      <c r="I4506" t="s">
        <v>4803</v>
      </c>
      <c r="Z4506">
        <v>32002</v>
      </c>
    </row>
    <row r="4507" spans="1:26" x14ac:dyDescent="0.25">
      <c r="A4507" t="s">
        <v>4991</v>
      </c>
      <c r="B4507" t="s">
        <v>27</v>
      </c>
      <c r="C4507" t="s">
        <v>28</v>
      </c>
      <c r="H4507" s="2">
        <v>44669.531435185185</v>
      </c>
      <c r="I4507" t="s">
        <v>4803</v>
      </c>
      <c r="Z4507">
        <v>31996</v>
      </c>
    </row>
    <row r="4508" spans="1:26" x14ac:dyDescent="0.25">
      <c r="A4508" t="s">
        <v>4992</v>
      </c>
      <c r="B4508" t="s">
        <v>27</v>
      </c>
      <c r="C4508" t="s">
        <v>28</v>
      </c>
      <c r="H4508" s="2">
        <v>44668.832766203705</v>
      </c>
      <c r="I4508" t="s">
        <v>4803</v>
      </c>
      <c r="Z4508">
        <v>31949</v>
      </c>
    </row>
    <row r="4509" spans="1:26" x14ac:dyDescent="0.25">
      <c r="A4509" t="s">
        <v>4993</v>
      </c>
      <c r="B4509" t="s">
        <v>27</v>
      </c>
      <c r="C4509" t="s">
        <v>28</v>
      </c>
      <c r="H4509" s="2">
        <v>44666.722025462965</v>
      </c>
      <c r="I4509" t="s">
        <v>3864</v>
      </c>
      <c r="Z4509">
        <v>31739</v>
      </c>
    </row>
    <row r="4510" spans="1:26" x14ac:dyDescent="0.25">
      <c r="A4510" t="s">
        <v>4994</v>
      </c>
      <c r="B4510" t="s">
        <v>27</v>
      </c>
      <c r="C4510" t="s">
        <v>28</v>
      </c>
      <c r="H4510" s="2">
        <v>44666.527013888888</v>
      </c>
      <c r="I4510" t="s">
        <v>4728</v>
      </c>
      <c r="Z4510">
        <v>31718</v>
      </c>
    </row>
    <row r="4511" spans="1:26" x14ac:dyDescent="0.25">
      <c r="A4511" t="s">
        <v>4995</v>
      </c>
      <c r="B4511" t="s">
        <v>27</v>
      </c>
      <c r="C4511" t="s">
        <v>28</v>
      </c>
      <c r="H4511" s="2">
        <v>44664.714456018519</v>
      </c>
      <c r="I4511" t="s">
        <v>4728</v>
      </c>
      <c r="Z4511">
        <v>31603</v>
      </c>
    </row>
    <row r="4512" spans="1:26" x14ac:dyDescent="0.25">
      <c r="A4512" t="s">
        <v>4996</v>
      </c>
      <c r="B4512" t="s">
        <v>27</v>
      </c>
      <c r="C4512" t="s">
        <v>28</v>
      </c>
      <c r="H4512" s="2">
        <v>44664.706550925926</v>
      </c>
      <c r="I4512" t="s">
        <v>4836</v>
      </c>
      <c r="Z4512">
        <v>31601</v>
      </c>
    </row>
    <row r="4513" spans="1:26" x14ac:dyDescent="0.25">
      <c r="A4513" t="s">
        <v>4952</v>
      </c>
      <c r="B4513" t="s">
        <v>27</v>
      </c>
      <c r="C4513" t="s">
        <v>28</v>
      </c>
      <c r="H4513" s="2">
        <v>44664.706134259257</v>
      </c>
      <c r="I4513" t="s">
        <v>4728</v>
      </c>
      <c r="Z4513">
        <v>31600</v>
      </c>
    </row>
    <row r="4514" spans="1:26" x14ac:dyDescent="0.25">
      <c r="A4514" t="s">
        <v>4997</v>
      </c>
      <c r="B4514" t="s">
        <v>27</v>
      </c>
      <c r="C4514" t="s">
        <v>28</v>
      </c>
      <c r="H4514" s="2">
        <v>44664.436423611114</v>
      </c>
      <c r="I4514" t="s">
        <v>1488</v>
      </c>
      <c r="Z4514">
        <v>31552</v>
      </c>
    </row>
    <row r="4515" spans="1:26" x14ac:dyDescent="0.25">
      <c r="A4515" t="s">
        <v>4998</v>
      </c>
      <c r="B4515" t="s">
        <v>27</v>
      </c>
      <c r="C4515" t="s">
        <v>28</v>
      </c>
      <c r="H4515" s="2">
        <v>44663.616597222222</v>
      </c>
      <c r="I4515" t="s">
        <v>2113</v>
      </c>
      <c r="Z4515">
        <v>31480</v>
      </c>
    </row>
    <row r="4516" spans="1:26" x14ac:dyDescent="0.25">
      <c r="A4516" t="s">
        <v>4999</v>
      </c>
      <c r="B4516" t="s">
        <v>27</v>
      </c>
      <c r="C4516" t="s">
        <v>28</v>
      </c>
      <c r="H4516" s="2">
        <v>44663.518009259256</v>
      </c>
      <c r="I4516" t="s">
        <v>4803</v>
      </c>
      <c r="Z4516">
        <v>31456</v>
      </c>
    </row>
    <row r="4517" spans="1:26" x14ac:dyDescent="0.25">
      <c r="A4517" t="s">
        <v>5000</v>
      </c>
      <c r="B4517" t="s">
        <v>27</v>
      </c>
      <c r="C4517" t="s">
        <v>28</v>
      </c>
      <c r="H4517" s="2">
        <v>44663.514525462961</v>
      </c>
      <c r="I4517" t="s">
        <v>2113</v>
      </c>
      <c r="Z4517">
        <v>31455</v>
      </c>
    </row>
    <row r="4518" spans="1:26" x14ac:dyDescent="0.25">
      <c r="A4518" t="s">
        <v>5001</v>
      </c>
      <c r="B4518" t="s">
        <v>27</v>
      </c>
      <c r="C4518" t="s">
        <v>28</v>
      </c>
      <c r="H4518" s="2">
        <v>44662.690949074073</v>
      </c>
      <c r="I4518" t="s">
        <v>4803</v>
      </c>
      <c r="Z4518">
        <v>31398</v>
      </c>
    </row>
    <row r="4519" spans="1:26" x14ac:dyDescent="0.25">
      <c r="A4519" t="s">
        <v>570</v>
      </c>
      <c r="C4519" t="s">
        <v>28</v>
      </c>
      <c r="E4519" t="s">
        <v>198</v>
      </c>
      <c r="H4519" s="2">
        <v>44662.682280092595</v>
      </c>
      <c r="I4519" t="s">
        <v>1488</v>
      </c>
      <c r="Z4519">
        <v>31397</v>
      </c>
    </row>
    <row r="4520" spans="1:26" x14ac:dyDescent="0.25">
      <c r="A4520" t="s">
        <v>5002</v>
      </c>
      <c r="B4520" t="s">
        <v>27</v>
      </c>
      <c r="C4520" t="s">
        <v>28</v>
      </c>
      <c r="H4520" s="2">
        <v>44662.614363425928</v>
      </c>
      <c r="I4520" t="s">
        <v>4803</v>
      </c>
      <c r="Z4520">
        <v>31378</v>
      </c>
    </row>
    <row r="4521" spans="1:26" x14ac:dyDescent="0.25">
      <c r="A4521" t="s">
        <v>5003</v>
      </c>
      <c r="B4521" t="s">
        <v>1403</v>
      </c>
      <c r="C4521" t="s">
        <v>28</v>
      </c>
      <c r="E4521" t="s">
        <v>5004</v>
      </c>
      <c r="H4521" s="2">
        <v>44661.795995370368</v>
      </c>
      <c r="I4521" t="s">
        <v>4803</v>
      </c>
      <c r="Z4521">
        <v>31312</v>
      </c>
    </row>
    <row r="4522" spans="1:26" x14ac:dyDescent="0.25">
      <c r="A4522" t="s">
        <v>5005</v>
      </c>
      <c r="B4522" t="s">
        <v>27</v>
      </c>
      <c r="C4522" t="s">
        <v>28</v>
      </c>
      <c r="H4522" s="2">
        <v>44661.48201388889</v>
      </c>
      <c r="I4522" t="s">
        <v>3864</v>
      </c>
      <c r="Z4522">
        <v>31258</v>
      </c>
    </row>
    <row r="4523" spans="1:26" x14ac:dyDescent="0.25">
      <c r="A4523" t="s">
        <v>5006</v>
      </c>
      <c r="B4523" t="s">
        <v>27</v>
      </c>
      <c r="C4523" t="s">
        <v>28</v>
      </c>
      <c r="H4523" s="2">
        <v>44661.443240740744</v>
      </c>
      <c r="I4523" t="s">
        <v>4728</v>
      </c>
      <c r="Z4523">
        <v>31252</v>
      </c>
    </row>
    <row r="4524" spans="1:26" x14ac:dyDescent="0.25">
      <c r="A4524" t="s">
        <v>5007</v>
      </c>
      <c r="B4524" t="s">
        <v>27</v>
      </c>
      <c r="C4524" t="s">
        <v>28</v>
      </c>
      <c r="H4524" s="2">
        <v>44660.589780092596</v>
      </c>
      <c r="I4524" t="s">
        <v>2113</v>
      </c>
      <c r="Z4524">
        <v>31225</v>
      </c>
    </row>
    <row r="4525" spans="1:26" x14ac:dyDescent="0.25">
      <c r="A4525" t="s">
        <v>3650</v>
      </c>
      <c r="B4525" t="s">
        <v>27</v>
      </c>
      <c r="C4525" t="s">
        <v>28</v>
      </c>
      <c r="H4525" s="2">
        <v>44659.713576388887</v>
      </c>
      <c r="I4525" t="s">
        <v>4836</v>
      </c>
      <c r="Z4525">
        <v>31157</v>
      </c>
    </row>
    <row r="4526" spans="1:26" x14ac:dyDescent="0.25">
      <c r="A4526" t="s">
        <v>5008</v>
      </c>
      <c r="B4526" t="s">
        <v>27</v>
      </c>
      <c r="C4526" t="s">
        <v>4111</v>
      </c>
      <c r="H4526" s="2">
        <v>44658.582858796297</v>
      </c>
      <c r="I4526" t="s">
        <v>1488</v>
      </c>
      <c r="Z4526">
        <v>31041</v>
      </c>
    </row>
    <row r="4527" spans="1:26" x14ac:dyDescent="0.25">
      <c r="A4527" t="s">
        <v>5009</v>
      </c>
      <c r="B4527" t="s">
        <v>27</v>
      </c>
      <c r="C4527" t="s">
        <v>28</v>
      </c>
      <c r="H4527" s="2">
        <v>44656.693715277775</v>
      </c>
      <c r="I4527" t="s">
        <v>4803</v>
      </c>
      <c r="Z4527">
        <v>30904</v>
      </c>
    </row>
    <row r="4528" spans="1:26" x14ac:dyDescent="0.25">
      <c r="A4528" t="s">
        <v>5010</v>
      </c>
      <c r="B4528" t="s">
        <v>27</v>
      </c>
      <c r="C4528" t="s">
        <v>28</v>
      </c>
      <c r="H4528" s="2">
        <v>44656.577488425923</v>
      </c>
      <c r="I4528" t="s">
        <v>1488</v>
      </c>
      <c r="Z4528">
        <v>30876</v>
      </c>
    </row>
    <row r="4529" spans="1:26" x14ac:dyDescent="0.25">
      <c r="A4529" t="s">
        <v>5011</v>
      </c>
      <c r="B4529" t="s">
        <v>1708</v>
      </c>
      <c r="C4529" t="s">
        <v>28</v>
      </c>
      <c r="E4529" t="s">
        <v>5012</v>
      </c>
      <c r="H4529" s="2">
        <v>44656.564421296294</v>
      </c>
      <c r="I4529" t="s">
        <v>4836</v>
      </c>
      <c r="Z4529">
        <v>30861</v>
      </c>
    </row>
    <row r="4530" spans="1:26" x14ac:dyDescent="0.25">
      <c r="A4530" t="s">
        <v>5013</v>
      </c>
      <c r="B4530" t="s">
        <v>1708</v>
      </c>
      <c r="C4530" t="s">
        <v>28</v>
      </c>
      <c r="E4530" t="s">
        <v>5014</v>
      </c>
      <c r="H4530" s="2">
        <v>44656.563958333332</v>
      </c>
      <c r="I4530" t="s">
        <v>4836</v>
      </c>
      <c r="Z4530">
        <v>30857</v>
      </c>
    </row>
    <row r="4531" spans="1:26" x14ac:dyDescent="0.25">
      <c r="A4531" t="s">
        <v>5015</v>
      </c>
      <c r="B4531" t="s">
        <v>1708</v>
      </c>
      <c r="C4531" t="s">
        <v>28</v>
      </c>
      <c r="E4531" t="s">
        <v>5016</v>
      </c>
      <c r="H4531" s="2">
        <v>44656.562696759262</v>
      </c>
      <c r="I4531" t="s">
        <v>4728</v>
      </c>
      <c r="Z4531">
        <v>30853</v>
      </c>
    </row>
    <row r="4532" spans="1:26" x14ac:dyDescent="0.25">
      <c r="A4532" t="s">
        <v>5017</v>
      </c>
      <c r="B4532" t="s">
        <v>1708</v>
      </c>
      <c r="C4532" t="s">
        <v>28</v>
      </c>
      <c r="E4532" t="s">
        <v>5018</v>
      </c>
      <c r="H4532" s="2">
        <v>44656.5621875</v>
      </c>
      <c r="I4532" t="s">
        <v>1488</v>
      </c>
      <c r="Z4532">
        <v>30851</v>
      </c>
    </row>
    <row r="4533" spans="1:26" x14ac:dyDescent="0.25">
      <c r="A4533" t="s">
        <v>5019</v>
      </c>
      <c r="B4533" t="s">
        <v>1708</v>
      </c>
      <c r="C4533" t="s">
        <v>28</v>
      </c>
      <c r="E4533" t="s">
        <v>5020</v>
      </c>
      <c r="H4533" s="2">
        <v>44656.561851851853</v>
      </c>
      <c r="I4533" t="s">
        <v>4836</v>
      </c>
      <c r="Z4533">
        <v>30850</v>
      </c>
    </row>
    <row r="4534" spans="1:26" x14ac:dyDescent="0.25">
      <c r="A4534" t="s">
        <v>5021</v>
      </c>
      <c r="B4534" t="s">
        <v>1708</v>
      </c>
      <c r="C4534" t="s">
        <v>28</v>
      </c>
      <c r="E4534" t="s">
        <v>5022</v>
      </c>
      <c r="H4534" s="2">
        <v>44656.56181712963</v>
      </c>
      <c r="I4534" t="s">
        <v>4836</v>
      </c>
      <c r="Z4534">
        <v>30849</v>
      </c>
    </row>
    <row r="4535" spans="1:26" x14ac:dyDescent="0.25">
      <c r="A4535" t="s">
        <v>5023</v>
      </c>
      <c r="B4535" t="s">
        <v>27</v>
      </c>
      <c r="C4535" t="s">
        <v>28</v>
      </c>
      <c r="H4535" s="2">
        <v>44656.411516203705</v>
      </c>
      <c r="I4535" t="s">
        <v>4803</v>
      </c>
      <c r="Z4535">
        <v>30818</v>
      </c>
    </row>
    <row r="4536" spans="1:26" x14ac:dyDescent="0.25">
      <c r="A4536" t="s">
        <v>5024</v>
      </c>
      <c r="B4536" t="s">
        <v>27</v>
      </c>
      <c r="C4536" t="s">
        <v>28</v>
      </c>
      <c r="H4536" s="2">
        <v>44656.374374999999</v>
      </c>
      <c r="I4536" t="s">
        <v>2113</v>
      </c>
      <c r="Z4536">
        <v>30809</v>
      </c>
    </row>
    <row r="4537" spans="1:26" x14ac:dyDescent="0.25">
      <c r="A4537" t="s">
        <v>4831</v>
      </c>
      <c r="B4537" t="s">
        <v>27</v>
      </c>
      <c r="C4537" t="s">
        <v>28</v>
      </c>
      <c r="H4537" s="2">
        <v>44655.782349537039</v>
      </c>
      <c r="I4537" t="s">
        <v>4728</v>
      </c>
      <c r="Z4537">
        <v>30803</v>
      </c>
    </row>
    <row r="4538" spans="1:26" x14ac:dyDescent="0.25">
      <c r="A4538" t="s">
        <v>5025</v>
      </c>
      <c r="C4538" t="s">
        <v>28</v>
      </c>
      <c r="E4538" t="s">
        <v>5026</v>
      </c>
      <c r="H4538" s="2">
        <v>44655.557650462964</v>
      </c>
      <c r="I4538" t="s">
        <v>4728</v>
      </c>
      <c r="Z4538">
        <v>30782</v>
      </c>
    </row>
    <row r="4539" spans="1:26" x14ac:dyDescent="0.25">
      <c r="A4539" t="s">
        <v>4582</v>
      </c>
      <c r="B4539" t="s">
        <v>27</v>
      </c>
      <c r="C4539" t="s">
        <v>28</v>
      </c>
      <c r="H4539" s="2">
        <v>44655.438993055555</v>
      </c>
      <c r="I4539" t="s">
        <v>4728</v>
      </c>
      <c r="Z4539">
        <v>30762</v>
      </c>
    </row>
    <row r="4540" spans="1:26" x14ac:dyDescent="0.25">
      <c r="A4540" t="s">
        <v>5025</v>
      </c>
      <c r="C4540" t="s">
        <v>28</v>
      </c>
      <c r="E4540" t="s">
        <v>5027</v>
      </c>
      <c r="H4540" s="2">
        <v>44654.967557870368</v>
      </c>
      <c r="I4540" t="s">
        <v>4728</v>
      </c>
      <c r="Z4540">
        <v>30747</v>
      </c>
    </row>
    <row r="4541" spans="1:26" x14ac:dyDescent="0.25">
      <c r="A4541" t="s">
        <v>5028</v>
      </c>
      <c r="B4541" t="s">
        <v>27</v>
      </c>
      <c r="C4541" t="s">
        <v>28</v>
      </c>
      <c r="H4541" s="2">
        <v>44654.516180555554</v>
      </c>
      <c r="I4541" t="s">
        <v>2113</v>
      </c>
      <c r="Z4541">
        <v>30713</v>
      </c>
    </row>
    <row r="4542" spans="1:26" x14ac:dyDescent="0.25">
      <c r="A4542" t="s">
        <v>5025</v>
      </c>
      <c r="C4542" t="s">
        <v>28</v>
      </c>
      <c r="E4542" t="s">
        <v>5029</v>
      </c>
      <c r="H4542" s="2">
        <v>44653.786087962966</v>
      </c>
      <c r="I4542" t="s">
        <v>2113</v>
      </c>
      <c r="Z4542">
        <v>30693</v>
      </c>
    </row>
    <row r="4543" spans="1:26" x14ac:dyDescent="0.25">
      <c r="A4543" t="s">
        <v>5025</v>
      </c>
      <c r="C4543" t="s">
        <v>28</v>
      </c>
      <c r="E4543" t="s">
        <v>5030</v>
      </c>
      <c r="H4543" s="2">
        <v>44653.325277777774</v>
      </c>
      <c r="I4543" t="s">
        <v>4728</v>
      </c>
      <c r="Z4543">
        <v>30660</v>
      </c>
    </row>
    <row r="4544" spans="1:26" x14ac:dyDescent="0.25">
      <c r="A4544" t="s">
        <v>5031</v>
      </c>
      <c r="B4544" t="s">
        <v>27</v>
      </c>
      <c r="C4544" t="s">
        <v>28</v>
      </c>
      <c r="H4544" s="2">
        <v>44652.659409722219</v>
      </c>
      <c r="I4544" t="s">
        <v>4836</v>
      </c>
      <c r="Z4544">
        <v>30645</v>
      </c>
    </row>
    <row r="4545" spans="1:26" x14ac:dyDescent="0.25">
      <c r="A4545" t="s">
        <v>5032</v>
      </c>
      <c r="B4545" t="s">
        <v>27</v>
      </c>
      <c r="C4545" t="s">
        <v>28</v>
      </c>
      <c r="H4545" s="2">
        <v>44652.63071759259</v>
      </c>
      <c r="I4545" t="s">
        <v>4836</v>
      </c>
      <c r="Z4545">
        <v>30644</v>
      </c>
    </row>
    <row r="4546" spans="1:26" x14ac:dyDescent="0.25">
      <c r="A4546" t="s">
        <v>5033</v>
      </c>
      <c r="B4546" t="s">
        <v>27</v>
      </c>
      <c r="C4546" t="s">
        <v>28</v>
      </c>
      <c r="H4546" s="2">
        <v>44652.592326388891</v>
      </c>
      <c r="I4546" t="s">
        <v>1488</v>
      </c>
      <c r="Z4546">
        <v>30640</v>
      </c>
    </row>
    <row r="4547" spans="1:26" x14ac:dyDescent="0.25">
      <c r="A4547" t="s">
        <v>4328</v>
      </c>
      <c r="B4547" t="s">
        <v>1403</v>
      </c>
      <c r="C4547" t="s">
        <v>2110</v>
      </c>
      <c r="E4547" t="s">
        <v>232</v>
      </c>
      <c r="H4547" s="2">
        <v>44652.442893518521</v>
      </c>
      <c r="I4547" t="s">
        <v>4836</v>
      </c>
      <c r="Z4547">
        <v>30615</v>
      </c>
    </row>
    <row r="4548" spans="1:26" x14ac:dyDescent="0.25">
      <c r="A4548" t="s">
        <v>5034</v>
      </c>
      <c r="B4548" t="s">
        <v>27</v>
      </c>
      <c r="C4548" t="s">
        <v>28</v>
      </c>
      <c r="H4548" s="2">
        <v>44651.640011574076</v>
      </c>
      <c r="I4548" t="s">
        <v>4836</v>
      </c>
      <c r="Z4548">
        <v>30591</v>
      </c>
    </row>
    <row r="4549" spans="1:26" x14ac:dyDescent="0.25">
      <c r="A4549" t="s">
        <v>5035</v>
      </c>
      <c r="B4549" t="s">
        <v>27</v>
      </c>
      <c r="C4549" t="s">
        <v>28</v>
      </c>
      <c r="H4549" s="2">
        <v>44651.61996527778</v>
      </c>
      <c r="I4549" t="s">
        <v>4836</v>
      </c>
      <c r="Z4549">
        <v>30588</v>
      </c>
    </row>
    <row r="4550" spans="1:26" x14ac:dyDescent="0.25">
      <c r="A4550" t="s">
        <v>4360</v>
      </c>
      <c r="B4550" t="s">
        <v>2162</v>
      </c>
      <c r="C4550" t="s">
        <v>28</v>
      </c>
      <c r="E4550" t="s">
        <v>198</v>
      </c>
      <c r="H4550" s="2">
        <v>44651.573425925926</v>
      </c>
      <c r="I4550" t="s">
        <v>1488</v>
      </c>
      <c r="Z4550">
        <v>30582</v>
      </c>
    </row>
    <row r="4551" spans="1:26" x14ac:dyDescent="0.25">
      <c r="A4551" t="s">
        <v>5036</v>
      </c>
      <c r="B4551" t="s">
        <v>27</v>
      </c>
      <c r="C4551" t="s">
        <v>28</v>
      </c>
      <c r="H4551" s="2">
        <v>44651.555567129632</v>
      </c>
      <c r="I4551" t="s">
        <v>1488</v>
      </c>
      <c r="Z4551">
        <v>30580</v>
      </c>
    </row>
    <row r="4552" spans="1:26" x14ac:dyDescent="0.25">
      <c r="A4552" t="s">
        <v>5037</v>
      </c>
      <c r="B4552" t="s">
        <v>74</v>
      </c>
      <c r="C4552" t="s">
        <v>28</v>
      </c>
      <c r="E4552" t="s">
        <v>5038</v>
      </c>
      <c r="G4552" t="s">
        <v>5039</v>
      </c>
      <c r="H4552" s="2">
        <v>44651.501157407409</v>
      </c>
      <c r="I4552" t="s">
        <v>1488</v>
      </c>
      <c r="Z4552">
        <v>30577</v>
      </c>
    </row>
    <row r="4553" spans="1:26" x14ac:dyDescent="0.25">
      <c r="A4553" t="s">
        <v>5040</v>
      </c>
      <c r="B4553" t="s">
        <v>27</v>
      </c>
      <c r="C4553" t="s">
        <v>28</v>
      </c>
      <c r="H4553" s="2">
        <v>44651.436759259261</v>
      </c>
      <c r="I4553" t="s">
        <v>4836</v>
      </c>
      <c r="Z4553">
        <v>30572</v>
      </c>
    </row>
    <row r="4554" spans="1:26" x14ac:dyDescent="0.25">
      <c r="A4554" t="s">
        <v>5025</v>
      </c>
      <c r="C4554" t="s">
        <v>28</v>
      </c>
      <c r="E4554" t="s">
        <v>5041</v>
      </c>
      <c r="H4554" s="2">
        <v>44651.417488425926</v>
      </c>
      <c r="I4554" t="s">
        <v>4836</v>
      </c>
      <c r="Z4554">
        <v>30570</v>
      </c>
    </row>
    <row r="4555" spans="1:26" x14ac:dyDescent="0.25">
      <c r="A4555" t="s">
        <v>5042</v>
      </c>
      <c r="B4555" t="s">
        <v>27</v>
      </c>
      <c r="C4555" t="s">
        <v>28</v>
      </c>
      <c r="H4555" s="2">
        <v>44651.414722222224</v>
      </c>
      <c r="I4555" t="s">
        <v>1488</v>
      </c>
      <c r="Z4555">
        <v>30569</v>
      </c>
    </row>
    <row r="4556" spans="1:26" x14ac:dyDescent="0.25">
      <c r="A4556" t="s">
        <v>5025</v>
      </c>
      <c r="C4556" t="s">
        <v>28</v>
      </c>
      <c r="E4556" t="s">
        <v>5043</v>
      </c>
      <c r="H4556" s="2">
        <v>44651.327523148146</v>
      </c>
      <c r="I4556" t="s">
        <v>4836</v>
      </c>
      <c r="Z4556">
        <v>30559</v>
      </c>
    </row>
    <row r="4557" spans="1:26" x14ac:dyDescent="0.25">
      <c r="A4557" t="s">
        <v>5044</v>
      </c>
      <c r="B4557" t="s">
        <v>27</v>
      </c>
      <c r="C4557" t="s">
        <v>28</v>
      </c>
      <c r="H4557" s="2">
        <v>44650.519108796296</v>
      </c>
      <c r="I4557" t="s">
        <v>4836</v>
      </c>
      <c r="Z4557">
        <v>30533</v>
      </c>
    </row>
    <row r="4558" spans="1:26" x14ac:dyDescent="0.25">
      <c r="A4558" t="s">
        <v>5045</v>
      </c>
      <c r="B4558" t="s">
        <v>27</v>
      </c>
      <c r="C4558" t="s">
        <v>28</v>
      </c>
      <c r="H4558" s="2">
        <v>44649.551145833335</v>
      </c>
      <c r="I4558" t="s">
        <v>2113</v>
      </c>
      <c r="Z4558">
        <v>30488</v>
      </c>
    </row>
    <row r="4559" spans="1:26" x14ac:dyDescent="0.25">
      <c r="A4559" t="s">
        <v>5046</v>
      </c>
      <c r="B4559" t="s">
        <v>27</v>
      </c>
      <c r="C4559" t="s">
        <v>28</v>
      </c>
      <c r="H4559" s="2">
        <v>44648.64603009259</v>
      </c>
      <c r="I4559" t="s">
        <v>4728</v>
      </c>
      <c r="Z4559">
        <v>30469</v>
      </c>
    </row>
    <row r="4560" spans="1:26" x14ac:dyDescent="0.25">
      <c r="A4560" t="s">
        <v>4571</v>
      </c>
      <c r="B4560" t="s">
        <v>27</v>
      </c>
      <c r="C4560" t="s">
        <v>28</v>
      </c>
      <c r="H4560" s="2">
        <v>44648.604618055557</v>
      </c>
      <c r="I4560" t="s">
        <v>4728</v>
      </c>
      <c r="Z4560">
        <v>30466</v>
      </c>
    </row>
    <row r="4561" spans="1:26" x14ac:dyDescent="0.25">
      <c r="A4561" t="s">
        <v>3536</v>
      </c>
      <c r="B4561" t="s">
        <v>27</v>
      </c>
      <c r="C4561" t="s">
        <v>28</v>
      </c>
      <c r="H4561" s="2">
        <v>44648.46638888889</v>
      </c>
      <c r="I4561" t="s">
        <v>4728</v>
      </c>
      <c r="Z4561">
        <v>30447</v>
      </c>
    </row>
    <row r="4562" spans="1:26" x14ac:dyDescent="0.25">
      <c r="A4562" t="s">
        <v>5047</v>
      </c>
      <c r="B4562" t="s">
        <v>1403</v>
      </c>
      <c r="C4562" t="s">
        <v>28</v>
      </c>
      <c r="E4562" t="s">
        <v>5048</v>
      </c>
      <c r="H4562" s="2">
        <v>44647.38652777778</v>
      </c>
      <c r="I4562" t="s">
        <v>2113</v>
      </c>
      <c r="Z4562">
        <v>30410</v>
      </c>
    </row>
    <row r="4563" spans="1:26" x14ac:dyDescent="0.25">
      <c r="A4563" t="s">
        <v>3583</v>
      </c>
      <c r="B4563" t="s">
        <v>1993</v>
      </c>
      <c r="C4563" t="s">
        <v>28</v>
      </c>
      <c r="E4563" t="s">
        <v>2190</v>
      </c>
      <c r="H4563" s="2">
        <v>44646.890509259261</v>
      </c>
      <c r="I4563" t="s">
        <v>2113</v>
      </c>
      <c r="Z4563">
        <v>30406</v>
      </c>
    </row>
    <row r="4564" spans="1:26" x14ac:dyDescent="0.25">
      <c r="A4564" t="s">
        <v>5025</v>
      </c>
      <c r="C4564" t="s">
        <v>28</v>
      </c>
      <c r="E4564" t="s">
        <v>5049</v>
      </c>
      <c r="H4564" s="2">
        <v>44646.62395833333</v>
      </c>
      <c r="I4564" t="s">
        <v>4803</v>
      </c>
      <c r="Z4564">
        <v>30388</v>
      </c>
    </row>
    <row r="4565" spans="1:26" x14ac:dyDescent="0.25">
      <c r="A4565" t="s">
        <v>5025</v>
      </c>
      <c r="C4565" t="s">
        <v>28</v>
      </c>
      <c r="E4565" t="s">
        <v>5050</v>
      </c>
      <c r="H4565" s="2">
        <v>44645.849872685183</v>
      </c>
      <c r="I4565" t="s">
        <v>4836</v>
      </c>
      <c r="Z4565">
        <v>30351</v>
      </c>
    </row>
    <row r="4566" spans="1:26" x14ac:dyDescent="0.25">
      <c r="A4566" t="s">
        <v>5051</v>
      </c>
      <c r="B4566" t="s">
        <v>27</v>
      </c>
      <c r="C4566" t="s">
        <v>28</v>
      </c>
      <c r="H4566" s="2">
        <v>44644.79247685185</v>
      </c>
      <c r="I4566" t="s">
        <v>4803</v>
      </c>
      <c r="Z4566">
        <v>30288</v>
      </c>
    </row>
    <row r="4567" spans="1:26" x14ac:dyDescent="0.25">
      <c r="A4567" t="s">
        <v>5052</v>
      </c>
      <c r="B4567" t="s">
        <v>27</v>
      </c>
      <c r="C4567" t="s">
        <v>28</v>
      </c>
      <c r="H4567" s="2">
        <v>44644.433067129627</v>
      </c>
      <c r="I4567" t="s">
        <v>4803</v>
      </c>
      <c r="Z4567">
        <v>30250</v>
      </c>
    </row>
    <row r="4568" spans="1:26" x14ac:dyDescent="0.25">
      <c r="A4568" t="s">
        <v>5025</v>
      </c>
      <c r="C4568" t="s">
        <v>28</v>
      </c>
      <c r="E4568" t="s">
        <v>5053</v>
      </c>
      <c r="H4568" s="2">
        <v>44643.945706018516</v>
      </c>
      <c r="I4568" t="s">
        <v>4836</v>
      </c>
      <c r="Z4568">
        <v>30243</v>
      </c>
    </row>
    <row r="4569" spans="1:26" x14ac:dyDescent="0.25">
      <c r="A4569" t="s">
        <v>5025</v>
      </c>
      <c r="C4569" t="s">
        <v>28</v>
      </c>
      <c r="E4569" t="s">
        <v>5054</v>
      </c>
      <c r="H4569" s="2">
        <v>44643.596886574072</v>
      </c>
      <c r="I4569" t="s">
        <v>4728</v>
      </c>
      <c r="Z4569">
        <v>30215</v>
      </c>
    </row>
    <row r="4570" spans="1:26" x14ac:dyDescent="0.25">
      <c r="A4570" t="s">
        <v>5055</v>
      </c>
      <c r="B4570" t="s">
        <v>27</v>
      </c>
      <c r="C4570" t="s">
        <v>28</v>
      </c>
      <c r="H4570" s="2">
        <v>44643.52611111111</v>
      </c>
      <c r="I4570" t="s">
        <v>2113</v>
      </c>
      <c r="Z4570">
        <v>30209</v>
      </c>
    </row>
    <row r="4571" spans="1:26" x14ac:dyDescent="0.25">
      <c r="A4571" t="s">
        <v>5025</v>
      </c>
      <c r="C4571" t="s">
        <v>28</v>
      </c>
      <c r="E4571" t="s">
        <v>5056</v>
      </c>
      <c r="H4571" s="2">
        <v>44642.804768518516</v>
      </c>
      <c r="I4571" t="s">
        <v>2113</v>
      </c>
      <c r="Z4571">
        <v>30183</v>
      </c>
    </row>
    <row r="4572" spans="1:26" x14ac:dyDescent="0.25">
      <c r="A4572" t="s">
        <v>5057</v>
      </c>
      <c r="B4572" t="s">
        <v>27</v>
      </c>
      <c r="C4572" t="s">
        <v>28</v>
      </c>
      <c r="H4572" s="2">
        <v>44642.794016203705</v>
      </c>
      <c r="I4572" t="s">
        <v>2113</v>
      </c>
      <c r="Z4572">
        <v>30180</v>
      </c>
    </row>
    <row r="4573" spans="1:26" x14ac:dyDescent="0.25">
      <c r="A4573" t="s">
        <v>4105</v>
      </c>
      <c r="B4573" t="s">
        <v>1708</v>
      </c>
      <c r="C4573" t="s">
        <v>28</v>
      </c>
      <c r="E4573" t="s">
        <v>61</v>
      </c>
      <c r="H4573" s="2">
        <v>44642.677395833336</v>
      </c>
      <c r="I4573" t="s">
        <v>4728</v>
      </c>
      <c r="Z4573">
        <v>30176</v>
      </c>
    </row>
    <row r="4574" spans="1:26" x14ac:dyDescent="0.25">
      <c r="A4574" t="s">
        <v>1793</v>
      </c>
      <c r="B4574" t="s">
        <v>4548</v>
      </c>
      <c r="C4574" t="s">
        <v>28</v>
      </c>
      <c r="H4574" s="2">
        <v>44642.501296296294</v>
      </c>
      <c r="I4574" t="s">
        <v>2113</v>
      </c>
      <c r="K4574" t="s">
        <v>895</v>
      </c>
      <c r="L4574" t="s">
        <v>5058</v>
      </c>
      <c r="M4574" t="s">
        <v>5059</v>
      </c>
      <c r="Z4574">
        <v>30153</v>
      </c>
    </row>
    <row r="4575" spans="1:26" x14ac:dyDescent="0.25">
      <c r="A4575" t="s">
        <v>5060</v>
      </c>
      <c r="B4575" t="s">
        <v>27</v>
      </c>
      <c r="C4575" t="s">
        <v>28</v>
      </c>
      <c r="H4575" s="2">
        <v>44642.406053240738</v>
      </c>
      <c r="I4575" t="s">
        <v>4728</v>
      </c>
      <c r="Z4575">
        <v>30141</v>
      </c>
    </row>
    <row r="4576" spans="1:26" x14ac:dyDescent="0.25">
      <c r="A4576" t="s">
        <v>5025</v>
      </c>
      <c r="C4576" t="s">
        <v>28</v>
      </c>
      <c r="E4576" t="s">
        <v>5061</v>
      </c>
      <c r="H4576" s="2">
        <v>44642.06795138889</v>
      </c>
      <c r="I4576" t="s">
        <v>4728</v>
      </c>
      <c r="Z4576">
        <v>30136</v>
      </c>
    </row>
    <row r="4577" spans="1:26" x14ac:dyDescent="0.25">
      <c r="A4577" t="s">
        <v>5062</v>
      </c>
      <c r="B4577" t="s">
        <v>27</v>
      </c>
      <c r="C4577" t="s">
        <v>28</v>
      </c>
      <c r="H4577" s="2">
        <v>44641.606550925928</v>
      </c>
      <c r="I4577" t="s">
        <v>2113</v>
      </c>
      <c r="Z4577">
        <v>30117</v>
      </c>
    </row>
    <row r="4578" spans="1:26" x14ac:dyDescent="0.25">
      <c r="A4578" t="s">
        <v>5063</v>
      </c>
      <c r="B4578" t="s">
        <v>27</v>
      </c>
      <c r="C4578" t="s">
        <v>28</v>
      </c>
      <c r="H4578" s="2">
        <v>44641.565706018519</v>
      </c>
      <c r="I4578" t="s">
        <v>4728</v>
      </c>
      <c r="Z4578">
        <v>30114</v>
      </c>
    </row>
    <row r="4579" spans="1:26" x14ac:dyDescent="0.25">
      <c r="A4579" t="s">
        <v>4759</v>
      </c>
      <c r="B4579" t="s">
        <v>1708</v>
      </c>
      <c r="C4579" t="s">
        <v>28</v>
      </c>
      <c r="E4579" t="s">
        <v>110</v>
      </c>
      <c r="H4579" s="2">
        <v>44641.527187500003</v>
      </c>
      <c r="I4579" t="s">
        <v>2113</v>
      </c>
      <c r="Z4579">
        <v>30108</v>
      </c>
    </row>
    <row r="4580" spans="1:26" x14ac:dyDescent="0.25">
      <c r="A4580" t="s">
        <v>5064</v>
      </c>
      <c r="B4580" t="s">
        <v>1403</v>
      </c>
      <c r="C4580" t="s">
        <v>28</v>
      </c>
      <c r="E4580" t="s">
        <v>260</v>
      </c>
      <c r="G4580" t="s">
        <v>5065</v>
      </c>
      <c r="H4580" s="2">
        <v>44641.521111111113</v>
      </c>
      <c r="I4580" t="s">
        <v>2113</v>
      </c>
      <c r="Z4580">
        <v>30105</v>
      </c>
    </row>
    <row r="4581" spans="1:26" x14ac:dyDescent="0.25">
      <c r="A4581" t="s">
        <v>5066</v>
      </c>
      <c r="B4581" t="s">
        <v>27</v>
      </c>
      <c r="C4581" t="s">
        <v>28</v>
      </c>
      <c r="H4581" s="2">
        <v>44641.507303240738</v>
      </c>
      <c r="I4581" t="s">
        <v>4728</v>
      </c>
      <c r="Z4581">
        <v>30102</v>
      </c>
    </row>
    <row r="4582" spans="1:26" x14ac:dyDescent="0.25">
      <c r="A4582" t="s">
        <v>4362</v>
      </c>
      <c r="B4582" t="s">
        <v>27</v>
      </c>
      <c r="C4582" t="s">
        <v>28</v>
      </c>
      <c r="H4582" s="2">
        <v>44641.505983796298</v>
      </c>
      <c r="I4582" t="s">
        <v>2113</v>
      </c>
      <c r="Z4582">
        <v>30101</v>
      </c>
    </row>
    <row r="4583" spans="1:26" x14ac:dyDescent="0.25">
      <c r="A4583" t="s">
        <v>5067</v>
      </c>
      <c r="B4583" t="s">
        <v>27</v>
      </c>
      <c r="C4583" t="s">
        <v>28</v>
      </c>
      <c r="H4583" s="2">
        <v>44641.482615740744</v>
      </c>
      <c r="I4583" t="s">
        <v>4728</v>
      </c>
      <c r="Z4583">
        <v>30100</v>
      </c>
    </row>
    <row r="4584" spans="1:26" x14ac:dyDescent="0.25">
      <c r="A4584" t="s">
        <v>5068</v>
      </c>
      <c r="B4584" t="s">
        <v>27</v>
      </c>
      <c r="C4584" t="s">
        <v>28</v>
      </c>
      <c r="H4584" s="2">
        <v>44641.426238425927</v>
      </c>
      <c r="I4584" t="s">
        <v>2113</v>
      </c>
      <c r="Z4584">
        <v>30086</v>
      </c>
    </row>
    <row r="4585" spans="1:26" x14ac:dyDescent="0.25">
      <c r="A4585" t="s">
        <v>5069</v>
      </c>
      <c r="B4585" t="s">
        <v>27</v>
      </c>
      <c r="C4585" t="s">
        <v>28</v>
      </c>
      <c r="H4585" s="2">
        <v>44641.392210648148</v>
      </c>
      <c r="I4585" t="s">
        <v>2113</v>
      </c>
      <c r="Z4585">
        <v>30083</v>
      </c>
    </row>
    <row r="4586" spans="1:26" x14ac:dyDescent="0.25">
      <c r="A4586" t="s">
        <v>5070</v>
      </c>
      <c r="B4586" t="s">
        <v>27</v>
      </c>
      <c r="C4586" t="s">
        <v>28</v>
      </c>
      <c r="H4586" s="2">
        <v>44640.515405092592</v>
      </c>
      <c r="I4586" t="s">
        <v>2113</v>
      </c>
      <c r="Z4586">
        <v>30051</v>
      </c>
    </row>
    <row r="4587" spans="1:26" x14ac:dyDescent="0.25">
      <c r="A4587" t="s">
        <v>5071</v>
      </c>
      <c r="B4587" t="s">
        <v>27</v>
      </c>
      <c r="C4587" t="s">
        <v>28</v>
      </c>
      <c r="H4587" s="2">
        <v>44639.764675925922</v>
      </c>
      <c r="I4587" t="s">
        <v>4836</v>
      </c>
      <c r="Z4587">
        <v>30026</v>
      </c>
    </row>
    <row r="4588" spans="1:26" x14ac:dyDescent="0.25">
      <c r="A4588" t="s">
        <v>5025</v>
      </c>
      <c r="C4588" t="s">
        <v>28</v>
      </c>
      <c r="E4588" t="s">
        <v>5072</v>
      </c>
      <c r="H4588" s="2">
        <v>44639.49417824074</v>
      </c>
      <c r="I4588" t="s">
        <v>4836</v>
      </c>
      <c r="Z4588">
        <v>29997</v>
      </c>
    </row>
    <row r="4589" spans="1:26" x14ac:dyDescent="0.25">
      <c r="A4589" t="s">
        <v>5073</v>
      </c>
      <c r="B4589" t="s">
        <v>27</v>
      </c>
      <c r="C4589" t="s">
        <v>28</v>
      </c>
      <c r="H4589" s="2">
        <v>44636.611562500002</v>
      </c>
      <c r="I4589" t="s">
        <v>4728</v>
      </c>
      <c r="Z4589">
        <v>29858</v>
      </c>
    </row>
    <row r="4590" spans="1:26" x14ac:dyDescent="0.25">
      <c r="A4590" t="s">
        <v>5074</v>
      </c>
      <c r="B4590" t="s">
        <v>27</v>
      </c>
      <c r="C4590" t="s">
        <v>28</v>
      </c>
      <c r="H4590" s="2">
        <v>44636.58017361111</v>
      </c>
      <c r="I4590" t="s">
        <v>4728</v>
      </c>
      <c r="Z4590">
        <v>29852</v>
      </c>
    </row>
    <row r="4591" spans="1:26" x14ac:dyDescent="0.25">
      <c r="A4591" t="s">
        <v>5075</v>
      </c>
      <c r="B4591" t="s">
        <v>27</v>
      </c>
      <c r="C4591" t="s">
        <v>28</v>
      </c>
      <c r="H4591" s="2">
        <v>44635.644317129627</v>
      </c>
      <c r="I4591" t="s">
        <v>4728</v>
      </c>
      <c r="Z4591">
        <v>29818</v>
      </c>
    </row>
    <row r="4592" spans="1:26" x14ac:dyDescent="0.25">
      <c r="A4592" t="s">
        <v>5076</v>
      </c>
      <c r="B4592" t="s">
        <v>27</v>
      </c>
      <c r="C4592" t="s">
        <v>28</v>
      </c>
      <c r="H4592" s="2">
        <v>44635.492384259262</v>
      </c>
      <c r="I4592" t="s">
        <v>4728</v>
      </c>
      <c r="Z4592">
        <v>29804</v>
      </c>
    </row>
    <row r="4593" spans="1:26" x14ac:dyDescent="0.25">
      <c r="A4593" t="s">
        <v>5077</v>
      </c>
      <c r="B4593" t="s">
        <v>27</v>
      </c>
      <c r="C4593" t="s">
        <v>28</v>
      </c>
      <c r="H4593" s="2">
        <v>44634.799745370372</v>
      </c>
      <c r="I4593" t="s">
        <v>4803</v>
      </c>
      <c r="Z4593">
        <v>29781</v>
      </c>
    </row>
    <row r="4594" spans="1:26" x14ac:dyDescent="0.25">
      <c r="A4594" t="s">
        <v>5078</v>
      </c>
      <c r="B4594" t="s">
        <v>27</v>
      </c>
      <c r="C4594" t="s">
        <v>28</v>
      </c>
      <c r="H4594" s="2">
        <v>44634.64980324074</v>
      </c>
      <c r="I4594" t="s">
        <v>4803</v>
      </c>
      <c r="Z4594">
        <v>29761</v>
      </c>
    </row>
    <row r="4595" spans="1:26" x14ac:dyDescent="0.25">
      <c r="A4595" t="s">
        <v>5079</v>
      </c>
      <c r="B4595" t="s">
        <v>27</v>
      </c>
      <c r="C4595" t="s">
        <v>28</v>
      </c>
      <c r="H4595" s="2">
        <v>44634.525185185186</v>
      </c>
      <c r="I4595" t="s">
        <v>1488</v>
      </c>
      <c r="Z4595">
        <v>29753</v>
      </c>
    </row>
    <row r="4596" spans="1:26" x14ac:dyDescent="0.25">
      <c r="A4596" t="s">
        <v>1992</v>
      </c>
      <c r="B4596" t="s">
        <v>1708</v>
      </c>
      <c r="C4596" t="s">
        <v>28</v>
      </c>
      <c r="E4596" t="s">
        <v>370</v>
      </c>
      <c r="H4596" s="2">
        <v>44634.456238425926</v>
      </c>
      <c r="I4596" t="s">
        <v>4836</v>
      </c>
      <c r="Z4596">
        <v>29746</v>
      </c>
    </row>
    <row r="4597" spans="1:26" x14ac:dyDescent="0.25">
      <c r="A4597" t="s">
        <v>5080</v>
      </c>
      <c r="B4597" t="s">
        <v>27</v>
      </c>
      <c r="C4597" t="s">
        <v>28</v>
      </c>
      <c r="H4597" s="2">
        <v>44633.846122685187</v>
      </c>
      <c r="I4597" t="s">
        <v>4803</v>
      </c>
      <c r="Z4597">
        <v>29730</v>
      </c>
    </row>
    <row r="4598" spans="1:26" x14ac:dyDescent="0.25">
      <c r="A4598" t="s">
        <v>5081</v>
      </c>
      <c r="B4598" t="s">
        <v>27</v>
      </c>
      <c r="C4598" t="s">
        <v>28</v>
      </c>
      <c r="H4598" s="2">
        <v>44633.716550925928</v>
      </c>
      <c r="I4598" t="s">
        <v>4803</v>
      </c>
      <c r="Z4598">
        <v>29720</v>
      </c>
    </row>
    <row r="4599" spans="1:26" x14ac:dyDescent="0.25">
      <c r="A4599" t="s">
        <v>5082</v>
      </c>
      <c r="B4599" t="s">
        <v>27</v>
      </c>
      <c r="C4599" t="s">
        <v>28</v>
      </c>
      <c r="H4599" s="2">
        <v>44633.614016203705</v>
      </c>
      <c r="I4599" t="s">
        <v>4836</v>
      </c>
      <c r="Z4599">
        <v>29705</v>
      </c>
    </row>
    <row r="4600" spans="1:26" x14ac:dyDescent="0.25">
      <c r="A4600" t="s">
        <v>5083</v>
      </c>
      <c r="B4600" t="s">
        <v>27</v>
      </c>
      <c r="C4600" t="s">
        <v>28</v>
      </c>
      <c r="H4600" s="2">
        <v>44633.578645833331</v>
      </c>
      <c r="I4600" t="s">
        <v>4803</v>
      </c>
      <c r="Z4600">
        <v>29696</v>
      </c>
    </row>
    <row r="4601" spans="1:26" x14ac:dyDescent="0.25">
      <c r="A4601" t="s">
        <v>4660</v>
      </c>
      <c r="B4601" t="s">
        <v>27</v>
      </c>
      <c r="C4601" t="s">
        <v>28</v>
      </c>
      <c r="H4601" s="2">
        <v>44632.865289351852</v>
      </c>
      <c r="I4601" t="s">
        <v>4803</v>
      </c>
      <c r="Z4601">
        <v>29665</v>
      </c>
    </row>
    <row r="4602" spans="1:26" x14ac:dyDescent="0.25">
      <c r="A4602" t="s">
        <v>5084</v>
      </c>
      <c r="B4602" t="s">
        <v>27</v>
      </c>
      <c r="C4602" t="s">
        <v>28</v>
      </c>
      <c r="H4602" s="2">
        <v>44632.760694444441</v>
      </c>
      <c r="I4602" t="s">
        <v>4803</v>
      </c>
      <c r="Z4602">
        <v>29656</v>
      </c>
    </row>
    <row r="4603" spans="1:26" x14ac:dyDescent="0.25">
      <c r="A4603" t="s">
        <v>5085</v>
      </c>
      <c r="B4603" t="s">
        <v>27</v>
      </c>
      <c r="C4603" t="s">
        <v>28</v>
      </c>
      <c r="H4603" s="2">
        <v>44632.720381944448</v>
      </c>
      <c r="I4603" t="s">
        <v>4803</v>
      </c>
      <c r="Z4603">
        <v>29651</v>
      </c>
    </row>
    <row r="4604" spans="1:26" x14ac:dyDescent="0.25">
      <c r="A4604" t="s">
        <v>5025</v>
      </c>
      <c r="C4604" t="s">
        <v>28</v>
      </c>
      <c r="E4604" t="s">
        <v>5086</v>
      </c>
      <c r="H4604" s="2">
        <v>44632.64607638889</v>
      </c>
      <c r="I4604" t="s">
        <v>4803</v>
      </c>
      <c r="Z4604">
        <v>29642</v>
      </c>
    </row>
    <row r="4605" spans="1:26" x14ac:dyDescent="0.25">
      <c r="A4605" t="s">
        <v>5087</v>
      </c>
      <c r="B4605" t="s">
        <v>27</v>
      </c>
      <c r="C4605" t="s">
        <v>28</v>
      </c>
      <c r="H4605" s="2">
        <v>44632.440752314818</v>
      </c>
      <c r="I4605" t="s">
        <v>4803</v>
      </c>
      <c r="Z4605">
        <v>29601</v>
      </c>
    </row>
    <row r="4606" spans="1:26" x14ac:dyDescent="0.25">
      <c r="A4606" t="s">
        <v>5025</v>
      </c>
      <c r="C4606" t="s">
        <v>28</v>
      </c>
      <c r="E4606" t="s">
        <v>5088</v>
      </c>
      <c r="H4606" s="2">
        <v>44631.808495370373</v>
      </c>
      <c r="I4606" t="s">
        <v>2113</v>
      </c>
      <c r="Z4606">
        <v>29583</v>
      </c>
    </row>
    <row r="4607" spans="1:26" x14ac:dyDescent="0.25">
      <c r="A4607" t="s">
        <v>5089</v>
      </c>
      <c r="B4607" t="s">
        <v>27</v>
      </c>
      <c r="C4607" t="s">
        <v>28</v>
      </c>
      <c r="H4607" s="2">
        <v>44631.643888888888</v>
      </c>
      <c r="I4607" t="s">
        <v>2113</v>
      </c>
      <c r="Z4607">
        <v>29568</v>
      </c>
    </row>
    <row r="4608" spans="1:26" x14ac:dyDescent="0.25">
      <c r="A4608" t="s">
        <v>5090</v>
      </c>
      <c r="B4608" t="s">
        <v>1708</v>
      </c>
      <c r="C4608" t="s">
        <v>333</v>
      </c>
      <c r="E4608" t="s">
        <v>5091</v>
      </c>
      <c r="H4608" s="2">
        <v>44631.582766203705</v>
      </c>
      <c r="I4608" t="s">
        <v>4728</v>
      </c>
      <c r="Z4608">
        <v>29557</v>
      </c>
    </row>
    <row r="4609" spans="1:26" x14ac:dyDescent="0.25">
      <c r="A4609" t="s">
        <v>5092</v>
      </c>
      <c r="B4609" t="s">
        <v>27</v>
      </c>
      <c r="C4609" t="s">
        <v>28</v>
      </c>
      <c r="H4609" s="2">
        <v>44631.493206018517</v>
      </c>
      <c r="I4609" t="s">
        <v>4728</v>
      </c>
      <c r="Z4609">
        <v>29540</v>
      </c>
    </row>
    <row r="4610" spans="1:26" x14ac:dyDescent="0.25">
      <c r="A4610" t="s">
        <v>3794</v>
      </c>
      <c r="B4610" t="s">
        <v>27</v>
      </c>
      <c r="C4610" t="s">
        <v>28</v>
      </c>
      <c r="H4610" s="2">
        <v>44631.414201388892</v>
      </c>
      <c r="I4610" t="s">
        <v>4728</v>
      </c>
      <c r="Z4610">
        <v>29530</v>
      </c>
    </row>
    <row r="4611" spans="1:26" x14ac:dyDescent="0.25">
      <c r="A4611" t="s">
        <v>5093</v>
      </c>
      <c r="B4611" t="s">
        <v>1708</v>
      </c>
      <c r="C4611" t="s">
        <v>28</v>
      </c>
      <c r="E4611" t="s">
        <v>4508</v>
      </c>
      <c r="H4611" s="2">
        <v>44630.732141203705</v>
      </c>
      <c r="I4611" t="s">
        <v>4728</v>
      </c>
      <c r="Z4611">
        <v>29505</v>
      </c>
    </row>
    <row r="4612" spans="1:26" x14ac:dyDescent="0.25">
      <c r="A4612" t="s">
        <v>5094</v>
      </c>
      <c r="B4612" t="s">
        <v>27</v>
      </c>
      <c r="C4612" t="s">
        <v>28</v>
      </c>
      <c r="H4612" s="2">
        <v>44630.704652777778</v>
      </c>
      <c r="I4612" t="s">
        <v>4728</v>
      </c>
      <c r="Z4612">
        <v>29499</v>
      </c>
    </row>
    <row r="4613" spans="1:26" x14ac:dyDescent="0.25">
      <c r="A4613" t="s">
        <v>4352</v>
      </c>
      <c r="B4613" t="s">
        <v>1993</v>
      </c>
      <c r="C4613" t="s">
        <v>185</v>
      </c>
      <c r="E4613" t="s">
        <v>385</v>
      </c>
      <c r="H4613" s="2">
        <v>44629.778101851851</v>
      </c>
      <c r="I4613" t="s">
        <v>2113</v>
      </c>
      <c r="Z4613">
        <v>29449</v>
      </c>
    </row>
    <row r="4614" spans="1:26" x14ac:dyDescent="0.25">
      <c r="A4614" t="s">
        <v>5025</v>
      </c>
      <c r="C4614" t="s">
        <v>28</v>
      </c>
      <c r="E4614" t="s">
        <v>5095</v>
      </c>
      <c r="H4614" s="2">
        <v>44629.653611111113</v>
      </c>
      <c r="I4614" t="s">
        <v>2113</v>
      </c>
      <c r="Z4614">
        <v>29439</v>
      </c>
    </row>
    <row r="4615" spans="1:26" x14ac:dyDescent="0.25">
      <c r="A4615" t="s">
        <v>5025</v>
      </c>
      <c r="C4615" t="s">
        <v>28</v>
      </c>
      <c r="E4615" t="s">
        <v>5096</v>
      </c>
      <c r="H4615" s="2">
        <v>44628.795925925922</v>
      </c>
      <c r="I4615" t="s">
        <v>4803</v>
      </c>
      <c r="Z4615">
        <v>29402</v>
      </c>
    </row>
    <row r="4616" spans="1:26" x14ac:dyDescent="0.25">
      <c r="A4616" t="s">
        <v>5097</v>
      </c>
      <c r="B4616" t="s">
        <v>27</v>
      </c>
      <c r="C4616" t="s">
        <v>28</v>
      </c>
      <c r="H4616" s="2">
        <v>44628.569745370369</v>
      </c>
      <c r="I4616" t="s">
        <v>4803</v>
      </c>
      <c r="Z4616">
        <v>29384</v>
      </c>
    </row>
    <row r="4617" spans="1:26" x14ac:dyDescent="0.25">
      <c r="A4617" t="s">
        <v>5098</v>
      </c>
      <c r="B4617" t="s">
        <v>5099</v>
      </c>
      <c r="C4617" t="s">
        <v>28</v>
      </c>
      <c r="E4617" t="s">
        <v>186</v>
      </c>
      <c r="G4617" t="s">
        <v>5100</v>
      </c>
      <c r="H4617" s="2">
        <v>44628.46533564815</v>
      </c>
      <c r="I4617" t="s">
        <v>4836</v>
      </c>
      <c r="Z4617">
        <v>29371</v>
      </c>
    </row>
    <row r="4618" spans="1:26" x14ac:dyDescent="0.25">
      <c r="A4618" t="s">
        <v>5101</v>
      </c>
      <c r="B4618" t="s">
        <v>27</v>
      </c>
      <c r="C4618" t="s">
        <v>28</v>
      </c>
      <c r="H4618" s="2">
        <v>44627.681979166664</v>
      </c>
      <c r="I4618" t="s">
        <v>4803</v>
      </c>
      <c r="Z4618">
        <v>29354</v>
      </c>
    </row>
    <row r="4619" spans="1:26" x14ac:dyDescent="0.25">
      <c r="A4619" t="s">
        <v>5102</v>
      </c>
      <c r="B4619" t="s">
        <v>27</v>
      </c>
      <c r="C4619" t="s">
        <v>28</v>
      </c>
      <c r="H4619" s="2">
        <v>44625.43509259259</v>
      </c>
      <c r="I4619" t="s">
        <v>2113</v>
      </c>
      <c r="Z4619">
        <v>29234</v>
      </c>
    </row>
    <row r="4620" spans="1:26" x14ac:dyDescent="0.25">
      <c r="A4620" t="s">
        <v>5103</v>
      </c>
      <c r="B4620" t="s">
        <v>5099</v>
      </c>
      <c r="C4620" t="s">
        <v>28</v>
      </c>
      <c r="E4620" t="s">
        <v>1235</v>
      </c>
      <c r="G4620" t="s">
        <v>5104</v>
      </c>
      <c r="H4620" s="2">
        <v>44624.724907407406</v>
      </c>
      <c r="I4620" t="s">
        <v>2113</v>
      </c>
      <c r="Z4620">
        <v>29221</v>
      </c>
    </row>
    <row r="4621" spans="1:26" x14ac:dyDescent="0.25">
      <c r="A4621" t="s">
        <v>5105</v>
      </c>
      <c r="B4621" t="s">
        <v>27</v>
      </c>
      <c r="C4621" t="s">
        <v>28</v>
      </c>
      <c r="H4621" s="2">
        <v>44624.571238425924</v>
      </c>
      <c r="I4621" t="s">
        <v>1488</v>
      </c>
      <c r="Z4621">
        <v>29209</v>
      </c>
    </row>
    <row r="4622" spans="1:26" x14ac:dyDescent="0.25">
      <c r="A4622" t="s">
        <v>5025</v>
      </c>
      <c r="C4622" t="s">
        <v>28</v>
      </c>
      <c r="E4622" t="s">
        <v>5106</v>
      </c>
      <c r="H4622" s="2">
        <v>44624.542673611111</v>
      </c>
      <c r="I4622" t="s">
        <v>2113</v>
      </c>
      <c r="Z4622">
        <v>29208</v>
      </c>
    </row>
    <row r="4623" spans="1:26" x14ac:dyDescent="0.25">
      <c r="A4623" t="s">
        <v>4352</v>
      </c>
      <c r="B4623" t="s">
        <v>1993</v>
      </c>
      <c r="C4623" t="s">
        <v>28</v>
      </c>
      <c r="E4623" t="s">
        <v>385</v>
      </c>
      <c r="H4623" s="2">
        <v>44624.152789351851</v>
      </c>
      <c r="I4623" t="s">
        <v>2113</v>
      </c>
      <c r="Z4623">
        <v>29190</v>
      </c>
    </row>
    <row r="4624" spans="1:26" x14ac:dyDescent="0.25">
      <c r="A4624" t="s">
        <v>5107</v>
      </c>
      <c r="B4624" t="s">
        <v>5099</v>
      </c>
      <c r="C4624" t="s">
        <v>28</v>
      </c>
      <c r="E4624" t="s">
        <v>2129</v>
      </c>
      <c r="H4624" s="2">
        <v>44623.950069444443</v>
      </c>
      <c r="I4624" t="s">
        <v>2113</v>
      </c>
      <c r="Z4624">
        <v>29188</v>
      </c>
    </row>
    <row r="4625" spans="1:26" x14ac:dyDescent="0.25">
      <c r="A4625" t="s">
        <v>5025</v>
      </c>
      <c r="C4625" t="s">
        <v>28</v>
      </c>
      <c r="E4625" t="s">
        <v>5108</v>
      </c>
      <c r="H4625" s="2">
        <v>44623.512465277781</v>
      </c>
      <c r="I4625" t="s">
        <v>2113</v>
      </c>
      <c r="Z4625">
        <v>29147</v>
      </c>
    </row>
    <row r="4626" spans="1:26" x14ac:dyDescent="0.25">
      <c r="A4626" t="s">
        <v>5109</v>
      </c>
      <c r="B4626" t="s">
        <v>27</v>
      </c>
      <c r="C4626" t="s">
        <v>28</v>
      </c>
      <c r="H4626" s="2">
        <v>44622.722372685188</v>
      </c>
      <c r="I4626" t="s">
        <v>4836</v>
      </c>
      <c r="Z4626">
        <v>29119</v>
      </c>
    </row>
    <row r="4627" spans="1:26" x14ac:dyDescent="0.25">
      <c r="A4627" t="s">
        <v>5110</v>
      </c>
      <c r="B4627" t="s">
        <v>5099</v>
      </c>
      <c r="C4627" t="s">
        <v>28</v>
      </c>
      <c r="E4627" t="s">
        <v>5111</v>
      </c>
      <c r="H4627" s="2">
        <v>44622.530057870368</v>
      </c>
      <c r="I4627" t="s">
        <v>4803</v>
      </c>
      <c r="Z4627">
        <v>29102</v>
      </c>
    </row>
    <row r="4628" spans="1:26" x14ac:dyDescent="0.25">
      <c r="A4628" t="s">
        <v>5112</v>
      </c>
      <c r="B4628" t="s">
        <v>27</v>
      </c>
      <c r="C4628" t="s">
        <v>28</v>
      </c>
      <c r="H4628" s="2">
        <v>44621.778483796297</v>
      </c>
      <c r="I4628" t="s">
        <v>4836</v>
      </c>
      <c r="Z4628">
        <v>29081</v>
      </c>
    </row>
    <row r="4629" spans="1:26" x14ac:dyDescent="0.25">
      <c r="A4629" t="s">
        <v>5113</v>
      </c>
      <c r="B4629" t="s">
        <v>27</v>
      </c>
      <c r="C4629" t="s">
        <v>28</v>
      </c>
      <c r="H4629" s="2">
        <v>44621.696157407408</v>
      </c>
      <c r="I4629" t="s">
        <v>4836</v>
      </c>
      <c r="Z4629">
        <v>29075</v>
      </c>
    </row>
    <row r="4630" spans="1:26" x14ac:dyDescent="0.25">
      <c r="A4630" t="s">
        <v>5114</v>
      </c>
      <c r="B4630" t="s">
        <v>27</v>
      </c>
      <c r="C4630" t="s">
        <v>28</v>
      </c>
      <c r="H4630" s="2">
        <v>44621.487581018519</v>
      </c>
      <c r="I4630" t="s">
        <v>4803</v>
      </c>
      <c r="Z4630">
        <v>29058</v>
      </c>
    </row>
    <row r="4631" spans="1:26" x14ac:dyDescent="0.25">
      <c r="A4631" t="s">
        <v>5115</v>
      </c>
      <c r="B4631" t="s">
        <v>27</v>
      </c>
      <c r="C4631" t="s">
        <v>28</v>
      </c>
      <c r="H4631" s="2">
        <v>44620.537743055553</v>
      </c>
      <c r="I4631" t="s">
        <v>4836</v>
      </c>
      <c r="Z4631">
        <v>29016</v>
      </c>
    </row>
    <row r="4632" spans="1:26" x14ac:dyDescent="0.25">
      <c r="A4632" t="s">
        <v>4455</v>
      </c>
      <c r="B4632" t="s">
        <v>27</v>
      </c>
      <c r="C4632" t="s">
        <v>28</v>
      </c>
      <c r="H4632" s="2">
        <v>44620.39638888889</v>
      </c>
      <c r="I4632" t="s">
        <v>4836</v>
      </c>
      <c r="Z4632">
        <v>29003</v>
      </c>
    </row>
    <row r="4633" spans="1:26" x14ac:dyDescent="0.25">
      <c r="A4633" t="s">
        <v>5116</v>
      </c>
      <c r="B4633" t="s">
        <v>5099</v>
      </c>
      <c r="C4633" t="s">
        <v>28</v>
      </c>
      <c r="E4633" t="s">
        <v>5117</v>
      </c>
      <c r="G4633" t="s">
        <v>5118</v>
      </c>
      <c r="H4633" s="2">
        <v>44619.900902777779</v>
      </c>
      <c r="I4633" t="s">
        <v>2113</v>
      </c>
      <c r="Z4633">
        <v>28995</v>
      </c>
    </row>
    <row r="4634" spans="1:26" x14ac:dyDescent="0.25">
      <c r="A4634" t="s">
        <v>5119</v>
      </c>
      <c r="B4634" t="s">
        <v>27</v>
      </c>
      <c r="C4634" t="s">
        <v>28</v>
      </c>
      <c r="H4634" s="2">
        <v>44617.546284722222</v>
      </c>
      <c r="I4634" t="s">
        <v>2113</v>
      </c>
      <c r="Z4634">
        <v>28918</v>
      </c>
    </row>
    <row r="4635" spans="1:26" x14ac:dyDescent="0.25">
      <c r="A4635" t="s">
        <v>5120</v>
      </c>
      <c r="B4635" t="s">
        <v>27</v>
      </c>
      <c r="C4635" t="s">
        <v>28</v>
      </c>
      <c r="H4635" s="2">
        <v>44617.473101851851</v>
      </c>
      <c r="I4635" t="s">
        <v>2113</v>
      </c>
      <c r="Z4635">
        <v>28911</v>
      </c>
    </row>
    <row r="4636" spans="1:26" x14ac:dyDescent="0.25">
      <c r="A4636" t="s">
        <v>5121</v>
      </c>
      <c r="B4636" t="s">
        <v>27</v>
      </c>
      <c r="C4636" t="s">
        <v>28</v>
      </c>
      <c r="H4636" s="2">
        <v>44617.415844907409</v>
      </c>
      <c r="I4636" t="s">
        <v>4728</v>
      </c>
      <c r="Z4636">
        <v>28908</v>
      </c>
    </row>
    <row r="4637" spans="1:26" x14ac:dyDescent="0.25">
      <c r="A4637" t="s">
        <v>5122</v>
      </c>
      <c r="B4637" t="s">
        <v>27</v>
      </c>
      <c r="C4637" t="s">
        <v>28</v>
      </c>
      <c r="H4637" s="2">
        <v>44616.420995370368</v>
      </c>
      <c r="I4637" t="s">
        <v>4836</v>
      </c>
      <c r="Z4637">
        <v>28874</v>
      </c>
    </row>
    <row r="4638" spans="1:26" x14ac:dyDescent="0.25">
      <c r="A4638" t="s">
        <v>5025</v>
      </c>
      <c r="C4638" t="s">
        <v>28</v>
      </c>
      <c r="E4638" t="s">
        <v>5123</v>
      </c>
      <c r="H4638" s="2">
        <v>44616.41814814815</v>
      </c>
      <c r="I4638" t="s">
        <v>4803</v>
      </c>
      <c r="Z4638">
        <v>28873</v>
      </c>
    </row>
    <row r="4639" spans="1:26" x14ac:dyDescent="0.25">
      <c r="A4639" t="s">
        <v>5025</v>
      </c>
      <c r="C4639" t="s">
        <v>28</v>
      </c>
      <c r="E4639" t="s">
        <v>5124</v>
      </c>
      <c r="H4639" s="2">
        <v>44616.215196759258</v>
      </c>
      <c r="I4639" t="s">
        <v>4803</v>
      </c>
      <c r="Z4639">
        <v>28870</v>
      </c>
    </row>
    <row r="4640" spans="1:26" x14ac:dyDescent="0.25">
      <c r="A4640" t="s">
        <v>2826</v>
      </c>
      <c r="B4640" t="s">
        <v>1993</v>
      </c>
      <c r="C4640" t="s">
        <v>185</v>
      </c>
      <c r="E4640" t="s">
        <v>1942</v>
      </c>
      <c r="H4640" s="2">
        <v>44615.740532407406</v>
      </c>
      <c r="I4640" t="s">
        <v>4836</v>
      </c>
      <c r="Z4640">
        <v>28862</v>
      </c>
    </row>
    <row r="4641" spans="1:26" x14ac:dyDescent="0.25">
      <c r="A4641" t="s">
        <v>2826</v>
      </c>
      <c r="B4641" t="s">
        <v>1993</v>
      </c>
      <c r="C4641" t="s">
        <v>28</v>
      </c>
      <c r="E4641" t="s">
        <v>1942</v>
      </c>
      <c r="H4641" s="2">
        <v>44615.622604166667</v>
      </c>
      <c r="I4641" t="s">
        <v>4836</v>
      </c>
      <c r="Z4641">
        <v>28852</v>
      </c>
    </row>
    <row r="4642" spans="1:26" x14ac:dyDescent="0.25">
      <c r="A4642" t="s">
        <v>5063</v>
      </c>
      <c r="B4642" t="s">
        <v>27</v>
      </c>
      <c r="C4642" t="s">
        <v>28</v>
      </c>
      <c r="H4642" s="2">
        <v>44614.856319444443</v>
      </c>
      <c r="I4642" t="s">
        <v>4836</v>
      </c>
      <c r="Z4642">
        <v>28825</v>
      </c>
    </row>
    <row r="4643" spans="1:26" x14ac:dyDescent="0.25">
      <c r="A4643" t="s">
        <v>5125</v>
      </c>
      <c r="B4643" t="s">
        <v>74</v>
      </c>
      <c r="C4643" t="s">
        <v>28</v>
      </c>
      <c r="E4643" t="s">
        <v>5126</v>
      </c>
      <c r="G4643" t="s">
        <v>5127</v>
      </c>
      <c r="H4643" s="2">
        <v>44614.608668981484</v>
      </c>
      <c r="I4643" t="s">
        <v>4803</v>
      </c>
      <c r="Z4643">
        <v>28802</v>
      </c>
    </row>
    <row r="4644" spans="1:26" x14ac:dyDescent="0.25">
      <c r="A4644" t="s">
        <v>2205</v>
      </c>
      <c r="B4644" t="s">
        <v>1993</v>
      </c>
      <c r="C4644" t="s">
        <v>28</v>
      </c>
      <c r="E4644" t="s">
        <v>101</v>
      </c>
      <c r="H4644" s="2">
        <v>44613.531550925924</v>
      </c>
      <c r="I4644" t="s">
        <v>4728</v>
      </c>
      <c r="Z4644">
        <v>28743</v>
      </c>
    </row>
    <row r="4645" spans="1:26" x14ac:dyDescent="0.25">
      <c r="A4645" t="s">
        <v>5128</v>
      </c>
      <c r="B4645" t="s">
        <v>27</v>
      </c>
      <c r="C4645" t="s">
        <v>28</v>
      </c>
      <c r="H4645" s="2">
        <v>44613.499282407407</v>
      </c>
      <c r="I4645" t="s">
        <v>2113</v>
      </c>
      <c r="Z4645">
        <v>28737</v>
      </c>
    </row>
    <row r="4646" spans="1:26" x14ac:dyDescent="0.25">
      <c r="A4646" t="s">
        <v>5129</v>
      </c>
      <c r="B4646" t="s">
        <v>27</v>
      </c>
      <c r="C4646" t="s">
        <v>2219</v>
      </c>
      <c r="H4646" s="2">
        <v>44613.443159722221</v>
      </c>
      <c r="I4646" t="s">
        <v>4728</v>
      </c>
      <c r="Z4646">
        <v>28732</v>
      </c>
    </row>
    <row r="4647" spans="1:26" x14ac:dyDescent="0.25">
      <c r="A4647" t="s">
        <v>3475</v>
      </c>
      <c r="B4647" t="s">
        <v>1993</v>
      </c>
      <c r="C4647" t="s">
        <v>333</v>
      </c>
      <c r="E4647" t="s">
        <v>763</v>
      </c>
      <c r="H4647" s="2">
        <v>44613.283472222225</v>
      </c>
      <c r="I4647" t="s">
        <v>4728</v>
      </c>
      <c r="Z4647">
        <v>28718</v>
      </c>
    </row>
    <row r="4648" spans="1:26" x14ac:dyDescent="0.25">
      <c r="A4648" t="s">
        <v>5130</v>
      </c>
      <c r="B4648" t="s">
        <v>5099</v>
      </c>
      <c r="C4648" t="s">
        <v>28</v>
      </c>
      <c r="E4648" t="s">
        <v>5131</v>
      </c>
      <c r="H4648" s="2">
        <v>44612.798611111109</v>
      </c>
      <c r="I4648" t="s">
        <v>2113</v>
      </c>
      <c r="Z4648">
        <v>28710</v>
      </c>
    </row>
    <row r="4649" spans="1:26" x14ac:dyDescent="0.25">
      <c r="A4649" t="s">
        <v>5116</v>
      </c>
      <c r="B4649" t="s">
        <v>5099</v>
      </c>
      <c r="C4649" t="s">
        <v>28</v>
      </c>
      <c r="E4649" t="s">
        <v>5117</v>
      </c>
      <c r="G4649" t="s">
        <v>5118</v>
      </c>
      <c r="H4649" s="2">
        <v>44612.524988425925</v>
      </c>
      <c r="I4649" t="s">
        <v>2113</v>
      </c>
      <c r="Z4649">
        <v>28700</v>
      </c>
    </row>
    <row r="4650" spans="1:26" x14ac:dyDescent="0.25">
      <c r="A4650" t="s">
        <v>5132</v>
      </c>
      <c r="B4650" t="s">
        <v>27</v>
      </c>
      <c r="C4650" t="s">
        <v>28</v>
      </c>
      <c r="H4650" s="2">
        <v>44612.389270833337</v>
      </c>
      <c r="I4650" t="s">
        <v>2113</v>
      </c>
      <c r="Z4650">
        <v>28689</v>
      </c>
    </row>
    <row r="4651" spans="1:26" x14ac:dyDescent="0.25">
      <c r="A4651" t="s">
        <v>5025</v>
      </c>
      <c r="C4651" t="s">
        <v>28</v>
      </c>
      <c r="E4651" t="s">
        <v>5133</v>
      </c>
      <c r="H4651" s="2">
        <v>44611.769687499997</v>
      </c>
      <c r="I4651" t="s">
        <v>1488</v>
      </c>
      <c r="Z4651">
        <v>28677</v>
      </c>
    </row>
    <row r="4652" spans="1:26" x14ac:dyDescent="0.25">
      <c r="A4652" t="s">
        <v>4892</v>
      </c>
      <c r="B4652" t="s">
        <v>1708</v>
      </c>
      <c r="C4652" t="s">
        <v>28</v>
      </c>
      <c r="E4652" t="s">
        <v>5134</v>
      </c>
      <c r="H4652" s="2">
        <v>44611.558287037034</v>
      </c>
      <c r="I4652" t="s">
        <v>4728</v>
      </c>
      <c r="Z4652">
        <v>28663</v>
      </c>
    </row>
    <row r="4653" spans="1:26" x14ac:dyDescent="0.25">
      <c r="A4653" t="s">
        <v>5135</v>
      </c>
      <c r="B4653" t="s">
        <v>27</v>
      </c>
      <c r="C4653" t="s">
        <v>28</v>
      </c>
      <c r="H4653" s="2">
        <v>44611.427916666667</v>
      </c>
      <c r="I4653" t="s">
        <v>4728</v>
      </c>
      <c r="Z4653">
        <v>28651</v>
      </c>
    </row>
    <row r="4654" spans="1:26" x14ac:dyDescent="0.25">
      <c r="A4654" t="s">
        <v>4798</v>
      </c>
      <c r="B4654" t="s">
        <v>27</v>
      </c>
      <c r="C4654" t="s">
        <v>28</v>
      </c>
      <c r="H4654" s="2">
        <v>44611.413877314815</v>
      </c>
      <c r="I4654" t="s">
        <v>4728</v>
      </c>
      <c r="Z4654">
        <v>28649</v>
      </c>
    </row>
    <row r="4655" spans="1:26" x14ac:dyDescent="0.25">
      <c r="A4655" t="s">
        <v>5136</v>
      </c>
      <c r="B4655" t="s">
        <v>27</v>
      </c>
      <c r="C4655" t="s">
        <v>28</v>
      </c>
      <c r="H4655" s="2">
        <v>44610.627893518518</v>
      </c>
      <c r="I4655" t="s">
        <v>4803</v>
      </c>
      <c r="Z4655">
        <v>28614</v>
      </c>
    </row>
    <row r="4656" spans="1:26" x14ac:dyDescent="0.25">
      <c r="A4656" t="s">
        <v>5137</v>
      </c>
      <c r="B4656" t="s">
        <v>27</v>
      </c>
      <c r="C4656" t="s">
        <v>28</v>
      </c>
      <c r="H4656" s="2">
        <v>44609.584814814814</v>
      </c>
      <c r="I4656" t="s">
        <v>4803</v>
      </c>
      <c r="Z4656">
        <v>28527</v>
      </c>
    </row>
    <row r="4657" spans="1:26" x14ac:dyDescent="0.25">
      <c r="A4657" t="s">
        <v>5025</v>
      </c>
      <c r="C4657" t="s">
        <v>28</v>
      </c>
      <c r="E4657" t="s">
        <v>5138</v>
      </c>
      <c r="H4657" s="2">
        <v>44608.613518518519</v>
      </c>
      <c r="I4657" t="s">
        <v>4836</v>
      </c>
      <c r="Z4657">
        <v>28460</v>
      </c>
    </row>
    <row r="4658" spans="1:26" x14ac:dyDescent="0.25">
      <c r="A4658" t="s">
        <v>5025</v>
      </c>
      <c r="C4658" t="s">
        <v>28</v>
      </c>
      <c r="E4658" t="s">
        <v>5139</v>
      </c>
      <c r="H4658" s="2">
        <v>44608.607881944445</v>
      </c>
      <c r="I4658" t="s">
        <v>4836</v>
      </c>
      <c r="Z4658">
        <v>28458</v>
      </c>
    </row>
    <row r="4659" spans="1:26" x14ac:dyDescent="0.25">
      <c r="A4659" t="s">
        <v>5140</v>
      </c>
      <c r="B4659" t="s">
        <v>27</v>
      </c>
      <c r="C4659" t="s">
        <v>28</v>
      </c>
      <c r="H4659" s="2">
        <v>44608.588773148149</v>
      </c>
      <c r="I4659" t="s">
        <v>4803</v>
      </c>
      <c r="Z4659">
        <v>28456</v>
      </c>
    </row>
    <row r="4660" spans="1:26" x14ac:dyDescent="0.25">
      <c r="A4660" t="s">
        <v>5025</v>
      </c>
      <c r="C4660" t="s">
        <v>28</v>
      </c>
      <c r="E4660" t="s">
        <v>929</v>
      </c>
      <c r="H4660" s="2">
        <v>44608.570185185185</v>
      </c>
      <c r="I4660" t="s">
        <v>4803</v>
      </c>
      <c r="Z4660">
        <v>28453</v>
      </c>
    </row>
    <row r="4661" spans="1:26" x14ac:dyDescent="0.25">
      <c r="A4661" t="s">
        <v>5025</v>
      </c>
      <c r="C4661" t="s">
        <v>28</v>
      </c>
      <c r="E4661" t="s">
        <v>5141</v>
      </c>
      <c r="H4661" s="2">
        <v>44607.52511574074</v>
      </c>
      <c r="I4661" t="s">
        <v>2113</v>
      </c>
      <c r="Z4661">
        <v>28402</v>
      </c>
    </row>
    <row r="4662" spans="1:26" x14ac:dyDescent="0.25">
      <c r="A4662" t="s">
        <v>5142</v>
      </c>
      <c r="B4662" t="s">
        <v>5099</v>
      </c>
      <c r="C4662" t="s">
        <v>185</v>
      </c>
      <c r="E4662" t="s">
        <v>232</v>
      </c>
      <c r="G4662" t="s">
        <v>5143</v>
      </c>
      <c r="H4662" s="2">
        <v>44606.625798611109</v>
      </c>
      <c r="I4662" t="s">
        <v>2113</v>
      </c>
      <c r="Z4662">
        <v>28367</v>
      </c>
    </row>
    <row r="4663" spans="1:26" x14ac:dyDescent="0.25">
      <c r="A4663" t="s">
        <v>5144</v>
      </c>
      <c r="B4663" t="s">
        <v>74</v>
      </c>
      <c r="C4663" t="s">
        <v>28</v>
      </c>
      <c r="E4663" t="s">
        <v>5145</v>
      </c>
      <c r="G4663" t="s">
        <v>427</v>
      </c>
      <c r="H4663" s="2">
        <v>44606.571689814817</v>
      </c>
      <c r="I4663" t="s">
        <v>2113</v>
      </c>
      <c r="Z4663">
        <v>28364</v>
      </c>
    </row>
    <row r="4664" spans="1:26" x14ac:dyDescent="0.25">
      <c r="A4664" t="s">
        <v>5146</v>
      </c>
      <c r="B4664" t="s">
        <v>27</v>
      </c>
      <c r="C4664" t="s">
        <v>28</v>
      </c>
      <c r="H4664" s="2">
        <v>44606.451828703706</v>
      </c>
      <c r="I4664" t="s">
        <v>4728</v>
      </c>
      <c r="Z4664">
        <v>28347</v>
      </c>
    </row>
    <row r="4665" spans="1:26" x14ac:dyDescent="0.25">
      <c r="A4665" t="s">
        <v>5025</v>
      </c>
      <c r="C4665" t="s">
        <v>28</v>
      </c>
      <c r="E4665" t="s">
        <v>5147</v>
      </c>
      <c r="H4665" s="2">
        <v>44606.432523148149</v>
      </c>
      <c r="I4665" t="s">
        <v>4728</v>
      </c>
      <c r="Z4665">
        <v>28346</v>
      </c>
    </row>
    <row r="4666" spans="1:26" x14ac:dyDescent="0.25">
      <c r="A4666" t="s">
        <v>3304</v>
      </c>
      <c r="B4666" t="s">
        <v>27</v>
      </c>
      <c r="C4666" t="s">
        <v>28</v>
      </c>
      <c r="H4666" s="2">
        <v>44605.594930555555</v>
      </c>
      <c r="I4666" t="s">
        <v>4728</v>
      </c>
      <c r="Z4666">
        <v>28312</v>
      </c>
    </row>
    <row r="4667" spans="1:26" x14ac:dyDescent="0.25">
      <c r="A4667" t="s">
        <v>5148</v>
      </c>
      <c r="B4667" t="s">
        <v>27</v>
      </c>
      <c r="C4667" t="s">
        <v>28</v>
      </c>
      <c r="H4667" s="2">
        <v>44603.803043981483</v>
      </c>
      <c r="I4667" t="s">
        <v>4803</v>
      </c>
      <c r="Z4667">
        <v>28254</v>
      </c>
    </row>
    <row r="4668" spans="1:26" x14ac:dyDescent="0.25">
      <c r="A4668" t="s">
        <v>5149</v>
      </c>
      <c r="B4668" t="s">
        <v>27</v>
      </c>
      <c r="C4668" t="s">
        <v>28</v>
      </c>
      <c r="H4668" s="2">
        <v>44603.729988425926</v>
      </c>
      <c r="I4668" t="s">
        <v>4803</v>
      </c>
      <c r="Z4668">
        <v>28250</v>
      </c>
    </row>
    <row r="4669" spans="1:26" x14ac:dyDescent="0.25">
      <c r="A4669" t="s">
        <v>5150</v>
      </c>
      <c r="B4669" t="s">
        <v>27</v>
      </c>
      <c r="C4669" t="s">
        <v>28</v>
      </c>
      <c r="H4669" s="2">
        <v>44603.536631944444</v>
      </c>
      <c r="I4669" t="s">
        <v>4836</v>
      </c>
      <c r="Z4669">
        <v>28232</v>
      </c>
    </row>
    <row r="4670" spans="1:26" x14ac:dyDescent="0.25">
      <c r="A4670" t="s">
        <v>5025</v>
      </c>
      <c r="C4670" t="s">
        <v>28</v>
      </c>
      <c r="E4670" t="s">
        <v>5151</v>
      </c>
      <c r="H4670" s="2">
        <v>44603.228402777779</v>
      </c>
      <c r="I4670" t="s">
        <v>4836</v>
      </c>
      <c r="Z4670">
        <v>28218</v>
      </c>
    </row>
    <row r="4671" spans="1:26" x14ac:dyDescent="0.25">
      <c r="A4671" t="s">
        <v>4279</v>
      </c>
      <c r="B4671" t="s">
        <v>4548</v>
      </c>
      <c r="C4671" t="s">
        <v>28</v>
      </c>
      <c r="H4671" s="2">
        <v>44602.755300925928</v>
      </c>
      <c r="I4671" t="s">
        <v>5152</v>
      </c>
      <c r="K4671" t="s">
        <v>40</v>
      </c>
      <c r="L4671" t="s">
        <v>35</v>
      </c>
      <c r="M4671" t="s">
        <v>5153</v>
      </c>
      <c r="N4671" t="s">
        <v>5154</v>
      </c>
      <c r="O4671" t="s">
        <v>5155</v>
      </c>
      <c r="Z4671">
        <v>28209</v>
      </c>
    </row>
    <row r="4672" spans="1:26" x14ac:dyDescent="0.25">
      <c r="A4672" t="s">
        <v>5156</v>
      </c>
      <c r="B4672" t="s">
        <v>27</v>
      </c>
      <c r="C4672" t="s">
        <v>28</v>
      </c>
      <c r="H4672" s="2">
        <v>44602.502754629626</v>
      </c>
      <c r="I4672" t="s">
        <v>4803</v>
      </c>
      <c r="Z4672">
        <v>28194</v>
      </c>
    </row>
    <row r="4673" spans="1:26" x14ac:dyDescent="0.25">
      <c r="A4673" t="s">
        <v>5157</v>
      </c>
      <c r="B4673" t="s">
        <v>5099</v>
      </c>
      <c r="C4673" t="s">
        <v>28</v>
      </c>
      <c r="E4673" t="s">
        <v>272</v>
      </c>
      <c r="H4673" s="2">
        <v>44601.653368055559</v>
      </c>
      <c r="I4673" t="s">
        <v>2113</v>
      </c>
      <c r="Z4673">
        <v>28161</v>
      </c>
    </row>
    <row r="4674" spans="1:26" x14ac:dyDescent="0.25">
      <c r="A4674" t="s">
        <v>5025</v>
      </c>
      <c r="C4674" t="s">
        <v>28</v>
      </c>
      <c r="E4674" t="s">
        <v>5158</v>
      </c>
      <c r="H4674" s="2">
        <v>44601.581689814811</v>
      </c>
      <c r="I4674" t="s">
        <v>1488</v>
      </c>
      <c r="Z4674">
        <v>28157</v>
      </c>
    </row>
    <row r="4675" spans="1:26" x14ac:dyDescent="0.25">
      <c r="A4675" t="s">
        <v>5025</v>
      </c>
      <c r="C4675" t="s">
        <v>28</v>
      </c>
      <c r="E4675" t="s">
        <v>5159</v>
      </c>
      <c r="H4675" s="2">
        <v>44601.322025462963</v>
      </c>
      <c r="I4675" t="s">
        <v>1488</v>
      </c>
      <c r="Z4675">
        <v>28141</v>
      </c>
    </row>
    <row r="4676" spans="1:26" x14ac:dyDescent="0.25">
      <c r="A4676" t="s">
        <v>4658</v>
      </c>
      <c r="B4676" t="s">
        <v>74</v>
      </c>
      <c r="C4676" t="s">
        <v>28</v>
      </c>
      <c r="E4676" t="s">
        <v>2854</v>
      </c>
      <c r="G4676" t="s">
        <v>2226</v>
      </c>
      <c r="H4676" s="2">
        <v>44601.240381944444</v>
      </c>
      <c r="I4676" t="s">
        <v>4728</v>
      </c>
      <c r="Z4676">
        <v>28140</v>
      </c>
    </row>
    <row r="4677" spans="1:26" x14ac:dyDescent="0.25">
      <c r="A4677" t="s">
        <v>5025</v>
      </c>
      <c r="C4677" t="s">
        <v>28</v>
      </c>
      <c r="E4677" t="s">
        <v>5160</v>
      </c>
      <c r="H4677" s="2">
        <v>44600.578738425924</v>
      </c>
      <c r="I4677" t="s">
        <v>2113</v>
      </c>
      <c r="Z4677">
        <v>28121</v>
      </c>
    </row>
    <row r="4678" spans="1:26" x14ac:dyDescent="0.25">
      <c r="A4678" t="s">
        <v>5161</v>
      </c>
      <c r="B4678" t="s">
        <v>27</v>
      </c>
      <c r="C4678" t="s">
        <v>28</v>
      </c>
      <c r="H4678" s="2">
        <v>44600.566446759258</v>
      </c>
      <c r="I4678" t="s">
        <v>4728</v>
      </c>
      <c r="Z4678">
        <v>28120</v>
      </c>
    </row>
    <row r="4679" spans="1:26" x14ac:dyDescent="0.25">
      <c r="A4679" t="s">
        <v>5025</v>
      </c>
      <c r="C4679" t="s">
        <v>28</v>
      </c>
      <c r="E4679" t="s">
        <v>5162</v>
      </c>
      <c r="H4679" s="2">
        <v>44599.954386574071</v>
      </c>
      <c r="I4679" t="s">
        <v>2113</v>
      </c>
      <c r="Z4679">
        <v>28097</v>
      </c>
    </row>
    <row r="4680" spans="1:26" x14ac:dyDescent="0.25">
      <c r="A4680" t="s">
        <v>1793</v>
      </c>
      <c r="B4680" t="s">
        <v>4548</v>
      </c>
      <c r="C4680" t="s">
        <v>28</v>
      </c>
      <c r="H4680" s="2">
        <v>44599.746793981481</v>
      </c>
      <c r="I4680" t="s">
        <v>5152</v>
      </c>
      <c r="Z4680">
        <v>28088</v>
      </c>
    </row>
    <row r="4681" spans="1:26" x14ac:dyDescent="0.25">
      <c r="A4681" t="s">
        <v>5163</v>
      </c>
      <c r="B4681" t="s">
        <v>27</v>
      </c>
      <c r="C4681" t="s">
        <v>28</v>
      </c>
      <c r="H4681" s="2">
        <v>44599.468298611115</v>
      </c>
      <c r="I4681" t="s">
        <v>2113</v>
      </c>
      <c r="Z4681">
        <v>28063</v>
      </c>
    </row>
    <row r="4682" spans="1:26" x14ac:dyDescent="0.25">
      <c r="A4682" t="s">
        <v>5164</v>
      </c>
      <c r="B4682" t="s">
        <v>27</v>
      </c>
      <c r="C4682" t="s">
        <v>28</v>
      </c>
      <c r="H4682" s="2">
        <v>44599.395775462966</v>
      </c>
      <c r="I4682" t="s">
        <v>2113</v>
      </c>
      <c r="Z4682">
        <v>28056</v>
      </c>
    </row>
    <row r="4683" spans="1:26" x14ac:dyDescent="0.25">
      <c r="A4683" t="s">
        <v>5165</v>
      </c>
      <c r="B4683" t="s">
        <v>1708</v>
      </c>
      <c r="C4683" t="s">
        <v>28</v>
      </c>
      <c r="E4683" t="s">
        <v>72</v>
      </c>
      <c r="G4683" t="s">
        <v>5166</v>
      </c>
      <c r="H4683" s="2">
        <v>44598.612870370373</v>
      </c>
      <c r="I4683" t="s">
        <v>4728</v>
      </c>
      <c r="Z4683">
        <v>28039</v>
      </c>
    </row>
    <row r="4684" spans="1:26" x14ac:dyDescent="0.25">
      <c r="A4684" t="s">
        <v>4146</v>
      </c>
      <c r="B4684" t="s">
        <v>27</v>
      </c>
      <c r="C4684" t="s">
        <v>28</v>
      </c>
      <c r="H4684" s="2">
        <v>44598.532847222225</v>
      </c>
      <c r="I4684" t="s">
        <v>4728</v>
      </c>
      <c r="Z4684">
        <v>28033</v>
      </c>
    </row>
    <row r="4685" spans="1:26" x14ac:dyDescent="0.25">
      <c r="A4685" t="s">
        <v>5025</v>
      </c>
      <c r="C4685" t="s">
        <v>28</v>
      </c>
      <c r="E4685" t="s">
        <v>5167</v>
      </c>
      <c r="H4685" s="2">
        <v>44598.506898148145</v>
      </c>
      <c r="I4685" t="s">
        <v>4728</v>
      </c>
      <c r="Z4685">
        <v>28030</v>
      </c>
    </row>
    <row r="4686" spans="1:26" x14ac:dyDescent="0.25">
      <c r="A4686" t="s">
        <v>5168</v>
      </c>
      <c r="B4686" t="s">
        <v>5099</v>
      </c>
      <c r="C4686" t="s">
        <v>28</v>
      </c>
      <c r="E4686" t="s">
        <v>72</v>
      </c>
      <c r="G4686" t="s">
        <v>5169</v>
      </c>
      <c r="H4686" s="2">
        <v>44598.489849537036</v>
      </c>
      <c r="I4686" t="s">
        <v>4803</v>
      </c>
      <c r="Z4686">
        <v>28027</v>
      </c>
    </row>
    <row r="4687" spans="1:26" x14ac:dyDescent="0.25">
      <c r="A4687" t="s">
        <v>5025</v>
      </c>
      <c r="C4687" t="s">
        <v>28</v>
      </c>
      <c r="E4687" t="s">
        <v>5170</v>
      </c>
      <c r="H4687" s="2">
        <v>44598.029490740744</v>
      </c>
      <c r="I4687" t="s">
        <v>1488</v>
      </c>
      <c r="Z4687">
        <v>28015</v>
      </c>
    </row>
    <row r="4688" spans="1:26" x14ac:dyDescent="0.25">
      <c r="A4688" t="s">
        <v>5171</v>
      </c>
      <c r="B4688" t="s">
        <v>27</v>
      </c>
      <c r="C4688" t="s">
        <v>28</v>
      </c>
      <c r="H4688" s="2">
        <v>44597.884687500002</v>
      </c>
      <c r="I4688" t="s">
        <v>4803</v>
      </c>
      <c r="Z4688">
        <v>28012</v>
      </c>
    </row>
    <row r="4689" spans="1:26" x14ac:dyDescent="0.25">
      <c r="A4689" t="s">
        <v>5025</v>
      </c>
      <c r="C4689" t="s">
        <v>28</v>
      </c>
      <c r="E4689" t="s">
        <v>5172</v>
      </c>
      <c r="H4689" s="2">
        <v>44597.86928240741</v>
      </c>
      <c r="I4689" t="s">
        <v>4803</v>
      </c>
      <c r="Z4689">
        <v>28011</v>
      </c>
    </row>
    <row r="4690" spans="1:26" x14ac:dyDescent="0.25">
      <c r="A4690" t="s">
        <v>5173</v>
      </c>
      <c r="B4690" t="s">
        <v>1708</v>
      </c>
      <c r="C4690" t="s">
        <v>28</v>
      </c>
      <c r="E4690" t="s">
        <v>5174</v>
      </c>
      <c r="G4690" t="s">
        <v>5175</v>
      </c>
      <c r="H4690" s="2">
        <v>44597.819131944445</v>
      </c>
      <c r="I4690" t="s">
        <v>2113</v>
      </c>
      <c r="Z4690">
        <v>28008</v>
      </c>
    </row>
    <row r="4691" spans="1:26" x14ac:dyDescent="0.25">
      <c r="A4691" t="s">
        <v>2009</v>
      </c>
      <c r="B4691" t="s">
        <v>5176</v>
      </c>
      <c r="C4691" t="s">
        <v>28</v>
      </c>
      <c r="E4691" t="s">
        <v>2010</v>
      </c>
      <c r="H4691" s="2">
        <v>44597.590810185182</v>
      </c>
      <c r="I4691" t="s">
        <v>4803</v>
      </c>
      <c r="Z4691">
        <v>27992</v>
      </c>
    </row>
    <row r="4692" spans="1:26" x14ac:dyDescent="0.25">
      <c r="A4692" t="s">
        <v>5051</v>
      </c>
      <c r="B4692" t="s">
        <v>27</v>
      </c>
      <c r="C4692" t="s">
        <v>28</v>
      </c>
      <c r="H4692" s="2">
        <v>44596.645972222221</v>
      </c>
      <c r="I4692" t="s">
        <v>4803</v>
      </c>
      <c r="Z4692">
        <v>27955</v>
      </c>
    </row>
    <row r="4693" spans="1:26" x14ac:dyDescent="0.25">
      <c r="A4693" t="s">
        <v>5177</v>
      </c>
      <c r="B4693" t="s">
        <v>27</v>
      </c>
      <c r="C4693" t="s">
        <v>28</v>
      </c>
      <c r="H4693" s="2">
        <v>44594.812824074077</v>
      </c>
      <c r="I4693" t="s">
        <v>4728</v>
      </c>
      <c r="Z4693">
        <v>27902</v>
      </c>
    </row>
    <row r="4694" spans="1:26" x14ac:dyDescent="0.25">
      <c r="A4694" t="s">
        <v>5178</v>
      </c>
      <c r="B4694" t="s">
        <v>27</v>
      </c>
      <c r="C4694" t="s">
        <v>28</v>
      </c>
      <c r="H4694" s="2">
        <v>44592.491631944446</v>
      </c>
      <c r="I4694" t="s">
        <v>4803</v>
      </c>
      <c r="Z4694">
        <v>27786</v>
      </c>
    </row>
    <row r="4695" spans="1:26" x14ac:dyDescent="0.25">
      <c r="A4695" t="s">
        <v>5179</v>
      </c>
      <c r="B4695" t="s">
        <v>27</v>
      </c>
      <c r="C4695" t="s">
        <v>28</v>
      </c>
      <c r="H4695" s="2">
        <v>44592.389050925929</v>
      </c>
      <c r="I4695" t="s">
        <v>4836</v>
      </c>
      <c r="Z4695">
        <v>27780</v>
      </c>
    </row>
    <row r="4696" spans="1:26" x14ac:dyDescent="0.25">
      <c r="A4696" t="s">
        <v>5180</v>
      </c>
      <c r="B4696" t="s">
        <v>27</v>
      </c>
      <c r="C4696" t="s">
        <v>28</v>
      </c>
      <c r="E4696" t="s">
        <v>5181</v>
      </c>
      <c r="G4696" t="s">
        <v>5182</v>
      </c>
      <c r="H4696" s="2">
        <v>44591.493900462963</v>
      </c>
      <c r="I4696" t="s">
        <v>4803</v>
      </c>
      <c r="Z4696">
        <v>27756</v>
      </c>
    </row>
    <row r="4697" spans="1:26" x14ac:dyDescent="0.25">
      <c r="A4697" t="s">
        <v>5183</v>
      </c>
      <c r="B4697" t="s">
        <v>5099</v>
      </c>
      <c r="C4697" t="s">
        <v>28</v>
      </c>
      <c r="E4697" t="s">
        <v>5184</v>
      </c>
      <c r="G4697">
        <v>2</v>
      </c>
      <c r="H4697" s="2">
        <v>44591.449212962965</v>
      </c>
      <c r="I4697" t="s">
        <v>4803</v>
      </c>
      <c r="Z4697">
        <v>27750</v>
      </c>
    </row>
    <row r="4698" spans="1:26" x14ac:dyDescent="0.25">
      <c r="A4698" t="s">
        <v>5185</v>
      </c>
      <c r="B4698" t="s">
        <v>27</v>
      </c>
      <c r="C4698" t="s">
        <v>2219</v>
      </c>
      <c r="H4698" s="2">
        <v>44589.687881944446</v>
      </c>
      <c r="I4698" t="s">
        <v>4728</v>
      </c>
      <c r="Z4698">
        <v>27670</v>
      </c>
    </row>
    <row r="4699" spans="1:26" x14ac:dyDescent="0.25">
      <c r="A4699" t="s">
        <v>5186</v>
      </c>
      <c r="B4699" t="s">
        <v>27</v>
      </c>
      <c r="C4699" t="s">
        <v>28</v>
      </c>
      <c r="H4699" s="2">
        <v>44589.592199074075</v>
      </c>
      <c r="I4699" t="s">
        <v>4728</v>
      </c>
      <c r="Z4699">
        <v>27652</v>
      </c>
    </row>
    <row r="4700" spans="1:26" x14ac:dyDescent="0.25">
      <c r="A4700" t="s">
        <v>5187</v>
      </c>
      <c r="B4700" t="s">
        <v>27</v>
      </c>
      <c r="C4700" t="s">
        <v>28</v>
      </c>
      <c r="H4700" s="2">
        <v>44589.445590277777</v>
      </c>
      <c r="I4700" t="s">
        <v>2113</v>
      </c>
      <c r="Z4700">
        <v>27629</v>
      </c>
    </row>
    <row r="4701" spans="1:26" x14ac:dyDescent="0.25">
      <c r="A4701" t="s">
        <v>4627</v>
      </c>
      <c r="B4701" t="s">
        <v>2162</v>
      </c>
      <c r="C4701" t="s">
        <v>28</v>
      </c>
      <c r="E4701" t="s">
        <v>186</v>
      </c>
      <c r="H4701" s="2">
        <v>44589.382002314815</v>
      </c>
      <c r="I4701" t="s">
        <v>2113</v>
      </c>
      <c r="K4701" t="s">
        <v>34</v>
      </c>
      <c r="L4701" t="s">
        <v>35</v>
      </c>
      <c r="M4701">
        <v>67131912</v>
      </c>
      <c r="N4701">
        <v>11356760665</v>
      </c>
      <c r="O4701" t="s">
        <v>461</v>
      </c>
      <c r="Z4701">
        <v>27622</v>
      </c>
    </row>
    <row r="4702" spans="1:26" x14ac:dyDescent="0.25">
      <c r="A4702" t="s">
        <v>5188</v>
      </c>
      <c r="B4702" t="s">
        <v>27</v>
      </c>
      <c r="C4702" t="s">
        <v>28</v>
      </c>
      <c r="H4702" s="2">
        <v>44588.764722222222</v>
      </c>
      <c r="I4702" t="s">
        <v>4728</v>
      </c>
      <c r="Z4702">
        <v>27606</v>
      </c>
    </row>
    <row r="4703" spans="1:26" x14ac:dyDescent="0.25">
      <c r="A4703" t="s">
        <v>4080</v>
      </c>
      <c r="B4703" t="s">
        <v>27</v>
      </c>
      <c r="C4703" t="s">
        <v>28</v>
      </c>
      <c r="H4703" s="2">
        <v>44588.602071759262</v>
      </c>
      <c r="I4703" t="s">
        <v>4728</v>
      </c>
      <c r="Z4703">
        <v>27594</v>
      </c>
    </row>
    <row r="4704" spans="1:26" x14ac:dyDescent="0.25">
      <c r="A4704" t="s">
        <v>5189</v>
      </c>
      <c r="B4704" t="s">
        <v>27</v>
      </c>
      <c r="C4704" t="s">
        <v>28</v>
      </c>
      <c r="H4704" s="2">
        <v>44587.724016203705</v>
      </c>
      <c r="I4704" t="s">
        <v>2113</v>
      </c>
      <c r="Z4704">
        <v>27568</v>
      </c>
    </row>
    <row r="4705" spans="1:26" x14ac:dyDescent="0.25">
      <c r="A4705" t="s">
        <v>5190</v>
      </c>
      <c r="B4705" t="s">
        <v>1708</v>
      </c>
      <c r="C4705" t="s">
        <v>28</v>
      </c>
      <c r="E4705" t="s">
        <v>2129</v>
      </c>
      <c r="G4705" t="s">
        <v>5191</v>
      </c>
      <c r="H4705" s="2">
        <v>44587.656319444446</v>
      </c>
      <c r="I4705" t="s">
        <v>4728</v>
      </c>
      <c r="Z4705">
        <v>27565</v>
      </c>
    </row>
    <row r="4706" spans="1:26" x14ac:dyDescent="0.25">
      <c r="A4706" t="s">
        <v>5192</v>
      </c>
      <c r="B4706" t="s">
        <v>27</v>
      </c>
      <c r="C4706" t="s">
        <v>28</v>
      </c>
      <c r="H4706" s="2">
        <v>44587.642222222225</v>
      </c>
      <c r="I4706" t="s">
        <v>4728</v>
      </c>
      <c r="Z4706">
        <v>27563</v>
      </c>
    </row>
    <row r="4707" spans="1:26" x14ac:dyDescent="0.25">
      <c r="A4707" t="s">
        <v>5193</v>
      </c>
      <c r="B4707" t="s">
        <v>27</v>
      </c>
      <c r="C4707" t="s">
        <v>28</v>
      </c>
      <c r="H4707" s="2">
        <v>44587.49324074074</v>
      </c>
      <c r="I4707" t="s">
        <v>4728</v>
      </c>
      <c r="Z4707">
        <v>27546</v>
      </c>
    </row>
    <row r="4708" spans="1:26" x14ac:dyDescent="0.25">
      <c r="A4708" t="s">
        <v>5194</v>
      </c>
      <c r="B4708" t="s">
        <v>27</v>
      </c>
      <c r="C4708" t="s">
        <v>28</v>
      </c>
      <c r="H4708" s="2">
        <v>44587.445601851854</v>
      </c>
      <c r="I4708" t="s">
        <v>2113</v>
      </c>
      <c r="Z4708">
        <v>27542</v>
      </c>
    </row>
    <row r="4709" spans="1:26" x14ac:dyDescent="0.25">
      <c r="A4709" t="s">
        <v>5025</v>
      </c>
      <c r="C4709" t="s">
        <v>28</v>
      </c>
      <c r="E4709" t="s">
        <v>5195</v>
      </c>
      <c r="H4709" s="2">
        <v>44586.573101851849</v>
      </c>
      <c r="I4709" t="s">
        <v>4836</v>
      </c>
      <c r="Z4709">
        <v>27500</v>
      </c>
    </row>
    <row r="4710" spans="1:26" x14ac:dyDescent="0.25">
      <c r="A4710" t="s">
        <v>5025</v>
      </c>
      <c r="C4710" t="s">
        <v>28</v>
      </c>
      <c r="E4710" t="s">
        <v>5196</v>
      </c>
      <c r="H4710" s="2">
        <v>44586.498287037037</v>
      </c>
      <c r="I4710" t="s">
        <v>4836</v>
      </c>
      <c r="Z4710">
        <v>27488</v>
      </c>
    </row>
    <row r="4711" spans="1:26" x14ac:dyDescent="0.25">
      <c r="A4711" t="s">
        <v>5197</v>
      </c>
      <c r="B4711" t="s">
        <v>5099</v>
      </c>
      <c r="C4711" t="s">
        <v>28</v>
      </c>
      <c r="E4711" t="s">
        <v>967</v>
      </c>
      <c r="H4711" s="2">
        <v>44586.477384259262</v>
      </c>
      <c r="I4711" t="s">
        <v>4803</v>
      </c>
      <c r="Z4711">
        <v>27486</v>
      </c>
    </row>
    <row r="4712" spans="1:26" x14ac:dyDescent="0.25">
      <c r="A4712" t="s">
        <v>5198</v>
      </c>
      <c r="B4712" t="s">
        <v>27</v>
      </c>
      <c r="C4712" t="s">
        <v>28</v>
      </c>
      <c r="H4712" s="2">
        <v>44586.393865740742</v>
      </c>
      <c r="I4712" t="s">
        <v>4803</v>
      </c>
      <c r="Z4712">
        <v>27476</v>
      </c>
    </row>
    <row r="4713" spans="1:26" x14ac:dyDescent="0.25">
      <c r="A4713" t="s">
        <v>5199</v>
      </c>
      <c r="B4713" t="s">
        <v>27</v>
      </c>
      <c r="C4713" t="s">
        <v>28</v>
      </c>
      <c r="H4713" s="2">
        <v>44585.670092592591</v>
      </c>
      <c r="I4713" t="s">
        <v>4803</v>
      </c>
      <c r="Z4713">
        <v>27453</v>
      </c>
    </row>
    <row r="4714" spans="1:26" x14ac:dyDescent="0.25">
      <c r="A4714" t="s">
        <v>5200</v>
      </c>
      <c r="B4714" t="s">
        <v>74</v>
      </c>
      <c r="C4714" t="s">
        <v>28</v>
      </c>
      <c r="E4714" t="s">
        <v>370</v>
      </c>
      <c r="G4714" t="s">
        <v>5201</v>
      </c>
      <c r="H4714" s="2">
        <v>44585.666412037041</v>
      </c>
      <c r="I4714" t="s">
        <v>4836</v>
      </c>
      <c r="Z4714">
        <v>27451</v>
      </c>
    </row>
    <row r="4715" spans="1:26" x14ac:dyDescent="0.25">
      <c r="A4715" t="s">
        <v>5202</v>
      </c>
      <c r="B4715" t="s">
        <v>27</v>
      </c>
      <c r="C4715" t="s">
        <v>28</v>
      </c>
      <c r="H4715" s="2">
        <v>44584.719837962963</v>
      </c>
      <c r="I4715" t="s">
        <v>4803</v>
      </c>
      <c r="Z4715">
        <v>27400</v>
      </c>
    </row>
    <row r="4716" spans="1:26" x14ac:dyDescent="0.25">
      <c r="A4716" t="s">
        <v>5203</v>
      </c>
      <c r="B4716" t="s">
        <v>27</v>
      </c>
      <c r="C4716" t="s">
        <v>28</v>
      </c>
      <c r="H4716" s="2">
        <v>44584.59983796296</v>
      </c>
      <c r="I4716" t="s">
        <v>4803</v>
      </c>
      <c r="Z4716">
        <v>27382</v>
      </c>
    </row>
    <row r="4717" spans="1:26" x14ac:dyDescent="0.25">
      <c r="A4717" t="s">
        <v>5025</v>
      </c>
      <c r="C4717" t="s">
        <v>28</v>
      </c>
      <c r="E4717" t="s">
        <v>5204</v>
      </c>
      <c r="H4717" s="2">
        <v>44584.544722222221</v>
      </c>
      <c r="I4717" t="s">
        <v>4836</v>
      </c>
      <c r="Z4717">
        <v>27377</v>
      </c>
    </row>
    <row r="4718" spans="1:26" x14ac:dyDescent="0.25">
      <c r="A4718" t="s">
        <v>5205</v>
      </c>
      <c r="B4718" t="s">
        <v>5099</v>
      </c>
      <c r="C4718" t="s">
        <v>28</v>
      </c>
      <c r="E4718" t="s">
        <v>260</v>
      </c>
      <c r="G4718" t="s">
        <v>5206</v>
      </c>
      <c r="H4718" s="2">
        <v>44583.732129629629</v>
      </c>
      <c r="I4718" t="s">
        <v>4836</v>
      </c>
      <c r="Z4718">
        <v>27358</v>
      </c>
    </row>
    <row r="4719" spans="1:26" x14ac:dyDescent="0.25">
      <c r="A4719" t="s">
        <v>5207</v>
      </c>
      <c r="B4719" t="s">
        <v>27</v>
      </c>
      <c r="C4719" t="s">
        <v>28</v>
      </c>
      <c r="H4719" s="2">
        <v>44582.602164351854</v>
      </c>
      <c r="I4719" t="s">
        <v>2113</v>
      </c>
      <c r="Z4719">
        <v>27307</v>
      </c>
    </row>
    <row r="4720" spans="1:26" x14ac:dyDescent="0.25">
      <c r="A4720" t="s">
        <v>5208</v>
      </c>
      <c r="B4720" t="s">
        <v>27</v>
      </c>
      <c r="C4720" t="s">
        <v>28</v>
      </c>
      <c r="H4720" s="2">
        <v>44582.565868055557</v>
      </c>
      <c r="I4720" t="s">
        <v>2113</v>
      </c>
      <c r="Z4720">
        <v>27301</v>
      </c>
    </row>
    <row r="4721" spans="1:26" x14ac:dyDescent="0.25">
      <c r="A4721" t="s">
        <v>5025</v>
      </c>
      <c r="B4721" t="s">
        <v>27</v>
      </c>
      <c r="C4721" t="s">
        <v>333</v>
      </c>
      <c r="E4721" t="s">
        <v>5209</v>
      </c>
      <c r="H4721" s="2">
        <v>44582.516250000001</v>
      </c>
      <c r="I4721" t="s">
        <v>1488</v>
      </c>
      <c r="Z4721">
        <v>27294</v>
      </c>
    </row>
    <row r="4722" spans="1:26" x14ac:dyDescent="0.25">
      <c r="A4722" t="s">
        <v>5190</v>
      </c>
      <c r="B4722" t="s">
        <v>1708</v>
      </c>
      <c r="C4722" t="s">
        <v>28</v>
      </c>
      <c r="E4722" t="s">
        <v>2129</v>
      </c>
      <c r="G4722" t="s">
        <v>5191</v>
      </c>
      <c r="H4722" s="2">
        <v>44582.513356481482</v>
      </c>
      <c r="I4722" t="s">
        <v>4728</v>
      </c>
      <c r="K4722" t="s">
        <v>34</v>
      </c>
      <c r="L4722" t="s">
        <v>35</v>
      </c>
      <c r="M4722">
        <v>67131912</v>
      </c>
      <c r="N4722">
        <v>11356760646</v>
      </c>
      <c r="O4722" t="s">
        <v>3465</v>
      </c>
      <c r="Z4722">
        <v>27293</v>
      </c>
    </row>
    <row r="4723" spans="1:26" x14ac:dyDescent="0.25">
      <c r="A4723" t="s">
        <v>5025</v>
      </c>
      <c r="C4723" t="s">
        <v>28</v>
      </c>
      <c r="E4723" t="s">
        <v>929</v>
      </c>
      <c r="H4723" s="2">
        <v>44582.418900462966</v>
      </c>
      <c r="I4723" t="s">
        <v>1488</v>
      </c>
      <c r="Z4723">
        <v>27280</v>
      </c>
    </row>
    <row r="4724" spans="1:26" x14ac:dyDescent="0.25">
      <c r="A4724" t="s">
        <v>5025</v>
      </c>
      <c r="C4724" t="s">
        <v>28</v>
      </c>
      <c r="E4724" t="s">
        <v>5210</v>
      </c>
      <c r="H4724" s="2">
        <v>44581.883796296293</v>
      </c>
      <c r="I4724" t="s">
        <v>1488</v>
      </c>
      <c r="Z4724">
        <v>27275</v>
      </c>
    </row>
    <row r="4725" spans="1:26" x14ac:dyDescent="0.25">
      <c r="A4725" t="s">
        <v>5211</v>
      </c>
      <c r="B4725" t="s">
        <v>27</v>
      </c>
      <c r="C4725" t="s">
        <v>28</v>
      </c>
      <c r="H4725" s="2">
        <v>44581.625173611108</v>
      </c>
      <c r="I4725" t="s">
        <v>2113</v>
      </c>
      <c r="Z4725">
        <v>27255</v>
      </c>
    </row>
    <row r="4726" spans="1:26" x14ac:dyDescent="0.25">
      <c r="A4726" t="s">
        <v>5212</v>
      </c>
      <c r="B4726" t="s">
        <v>27</v>
      </c>
      <c r="C4726" t="s">
        <v>28</v>
      </c>
      <c r="H4726" s="2">
        <v>44581.595532407409</v>
      </c>
      <c r="I4726" t="s">
        <v>4728</v>
      </c>
      <c r="Z4726">
        <v>27248</v>
      </c>
    </row>
    <row r="4727" spans="1:26" x14ac:dyDescent="0.25">
      <c r="A4727" t="s">
        <v>5213</v>
      </c>
      <c r="B4727" t="s">
        <v>27</v>
      </c>
      <c r="C4727" t="s">
        <v>28</v>
      </c>
      <c r="H4727" s="2">
        <v>44581.517476851855</v>
      </c>
      <c r="I4727" t="s">
        <v>2113</v>
      </c>
      <c r="Z4727">
        <v>27242</v>
      </c>
    </row>
    <row r="4728" spans="1:26" x14ac:dyDescent="0.25">
      <c r="A4728" t="s">
        <v>5214</v>
      </c>
      <c r="B4728" t="s">
        <v>27</v>
      </c>
      <c r="C4728" t="s">
        <v>28</v>
      </c>
      <c r="H4728" s="2">
        <v>44581.505902777775</v>
      </c>
      <c r="I4728" t="s">
        <v>2113</v>
      </c>
      <c r="Z4728">
        <v>27240</v>
      </c>
    </row>
    <row r="4729" spans="1:26" x14ac:dyDescent="0.25">
      <c r="A4729" t="s">
        <v>5215</v>
      </c>
      <c r="B4729" t="s">
        <v>27</v>
      </c>
      <c r="C4729" t="s">
        <v>2219</v>
      </c>
      <c r="H4729" s="2">
        <v>44581.458692129629</v>
      </c>
      <c r="I4729" t="s">
        <v>4728</v>
      </c>
      <c r="Z4729">
        <v>27235</v>
      </c>
    </row>
    <row r="4730" spans="1:26" x14ac:dyDescent="0.25">
      <c r="A4730" t="s">
        <v>5216</v>
      </c>
      <c r="B4730" t="s">
        <v>27</v>
      </c>
      <c r="C4730" t="s">
        <v>28</v>
      </c>
      <c r="H4730" s="2">
        <v>44580.620439814818</v>
      </c>
      <c r="I4730" t="s">
        <v>4803</v>
      </c>
      <c r="Z4730">
        <v>27200</v>
      </c>
    </row>
    <row r="4731" spans="1:26" x14ac:dyDescent="0.25">
      <c r="A4731" t="s">
        <v>5183</v>
      </c>
      <c r="B4731" t="s">
        <v>5099</v>
      </c>
      <c r="C4731" t="s">
        <v>28</v>
      </c>
      <c r="E4731" t="s">
        <v>5184</v>
      </c>
      <c r="G4731">
        <v>2</v>
      </c>
      <c r="H4731" s="2">
        <v>44580.531805555554</v>
      </c>
      <c r="I4731" t="s">
        <v>4803</v>
      </c>
      <c r="Z4731">
        <v>27193</v>
      </c>
    </row>
    <row r="4732" spans="1:26" x14ac:dyDescent="0.25">
      <c r="A4732" t="s">
        <v>5217</v>
      </c>
      <c r="B4732" t="s">
        <v>27</v>
      </c>
      <c r="C4732" t="s">
        <v>28</v>
      </c>
      <c r="H4732" s="2">
        <v>44579.587511574071</v>
      </c>
      <c r="I4732" t="s">
        <v>4803</v>
      </c>
      <c r="Z4732">
        <v>27127</v>
      </c>
    </row>
    <row r="4733" spans="1:26" x14ac:dyDescent="0.25">
      <c r="A4733" t="s">
        <v>5025</v>
      </c>
      <c r="C4733" t="s">
        <v>28</v>
      </c>
      <c r="E4733" t="s">
        <v>5218</v>
      </c>
      <c r="H4733" s="2">
        <v>44579.555972222224</v>
      </c>
      <c r="I4733" t="s">
        <v>4836</v>
      </c>
      <c r="Z4733">
        <v>27125</v>
      </c>
    </row>
    <row r="4734" spans="1:26" x14ac:dyDescent="0.25">
      <c r="A4734" t="s">
        <v>5025</v>
      </c>
      <c r="C4734" t="s">
        <v>28</v>
      </c>
      <c r="E4734" t="s">
        <v>5219</v>
      </c>
      <c r="H4734" s="2">
        <v>44579.435115740744</v>
      </c>
      <c r="I4734" t="s">
        <v>4836</v>
      </c>
      <c r="Z4734">
        <v>27109</v>
      </c>
    </row>
    <row r="4735" spans="1:26" x14ac:dyDescent="0.25">
      <c r="A4735" t="s">
        <v>5215</v>
      </c>
      <c r="B4735" t="s">
        <v>27</v>
      </c>
      <c r="C4735" t="s">
        <v>28</v>
      </c>
      <c r="H4735" s="2">
        <v>44578.799421296295</v>
      </c>
      <c r="I4735" t="s">
        <v>4836</v>
      </c>
      <c r="Z4735">
        <v>27097</v>
      </c>
    </row>
    <row r="4736" spans="1:26" x14ac:dyDescent="0.25">
      <c r="A4736" t="s">
        <v>5220</v>
      </c>
      <c r="B4736" t="s">
        <v>27</v>
      </c>
      <c r="C4736" t="s">
        <v>28</v>
      </c>
      <c r="H4736" s="2">
        <v>44578.728935185187</v>
      </c>
      <c r="I4736" t="s">
        <v>4803</v>
      </c>
      <c r="Z4736">
        <v>27091</v>
      </c>
    </row>
    <row r="4737" spans="1:26" x14ac:dyDescent="0.25">
      <c r="A4737" t="s">
        <v>5221</v>
      </c>
      <c r="B4737" t="s">
        <v>1993</v>
      </c>
      <c r="C4737" t="s">
        <v>28</v>
      </c>
      <c r="E4737" t="s">
        <v>5222</v>
      </c>
      <c r="H4737" s="2">
        <v>44578.543310185189</v>
      </c>
      <c r="I4737" t="s">
        <v>4803</v>
      </c>
      <c r="Z4737">
        <v>27071</v>
      </c>
    </row>
    <row r="4738" spans="1:26" x14ac:dyDescent="0.25">
      <c r="A4738" t="s">
        <v>5223</v>
      </c>
      <c r="B4738" t="s">
        <v>27</v>
      </c>
      <c r="C4738" t="s">
        <v>28</v>
      </c>
      <c r="H4738" s="2">
        <v>44577.719201388885</v>
      </c>
      <c r="I4738" t="s">
        <v>2113</v>
      </c>
      <c r="Z4738">
        <v>27040</v>
      </c>
    </row>
    <row r="4739" spans="1:26" x14ac:dyDescent="0.25">
      <c r="A4739" t="s">
        <v>5224</v>
      </c>
      <c r="B4739" t="s">
        <v>27</v>
      </c>
      <c r="C4739" t="s">
        <v>28</v>
      </c>
      <c r="H4739" s="2">
        <v>44577.566111111111</v>
      </c>
      <c r="I4739" t="s">
        <v>2113</v>
      </c>
      <c r="Z4739">
        <v>27026</v>
      </c>
    </row>
    <row r="4740" spans="1:26" x14ac:dyDescent="0.25">
      <c r="A4740" t="s">
        <v>5025</v>
      </c>
      <c r="C4740" t="s">
        <v>28</v>
      </c>
      <c r="E4740" t="s">
        <v>5225</v>
      </c>
      <c r="H4740" s="2">
        <v>44577.554560185185</v>
      </c>
      <c r="I4740" t="s">
        <v>2113</v>
      </c>
      <c r="Z4740">
        <v>27024</v>
      </c>
    </row>
    <row r="4741" spans="1:26" x14ac:dyDescent="0.25">
      <c r="A4741" t="s">
        <v>5142</v>
      </c>
      <c r="B4741" t="s">
        <v>5099</v>
      </c>
      <c r="C4741" t="s">
        <v>28</v>
      </c>
      <c r="E4741" t="s">
        <v>232</v>
      </c>
      <c r="G4741" t="s">
        <v>5143</v>
      </c>
      <c r="H4741" s="2">
        <v>44577.542337962965</v>
      </c>
      <c r="I4741" t="s">
        <v>2113</v>
      </c>
      <c r="Z4741">
        <v>27023</v>
      </c>
    </row>
    <row r="4742" spans="1:26" x14ac:dyDescent="0.25">
      <c r="A4742" t="s">
        <v>5226</v>
      </c>
      <c r="B4742" t="s">
        <v>27</v>
      </c>
      <c r="C4742" t="s">
        <v>28</v>
      </c>
      <c r="H4742" s="2">
        <v>44576.800856481481</v>
      </c>
      <c r="I4742" t="s">
        <v>2113</v>
      </c>
      <c r="Z4742">
        <v>27010</v>
      </c>
    </row>
    <row r="4743" spans="1:26" x14ac:dyDescent="0.25">
      <c r="A4743" t="s">
        <v>5227</v>
      </c>
      <c r="B4743" t="s">
        <v>27</v>
      </c>
      <c r="C4743" t="s">
        <v>28</v>
      </c>
      <c r="H4743" s="2">
        <v>44575.802083333336</v>
      </c>
      <c r="I4743" t="s">
        <v>2113</v>
      </c>
      <c r="Z4743">
        <v>26974</v>
      </c>
    </row>
    <row r="4744" spans="1:26" x14ac:dyDescent="0.25">
      <c r="A4744" t="s">
        <v>5228</v>
      </c>
      <c r="B4744" t="s">
        <v>27</v>
      </c>
      <c r="C4744" t="s">
        <v>28</v>
      </c>
      <c r="H4744" s="2">
        <v>44575.634467592594</v>
      </c>
      <c r="I4744" t="s">
        <v>4728</v>
      </c>
      <c r="Z4744">
        <v>26957</v>
      </c>
    </row>
    <row r="4745" spans="1:26" x14ac:dyDescent="0.25">
      <c r="A4745" t="s">
        <v>5229</v>
      </c>
      <c r="B4745" t="s">
        <v>27</v>
      </c>
      <c r="C4745" t="s">
        <v>2219</v>
      </c>
      <c r="H4745" s="2">
        <v>44575.592627314814</v>
      </c>
      <c r="I4745" t="s">
        <v>4728</v>
      </c>
      <c r="Z4745">
        <v>26952</v>
      </c>
    </row>
    <row r="4746" spans="1:26" x14ac:dyDescent="0.25">
      <c r="A4746" t="s">
        <v>5230</v>
      </c>
      <c r="B4746" t="s">
        <v>5099</v>
      </c>
      <c r="C4746" t="s">
        <v>28</v>
      </c>
      <c r="E4746" t="s">
        <v>5231</v>
      </c>
      <c r="G4746" t="s">
        <v>5232</v>
      </c>
      <c r="H4746" s="2">
        <v>44574.920752314814</v>
      </c>
      <c r="I4746" t="s">
        <v>2113</v>
      </c>
      <c r="Z4746">
        <v>26927</v>
      </c>
    </row>
    <row r="4747" spans="1:26" x14ac:dyDescent="0.25">
      <c r="A4747" t="s">
        <v>5233</v>
      </c>
      <c r="B4747" t="s">
        <v>27</v>
      </c>
      <c r="C4747" t="s">
        <v>28</v>
      </c>
      <c r="H4747" s="2">
        <v>44574.743541666663</v>
      </c>
      <c r="I4747" t="s">
        <v>4836</v>
      </c>
      <c r="Z4747">
        <v>26920</v>
      </c>
    </row>
    <row r="4748" spans="1:26" x14ac:dyDescent="0.25">
      <c r="A4748" t="s">
        <v>5234</v>
      </c>
      <c r="B4748" t="s">
        <v>27</v>
      </c>
      <c r="C4748" t="s">
        <v>28</v>
      </c>
      <c r="E4748" t="s">
        <v>5235</v>
      </c>
      <c r="H4748" s="2">
        <v>44574.083680555559</v>
      </c>
      <c r="I4748" t="s">
        <v>4803</v>
      </c>
      <c r="Z4748">
        <v>26885</v>
      </c>
    </row>
    <row r="4749" spans="1:26" x14ac:dyDescent="0.25">
      <c r="A4749" t="s">
        <v>5236</v>
      </c>
      <c r="B4749" t="s">
        <v>1708</v>
      </c>
      <c r="C4749" t="s">
        <v>28</v>
      </c>
      <c r="E4749" t="s">
        <v>2111</v>
      </c>
      <c r="H4749" s="2">
        <v>44573.800092592595</v>
      </c>
      <c r="I4749" t="s">
        <v>4836</v>
      </c>
      <c r="K4749" t="s">
        <v>34</v>
      </c>
      <c r="L4749" t="s">
        <v>35</v>
      </c>
      <c r="M4749">
        <v>67131912</v>
      </c>
      <c r="N4749">
        <v>11356760651</v>
      </c>
      <c r="O4749" t="s">
        <v>3923</v>
      </c>
      <c r="Z4749">
        <v>26874</v>
      </c>
    </row>
    <row r="4750" spans="1:26" x14ac:dyDescent="0.25">
      <c r="A4750" t="s">
        <v>5237</v>
      </c>
      <c r="B4750" t="s">
        <v>27</v>
      </c>
      <c r="C4750" t="s">
        <v>28</v>
      </c>
      <c r="H4750" s="2">
        <v>44573.629537037035</v>
      </c>
      <c r="I4750" t="s">
        <v>4836</v>
      </c>
      <c r="Z4750">
        <v>26864</v>
      </c>
    </row>
    <row r="4751" spans="1:26" x14ac:dyDescent="0.25">
      <c r="A4751" t="s">
        <v>5238</v>
      </c>
      <c r="B4751" t="s">
        <v>27</v>
      </c>
      <c r="C4751" t="s">
        <v>28</v>
      </c>
      <c r="E4751" t="s">
        <v>156</v>
      </c>
      <c r="H4751" s="2">
        <v>44573.542395833334</v>
      </c>
      <c r="I4751" t="s">
        <v>4836</v>
      </c>
      <c r="Z4751">
        <v>26855</v>
      </c>
    </row>
    <row r="4752" spans="1:26" x14ac:dyDescent="0.25">
      <c r="A4752" t="s">
        <v>5239</v>
      </c>
      <c r="B4752" t="s">
        <v>27</v>
      </c>
      <c r="C4752" t="s">
        <v>28</v>
      </c>
      <c r="H4752" s="2">
        <v>44573.531053240738</v>
      </c>
      <c r="I4752" t="s">
        <v>4803</v>
      </c>
      <c r="Z4752">
        <v>26854</v>
      </c>
    </row>
    <row r="4753" spans="1:26" x14ac:dyDescent="0.25">
      <c r="A4753" t="s">
        <v>5025</v>
      </c>
      <c r="C4753" t="s">
        <v>28</v>
      </c>
      <c r="E4753" t="s">
        <v>5240</v>
      </c>
      <c r="H4753" s="2">
        <v>44572.906111111108</v>
      </c>
      <c r="I4753" t="s">
        <v>4836</v>
      </c>
      <c r="Z4753">
        <v>26845</v>
      </c>
    </row>
    <row r="4754" spans="1:26" x14ac:dyDescent="0.25">
      <c r="A4754" t="s">
        <v>5186</v>
      </c>
      <c r="B4754" t="s">
        <v>27</v>
      </c>
      <c r="C4754" t="s">
        <v>28</v>
      </c>
      <c r="E4754" t="s">
        <v>458</v>
      </c>
      <c r="G4754" t="s">
        <v>5241</v>
      </c>
      <c r="H4754" s="2">
        <v>44572.425821759258</v>
      </c>
      <c r="I4754" t="s">
        <v>4836</v>
      </c>
      <c r="Z4754">
        <v>26824</v>
      </c>
    </row>
    <row r="4755" spans="1:26" x14ac:dyDescent="0.25">
      <c r="A4755" t="s">
        <v>5197</v>
      </c>
      <c r="B4755" t="s">
        <v>5099</v>
      </c>
      <c r="C4755" t="s">
        <v>28</v>
      </c>
      <c r="E4755" t="s">
        <v>967</v>
      </c>
      <c r="H4755" s="2">
        <v>44571.863877314812</v>
      </c>
      <c r="I4755" t="s">
        <v>2113</v>
      </c>
      <c r="Z4755">
        <v>26816</v>
      </c>
    </row>
    <row r="4756" spans="1:26" x14ac:dyDescent="0.25">
      <c r="A4756" t="s">
        <v>5242</v>
      </c>
      <c r="B4756" t="s">
        <v>27</v>
      </c>
      <c r="C4756" t="s">
        <v>28</v>
      </c>
      <c r="H4756" s="2">
        <v>44571.621724537035</v>
      </c>
      <c r="I4756" t="s">
        <v>2113</v>
      </c>
      <c r="K4756" t="s">
        <v>5243</v>
      </c>
      <c r="L4756" t="s">
        <v>42</v>
      </c>
      <c r="M4756" t="s">
        <v>42</v>
      </c>
      <c r="N4756" t="s">
        <v>42</v>
      </c>
      <c r="O4756" t="s">
        <v>42</v>
      </c>
      <c r="Z4756">
        <v>26791</v>
      </c>
    </row>
    <row r="4757" spans="1:26" x14ac:dyDescent="0.25">
      <c r="A4757" t="s">
        <v>5244</v>
      </c>
      <c r="B4757" t="s">
        <v>27</v>
      </c>
      <c r="C4757" t="s">
        <v>28</v>
      </c>
      <c r="H4757" s="2">
        <v>44571.495057870372</v>
      </c>
      <c r="I4757" t="s">
        <v>4728</v>
      </c>
      <c r="Z4757">
        <v>26772</v>
      </c>
    </row>
    <row r="4758" spans="1:26" x14ac:dyDescent="0.25">
      <c r="A4758" t="s">
        <v>5245</v>
      </c>
      <c r="B4758" t="s">
        <v>27</v>
      </c>
      <c r="C4758" t="s">
        <v>2219</v>
      </c>
      <c r="H4758" s="2">
        <v>44570.851990740739</v>
      </c>
      <c r="I4758" t="s">
        <v>4728</v>
      </c>
      <c r="K4758" t="s">
        <v>34</v>
      </c>
      <c r="L4758" t="s">
        <v>41</v>
      </c>
      <c r="M4758" t="s">
        <v>42</v>
      </c>
      <c r="N4758" t="s">
        <v>49</v>
      </c>
      <c r="O4758" t="s">
        <v>42</v>
      </c>
      <c r="Z4758">
        <v>26749</v>
      </c>
    </row>
    <row r="4759" spans="1:26" x14ac:dyDescent="0.25">
      <c r="A4759" t="s">
        <v>5246</v>
      </c>
      <c r="B4759" t="s">
        <v>27</v>
      </c>
      <c r="C4759" t="s">
        <v>28</v>
      </c>
      <c r="H4759" s="2">
        <v>44570.670787037037</v>
      </c>
      <c r="I4759" t="s">
        <v>2113</v>
      </c>
      <c r="Z4759">
        <v>26731</v>
      </c>
    </row>
    <row r="4760" spans="1:26" x14ac:dyDescent="0.25">
      <c r="A4760" t="s">
        <v>2787</v>
      </c>
      <c r="B4760" t="s">
        <v>5099</v>
      </c>
      <c r="C4760" t="s">
        <v>28</v>
      </c>
      <c r="E4760" t="s">
        <v>72</v>
      </c>
      <c r="H4760" s="2">
        <v>44570.625138888892</v>
      </c>
      <c r="I4760" t="s">
        <v>2113</v>
      </c>
      <c r="Z4760">
        <v>26722</v>
      </c>
    </row>
    <row r="4761" spans="1:26" x14ac:dyDescent="0.25">
      <c r="A4761" t="s">
        <v>4627</v>
      </c>
      <c r="B4761" t="s">
        <v>2162</v>
      </c>
      <c r="C4761" t="s">
        <v>28</v>
      </c>
      <c r="E4761" t="s">
        <v>186</v>
      </c>
      <c r="H4761" s="2">
        <v>44569.966666666667</v>
      </c>
      <c r="I4761" t="s">
        <v>2113</v>
      </c>
      <c r="Z4761">
        <v>26698</v>
      </c>
    </row>
    <row r="4762" spans="1:26" x14ac:dyDescent="0.25">
      <c r="A4762" t="s">
        <v>5247</v>
      </c>
      <c r="B4762" t="s">
        <v>74</v>
      </c>
      <c r="C4762" t="s">
        <v>28</v>
      </c>
      <c r="E4762" t="s">
        <v>232</v>
      </c>
      <c r="G4762" t="s">
        <v>5248</v>
      </c>
      <c r="H4762" s="2">
        <v>44569.6403587963</v>
      </c>
      <c r="I4762" t="s">
        <v>2113</v>
      </c>
      <c r="Z4762">
        <v>26681</v>
      </c>
    </row>
    <row r="4763" spans="1:26" x14ac:dyDescent="0.25">
      <c r="A4763" t="s">
        <v>5249</v>
      </c>
      <c r="B4763" t="s">
        <v>27</v>
      </c>
      <c r="C4763" t="s">
        <v>2219</v>
      </c>
      <c r="H4763" s="2">
        <v>44569.524201388886</v>
      </c>
      <c r="I4763" t="s">
        <v>2113</v>
      </c>
      <c r="Z4763">
        <v>26670</v>
      </c>
    </row>
    <row r="4764" spans="1:26" x14ac:dyDescent="0.25">
      <c r="A4764" t="s">
        <v>5025</v>
      </c>
      <c r="C4764" t="s">
        <v>28</v>
      </c>
      <c r="E4764" t="s">
        <v>5250</v>
      </c>
      <c r="H4764" s="2">
        <v>44569.496458333335</v>
      </c>
      <c r="I4764" t="s">
        <v>2113</v>
      </c>
      <c r="Z4764">
        <v>26668</v>
      </c>
    </row>
    <row r="4765" spans="1:26" x14ac:dyDescent="0.25">
      <c r="A4765" t="s">
        <v>5251</v>
      </c>
      <c r="B4765" t="s">
        <v>27</v>
      </c>
      <c r="C4765" t="s">
        <v>28</v>
      </c>
      <c r="H4765" s="2">
        <v>44569.402442129627</v>
      </c>
      <c r="I4765" t="s">
        <v>4728</v>
      </c>
      <c r="K4765" t="s">
        <v>34</v>
      </c>
      <c r="L4765" t="s">
        <v>35</v>
      </c>
      <c r="M4765">
        <v>67130164</v>
      </c>
      <c r="N4765">
        <v>11408745393</v>
      </c>
      <c r="O4765" t="s">
        <v>5252</v>
      </c>
      <c r="Z4765">
        <v>26656</v>
      </c>
    </row>
    <row r="4766" spans="1:26" x14ac:dyDescent="0.25">
      <c r="A4766" t="s">
        <v>5253</v>
      </c>
      <c r="B4766" t="s">
        <v>1993</v>
      </c>
      <c r="C4766" t="s">
        <v>28</v>
      </c>
      <c r="E4766" t="s">
        <v>5254</v>
      </c>
      <c r="H4766" s="2">
        <v>44568.383923611109</v>
      </c>
      <c r="I4766" t="s">
        <v>4803</v>
      </c>
      <c r="Z4766">
        <v>26623</v>
      </c>
    </row>
    <row r="4767" spans="1:26" x14ac:dyDescent="0.25">
      <c r="A4767" t="s">
        <v>5255</v>
      </c>
      <c r="B4767" t="s">
        <v>27</v>
      </c>
      <c r="C4767" t="s">
        <v>28</v>
      </c>
      <c r="H4767" s="2">
        <v>44567.494629629633</v>
      </c>
      <c r="I4767" t="s">
        <v>4803</v>
      </c>
      <c r="Z4767">
        <v>26605</v>
      </c>
    </row>
    <row r="4768" spans="1:26" x14ac:dyDescent="0.25">
      <c r="A4768" t="s">
        <v>5256</v>
      </c>
      <c r="B4768" t="s">
        <v>5099</v>
      </c>
      <c r="C4768" t="s">
        <v>28</v>
      </c>
      <c r="E4768" t="s">
        <v>212</v>
      </c>
      <c r="H4768" s="2">
        <v>44566.915671296294</v>
      </c>
      <c r="I4768" t="s">
        <v>4803</v>
      </c>
      <c r="Z4768">
        <v>26593</v>
      </c>
    </row>
    <row r="4769" spans="1:26" x14ac:dyDescent="0.25">
      <c r="A4769" t="s">
        <v>5257</v>
      </c>
      <c r="B4769" t="s">
        <v>27</v>
      </c>
      <c r="C4769" t="s">
        <v>28</v>
      </c>
      <c r="H4769" s="2">
        <v>44566.713472222225</v>
      </c>
      <c r="I4769" t="s">
        <v>4836</v>
      </c>
      <c r="Z4769">
        <v>26580</v>
      </c>
    </row>
    <row r="4770" spans="1:26" x14ac:dyDescent="0.25">
      <c r="A4770" t="s">
        <v>5258</v>
      </c>
      <c r="B4770" t="s">
        <v>27</v>
      </c>
      <c r="C4770" t="s">
        <v>333</v>
      </c>
      <c r="H4770" s="2">
        <v>44566.455300925925</v>
      </c>
      <c r="I4770" t="s">
        <v>1488</v>
      </c>
      <c r="Z4770">
        <v>26542</v>
      </c>
    </row>
    <row r="4771" spans="1:26" x14ac:dyDescent="0.25">
      <c r="A4771" t="s">
        <v>5259</v>
      </c>
      <c r="B4771" t="s">
        <v>1708</v>
      </c>
      <c r="C4771" t="s">
        <v>28</v>
      </c>
      <c r="E4771" t="s">
        <v>664</v>
      </c>
      <c r="H4771" s="2">
        <v>44565.509606481479</v>
      </c>
      <c r="I4771" t="s">
        <v>4836</v>
      </c>
      <c r="Z4771">
        <v>26526</v>
      </c>
    </row>
    <row r="4772" spans="1:26" x14ac:dyDescent="0.25">
      <c r="A4772" t="s">
        <v>5260</v>
      </c>
      <c r="B4772" t="s">
        <v>5099</v>
      </c>
      <c r="C4772" t="s">
        <v>333</v>
      </c>
      <c r="E4772" t="s">
        <v>5261</v>
      </c>
      <c r="H4772" s="2">
        <v>44565.469027777777</v>
      </c>
      <c r="I4772" t="s">
        <v>1488</v>
      </c>
      <c r="Z4772">
        <v>26524</v>
      </c>
    </row>
    <row r="4773" spans="1:26" x14ac:dyDescent="0.25">
      <c r="A4773" t="s">
        <v>5025</v>
      </c>
      <c r="C4773" t="s">
        <v>28</v>
      </c>
      <c r="E4773" t="s">
        <v>5262</v>
      </c>
      <c r="H4773" s="2">
        <v>44564.411469907405</v>
      </c>
      <c r="I4773" t="s">
        <v>4836</v>
      </c>
      <c r="Z4773">
        <v>26515</v>
      </c>
    </row>
    <row r="4774" spans="1:26" x14ac:dyDescent="0.25">
      <c r="A4774" t="s">
        <v>5025</v>
      </c>
      <c r="C4774" t="s">
        <v>333</v>
      </c>
      <c r="E4774" t="s">
        <v>5263</v>
      </c>
      <c r="H4774" s="2">
        <v>44562.631631944445</v>
      </c>
      <c r="I4774" t="s">
        <v>4836</v>
      </c>
      <c r="Z4774">
        <v>26509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5264</v>
      </c>
      <c r="B1" t="s">
        <v>5265</v>
      </c>
      <c r="C1" t="s">
        <v>5266</v>
      </c>
      <c r="D1" t="s">
        <v>5267</v>
      </c>
      <c r="E1" t="s">
        <v>5268</v>
      </c>
    </row>
    <row r="2" spans="1:5" x14ac:dyDescent="0.25">
      <c r="A2" s="4">
        <v>44557</v>
      </c>
      <c r="B2" s="4">
        <v>44563</v>
      </c>
      <c r="C2" t="s">
        <v>5269</v>
      </c>
      <c r="D2">
        <v>23</v>
      </c>
      <c r="E2" s="5">
        <v>1.01E-4</v>
      </c>
    </row>
    <row r="3" spans="1:5" x14ac:dyDescent="0.25">
      <c r="A3" s="4">
        <v>44564</v>
      </c>
      <c r="B3" s="4">
        <v>44570</v>
      </c>
      <c r="C3" t="s">
        <v>5270</v>
      </c>
      <c r="D3">
        <v>31</v>
      </c>
      <c r="E3" s="5">
        <v>1.3899999999999999E-4</v>
      </c>
    </row>
    <row r="4" spans="1:5" x14ac:dyDescent="0.25">
      <c r="A4" s="4">
        <v>44571</v>
      </c>
      <c r="B4" s="4">
        <v>44577</v>
      </c>
      <c r="C4" t="s">
        <v>5271</v>
      </c>
      <c r="D4">
        <v>17</v>
      </c>
      <c r="E4" s="5">
        <v>6.3E-5</v>
      </c>
    </row>
    <row r="5" spans="1:5" x14ac:dyDescent="0.25">
      <c r="A5" s="4">
        <v>44578</v>
      </c>
      <c r="B5" s="4">
        <v>44584</v>
      </c>
      <c r="C5" t="s">
        <v>5272</v>
      </c>
      <c r="D5">
        <v>25</v>
      </c>
      <c r="E5" s="5">
        <v>8.7999999999999998E-5</v>
      </c>
    </row>
    <row r="6" spans="1:5" x14ac:dyDescent="0.25">
      <c r="A6" s="4">
        <v>44585</v>
      </c>
      <c r="B6" s="4">
        <v>44591</v>
      </c>
      <c r="C6" t="s">
        <v>5273</v>
      </c>
      <c r="D6">
        <v>34</v>
      </c>
      <c r="E6" s="5">
        <v>1.21E-4</v>
      </c>
    </row>
    <row r="7" spans="1:5" x14ac:dyDescent="0.25">
      <c r="A7" s="4">
        <v>44592</v>
      </c>
      <c r="B7" s="4">
        <v>44598</v>
      </c>
      <c r="C7" t="s">
        <v>5274</v>
      </c>
      <c r="D7">
        <v>35</v>
      </c>
      <c r="E7" s="5">
        <v>1.2300000000000001E-4</v>
      </c>
    </row>
    <row r="8" spans="1:5" x14ac:dyDescent="0.25">
      <c r="A8" s="4">
        <v>44599</v>
      </c>
      <c r="B8" s="4">
        <v>44605</v>
      </c>
      <c r="C8" t="s">
        <v>5275</v>
      </c>
      <c r="D8">
        <v>60</v>
      </c>
      <c r="E8" s="5">
        <v>2.02E-4</v>
      </c>
    </row>
    <row r="9" spans="1:5" x14ac:dyDescent="0.25">
      <c r="A9" s="4">
        <v>44606</v>
      </c>
      <c r="B9" s="4">
        <v>44612</v>
      </c>
      <c r="C9" t="s">
        <v>5276</v>
      </c>
      <c r="D9">
        <v>43</v>
      </c>
      <c r="E9" s="5">
        <v>1.4300000000000001E-4</v>
      </c>
    </row>
    <row r="10" spans="1:5" x14ac:dyDescent="0.25">
      <c r="A10" s="4">
        <v>44613</v>
      </c>
      <c r="B10" s="4">
        <v>44619</v>
      </c>
      <c r="C10" t="s">
        <v>5277</v>
      </c>
      <c r="D10">
        <v>27</v>
      </c>
      <c r="E10" s="5">
        <v>9.5000000000000005E-5</v>
      </c>
    </row>
    <row r="11" spans="1:5" x14ac:dyDescent="0.25">
      <c r="A11" s="4">
        <v>44620</v>
      </c>
      <c r="B11" s="4">
        <v>44626</v>
      </c>
      <c r="C11" t="s">
        <v>5278</v>
      </c>
      <c r="D11">
        <v>32</v>
      </c>
      <c r="E11" s="5">
        <v>1.0900000000000001E-4</v>
      </c>
    </row>
    <row r="12" spans="1:5" x14ac:dyDescent="0.25">
      <c r="A12" s="4">
        <v>44627</v>
      </c>
      <c r="B12" s="4">
        <v>44633</v>
      </c>
      <c r="C12" t="s">
        <v>5279</v>
      </c>
      <c r="D12">
        <v>23</v>
      </c>
      <c r="E12" s="5">
        <v>8.0000000000000007E-5</v>
      </c>
    </row>
    <row r="13" spans="1:5" x14ac:dyDescent="0.25">
      <c r="A13" s="4">
        <v>44634</v>
      </c>
      <c r="B13" s="4">
        <v>44640</v>
      </c>
      <c r="C13" t="s">
        <v>5280</v>
      </c>
      <c r="D13">
        <v>31</v>
      </c>
      <c r="E13" s="5">
        <v>1.02E-4</v>
      </c>
    </row>
    <row r="14" spans="1:5" x14ac:dyDescent="0.25">
      <c r="A14" s="4">
        <v>44641</v>
      </c>
      <c r="B14" s="4">
        <v>44647</v>
      </c>
      <c r="C14" t="s">
        <v>5281</v>
      </c>
      <c r="D14">
        <v>55</v>
      </c>
      <c r="E14" s="5">
        <v>1.8599999999999999E-4</v>
      </c>
    </row>
    <row r="15" spans="1:5" x14ac:dyDescent="0.25">
      <c r="A15" s="4">
        <v>44648</v>
      </c>
      <c r="B15" s="4">
        <v>44654</v>
      </c>
      <c r="C15" t="s">
        <v>5282</v>
      </c>
      <c r="D15">
        <v>32</v>
      </c>
      <c r="E15" s="5">
        <v>1.12E-4</v>
      </c>
    </row>
    <row r="16" spans="1:5" x14ac:dyDescent="0.25">
      <c r="A16" s="4">
        <v>44655</v>
      </c>
      <c r="B16" s="4">
        <v>44661</v>
      </c>
      <c r="C16" t="s">
        <v>5283</v>
      </c>
      <c r="D16">
        <v>39</v>
      </c>
      <c r="E16" s="5">
        <v>1.36E-4</v>
      </c>
    </row>
    <row r="17" spans="1:5" x14ac:dyDescent="0.25">
      <c r="A17" s="4">
        <v>44662</v>
      </c>
      <c r="B17" s="4">
        <v>44668</v>
      </c>
      <c r="C17" t="s">
        <v>5284</v>
      </c>
      <c r="D17">
        <v>57</v>
      </c>
      <c r="E17" s="5">
        <v>2.03E-4</v>
      </c>
    </row>
    <row r="18" spans="1:5" x14ac:dyDescent="0.25">
      <c r="A18" s="4">
        <v>44669</v>
      </c>
      <c r="B18" s="4">
        <v>44675</v>
      </c>
      <c r="C18" t="s">
        <v>5285</v>
      </c>
      <c r="D18">
        <v>62</v>
      </c>
      <c r="E18" s="5">
        <v>2.2699999999999999E-4</v>
      </c>
    </row>
    <row r="19" spans="1:5" x14ac:dyDescent="0.25">
      <c r="A19" s="4">
        <v>44676</v>
      </c>
      <c r="B19" s="4">
        <v>44682</v>
      </c>
      <c r="C19" t="s">
        <v>5286</v>
      </c>
      <c r="D19">
        <v>52</v>
      </c>
      <c r="E19" s="5">
        <v>1.9599999999999999E-4</v>
      </c>
    </row>
    <row r="20" spans="1:5" x14ac:dyDescent="0.25">
      <c r="A20" s="4">
        <v>44683</v>
      </c>
      <c r="B20" s="4">
        <v>44689</v>
      </c>
      <c r="C20" t="s">
        <v>5287</v>
      </c>
      <c r="D20">
        <v>42</v>
      </c>
      <c r="E20" s="5">
        <v>1.7699999999999999E-4</v>
      </c>
    </row>
    <row r="21" spans="1:5" x14ac:dyDescent="0.25">
      <c r="A21" s="4">
        <v>44690</v>
      </c>
      <c r="B21" s="4">
        <v>44696</v>
      </c>
      <c r="C21" t="s">
        <v>5288</v>
      </c>
      <c r="D21">
        <v>71</v>
      </c>
      <c r="E21" s="5">
        <v>2.6899999999999998E-4</v>
      </c>
    </row>
    <row r="22" spans="1:5" x14ac:dyDescent="0.25">
      <c r="A22" s="4">
        <v>44697</v>
      </c>
      <c r="B22" s="4">
        <v>44703</v>
      </c>
      <c r="C22" t="s">
        <v>5289</v>
      </c>
      <c r="D22">
        <v>47</v>
      </c>
      <c r="E22" s="5">
        <v>1.65E-4</v>
      </c>
    </row>
    <row r="23" spans="1:5" x14ac:dyDescent="0.25">
      <c r="A23" s="4">
        <v>44704</v>
      </c>
      <c r="B23" s="4">
        <v>44710</v>
      </c>
      <c r="C23" t="s">
        <v>5290</v>
      </c>
      <c r="D23">
        <v>59</v>
      </c>
      <c r="E23" s="5">
        <v>2.2000000000000001E-4</v>
      </c>
    </row>
    <row r="24" spans="1:5" x14ac:dyDescent="0.25">
      <c r="A24" s="4">
        <v>44711</v>
      </c>
      <c r="B24" s="4">
        <v>44717</v>
      </c>
      <c r="C24" t="s">
        <v>5291</v>
      </c>
      <c r="D24">
        <v>44</v>
      </c>
      <c r="E24" s="5">
        <v>1.8000000000000001E-4</v>
      </c>
    </row>
    <row r="25" spans="1:5" x14ac:dyDescent="0.25">
      <c r="A25" s="4">
        <v>44718</v>
      </c>
      <c r="B25" s="4">
        <v>44724</v>
      </c>
      <c r="C25" t="s">
        <v>5292</v>
      </c>
      <c r="D25">
        <v>51</v>
      </c>
      <c r="E25" s="5">
        <v>2.03E-4</v>
      </c>
    </row>
    <row r="26" spans="1:5" x14ac:dyDescent="0.25">
      <c r="A26" s="4">
        <v>44725</v>
      </c>
      <c r="B26" s="4">
        <v>44731</v>
      </c>
      <c r="C26" t="s">
        <v>5293</v>
      </c>
      <c r="D26">
        <v>41</v>
      </c>
      <c r="E26" s="5">
        <v>1.76E-4</v>
      </c>
    </row>
    <row r="27" spans="1:5" x14ac:dyDescent="0.25">
      <c r="A27" s="4">
        <v>44732</v>
      </c>
      <c r="B27" s="4">
        <v>44738</v>
      </c>
      <c r="C27" t="s">
        <v>5294</v>
      </c>
      <c r="D27">
        <v>48</v>
      </c>
      <c r="E27" s="5">
        <v>1.9900000000000001E-4</v>
      </c>
    </row>
    <row r="28" spans="1:5" x14ac:dyDescent="0.25">
      <c r="A28" s="4">
        <v>44739</v>
      </c>
      <c r="B28" s="4">
        <v>44745</v>
      </c>
      <c r="C28" t="s">
        <v>5295</v>
      </c>
      <c r="D28">
        <v>30</v>
      </c>
      <c r="E28" s="5">
        <v>1.2799999999999999E-4</v>
      </c>
    </row>
    <row r="29" spans="1:5" x14ac:dyDescent="0.25">
      <c r="A29" s="4">
        <v>44746</v>
      </c>
      <c r="B29" s="4">
        <v>44752</v>
      </c>
      <c r="C29" t="s">
        <v>5296</v>
      </c>
      <c r="D29">
        <v>56</v>
      </c>
      <c r="E29" s="5">
        <v>2.52E-4</v>
      </c>
    </row>
    <row r="30" spans="1:5" x14ac:dyDescent="0.25">
      <c r="A30" s="4">
        <v>44753</v>
      </c>
      <c r="B30" s="4">
        <v>44759</v>
      </c>
      <c r="C30" t="s">
        <v>5297</v>
      </c>
      <c r="D30">
        <v>62</v>
      </c>
      <c r="E30" s="5">
        <v>2.7500000000000002E-4</v>
      </c>
    </row>
    <row r="31" spans="1:5" x14ac:dyDescent="0.25">
      <c r="A31" s="4">
        <v>44760</v>
      </c>
      <c r="B31" s="4">
        <v>44766</v>
      </c>
      <c r="C31" t="s">
        <v>5298</v>
      </c>
      <c r="D31">
        <v>36</v>
      </c>
      <c r="E31" s="5">
        <v>1.5799999999999999E-4</v>
      </c>
    </row>
    <row r="32" spans="1:5" x14ac:dyDescent="0.25">
      <c r="A32" s="4">
        <v>44767</v>
      </c>
      <c r="B32" s="4">
        <v>44773</v>
      </c>
      <c r="C32" t="s">
        <v>5299</v>
      </c>
      <c r="D32">
        <v>28</v>
      </c>
      <c r="E32" s="5">
        <v>1.26E-4</v>
      </c>
    </row>
    <row r="33" spans="1:5" x14ac:dyDescent="0.25">
      <c r="A33" s="4">
        <v>44774</v>
      </c>
      <c r="B33" s="4">
        <v>44780</v>
      </c>
      <c r="C33" t="s">
        <v>5300</v>
      </c>
      <c r="D33">
        <v>52</v>
      </c>
      <c r="E33" s="5">
        <v>2.34E-4</v>
      </c>
    </row>
    <row r="34" spans="1:5" x14ac:dyDescent="0.25">
      <c r="A34" s="4">
        <v>44781</v>
      </c>
      <c r="B34" s="4">
        <v>44787</v>
      </c>
      <c r="C34" t="s">
        <v>5301</v>
      </c>
      <c r="D34">
        <v>64</v>
      </c>
      <c r="E34" s="5">
        <v>2.81E-4</v>
      </c>
    </row>
    <row r="35" spans="1:5" x14ac:dyDescent="0.25">
      <c r="A35" s="4">
        <v>44788</v>
      </c>
      <c r="B35" s="4">
        <v>44794</v>
      </c>
      <c r="C35" t="s">
        <v>5302</v>
      </c>
      <c r="D35">
        <v>42</v>
      </c>
      <c r="E35" s="5">
        <v>1.83E-4</v>
      </c>
    </row>
    <row r="36" spans="1:5" x14ac:dyDescent="0.25">
      <c r="A36" s="4">
        <v>44795</v>
      </c>
      <c r="B36" s="4">
        <v>44801</v>
      </c>
      <c r="C36" t="s">
        <v>5303</v>
      </c>
      <c r="D36">
        <v>42</v>
      </c>
      <c r="E36" s="5">
        <v>1.8200000000000001E-4</v>
      </c>
    </row>
    <row r="37" spans="1:5" x14ac:dyDescent="0.25">
      <c r="A37" s="4">
        <v>44802</v>
      </c>
      <c r="B37" s="4">
        <v>44808</v>
      </c>
      <c r="C37" t="s">
        <v>5304</v>
      </c>
      <c r="D37">
        <v>50</v>
      </c>
      <c r="E37" s="5">
        <v>2.03E-4</v>
      </c>
    </row>
    <row r="38" spans="1:5" x14ac:dyDescent="0.25">
      <c r="A38" s="4">
        <v>44809</v>
      </c>
      <c r="B38" s="4">
        <v>44815</v>
      </c>
      <c r="C38" t="s">
        <v>5305</v>
      </c>
      <c r="D38">
        <v>39</v>
      </c>
      <c r="E38" s="5">
        <v>1.4799999999999999E-4</v>
      </c>
    </row>
    <row r="39" spans="1:5" x14ac:dyDescent="0.25">
      <c r="A39" s="4">
        <v>44816</v>
      </c>
      <c r="B39" s="4">
        <v>44822</v>
      </c>
      <c r="C39" t="s">
        <v>5306</v>
      </c>
      <c r="D39">
        <v>30</v>
      </c>
      <c r="E39" s="5">
        <v>1.11E-4</v>
      </c>
    </row>
    <row r="40" spans="1:5" x14ac:dyDescent="0.25">
      <c r="A40" s="4">
        <v>44823</v>
      </c>
      <c r="B40" s="4">
        <v>44829</v>
      </c>
      <c r="C40" t="s">
        <v>5307</v>
      </c>
      <c r="D40">
        <v>33</v>
      </c>
      <c r="E40" s="5">
        <v>1.2E-4</v>
      </c>
    </row>
    <row r="41" spans="1:5" x14ac:dyDescent="0.25">
      <c r="A41" s="4">
        <v>44830</v>
      </c>
      <c r="B41" s="4">
        <v>44836</v>
      </c>
      <c r="C41" t="s">
        <v>5308</v>
      </c>
      <c r="D41">
        <v>17</v>
      </c>
      <c r="E41" s="5">
        <v>6.2000000000000003E-5</v>
      </c>
    </row>
    <row r="42" spans="1:5" x14ac:dyDescent="0.25">
      <c r="A42" s="4">
        <v>44837</v>
      </c>
      <c r="B42" s="4">
        <v>44843</v>
      </c>
      <c r="C42" t="s">
        <v>5309</v>
      </c>
      <c r="D42">
        <v>23</v>
      </c>
      <c r="E42" s="5">
        <v>8.5000000000000006E-5</v>
      </c>
    </row>
    <row r="43" spans="1:5" x14ac:dyDescent="0.25">
      <c r="A43" s="4">
        <v>44844</v>
      </c>
      <c r="B43" s="4">
        <v>44850</v>
      </c>
      <c r="C43" t="s">
        <v>5310</v>
      </c>
      <c r="D43">
        <v>26</v>
      </c>
      <c r="E43" s="5">
        <v>9.2999999999999997E-5</v>
      </c>
    </row>
    <row r="44" spans="1:5" x14ac:dyDescent="0.25">
      <c r="A44" s="4">
        <v>44851</v>
      </c>
      <c r="B44" s="4">
        <v>44857</v>
      </c>
      <c r="C44" t="s">
        <v>5311</v>
      </c>
      <c r="D44">
        <v>36</v>
      </c>
      <c r="E44" s="5">
        <v>1.25E-4</v>
      </c>
    </row>
    <row r="45" spans="1:5" x14ac:dyDescent="0.25">
      <c r="A45" s="4">
        <v>44858</v>
      </c>
      <c r="B45" s="4">
        <v>44864</v>
      </c>
      <c r="C45" t="s">
        <v>5312</v>
      </c>
      <c r="D45">
        <v>37</v>
      </c>
      <c r="E45" s="5">
        <v>1.2999999999999999E-4</v>
      </c>
    </row>
    <row r="46" spans="1:5" x14ac:dyDescent="0.25">
      <c r="A46" s="4">
        <v>44865</v>
      </c>
      <c r="B46" s="4">
        <v>44871</v>
      </c>
      <c r="C46" t="s">
        <v>5313</v>
      </c>
      <c r="D46">
        <v>30</v>
      </c>
      <c r="E46" s="5">
        <v>1.11E-4</v>
      </c>
    </row>
    <row r="47" spans="1:5" x14ac:dyDescent="0.25">
      <c r="A47" s="4">
        <v>44872</v>
      </c>
      <c r="B47" s="4">
        <v>44878</v>
      </c>
      <c r="C47" t="s">
        <v>5314</v>
      </c>
      <c r="D47">
        <v>24</v>
      </c>
      <c r="E47" s="5">
        <v>8.5000000000000006E-5</v>
      </c>
    </row>
    <row r="48" spans="1:5" x14ac:dyDescent="0.25">
      <c r="A48" s="4">
        <v>44879</v>
      </c>
      <c r="B48" s="4">
        <v>44885</v>
      </c>
      <c r="C48" t="s">
        <v>5315</v>
      </c>
      <c r="D48">
        <v>27</v>
      </c>
      <c r="E48" s="5">
        <v>9.0000000000000006E-5</v>
      </c>
    </row>
    <row r="49" spans="1:5" x14ac:dyDescent="0.25">
      <c r="A49" s="4">
        <v>44886</v>
      </c>
      <c r="B49" s="4">
        <v>44892</v>
      </c>
      <c r="C49" t="s">
        <v>5316</v>
      </c>
      <c r="D49">
        <v>33</v>
      </c>
      <c r="E49" s="5">
        <v>1.06E-4</v>
      </c>
    </row>
    <row r="50" spans="1:5" x14ac:dyDescent="0.25">
      <c r="A50" s="4">
        <v>44893</v>
      </c>
      <c r="B50" s="4">
        <v>44899</v>
      </c>
      <c r="C50" t="s">
        <v>5317</v>
      </c>
      <c r="D50">
        <v>28</v>
      </c>
      <c r="E50" s="5">
        <v>9.1000000000000003E-5</v>
      </c>
    </row>
    <row r="51" spans="1:5" x14ac:dyDescent="0.25">
      <c r="A51" s="4">
        <v>44900</v>
      </c>
      <c r="B51" s="4">
        <v>44906</v>
      </c>
      <c r="C51" t="s">
        <v>5318</v>
      </c>
      <c r="D51">
        <v>20</v>
      </c>
      <c r="E51" s="5">
        <v>6.6000000000000005E-5</v>
      </c>
    </row>
    <row r="52" spans="1:5" x14ac:dyDescent="0.25">
      <c r="A52" s="4">
        <v>44907</v>
      </c>
      <c r="B52" s="4">
        <v>44913</v>
      </c>
      <c r="C52" t="s">
        <v>5319</v>
      </c>
      <c r="D52">
        <v>28</v>
      </c>
      <c r="E52" s="5">
        <v>9.2E-5</v>
      </c>
    </row>
    <row r="53" spans="1:5" x14ac:dyDescent="0.25">
      <c r="A53" s="4">
        <v>44914</v>
      </c>
      <c r="B53" s="4">
        <v>44920</v>
      </c>
      <c r="C53" t="s">
        <v>5320</v>
      </c>
      <c r="D53">
        <v>30</v>
      </c>
      <c r="E53" s="5">
        <v>1E-4</v>
      </c>
    </row>
    <row r="54" spans="1:5" x14ac:dyDescent="0.25">
      <c r="A54" s="4">
        <v>44921</v>
      </c>
      <c r="B54" s="4">
        <v>44927</v>
      </c>
      <c r="C54" t="s">
        <v>5321</v>
      </c>
      <c r="D54">
        <v>14</v>
      </c>
      <c r="E54" s="5">
        <v>5.8E-5</v>
      </c>
    </row>
    <row r="55" spans="1:5" x14ac:dyDescent="0.25">
      <c r="A55" s="4">
        <v>44928</v>
      </c>
      <c r="B55" s="4">
        <v>44934</v>
      </c>
      <c r="C55" t="s">
        <v>5322</v>
      </c>
      <c r="D55">
        <v>26</v>
      </c>
      <c r="E55" s="5">
        <v>1.1E-4</v>
      </c>
    </row>
    <row r="56" spans="1:5" x14ac:dyDescent="0.25">
      <c r="A56" s="4">
        <v>44935</v>
      </c>
      <c r="B56" s="4">
        <v>44941</v>
      </c>
      <c r="C56" t="s">
        <v>5323</v>
      </c>
      <c r="D56">
        <v>19</v>
      </c>
      <c r="E56" s="5">
        <v>6.3999999999999997E-5</v>
      </c>
    </row>
    <row r="57" spans="1:5" x14ac:dyDescent="0.25">
      <c r="A57" s="4">
        <v>44942</v>
      </c>
      <c r="B57" s="4">
        <v>44948</v>
      </c>
      <c r="C57" t="s">
        <v>5324</v>
      </c>
      <c r="D57">
        <v>25</v>
      </c>
      <c r="E57" s="5">
        <v>8.6000000000000003E-5</v>
      </c>
    </row>
    <row r="58" spans="1:5" x14ac:dyDescent="0.25">
      <c r="A58" s="4">
        <v>44949</v>
      </c>
      <c r="B58" s="4">
        <v>44955</v>
      </c>
      <c r="C58" t="s">
        <v>5325</v>
      </c>
      <c r="D58">
        <v>44</v>
      </c>
      <c r="E58" s="5">
        <v>1.5100000000000001E-4</v>
      </c>
    </row>
    <row r="59" spans="1:5" x14ac:dyDescent="0.25">
      <c r="A59" s="4">
        <v>44956</v>
      </c>
      <c r="B59" s="4">
        <v>44962</v>
      </c>
      <c r="C59" t="s">
        <v>5326</v>
      </c>
      <c r="D59">
        <v>27</v>
      </c>
      <c r="E59" s="5">
        <v>9.2999999999999997E-5</v>
      </c>
    </row>
    <row r="60" spans="1:5" x14ac:dyDescent="0.25">
      <c r="A60" s="4">
        <v>44963</v>
      </c>
      <c r="B60" s="4">
        <v>44969</v>
      </c>
      <c r="C60" t="s">
        <v>5327</v>
      </c>
      <c r="D60">
        <v>28</v>
      </c>
      <c r="E60" s="5">
        <v>9.7E-5</v>
      </c>
    </row>
    <row r="61" spans="1:5" x14ac:dyDescent="0.25">
      <c r="A61" s="4">
        <v>44970</v>
      </c>
      <c r="B61" s="4">
        <v>44976</v>
      </c>
      <c r="C61" t="s">
        <v>5328</v>
      </c>
      <c r="D61">
        <v>32</v>
      </c>
      <c r="E61" s="5">
        <v>1.1E-4</v>
      </c>
    </row>
    <row r="62" spans="1:5" x14ac:dyDescent="0.25">
      <c r="A62" s="4">
        <v>44977</v>
      </c>
      <c r="B62" s="4">
        <v>44983</v>
      </c>
      <c r="C62" t="s">
        <v>5329</v>
      </c>
      <c r="D62">
        <v>44</v>
      </c>
      <c r="E62" s="5">
        <v>1.6200000000000001E-4</v>
      </c>
    </row>
    <row r="63" spans="1:5" x14ac:dyDescent="0.25">
      <c r="A63" s="4">
        <v>44984</v>
      </c>
      <c r="B63" s="4">
        <v>44990</v>
      </c>
      <c r="C63" t="s">
        <v>5330</v>
      </c>
      <c r="D63">
        <v>30</v>
      </c>
      <c r="E63" s="5">
        <v>1.03E-4</v>
      </c>
    </row>
    <row r="64" spans="1:5" x14ac:dyDescent="0.25">
      <c r="A64" s="4">
        <v>44991</v>
      </c>
      <c r="B64" s="4">
        <v>44997</v>
      </c>
      <c r="C64" t="s">
        <v>5331</v>
      </c>
      <c r="D64">
        <v>37</v>
      </c>
      <c r="E64" s="5">
        <v>1.34E-4</v>
      </c>
    </row>
    <row r="65" spans="1:5" x14ac:dyDescent="0.25">
      <c r="A65" s="4">
        <v>44998</v>
      </c>
      <c r="B65" s="4">
        <v>45004</v>
      </c>
      <c r="C65" t="s">
        <v>5332</v>
      </c>
      <c r="D65">
        <v>59</v>
      </c>
      <c r="E65" s="5">
        <v>2.05E-4</v>
      </c>
    </row>
    <row r="66" spans="1:5" x14ac:dyDescent="0.25">
      <c r="A66" s="4">
        <v>45005</v>
      </c>
      <c r="B66" s="4">
        <v>45011</v>
      </c>
      <c r="C66" t="s">
        <v>5333</v>
      </c>
      <c r="D66">
        <v>34</v>
      </c>
      <c r="E66" s="5">
        <v>1.26E-4</v>
      </c>
    </row>
    <row r="67" spans="1:5" x14ac:dyDescent="0.25">
      <c r="A67" s="4">
        <v>45012</v>
      </c>
      <c r="B67" s="4">
        <v>45018</v>
      </c>
      <c r="C67" t="s">
        <v>5334</v>
      </c>
      <c r="D67">
        <v>56</v>
      </c>
      <c r="E67" s="5">
        <v>2.02E-4</v>
      </c>
    </row>
    <row r="68" spans="1:5" x14ac:dyDescent="0.25">
      <c r="A68" s="4">
        <v>45019</v>
      </c>
      <c r="B68" s="4">
        <v>45025</v>
      </c>
      <c r="C68" t="s">
        <v>5335</v>
      </c>
      <c r="D68">
        <v>43</v>
      </c>
      <c r="E68" s="5">
        <v>1.54E-4</v>
      </c>
    </row>
    <row r="69" spans="1:5" x14ac:dyDescent="0.25">
      <c r="A69" s="4">
        <v>45026</v>
      </c>
      <c r="B69" s="4">
        <v>45032</v>
      </c>
      <c r="C69" t="s">
        <v>5336</v>
      </c>
      <c r="D69">
        <v>51</v>
      </c>
      <c r="E69" s="5">
        <v>1.8599999999999999E-4</v>
      </c>
    </row>
    <row r="70" spans="1:5" x14ac:dyDescent="0.25">
      <c r="A70" s="4">
        <v>45033</v>
      </c>
      <c r="B70" s="4">
        <v>45039</v>
      </c>
      <c r="C70" t="s">
        <v>5337</v>
      </c>
      <c r="D70">
        <v>61</v>
      </c>
      <c r="E70" s="5">
        <v>2.22E-4</v>
      </c>
    </row>
    <row r="71" spans="1:5" x14ac:dyDescent="0.25">
      <c r="A71" s="4">
        <v>45040</v>
      </c>
      <c r="B71" s="4">
        <v>45046</v>
      </c>
      <c r="C71" t="s">
        <v>5338</v>
      </c>
      <c r="D71">
        <v>62</v>
      </c>
      <c r="E71" s="5">
        <v>2.41E-4</v>
      </c>
    </row>
    <row r="72" spans="1:5" x14ac:dyDescent="0.25">
      <c r="A72" s="4">
        <v>45047</v>
      </c>
      <c r="B72" s="4">
        <v>45053</v>
      </c>
      <c r="C72" t="s">
        <v>5339</v>
      </c>
      <c r="D72">
        <v>52</v>
      </c>
      <c r="E72" s="5">
        <v>2.0599999999999999E-4</v>
      </c>
    </row>
    <row r="73" spans="1:5" x14ac:dyDescent="0.25">
      <c r="A73" s="4">
        <v>45054</v>
      </c>
      <c r="B73" s="4">
        <v>45060</v>
      </c>
      <c r="C73" t="s">
        <v>5340</v>
      </c>
      <c r="D73">
        <v>50</v>
      </c>
      <c r="E73" s="5">
        <v>1.95E-4</v>
      </c>
    </row>
    <row r="74" spans="1:5" x14ac:dyDescent="0.25">
      <c r="A74" s="4">
        <v>45061</v>
      </c>
      <c r="B74" s="4">
        <v>45067</v>
      </c>
      <c r="C74" t="s">
        <v>5341</v>
      </c>
      <c r="D74">
        <v>71</v>
      </c>
      <c r="E74" s="5">
        <v>2.6600000000000001E-4</v>
      </c>
    </row>
    <row r="75" spans="1:5" x14ac:dyDescent="0.25">
      <c r="A75" s="4">
        <v>45068</v>
      </c>
      <c r="B75" s="4">
        <v>45074</v>
      </c>
      <c r="C75" t="s">
        <v>5342</v>
      </c>
      <c r="D75">
        <v>56</v>
      </c>
      <c r="E75" s="5">
        <v>2.22E-4</v>
      </c>
    </row>
    <row r="76" spans="1:5" x14ac:dyDescent="0.25">
      <c r="A76" s="4">
        <v>45075</v>
      </c>
      <c r="B76" s="4">
        <v>45081</v>
      </c>
      <c r="C76" t="s">
        <v>5343</v>
      </c>
      <c r="D76">
        <v>57</v>
      </c>
      <c r="E76" s="5">
        <v>2.32E-4</v>
      </c>
    </row>
    <row r="77" spans="1:5" x14ac:dyDescent="0.25">
      <c r="A77" s="4">
        <v>45082</v>
      </c>
      <c r="B77" s="4">
        <v>45088</v>
      </c>
      <c r="C77" t="s">
        <v>5344</v>
      </c>
      <c r="D77">
        <v>45</v>
      </c>
      <c r="E77" s="5">
        <v>1.8599999999999999E-4</v>
      </c>
    </row>
    <row r="78" spans="1:5" x14ac:dyDescent="0.25">
      <c r="A78" s="4">
        <v>45089</v>
      </c>
      <c r="B78" s="4">
        <v>45095</v>
      </c>
      <c r="C78" t="s">
        <v>5345</v>
      </c>
      <c r="D78">
        <v>43</v>
      </c>
      <c r="E78" s="5">
        <v>1.7899999999999999E-4</v>
      </c>
    </row>
    <row r="79" spans="1:5" x14ac:dyDescent="0.25">
      <c r="A79" s="4">
        <v>45096</v>
      </c>
      <c r="B79" s="4">
        <v>45102</v>
      </c>
      <c r="C79" t="s">
        <v>5346</v>
      </c>
      <c r="D79">
        <v>34</v>
      </c>
      <c r="E79" s="5">
        <v>1.3899999999999999E-4</v>
      </c>
    </row>
    <row r="80" spans="1:5" x14ac:dyDescent="0.25">
      <c r="A80" s="4">
        <v>45103</v>
      </c>
      <c r="B80" s="4">
        <v>45109</v>
      </c>
      <c r="C80" t="s">
        <v>5347</v>
      </c>
      <c r="D80">
        <v>64</v>
      </c>
      <c r="E80" s="5">
        <v>2.7700000000000001E-4</v>
      </c>
    </row>
    <row r="81" spans="1:5" x14ac:dyDescent="0.25">
      <c r="A81" s="4">
        <v>45110</v>
      </c>
      <c r="B81" s="4">
        <v>45116</v>
      </c>
      <c r="C81" t="s">
        <v>5348</v>
      </c>
      <c r="D81">
        <v>63</v>
      </c>
      <c r="E81" s="5">
        <v>2.8899999999999998E-4</v>
      </c>
    </row>
    <row r="82" spans="1:5" x14ac:dyDescent="0.25">
      <c r="A82" s="4">
        <v>45117</v>
      </c>
      <c r="B82" s="4">
        <v>45123</v>
      </c>
      <c r="C82" t="s">
        <v>5349</v>
      </c>
      <c r="D82">
        <v>45</v>
      </c>
      <c r="E82" s="5">
        <v>1.9599999999999999E-4</v>
      </c>
    </row>
    <row r="83" spans="1:5" x14ac:dyDescent="0.25">
      <c r="A83" s="4">
        <v>45124</v>
      </c>
      <c r="B83" s="4">
        <v>45130</v>
      </c>
      <c r="C83" t="s">
        <v>5350</v>
      </c>
      <c r="D83">
        <v>54</v>
      </c>
      <c r="E83" s="5">
        <v>2.3800000000000001E-4</v>
      </c>
    </row>
    <row r="84" spans="1:5" x14ac:dyDescent="0.25">
      <c r="A84" s="4">
        <v>45131</v>
      </c>
      <c r="B84" s="4">
        <v>45137</v>
      </c>
      <c r="C84" t="s">
        <v>5351</v>
      </c>
      <c r="D84">
        <v>49</v>
      </c>
      <c r="E84" s="5">
        <v>2.2000000000000001E-4</v>
      </c>
    </row>
    <row r="85" spans="1:5" x14ac:dyDescent="0.25">
      <c r="A85" s="4">
        <v>45138</v>
      </c>
      <c r="B85" s="4">
        <v>45144</v>
      </c>
      <c r="C85" t="s">
        <v>5352</v>
      </c>
      <c r="D85">
        <v>54</v>
      </c>
      <c r="E85" s="5">
        <v>2.4399999999999999E-4</v>
      </c>
    </row>
    <row r="86" spans="1:5" x14ac:dyDescent="0.25">
      <c r="A86" s="4">
        <v>45145</v>
      </c>
      <c r="B86" s="4">
        <v>45151</v>
      </c>
      <c r="C86" t="s">
        <v>5353</v>
      </c>
      <c r="D86">
        <v>48</v>
      </c>
      <c r="E86" s="5">
        <v>2.1599999999999999E-4</v>
      </c>
    </row>
    <row r="87" spans="1:5" x14ac:dyDescent="0.25">
      <c r="A87" s="4">
        <v>45152</v>
      </c>
      <c r="B87" s="4">
        <v>45158</v>
      </c>
      <c r="C87" t="s">
        <v>5354</v>
      </c>
      <c r="D87">
        <v>53</v>
      </c>
      <c r="E87" s="5">
        <v>2.3800000000000001E-4</v>
      </c>
    </row>
    <row r="88" spans="1:5" x14ac:dyDescent="0.25">
      <c r="A88" s="4">
        <v>45159</v>
      </c>
      <c r="B88" s="4">
        <v>45165</v>
      </c>
      <c r="C88" t="s">
        <v>5355</v>
      </c>
      <c r="D88">
        <v>38</v>
      </c>
      <c r="E88" s="5">
        <v>1.7000000000000001E-4</v>
      </c>
    </row>
    <row r="89" spans="1:5" x14ac:dyDescent="0.25">
      <c r="A89" s="4">
        <v>45166</v>
      </c>
      <c r="B89" s="4">
        <v>45172</v>
      </c>
      <c r="C89" t="s">
        <v>5356</v>
      </c>
      <c r="D89">
        <v>30</v>
      </c>
      <c r="E89" s="5">
        <v>1.35E-4</v>
      </c>
    </row>
    <row r="90" spans="1:5" x14ac:dyDescent="0.25">
      <c r="A90" s="4">
        <v>45173</v>
      </c>
      <c r="B90" s="4">
        <v>45179</v>
      </c>
      <c r="C90" t="s">
        <v>5357</v>
      </c>
      <c r="D90">
        <v>58</v>
      </c>
      <c r="E90" s="5">
        <v>2.33E-4</v>
      </c>
    </row>
    <row r="91" spans="1:5" x14ac:dyDescent="0.25">
      <c r="A91" s="4">
        <v>45180</v>
      </c>
      <c r="B91" s="4">
        <v>45186</v>
      </c>
      <c r="C91" t="s">
        <v>5358</v>
      </c>
      <c r="D91">
        <v>36</v>
      </c>
      <c r="E91" s="5">
        <v>1.3999999999999999E-4</v>
      </c>
    </row>
    <row r="92" spans="1:5" x14ac:dyDescent="0.25">
      <c r="A92" s="4">
        <v>45187</v>
      </c>
      <c r="B92" s="4">
        <v>45193</v>
      </c>
      <c r="C92" t="s">
        <v>5359</v>
      </c>
      <c r="D92">
        <v>35</v>
      </c>
      <c r="E92" s="5">
        <v>1.36E-4</v>
      </c>
    </row>
    <row r="93" spans="1:5" x14ac:dyDescent="0.25">
      <c r="A93" s="4">
        <v>45194</v>
      </c>
      <c r="B93" s="4">
        <v>45200</v>
      </c>
      <c r="C93" t="s">
        <v>5360</v>
      </c>
      <c r="D93">
        <v>46</v>
      </c>
      <c r="E93" s="5">
        <v>1.74E-4</v>
      </c>
    </row>
    <row r="94" spans="1:5" x14ac:dyDescent="0.25">
      <c r="A94" s="4">
        <v>45201</v>
      </c>
      <c r="B94" s="4">
        <v>45207</v>
      </c>
      <c r="C94" t="s">
        <v>5361</v>
      </c>
      <c r="D94">
        <v>44</v>
      </c>
      <c r="E94" s="5">
        <v>1.63E-4</v>
      </c>
    </row>
    <row r="95" spans="1:5" x14ac:dyDescent="0.25">
      <c r="A95" s="4">
        <v>45208</v>
      </c>
      <c r="B95" s="4">
        <v>45214</v>
      </c>
      <c r="C95" t="s">
        <v>5362</v>
      </c>
      <c r="D95">
        <v>49</v>
      </c>
      <c r="E95" s="5">
        <v>1.7899999999999999E-4</v>
      </c>
    </row>
    <row r="96" spans="1:5" x14ac:dyDescent="0.25">
      <c r="A96" s="4">
        <v>45215</v>
      </c>
      <c r="B96" s="4">
        <v>45221</v>
      </c>
      <c r="C96" t="s">
        <v>5363</v>
      </c>
      <c r="D96">
        <v>25</v>
      </c>
      <c r="E96" s="5">
        <v>8.7999999999999998E-5</v>
      </c>
    </row>
    <row r="97" spans="1:5" x14ac:dyDescent="0.25">
      <c r="A97" s="4">
        <v>45222</v>
      </c>
      <c r="B97" s="4">
        <v>45228</v>
      </c>
      <c r="C97" t="s">
        <v>5364</v>
      </c>
      <c r="D97">
        <v>52</v>
      </c>
      <c r="E97" s="5">
        <v>1.8699999999999999E-4</v>
      </c>
    </row>
    <row r="98" spans="1:5" x14ac:dyDescent="0.25">
      <c r="A98" s="4">
        <v>45229</v>
      </c>
      <c r="B98" s="4">
        <v>45235</v>
      </c>
      <c r="C98" t="s">
        <v>5365</v>
      </c>
      <c r="D98">
        <v>48</v>
      </c>
      <c r="E98" s="5">
        <v>1.8599999999999999E-4</v>
      </c>
    </row>
    <row r="99" spans="1:5" x14ac:dyDescent="0.25">
      <c r="A99" s="4">
        <v>45236</v>
      </c>
      <c r="B99" s="4">
        <v>45242</v>
      </c>
      <c r="C99" t="s">
        <v>5366</v>
      </c>
      <c r="D99">
        <v>28</v>
      </c>
      <c r="E99" s="5">
        <v>1.02E-4</v>
      </c>
    </row>
    <row r="100" spans="1:5" x14ac:dyDescent="0.25">
      <c r="A100" s="4">
        <v>45243</v>
      </c>
      <c r="B100" s="4">
        <v>45249</v>
      </c>
      <c r="C100" t="s">
        <v>5367</v>
      </c>
      <c r="D100">
        <v>42</v>
      </c>
      <c r="E100" s="5">
        <v>1.47E-4</v>
      </c>
    </row>
    <row r="101" spans="1:5" x14ac:dyDescent="0.25">
      <c r="A101" s="4">
        <v>45250</v>
      </c>
      <c r="B101" s="4">
        <v>45256</v>
      </c>
      <c r="C101" t="s">
        <v>5368</v>
      </c>
      <c r="D101">
        <v>49</v>
      </c>
      <c r="E101" s="5">
        <v>1.7000000000000001E-4</v>
      </c>
    </row>
    <row r="102" spans="1:5" x14ac:dyDescent="0.25">
      <c r="A102" s="4">
        <v>45257</v>
      </c>
      <c r="B102" s="4">
        <v>45263</v>
      </c>
      <c r="C102" t="s">
        <v>5369</v>
      </c>
      <c r="D102">
        <v>35</v>
      </c>
      <c r="E102" s="5">
        <v>1.2E-4</v>
      </c>
    </row>
    <row r="103" spans="1:5" x14ac:dyDescent="0.25">
      <c r="A103" s="4">
        <v>45264</v>
      </c>
      <c r="B103" s="4">
        <v>45270</v>
      </c>
      <c r="C103" t="s">
        <v>5370</v>
      </c>
      <c r="D103">
        <v>39</v>
      </c>
      <c r="E103" s="5">
        <v>1.34E-4</v>
      </c>
    </row>
    <row r="104" spans="1:5" x14ac:dyDescent="0.25">
      <c r="A104" s="4">
        <v>45271</v>
      </c>
      <c r="B104" s="4">
        <v>45277</v>
      </c>
      <c r="C104" t="s">
        <v>5371</v>
      </c>
      <c r="D104">
        <v>30</v>
      </c>
      <c r="E104" s="5">
        <v>1.05E-4</v>
      </c>
    </row>
    <row r="105" spans="1:5" x14ac:dyDescent="0.25">
      <c r="A105" s="4">
        <v>45278</v>
      </c>
      <c r="B105" s="4">
        <v>45284</v>
      </c>
      <c r="C105" t="s">
        <v>5372</v>
      </c>
      <c r="D105">
        <v>28</v>
      </c>
      <c r="E105" s="5">
        <v>9.8999999999999994E-5</v>
      </c>
    </row>
    <row r="106" spans="1:5" x14ac:dyDescent="0.25">
      <c r="A106" s="4">
        <v>45285</v>
      </c>
      <c r="B106" s="4">
        <v>45291</v>
      </c>
      <c r="C106" t="s">
        <v>5373</v>
      </c>
      <c r="D106">
        <v>15</v>
      </c>
      <c r="E106" s="5">
        <v>6.0999999999999999E-5</v>
      </c>
    </row>
    <row r="107" spans="1:5" x14ac:dyDescent="0.25">
      <c r="A107" s="4">
        <v>45292</v>
      </c>
      <c r="B107" s="4">
        <v>45298</v>
      </c>
      <c r="C107" t="s">
        <v>5374</v>
      </c>
      <c r="D107">
        <v>20</v>
      </c>
      <c r="E107" s="5">
        <v>9.0000000000000006E-5</v>
      </c>
    </row>
    <row r="108" spans="1:5" x14ac:dyDescent="0.25">
      <c r="A108" s="4">
        <v>45299</v>
      </c>
      <c r="B108" s="4">
        <v>45305</v>
      </c>
      <c r="C108" t="s">
        <v>5375</v>
      </c>
      <c r="D108">
        <v>20</v>
      </c>
      <c r="E108" s="5">
        <v>7.2000000000000002E-5</v>
      </c>
    </row>
    <row r="109" spans="1:5" x14ac:dyDescent="0.25">
      <c r="A109" s="4">
        <v>45306</v>
      </c>
      <c r="B109" s="4">
        <v>45312</v>
      </c>
      <c r="C109" t="s">
        <v>5376</v>
      </c>
      <c r="D109">
        <v>35</v>
      </c>
      <c r="E109" s="5">
        <v>1.22E-4</v>
      </c>
    </row>
    <row r="110" spans="1:5" x14ac:dyDescent="0.25">
      <c r="A110" s="4">
        <v>45313</v>
      </c>
      <c r="B110" s="4">
        <v>45319</v>
      </c>
      <c r="C110" t="s">
        <v>5377</v>
      </c>
      <c r="D110">
        <v>27</v>
      </c>
      <c r="E110" s="5">
        <v>9.3999999999999994E-5</v>
      </c>
    </row>
    <row r="111" spans="1:5" x14ac:dyDescent="0.25">
      <c r="A111" s="4">
        <v>45320</v>
      </c>
      <c r="B111" s="4">
        <v>45326</v>
      </c>
      <c r="C111" t="s">
        <v>5378</v>
      </c>
      <c r="D111">
        <v>31</v>
      </c>
      <c r="E111" s="5">
        <v>1.12E-4</v>
      </c>
    </row>
    <row r="112" spans="1:5" x14ac:dyDescent="0.25">
      <c r="A112" s="4">
        <v>45327</v>
      </c>
      <c r="B112" s="4">
        <v>45333</v>
      </c>
      <c r="C112" t="s">
        <v>5379</v>
      </c>
      <c r="D112">
        <v>56</v>
      </c>
      <c r="E112" s="5">
        <v>2.05E-4</v>
      </c>
    </row>
    <row r="113" spans="1:5" x14ac:dyDescent="0.25">
      <c r="A113" s="4">
        <v>45334</v>
      </c>
      <c r="B113" s="4">
        <v>45340</v>
      </c>
      <c r="C113" t="s">
        <v>5380</v>
      </c>
      <c r="D113">
        <v>33</v>
      </c>
      <c r="E113" s="5">
        <v>1.1900000000000001E-4</v>
      </c>
    </row>
    <row r="114" spans="1:5" x14ac:dyDescent="0.25">
      <c r="A114" s="4">
        <v>45341</v>
      </c>
      <c r="B114" s="4">
        <v>45347</v>
      </c>
      <c r="C114" t="s">
        <v>5381</v>
      </c>
      <c r="D114">
        <v>47</v>
      </c>
      <c r="E114" s="5">
        <v>1.7899999999999999E-4</v>
      </c>
    </row>
    <row r="115" spans="1:5" x14ac:dyDescent="0.25">
      <c r="A115" s="4">
        <v>45348</v>
      </c>
      <c r="B115" s="4">
        <v>45354</v>
      </c>
      <c r="C115" t="s">
        <v>5382</v>
      </c>
      <c r="D115">
        <v>64</v>
      </c>
      <c r="E115" s="5">
        <v>2.1900000000000001E-4</v>
      </c>
    </row>
    <row r="116" spans="1:5" x14ac:dyDescent="0.25">
      <c r="A116" s="4">
        <v>45355</v>
      </c>
      <c r="B116" s="4">
        <v>45361</v>
      </c>
      <c r="C116" t="s">
        <v>5383</v>
      </c>
      <c r="D116">
        <v>52</v>
      </c>
      <c r="E116" s="5">
        <v>1.93E-4</v>
      </c>
    </row>
    <row r="117" spans="1:5" x14ac:dyDescent="0.25">
      <c r="A117" s="4">
        <v>45362</v>
      </c>
      <c r="B117" s="4">
        <v>45368</v>
      </c>
      <c r="C117" t="s">
        <v>5384</v>
      </c>
      <c r="D117">
        <v>37</v>
      </c>
      <c r="E117" s="5">
        <v>1.3799999999999999E-4</v>
      </c>
    </row>
    <row r="118" spans="1:5" x14ac:dyDescent="0.25">
      <c r="A118" s="4">
        <v>45369</v>
      </c>
      <c r="B118" s="4">
        <v>45375</v>
      </c>
      <c r="C118" t="s">
        <v>5385</v>
      </c>
      <c r="D118">
        <v>41</v>
      </c>
      <c r="E118" s="5">
        <v>1.5300000000000001E-4</v>
      </c>
    </row>
    <row r="119" spans="1:5" x14ac:dyDescent="0.25">
      <c r="A119" s="4">
        <v>45376</v>
      </c>
      <c r="B119" s="4">
        <v>45382</v>
      </c>
      <c r="C119" t="s">
        <v>5386</v>
      </c>
      <c r="D119">
        <v>80</v>
      </c>
      <c r="E119" s="5">
        <v>3.1100000000000002E-4</v>
      </c>
    </row>
    <row r="120" spans="1:5" x14ac:dyDescent="0.25">
      <c r="A120" s="4">
        <v>45383</v>
      </c>
      <c r="B120" s="4">
        <v>45389</v>
      </c>
      <c r="C120" t="s">
        <v>5387</v>
      </c>
      <c r="D120">
        <v>70</v>
      </c>
      <c r="E120" s="5">
        <v>2.63E-4</v>
      </c>
    </row>
    <row r="121" spans="1:5" x14ac:dyDescent="0.25">
      <c r="A121" s="4">
        <v>45390</v>
      </c>
      <c r="B121" s="4">
        <v>45396</v>
      </c>
      <c r="C121" t="s">
        <v>5388</v>
      </c>
      <c r="D121">
        <v>55</v>
      </c>
      <c r="E121" s="5">
        <v>2.1100000000000001E-4</v>
      </c>
    </row>
    <row r="122" spans="1:5" x14ac:dyDescent="0.25">
      <c r="A122" s="4">
        <v>45397</v>
      </c>
      <c r="B122" s="4">
        <v>45403</v>
      </c>
      <c r="C122" t="s">
        <v>5389</v>
      </c>
      <c r="D122">
        <v>78</v>
      </c>
      <c r="E122" s="5">
        <v>3.0699999999999998E-4</v>
      </c>
    </row>
    <row r="123" spans="1:5" x14ac:dyDescent="0.25">
      <c r="A123" s="4">
        <v>45404</v>
      </c>
      <c r="B123" s="4">
        <v>45410</v>
      </c>
      <c r="C123" t="s">
        <v>5390</v>
      </c>
      <c r="D123">
        <v>83</v>
      </c>
      <c r="E123" s="5">
        <v>3.3199999999999999E-4</v>
      </c>
    </row>
    <row r="124" spans="1:5" x14ac:dyDescent="0.25">
      <c r="A124" s="4">
        <v>45411</v>
      </c>
      <c r="B124" s="4">
        <v>45417</v>
      </c>
      <c r="C124" t="s">
        <v>5391</v>
      </c>
      <c r="D124">
        <v>73</v>
      </c>
      <c r="E124" s="5">
        <v>3.2200000000000002E-4</v>
      </c>
    </row>
    <row r="125" spans="1:5" x14ac:dyDescent="0.25">
      <c r="A125" s="4">
        <v>45418</v>
      </c>
      <c r="B125" s="4">
        <v>45424</v>
      </c>
      <c r="C125" t="s">
        <v>5392</v>
      </c>
      <c r="D125">
        <v>39</v>
      </c>
      <c r="E125" s="5">
        <v>1.6100000000000001E-4</v>
      </c>
    </row>
    <row r="126" spans="1:5" x14ac:dyDescent="0.25">
      <c r="A126" s="4">
        <v>45425</v>
      </c>
      <c r="B126" s="4">
        <v>45431</v>
      </c>
      <c r="C126" t="s">
        <v>5393</v>
      </c>
      <c r="D126">
        <v>50</v>
      </c>
      <c r="E126" s="5">
        <v>1.9699999999999999E-4</v>
      </c>
    </row>
    <row r="127" spans="1:5" x14ac:dyDescent="0.25">
      <c r="A127" s="4">
        <v>45432</v>
      </c>
      <c r="B127" s="4">
        <v>45438</v>
      </c>
      <c r="C127" t="s">
        <v>5394</v>
      </c>
      <c r="D127">
        <v>63</v>
      </c>
      <c r="E127" s="5">
        <v>2.6400000000000002E-4</v>
      </c>
    </row>
    <row r="128" spans="1:5" x14ac:dyDescent="0.25">
      <c r="A128" s="4">
        <v>45439</v>
      </c>
      <c r="B128" s="4">
        <v>45445</v>
      </c>
      <c r="C128" t="s">
        <v>5395</v>
      </c>
      <c r="D128">
        <v>50</v>
      </c>
      <c r="E128" s="5">
        <v>2.1800000000000001E-4</v>
      </c>
    </row>
    <row r="129" spans="1:5" x14ac:dyDescent="0.25">
      <c r="A129" s="4">
        <v>45446</v>
      </c>
      <c r="B129" s="4">
        <v>45452</v>
      </c>
      <c r="C129" t="s">
        <v>5396</v>
      </c>
      <c r="D129">
        <v>63</v>
      </c>
      <c r="E129" s="5">
        <v>2.72E-4</v>
      </c>
    </row>
    <row r="130" spans="1:5" x14ac:dyDescent="0.25">
      <c r="A130" s="4">
        <v>45453</v>
      </c>
      <c r="B130" s="4">
        <v>45459</v>
      </c>
      <c r="C130" t="s">
        <v>5397</v>
      </c>
      <c r="D130">
        <v>43</v>
      </c>
      <c r="E130" s="5">
        <v>2.0000000000000001E-4</v>
      </c>
    </row>
    <row r="131" spans="1:5" x14ac:dyDescent="0.25">
      <c r="A131" s="4">
        <v>45460</v>
      </c>
      <c r="B131" s="4">
        <v>45466</v>
      </c>
      <c r="C131" t="s">
        <v>5398</v>
      </c>
      <c r="D131">
        <v>83</v>
      </c>
      <c r="E131" s="5">
        <v>3.7100000000000002E-4</v>
      </c>
    </row>
    <row r="132" spans="1:5" x14ac:dyDescent="0.25">
      <c r="A132" s="4">
        <v>45467</v>
      </c>
      <c r="B132" s="4">
        <v>45473</v>
      </c>
      <c r="C132" t="s">
        <v>5399</v>
      </c>
      <c r="D132">
        <v>52</v>
      </c>
      <c r="E132" s="5">
        <v>2.42E-4</v>
      </c>
    </row>
    <row r="133" spans="1:5" x14ac:dyDescent="0.25">
      <c r="A133" s="4">
        <v>45474</v>
      </c>
      <c r="B133" s="4">
        <v>45480</v>
      </c>
      <c r="C133" t="s">
        <v>5400</v>
      </c>
      <c r="D133">
        <v>54</v>
      </c>
      <c r="E133" s="5">
        <v>2.6400000000000002E-4</v>
      </c>
    </row>
    <row r="134" spans="1:5" x14ac:dyDescent="0.25">
      <c r="A134" s="4">
        <v>45481</v>
      </c>
      <c r="B134" s="4">
        <v>45487</v>
      </c>
      <c r="C134" t="s">
        <v>5401</v>
      </c>
      <c r="D134">
        <v>62</v>
      </c>
      <c r="E134" s="5">
        <v>3.0499999999999999E-4</v>
      </c>
    </row>
    <row r="135" spans="1:5" x14ac:dyDescent="0.25">
      <c r="A135" s="4">
        <v>45488</v>
      </c>
      <c r="B135" s="4">
        <v>45494</v>
      </c>
      <c r="C135" t="s">
        <v>5402</v>
      </c>
      <c r="D135">
        <v>56</v>
      </c>
      <c r="E135" s="5">
        <v>2.7599999999999999E-4</v>
      </c>
    </row>
    <row r="136" spans="1:5" x14ac:dyDescent="0.25">
      <c r="A136" s="4">
        <v>45495</v>
      </c>
      <c r="B136" s="4">
        <v>45501</v>
      </c>
      <c r="C136" t="s">
        <v>5403</v>
      </c>
      <c r="D136">
        <v>61</v>
      </c>
      <c r="E136" s="5">
        <v>2.9E-4</v>
      </c>
    </row>
    <row r="137" spans="1:5" x14ac:dyDescent="0.25">
      <c r="A137" s="4">
        <v>45502</v>
      </c>
      <c r="B137" s="4">
        <v>45508</v>
      </c>
      <c r="C137" t="s">
        <v>5404</v>
      </c>
      <c r="D137">
        <v>46</v>
      </c>
      <c r="E137" s="5">
        <v>2.1699999999999999E-4</v>
      </c>
    </row>
    <row r="138" spans="1:5" x14ac:dyDescent="0.25">
      <c r="A138" s="4">
        <v>45509</v>
      </c>
      <c r="B138" s="4">
        <v>45515</v>
      </c>
      <c r="C138" t="s">
        <v>5405</v>
      </c>
      <c r="D138">
        <v>48</v>
      </c>
      <c r="E138" s="5">
        <v>2.2100000000000001E-4</v>
      </c>
    </row>
    <row r="139" spans="1:5" x14ac:dyDescent="0.25">
      <c r="A139" s="4">
        <v>45516</v>
      </c>
      <c r="B139" s="4">
        <v>45522</v>
      </c>
      <c r="C139" t="s">
        <v>5406</v>
      </c>
      <c r="D139">
        <v>41</v>
      </c>
      <c r="E139" s="5">
        <v>1.94E-4</v>
      </c>
    </row>
    <row r="140" spans="1:5" x14ac:dyDescent="0.25">
      <c r="A140" s="4">
        <v>45523</v>
      </c>
      <c r="B140" s="4">
        <v>45529</v>
      </c>
      <c r="C140" t="s">
        <v>5407</v>
      </c>
      <c r="D140">
        <v>42</v>
      </c>
      <c r="E140" s="5">
        <v>2.05E-4</v>
      </c>
    </row>
    <row r="141" spans="1:5" x14ac:dyDescent="0.25">
      <c r="A141" s="4">
        <v>45530</v>
      </c>
      <c r="B141" s="4">
        <v>45536</v>
      </c>
      <c r="C141" t="s">
        <v>5408</v>
      </c>
      <c r="D141">
        <v>62</v>
      </c>
      <c r="E141" s="5">
        <v>2.9300000000000002E-4</v>
      </c>
    </row>
    <row r="142" spans="1:5" x14ac:dyDescent="0.25">
      <c r="A142" s="4">
        <v>45537</v>
      </c>
      <c r="B142" s="4">
        <v>45543</v>
      </c>
      <c r="C142" t="s">
        <v>5409</v>
      </c>
      <c r="D142">
        <v>37</v>
      </c>
      <c r="E142" s="5">
        <v>1.74E-4</v>
      </c>
    </row>
    <row r="143" spans="1:5" x14ac:dyDescent="0.25">
      <c r="A143" s="4">
        <v>45544</v>
      </c>
      <c r="B143" s="4">
        <v>45550</v>
      </c>
      <c r="C143" t="s">
        <v>5410</v>
      </c>
      <c r="D143">
        <v>50</v>
      </c>
      <c r="E143" s="5">
        <v>2.1900000000000001E-4</v>
      </c>
    </row>
    <row r="144" spans="1:5" x14ac:dyDescent="0.25">
      <c r="A144" s="4">
        <v>45551</v>
      </c>
      <c r="B144" s="4">
        <v>45557</v>
      </c>
      <c r="C144" t="s">
        <v>5411</v>
      </c>
      <c r="D144">
        <v>70</v>
      </c>
      <c r="E144" s="5">
        <v>2.9399999999999999E-4</v>
      </c>
    </row>
    <row r="145" spans="1:5" x14ac:dyDescent="0.25">
      <c r="A145" s="4">
        <v>45558</v>
      </c>
      <c r="B145" s="4">
        <v>45564</v>
      </c>
      <c r="C145" t="s">
        <v>5412</v>
      </c>
      <c r="D145">
        <v>66</v>
      </c>
      <c r="E145" s="5">
        <v>2.72E-4</v>
      </c>
    </row>
    <row r="146" spans="1:5" x14ac:dyDescent="0.25">
      <c r="A146" s="4">
        <v>45565</v>
      </c>
      <c r="B146" s="4">
        <v>45571</v>
      </c>
      <c r="C146" t="s">
        <v>5413</v>
      </c>
      <c r="D146">
        <v>52</v>
      </c>
      <c r="E146" s="5">
        <v>2.05E-4</v>
      </c>
    </row>
    <row r="147" spans="1:5" x14ac:dyDescent="0.25">
      <c r="A147" s="4">
        <v>45572</v>
      </c>
      <c r="B147" s="4">
        <v>45578</v>
      </c>
      <c r="C147" t="s">
        <v>5414</v>
      </c>
      <c r="D147">
        <v>41</v>
      </c>
      <c r="E147" s="5">
        <v>1.54E-4</v>
      </c>
    </row>
    <row r="148" spans="1:5" x14ac:dyDescent="0.25">
      <c r="A148" s="4">
        <v>45579</v>
      </c>
      <c r="B148" s="4">
        <v>45585</v>
      </c>
      <c r="C148" t="s">
        <v>5415</v>
      </c>
      <c r="D148">
        <v>63</v>
      </c>
      <c r="E148" s="5">
        <v>2.4899999999999998E-4</v>
      </c>
    </row>
    <row r="149" spans="1:5" x14ac:dyDescent="0.25">
      <c r="A149" s="4">
        <v>45586</v>
      </c>
      <c r="B149" s="4">
        <v>45592</v>
      </c>
      <c r="C149" t="s">
        <v>5416</v>
      </c>
      <c r="D149">
        <v>50</v>
      </c>
      <c r="E149" s="5">
        <v>1.8200000000000001E-4</v>
      </c>
    </row>
    <row r="150" spans="1:5" x14ac:dyDescent="0.25">
      <c r="A150" s="4">
        <v>45593</v>
      </c>
      <c r="B150" s="4">
        <v>45599</v>
      </c>
      <c r="C150" t="s">
        <v>5417</v>
      </c>
      <c r="D150">
        <v>46</v>
      </c>
      <c r="E150" s="5">
        <v>1.7200000000000001E-4</v>
      </c>
    </row>
    <row r="151" spans="1:5" x14ac:dyDescent="0.25">
      <c r="A151" s="4">
        <v>45600</v>
      </c>
      <c r="B151" s="4">
        <v>45606</v>
      </c>
      <c r="C151" t="s">
        <v>5418</v>
      </c>
      <c r="D151">
        <v>38</v>
      </c>
      <c r="E151" s="5">
        <v>1.36E-4</v>
      </c>
    </row>
    <row r="152" spans="1:5" x14ac:dyDescent="0.25">
      <c r="A152" s="4">
        <v>45607</v>
      </c>
      <c r="B152" s="4">
        <v>45613</v>
      </c>
      <c r="C152" t="s">
        <v>5419</v>
      </c>
      <c r="D152">
        <v>26</v>
      </c>
      <c r="E152" s="5">
        <v>8.8999999999999995E-5</v>
      </c>
    </row>
    <row r="153" spans="1:5" x14ac:dyDescent="0.25">
      <c r="A153" s="4">
        <v>45614</v>
      </c>
      <c r="B153" s="4">
        <v>45620</v>
      </c>
      <c r="C153" t="s">
        <v>5420</v>
      </c>
      <c r="D153">
        <v>39</v>
      </c>
      <c r="E153" s="5">
        <v>1.35E-4</v>
      </c>
    </row>
    <row r="154" spans="1:5" x14ac:dyDescent="0.25">
      <c r="A154" s="4">
        <v>45621</v>
      </c>
      <c r="B154" s="4">
        <v>45627</v>
      </c>
      <c r="C154" t="s">
        <v>5421</v>
      </c>
      <c r="D154">
        <v>43</v>
      </c>
      <c r="E154" s="5">
        <v>1.4100000000000001E-4</v>
      </c>
    </row>
    <row r="155" spans="1:5" x14ac:dyDescent="0.25">
      <c r="A155" s="4">
        <v>45628</v>
      </c>
      <c r="B155" s="4">
        <v>45634</v>
      </c>
      <c r="C155" t="s">
        <v>5422</v>
      </c>
      <c r="D155">
        <v>47</v>
      </c>
      <c r="E155" s="5">
        <v>1.6100000000000001E-4</v>
      </c>
    </row>
    <row r="156" spans="1:5" x14ac:dyDescent="0.25">
      <c r="A156" s="4">
        <v>45635</v>
      </c>
      <c r="B156" s="4">
        <v>45641</v>
      </c>
      <c r="C156" t="s">
        <v>5423</v>
      </c>
      <c r="D156">
        <v>39</v>
      </c>
      <c r="E156" s="5">
        <v>1.3300000000000001E-4</v>
      </c>
    </row>
    <row r="157" spans="1:5" x14ac:dyDescent="0.25">
      <c r="A157" s="4">
        <v>45642</v>
      </c>
      <c r="B157" s="4">
        <v>45648</v>
      </c>
      <c r="C157" t="s">
        <v>5424</v>
      </c>
      <c r="D157">
        <v>28</v>
      </c>
      <c r="E157" s="5">
        <v>9.2E-5</v>
      </c>
    </row>
    <row r="158" spans="1:5" x14ac:dyDescent="0.25">
      <c r="A158" s="4">
        <v>45649</v>
      </c>
      <c r="B158" s="4">
        <v>45655</v>
      </c>
      <c r="C158" t="s">
        <v>5425</v>
      </c>
      <c r="D158">
        <v>27</v>
      </c>
      <c r="E158" s="5">
        <v>9.5000000000000005E-5</v>
      </c>
    </row>
    <row r="159" spans="1:5" x14ac:dyDescent="0.25">
      <c r="A159" s="4">
        <v>45656</v>
      </c>
      <c r="B159" s="4">
        <v>45662</v>
      </c>
      <c r="C159" t="s">
        <v>5426</v>
      </c>
      <c r="D159">
        <v>16</v>
      </c>
      <c r="E159" s="5">
        <v>7.2999999999999999E-5</v>
      </c>
    </row>
    <row r="160" spans="1:5" x14ac:dyDescent="0.25">
      <c r="A160" s="4">
        <v>45663</v>
      </c>
      <c r="B160" s="4">
        <v>45669</v>
      </c>
      <c r="C160" t="s">
        <v>5427</v>
      </c>
      <c r="D160">
        <v>46</v>
      </c>
      <c r="E160" s="5">
        <v>1.7699999999999999E-4</v>
      </c>
    </row>
    <row r="161" spans="1:5" x14ac:dyDescent="0.25">
      <c r="A161" s="4">
        <v>45670</v>
      </c>
      <c r="B161" s="4">
        <v>45676</v>
      </c>
      <c r="C161" t="s">
        <v>5428</v>
      </c>
      <c r="D161">
        <v>45</v>
      </c>
      <c r="E161" s="5">
        <v>1.5300000000000001E-4</v>
      </c>
    </row>
    <row r="162" spans="1:5" x14ac:dyDescent="0.25">
      <c r="A162" s="4">
        <v>45677</v>
      </c>
      <c r="B162" s="4">
        <v>45683</v>
      </c>
      <c r="C162" t="s">
        <v>5429</v>
      </c>
      <c r="D162">
        <v>29</v>
      </c>
      <c r="E162" s="5">
        <v>9.6000000000000002E-5</v>
      </c>
    </row>
    <row r="163" spans="1:5" x14ac:dyDescent="0.25">
      <c r="A163" s="4">
        <v>45684</v>
      </c>
      <c r="B163" s="4">
        <v>45690</v>
      </c>
      <c r="C163" t="s">
        <v>5430</v>
      </c>
      <c r="D163">
        <v>43</v>
      </c>
      <c r="E163" s="5">
        <v>1.4200000000000001E-4</v>
      </c>
    </row>
    <row r="164" spans="1:5" x14ac:dyDescent="0.25">
      <c r="A164" s="4">
        <v>45691</v>
      </c>
      <c r="B164" s="4">
        <v>45697</v>
      </c>
      <c r="C164" t="s">
        <v>5431</v>
      </c>
      <c r="D164">
        <v>42</v>
      </c>
      <c r="E164" s="5">
        <v>1.3799999999999999E-4</v>
      </c>
    </row>
    <row r="165" spans="1:5" x14ac:dyDescent="0.25">
      <c r="A165" s="4">
        <v>45698</v>
      </c>
      <c r="B165" s="4">
        <v>45704</v>
      </c>
      <c r="C165" t="s">
        <v>5432</v>
      </c>
      <c r="D165">
        <v>48</v>
      </c>
      <c r="E165" s="5">
        <v>1.6200000000000001E-4</v>
      </c>
    </row>
    <row r="166" spans="1:5" x14ac:dyDescent="0.25">
      <c r="A166" s="4">
        <v>45705</v>
      </c>
      <c r="B166" s="4">
        <v>45711</v>
      </c>
      <c r="C166" t="s">
        <v>5433</v>
      </c>
      <c r="D166">
        <v>32</v>
      </c>
      <c r="E166" s="5">
        <v>1.12E-4</v>
      </c>
    </row>
    <row r="167" spans="1:5" x14ac:dyDescent="0.25">
      <c r="A167" s="4">
        <v>45712</v>
      </c>
      <c r="B167" s="4">
        <v>45718</v>
      </c>
      <c r="C167" t="s">
        <v>5434</v>
      </c>
      <c r="D167">
        <v>26</v>
      </c>
      <c r="E167" s="5">
        <v>9.3999999999999994E-5</v>
      </c>
    </row>
    <row r="168" spans="1:5" x14ac:dyDescent="0.25">
      <c r="A168" s="4">
        <v>45719</v>
      </c>
      <c r="B168" s="4">
        <v>45725</v>
      </c>
      <c r="C168" t="s">
        <v>5435</v>
      </c>
      <c r="D168">
        <v>40</v>
      </c>
      <c r="E168" s="5">
        <v>1.44E-4</v>
      </c>
    </row>
    <row r="169" spans="1:5" x14ac:dyDescent="0.25">
      <c r="A169" s="4">
        <v>45726</v>
      </c>
      <c r="B169" s="4">
        <v>45732</v>
      </c>
      <c r="C169" t="s">
        <v>5436</v>
      </c>
      <c r="D169">
        <v>54</v>
      </c>
      <c r="E169" s="5">
        <v>1.93E-4</v>
      </c>
    </row>
    <row r="170" spans="1:5" x14ac:dyDescent="0.25">
      <c r="A170" s="4">
        <v>45733</v>
      </c>
      <c r="B170" s="4">
        <v>45739</v>
      </c>
      <c r="C170" t="s">
        <v>5437</v>
      </c>
      <c r="D170">
        <v>62</v>
      </c>
      <c r="E170" s="5">
        <v>2.2900000000000001E-4</v>
      </c>
    </row>
    <row r="171" spans="1:5" x14ac:dyDescent="0.25">
      <c r="A171" s="4">
        <v>45740</v>
      </c>
      <c r="B171" s="4">
        <v>45746</v>
      </c>
      <c r="C171" t="s">
        <v>5438</v>
      </c>
      <c r="D171">
        <v>77</v>
      </c>
      <c r="E171" s="5">
        <v>3.0600000000000001E-4</v>
      </c>
    </row>
    <row r="172" spans="1:5" x14ac:dyDescent="0.25">
      <c r="A172" s="4">
        <v>45747</v>
      </c>
      <c r="B172" s="4">
        <v>45753</v>
      </c>
      <c r="C172" t="s">
        <v>5439</v>
      </c>
      <c r="D172">
        <v>81</v>
      </c>
      <c r="E172" s="5">
        <v>3.0400000000000002E-4</v>
      </c>
    </row>
    <row r="173" spans="1:5" x14ac:dyDescent="0.25">
      <c r="A173" s="4">
        <v>45754</v>
      </c>
      <c r="B173" s="4">
        <v>45760</v>
      </c>
      <c r="C173" t="s">
        <v>5440</v>
      </c>
      <c r="D173">
        <v>68</v>
      </c>
      <c r="E173" s="5">
        <v>2.5900000000000001E-4</v>
      </c>
    </row>
    <row r="174" spans="1:5" x14ac:dyDescent="0.25">
      <c r="A174" s="4">
        <v>45761</v>
      </c>
      <c r="B174" s="4">
        <v>45767</v>
      </c>
      <c r="C174" t="s">
        <v>5441</v>
      </c>
      <c r="D174">
        <v>65</v>
      </c>
      <c r="E174" s="5">
        <v>2.5999999999999998E-4</v>
      </c>
    </row>
    <row r="175" spans="1:5" x14ac:dyDescent="0.25">
      <c r="A175" s="4">
        <v>45768</v>
      </c>
      <c r="B175" s="4">
        <v>45774</v>
      </c>
      <c r="C175" t="s">
        <v>5442</v>
      </c>
      <c r="D175">
        <v>62</v>
      </c>
      <c r="E175" s="5">
        <v>2.41E-4</v>
      </c>
    </row>
    <row r="176" spans="1:5" x14ac:dyDescent="0.25">
      <c r="A176" s="4">
        <v>45775</v>
      </c>
      <c r="B176" s="4">
        <v>45781</v>
      </c>
      <c r="C176" t="s">
        <v>5443</v>
      </c>
      <c r="D176">
        <v>52</v>
      </c>
      <c r="E176" s="5">
        <v>2.2599999999999999E-4</v>
      </c>
    </row>
    <row r="177" spans="1:5" x14ac:dyDescent="0.25">
      <c r="A177" s="4">
        <v>45782</v>
      </c>
      <c r="B177" s="4">
        <v>45788</v>
      </c>
      <c r="C177" t="s">
        <v>5444</v>
      </c>
      <c r="D177">
        <v>43</v>
      </c>
      <c r="E177" s="5">
        <v>1.94E-4</v>
      </c>
    </row>
    <row r="178" spans="1:5" x14ac:dyDescent="0.25">
      <c r="A178" s="4">
        <v>45789</v>
      </c>
      <c r="B178" s="4">
        <v>45795</v>
      </c>
      <c r="C178" t="s">
        <v>5445</v>
      </c>
      <c r="D178">
        <v>54</v>
      </c>
      <c r="E178" s="5">
        <v>2.1699999999999999E-4</v>
      </c>
    </row>
    <row r="179" spans="1:5" x14ac:dyDescent="0.25">
      <c r="A179" s="4">
        <v>45796</v>
      </c>
      <c r="B179" s="4">
        <v>45802</v>
      </c>
      <c r="C179" t="s">
        <v>5446</v>
      </c>
      <c r="D179">
        <v>50</v>
      </c>
      <c r="E179" s="5">
        <v>2.0799999999999999E-4</v>
      </c>
    </row>
    <row r="180" spans="1:5" x14ac:dyDescent="0.25">
      <c r="A180" s="4">
        <v>45803</v>
      </c>
      <c r="B180" s="4">
        <v>45809</v>
      </c>
      <c r="C180" t="s">
        <v>5447</v>
      </c>
      <c r="D180">
        <v>63</v>
      </c>
      <c r="E180" s="5">
        <v>2.8400000000000002E-4</v>
      </c>
    </row>
    <row r="181" spans="1:5" x14ac:dyDescent="0.25">
      <c r="A181" s="4">
        <v>45810</v>
      </c>
      <c r="B181" s="4">
        <v>45816</v>
      </c>
      <c r="C181" t="s">
        <v>5448</v>
      </c>
      <c r="D181">
        <v>76</v>
      </c>
      <c r="E181" s="5">
        <v>3.39E-4</v>
      </c>
    </row>
    <row r="182" spans="1:5" x14ac:dyDescent="0.25">
      <c r="A182" s="4">
        <v>45817</v>
      </c>
      <c r="B182" s="4">
        <v>45823</v>
      </c>
      <c r="C182" t="s">
        <v>5449</v>
      </c>
      <c r="D182">
        <v>82</v>
      </c>
      <c r="E182" s="5">
        <v>3.68E-4</v>
      </c>
    </row>
    <row r="183" spans="1:5" x14ac:dyDescent="0.25">
      <c r="A183" s="4">
        <v>45824</v>
      </c>
      <c r="B183" s="4">
        <v>45830</v>
      </c>
      <c r="C183" t="s">
        <v>5450</v>
      </c>
      <c r="D183">
        <v>61</v>
      </c>
      <c r="E183" s="5">
        <v>2.52E-4</v>
      </c>
    </row>
    <row r="184" spans="1:5" x14ac:dyDescent="0.25">
      <c r="A184" s="4">
        <v>45831</v>
      </c>
      <c r="B184" s="4">
        <v>45837</v>
      </c>
      <c r="C184" t="s">
        <v>5451</v>
      </c>
      <c r="D184">
        <v>69</v>
      </c>
      <c r="E184" s="5">
        <v>2.9100000000000003E-4</v>
      </c>
    </row>
    <row r="185" spans="1:5" x14ac:dyDescent="0.25">
      <c r="A185" s="4">
        <v>45838</v>
      </c>
      <c r="B185" s="4">
        <v>45844</v>
      </c>
      <c r="C185" t="s">
        <v>5452</v>
      </c>
      <c r="D185">
        <v>80</v>
      </c>
      <c r="E185" s="5">
        <v>3.5300000000000002E-4</v>
      </c>
    </row>
    <row r="186" spans="1:5" x14ac:dyDescent="0.25">
      <c r="A186" s="4">
        <v>45845</v>
      </c>
      <c r="B186" s="4">
        <v>45851</v>
      </c>
      <c r="C186" t="s">
        <v>5453</v>
      </c>
      <c r="D186">
        <v>72</v>
      </c>
      <c r="E186" s="5">
        <v>3.3399999999999999E-4</v>
      </c>
    </row>
    <row r="187" spans="1:5" x14ac:dyDescent="0.25">
      <c r="A187" s="4">
        <v>45852</v>
      </c>
      <c r="B187" s="4">
        <v>45858</v>
      </c>
      <c r="C187" t="s">
        <v>5454</v>
      </c>
      <c r="D187">
        <v>80</v>
      </c>
      <c r="E187" s="5">
        <v>3.6299999999999999E-4</v>
      </c>
    </row>
    <row r="188" spans="1:5" x14ac:dyDescent="0.25">
      <c r="A188" s="4">
        <v>45859</v>
      </c>
      <c r="B188" s="4">
        <v>45865</v>
      </c>
      <c r="C188" t="s">
        <v>5455</v>
      </c>
      <c r="D188">
        <v>70</v>
      </c>
      <c r="E188" s="5">
        <v>3.1300000000000002E-4</v>
      </c>
    </row>
    <row r="189" spans="1:5" x14ac:dyDescent="0.25">
      <c r="A189" s="4">
        <v>45866</v>
      </c>
      <c r="B189" s="4">
        <v>45872</v>
      </c>
      <c r="C189" t="s">
        <v>5456</v>
      </c>
      <c r="D189">
        <v>64</v>
      </c>
      <c r="E189" s="5">
        <v>2.9100000000000003E-4</v>
      </c>
    </row>
    <row r="190" spans="1:5" x14ac:dyDescent="0.25">
      <c r="A190" s="4">
        <v>45873</v>
      </c>
      <c r="B190" s="4">
        <v>45879</v>
      </c>
      <c r="C190" t="s">
        <v>5457</v>
      </c>
      <c r="D190">
        <v>82</v>
      </c>
      <c r="E190" s="5">
        <v>3.6499999999999998E-4</v>
      </c>
    </row>
    <row r="191" spans="1:5" x14ac:dyDescent="0.25">
      <c r="A191" s="4">
        <v>45880</v>
      </c>
      <c r="B191" s="4">
        <v>45886</v>
      </c>
      <c r="C191" t="s">
        <v>5458</v>
      </c>
      <c r="D191">
        <v>75</v>
      </c>
      <c r="E191" s="5">
        <v>3.3300000000000002E-4</v>
      </c>
    </row>
    <row r="192" spans="1:5" x14ac:dyDescent="0.25">
      <c r="A192" s="4">
        <v>45887</v>
      </c>
      <c r="B192" s="4">
        <v>45893</v>
      </c>
      <c r="C192" t="s">
        <v>5459</v>
      </c>
      <c r="D192">
        <v>80</v>
      </c>
      <c r="E192" s="5">
        <v>3.5799999999999997E-4</v>
      </c>
    </row>
    <row r="193" spans="1:5" x14ac:dyDescent="0.25">
      <c r="A193" s="4">
        <v>45894</v>
      </c>
      <c r="B193" s="4">
        <v>45900</v>
      </c>
      <c r="C193" t="s">
        <v>5460</v>
      </c>
      <c r="D193">
        <v>42</v>
      </c>
      <c r="E193" s="5">
        <v>1.8200000000000001E-4</v>
      </c>
    </row>
    <row r="194" spans="1:5" x14ac:dyDescent="0.25">
      <c r="A194" s="4">
        <v>45901</v>
      </c>
      <c r="B194" s="4">
        <v>45907</v>
      </c>
      <c r="C194" t="s">
        <v>5461</v>
      </c>
      <c r="D194">
        <v>61</v>
      </c>
      <c r="E194" s="5">
        <v>2.5599999999999999E-4</v>
      </c>
    </row>
    <row r="195" spans="1:5" x14ac:dyDescent="0.25">
      <c r="A195" s="4">
        <v>45908</v>
      </c>
      <c r="B195" s="4">
        <v>45914</v>
      </c>
      <c r="C195" t="s">
        <v>5462</v>
      </c>
      <c r="D195">
        <v>76</v>
      </c>
      <c r="E195" s="5">
        <v>3.1E-4</v>
      </c>
    </row>
    <row r="196" spans="1:5" x14ac:dyDescent="0.25">
      <c r="A196" s="4">
        <v>45915</v>
      </c>
      <c r="B196" s="4">
        <v>45921</v>
      </c>
      <c r="C196" t="s">
        <v>5463</v>
      </c>
      <c r="D196">
        <v>57</v>
      </c>
      <c r="E196" s="5">
        <v>2.2900000000000001E-4</v>
      </c>
    </row>
    <row r="197" spans="1:5" x14ac:dyDescent="0.25">
      <c r="A197" s="4">
        <v>45922</v>
      </c>
      <c r="B197" s="4">
        <v>45928</v>
      </c>
      <c r="C197" t="s">
        <v>5464</v>
      </c>
      <c r="D197">
        <v>62</v>
      </c>
      <c r="E197" s="5">
        <v>2.3900000000000001E-4</v>
      </c>
    </row>
    <row r="198" spans="1:5" x14ac:dyDescent="0.25">
      <c r="A198" s="4">
        <v>45929</v>
      </c>
      <c r="B198" s="4">
        <v>45935</v>
      </c>
      <c r="C198" t="s">
        <v>5465</v>
      </c>
      <c r="D198">
        <v>80</v>
      </c>
      <c r="E198" s="5">
        <v>3.1799999999999998E-4</v>
      </c>
    </row>
    <row r="199" spans="1:5" x14ac:dyDescent="0.25">
      <c r="A199" s="4">
        <v>45936</v>
      </c>
      <c r="B199" s="4">
        <v>45942</v>
      </c>
      <c r="C199" t="s">
        <v>5466</v>
      </c>
      <c r="D199">
        <v>81</v>
      </c>
      <c r="E199" s="5">
        <v>3.1700000000000001E-4</v>
      </c>
    </row>
    <row r="200" spans="1:5" x14ac:dyDescent="0.25">
      <c r="A200" s="4">
        <v>45943</v>
      </c>
      <c r="B200" s="4">
        <v>45949</v>
      </c>
      <c r="C200" t="s">
        <v>5467</v>
      </c>
      <c r="D200">
        <v>34</v>
      </c>
      <c r="E200" s="5">
        <v>1.27E-4</v>
      </c>
    </row>
    <row r="201" spans="1:5" x14ac:dyDescent="0.25">
      <c r="A201" s="4">
        <v>45950</v>
      </c>
      <c r="B201" s="4">
        <v>45956</v>
      </c>
      <c r="C201" t="s">
        <v>5468</v>
      </c>
      <c r="D201">
        <v>29</v>
      </c>
      <c r="E201" s="5">
        <v>1.06E-4</v>
      </c>
    </row>
    <row r="202" spans="1:5" x14ac:dyDescent="0.25">
      <c r="A202" s="4">
        <v>45957</v>
      </c>
      <c r="B202" s="4">
        <v>45963</v>
      </c>
      <c r="C202" t="s">
        <v>5469</v>
      </c>
      <c r="D202">
        <v>65</v>
      </c>
      <c r="E202" s="5">
        <v>2.4499999999999999E-4</v>
      </c>
    </row>
    <row r="203" spans="1:5" x14ac:dyDescent="0.25">
      <c r="A203" s="4">
        <v>45964</v>
      </c>
      <c r="B203" s="4">
        <v>45970</v>
      </c>
      <c r="C203" t="s">
        <v>5470</v>
      </c>
      <c r="D203">
        <v>68</v>
      </c>
      <c r="E203" s="5">
        <v>2.7700000000000001E-4</v>
      </c>
    </row>
    <row r="204" spans="1:5" x14ac:dyDescent="0.25">
      <c r="A204" s="4">
        <v>45971</v>
      </c>
      <c r="B204" s="4">
        <v>45977</v>
      </c>
      <c r="C204" t="s">
        <v>5471</v>
      </c>
      <c r="D204">
        <v>48</v>
      </c>
      <c r="E204" s="5">
        <v>1.8100000000000001E-4</v>
      </c>
    </row>
    <row r="205" spans="1:5" x14ac:dyDescent="0.25">
      <c r="A205" s="4">
        <v>45978</v>
      </c>
      <c r="B205" s="4">
        <v>45984</v>
      </c>
      <c r="C205" t="s">
        <v>5472</v>
      </c>
      <c r="D205">
        <v>51</v>
      </c>
      <c r="E205" s="5">
        <v>1.85E-4</v>
      </c>
    </row>
    <row r="206" spans="1:5" x14ac:dyDescent="0.25">
      <c r="A206" s="4">
        <v>45985</v>
      </c>
      <c r="B206" s="4">
        <v>45991</v>
      </c>
      <c r="C206" t="s">
        <v>5473</v>
      </c>
      <c r="D206">
        <v>34</v>
      </c>
      <c r="E206" s="5">
        <v>1.2400000000000001E-4</v>
      </c>
    </row>
    <row r="207" spans="1:5" x14ac:dyDescent="0.25">
      <c r="A207" s="4">
        <v>45992</v>
      </c>
      <c r="B207" s="4">
        <v>45998</v>
      </c>
      <c r="C207" t="s">
        <v>5474</v>
      </c>
      <c r="D207">
        <v>37</v>
      </c>
      <c r="E207" s="5">
        <v>1.37E-4</v>
      </c>
    </row>
    <row r="208" spans="1:5" x14ac:dyDescent="0.25">
      <c r="A208" s="4">
        <v>45999</v>
      </c>
      <c r="B208" s="4">
        <v>46005</v>
      </c>
      <c r="C208" t="s">
        <v>5475</v>
      </c>
      <c r="D208">
        <v>45</v>
      </c>
      <c r="E208" s="5">
        <v>1.7200000000000001E-4</v>
      </c>
    </row>
    <row r="209" spans="1:5" x14ac:dyDescent="0.25">
      <c r="A209" s="4">
        <v>46006</v>
      </c>
      <c r="B209" s="4">
        <v>46012</v>
      </c>
      <c r="C209" t="s">
        <v>5476</v>
      </c>
      <c r="D209">
        <v>22</v>
      </c>
      <c r="E209" s="5">
        <v>8.7999999999999998E-5</v>
      </c>
    </row>
    <row r="210" spans="1:5" x14ac:dyDescent="0.25">
      <c r="A210" s="4">
        <v>46013</v>
      </c>
      <c r="B210" s="4">
        <v>46019</v>
      </c>
      <c r="C210" t="s">
        <v>5477</v>
      </c>
      <c r="D210">
        <v>22</v>
      </c>
      <c r="E210" s="5">
        <v>9.3999999999999994E-5</v>
      </c>
    </row>
    <row r="211" spans="1:5" x14ac:dyDescent="0.25">
      <c r="A211" s="4">
        <v>46020</v>
      </c>
      <c r="B211" s="4">
        <v>46026</v>
      </c>
      <c r="C211" t="s">
        <v>5478</v>
      </c>
      <c r="D211">
        <v>23</v>
      </c>
      <c r="E211" s="5">
        <v>1.21E-4</v>
      </c>
    </row>
    <row r="212" spans="1:5" x14ac:dyDescent="0.25">
      <c r="A212" s="4">
        <v>46027</v>
      </c>
      <c r="B212" s="4">
        <v>46033</v>
      </c>
      <c r="C212" t="s">
        <v>5479</v>
      </c>
      <c r="D212">
        <v>23</v>
      </c>
      <c r="E212" s="5">
        <v>1.17E-4</v>
      </c>
    </row>
    <row r="213" spans="1:5" x14ac:dyDescent="0.25">
      <c r="A213" s="4">
        <v>46034</v>
      </c>
      <c r="B213" s="4">
        <v>46040</v>
      </c>
      <c r="C213" t="s">
        <v>5480</v>
      </c>
      <c r="D213">
        <v>20</v>
      </c>
      <c r="E213" s="5">
        <v>8.3999999999999995E-5</v>
      </c>
    </row>
    <row r="214" spans="1:5" x14ac:dyDescent="0.25">
      <c r="A214" s="4">
        <v>46041</v>
      </c>
      <c r="B214" s="4">
        <v>46047</v>
      </c>
      <c r="C214" t="s">
        <v>5481</v>
      </c>
      <c r="D214">
        <v>37</v>
      </c>
      <c r="E214" s="5">
        <v>1.5200000000000001E-4</v>
      </c>
    </row>
    <row r="215" spans="1:5" x14ac:dyDescent="0.25">
      <c r="A215" s="4">
        <v>46048</v>
      </c>
      <c r="B215" s="4">
        <v>46054</v>
      </c>
      <c r="C215" t="s">
        <v>5482</v>
      </c>
      <c r="D215">
        <v>39</v>
      </c>
      <c r="E215" s="5">
        <v>1.65E-4</v>
      </c>
    </row>
    <row r="216" spans="1:5" x14ac:dyDescent="0.25">
      <c r="A216" s="4">
        <v>46055</v>
      </c>
      <c r="B216" s="4">
        <v>46061</v>
      </c>
      <c r="C216" t="s">
        <v>5483</v>
      </c>
      <c r="D216">
        <v>42</v>
      </c>
      <c r="E216" s="5">
        <v>1.8000000000000001E-4</v>
      </c>
    </row>
    <row r="217" spans="1:5" x14ac:dyDescent="0.25">
      <c r="A217" s="4">
        <v>46062</v>
      </c>
      <c r="B217" s="4">
        <v>46068</v>
      </c>
      <c r="C217" t="s">
        <v>5484</v>
      </c>
      <c r="D217">
        <v>33</v>
      </c>
      <c r="E217" s="5">
        <v>1.4300000000000001E-4</v>
      </c>
    </row>
    <row r="218" spans="1:5" x14ac:dyDescent="0.25">
      <c r="A218" s="4">
        <v>46069</v>
      </c>
      <c r="B218" s="4">
        <v>46075</v>
      </c>
      <c r="C218" t="s">
        <v>5485</v>
      </c>
      <c r="D218">
        <v>28</v>
      </c>
      <c r="E218" s="5">
        <v>1.26E-4</v>
      </c>
    </row>
    <row r="219" spans="1:5" x14ac:dyDescent="0.25">
      <c r="A219" s="4">
        <v>46076</v>
      </c>
      <c r="B219" s="4">
        <v>46082</v>
      </c>
      <c r="C219" t="s">
        <v>5486</v>
      </c>
      <c r="D219">
        <v>35</v>
      </c>
      <c r="E219" s="5">
        <v>1.6100000000000001E-4</v>
      </c>
    </row>
    <row r="220" spans="1:5" x14ac:dyDescent="0.25">
      <c r="A220" s="4">
        <v>46083</v>
      </c>
      <c r="B220" s="4">
        <v>46089</v>
      </c>
      <c r="C220" t="s">
        <v>5487</v>
      </c>
      <c r="D220">
        <v>31</v>
      </c>
      <c r="E220" s="5">
        <v>1.44E-4</v>
      </c>
    </row>
    <row r="221" spans="1:5" x14ac:dyDescent="0.25">
      <c r="A221" s="4">
        <v>46090</v>
      </c>
      <c r="B221" s="4">
        <v>46096</v>
      </c>
      <c r="C221" t="s">
        <v>5488</v>
      </c>
      <c r="D221">
        <v>30</v>
      </c>
      <c r="E221" s="5">
        <v>1.21E-4</v>
      </c>
    </row>
    <row r="222" spans="1:5" x14ac:dyDescent="0.25">
      <c r="A222" s="4">
        <v>46097</v>
      </c>
      <c r="B222" s="4">
        <v>46103</v>
      </c>
      <c r="C222" t="s">
        <v>5489</v>
      </c>
      <c r="D222">
        <v>56</v>
      </c>
      <c r="E222" s="5">
        <v>2.1699999999999999E-4</v>
      </c>
    </row>
    <row r="223" spans="1:5" x14ac:dyDescent="0.25">
      <c r="A223" s="4">
        <v>46104</v>
      </c>
      <c r="B223" s="4">
        <v>46110</v>
      </c>
      <c r="C223" t="s">
        <v>5490</v>
      </c>
      <c r="D223">
        <v>43</v>
      </c>
      <c r="E223" s="5">
        <v>1.7200000000000001E-4</v>
      </c>
    </row>
    <row r="224" spans="1:5" x14ac:dyDescent="0.25">
      <c r="A224" s="4">
        <v>46111</v>
      </c>
      <c r="B224" s="4">
        <v>46117</v>
      </c>
      <c r="C224" t="s">
        <v>5491</v>
      </c>
      <c r="D224">
        <v>87</v>
      </c>
      <c r="E224" s="5">
        <v>3.6200000000000002E-4</v>
      </c>
    </row>
    <row r="225" spans="1:5" x14ac:dyDescent="0.25">
      <c r="A225" s="4">
        <v>46118</v>
      </c>
      <c r="B225" s="4">
        <v>46124</v>
      </c>
      <c r="C225" t="s">
        <v>5492</v>
      </c>
      <c r="D225">
        <v>60</v>
      </c>
      <c r="E225" s="5">
        <v>2.3800000000000001E-4</v>
      </c>
    </row>
    <row r="226" spans="1:5" x14ac:dyDescent="0.25">
      <c r="A226" s="4">
        <v>46125</v>
      </c>
      <c r="B226" s="4">
        <v>46131</v>
      </c>
      <c r="C226" t="s">
        <v>5493</v>
      </c>
      <c r="D226">
        <v>56</v>
      </c>
      <c r="E226" s="5">
        <v>2.2499999999999999E-4</v>
      </c>
    </row>
    <row r="227" spans="1:5" x14ac:dyDescent="0.25">
      <c r="A227" s="4">
        <v>46132</v>
      </c>
      <c r="B227" s="4">
        <v>46138</v>
      </c>
      <c r="C227" t="s">
        <v>5494</v>
      </c>
      <c r="D227">
        <v>83</v>
      </c>
      <c r="E227" s="5">
        <v>3.2400000000000001E-4</v>
      </c>
    </row>
    <row r="228" spans="1:5" x14ac:dyDescent="0.25">
      <c r="A228" s="4">
        <v>46139</v>
      </c>
      <c r="B228" s="4">
        <v>46145</v>
      </c>
      <c r="C228" t="s">
        <v>5495</v>
      </c>
      <c r="D228">
        <v>78</v>
      </c>
      <c r="E228" s="5">
        <v>3.3300000000000002E-4</v>
      </c>
    </row>
    <row r="229" spans="1:5" x14ac:dyDescent="0.25">
      <c r="A229" s="4">
        <v>46146</v>
      </c>
      <c r="B229" s="4">
        <v>46152</v>
      </c>
      <c r="C229" t="s">
        <v>5496</v>
      </c>
      <c r="D229">
        <v>64</v>
      </c>
      <c r="E229" s="5">
        <v>2.9999999999999997E-4</v>
      </c>
    </row>
    <row r="230" spans="1:5" x14ac:dyDescent="0.25">
      <c r="A230" s="4">
        <v>46153</v>
      </c>
      <c r="B230" s="4">
        <v>46159</v>
      </c>
      <c r="C230" t="s">
        <v>5497</v>
      </c>
      <c r="D230">
        <v>71</v>
      </c>
      <c r="E230" s="5">
        <v>3.1399999999999999E-4</v>
      </c>
    </row>
    <row r="231" spans="1:5" x14ac:dyDescent="0.25">
      <c r="A231" s="4">
        <v>46160</v>
      </c>
      <c r="B231" s="4">
        <v>46166</v>
      </c>
      <c r="C231" t="s">
        <v>5498</v>
      </c>
      <c r="D231">
        <v>89</v>
      </c>
      <c r="E231" s="5">
        <v>3.9199999999999999E-4</v>
      </c>
    </row>
    <row r="232" spans="1:5" x14ac:dyDescent="0.25">
      <c r="A232" s="4">
        <v>46167</v>
      </c>
      <c r="B232" s="4">
        <v>46173</v>
      </c>
      <c r="C232" t="s">
        <v>5499</v>
      </c>
      <c r="D232">
        <v>62</v>
      </c>
      <c r="E232" s="5">
        <v>2.6499999999999999E-4</v>
      </c>
    </row>
    <row r="233" spans="1:5" x14ac:dyDescent="0.25">
      <c r="A233" s="4">
        <v>46174</v>
      </c>
      <c r="B233" s="4">
        <v>46180</v>
      </c>
      <c r="C233" t="s">
        <v>5500</v>
      </c>
      <c r="D233">
        <v>89</v>
      </c>
      <c r="E233" s="5">
        <v>3.7399999999999998E-4</v>
      </c>
    </row>
    <row r="234" spans="1:5" x14ac:dyDescent="0.25">
      <c r="A234" s="4">
        <v>46181</v>
      </c>
      <c r="B234" s="4">
        <v>46187</v>
      </c>
      <c r="C234" t="s">
        <v>5501</v>
      </c>
      <c r="D234">
        <v>61</v>
      </c>
      <c r="E234" s="5">
        <v>2.7099999999999997E-4</v>
      </c>
    </row>
    <row r="235" spans="1:5" x14ac:dyDescent="0.25">
      <c r="A235" s="4">
        <v>46188</v>
      </c>
      <c r="B235" s="4">
        <v>46194</v>
      </c>
      <c r="C235" t="s">
        <v>5502</v>
      </c>
      <c r="D235">
        <v>53</v>
      </c>
      <c r="E235" s="5">
        <v>2.2699999999999999E-4</v>
      </c>
    </row>
    <row r="236" spans="1:5" x14ac:dyDescent="0.25">
      <c r="A236" s="4">
        <v>46195</v>
      </c>
      <c r="B236" s="4">
        <v>46201</v>
      </c>
      <c r="C236" t="s">
        <v>5503</v>
      </c>
      <c r="D236">
        <v>39</v>
      </c>
      <c r="E236" s="5">
        <v>1.6699999999999999E-4</v>
      </c>
    </row>
    <row r="237" spans="1:5" x14ac:dyDescent="0.25">
      <c r="A237" s="4">
        <v>46202</v>
      </c>
      <c r="B237" s="4">
        <v>46208</v>
      </c>
      <c r="C237" t="s">
        <v>5504</v>
      </c>
      <c r="D237">
        <v>52</v>
      </c>
      <c r="E237" s="5">
        <v>2.3699999999999999E-4</v>
      </c>
    </row>
    <row r="238" spans="1:5" x14ac:dyDescent="0.25">
      <c r="A238" s="4">
        <v>46209</v>
      </c>
      <c r="B238" s="4">
        <v>46215</v>
      </c>
      <c r="C238" t="s">
        <v>5505</v>
      </c>
      <c r="D238">
        <v>85</v>
      </c>
      <c r="E23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2026-07-20T09:35:18Z</dcterms:modified>
</cp:coreProperties>
</file>